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10-Outubro\MEDIÇÃO\"/>
    </mc:Choice>
  </mc:AlternateContent>
  <xr:revisionPtr revIDLastSave="0" documentId="8_{CA315DA6-0826-4DB0-8D5D-96E55EB09AC4}" xr6:coauthVersionLast="47" xr6:coauthVersionMax="47" xr10:uidLastSave="{00000000-0000-0000-0000-000000000000}"/>
  <bookViews>
    <workbookView xWindow="-108" yWindow="-108" windowWidth="23256" windowHeight="12456" activeTab="3" xr2:uid="{532A7DFA-235C-41DA-9BA2-A85D18CBA56D}"/>
  </bookViews>
  <sheets>
    <sheet name="MC" sheetId="1" r:id="rId1"/>
    <sheet name="ARM" sheetId="2" r:id="rId2"/>
    <sheet name="DADOS" sheetId="3" r:id="rId3"/>
    <sheet name="FRETE" sheetId="4" r:id="rId4"/>
  </sheets>
  <definedNames>
    <definedName name="PeriodoAno">#REF!</definedName>
    <definedName name="Periodo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K39" i="1" s="1"/>
  <c r="M39" i="1" s="1"/>
  <c r="J38" i="1"/>
  <c r="J36" i="1"/>
  <c r="J35" i="1"/>
  <c r="J34" i="1"/>
  <c r="J33" i="1"/>
  <c r="J32" i="1"/>
  <c r="J31" i="1"/>
  <c r="J30" i="1"/>
  <c r="K30" i="1" s="1"/>
  <c r="M30" i="1" s="1"/>
  <c r="G29" i="1"/>
  <c r="F29" i="1"/>
  <c r="E29" i="1"/>
  <c r="D29" i="1"/>
  <c r="J28" i="1"/>
  <c r="G26" i="1"/>
  <c r="F26" i="1"/>
  <c r="E26" i="1"/>
  <c r="H26" i="1" s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H17" i="1" s="1"/>
  <c r="J16" i="1"/>
  <c r="G14" i="1"/>
  <c r="F14" i="1"/>
  <c r="E14" i="1"/>
  <c r="D14" i="1"/>
  <c r="H14" i="1" s="1"/>
  <c r="J13" i="1"/>
  <c r="K13" i="1" s="1"/>
  <c r="M13" i="1" s="1"/>
  <c r="M46" i="1"/>
  <c r="K46" i="1"/>
  <c r="K45" i="1"/>
  <c r="M45" i="1" s="1"/>
  <c r="K44" i="1"/>
  <c r="M44" i="1" s="1"/>
  <c r="M43" i="1"/>
  <c r="K43" i="1"/>
  <c r="M42" i="1"/>
  <c r="K42" i="1"/>
  <c r="K41" i="1"/>
  <c r="M41" i="1" s="1"/>
  <c r="K40" i="1"/>
  <c r="M40" i="1" s="1"/>
  <c r="M38" i="1"/>
  <c r="K38" i="1"/>
  <c r="K36" i="1"/>
  <c r="M36" i="1" s="1"/>
  <c r="K35" i="1"/>
  <c r="M35" i="1" s="1"/>
  <c r="M34" i="1"/>
  <c r="K34" i="1"/>
  <c r="M33" i="1"/>
  <c r="K33" i="1"/>
  <c r="K32" i="1"/>
  <c r="M32" i="1" s="1"/>
  <c r="K31" i="1"/>
  <c r="M31" i="1" s="1"/>
  <c r="H29" i="1"/>
  <c r="K28" i="1"/>
  <c r="M28" i="1" s="1"/>
  <c r="K25" i="1"/>
  <c r="M25" i="1" s="1"/>
  <c r="H23" i="1"/>
  <c r="K22" i="1"/>
  <c r="M22" i="1" s="1"/>
  <c r="K16" i="1"/>
  <c r="M16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72DB397A-3036-4124-A6B8-9C0CF72AB2D1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ED3DF27-ACDE-48DE-947E-35475D7CEC86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C2E621EB-AA9A-45AD-A747-FEF6D89A33FF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8B51B278-CD4C-4EFA-A3A5-78BC5F9A3B8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ADD05E77-8B92-41E6-8DF1-8B562F72F46F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<sst xmlns="http://schemas.openxmlformats.org/spreadsheetml/2006/main" count="3314" uniqueCount="343">
  <si>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</si>
  <si>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</si>
  <si>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</si>
  <si>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</si>
  <si>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</si>
  <si>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</si>
  <si>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</si>
  <si>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</si>
  <si>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</si>
  <si>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</si>
  <si>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</si>
  <si>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</si>
  <si>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</si>
  <si>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</si>
  <si>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</si>
  <si>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</si>
  <si>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</si>
  <si>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</si>
  <si>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</si>
  <si>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</si>
  <si>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</si>
  <si>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</si>
  <si>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</si>
  <si>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</si>
  <si>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</si>
  <si>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</si>
  <si>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</si>
  <si>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</si>
  <si>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</si>
  <si>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</si>
  <si>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</si>
  <si>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</si>
  <si>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</si>
  <si>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</si>
  <si>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</si>
  <si>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</si>
  <si>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</si>
  <si>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</si>
  <si>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</si>
  <si>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</si>
  <si>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</si>
  <si>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</si>
  <si>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</si>
  <si>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</si>
  <si>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</si>
  <si>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</si>
  <si>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</si>
  <si>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</si>
  <si>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</si>
  <si>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</si>
  <si>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</si>
  <si>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</si>
  <si>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</si>
  <si>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</si>
  <si>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</si>
  <si>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</si>
  <si>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</si>
  <si>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</si>
  <si>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</si>
  <si>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</si>
  <si>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</si>
  <si>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</si>
  <si>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</si>
  <si>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</si>
  <si>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</si>
  <si>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</si>
  <si>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</si>
  <si>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</si>
  <si>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</si>
  <si>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</si>
  <si>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</si>
  <si>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</si>
  <si>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</si>
  <si>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</si>
  <si>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</si>
  <si>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</si>
  <si>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</si>
  <si>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</si>
  <si>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</si>
  <si>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</si>
  <si>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</si>
  <si>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</si>
  <si>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</si>
  <si>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</si>
  <si>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</si>
  <si>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</si>
  <si>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</si>
  <si>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</si>
  <si>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</si>
  <si>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</si>
  <si>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</si>
  <si>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</si>
  <si>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</si>
  <si>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</si>
  <si>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</si>
  <si>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</si>
  <si>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</si>
  <si>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</si>
  <si>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</si>
  <si>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</si>
  <si>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</si>
  <si>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</si>
  <si>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</si>
  <si>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</si>
  <si>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</si>
  <si>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</si>
  <si>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</si>
  <si>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</si>
  <si>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</si>
  <si>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</si>
  <si>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</si>
  <si>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</si>
  <si>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</si>
  <si>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</si>
  <si>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</si>
  <si>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</si>
  <si>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</si>
  <si>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</si>
  <si>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</si>
  <si>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</si>
  <si>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</si>
  <si>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</si>
  <si>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</si>
  <si>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</si>
  <si>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PA-LT2-BA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</si>
  <si>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</si>
  <si>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</si>
  <si>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</si>
  <si>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</si>
  <si>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</si>
  <si>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</si>
  <si>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</si>
  <si>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</si>
  <si>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</si>
  <si>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</si>
  <si>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</si>
  <si>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</si>
  <si>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</si>
  <si>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</si>
  <si>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</si>
  <si>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</si>
  <si>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</si>
  <si>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</si>
  <si>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</si>
  <si>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</si>
  <si>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</si>
  <si>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</si>
  <si>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</si>
  <si>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</si>
  <si>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</si>
  <si>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</si>
  <si>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</si>
  <si>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</si>
  <si>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</si>
  <si>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</si>
  <si>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</si>
  <si>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</si>
  <si>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</si>
  <si>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</si>
  <si>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</si>
  <si>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</si>
  <si>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</si>
  <si>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</si>
  <si>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</si>
  <si>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</si>
  <si>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</si>
  <si>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</si>
  <si>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</si>
  <si>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</si>
  <si>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</si>
  <si>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</si>
  <si>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CSC0910835</t>
  </si>
  <si>
    <t>SMS/SA/SAO/DENGE-DPI-DLCM-DTEN</t>
  </si>
  <si>
    <t>0104-2026</t>
  </si>
  <si>
    <t>Normal</t>
  </si>
  <si>
    <t>FP</t>
  </si>
  <si>
    <t>TAQUIPE</t>
  </si>
  <si>
    <t>Salvador</t>
  </si>
  <si>
    <t>BA</t>
  </si>
  <si>
    <t>Camaçari</t>
  </si>
  <si>
    <t>C.T. SSEBPASSÉ</t>
  </si>
  <si>
    <t>PESQUISA DE ITEM AVULSO NORMAL</t>
  </si>
  <si>
    <t>Item documental em caixa</t>
  </si>
  <si>
    <t>CSC0906900</t>
  </si>
  <si>
    <t>307987089</t>
  </si>
  <si>
    <t>EDIRN</t>
  </si>
  <si>
    <t>Natal</t>
  </si>
  <si>
    <t>RN</t>
  </si>
  <si>
    <t>N/A</t>
  </si>
  <si>
    <t>Item avulso</t>
  </si>
  <si>
    <t>COLETA DE EMBALAGEM</t>
  </si>
  <si>
    <t>CSC0910597</t>
  </si>
  <si>
    <t>TAR/PC/REC</t>
  </si>
  <si>
    <t>ARQ-00061-2026</t>
  </si>
  <si>
    <t>INDEXACAO DE DOCUMENTO</t>
  </si>
  <si>
    <t>Documentação administrativa</t>
  </si>
  <si>
    <t>CSC0916513</t>
  </si>
  <si>
    <t>RH/RBO/COA/CB</t>
  </si>
  <si>
    <t>0120-2026</t>
  </si>
  <si>
    <t>Indexação</t>
  </si>
  <si>
    <t>CSC0907046</t>
  </si>
  <si>
    <t>SUPRIMENTOS/RMF/RDR</t>
  </si>
  <si>
    <t>0109-2026</t>
  </si>
  <si>
    <t>DIGITALIZACAO DE DOCUMENTO ADMINISTRATIVO</t>
  </si>
  <si>
    <t>Documento - Formato A4</t>
  </si>
  <si>
    <t>FDM definido</t>
  </si>
  <si>
    <t>Documento - Formato A3</t>
  </si>
  <si>
    <t>CSC0916888</t>
  </si>
  <si>
    <t>0121-2026</t>
  </si>
  <si>
    <t>NP</t>
  </si>
  <si>
    <t>CSC0910166</t>
  </si>
  <si>
    <t>POCOS/CAMAP-T-AB/PROJ/PROJ-I</t>
  </si>
  <si>
    <t>0110-2026</t>
  </si>
  <si>
    <t>CSC0916015</t>
  </si>
  <si>
    <t>SMS/SA/SAO/STO</t>
  </si>
  <si>
    <t>0117-2026</t>
  </si>
  <si>
    <t>ENTREGA DE EMBALAGEM NORMAL</t>
  </si>
  <si>
    <t>CSC0903700</t>
  </si>
  <si>
    <t>CSC0914384</t>
  </si>
  <si>
    <t>G&amp;E/TERM/UTE-TBA</t>
  </si>
  <si>
    <t>ARQ-00062-2026</t>
  </si>
  <si>
    <t>RLAM</t>
  </si>
  <si>
    <t>São Francisco do Conde</t>
  </si>
  <si>
    <t>UTE-BAHIA</t>
  </si>
  <si>
    <t>MATERIAL PARA ARQUIVAMENTO</t>
  </si>
  <si>
    <t>Kit de material</t>
  </si>
  <si>
    <t>CSC0823719</t>
  </si>
  <si>
    <t>AM/SMS/SO</t>
  </si>
  <si>
    <t>000023/2026</t>
  </si>
  <si>
    <t>PETROBRAS ARM/PEA</t>
  </si>
  <si>
    <t>Manaus</t>
  </si>
  <si>
    <t>AM</t>
  </si>
  <si>
    <t>kit de material</t>
  </si>
  <si>
    <t>PORTO ENCONTRO DAS AGUAS</t>
  </si>
  <si>
    <t>CSC0910615</t>
  </si>
  <si>
    <t>ARQ-00060-2026</t>
  </si>
  <si>
    <t>CSC0901329</t>
  </si>
  <si>
    <t>0103-2026</t>
  </si>
  <si>
    <t>CSC0908042</t>
  </si>
  <si>
    <t>0112-2026</t>
  </si>
  <si>
    <t>CSC0910608</t>
  </si>
  <si>
    <t>CSC0893754</t>
  </si>
  <si>
    <t>BA/PST/ST</t>
  </si>
  <si>
    <t>ARQ-00052-2026</t>
  </si>
  <si>
    <t>CSC0903966</t>
  </si>
  <si>
    <t>SMS/SA/GS/IRS</t>
  </si>
  <si>
    <t>0106-2026</t>
  </si>
  <si>
    <t>TERMINAL ARACAJU</t>
  </si>
  <si>
    <t>Aracaju</t>
  </si>
  <si>
    <t>SE</t>
  </si>
  <si>
    <t>EDISER</t>
  </si>
  <si>
    <t>CSC0891424</t>
  </si>
  <si>
    <t>ARQ-00049-2026</t>
  </si>
  <si>
    <t>CSC0909012</t>
  </si>
  <si>
    <t>0114-2026</t>
  </si>
  <si>
    <t>CSC0907938</t>
  </si>
  <si>
    <t>COMPARTILHADO/SC/SID</t>
  </si>
  <si>
    <t>0116-2026</t>
  </si>
  <si>
    <t>CSC0893741</t>
  </si>
  <si>
    <t>CSC0906840</t>
  </si>
  <si>
    <t>JURIDICO/IEJ/GEJ-REA/REA</t>
  </si>
  <si>
    <t>0115-2026</t>
  </si>
  <si>
    <t>CSC0916506</t>
  </si>
  <si>
    <t>0119-2026</t>
  </si>
  <si>
    <t>CSC0910630</t>
  </si>
  <si>
    <t>ARQ-00059-2026</t>
  </si>
  <si>
    <t>CSC0914236</t>
  </si>
  <si>
    <t>ARQ-00063-2026</t>
  </si>
  <si>
    <t>CSC0893784</t>
  </si>
  <si>
    <t>CSC0893759</t>
  </si>
  <si>
    <t>CSC0893774</t>
  </si>
  <si>
    <t>CSC0893750</t>
  </si>
  <si>
    <t>CSC0893819</t>
  </si>
  <si>
    <t>CSC0893770</t>
  </si>
  <si>
    <t>CSC0893755</t>
  </si>
  <si>
    <t>CSC0893751</t>
  </si>
  <si>
    <t>CSC0893767</t>
  </si>
  <si>
    <t>CSC0893743</t>
  </si>
  <si>
    <t>CSC0893757</t>
  </si>
  <si>
    <t>CSC0893745</t>
  </si>
  <si>
    <t>CSC0893731</t>
  </si>
  <si>
    <t>CSC0893772</t>
  </si>
  <si>
    <t>CSC0893736</t>
  </si>
  <si>
    <t>CSC0893742</t>
  </si>
  <si>
    <t>CSC0893738</t>
  </si>
  <si>
    <t>CSC0893748</t>
  </si>
  <si>
    <t>CSC0893730</t>
  </si>
  <si>
    <t>CSC0893725</t>
  </si>
  <si>
    <t>CSC0893763</t>
  </si>
  <si>
    <t>CSC0914240</t>
  </si>
  <si>
    <t>CSC0905016</t>
  </si>
  <si>
    <t>0108-2026</t>
  </si>
  <si>
    <t>CSC0897306</t>
  </si>
  <si>
    <t>0101-2026</t>
  </si>
  <si>
    <t>CSC0898721</t>
  </si>
  <si>
    <t>0102-2026</t>
  </si>
  <si>
    <t>CSC0916381</t>
  </si>
  <si>
    <t>0118-2026</t>
  </si>
  <si>
    <t>CSC0893775</t>
  </si>
  <si>
    <t>CSC0910595</t>
  </si>
  <si>
    <t>SMS/LMA/GAE&amp;P/AM-RN-CE</t>
  </si>
  <si>
    <t>ARQ-00058-2026</t>
  </si>
  <si>
    <t>CSC0908131</t>
  </si>
  <si>
    <t>0113-2026</t>
  </si>
  <si>
    <t>CSC0907908</t>
  </si>
  <si>
    <t>ARQ-00056-2026</t>
  </si>
  <si>
    <t>CSC0907905</t>
  </si>
  <si>
    <t>CSC0907888</t>
  </si>
  <si>
    <t>ARQ-00057-2026</t>
  </si>
  <si>
    <t>CSC0910596</t>
  </si>
  <si>
    <t>CSC0915128</t>
  </si>
  <si>
    <t>ARQ-00065-2026</t>
  </si>
  <si>
    <t>CSC0904178</t>
  </si>
  <si>
    <t>GAD/SOP/CONT</t>
  </si>
  <si>
    <t>0105-2026</t>
  </si>
  <si>
    <t>CSC0898015</t>
  </si>
  <si>
    <t>000038/2026</t>
  </si>
  <si>
    <t>CSC0905085</t>
  </si>
  <si>
    <t>BA/SOP/MC</t>
  </si>
  <si>
    <t>ARQ-00054-2026</t>
  </si>
  <si>
    <t>CSC0905087</t>
  </si>
  <si>
    <t>CSC0905088</t>
  </si>
  <si>
    <t>CSC0905092</t>
  </si>
  <si>
    <t>CSC0905094</t>
  </si>
  <si>
    <t>CSC0905095</t>
  </si>
  <si>
    <t>CSC0905096</t>
  </si>
  <si>
    <t>CSC0905097</t>
  </si>
  <si>
    <t>CSC0905101</t>
  </si>
  <si>
    <t>CSC0906998</t>
  </si>
  <si>
    <t>000041/2026</t>
  </si>
  <si>
    <t>CSC0907007</t>
  </si>
  <si>
    <t>CSC0908603</t>
  </si>
  <si>
    <t>BA/ATP/OP-BA-C</t>
  </si>
  <si>
    <t>ARQ-00055-2026</t>
  </si>
  <si>
    <t>CSC0908609</t>
  </si>
  <si>
    <t>CSC0911892</t>
  </si>
  <si>
    <t>000045/2026</t>
  </si>
  <si>
    <t>CSC0911905</t>
  </si>
  <si>
    <t>CSC0911908</t>
  </si>
  <si>
    <t>CSC0911910</t>
  </si>
  <si>
    <t>CSC0914332</t>
  </si>
  <si>
    <t>ARQ-00064-2026</t>
  </si>
  <si>
    <t>26/09/2026 à 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</si>
</sst>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 applyAlignment="1">
      <alignment horizontal="left"/>
    </xf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 applyAlignment="1">
      <alignment horizontal="left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 applyAlignment="1">
      <alignment horizontal="left"/>
    </xf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2" fontId="0" fillId="0" borderId="0" xfId="0" applyNumberFormat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F89EA-1117-4148-B7AB-B18F63D0FC87}" name="ARM_PA_LT2" displayName="ARM_PA_LT2" ref="A1:K15" totalsRowShown="0" headerRowDxfId="12" headerRowBorderDxfId="14" tableBorderDxfId="15">
  <autoFilter ref="A1:K15" xr:uid="{322F89EA-1117-4148-B7AB-B18F63D0FC87}"/>
  <tableColumns count="11">
    <tableColumn id="1" xr3:uid="{4D6BB108-D3C3-477F-826B-4FF73A2D6A00}" name="Contrato-Reg."/>
    <tableColumn id="2" xr3:uid="{5AF53330-C21F-4CDF-805D-FB0F717E264B}" name="MEDIDAS CONTRATO"/>
    <tableColumn id="3" xr3:uid="{76B3B65B-2BC8-412A-9BCC-A0518F30831F}" name="Item"/>
    <tableColumn id="4" xr3:uid="{94A683F4-4431-4D90-916D-767B4BFF22AE}" name="QUAm-1"/>
    <tableColumn id="5" xr3:uid="{7826B44C-EBDB-4BE7-B6B5-B83334D5E31D}" name="QBm"/>
    <tableColumn id="6" xr3:uid="{799A77A4-A8B3-496D-BDBC-A59732A7010E}" name="QDm"/>
    <tableColumn id="7" xr3:uid="{FA865C7F-1DB5-4DC7-8106-119E5EF96BBA}" name="QNm"/>
    <tableColumn id="8" xr3:uid="{E41609B5-7427-466F-B7B2-C225A953B9A3}" name="QUAm"/>
    <tableColumn id="9" xr3:uid="{D94C2FA6-1E7E-42D9-B520-648BE7D07386}" name="FC" dataDxfId="13"/>
    <tableColumn id="10" xr3:uid="{D3E99E89-7BA9-4DF0-9EFA-56C7CD86D5D9}" name="QUA"/>
    <tableColumn id="11" xr3:uid="{25D7DAE6-9298-4FDC-8880-3D8A378098DE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6A582-9055-4F8D-8889-57E32FC822E4}" name="DADOS_PA_LT2" displayName="DADOS_PA_LT2" ref="A1:AF135" totalsRowShown="0" headerRowDxfId="5" headerRowBorderDxfId="10" tableBorderDxfId="11">
  <autoFilter ref="A1:AF135" xr:uid="{9956A582-9055-4F8D-8889-57E32FC822E4}"/>
  <tableColumns count="32">
    <tableColumn id="1" xr3:uid="{D186AEE6-8594-4AE1-8090-5734846ED126}" name="Contrato.1"/>
    <tableColumn id="2" xr3:uid="{46FE58B4-405F-4470-9446-C28FFF60E100}" name="Descrição da atividade"/>
    <tableColumn id="3" xr3:uid="{481FC8F2-2F0B-48D0-AA8B-ECA2CDFDBBE4}" name="Item"/>
    <tableColumn id="4" xr3:uid="{A3ECEE96-0DDB-4F86-8940-6F28B8FEBF00}" name="Aplicação"/>
    <tableColumn id="5" xr3:uid="{6AFA960E-C4A6-44F6-9EFF-3F6CDA628F3C}" name="Código da_x000a_solicitação"/>
    <tableColumn id="6" xr3:uid="{BEE703B3-1E22-472F-A312-1DD722BC3F52}" name="Data solicitação" dataDxfId="9"/>
    <tableColumn id="7" xr3:uid="{6AC52D07-C80A-47BE-8E97-DA394EB07D0D}" name="Gerência solicitante"/>
    <tableColumn id="8" xr3:uid="{6FB7A65D-18A9-473E-8432-589ECD46F6F0}" name="Qtd._x000a_Solicitada"/>
    <tableColumn id="9" xr3:uid="{0BC911E4-80EA-4C64-AE91-1675266BD532}" name="Código OS"/>
    <tableColumn id="10" xr3:uid="{BFFDF4D4-C84B-4DC1-ABC1-4E8E0BB81F38}" name="D. abertura" dataDxfId="8"/>
    <tableColumn id="11" xr3:uid="{1519A494-8B1B-4E4D-B8BD-CFE8BD326371}" name="D. fechamento" dataDxfId="7"/>
    <tableColumn id="12" xr3:uid="{D48F209E-B85E-49EE-802B-9BC46487CE53}" name="Prazo combinado" dataDxfId="6"/>
    <tableColumn id="13" xr3:uid="{515CF41A-0B7A-4165-9DC8-9C769AE7F5EE}" name="Qtd._x000a_Atendida"/>
    <tableColumn id="14" xr3:uid="{E79DBCDF-7F0F-4C45-9190-5B294B319426}" name="Agrupamento"/>
    <tableColumn id="15" xr3:uid="{B184DE2E-BC73-4C7E-B150-8424F10177B2}" name="Classificação"/>
    <tableColumn id="16" xr3:uid="{16F9E500-B632-41F2-BAAA-93A196E7A32C}" name="FDM"/>
    <tableColumn id="17" xr3:uid="{297707AD-8A7A-414A-A3B4-F0A2F36B26B0}" name="Obs. Isenção"/>
    <tableColumn id="18" xr3:uid="{9B84D0B3-4BD8-4718-875E-F7722F6CD8DA}" name="FA"/>
    <tableColumn id="19" xr3:uid="{29B66764-6EA8-44D7-86CE-5B1428510BB3}" name="Localidade - Origem"/>
    <tableColumn id="20" xr3:uid="{3E287E74-D372-40C6-83D7-2DCF4EFD7712}" name="Município - Origem"/>
    <tableColumn id="21" xr3:uid="{CF70CB90-4114-4BE6-AF55-714B3F9DC183}" name="UF - Origem"/>
    <tableColumn id="22" xr3:uid="{6F2B1047-5D1C-4CBF-B8F1-755D83823A09}" name="Localidade - Destino"/>
    <tableColumn id="23" xr3:uid="{2005CC4E-C4A6-41E0-9982-BCA03C04863F}" name="Município - Destino"/>
    <tableColumn id="24" xr3:uid="{9F374C6A-2E70-4C38-A157-0DFF49256994}" name="UF - Destino"/>
    <tableColumn id="25" xr3:uid="{D42B63A3-85F9-4FD2-A363-98C8A3ED4987}" name="KM Adicional"/>
    <tableColumn id="26" xr3:uid="{270025BB-5E3A-4425-972F-9364DFA82E81}" name="FC"/>
    <tableColumn id="27" xr3:uid="{E688AC39-BB55-43C3-AA07-88CF7EEDC031}" name="Unidade"/>
    <tableColumn id="28" xr3:uid="{9E2C056F-A176-40C2-AE79-523FB6C7CFD6}" name="Centro"/>
    <tableColumn id="29" xr3:uid="{89B33BCA-2054-496F-B1CF-87103BC282F7}" name="Código Centro"/>
    <tableColumn id="30" xr3:uid="{0A7DDE22-E9F2-41D1-8E6E-01842529BD7E}" name="Linha de serviço PPU"/>
    <tableColumn id="31" xr3:uid="{592E455E-1DAA-42CA-885E-B59C74E5D597}" name="QExec"/>
    <tableColumn id="32" xr3:uid="{D7B73DE4-A30C-4DED-ABF7-3078F9C67E78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5107D7-4692-4FC3-8BEF-44E7EDB64485}" name="FRETE_PA_LT2" displayName="FRETE_PA_LT2" ref="A1:R53" totalsRowShown="0" headerRowDxfId="0" headerRowBorderDxfId="3" tableBorderDxfId="4">
  <autoFilter ref="A1:R53" xr:uid="{7B5107D7-4692-4FC3-8BEF-44E7EDB64485}"/>
  <tableColumns count="18">
    <tableColumn id="1" xr3:uid="{F37787CB-538C-44AA-9AA5-BF4C12345F19}" name="Contrato.1"/>
    <tableColumn id="2" xr3:uid="{972361D1-85A1-47AF-B98A-0B3AEE2856F9}" name="Descrição da atividade"/>
    <tableColumn id="3" xr3:uid="{FC54EC95-174B-4551-91CE-D0F1225BB9DA}" name="Item"/>
    <tableColumn id="4" xr3:uid="{967E578D-F684-49C6-86E7-8DD3E0D2D147}" name="Data solicitação" dataDxfId="2"/>
    <tableColumn id="5" xr3:uid="{0CE16CE6-554B-4091-9BCD-FDEA0B76C5BD}" name="Gerência solicitante"/>
    <tableColumn id="6" xr3:uid="{19089677-FE35-4B1C-B16C-774EDC45BA75}" name="Qtd._x000a_Solicitada"/>
    <tableColumn id="7" xr3:uid="{1F264191-76D9-4A0D-8337-54987812499C}" name="D. fechamento" dataDxfId="1"/>
    <tableColumn id="8" xr3:uid="{0113F484-4A07-4B6B-B1FC-84A1FD4CF75F}" name="Localidade - Origem"/>
    <tableColumn id="9" xr3:uid="{0D5C542E-122B-4EA7-B1B6-6593D967B75A}" name="Município - Origem"/>
    <tableColumn id="10" xr3:uid="{3BF86560-5C93-40DD-88ED-F1D0305A7E01}" name="UF - Origem"/>
    <tableColumn id="11" xr3:uid="{CBCCC4BF-BCD9-48DC-9831-74A964D44D20}" name="Localidade - Destino"/>
    <tableColumn id="12" xr3:uid="{81B2A811-003A-4DA6-9CC3-20C3347729A4}" name="Município - Destino"/>
    <tableColumn id="13" xr3:uid="{14357700-CB90-40D2-A1BA-362485CC56F8}" name="UF - Destino"/>
    <tableColumn id="14" xr3:uid="{7B28A4DC-BDE3-422A-813A-6F0E82E651F1}" name="KM Adicional"/>
    <tableColumn id="15" xr3:uid="{D8DB6920-6C55-4F1B-B46A-CE226F19E755}" name="Unidade"/>
    <tableColumn id="16" xr3:uid="{75F1C0C8-761E-481D-B152-AC67CC91552A}" name="Centro"/>
    <tableColumn id="17" xr3:uid="{EB2BCEE7-BD85-4E7F-8808-5B76CC069B10}" name="Linha de serviço PPU"/>
    <tableColumn id="18" xr3:uid="{50797DA8-3129-4595-803D-E65ED434CC22}" name="QExecAgrupado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193B-0BD8-40D4-A044-B745CC2C491E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22.664062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8.77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74.19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342</v>
      </c>
      <c r="K7" s="33"/>
      <c r="L7" s="31"/>
      <c r="M7" s="34" t="s">
        <v>11</v>
      </c>
      <c r="N7" s="35">
        <v>0.96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18</v>
      </c>
      <c r="D10" s="40" t="s">
        <v>19</v>
      </c>
      <c r="E10" s="41"/>
      <c r="F10" s="41"/>
      <c r="G10" s="41"/>
      <c r="H10" s="42"/>
      <c r="I10" s="43" t="s">
        <v>20</v>
      </c>
      <c r="J10" s="44" t="s">
        <v>21</v>
      </c>
      <c r="K10" s="44" t="s">
        <v>22</v>
      </c>
      <c r="L10" s="44" t="s">
        <v>23</v>
      </c>
      <c r="M10" s="45" t="s">
        <v>24</v>
      </c>
      <c r="N10" s="46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26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27</v>
      </c>
      <c r="E12" s="54" t="s">
        <v>28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29</v>
      </c>
      <c r="D13" s="63" t="s">
        <v>30</v>
      </c>
      <c r="E13" s="63" t="s">
        <v>31</v>
      </c>
      <c r="F13" s="63" t="s">
        <v>32</v>
      </c>
      <c r="G13" s="63" t="s">
        <v>33</v>
      </c>
      <c r="H13" s="64" t="s">
        <v>34</v>
      </c>
      <c r="I13" s="65" t="s">
        <v>35</v>
      </c>
      <c r="J13" s="66">
        <f>SUMIF(ARM_PA_LT2[Linha de serviço PPU], $D$12,ARM_PA_LT2[QUA])</f>
        <v>125874.38800000001</v>
      </c>
      <c r="K13" s="67">
        <f>J13*$N$5</f>
        <v>119580.6686</v>
      </c>
      <c r="L13" s="68">
        <v>0.9</v>
      </c>
      <c r="M13" s="69">
        <f>K13*L13</f>
        <v>107622.60174000001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103486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1917</v>
      </c>
      <c r="H14" s="76">
        <f>(D14-E14-F14)+G14</f>
        <v>105403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36</v>
      </c>
      <c r="E15" s="54" t="s">
        <v>37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38</v>
      </c>
      <c r="D16" s="63" t="s">
        <v>30</v>
      </c>
      <c r="E16" s="63" t="s">
        <v>31</v>
      </c>
      <c r="F16" s="63" t="s">
        <v>32</v>
      </c>
      <c r="G16" s="63" t="s">
        <v>33</v>
      </c>
      <c r="H16" s="64" t="s">
        <v>34</v>
      </c>
      <c r="I16" s="65" t="s">
        <v>35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630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39</v>
      </c>
      <c r="E18" s="54" t="s">
        <v>40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41</v>
      </c>
      <c r="D19" s="63" t="s">
        <v>30</v>
      </c>
      <c r="E19" s="63" t="s">
        <v>31</v>
      </c>
      <c r="F19" s="63" t="s">
        <v>32</v>
      </c>
      <c r="G19" s="63" t="s">
        <v>33</v>
      </c>
      <c r="H19" s="64" t="s">
        <v>34</v>
      </c>
      <c r="I19" s="65" t="s">
        <v>35</v>
      </c>
      <c r="J19" s="66">
        <f>SUMIF(ARM_PA_LT2[Linha de serviço PPU], D18,ARM_PA_LT2[QUA])</f>
        <v>1279.7198509596408</v>
      </c>
      <c r="K19" s="67">
        <f>J19*$N$5</f>
        <v>1215.7338584116587</v>
      </c>
      <c r="L19" s="68">
        <v>0.9</v>
      </c>
      <c r="M19" s="69">
        <f>K19*L19</f>
        <v>1094.1604725704929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2131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0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42</v>
      </c>
      <c r="E21" s="54" t="s">
        <v>43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44</v>
      </c>
      <c r="D22" s="63" t="s">
        <v>30</v>
      </c>
      <c r="E22" s="63" t="s">
        <v>31</v>
      </c>
      <c r="F22" s="63" t="s">
        <v>32</v>
      </c>
      <c r="G22" s="63" t="s">
        <v>33</v>
      </c>
      <c r="H22" s="64" t="s">
        <v>34</v>
      </c>
      <c r="I22" s="65" t="s">
        <v>35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45</v>
      </c>
      <c r="E24" s="54" t="s">
        <v>46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47</v>
      </c>
      <c r="D25" s="63" t="s">
        <v>30</v>
      </c>
      <c r="E25" s="63" t="s">
        <v>31</v>
      </c>
      <c r="F25" s="63" t="s">
        <v>32</v>
      </c>
      <c r="G25" s="63" t="s">
        <v>33</v>
      </c>
      <c r="H25" s="64" t="s">
        <v>34</v>
      </c>
      <c r="I25" s="65" t="s">
        <v>35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48</v>
      </c>
      <c r="E27" s="54" t="s">
        <v>49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50</v>
      </c>
      <c r="D28" s="63" t="s">
        <v>30</v>
      </c>
      <c r="E28" s="63" t="s">
        <v>31</v>
      </c>
      <c r="F28" s="63" t="s">
        <v>32</v>
      </c>
      <c r="G28" s="63" t="s">
        <v>33</v>
      </c>
      <c r="H28" s="64" t="s">
        <v>34</v>
      </c>
      <c r="I28" s="65" t="s">
        <v>35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51</v>
      </c>
      <c r="D30" s="90" t="s">
        <v>52</v>
      </c>
      <c r="E30" s="91" t="s">
        <v>53</v>
      </c>
      <c r="F30" s="91"/>
      <c r="G30" s="91"/>
      <c r="H30" s="92"/>
      <c r="I30" s="77" t="s">
        <v>54</v>
      </c>
      <c r="J30" s="93">
        <f>SUMIF(DADOS_PA_LT2[Linha de serviço PPU],D30,DADOS_PA_LT2[QExecAgrupado])</f>
        <v>9.07</v>
      </c>
      <c r="K30" s="79">
        <f>J30*$N$5</f>
        <v>8.6165000000000003</v>
      </c>
      <c r="L30" s="94">
        <v>50</v>
      </c>
      <c r="M30" s="81">
        <f>K30*L30</f>
        <v>430.82499999999999</v>
      </c>
      <c r="N30" s="95"/>
      <c r="Q30" s="4"/>
    </row>
    <row r="31" spans="1:17" ht="15" customHeight="1" x14ac:dyDescent="0.3">
      <c r="A31" s="1"/>
      <c r="B31" s="1"/>
      <c r="C31" s="96" t="s">
        <v>55</v>
      </c>
      <c r="D31" s="53" t="s">
        <v>56</v>
      </c>
      <c r="E31" s="55" t="s">
        <v>57</v>
      </c>
      <c r="F31" s="55"/>
      <c r="G31" s="55"/>
      <c r="H31" s="55"/>
      <c r="I31" s="97" t="s">
        <v>54</v>
      </c>
      <c r="J31" s="93">
        <f>SUMIF(DADOS_PA_LT2[Linha de serviço PPU],D31,DADOS_PA_LT2[QExecAgrupado])</f>
        <v>0</v>
      </c>
      <c r="K31" s="79">
        <f t="shared" ref="K31:K35" si="0">J31*$N$5</f>
        <v>0</v>
      </c>
      <c r="L31" s="94">
        <v>100</v>
      </c>
      <c r="M31" s="81">
        <f t="shared" ref="M31:M46" si="1">K31*L31</f>
        <v>0</v>
      </c>
      <c r="N31" s="95"/>
      <c r="Q31" s="4"/>
    </row>
    <row r="32" spans="1:17" ht="15" customHeight="1" x14ac:dyDescent="0.3">
      <c r="A32" s="1"/>
      <c r="B32" s="1"/>
      <c r="C32" s="96" t="s">
        <v>58</v>
      </c>
      <c r="D32" s="53" t="s">
        <v>59</v>
      </c>
      <c r="E32" s="55" t="s">
        <v>60</v>
      </c>
      <c r="F32" s="55"/>
      <c r="G32" s="55"/>
      <c r="H32" s="55"/>
      <c r="I32" s="97" t="s">
        <v>61</v>
      </c>
      <c r="J32" s="93">
        <f>SUM(DADOS_PA_LT2[KM Adicional])</f>
        <v>0</v>
      </c>
      <c r="K32" s="79">
        <f t="shared" si="0"/>
        <v>0</v>
      </c>
      <c r="L32" s="94">
        <v>1</v>
      </c>
      <c r="M32" s="81">
        <f t="shared" si="1"/>
        <v>0</v>
      </c>
      <c r="N32" s="95"/>
      <c r="Q32" s="4"/>
    </row>
    <row r="33" spans="1:17" ht="15" customHeight="1" x14ac:dyDescent="0.3">
      <c r="A33" s="1"/>
      <c r="B33" s="1"/>
      <c r="C33" s="96" t="s">
        <v>62</v>
      </c>
      <c r="D33" s="53" t="s">
        <v>63</v>
      </c>
      <c r="E33" s="98" t="s">
        <v>64</v>
      </c>
      <c r="F33" s="99"/>
      <c r="G33" s="99"/>
      <c r="H33" s="100"/>
      <c r="I33" s="97" t="s">
        <v>65</v>
      </c>
      <c r="J33" s="93">
        <f>SUMIF(DADOS_PA_LT2[Linha de serviço PPU],D33,DADOS_PA_LT2[QExecAgrupado])</f>
        <v>3</v>
      </c>
      <c r="K33" s="79">
        <f t="shared" si="0"/>
        <v>2.8499999999999996</v>
      </c>
      <c r="L33" s="94">
        <v>3</v>
      </c>
      <c r="M33" s="81">
        <f t="shared" si="1"/>
        <v>8.5499999999999989</v>
      </c>
      <c r="N33" s="95"/>
      <c r="Q33" s="4"/>
    </row>
    <row r="34" spans="1:17" ht="15" customHeight="1" x14ac:dyDescent="0.3">
      <c r="A34" s="1"/>
      <c r="B34" s="1"/>
      <c r="C34" s="96" t="s">
        <v>66</v>
      </c>
      <c r="D34" s="53" t="s">
        <v>67</v>
      </c>
      <c r="E34" s="98" t="s">
        <v>68</v>
      </c>
      <c r="F34" s="99"/>
      <c r="G34" s="99"/>
      <c r="H34" s="100"/>
      <c r="I34" s="97" t="s">
        <v>65</v>
      </c>
      <c r="J34" s="93">
        <f>SUMIF(DADOS_PA_LT2[Linha de serviço PPU],D34,DADOS_PA_LT2[QExecAgrupado])</f>
        <v>0</v>
      </c>
      <c r="K34" s="79">
        <f t="shared" si="0"/>
        <v>0</v>
      </c>
      <c r="L34" s="94">
        <v>3</v>
      </c>
      <c r="M34" s="81">
        <f t="shared" si="1"/>
        <v>0</v>
      </c>
      <c r="N34" s="101"/>
      <c r="Q34" s="4"/>
    </row>
    <row r="35" spans="1:17" ht="15" customHeight="1" x14ac:dyDescent="0.3">
      <c r="A35" s="1"/>
      <c r="B35" s="1"/>
      <c r="C35" s="96" t="s">
        <v>69</v>
      </c>
      <c r="D35" s="53" t="s">
        <v>70</v>
      </c>
      <c r="E35" s="98" t="s">
        <v>71</v>
      </c>
      <c r="F35" s="99"/>
      <c r="G35" s="99"/>
      <c r="H35" s="100"/>
      <c r="I35" s="97" t="s">
        <v>72</v>
      </c>
      <c r="J35" s="93">
        <f>SUMIF(DADOS_PA_LT2[Linha de serviço PPU],D35,DADOS_PA_LT2[QExecAgrupado])</f>
        <v>0</v>
      </c>
      <c r="K35" s="79">
        <f t="shared" si="0"/>
        <v>0</v>
      </c>
      <c r="L35" s="94">
        <v>100000</v>
      </c>
      <c r="M35" s="81">
        <f t="shared" si="1"/>
        <v>0</v>
      </c>
      <c r="N35" s="95"/>
      <c r="Q35" s="4"/>
    </row>
    <row r="36" spans="1:17" ht="15" customHeight="1" x14ac:dyDescent="0.3">
      <c r="A36" s="1"/>
      <c r="B36" s="1"/>
      <c r="C36" s="96" t="s">
        <v>73</v>
      </c>
      <c r="D36" s="53" t="s">
        <v>74</v>
      </c>
      <c r="E36" s="98" t="s">
        <v>75</v>
      </c>
      <c r="F36" s="99"/>
      <c r="G36" s="99"/>
      <c r="H36" s="100"/>
      <c r="I36" s="97" t="s">
        <v>35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81">
        <f t="shared" si="1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2" t="s">
        <v>76</v>
      </c>
      <c r="E37" s="41"/>
      <c r="F37" s="41"/>
      <c r="G37" s="41"/>
      <c r="H37" s="41"/>
      <c r="I37" s="103"/>
      <c r="J37" s="103"/>
      <c r="K37" s="103"/>
      <c r="L37" s="103"/>
      <c r="M37" s="103"/>
      <c r="N37" s="50"/>
      <c r="Q37" s="4"/>
    </row>
    <row r="38" spans="1:17" ht="15" customHeight="1" x14ac:dyDescent="0.3">
      <c r="A38" s="1"/>
      <c r="B38" s="1"/>
      <c r="C38" s="96" t="s">
        <v>77</v>
      </c>
      <c r="D38" s="104" t="s">
        <v>78</v>
      </c>
      <c r="E38" s="55" t="s">
        <v>79</v>
      </c>
      <c r="F38" s="55"/>
      <c r="G38" s="55"/>
      <c r="H38" s="55"/>
      <c r="I38" s="97" t="s">
        <v>80</v>
      </c>
      <c r="J38" s="93">
        <f>SUMIF(DADOS_PA_LT2[Linha de serviço PPU],D38,DADOS_PA_LT2[QExec])</f>
        <v>0</v>
      </c>
      <c r="K38" s="105">
        <f t="shared" ref="K38:K45" si="2">J38*$N$7</f>
        <v>0</v>
      </c>
      <c r="L38" s="94">
        <v>0.2</v>
      </c>
      <c r="M38" s="81">
        <f t="shared" si="1"/>
        <v>0</v>
      </c>
      <c r="N38" s="95"/>
      <c r="Q38" s="4"/>
    </row>
    <row r="39" spans="1:17" ht="15" customHeight="1" x14ac:dyDescent="0.3">
      <c r="A39" s="1"/>
      <c r="B39" s="1"/>
      <c r="C39" s="96" t="s">
        <v>81</v>
      </c>
      <c r="D39" s="106" t="s">
        <v>82</v>
      </c>
      <c r="E39" s="107" t="s">
        <v>83</v>
      </c>
      <c r="F39" s="107"/>
      <c r="G39" s="107"/>
      <c r="H39" s="107"/>
      <c r="I39" s="97" t="s">
        <v>35</v>
      </c>
      <c r="J39" s="93">
        <f>SUMIF(DADOS_PA_LT2[Linha de serviço PPU],D39,DADOS_PA_LT2[QExec])</f>
        <v>0</v>
      </c>
      <c r="K39" s="105">
        <f t="shared" si="2"/>
        <v>0</v>
      </c>
      <c r="L39" s="94">
        <v>10</v>
      </c>
      <c r="M39" s="81">
        <f t="shared" si="1"/>
        <v>0</v>
      </c>
      <c r="N39" s="95"/>
      <c r="Q39" s="4"/>
    </row>
    <row r="40" spans="1:17" ht="15" customHeight="1" x14ac:dyDescent="0.3">
      <c r="A40" s="1"/>
      <c r="B40" s="1"/>
      <c r="C40" s="96" t="s">
        <v>84</v>
      </c>
      <c r="D40" s="104" t="s">
        <v>85</v>
      </c>
      <c r="E40" s="55" t="s">
        <v>86</v>
      </c>
      <c r="F40" s="55"/>
      <c r="G40" s="55"/>
      <c r="H40" s="55"/>
      <c r="I40" s="97" t="s">
        <v>87</v>
      </c>
      <c r="J40" s="93">
        <f>SUMIF(DADOS_PA_LT2[Linha de serviço PPU],D40,DADOS_PA_LT2[QExec])</f>
        <v>0</v>
      </c>
      <c r="K40" s="105">
        <f t="shared" si="2"/>
        <v>0</v>
      </c>
      <c r="L40" s="94">
        <v>0.05</v>
      </c>
      <c r="M40" s="81">
        <f t="shared" si="1"/>
        <v>0</v>
      </c>
      <c r="N40" s="95"/>
      <c r="Q40" s="4"/>
    </row>
    <row r="41" spans="1:17" ht="15" customHeight="1" x14ac:dyDescent="0.3">
      <c r="A41" s="1"/>
      <c r="B41" s="1"/>
      <c r="C41" s="96" t="s">
        <v>88</v>
      </c>
      <c r="D41" s="104" t="s">
        <v>89</v>
      </c>
      <c r="E41" s="55" t="s">
        <v>90</v>
      </c>
      <c r="F41" s="55"/>
      <c r="G41" s="55"/>
      <c r="H41" s="55"/>
      <c r="I41" s="97" t="s">
        <v>87</v>
      </c>
      <c r="J41" s="93">
        <f>SUMIF(DADOS_PA_LT2[Linha de serviço PPU],D41,DADOS_PA_LT2[QExec])</f>
        <v>0</v>
      </c>
      <c r="K41" s="105">
        <f t="shared" si="2"/>
        <v>0</v>
      </c>
      <c r="L41" s="94">
        <v>0.05</v>
      </c>
      <c r="M41" s="81">
        <f t="shared" si="1"/>
        <v>0</v>
      </c>
      <c r="N41" s="95"/>
      <c r="Q41" s="4"/>
    </row>
    <row r="42" spans="1:17" ht="15" customHeight="1" x14ac:dyDescent="0.3">
      <c r="A42" s="1"/>
      <c r="B42" s="1"/>
      <c r="C42" s="96" t="s">
        <v>91</v>
      </c>
      <c r="D42" s="104" t="s">
        <v>92</v>
      </c>
      <c r="E42" s="55" t="s">
        <v>93</v>
      </c>
      <c r="F42" s="55"/>
      <c r="G42" s="55"/>
      <c r="H42" s="55"/>
      <c r="I42" s="97" t="s">
        <v>87</v>
      </c>
      <c r="J42" s="93">
        <f>SUMIF(DADOS_PA_LT2[Linha de serviço PPU],D42,DADOS_PA_LT2[QExec])</f>
        <v>16948</v>
      </c>
      <c r="K42" s="105">
        <f t="shared" si="2"/>
        <v>16270.08</v>
      </c>
      <c r="L42" s="94">
        <v>0.11</v>
      </c>
      <c r="M42" s="81">
        <f t="shared" si="1"/>
        <v>1789.7088000000001</v>
      </c>
      <c r="N42" s="95"/>
      <c r="Q42" s="4"/>
    </row>
    <row r="43" spans="1:17" ht="15" customHeight="1" x14ac:dyDescent="0.3">
      <c r="A43" s="1"/>
      <c r="B43" s="1"/>
      <c r="C43" s="96" t="s">
        <v>94</v>
      </c>
      <c r="D43" s="104" t="s">
        <v>95</v>
      </c>
      <c r="E43" s="55" t="s">
        <v>96</v>
      </c>
      <c r="F43" s="55"/>
      <c r="G43" s="55"/>
      <c r="H43" s="55"/>
      <c r="I43" s="97" t="s">
        <v>97</v>
      </c>
      <c r="J43" s="93">
        <f>SUMIF(DADOS_PA_LT2[Linha de serviço PPU],D43,DADOS_PA_LT2[QExec])</f>
        <v>42.800000000000004</v>
      </c>
      <c r="K43" s="105">
        <f t="shared" si="2"/>
        <v>41.088000000000001</v>
      </c>
      <c r="L43" s="94">
        <v>0.1</v>
      </c>
      <c r="M43" s="81">
        <f t="shared" si="1"/>
        <v>4.1088000000000005</v>
      </c>
      <c r="N43" s="95"/>
      <c r="Q43" s="4"/>
    </row>
    <row r="44" spans="1:17" ht="15" customHeight="1" x14ac:dyDescent="0.3">
      <c r="A44" s="1"/>
      <c r="B44" s="1"/>
      <c r="C44" s="96" t="s">
        <v>98</v>
      </c>
      <c r="D44" s="104" t="s">
        <v>99</v>
      </c>
      <c r="E44" s="55" t="s">
        <v>100</v>
      </c>
      <c r="F44" s="55"/>
      <c r="G44" s="55"/>
      <c r="H44" s="55"/>
      <c r="I44" s="97" t="s">
        <v>101</v>
      </c>
      <c r="J44" s="93">
        <f>SUMIF(DADOS_PA_LT2[Linha de serviço PPU],D44,DADOS_PA_LT2[QExec])</f>
        <v>0</v>
      </c>
      <c r="K44" s="105">
        <f t="shared" si="2"/>
        <v>0</v>
      </c>
      <c r="L44" s="94">
        <v>40</v>
      </c>
      <c r="M44" s="81">
        <f t="shared" si="1"/>
        <v>0</v>
      </c>
      <c r="N44" s="95"/>
      <c r="Q44" s="4"/>
    </row>
    <row r="45" spans="1:17" ht="15" customHeight="1" x14ac:dyDescent="0.3">
      <c r="A45" s="1"/>
      <c r="B45" s="1"/>
      <c r="C45" s="96" t="s">
        <v>102</v>
      </c>
      <c r="D45" s="104" t="s">
        <v>103</v>
      </c>
      <c r="E45" s="55" t="s">
        <v>104</v>
      </c>
      <c r="F45" s="55"/>
      <c r="G45" s="55"/>
      <c r="H45" s="55"/>
      <c r="I45" s="97" t="s">
        <v>101</v>
      </c>
      <c r="J45" s="93">
        <f>SUMIF(DADOS_PA_LT2[Linha de serviço PPU],D45,DADOS_PA_LT2[QExec])</f>
        <v>0</v>
      </c>
      <c r="K45" s="105">
        <f t="shared" si="2"/>
        <v>0</v>
      </c>
      <c r="L45" s="94">
        <v>40</v>
      </c>
      <c r="M45" s="81">
        <f t="shared" si="1"/>
        <v>0</v>
      </c>
      <c r="N45" s="95"/>
      <c r="Q45" s="4"/>
    </row>
    <row r="46" spans="1:17" ht="15" customHeight="1" x14ac:dyDescent="0.3">
      <c r="A46" s="1"/>
      <c r="B46" s="1"/>
      <c r="C46" s="96" t="s">
        <v>105</v>
      </c>
      <c r="D46" s="104" t="s">
        <v>106</v>
      </c>
      <c r="E46" s="55" t="s">
        <v>107</v>
      </c>
      <c r="F46" s="55"/>
      <c r="G46" s="55"/>
      <c r="H46" s="55"/>
      <c r="I46" s="97" t="s">
        <v>101</v>
      </c>
      <c r="J46" s="93">
        <f>SUMIF(DADOS_PA_LT2[Linha de serviço PPU],D46,DADOS_PA_LT2[QExec])</f>
        <v>0</v>
      </c>
      <c r="K46" s="105">
        <f>J46*$N$7</f>
        <v>0</v>
      </c>
      <c r="L46" s="94">
        <v>5</v>
      </c>
      <c r="M46" s="81">
        <f t="shared" si="1"/>
        <v>0</v>
      </c>
      <c r="N46" s="95"/>
      <c r="Q46" s="4"/>
    </row>
    <row r="47" spans="1:17" ht="30" customHeight="1" x14ac:dyDescent="0.3">
      <c r="A47" s="1"/>
      <c r="B47" s="1"/>
      <c r="C47" s="108" t="s">
        <v>108</v>
      </c>
      <c r="D47" s="109"/>
      <c r="E47" s="109"/>
      <c r="F47" s="109"/>
      <c r="G47" s="109"/>
      <c r="H47" s="109"/>
      <c r="I47" s="110"/>
      <c r="J47" s="111"/>
      <c r="K47" s="111"/>
      <c r="L47" s="111"/>
      <c r="M47" s="112">
        <f>SUM(M12:M46)</f>
        <v>111488.6048125705</v>
      </c>
      <c r="N47" s="95"/>
      <c r="Q47" s="4"/>
    </row>
    <row r="48" spans="1:17" ht="14.25" customHeight="1" x14ac:dyDescent="0.3">
      <c r="A48" s="1"/>
      <c r="B48" s="1"/>
      <c r="C48" s="113" t="s">
        <v>109</v>
      </c>
      <c r="D48" s="41"/>
      <c r="E48" s="41"/>
      <c r="F48" s="41"/>
      <c r="G48" s="41"/>
      <c r="H48" s="41"/>
      <c r="I48" s="42"/>
      <c r="J48" s="114" t="s">
        <v>110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5"/>
      <c r="D49" s="116"/>
      <c r="E49" s="116"/>
      <c r="F49" s="116"/>
      <c r="G49" s="116"/>
      <c r="H49" s="117"/>
      <c r="I49" s="118"/>
      <c r="J49" s="119" t="s">
        <v>111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0" t="s">
        <v>112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2"/>
      <c r="N52" s="3"/>
      <c r="Q52" s="4"/>
    </row>
    <row r="53" spans="1:17" ht="15.75" customHeight="1" x14ac:dyDescent="0.3">
      <c r="A53" s="1"/>
      <c r="B53" s="1"/>
      <c r="C53" s="2"/>
      <c r="D53" s="39" t="s">
        <v>113</v>
      </c>
      <c r="E53" s="39" t="s">
        <v>114</v>
      </c>
      <c r="F53" s="39" t="s">
        <v>115</v>
      </c>
      <c r="G53" s="39" t="s">
        <v>116</v>
      </c>
      <c r="H53" s="39"/>
      <c r="I53" s="39" t="s">
        <v>117</v>
      </c>
      <c r="J53" s="40" t="s">
        <v>118</v>
      </c>
      <c r="K53" s="42"/>
      <c r="L53" s="123"/>
      <c r="M53" s="124"/>
      <c r="N53" s="123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2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5"/>
      <c r="M55" s="122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2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2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2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2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2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2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2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2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2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2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2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2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2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2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2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2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2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2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2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2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2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2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2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2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2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2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2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2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2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2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2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2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2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2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2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2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2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2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2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2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2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2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2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2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C9D7-DB74-423E-9AD4-C68AF43FDAF0}">
  <dimension ref="A1:K15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22.109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12" bestFit="1" customWidth="1"/>
    <col min="11" max="11" width="20.88671875" customWidth="1"/>
  </cols>
  <sheetData>
    <row r="1" spans="1:11" ht="15" thickBot="1" x14ac:dyDescent="0.35">
      <c r="A1" s="129" t="s">
        <v>119</v>
      </c>
      <c r="B1" s="129" t="s">
        <v>120</v>
      </c>
      <c r="C1" s="129" t="s">
        <v>18</v>
      </c>
      <c r="D1" s="129" t="s">
        <v>30</v>
      </c>
      <c r="E1" s="129" t="s">
        <v>31</v>
      </c>
      <c r="F1" s="129" t="s">
        <v>32</v>
      </c>
      <c r="G1" s="129" t="s">
        <v>33</v>
      </c>
      <c r="H1" s="129" t="s">
        <v>34</v>
      </c>
      <c r="I1" s="129" t="s">
        <v>121</v>
      </c>
      <c r="J1" s="129" t="s">
        <v>122</v>
      </c>
      <c r="K1" s="129" t="s">
        <v>123</v>
      </c>
    </row>
    <row r="2" spans="1:11" x14ac:dyDescent="0.3">
      <c r="A2" s="126" t="s">
        <v>124</v>
      </c>
      <c r="B2" s="126" t="s">
        <v>125</v>
      </c>
      <c r="C2" s="126" t="s">
        <v>126</v>
      </c>
      <c r="D2" s="126">
        <v>5</v>
      </c>
      <c r="E2" s="126">
        <v>0</v>
      </c>
      <c r="F2" s="126">
        <v>0</v>
      </c>
      <c r="G2" s="126">
        <v>0</v>
      </c>
      <c r="H2" s="126">
        <v>5</v>
      </c>
      <c r="I2" s="127">
        <v>1.1319999999999999</v>
      </c>
      <c r="J2" s="126">
        <v>5.6599999999999993</v>
      </c>
      <c r="K2" s="126" t="s">
        <v>27</v>
      </c>
    </row>
    <row r="3" spans="1:11" x14ac:dyDescent="0.3">
      <c r="A3" t="s">
        <v>124</v>
      </c>
      <c r="B3" t="s">
        <v>127</v>
      </c>
      <c r="C3" t="s">
        <v>126</v>
      </c>
      <c r="D3">
        <v>9</v>
      </c>
      <c r="E3">
        <v>0</v>
      </c>
      <c r="F3">
        <v>0</v>
      </c>
      <c r="G3">
        <v>0</v>
      </c>
      <c r="H3">
        <v>9</v>
      </c>
      <c r="I3" s="128">
        <v>1.0780000000000001</v>
      </c>
      <c r="J3">
        <v>9.702</v>
      </c>
      <c r="K3" t="s">
        <v>27</v>
      </c>
    </row>
    <row r="4" spans="1:11" x14ac:dyDescent="0.3">
      <c r="A4" s="126" t="s">
        <v>124</v>
      </c>
      <c r="B4" s="126" t="s">
        <v>128</v>
      </c>
      <c r="C4" s="126" t="s">
        <v>126</v>
      </c>
      <c r="D4" s="126">
        <v>20</v>
      </c>
      <c r="E4" s="126">
        <v>0</v>
      </c>
      <c r="F4" s="126">
        <v>0</v>
      </c>
      <c r="G4" s="126">
        <v>0</v>
      </c>
      <c r="H4" s="126">
        <v>20</v>
      </c>
      <c r="I4" s="127">
        <v>1.181</v>
      </c>
      <c r="J4" s="126">
        <v>23.62</v>
      </c>
      <c r="K4" s="126" t="s">
        <v>27</v>
      </c>
    </row>
    <row r="5" spans="1:11" x14ac:dyDescent="0.3">
      <c r="A5" t="s">
        <v>124</v>
      </c>
      <c r="B5" t="s">
        <v>129</v>
      </c>
      <c r="C5" t="s">
        <v>126</v>
      </c>
      <c r="D5">
        <v>11120</v>
      </c>
      <c r="E5">
        <v>0</v>
      </c>
      <c r="F5">
        <v>0</v>
      </c>
      <c r="G5">
        <v>0</v>
      </c>
      <c r="H5">
        <v>11120</v>
      </c>
      <c r="I5" s="128">
        <v>1.1339999999999999</v>
      </c>
      <c r="J5">
        <v>12610.079999999998</v>
      </c>
      <c r="K5" t="s">
        <v>27</v>
      </c>
    </row>
    <row r="6" spans="1:11" x14ac:dyDescent="0.3">
      <c r="A6" s="126" t="s">
        <v>124</v>
      </c>
      <c r="B6" s="126" t="s">
        <v>130</v>
      </c>
      <c r="C6" s="126" t="s">
        <v>126</v>
      </c>
      <c r="D6" s="126">
        <v>2561</v>
      </c>
      <c r="E6" s="126">
        <v>0</v>
      </c>
      <c r="F6" s="126">
        <v>0</v>
      </c>
      <c r="G6" s="126">
        <v>0</v>
      </c>
      <c r="H6" s="126">
        <v>2561</v>
      </c>
      <c r="I6" s="127">
        <v>1.1419999999999999</v>
      </c>
      <c r="J6" s="126">
        <v>2924.6619999999998</v>
      </c>
      <c r="K6" s="126" t="s">
        <v>27</v>
      </c>
    </row>
    <row r="7" spans="1:11" x14ac:dyDescent="0.3">
      <c r="A7" t="s">
        <v>124</v>
      </c>
      <c r="B7" t="s">
        <v>131</v>
      </c>
      <c r="C7" t="s">
        <v>126</v>
      </c>
      <c r="D7">
        <v>89769</v>
      </c>
      <c r="E7">
        <v>0</v>
      </c>
      <c r="F7">
        <v>0</v>
      </c>
      <c r="G7">
        <v>1917</v>
      </c>
      <c r="H7">
        <v>91686</v>
      </c>
      <c r="I7" s="128">
        <v>1.2030000000000001</v>
      </c>
      <c r="J7">
        <v>110298.258</v>
      </c>
      <c r="K7" t="s">
        <v>27</v>
      </c>
    </row>
    <row r="8" spans="1:11" x14ac:dyDescent="0.3">
      <c r="A8" s="126" t="s">
        <v>124</v>
      </c>
      <c r="B8" s="126" t="s">
        <v>132</v>
      </c>
      <c r="C8" s="126" t="s">
        <v>126</v>
      </c>
      <c r="D8" s="126">
        <v>2</v>
      </c>
      <c r="E8" s="126">
        <v>0</v>
      </c>
      <c r="F8" s="126">
        <v>0</v>
      </c>
      <c r="G8" s="126">
        <v>0</v>
      </c>
      <c r="H8" s="126">
        <v>2</v>
      </c>
      <c r="I8" s="127">
        <v>1.2030000000000001</v>
      </c>
      <c r="J8" s="126">
        <v>2.4060000000000001</v>
      </c>
      <c r="K8" s="126" t="s">
        <v>27</v>
      </c>
    </row>
    <row r="9" spans="1:11" x14ac:dyDescent="0.3">
      <c r="A9" t="s">
        <v>124</v>
      </c>
      <c r="B9" t="s">
        <v>133</v>
      </c>
      <c r="C9" t="s">
        <v>134</v>
      </c>
      <c r="D9">
        <v>630</v>
      </c>
      <c r="E9">
        <v>0</v>
      </c>
      <c r="F9">
        <v>0</v>
      </c>
      <c r="G9">
        <v>0</v>
      </c>
      <c r="H9">
        <v>630</v>
      </c>
      <c r="I9" s="128">
        <v>1</v>
      </c>
      <c r="J9">
        <v>630</v>
      </c>
      <c r="K9" t="s">
        <v>36</v>
      </c>
    </row>
    <row r="10" spans="1:11" x14ac:dyDescent="0.3">
      <c r="A10" s="126" t="s">
        <v>124</v>
      </c>
      <c r="B10" s="126" t="s">
        <v>135</v>
      </c>
      <c r="C10" s="126" t="s">
        <v>134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7">
        <v>0.93014705882352944</v>
      </c>
      <c r="J10" s="126">
        <v>0</v>
      </c>
      <c r="K10" s="126" t="s">
        <v>36</v>
      </c>
    </row>
    <row r="11" spans="1:11" x14ac:dyDescent="0.3">
      <c r="A11" t="s">
        <v>124</v>
      </c>
      <c r="B11" t="s">
        <v>136</v>
      </c>
      <c r="C11" t="s">
        <v>137</v>
      </c>
      <c r="D11">
        <v>1135</v>
      </c>
      <c r="E11">
        <v>0</v>
      </c>
      <c r="F11">
        <v>0</v>
      </c>
      <c r="G11">
        <v>0</v>
      </c>
      <c r="H11">
        <v>1135</v>
      </c>
      <c r="I11" s="128">
        <v>0.24999411036523553</v>
      </c>
      <c r="J11">
        <v>283.74331526454233</v>
      </c>
      <c r="K11" t="s">
        <v>39</v>
      </c>
    </row>
    <row r="12" spans="1:11" x14ac:dyDescent="0.3">
      <c r="A12" s="126" t="s">
        <v>124</v>
      </c>
      <c r="B12" s="126" t="s">
        <v>138</v>
      </c>
      <c r="C12" s="126" t="s">
        <v>137</v>
      </c>
      <c r="D12" s="126">
        <v>996</v>
      </c>
      <c r="E12" s="126">
        <v>0</v>
      </c>
      <c r="F12" s="126">
        <v>0</v>
      </c>
      <c r="G12" s="126">
        <v>0</v>
      </c>
      <c r="H12" s="126">
        <v>996</v>
      </c>
      <c r="I12" s="127">
        <v>0.99997644146094211</v>
      </c>
      <c r="J12" s="126">
        <v>995.97653569509839</v>
      </c>
      <c r="K12" s="126" t="s">
        <v>39</v>
      </c>
    </row>
    <row r="13" spans="1:11" x14ac:dyDescent="0.3">
      <c r="A13" t="s">
        <v>124</v>
      </c>
      <c r="B13" t="s">
        <v>139</v>
      </c>
      <c r="C13" t="s">
        <v>137</v>
      </c>
      <c r="D13">
        <v>0</v>
      </c>
      <c r="E13">
        <v>0</v>
      </c>
      <c r="F13">
        <v>0</v>
      </c>
      <c r="G13">
        <v>0</v>
      </c>
      <c r="H13">
        <v>0</v>
      </c>
      <c r="I13" s="128">
        <v>1.0249758524974657</v>
      </c>
      <c r="J13">
        <v>0</v>
      </c>
      <c r="K13" t="s">
        <v>39</v>
      </c>
    </row>
    <row r="14" spans="1:11" x14ac:dyDescent="0.3">
      <c r="A14" s="126" t="s">
        <v>124</v>
      </c>
      <c r="B14" s="126" t="s">
        <v>140</v>
      </c>
      <c r="C14" s="126" t="s">
        <v>137</v>
      </c>
      <c r="D14" s="126">
        <v>0</v>
      </c>
      <c r="E14" s="126">
        <v>0</v>
      </c>
      <c r="F14" s="126">
        <v>0</v>
      </c>
      <c r="G14" s="126">
        <v>0</v>
      </c>
      <c r="H14" s="126">
        <v>0</v>
      </c>
      <c r="I14" s="127">
        <v>1.0833078115826873</v>
      </c>
      <c r="J14" s="126">
        <v>0</v>
      </c>
      <c r="K14" s="126" t="s">
        <v>39</v>
      </c>
    </row>
    <row r="15" spans="1:11" x14ac:dyDescent="0.3">
      <c r="A15" s="130" t="s">
        <v>124</v>
      </c>
      <c r="B15" s="130" t="s">
        <v>141</v>
      </c>
      <c r="C15" s="130" t="s">
        <v>137</v>
      </c>
      <c r="D15" s="130">
        <v>0</v>
      </c>
      <c r="E15" s="130">
        <v>0</v>
      </c>
      <c r="F15" s="130">
        <v>0</v>
      </c>
      <c r="G15" s="130">
        <v>0</v>
      </c>
      <c r="H15" s="130">
        <v>0</v>
      </c>
      <c r="I15" s="131">
        <v>1.0499752635339892</v>
      </c>
      <c r="J15" s="130">
        <v>0</v>
      </c>
      <c r="K15" s="130" t="s">
        <v>39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F571-381E-461A-BA68-B5206F8EA29C}">
  <dimension ref="A1:AF135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20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27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142</v>
      </c>
      <c r="B1" s="129" t="s">
        <v>19</v>
      </c>
      <c r="C1" s="129" t="s">
        <v>18</v>
      </c>
      <c r="D1" s="129" t="s">
        <v>143</v>
      </c>
      <c r="E1" s="129" t="s">
        <v>144</v>
      </c>
      <c r="F1" s="129" t="s">
        <v>145</v>
      </c>
      <c r="G1" s="129" t="s">
        <v>146</v>
      </c>
      <c r="H1" s="129" t="s">
        <v>147</v>
      </c>
      <c r="I1" s="129" t="s">
        <v>148</v>
      </c>
      <c r="J1" s="129" t="s">
        <v>149</v>
      </c>
      <c r="K1" s="129" t="s">
        <v>150</v>
      </c>
      <c r="L1" s="129" t="s">
        <v>151</v>
      </c>
      <c r="M1" s="129" t="s">
        <v>152</v>
      </c>
      <c r="N1" s="129" t="s">
        <v>153</v>
      </c>
      <c r="O1" s="129" t="s">
        <v>154</v>
      </c>
      <c r="P1" s="129" t="s">
        <v>155</v>
      </c>
      <c r="Q1" s="129" t="s">
        <v>156</v>
      </c>
      <c r="R1" s="129" t="s">
        <v>157</v>
      </c>
      <c r="S1" s="129" t="s">
        <v>158</v>
      </c>
      <c r="T1" s="129" t="s">
        <v>159</v>
      </c>
      <c r="U1" s="129" t="s">
        <v>160</v>
      </c>
      <c r="V1" s="129" t="s">
        <v>161</v>
      </c>
      <c r="W1" s="129" t="s">
        <v>162</v>
      </c>
      <c r="X1" s="129" t="s">
        <v>163</v>
      </c>
      <c r="Y1" s="129" t="s">
        <v>164</v>
      </c>
      <c r="Z1" s="129" t="s">
        <v>121</v>
      </c>
      <c r="AA1" s="129" t="s">
        <v>20</v>
      </c>
      <c r="AB1" s="129" t="s">
        <v>165</v>
      </c>
      <c r="AC1" s="129" t="s">
        <v>166</v>
      </c>
      <c r="AD1" s="129" t="s">
        <v>123</v>
      </c>
      <c r="AE1" s="129" t="s">
        <v>21</v>
      </c>
      <c r="AF1" s="129" t="s">
        <v>167</v>
      </c>
    </row>
    <row r="2" spans="1:32" x14ac:dyDescent="0.3">
      <c r="A2" s="126" t="s">
        <v>124</v>
      </c>
      <c r="B2" s="126" t="s">
        <v>168</v>
      </c>
      <c r="C2" s="126" t="s">
        <v>169</v>
      </c>
      <c r="D2" s="126" t="s">
        <v>170</v>
      </c>
      <c r="E2" s="126" t="s">
        <v>171</v>
      </c>
      <c r="F2" s="132">
        <v>46309.413865740738</v>
      </c>
      <c r="G2" s="126" t="s">
        <v>172</v>
      </c>
      <c r="H2" s="126">
        <v>1</v>
      </c>
      <c r="I2" s="126" t="s">
        <v>173</v>
      </c>
      <c r="J2" s="132">
        <v>46315.603900462964</v>
      </c>
      <c r="K2" s="132">
        <v>46318.584722222222</v>
      </c>
      <c r="L2" s="132"/>
      <c r="M2" s="126">
        <v>1</v>
      </c>
      <c r="N2" s="126"/>
      <c r="O2" s="126" t="s">
        <v>174</v>
      </c>
      <c r="P2" s="126" t="s">
        <v>175</v>
      </c>
      <c r="Q2" s="126"/>
      <c r="R2" s="126"/>
      <c r="S2" s="126" t="s">
        <v>176</v>
      </c>
      <c r="T2" s="126" t="s">
        <v>177</v>
      </c>
      <c r="U2" s="126" t="s">
        <v>178</v>
      </c>
      <c r="V2" s="126" t="s">
        <v>124</v>
      </c>
      <c r="W2" s="126" t="s">
        <v>179</v>
      </c>
      <c r="X2" s="126" t="s">
        <v>178</v>
      </c>
      <c r="Y2" s="126">
        <v>0</v>
      </c>
      <c r="Z2" s="126"/>
      <c r="AA2" s="126" t="s">
        <v>35</v>
      </c>
      <c r="AB2" s="126" t="s">
        <v>180</v>
      </c>
      <c r="AC2" s="126">
        <v>2011</v>
      </c>
      <c r="AD2" s="126" t="s">
        <v>52</v>
      </c>
      <c r="AE2" s="126">
        <v>1</v>
      </c>
      <c r="AF2" s="126">
        <v>1</v>
      </c>
    </row>
    <row r="3" spans="1:32" x14ac:dyDescent="0.3">
      <c r="A3" t="s">
        <v>124</v>
      </c>
      <c r="B3" t="s">
        <v>181</v>
      </c>
      <c r="C3" t="s">
        <v>182</v>
      </c>
      <c r="D3" t="s">
        <v>170</v>
      </c>
      <c r="E3" t="s">
        <v>183</v>
      </c>
      <c r="F3" s="133">
        <v>46302.567847222221</v>
      </c>
      <c r="G3" t="s">
        <v>172</v>
      </c>
      <c r="H3">
        <v>1</v>
      </c>
      <c r="I3" t="s">
        <v>184</v>
      </c>
      <c r="J3" s="133">
        <v>46303.428472222222</v>
      </c>
      <c r="K3" s="133">
        <v>46308.589583333334</v>
      </c>
      <c r="L3" s="133"/>
      <c r="M3">
        <v>1</v>
      </c>
      <c r="O3" t="s">
        <v>174</v>
      </c>
      <c r="P3" t="s">
        <v>175</v>
      </c>
      <c r="S3" t="s">
        <v>185</v>
      </c>
      <c r="T3" t="s">
        <v>186</v>
      </c>
      <c r="U3" t="s">
        <v>187</v>
      </c>
      <c r="V3" t="s">
        <v>188</v>
      </c>
      <c r="W3" t="s">
        <v>188</v>
      </c>
      <c r="X3" t="s">
        <v>188</v>
      </c>
      <c r="AA3" t="s">
        <v>189</v>
      </c>
      <c r="AB3" t="s">
        <v>185</v>
      </c>
      <c r="AD3" t="s">
        <v>63</v>
      </c>
      <c r="AE3">
        <v>1</v>
      </c>
      <c r="AF3">
        <v>1</v>
      </c>
    </row>
    <row r="4" spans="1:32" x14ac:dyDescent="0.3">
      <c r="A4" s="126" t="s">
        <v>124</v>
      </c>
      <c r="B4" s="126" t="s">
        <v>190</v>
      </c>
      <c r="C4" s="126" t="s">
        <v>126</v>
      </c>
      <c r="D4" s="126" t="s">
        <v>170</v>
      </c>
      <c r="E4" s="126" t="s">
        <v>191</v>
      </c>
      <c r="F4" s="132">
        <v>46309.340717592589</v>
      </c>
      <c r="G4" s="126" t="s">
        <v>192</v>
      </c>
      <c r="H4" s="126">
        <v>9</v>
      </c>
      <c r="I4" s="126" t="s">
        <v>193</v>
      </c>
      <c r="J4" s="132">
        <v>46309.621527777781</v>
      </c>
      <c r="K4" s="132">
        <v>46315.506944444445</v>
      </c>
      <c r="L4" s="132"/>
      <c r="M4" s="126">
        <v>9</v>
      </c>
      <c r="N4" s="126"/>
      <c r="O4" s="126" t="s">
        <v>174</v>
      </c>
      <c r="P4" s="126" t="s">
        <v>175</v>
      </c>
      <c r="Q4" s="126"/>
      <c r="R4" s="126"/>
      <c r="S4" s="126" t="s">
        <v>185</v>
      </c>
      <c r="T4" s="126" t="s">
        <v>186</v>
      </c>
      <c r="U4" s="126" t="s">
        <v>187</v>
      </c>
      <c r="V4" s="126" t="s">
        <v>124</v>
      </c>
      <c r="W4" s="126" t="s">
        <v>179</v>
      </c>
      <c r="X4" s="126" t="s">
        <v>178</v>
      </c>
      <c r="Y4" s="126"/>
      <c r="Z4" s="126"/>
      <c r="AA4" s="126" t="s">
        <v>35</v>
      </c>
      <c r="AB4" s="126" t="s">
        <v>185</v>
      </c>
      <c r="AC4" s="126"/>
      <c r="AD4" s="126" t="s">
        <v>52</v>
      </c>
      <c r="AE4" s="126">
        <v>1</v>
      </c>
      <c r="AF4" s="126">
        <v>1</v>
      </c>
    </row>
    <row r="5" spans="1:32" x14ac:dyDescent="0.3">
      <c r="A5" t="s">
        <v>124</v>
      </c>
      <c r="B5" t="s">
        <v>194</v>
      </c>
      <c r="C5" t="s">
        <v>195</v>
      </c>
      <c r="D5" t="s">
        <v>170</v>
      </c>
      <c r="E5" t="s">
        <v>196</v>
      </c>
      <c r="F5" s="133">
        <v>46316.630555555559</v>
      </c>
      <c r="G5" t="s">
        <v>197</v>
      </c>
      <c r="H5">
        <v>1</v>
      </c>
      <c r="I5" t="s">
        <v>198</v>
      </c>
      <c r="J5" s="133">
        <v>46317.484027777777</v>
      </c>
      <c r="K5" s="133">
        <v>46317.603472222225</v>
      </c>
      <c r="L5" s="133">
        <v>46294.506249999999</v>
      </c>
      <c r="M5">
        <v>1</v>
      </c>
      <c r="O5" t="s">
        <v>174</v>
      </c>
      <c r="P5" t="s">
        <v>175</v>
      </c>
      <c r="S5" t="s">
        <v>176</v>
      </c>
      <c r="T5" t="s">
        <v>177</v>
      </c>
      <c r="U5" t="s">
        <v>178</v>
      </c>
      <c r="V5" t="s">
        <v>188</v>
      </c>
      <c r="W5" t="s">
        <v>188</v>
      </c>
      <c r="X5" t="s">
        <v>188</v>
      </c>
      <c r="AA5" t="s">
        <v>199</v>
      </c>
      <c r="AB5" t="s">
        <v>180</v>
      </c>
      <c r="AC5">
        <v>2011</v>
      </c>
      <c r="AD5" t="s">
        <v>95</v>
      </c>
      <c r="AE5">
        <v>1</v>
      </c>
      <c r="AF5">
        <v>1</v>
      </c>
    </row>
    <row r="6" spans="1:32" x14ac:dyDescent="0.3">
      <c r="A6" s="126" t="s">
        <v>124</v>
      </c>
      <c r="B6" s="126" t="s">
        <v>194</v>
      </c>
      <c r="C6" s="126" t="s">
        <v>195</v>
      </c>
      <c r="D6" s="126" t="s">
        <v>170</v>
      </c>
      <c r="E6" s="126" t="s">
        <v>200</v>
      </c>
      <c r="F6" s="132">
        <v>46302.606249999997</v>
      </c>
      <c r="G6" s="126" t="s">
        <v>201</v>
      </c>
      <c r="H6" s="126">
        <v>1</v>
      </c>
      <c r="I6" s="126" t="s">
        <v>202</v>
      </c>
      <c r="J6" s="132">
        <v>46302.662499999999</v>
      </c>
      <c r="K6" s="132">
        <v>46304.631944444445</v>
      </c>
      <c r="L6" s="132">
        <v>46294.506249999999</v>
      </c>
      <c r="M6" s="126">
        <v>1</v>
      </c>
      <c r="N6" s="126"/>
      <c r="O6" s="126" t="s">
        <v>174</v>
      </c>
      <c r="P6" s="126" t="s">
        <v>175</v>
      </c>
      <c r="Q6" s="126"/>
      <c r="R6" s="126"/>
      <c r="S6" s="126" t="s">
        <v>176</v>
      </c>
      <c r="T6" s="126" t="s">
        <v>177</v>
      </c>
      <c r="U6" s="126" t="s">
        <v>178</v>
      </c>
      <c r="V6" s="126" t="s">
        <v>188</v>
      </c>
      <c r="W6" s="126" t="s">
        <v>188</v>
      </c>
      <c r="X6" s="126" t="s">
        <v>188</v>
      </c>
      <c r="Y6" s="126"/>
      <c r="Z6" s="126"/>
      <c r="AA6" s="126" t="s">
        <v>199</v>
      </c>
      <c r="AB6" s="126" t="s">
        <v>180</v>
      </c>
      <c r="AC6" s="126">
        <v>2011</v>
      </c>
      <c r="AD6" s="126" t="s">
        <v>95</v>
      </c>
      <c r="AE6" s="126">
        <v>1</v>
      </c>
      <c r="AF6" s="126">
        <v>1.64</v>
      </c>
    </row>
    <row r="7" spans="1:32" x14ac:dyDescent="0.3">
      <c r="A7" t="s">
        <v>124</v>
      </c>
      <c r="B7" t="s">
        <v>203</v>
      </c>
      <c r="C7" t="s">
        <v>204</v>
      </c>
      <c r="D7" t="s">
        <v>170</v>
      </c>
      <c r="E7" t="s">
        <v>200</v>
      </c>
      <c r="F7" s="133">
        <v>46302.606249999997</v>
      </c>
      <c r="G7" t="s">
        <v>201</v>
      </c>
      <c r="H7">
        <v>1224</v>
      </c>
      <c r="I7" t="s">
        <v>202</v>
      </c>
      <c r="J7" s="133">
        <v>46302.662499999999</v>
      </c>
      <c r="K7" s="133">
        <v>46304.631944444445</v>
      </c>
      <c r="L7" s="133"/>
      <c r="M7">
        <v>1224</v>
      </c>
      <c r="S7" t="s">
        <v>176</v>
      </c>
      <c r="T7" t="s">
        <v>177</v>
      </c>
      <c r="U7" t="s">
        <v>178</v>
      </c>
      <c r="V7" t="s">
        <v>188</v>
      </c>
      <c r="W7" t="s">
        <v>188</v>
      </c>
      <c r="X7" t="s">
        <v>188</v>
      </c>
      <c r="Z7">
        <v>1</v>
      </c>
      <c r="AA7" t="s">
        <v>87</v>
      </c>
      <c r="AB7" t="s">
        <v>180</v>
      </c>
      <c r="AC7">
        <v>2011</v>
      </c>
      <c r="AD7" t="s">
        <v>92</v>
      </c>
      <c r="AE7">
        <v>1224</v>
      </c>
      <c r="AF7">
        <v>1002.6</v>
      </c>
    </row>
    <row r="8" spans="1:32" x14ac:dyDescent="0.3">
      <c r="A8" s="126" t="s">
        <v>124</v>
      </c>
      <c r="B8" s="126" t="s">
        <v>194</v>
      </c>
      <c r="C8" s="126" t="s">
        <v>195</v>
      </c>
      <c r="D8" s="126" t="s">
        <v>170</v>
      </c>
      <c r="E8" s="126" t="s">
        <v>200</v>
      </c>
      <c r="F8" s="132">
        <v>46302.606249999997</v>
      </c>
      <c r="G8" s="126" t="s">
        <v>201</v>
      </c>
      <c r="H8" s="126">
        <v>17</v>
      </c>
      <c r="I8" s="126" t="s">
        <v>202</v>
      </c>
      <c r="J8" s="132">
        <v>46302.662499999999</v>
      </c>
      <c r="K8" s="132">
        <v>46304.631944444445</v>
      </c>
      <c r="L8" s="132">
        <v>46294.506249999999</v>
      </c>
      <c r="M8" s="126">
        <v>17</v>
      </c>
      <c r="N8" s="126"/>
      <c r="O8" s="126" t="s">
        <v>205</v>
      </c>
      <c r="P8" s="126"/>
      <c r="Q8" s="126"/>
      <c r="R8" s="126"/>
      <c r="S8" s="126" t="s">
        <v>176</v>
      </c>
      <c r="T8" s="126" t="s">
        <v>177</v>
      </c>
      <c r="U8" s="126" t="s">
        <v>178</v>
      </c>
      <c r="V8" s="126" t="s">
        <v>188</v>
      </c>
      <c r="W8" s="126" t="s">
        <v>188</v>
      </c>
      <c r="X8" s="126" t="s">
        <v>188</v>
      </c>
      <c r="Y8" s="126"/>
      <c r="Z8" s="126"/>
      <c r="AA8" s="126" t="s">
        <v>199</v>
      </c>
      <c r="AB8" s="126" t="s">
        <v>180</v>
      </c>
      <c r="AC8" s="126">
        <v>2011</v>
      </c>
      <c r="AD8" s="126" t="s">
        <v>95</v>
      </c>
      <c r="AE8" s="126">
        <v>1.7</v>
      </c>
      <c r="AF8" s="126"/>
    </row>
    <row r="9" spans="1:32" x14ac:dyDescent="0.3">
      <c r="A9" t="s">
        <v>124</v>
      </c>
      <c r="B9" t="s">
        <v>203</v>
      </c>
      <c r="C9" t="s">
        <v>204</v>
      </c>
      <c r="D9" t="s">
        <v>170</v>
      </c>
      <c r="E9" t="s">
        <v>200</v>
      </c>
      <c r="F9" s="133">
        <v>46302.606249999997</v>
      </c>
      <c r="G9" t="s">
        <v>201</v>
      </c>
      <c r="H9">
        <v>2939</v>
      </c>
      <c r="I9" t="s">
        <v>202</v>
      </c>
      <c r="J9" s="133">
        <v>46302.662499999999</v>
      </c>
      <c r="K9" s="133">
        <v>46304.631944444445</v>
      </c>
      <c r="L9" s="133"/>
      <c r="M9">
        <v>2939</v>
      </c>
      <c r="O9" t="s">
        <v>205</v>
      </c>
      <c r="S9" t="s">
        <v>176</v>
      </c>
      <c r="T9" t="s">
        <v>177</v>
      </c>
      <c r="U9" t="s">
        <v>178</v>
      </c>
      <c r="V9" t="s">
        <v>188</v>
      </c>
      <c r="W9" t="s">
        <v>188</v>
      </c>
      <c r="X9" t="s">
        <v>188</v>
      </c>
      <c r="Z9">
        <v>1</v>
      </c>
      <c r="AA9" t="s">
        <v>87</v>
      </c>
      <c r="AB9" t="s">
        <v>180</v>
      </c>
      <c r="AC9">
        <v>2011</v>
      </c>
      <c r="AD9" t="s">
        <v>92</v>
      </c>
      <c r="AE9">
        <v>2939</v>
      </c>
    </row>
    <row r="10" spans="1:32" x14ac:dyDescent="0.3">
      <c r="A10" s="126" t="s">
        <v>124</v>
      </c>
      <c r="B10" s="126" t="s">
        <v>203</v>
      </c>
      <c r="C10" s="126" t="s">
        <v>206</v>
      </c>
      <c r="D10" s="126" t="s">
        <v>170</v>
      </c>
      <c r="E10" s="126" t="s">
        <v>200</v>
      </c>
      <c r="F10" s="132">
        <v>46302.606249999997</v>
      </c>
      <c r="G10" s="126" t="s">
        <v>201</v>
      </c>
      <c r="H10" s="126">
        <v>37</v>
      </c>
      <c r="I10" s="126" t="s">
        <v>202</v>
      </c>
      <c r="J10" s="132">
        <v>46302.662499999999</v>
      </c>
      <c r="K10" s="132">
        <v>46304.631944444445</v>
      </c>
      <c r="L10" s="132"/>
      <c r="M10" s="126">
        <v>37</v>
      </c>
      <c r="N10" s="126"/>
      <c r="O10" s="126" t="s">
        <v>205</v>
      </c>
      <c r="P10" s="126"/>
      <c r="Q10" s="126"/>
      <c r="R10" s="126"/>
      <c r="S10" s="126" t="s">
        <v>176</v>
      </c>
      <c r="T10" s="126" t="s">
        <v>177</v>
      </c>
      <c r="U10" s="126" t="s">
        <v>178</v>
      </c>
      <c r="V10" s="126" t="s">
        <v>188</v>
      </c>
      <c r="W10" s="126" t="s">
        <v>188</v>
      </c>
      <c r="X10" s="126" t="s">
        <v>188</v>
      </c>
      <c r="Y10" s="126"/>
      <c r="Z10" s="126">
        <v>2</v>
      </c>
      <c r="AA10" s="126" t="s">
        <v>87</v>
      </c>
      <c r="AB10" s="126" t="s">
        <v>180</v>
      </c>
      <c r="AC10" s="126">
        <v>2011</v>
      </c>
      <c r="AD10" s="126" t="s">
        <v>92</v>
      </c>
      <c r="AE10" s="126">
        <v>74</v>
      </c>
      <c r="AF10" s="126"/>
    </row>
    <row r="11" spans="1:32" x14ac:dyDescent="0.3">
      <c r="A11" t="s">
        <v>124</v>
      </c>
      <c r="B11" t="s">
        <v>194</v>
      </c>
      <c r="C11" t="s">
        <v>195</v>
      </c>
      <c r="D11" t="s">
        <v>170</v>
      </c>
      <c r="E11" t="s">
        <v>200</v>
      </c>
      <c r="F11" s="133">
        <v>46302.606249999997</v>
      </c>
      <c r="G11" t="s">
        <v>201</v>
      </c>
      <c r="H11">
        <v>36</v>
      </c>
      <c r="I11" t="s">
        <v>202</v>
      </c>
      <c r="J11" s="133">
        <v>46302.662499999999</v>
      </c>
      <c r="K11" s="133">
        <v>46304.631944444445</v>
      </c>
      <c r="L11" s="133">
        <v>46294.506249999999</v>
      </c>
      <c r="M11">
        <v>36</v>
      </c>
      <c r="O11" t="s">
        <v>205</v>
      </c>
      <c r="S11" t="s">
        <v>176</v>
      </c>
      <c r="T11" t="s">
        <v>177</v>
      </c>
      <c r="U11" t="s">
        <v>178</v>
      </c>
      <c r="V11" t="s">
        <v>188</v>
      </c>
      <c r="W11" t="s">
        <v>188</v>
      </c>
      <c r="X11" t="s">
        <v>188</v>
      </c>
      <c r="AA11" t="s">
        <v>199</v>
      </c>
      <c r="AB11" t="s">
        <v>180</v>
      </c>
      <c r="AC11">
        <v>2011</v>
      </c>
      <c r="AD11" t="s">
        <v>95</v>
      </c>
      <c r="AE11">
        <v>3.6</v>
      </c>
    </row>
    <row r="12" spans="1:32" x14ac:dyDescent="0.3">
      <c r="A12" s="126" t="s">
        <v>124</v>
      </c>
      <c r="B12" s="126" t="s">
        <v>203</v>
      </c>
      <c r="C12" s="126" t="s">
        <v>204</v>
      </c>
      <c r="D12" s="126" t="s">
        <v>170</v>
      </c>
      <c r="E12" s="126" t="s">
        <v>200</v>
      </c>
      <c r="F12" s="132">
        <v>46302.606249999997</v>
      </c>
      <c r="G12" s="126" t="s">
        <v>201</v>
      </c>
      <c r="H12" s="126">
        <v>292</v>
      </c>
      <c r="I12" s="126" t="s">
        <v>202</v>
      </c>
      <c r="J12" s="132">
        <v>46302.662499999999</v>
      </c>
      <c r="K12" s="132">
        <v>46304.631944444445</v>
      </c>
      <c r="L12" s="132"/>
      <c r="M12" s="126">
        <v>292</v>
      </c>
      <c r="N12" s="126"/>
      <c r="O12" s="126" t="s">
        <v>205</v>
      </c>
      <c r="P12" s="126"/>
      <c r="Q12" s="126"/>
      <c r="R12" s="126"/>
      <c r="S12" s="126" t="s">
        <v>176</v>
      </c>
      <c r="T12" s="126" t="s">
        <v>177</v>
      </c>
      <c r="U12" s="126" t="s">
        <v>178</v>
      </c>
      <c r="V12" s="126" t="s">
        <v>188</v>
      </c>
      <c r="W12" s="126" t="s">
        <v>188</v>
      </c>
      <c r="X12" s="126" t="s">
        <v>188</v>
      </c>
      <c r="Y12" s="126"/>
      <c r="Z12" s="126">
        <v>1</v>
      </c>
      <c r="AA12" s="126" t="s">
        <v>87</v>
      </c>
      <c r="AB12" s="126" t="s">
        <v>180</v>
      </c>
      <c r="AC12" s="126">
        <v>2011</v>
      </c>
      <c r="AD12" s="126" t="s">
        <v>92</v>
      </c>
      <c r="AE12" s="126">
        <v>292</v>
      </c>
      <c r="AF12" s="126"/>
    </row>
    <row r="13" spans="1:32" x14ac:dyDescent="0.3">
      <c r="A13" t="s">
        <v>124</v>
      </c>
      <c r="B13" t="s">
        <v>194</v>
      </c>
      <c r="C13" t="s">
        <v>195</v>
      </c>
      <c r="D13" t="s">
        <v>170</v>
      </c>
      <c r="E13" t="s">
        <v>200</v>
      </c>
      <c r="F13" s="133">
        <v>46302.606249999997</v>
      </c>
      <c r="G13" t="s">
        <v>201</v>
      </c>
      <c r="H13">
        <v>3</v>
      </c>
      <c r="I13" t="s">
        <v>202</v>
      </c>
      <c r="J13" s="133">
        <v>46302.662499999999</v>
      </c>
      <c r="K13" s="133">
        <v>46304.631944444445</v>
      </c>
      <c r="L13" s="133">
        <v>46294.506249999999</v>
      </c>
      <c r="M13">
        <v>3</v>
      </c>
      <c r="O13" t="s">
        <v>205</v>
      </c>
      <c r="S13" t="s">
        <v>176</v>
      </c>
      <c r="T13" t="s">
        <v>177</v>
      </c>
      <c r="U13" t="s">
        <v>178</v>
      </c>
      <c r="V13" t="s">
        <v>188</v>
      </c>
      <c r="W13" t="s">
        <v>188</v>
      </c>
      <c r="X13" t="s">
        <v>188</v>
      </c>
      <c r="AA13" t="s">
        <v>199</v>
      </c>
      <c r="AB13" t="s">
        <v>180</v>
      </c>
      <c r="AC13">
        <v>2011</v>
      </c>
      <c r="AD13" t="s">
        <v>95</v>
      </c>
      <c r="AE13">
        <v>1</v>
      </c>
    </row>
    <row r="14" spans="1:32" x14ac:dyDescent="0.3">
      <c r="A14" s="126" t="s">
        <v>124</v>
      </c>
      <c r="B14" s="126" t="s">
        <v>203</v>
      </c>
      <c r="C14" s="126" t="s">
        <v>204</v>
      </c>
      <c r="D14" s="126" t="s">
        <v>170</v>
      </c>
      <c r="E14" s="126" t="s">
        <v>200</v>
      </c>
      <c r="F14" s="132">
        <v>46302.606249999997</v>
      </c>
      <c r="G14" s="126" t="s">
        <v>201</v>
      </c>
      <c r="H14" s="126">
        <v>4</v>
      </c>
      <c r="I14" s="126" t="s">
        <v>202</v>
      </c>
      <c r="J14" s="132">
        <v>46302.662499999999</v>
      </c>
      <c r="K14" s="132">
        <v>46304.631944444445</v>
      </c>
      <c r="L14" s="132"/>
      <c r="M14" s="126">
        <v>4</v>
      </c>
      <c r="N14" s="126"/>
      <c r="O14" s="126" t="s">
        <v>205</v>
      </c>
      <c r="P14" s="126"/>
      <c r="Q14" s="126"/>
      <c r="R14" s="126"/>
      <c r="S14" s="126" t="s">
        <v>176</v>
      </c>
      <c r="T14" s="126" t="s">
        <v>177</v>
      </c>
      <c r="U14" s="126" t="s">
        <v>178</v>
      </c>
      <c r="V14" s="126" t="s">
        <v>188</v>
      </c>
      <c r="W14" s="126" t="s">
        <v>188</v>
      </c>
      <c r="X14" s="126" t="s">
        <v>188</v>
      </c>
      <c r="Y14" s="126"/>
      <c r="Z14" s="126">
        <v>1</v>
      </c>
      <c r="AA14" s="126" t="s">
        <v>87</v>
      </c>
      <c r="AB14" s="126" t="s">
        <v>180</v>
      </c>
      <c r="AC14" s="126">
        <v>2011</v>
      </c>
      <c r="AD14" s="126" t="s">
        <v>92</v>
      </c>
      <c r="AE14" s="126">
        <v>4</v>
      </c>
      <c r="AF14" s="126"/>
    </row>
    <row r="15" spans="1:32" x14ac:dyDescent="0.3">
      <c r="A15" t="s">
        <v>124</v>
      </c>
      <c r="B15" t="s">
        <v>203</v>
      </c>
      <c r="C15" t="s">
        <v>204</v>
      </c>
      <c r="D15" t="s">
        <v>170</v>
      </c>
      <c r="E15" t="s">
        <v>200</v>
      </c>
      <c r="F15" s="133">
        <v>46302.606249999997</v>
      </c>
      <c r="G15" t="s">
        <v>201</v>
      </c>
      <c r="H15">
        <v>21</v>
      </c>
      <c r="I15" t="s">
        <v>202</v>
      </c>
      <c r="J15" s="133">
        <v>46302.662499999999</v>
      </c>
      <c r="K15" s="133">
        <v>46304.631944444445</v>
      </c>
      <c r="L15" s="133"/>
      <c r="M15">
        <v>21</v>
      </c>
      <c r="O15" t="s">
        <v>205</v>
      </c>
      <c r="S15" t="s">
        <v>176</v>
      </c>
      <c r="T15" t="s">
        <v>177</v>
      </c>
      <c r="U15" t="s">
        <v>178</v>
      </c>
      <c r="V15" t="s">
        <v>188</v>
      </c>
      <c r="W15" t="s">
        <v>188</v>
      </c>
      <c r="X15" t="s">
        <v>188</v>
      </c>
      <c r="Z15">
        <v>1</v>
      </c>
      <c r="AA15" t="s">
        <v>87</v>
      </c>
      <c r="AB15" t="s">
        <v>180</v>
      </c>
      <c r="AC15">
        <v>2011</v>
      </c>
      <c r="AD15" t="s">
        <v>92</v>
      </c>
      <c r="AE15">
        <v>21</v>
      </c>
    </row>
    <row r="16" spans="1:32" x14ac:dyDescent="0.3">
      <c r="A16" s="126" t="s">
        <v>124</v>
      </c>
      <c r="B16" s="126" t="s">
        <v>194</v>
      </c>
      <c r="C16" s="126" t="s">
        <v>195</v>
      </c>
      <c r="D16" s="126" t="s">
        <v>170</v>
      </c>
      <c r="E16" s="126" t="s">
        <v>207</v>
      </c>
      <c r="F16" s="132">
        <v>46317.383333333331</v>
      </c>
      <c r="G16" s="126" t="s">
        <v>172</v>
      </c>
      <c r="H16" s="126">
        <v>3</v>
      </c>
      <c r="I16" s="126" t="s">
        <v>208</v>
      </c>
      <c r="J16" s="132">
        <v>46317.488194444442</v>
      </c>
      <c r="K16" s="132">
        <v>46317.675000000003</v>
      </c>
      <c r="L16" s="132">
        <v>46294.506249999999</v>
      </c>
      <c r="M16" s="126">
        <v>3</v>
      </c>
      <c r="N16" s="126"/>
      <c r="O16" s="126" t="s">
        <v>174</v>
      </c>
      <c r="P16" s="126" t="s">
        <v>175</v>
      </c>
      <c r="Q16" s="126"/>
      <c r="R16" s="126"/>
      <c r="S16" s="126" t="s">
        <v>176</v>
      </c>
      <c r="T16" s="126" t="s">
        <v>177</v>
      </c>
      <c r="U16" s="126" t="s">
        <v>178</v>
      </c>
      <c r="V16" s="126" t="s">
        <v>188</v>
      </c>
      <c r="W16" s="126" t="s">
        <v>188</v>
      </c>
      <c r="X16" s="126" t="s">
        <v>188</v>
      </c>
      <c r="Y16" s="126"/>
      <c r="Z16" s="126"/>
      <c r="AA16" s="126" t="s">
        <v>199</v>
      </c>
      <c r="AB16" s="126" t="s">
        <v>180</v>
      </c>
      <c r="AC16" s="126">
        <v>2011</v>
      </c>
      <c r="AD16" s="126" t="s">
        <v>95</v>
      </c>
      <c r="AE16" s="126">
        <v>1</v>
      </c>
      <c r="AF16" s="126"/>
    </row>
    <row r="17" spans="1:32" x14ac:dyDescent="0.3">
      <c r="A17" t="s">
        <v>124</v>
      </c>
      <c r="B17" t="s">
        <v>203</v>
      </c>
      <c r="C17" t="s">
        <v>204</v>
      </c>
      <c r="D17" t="s">
        <v>170</v>
      </c>
      <c r="E17" t="s">
        <v>207</v>
      </c>
      <c r="F17" s="133">
        <v>46317.383333333331</v>
      </c>
      <c r="G17" t="s">
        <v>172</v>
      </c>
      <c r="H17">
        <v>214</v>
      </c>
      <c r="I17" t="s">
        <v>208</v>
      </c>
      <c r="J17" s="133">
        <v>46317.488194444442</v>
      </c>
      <c r="K17" s="133">
        <v>46317.675000000003</v>
      </c>
      <c r="L17" s="133"/>
      <c r="M17">
        <v>214</v>
      </c>
      <c r="O17" t="s">
        <v>174</v>
      </c>
      <c r="P17" t="s">
        <v>209</v>
      </c>
      <c r="S17" t="s">
        <v>176</v>
      </c>
      <c r="T17" t="s">
        <v>177</v>
      </c>
      <c r="U17" t="s">
        <v>178</v>
      </c>
      <c r="V17" t="s">
        <v>188</v>
      </c>
      <c r="W17" t="s">
        <v>188</v>
      </c>
      <c r="X17" t="s">
        <v>188</v>
      </c>
      <c r="Z17">
        <v>1</v>
      </c>
      <c r="AA17" t="s">
        <v>87</v>
      </c>
      <c r="AB17" t="s">
        <v>180</v>
      </c>
      <c r="AC17">
        <v>2011</v>
      </c>
      <c r="AD17" t="s">
        <v>92</v>
      </c>
      <c r="AE17">
        <v>214</v>
      </c>
      <c r="AF17">
        <v>88.6</v>
      </c>
    </row>
    <row r="18" spans="1:32" x14ac:dyDescent="0.3">
      <c r="A18" s="126" t="s">
        <v>124</v>
      </c>
      <c r="B18" s="126" t="s">
        <v>194</v>
      </c>
      <c r="C18" s="126" t="s">
        <v>195</v>
      </c>
      <c r="D18" s="126" t="s">
        <v>170</v>
      </c>
      <c r="E18" s="126" t="s">
        <v>210</v>
      </c>
      <c r="F18" s="132">
        <v>46302.622199074074</v>
      </c>
      <c r="G18" s="126" t="s">
        <v>211</v>
      </c>
      <c r="H18" s="126">
        <v>2</v>
      </c>
      <c r="I18" s="126" t="s">
        <v>212</v>
      </c>
      <c r="J18" s="132">
        <v>46302.689432870371</v>
      </c>
      <c r="K18" s="132">
        <v>46314.484027777777</v>
      </c>
      <c r="L18" s="132">
        <v>46314.484027777777</v>
      </c>
      <c r="M18" s="126">
        <v>2</v>
      </c>
      <c r="N18" s="126"/>
      <c r="O18" s="126" t="s">
        <v>174</v>
      </c>
      <c r="P18" s="126" t="s">
        <v>209</v>
      </c>
      <c r="Q18" s="126"/>
      <c r="R18" s="126"/>
      <c r="S18" s="126" t="s">
        <v>176</v>
      </c>
      <c r="T18" s="126" t="s">
        <v>177</v>
      </c>
      <c r="U18" s="126" t="s">
        <v>178</v>
      </c>
      <c r="V18" s="126" t="s">
        <v>188</v>
      </c>
      <c r="W18" s="126" t="s">
        <v>188</v>
      </c>
      <c r="X18" s="126" t="s">
        <v>188</v>
      </c>
      <c r="Y18" s="126"/>
      <c r="Z18" s="126"/>
      <c r="AA18" s="126" t="s">
        <v>199</v>
      </c>
      <c r="AB18" s="126" t="s">
        <v>180</v>
      </c>
      <c r="AC18" s="126">
        <v>2011</v>
      </c>
      <c r="AD18" s="126" t="s">
        <v>95</v>
      </c>
      <c r="AE18" s="126">
        <v>1</v>
      </c>
      <c r="AF18" s="126">
        <v>1</v>
      </c>
    </row>
    <row r="19" spans="1:32" x14ac:dyDescent="0.3">
      <c r="A19" t="s">
        <v>124</v>
      </c>
      <c r="B19" t="s">
        <v>194</v>
      </c>
      <c r="C19" t="s">
        <v>195</v>
      </c>
      <c r="D19" t="s">
        <v>170</v>
      </c>
      <c r="E19" t="s">
        <v>200</v>
      </c>
      <c r="F19" s="133">
        <v>46302.606249999997</v>
      </c>
      <c r="G19" t="s">
        <v>201</v>
      </c>
      <c r="H19">
        <v>1</v>
      </c>
      <c r="I19" t="s">
        <v>202</v>
      </c>
      <c r="J19" s="133">
        <v>46302.662499999999</v>
      </c>
      <c r="K19" s="133">
        <v>46304.631944444445</v>
      </c>
      <c r="L19" s="133">
        <v>46294.506249999999</v>
      </c>
      <c r="M19">
        <v>1</v>
      </c>
      <c r="O19" t="s">
        <v>205</v>
      </c>
      <c r="S19" t="s">
        <v>176</v>
      </c>
      <c r="T19" t="s">
        <v>177</v>
      </c>
      <c r="U19" t="s">
        <v>178</v>
      </c>
      <c r="V19" t="s">
        <v>188</v>
      </c>
      <c r="W19" t="s">
        <v>188</v>
      </c>
      <c r="X19" t="s">
        <v>188</v>
      </c>
      <c r="AA19" t="s">
        <v>199</v>
      </c>
      <c r="AB19" t="s">
        <v>180</v>
      </c>
      <c r="AC19">
        <v>2011</v>
      </c>
      <c r="AD19" t="s">
        <v>95</v>
      </c>
      <c r="AE19">
        <v>1</v>
      </c>
    </row>
    <row r="20" spans="1:32" x14ac:dyDescent="0.3">
      <c r="A20" s="126" t="s">
        <v>124</v>
      </c>
      <c r="B20" s="126" t="s">
        <v>203</v>
      </c>
      <c r="C20" s="126" t="s">
        <v>204</v>
      </c>
      <c r="D20" s="126" t="s">
        <v>170</v>
      </c>
      <c r="E20" s="126" t="s">
        <v>200</v>
      </c>
      <c r="F20" s="132">
        <v>46302.606249999997</v>
      </c>
      <c r="G20" s="126" t="s">
        <v>201</v>
      </c>
      <c r="H20" s="126">
        <v>636</v>
      </c>
      <c r="I20" s="126" t="s">
        <v>202</v>
      </c>
      <c r="J20" s="132">
        <v>46302.662499999999</v>
      </c>
      <c r="K20" s="132">
        <v>46304.631944444445</v>
      </c>
      <c r="L20" s="132"/>
      <c r="M20" s="126">
        <v>636</v>
      </c>
      <c r="N20" s="126"/>
      <c r="O20" s="126" t="s">
        <v>205</v>
      </c>
      <c r="P20" s="126"/>
      <c r="Q20" s="126"/>
      <c r="R20" s="126"/>
      <c r="S20" s="126" t="s">
        <v>176</v>
      </c>
      <c r="T20" s="126" t="s">
        <v>177</v>
      </c>
      <c r="U20" s="126" t="s">
        <v>178</v>
      </c>
      <c r="V20" s="126" t="s">
        <v>188</v>
      </c>
      <c r="W20" s="126" t="s">
        <v>188</v>
      </c>
      <c r="X20" s="126" t="s">
        <v>188</v>
      </c>
      <c r="Y20" s="126"/>
      <c r="Z20" s="126">
        <v>1</v>
      </c>
      <c r="AA20" s="126" t="s">
        <v>87</v>
      </c>
      <c r="AB20" s="126" t="s">
        <v>180</v>
      </c>
      <c r="AC20" s="126">
        <v>2011</v>
      </c>
      <c r="AD20" s="126" t="s">
        <v>92</v>
      </c>
      <c r="AE20" s="126">
        <v>636</v>
      </c>
      <c r="AF20" s="126"/>
    </row>
    <row r="21" spans="1:32" x14ac:dyDescent="0.3">
      <c r="A21" t="s">
        <v>124</v>
      </c>
      <c r="B21" t="s">
        <v>194</v>
      </c>
      <c r="C21" t="s">
        <v>195</v>
      </c>
      <c r="D21" t="s">
        <v>170</v>
      </c>
      <c r="E21" t="s">
        <v>200</v>
      </c>
      <c r="F21" s="133">
        <v>46302.606249999997</v>
      </c>
      <c r="G21" t="s">
        <v>201</v>
      </c>
      <c r="H21">
        <v>9</v>
      </c>
      <c r="I21" t="s">
        <v>202</v>
      </c>
      <c r="J21" s="133">
        <v>46302.662499999999</v>
      </c>
      <c r="K21" s="133">
        <v>46304.631944444445</v>
      </c>
      <c r="L21" s="133">
        <v>46294.506249999999</v>
      </c>
      <c r="M21">
        <v>9</v>
      </c>
      <c r="O21" t="s">
        <v>205</v>
      </c>
      <c r="S21" t="s">
        <v>176</v>
      </c>
      <c r="T21" t="s">
        <v>177</v>
      </c>
      <c r="U21" t="s">
        <v>178</v>
      </c>
      <c r="V21" t="s">
        <v>188</v>
      </c>
      <c r="W21" t="s">
        <v>188</v>
      </c>
      <c r="X21" t="s">
        <v>188</v>
      </c>
      <c r="AA21" t="s">
        <v>199</v>
      </c>
      <c r="AB21" t="s">
        <v>180</v>
      </c>
      <c r="AC21">
        <v>2011</v>
      </c>
      <c r="AD21" t="s">
        <v>95</v>
      </c>
      <c r="AE21">
        <v>1</v>
      </c>
    </row>
    <row r="22" spans="1:32" x14ac:dyDescent="0.3">
      <c r="A22" s="126" t="s">
        <v>124</v>
      </c>
      <c r="B22" s="126" t="s">
        <v>203</v>
      </c>
      <c r="C22" s="126" t="s">
        <v>204</v>
      </c>
      <c r="D22" s="126" t="s">
        <v>170</v>
      </c>
      <c r="E22" s="126" t="s">
        <v>196</v>
      </c>
      <c r="F22" s="132">
        <v>46316.630555555559</v>
      </c>
      <c r="G22" s="126" t="s">
        <v>197</v>
      </c>
      <c r="H22" s="126">
        <v>13</v>
      </c>
      <c r="I22" s="126" t="s">
        <v>198</v>
      </c>
      <c r="J22" s="132">
        <v>46317.484027777777</v>
      </c>
      <c r="K22" s="132">
        <v>46317.603472222225</v>
      </c>
      <c r="L22" s="132"/>
      <c r="M22" s="126">
        <v>13</v>
      </c>
      <c r="N22" s="126"/>
      <c r="O22" s="126" t="s">
        <v>174</v>
      </c>
      <c r="P22" s="126" t="s">
        <v>209</v>
      </c>
      <c r="Q22" s="126"/>
      <c r="R22" s="126"/>
      <c r="S22" s="126" t="s">
        <v>176</v>
      </c>
      <c r="T22" s="126" t="s">
        <v>177</v>
      </c>
      <c r="U22" s="126" t="s">
        <v>178</v>
      </c>
      <c r="V22" s="126" t="s">
        <v>188</v>
      </c>
      <c r="W22" s="126" t="s">
        <v>188</v>
      </c>
      <c r="X22" s="126" t="s">
        <v>188</v>
      </c>
      <c r="Y22" s="126"/>
      <c r="Z22" s="126">
        <v>1</v>
      </c>
      <c r="AA22" s="126" t="s">
        <v>87</v>
      </c>
      <c r="AB22" s="126" t="s">
        <v>180</v>
      </c>
      <c r="AC22" s="126">
        <v>2011</v>
      </c>
      <c r="AD22" s="126" t="s">
        <v>92</v>
      </c>
      <c r="AE22" s="126">
        <v>13</v>
      </c>
      <c r="AF22" s="126"/>
    </row>
    <row r="23" spans="1:32" x14ac:dyDescent="0.3">
      <c r="A23" t="s">
        <v>124</v>
      </c>
      <c r="B23" t="s">
        <v>203</v>
      </c>
      <c r="C23" t="s">
        <v>204</v>
      </c>
      <c r="D23" t="s">
        <v>170</v>
      </c>
      <c r="E23" t="s">
        <v>210</v>
      </c>
      <c r="F23" s="133">
        <v>46302.622199074074</v>
      </c>
      <c r="G23" t="s">
        <v>211</v>
      </c>
      <c r="H23">
        <v>26</v>
      </c>
      <c r="I23" t="s">
        <v>212</v>
      </c>
      <c r="J23" s="133">
        <v>46302.689432870371</v>
      </c>
      <c r="K23" s="133">
        <v>46314.484027777777</v>
      </c>
      <c r="L23" s="133"/>
      <c r="M23">
        <v>26</v>
      </c>
      <c r="S23" t="s">
        <v>176</v>
      </c>
      <c r="T23" t="s">
        <v>177</v>
      </c>
      <c r="U23" t="s">
        <v>178</v>
      </c>
      <c r="V23" t="s">
        <v>188</v>
      </c>
      <c r="W23" t="s">
        <v>188</v>
      </c>
      <c r="X23" t="s">
        <v>188</v>
      </c>
      <c r="Z23">
        <v>1</v>
      </c>
      <c r="AA23" t="s">
        <v>87</v>
      </c>
      <c r="AB23" t="s">
        <v>180</v>
      </c>
      <c r="AC23">
        <v>2011</v>
      </c>
      <c r="AD23" t="s">
        <v>92</v>
      </c>
      <c r="AE23">
        <v>26</v>
      </c>
      <c r="AF23">
        <v>2.6</v>
      </c>
    </row>
    <row r="24" spans="1:32" x14ac:dyDescent="0.3">
      <c r="A24" s="126" t="s">
        <v>124</v>
      </c>
      <c r="B24" s="126" t="s">
        <v>194</v>
      </c>
      <c r="C24" s="126" t="s">
        <v>195</v>
      </c>
      <c r="D24" s="126" t="s">
        <v>170</v>
      </c>
      <c r="E24" s="126" t="s">
        <v>200</v>
      </c>
      <c r="F24" s="132">
        <v>46302.606249999997</v>
      </c>
      <c r="G24" s="126" t="s">
        <v>201</v>
      </c>
      <c r="H24" s="126">
        <v>3</v>
      </c>
      <c r="I24" s="126" t="s">
        <v>202</v>
      </c>
      <c r="J24" s="132">
        <v>46302.662499999999</v>
      </c>
      <c r="K24" s="132">
        <v>46304.631944444445</v>
      </c>
      <c r="L24" s="132">
        <v>46294.506249999999</v>
      </c>
      <c r="M24" s="126">
        <v>3</v>
      </c>
      <c r="N24" s="126"/>
      <c r="O24" s="126" t="s">
        <v>205</v>
      </c>
      <c r="P24" s="126"/>
      <c r="Q24" s="126"/>
      <c r="R24" s="126"/>
      <c r="S24" s="126" t="s">
        <v>176</v>
      </c>
      <c r="T24" s="126" t="s">
        <v>177</v>
      </c>
      <c r="U24" s="126" t="s">
        <v>178</v>
      </c>
      <c r="V24" s="126" t="s">
        <v>188</v>
      </c>
      <c r="W24" s="126" t="s">
        <v>188</v>
      </c>
      <c r="X24" s="126" t="s">
        <v>188</v>
      </c>
      <c r="Y24" s="126"/>
      <c r="Z24" s="126"/>
      <c r="AA24" s="126" t="s">
        <v>199</v>
      </c>
      <c r="AB24" s="126" t="s">
        <v>180</v>
      </c>
      <c r="AC24" s="126">
        <v>2011</v>
      </c>
      <c r="AD24" s="126" t="s">
        <v>95</v>
      </c>
      <c r="AE24" s="126">
        <v>1</v>
      </c>
      <c r="AF24" s="126"/>
    </row>
    <row r="25" spans="1:32" x14ac:dyDescent="0.3">
      <c r="A25" t="s">
        <v>124</v>
      </c>
      <c r="B25" t="s">
        <v>203</v>
      </c>
      <c r="C25" t="s">
        <v>204</v>
      </c>
      <c r="D25" t="s">
        <v>170</v>
      </c>
      <c r="E25" t="s">
        <v>200</v>
      </c>
      <c r="F25" s="133">
        <v>46302.606249999997</v>
      </c>
      <c r="G25" t="s">
        <v>201</v>
      </c>
      <c r="H25">
        <v>274</v>
      </c>
      <c r="I25" t="s">
        <v>202</v>
      </c>
      <c r="J25" s="133">
        <v>46302.662499999999</v>
      </c>
      <c r="K25" s="133">
        <v>46304.631944444445</v>
      </c>
      <c r="L25" s="133"/>
      <c r="M25">
        <v>274</v>
      </c>
      <c r="O25" t="s">
        <v>205</v>
      </c>
      <c r="S25" t="s">
        <v>176</v>
      </c>
      <c r="T25" t="s">
        <v>177</v>
      </c>
      <c r="U25" t="s">
        <v>178</v>
      </c>
      <c r="V25" t="s">
        <v>188</v>
      </c>
      <c r="W25" t="s">
        <v>188</v>
      </c>
      <c r="X25" t="s">
        <v>188</v>
      </c>
      <c r="Z25">
        <v>1</v>
      </c>
      <c r="AA25" t="s">
        <v>87</v>
      </c>
      <c r="AB25" t="s">
        <v>180</v>
      </c>
      <c r="AC25">
        <v>2011</v>
      </c>
      <c r="AD25" t="s">
        <v>92</v>
      </c>
      <c r="AE25">
        <v>274</v>
      </c>
    </row>
    <row r="26" spans="1:32" x14ac:dyDescent="0.3">
      <c r="A26" s="126" t="s">
        <v>124</v>
      </c>
      <c r="B26" s="126" t="s">
        <v>194</v>
      </c>
      <c r="C26" s="126" t="s">
        <v>195</v>
      </c>
      <c r="D26" s="126" t="s">
        <v>170</v>
      </c>
      <c r="E26" s="126" t="s">
        <v>200</v>
      </c>
      <c r="F26" s="132">
        <v>46302.606249999997</v>
      </c>
      <c r="G26" s="126" t="s">
        <v>201</v>
      </c>
      <c r="H26" s="126">
        <v>5</v>
      </c>
      <c r="I26" s="126" t="s">
        <v>202</v>
      </c>
      <c r="J26" s="132">
        <v>46302.662499999999</v>
      </c>
      <c r="K26" s="132">
        <v>46304.631944444445</v>
      </c>
      <c r="L26" s="132">
        <v>46294.506249999999</v>
      </c>
      <c r="M26" s="126">
        <v>5</v>
      </c>
      <c r="N26" s="126"/>
      <c r="O26" s="126" t="s">
        <v>205</v>
      </c>
      <c r="P26" s="126"/>
      <c r="Q26" s="126"/>
      <c r="R26" s="126"/>
      <c r="S26" s="126" t="s">
        <v>176</v>
      </c>
      <c r="T26" s="126" t="s">
        <v>177</v>
      </c>
      <c r="U26" s="126" t="s">
        <v>178</v>
      </c>
      <c r="V26" s="126" t="s">
        <v>188</v>
      </c>
      <c r="W26" s="126" t="s">
        <v>188</v>
      </c>
      <c r="X26" s="126" t="s">
        <v>188</v>
      </c>
      <c r="Y26" s="126"/>
      <c r="Z26" s="126"/>
      <c r="AA26" s="126" t="s">
        <v>199</v>
      </c>
      <c r="AB26" s="126" t="s">
        <v>180</v>
      </c>
      <c r="AC26" s="126">
        <v>2011</v>
      </c>
      <c r="AD26" s="126" t="s">
        <v>95</v>
      </c>
      <c r="AE26" s="126">
        <v>1</v>
      </c>
      <c r="AF26" s="126"/>
    </row>
    <row r="27" spans="1:32" x14ac:dyDescent="0.3">
      <c r="A27" t="s">
        <v>124</v>
      </c>
      <c r="B27" t="s">
        <v>203</v>
      </c>
      <c r="C27" t="s">
        <v>204</v>
      </c>
      <c r="D27" t="s">
        <v>170</v>
      </c>
      <c r="E27" t="s">
        <v>213</v>
      </c>
      <c r="F27" s="133">
        <v>46316.431944444441</v>
      </c>
      <c r="G27" t="s">
        <v>214</v>
      </c>
      <c r="H27">
        <v>9</v>
      </c>
      <c r="I27" t="s">
        <v>215</v>
      </c>
      <c r="J27" s="133">
        <v>46316.615972222222</v>
      </c>
      <c r="K27" s="133">
        <v>46316.643055555556</v>
      </c>
      <c r="L27" s="133"/>
      <c r="M27">
        <v>9</v>
      </c>
      <c r="O27" t="s">
        <v>174</v>
      </c>
      <c r="P27" t="s">
        <v>209</v>
      </c>
      <c r="S27" t="s">
        <v>176</v>
      </c>
      <c r="T27" t="s">
        <v>177</v>
      </c>
      <c r="U27" t="s">
        <v>178</v>
      </c>
      <c r="V27" t="s">
        <v>188</v>
      </c>
      <c r="W27" t="s">
        <v>188</v>
      </c>
      <c r="X27" t="s">
        <v>188</v>
      </c>
      <c r="Z27">
        <v>1</v>
      </c>
      <c r="AA27" t="s">
        <v>87</v>
      </c>
      <c r="AB27" t="s">
        <v>180</v>
      </c>
      <c r="AC27">
        <v>2011</v>
      </c>
      <c r="AD27" t="s">
        <v>92</v>
      </c>
      <c r="AE27">
        <v>9</v>
      </c>
      <c r="AF27">
        <v>10.4</v>
      </c>
    </row>
    <row r="28" spans="1:32" x14ac:dyDescent="0.3">
      <c r="A28" s="126" t="s">
        <v>124</v>
      </c>
      <c r="B28" s="126" t="s">
        <v>194</v>
      </c>
      <c r="C28" s="126" t="s">
        <v>195</v>
      </c>
      <c r="D28" s="126" t="s">
        <v>170</v>
      </c>
      <c r="E28" s="126" t="s">
        <v>213</v>
      </c>
      <c r="F28" s="132">
        <v>46316.431944444441</v>
      </c>
      <c r="G28" s="126" t="s">
        <v>214</v>
      </c>
      <c r="H28" s="126">
        <v>1</v>
      </c>
      <c r="I28" s="126" t="s">
        <v>215</v>
      </c>
      <c r="J28" s="132">
        <v>46316.615972222222</v>
      </c>
      <c r="K28" s="132">
        <v>46316.643055555556</v>
      </c>
      <c r="L28" s="132">
        <v>46294.506249999999</v>
      </c>
      <c r="M28" s="126">
        <v>1</v>
      </c>
      <c r="N28" s="126"/>
      <c r="O28" s="126" t="s">
        <v>174</v>
      </c>
      <c r="P28" s="126" t="s">
        <v>175</v>
      </c>
      <c r="Q28" s="126"/>
      <c r="R28" s="126"/>
      <c r="S28" s="126" t="s">
        <v>176</v>
      </c>
      <c r="T28" s="126" t="s">
        <v>177</v>
      </c>
      <c r="U28" s="126" t="s">
        <v>178</v>
      </c>
      <c r="V28" s="126" t="s">
        <v>188</v>
      </c>
      <c r="W28" s="126" t="s">
        <v>188</v>
      </c>
      <c r="X28" s="126" t="s">
        <v>188</v>
      </c>
      <c r="Y28" s="126"/>
      <c r="Z28" s="126"/>
      <c r="AA28" s="126" t="s">
        <v>199</v>
      </c>
      <c r="AB28" s="126" t="s">
        <v>180</v>
      </c>
      <c r="AC28" s="126">
        <v>2011</v>
      </c>
      <c r="AD28" s="126" t="s">
        <v>95</v>
      </c>
      <c r="AE28" s="126">
        <v>1</v>
      </c>
      <c r="AF28" s="126">
        <v>1</v>
      </c>
    </row>
    <row r="29" spans="1:32" x14ac:dyDescent="0.3">
      <c r="A29" t="s">
        <v>124</v>
      </c>
      <c r="B29" t="s">
        <v>203</v>
      </c>
      <c r="C29" t="s">
        <v>204</v>
      </c>
      <c r="D29" t="s">
        <v>170</v>
      </c>
      <c r="E29" t="s">
        <v>213</v>
      </c>
      <c r="F29" s="133">
        <v>46316.431944444441</v>
      </c>
      <c r="G29" t="s">
        <v>214</v>
      </c>
      <c r="H29">
        <v>95</v>
      </c>
      <c r="I29" t="s">
        <v>215</v>
      </c>
      <c r="J29" s="133">
        <v>46316.615972222222</v>
      </c>
      <c r="K29" s="133">
        <v>46316.643055555556</v>
      </c>
      <c r="L29" s="133"/>
      <c r="M29">
        <v>95</v>
      </c>
      <c r="O29" t="s">
        <v>205</v>
      </c>
      <c r="S29" t="s">
        <v>176</v>
      </c>
      <c r="T29" t="s">
        <v>177</v>
      </c>
      <c r="U29" t="s">
        <v>178</v>
      </c>
      <c r="V29" t="s">
        <v>188</v>
      </c>
      <c r="W29" t="s">
        <v>188</v>
      </c>
      <c r="X29" t="s">
        <v>188</v>
      </c>
      <c r="Z29">
        <v>1</v>
      </c>
      <c r="AA29" t="s">
        <v>87</v>
      </c>
      <c r="AB29" t="s">
        <v>180</v>
      </c>
      <c r="AC29">
        <v>2011</v>
      </c>
      <c r="AD29" t="s">
        <v>92</v>
      </c>
      <c r="AE29">
        <v>95</v>
      </c>
    </row>
    <row r="30" spans="1:32" x14ac:dyDescent="0.3">
      <c r="A30" s="126" t="s">
        <v>124</v>
      </c>
      <c r="B30" s="126" t="s">
        <v>216</v>
      </c>
      <c r="C30" s="126" t="s">
        <v>126</v>
      </c>
      <c r="D30" s="126" t="s">
        <v>170</v>
      </c>
      <c r="E30" s="126" t="s">
        <v>217</v>
      </c>
      <c r="F30" s="132">
        <v>46297.483865740738</v>
      </c>
      <c r="G30" s="126" t="s">
        <v>172</v>
      </c>
      <c r="H30" s="126">
        <v>1</v>
      </c>
      <c r="I30" s="126" t="s">
        <v>173</v>
      </c>
      <c r="J30" s="132">
        <v>46297.557615740741</v>
      </c>
      <c r="K30" s="132">
        <v>46304.625694444447</v>
      </c>
      <c r="L30" s="132"/>
      <c r="M30" s="126">
        <v>1</v>
      </c>
      <c r="N30" s="126"/>
      <c r="O30" s="126" t="s">
        <v>174</v>
      </c>
      <c r="P30" s="126" t="s">
        <v>175</v>
      </c>
      <c r="Q30" s="126"/>
      <c r="R30" s="126"/>
      <c r="S30" s="126" t="s">
        <v>176</v>
      </c>
      <c r="T30" s="126" t="s">
        <v>177</v>
      </c>
      <c r="U30" s="126" t="s">
        <v>178</v>
      </c>
      <c r="V30" s="126" t="s">
        <v>124</v>
      </c>
      <c r="W30" s="126" t="s">
        <v>179</v>
      </c>
      <c r="X30" s="126" t="s">
        <v>178</v>
      </c>
      <c r="Y30" s="126">
        <v>0</v>
      </c>
      <c r="Z30" s="126"/>
      <c r="AA30" s="126" t="s">
        <v>54</v>
      </c>
      <c r="AB30" s="126" t="s">
        <v>180</v>
      </c>
      <c r="AC30" s="126">
        <v>2011</v>
      </c>
      <c r="AD30" s="126" t="s">
        <v>52</v>
      </c>
      <c r="AE30" s="126">
        <v>1</v>
      </c>
      <c r="AF30" s="126">
        <v>4.07</v>
      </c>
    </row>
    <row r="31" spans="1:32" x14ac:dyDescent="0.3">
      <c r="A31" t="s">
        <v>124</v>
      </c>
      <c r="B31" t="s">
        <v>190</v>
      </c>
      <c r="C31" t="s">
        <v>126</v>
      </c>
      <c r="D31" t="s">
        <v>170</v>
      </c>
      <c r="E31" t="s">
        <v>218</v>
      </c>
      <c r="F31" s="133">
        <v>46314.577777777777</v>
      </c>
      <c r="G31" t="s">
        <v>219</v>
      </c>
      <c r="H31">
        <v>25</v>
      </c>
      <c r="I31" t="s">
        <v>220</v>
      </c>
      <c r="J31" s="133">
        <v>46314.621527777781</v>
      </c>
      <c r="K31" s="133">
        <v>46318.4375</v>
      </c>
      <c r="L31" s="133"/>
      <c r="M31">
        <v>25</v>
      </c>
      <c r="O31" t="s">
        <v>174</v>
      </c>
      <c r="P31" t="s">
        <v>175</v>
      </c>
      <c r="S31" t="s">
        <v>221</v>
      </c>
      <c r="T31" t="s">
        <v>222</v>
      </c>
      <c r="U31" t="s">
        <v>178</v>
      </c>
      <c r="V31" t="s">
        <v>124</v>
      </c>
      <c r="W31" t="s">
        <v>179</v>
      </c>
      <c r="X31" t="s">
        <v>178</v>
      </c>
      <c r="Y31">
        <v>0</v>
      </c>
      <c r="AA31" t="s">
        <v>35</v>
      </c>
      <c r="AB31" t="s">
        <v>223</v>
      </c>
      <c r="AC31">
        <v>1350</v>
      </c>
      <c r="AD31" t="s">
        <v>52</v>
      </c>
      <c r="AE31">
        <v>2.5</v>
      </c>
      <c r="AF31">
        <v>1</v>
      </c>
    </row>
    <row r="32" spans="1:32" x14ac:dyDescent="0.3">
      <c r="A32" s="126" t="s">
        <v>124</v>
      </c>
      <c r="B32" s="126" t="s">
        <v>194</v>
      </c>
      <c r="C32" s="126" t="s">
        <v>195</v>
      </c>
      <c r="D32" s="126" t="s">
        <v>170</v>
      </c>
      <c r="E32" s="126" t="s">
        <v>213</v>
      </c>
      <c r="F32" s="132">
        <v>46316.431944444441</v>
      </c>
      <c r="G32" s="126" t="s">
        <v>214</v>
      </c>
      <c r="H32" s="126">
        <v>1</v>
      </c>
      <c r="I32" s="126" t="s">
        <v>215</v>
      </c>
      <c r="J32" s="132">
        <v>46316.615972222222</v>
      </c>
      <c r="K32" s="132">
        <v>46316.643055555556</v>
      </c>
      <c r="L32" s="132">
        <v>46294.506249999999</v>
      </c>
      <c r="M32" s="126">
        <v>1</v>
      </c>
      <c r="N32" s="126"/>
      <c r="O32" s="126" t="s">
        <v>205</v>
      </c>
      <c r="P32" s="126"/>
      <c r="Q32" s="126"/>
      <c r="R32" s="126"/>
      <c r="S32" s="126" t="s">
        <v>176</v>
      </c>
      <c r="T32" s="126" t="s">
        <v>177</v>
      </c>
      <c r="U32" s="126" t="s">
        <v>178</v>
      </c>
      <c r="V32" s="126" t="s">
        <v>188</v>
      </c>
      <c r="W32" s="126" t="s">
        <v>188</v>
      </c>
      <c r="X32" s="126" t="s">
        <v>188</v>
      </c>
      <c r="Y32" s="126"/>
      <c r="Z32" s="126"/>
      <c r="AA32" s="126" t="s">
        <v>199</v>
      </c>
      <c r="AB32" s="126" t="s">
        <v>180</v>
      </c>
      <c r="AC32" s="126">
        <v>2011</v>
      </c>
      <c r="AD32" s="126" t="s">
        <v>95</v>
      </c>
      <c r="AE32" s="126">
        <v>1</v>
      </c>
      <c r="AF32" s="126"/>
    </row>
    <row r="33" spans="1:32" x14ac:dyDescent="0.3">
      <c r="A33" t="s">
        <v>124</v>
      </c>
      <c r="B33" t="s">
        <v>224</v>
      </c>
      <c r="C33" t="s">
        <v>225</v>
      </c>
      <c r="D33" t="s">
        <v>170</v>
      </c>
      <c r="E33" t="s">
        <v>226</v>
      </c>
      <c r="F33" s="133">
        <v>46190.653333333335</v>
      </c>
      <c r="G33" t="s">
        <v>227</v>
      </c>
      <c r="H33">
        <v>3</v>
      </c>
      <c r="I33" t="s">
        <v>228</v>
      </c>
      <c r="J33" s="133">
        <v>46191.618923611109</v>
      </c>
      <c r="K33" s="133">
        <v>46290.541666666664</v>
      </c>
      <c r="L33" s="133"/>
      <c r="M33">
        <v>3</v>
      </c>
      <c r="O33" t="s">
        <v>174</v>
      </c>
      <c r="P33" t="s">
        <v>175</v>
      </c>
      <c r="S33" t="s">
        <v>229</v>
      </c>
      <c r="T33" t="s">
        <v>230</v>
      </c>
      <c r="U33" t="s">
        <v>231</v>
      </c>
      <c r="V33" t="s">
        <v>188</v>
      </c>
      <c r="W33" t="s">
        <v>188</v>
      </c>
      <c r="X33" t="s">
        <v>188</v>
      </c>
      <c r="AA33" t="s">
        <v>232</v>
      </c>
      <c r="AB33" t="s">
        <v>233</v>
      </c>
      <c r="AD33" t="s">
        <v>188</v>
      </c>
      <c r="AF33">
        <v>0</v>
      </c>
    </row>
    <row r="34" spans="1:32" x14ac:dyDescent="0.3">
      <c r="A34" s="126" t="s">
        <v>124</v>
      </c>
      <c r="B34" s="126" t="s">
        <v>190</v>
      </c>
      <c r="C34" s="126" t="s">
        <v>126</v>
      </c>
      <c r="D34" s="126" t="s">
        <v>170</v>
      </c>
      <c r="E34" s="126" t="s">
        <v>234</v>
      </c>
      <c r="F34" s="132">
        <v>46309.349305555559</v>
      </c>
      <c r="G34" s="126" t="s">
        <v>192</v>
      </c>
      <c r="H34" s="126">
        <v>9</v>
      </c>
      <c r="I34" s="126" t="s">
        <v>235</v>
      </c>
      <c r="J34" s="132">
        <v>46309.48333333333</v>
      </c>
      <c r="K34" s="132">
        <v>46315.513194444444</v>
      </c>
      <c r="L34" s="132"/>
      <c r="M34" s="126">
        <v>9</v>
      </c>
      <c r="N34" s="126"/>
      <c r="O34" s="126" t="s">
        <v>174</v>
      </c>
      <c r="P34" s="126" t="s">
        <v>175</v>
      </c>
      <c r="Q34" s="126"/>
      <c r="R34" s="126"/>
      <c r="S34" s="126" t="s">
        <v>185</v>
      </c>
      <c r="T34" s="126" t="s">
        <v>186</v>
      </c>
      <c r="U34" s="126" t="s">
        <v>187</v>
      </c>
      <c r="V34" s="126" t="s">
        <v>124</v>
      </c>
      <c r="W34" s="126" t="s">
        <v>179</v>
      </c>
      <c r="X34" s="126" t="s">
        <v>178</v>
      </c>
      <c r="Y34" s="126"/>
      <c r="Z34" s="126"/>
      <c r="AA34" s="126" t="s">
        <v>35</v>
      </c>
      <c r="AB34" s="126" t="s">
        <v>185</v>
      </c>
      <c r="AC34" s="126"/>
      <c r="AD34" s="126" t="s">
        <v>52</v>
      </c>
      <c r="AE34" s="126">
        <v>1</v>
      </c>
      <c r="AF34" s="126"/>
    </row>
    <row r="35" spans="1:32" x14ac:dyDescent="0.3">
      <c r="A35" t="s">
        <v>124</v>
      </c>
      <c r="B35" t="s">
        <v>203</v>
      </c>
      <c r="C35" t="s">
        <v>204</v>
      </c>
      <c r="D35" t="s">
        <v>170</v>
      </c>
      <c r="E35" t="s">
        <v>200</v>
      </c>
      <c r="F35" s="133">
        <v>46302.606249999997</v>
      </c>
      <c r="G35" t="s">
        <v>201</v>
      </c>
      <c r="H35">
        <v>268</v>
      </c>
      <c r="I35" t="s">
        <v>202</v>
      </c>
      <c r="J35" s="133">
        <v>46302.662499999999</v>
      </c>
      <c r="K35" s="133">
        <v>46304.631944444445</v>
      </c>
      <c r="L35" s="133"/>
      <c r="M35">
        <v>268</v>
      </c>
      <c r="O35" t="s">
        <v>205</v>
      </c>
      <c r="S35" t="s">
        <v>176</v>
      </c>
      <c r="T35" t="s">
        <v>177</v>
      </c>
      <c r="U35" t="s">
        <v>178</v>
      </c>
      <c r="V35" t="s">
        <v>188</v>
      </c>
      <c r="W35" t="s">
        <v>188</v>
      </c>
      <c r="X35" t="s">
        <v>188</v>
      </c>
      <c r="Z35">
        <v>1</v>
      </c>
      <c r="AA35" t="s">
        <v>87</v>
      </c>
      <c r="AB35" t="s">
        <v>180</v>
      </c>
      <c r="AC35">
        <v>2011</v>
      </c>
      <c r="AD35" t="s">
        <v>92</v>
      </c>
      <c r="AE35">
        <v>268</v>
      </c>
    </row>
    <row r="36" spans="1:32" x14ac:dyDescent="0.3">
      <c r="A36" s="126" t="s">
        <v>124</v>
      </c>
      <c r="B36" s="126" t="s">
        <v>194</v>
      </c>
      <c r="C36" s="126" t="s">
        <v>195</v>
      </c>
      <c r="D36" s="126" t="s">
        <v>170</v>
      </c>
      <c r="E36" s="126" t="s">
        <v>236</v>
      </c>
      <c r="F36" s="132">
        <v>46295.416550925926</v>
      </c>
      <c r="G36" s="126" t="s">
        <v>201</v>
      </c>
      <c r="H36" s="126">
        <v>1</v>
      </c>
      <c r="I36" s="126" t="s">
        <v>237</v>
      </c>
      <c r="J36" s="132">
        <v>46295.436909722222</v>
      </c>
      <c r="K36" s="132">
        <v>46296.3125</v>
      </c>
      <c r="L36" s="132">
        <v>46296.3125</v>
      </c>
      <c r="M36" s="126">
        <v>1</v>
      </c>
      <c r="N36" s="126"/>
      <c r="O36" s="126" t="s">
        <v>174</v>
      </c>
      <c r="P36" s="126" t="s">
        <v>209</v>
      </c>
      <c r="Q36" s="126"/>
      <c r="R36" s="126"/>
      <c r="S36" s="126" t="s">
        <v>176</v>
      </c>
      <c r="T36" s="126" t="s">
        <v>177</v>
      </c>
      <c r="U36" s="126" t="s">
        <v>178</v>
      </c>
      <c r="V36" s="126" t="s">
        <v>188</v>
      </c>
      <c r="W36" s="126" t="s">
        <v>188</v>
      </c>
      <c r="X36" s="126" t="s">
        <v>188</v>
      </c>
      <c r="Y36" s="126"/>
      <c r="Z36" s="126"/>
      <c r="AA36" s="126" t="s">
        <v>199</v>
      </c>
      <c r="AB36" s="126" t="s">
        <v>180</v>
      </c>
      <c r="AC36" s="126">
        <v>2011</v>
      </c>
      <c r="AD36" s="126" t="s">
        <v>95</v>
      </c>
      <c r="AE36" s="126">
        <v>1</v>
      </c>
      <c r="AF36" s="126">
        <v>1</v>
      </c>
    </row>
    <row r="37" spans="1:32" x14ac:dyDescent="0.3">
      <c r="A37" t="s">
        <v>124</v>
      </c>
      <c r="B37" t="s">
        <v>203</v>
      </c>
      <c r="C37" t="s">
        <v>204</v>
      </c>
      <c r="D37" t="s">
        <v>170</v>
      </c>
      <c r="E37" t="s">
        <v>238</v>
      </c>
      <c r="F37" s="133">
        <v>46303.591666666667</v>
      </c>
      <c r="G37" t="s">
        <v>172</v>
      </c>
      <c r="H37">
        <v>777</v>
      </c>
      <c r="I37" t="s">
        <v>239</v>
      </c>
      <c r="J37" s="133">
        <v>46303.674305555556</v>
      </c>
      <c r="K37" s="133">
        <v>46304.506944444445</v>
      </c>
      <c r="L37" s="133"/>
      <c r="M37">
        <v>777</v>
      </c>
      <c r="S37" t="s">
        <v>176</v>
      </c>
      <c r="T37" t="s">
        <v>177</v>
      </c>
      <c r="U37" t="s">
        <v>178</v>
      </c>
      <c r="V37" t="s">
        <v>188</v>
      </c>
      <c r="W37" t="s">
        <v>188</v>
      </c>
      <c r="X37" t="s">
        <v>188</v>
      </c>
      <c r="Z37">
        <v>1</v>
      </c>
      <c r="AA37" t="s">
        <v>87</v>
      </c>
      <c r="AB37" t="s">
        <v>180</v>
      </c>
      <c r="AC37">
        <v>2011</v>
      </c>
      <c r="AD37" t="s">
        <v>92</v>
      </c>
      <c r="AE37">
        <v>777</v>
      </c>
    </row>
    <row r="38" spans="1:32" x14ac:dyDescent="0.3">
      <c r="A38" s="126" t="s">
        <v>124</v>
      </c>
      <c r="B38" s="126" t="s">
        <v>194</v>
      </c>
      <c r="C38" s="126" t="s">
        <v>195</v>
      </c>
      <c r="D38" s="126" t="s">
        <v>170</v>
      </c>
      <c r="E38" s="126" t="s">
        <v>238</v>
      </c>
      <c r="F38" s="132">
        <v>46303.591666666667</v>
      </c>
      <c r="G38" s="126" t="s">
        <v>172</v>
      </c>
      <c r="H38" s="126">
        <v>10</v>
      </c>
      <c r="I38" s="126" t="s">
        <v>239</v>
      </c>
      <c r="J38" s="132">
        <v>46303.674305555556</v>
      </c>
      <c r="K38" s="132">
        <v>46304.506944444445</v>
      </c>
      <c r="L38" s="132">
        <v>46294.506249999999</v>
      </c>
      <c r="M38" s="126">
        <v>10</v>
      </c>
      <c r="N38" s="126"/>
      <c r="O38" s="126" t="s">
        <v>174</v>
      </c>
      <c r="P38" s="126" t="s">
        <v>175</v>
      </c>
      <c r="Q38" s="126"/>
      <c r="R38" s="126"/>
      <c r="S38" s="126" t="s">
        <v>176</v>
      </c>
      <c r="T38" s="126" t="s">
        <v>177</v>
      </c>
      <c r="U38" s="126" t="s">
        <v>178</v>
      </c>
      <c r="V38" s="126" t="s">
        <v>188</v>
      </c>
      <c r="W38" s="126" t="s">
        <v>188</v>
      </c>
      <c r="X38" s="126" t="s">
        <v>188</v>
      </c>
      <c r="Y38" s="126"/>
      <c r="Z38" s="126"/>
      <c r="AA38" s="126" t="s">
        <v>199</v>
      </c>
      <c r="AB38" s="126" t="s">
        <v>180</v>
      </c>
      <c r="AC38" s="126">
        <v>2011</v>
      </c>
      <c r="AD38" s="126" t="s">
        <v>95</v>
      </c>
      <c r="AE38" s="126">
        <v>1</v>
      </c>
      <c r="AF38" s="126"/>
    </row>
    <row r="39" spans="1:32" x14ac:dyDescent="0.3">
      <c r="A39" t="s">
        <v>124</v>
      </c>
      <c r="B39" t="s">
        <v>194</v>
      </c>
      <c r="C39" t="s">
        <v>195</v>
      </c>
      <c r="D39" t="s">
        <v>170</v>
      </c>
      <c r="E39" t="s">
        <v>236</v>
      </c>
      <c r="F39" s="133">
        <v>46295.416550925926</v>
      </c>
      <c r="G39" t="s">
        <v>201</v>
      </c>
      <c r="H39">
        <v>1</v>
      </c>
      <c r="I39" t="s">
        <v>237</v>
      </c>
      <c r="J39" s="133">
        <v>46295.436909722222</v>
      </c>
      <c r="K39" s="133">
        <v>46296.3125</v>
      </c>
      <c r="L39" s="133">
        <v>46296.3125</v>
      </c>
      <c r="M39">
        <v>1</v>
      </c>
      <c r="O39" t="s">
        <v>205</v>
      </c>
      <c r="S39" t="s">
        <v>176</v>
      </c>
      <c r="T39" t="s">
        <v>177</v>
      </c>
      <c r="U39" t="s">
        <v>178</v>
      </c>
      <c r="V39" t="s">
        <v>188</v>
      </c>
      <c r="W39" t="s">
        <v>188</v>
      </c>
      <c r="X39" t="s">
        <v>188</v>
      </c>
      <c r="AA39" t="s">
        <v>199</v>
      </c>
      <c r="AB39" t="s">
        <v>180</v>
      </c>
      <c r="AC39">
        <v>2011</v>
      </c>
      <c r="AD39" t="s">
        <v>95</v>
      </c>
      <c r="AE39">
        <v>1</v>
      </c>
    </row>
    <row r="40" spans="1:32" x14ac:dyDescent="0.3">
      <c r="A40" s="126" t="s">
        <v>124</v>
      </c>
      <c r="B40" s="126" t="s">
        <v>203</v>
      </c>
      <c r="C40" s="126" t="s">
        <v>204</v>
      </c>
      <c r="D40" s="126" t="s">
        <v>170</v>
      </c>
      <c r="E40" s="126" t="s">
        <v>236</v>
      </c>
      <c r="F40" s="132">
        <v>46295.416550925926</v>
      </c>
      <c r="G40" s="126" t="s">
        <v>201</v>
      </c>
      <c r="H40" s="126">
        <v>8</v>
      </c>
      <c r="I40" s="126" t="s">
        <v>237</v>
      </c>
      <c r="J40" s="132">
        <v>46295.436909722222</v>
      </c>
      <c r="K40" s="132">
        <v>46296.3125</v>
      </c>
      <c r="L40" s="132"/>
      <c r="M40" s="126">
        <v>8</v>
      </c>
      <c r="N40" s="126"/>
      <c r="O40" s="126" t="s">
        <v>174</v>
      </c>
      <c r="P40" s="126" t="s">
        <v>209</v>
      </c>
      <c r="Q40" s="126"/>
      <c r="R40" s="126"/>
      <c r="S40" s="126" t="s">
        <v>176</v>
      </c>
      <c r="T40" s="126" t="s">
        <v>177</v>
      </c>
      <c r="U40" s="126" t="s">
        <v>178</v>
      </c>
      <c r="V40" s="126" t="s">
        <v>188</v>
      </c>
      <c r="W40" s="126" t="s">
        <v>188</v>
      </c>
      <c r="X40" s="126" t="s">
        <v>188</v>
      </c>
      <c r="Y40" s="126"/>
      <c r="Z40" s="126">
        <v>1</v>
      </c>
      <c r="AA40" s="126" t="s">
        <v>87</v>
      </c>
      <c r="AB40" s="126" t="s">
        <v>180</v>
      </c>
      <c r="AC40" s="126">
        <v>2011</v>
      </c>
      <c r="AD40" s="126" t="s">
        <v>92</v>
      </c>
      <c r="AE40" s="126">
        <v>8</v>
      </c>
      <c r="AF40" s="126">
        <v>173.9</v>
      </c>
    </row>
    <row r="41" spans="1:32" x14ac:dyDescent="0.3">
      <c r="A41" t="s">
        <v>124</v>
      </c>
      <c r="B41" t="s">
        <v>194</v>
      </c>
      <c r="C41" t="s">
        <v>195</v>
      </c>
      <c r="D41" t="s">
        <v>170</v>
      </c>
      <c r="E41" t="s">
        <v>236</v>
      </c>
      <c r="F41" s="133">
        <v>46295.416550925926</v>
      </c>
      <c r="G41" t="s">
        <v>201</v>
      </c>
      <c r="H41">
        <v>21</v>
      </c>
      <c r="I41" t="s">
        <v>237</v>
      </c>
      <c r="J41" s="133">
        <v>46295.436909722222</v>
      </c>
      <c r="K41" s="133">
        <v>46296.3125</v>
      </c>
      <c r="L41" s="133">
        <v>46296.3125</v>
      </c>
      <c r="M41">
        <v>21</v>
      </c>
      <c r="O41" t="s">
        <v>205</v>
      </c>
      <c r="S41" t="s">
        <v>176</v>
      </c>
      <c r="T41" t="s">
        <v>177</v>
      </c>
      <c r="U41" t="s">
        <v>178</v>
      </c>
      <c r="V41" t="s">
        <v>188</v>
      </c>
      <c r="W41" t="s">
        <v>188</v>
      </c>
      <c r="X41" t="s">
        <v>188</v>
      </c>
      <c r="AA41" t="s">
        <v>199</v>
      </c>
      <c r="AB41" t="s">
        <v>180</v>
      </c>
      <c r="AC41">
        <v>2011</v>
      </c>
      <c r="AD41" t="s">
        <v>95</v>
      </c>
      <c r="AE41">
        <v>2.1</v>
      </c>
    </row>
    <row r="42" spans="1:32" x14ac:dyDescent="0.3">
      <c r="A42" s="126" t="s">
        <v>124</v>
      </c>
      <c r="B42" s="126" t="s">
        <v>203</v>
      </c>
      <c r="C42" s="126" t="s">
        <v>204</v>
      </c>
      <c r="D42" s="126" t="s">
        <v>170</v>
      </c>
      <c r="E42" s="126" t="s">
        <v>236</v>
      </c>
      <c r="F42" s="132">
        <v>46295.416550925926</v>
      </c>
      <c r="G42" s="126" t="s">
        <v>201</v>
      </c>
      <c r="H42" s="126">
        <v>1718</v>
      </c>
      <c r="I42" s="126" t="s">
        <v>237</v>
      </c>
      <c r="J42" s="132">
        <v>46295.436909722222</v>
      </c>
      <c r="K42" s="132">
        <v>46296.3125</v>
      </c>
      <c r="L42" s="132"/>
      <c r="M42" s="126">
        <v>1718</v>
      </c>
      <c r="N42" s="126"/>
      <c r="O42" s="126" t="s">
        <v>205</v>
      </c>
      <c r="P42" s="126"/>
      <c r="Q42" s="126"/>
      <c r="R42" s="126"/>
      <c r="S42" s="126" t="s">
        <v>176</v>
      </c>
      <c r="T42" s="126" t="s">
        <v>177</v>
      </c>
      <c r="U42" s="126" t="s">
        <v>178</v>
      </c>
      <c r="V42" s="126" t="s">
        <v>188</v>
      </c>
      <c r="W42" s="126" t="s">
        <v>188</v>
      </c>
      <c r="X42" s="126" t="s">
        <v>188</v>
      </c>
      <c r="Y42" s="126"/>
      <c r="Z42" s="126">
        <v>1</v>
      </c>
      <c r="AA42" s="126" t="s">
        <v>87</v>
      </c>
      <c r="AB42" s="126" t="s">
        <v>180</v>
      </c>
      <c r="AC42" s="126">
        <v>2011</v>
      </c>
      <c r="AD42" s="126" t="s">
        <v>92</v>
      </c>
      <c r="AE42" s="126">
        <v>1718</v>
      </c>
      <c r="AF42" s="126"/>
    </row>
    <row r="43" spans="1:32" x14ac:dyDescent="0.3">
      <c r="A43" t="s">
        <v>124</v>
      </c>
      <c r="B43" t="s">
        <v>203</v>
      </c>
      <c r="C43" t="s">
        <v>204</v>
      </c>
      <c r="D43" t="s">
        <v>170</v>
      </c>
      <c r="E43" t="s">
        <v>200</v>
      </c>
      <c r="F43" s="133">
        <v>46302.606249999997</v>
      </c>
      <c r="G43" t="s">
        <v>201</v>
      </c>
      <c r="H43">
        <v>2818</v>
      </c>
      <c r="I43" t="s">
        <v>202</v>
      </c>
      <c r="J43" s="133">
        <v>46302.662499999999</v>
      </c>
      <c r="K43" s="133">
        <v>46304.631944444445</v>
      </c>
      <c r="L43" s="133"/>
      <c r="M43">
        <v>2818</v>
      </c>
      <c r="O43" t="s">
        <v>205</v>
      </c>
      <c r="S43" t="s">
        <v>176</v>
      </c>
      <c r="T43" t="s">
        <v>177</v>
      </c>
      <c r="U43" t="s">
        <v>178</v>
      </c>
      <c r="V43" t="s">
        <v>188</v>
      </c>
      <c r="W43" t="s">
        <v>188</v>
      </c>
      <c r="X43" t="s">
        <v>188</v>
      </c>
      <c r="Z43">
        <v>1</v>
      </c>
      <c r="AA43" t="s">
        <v>87</v>
      </c>
      <c r="AB43" t="s">
        <v>180</v>
      </c>
      <c r="AC43">
        <v>2011</v>
      </c>
      <c r="AD43" t="s">
        <v>92</v>
      </c>
      <c r="AE43">
        <v>2818</v>
      </c>
    </row>
    <row r="44" spans="1:32" x14ac:dyDescent="0.3">
      <c r="A44" s="126" t="s">
        <v>124</v>
      </c>
      <c r="B44" s="126" t="s">
        <v>194</v>
      </c>
      <c r="C44" s="126" t="s">
        <v>195</v>
      </c>
      <c r="D44" s="126" t="s">
        <v>170</v>
      </c>
      <c r="E44" s="126" t="s">
        <v>200</v>
      </c>
      <c r="F44" s="132">
        <v>46302.606249999997</v>
      </c>
      <c r="G44" s="126" t="s">
        <v>201</v>
      </c>
      <c r="H44" s="126">
        <v>31</v>
      </c>
      <c r="I44" s="126" t="s">
        <v>202</v>
      </c>
      <c r="J44" s="132">
        <v>46302.662499999999</v>
      </c>
      <c r="K44" s="132">
        <v>46304.631944444445</v>
      </c>
      <c r="L44" s="132">
        <v>46294.506249999999</v>
      </c>
      <c r="M44" s="126">
        <v>31</v>
      </c>
      <c r="N44" s="126"/>
      <c r="O44" s="126" t="s">
        <v>205</v>
      </c>
      <c r="P44" s="126"/>
      <c r="Q44" s="126"/>
      <c r="R44" s="126"/>
      <c r="S44" s="126" t="s">
        <v>176</v>
      </c>
      <c r="T44" s="126" t="s">
        <v>177</v>
      </c>
      <c r="U44" s="126" t="s">
        <v>178</v>
      </c>
      <c r="V44" s="126" t="s">
        <v>188</v>
      </c>
      <c r="W44" s="126" t="s">
        <v>188</v>
      </c>
      <c r="X44" s="126" t="s">
        <v>188</v>
      </c>
      <c r="Y44" s="126"/>
      <c r="Z44" s="126"/>
      <c r="AA44" s="126" t="s">
        <v>199</v>
      </c>
      <c r="AB44" s="126" t="s">
        <v>180</v>
      </c>
      <c r="AC44" s="126">
        <v>2011</v>
      </c>
      <c r="AD44" s="126" t="s">
        <v>95</v>
      </c>
      <c r="AE44" s="126">
        <v>3.1</v>
      </c>
      <c r="AF44" s="126"/>
    </row>
    <row r="45" spans="1:32" x14ac:dyDescent="0.3">
      <c r="A45" t="s">
        <v>124</v>
      </c>
      <c r="B45" t="s">
        <v>203</v>
      </c>
      <c r="C45" t="s">
        <v>204</v>
      </c>
      <c r="D45" t="s">
        <v>170</v>
      </c>
      <c r="E45" t="s">
        <v>236</v>
      </c>
      <c r="F45" s="133">
        <v>46295.416550925926</v>
      </c>
      <c r="G45" t="s">
        <v>201</v>
      </c>
      <c r="H45">
        <v>13</v>
      </c>
      <c r="I45" t="s">
        <v>237</v>
      </c>
      <c r="J45" s="133">
        <v>46295.436909722222</v>
      </c>
      <c r="K45" s="133">
        <v>46296.3125</v>
      </c>
      <c r="L45" s="133"/>
      <c r="M45">
        <v>13</v>
      </c>
      <c r="O45" t="s">
        <v>205</v>
      </c>
      <c r="S45" t="s">
        <v>176</v>
      </c>
      <c r="T45" t="s">
        <v>177</v>
      </c>
      <c r="U45" t="s">
        <v>178</v>
      </c>
      <c r="V45" t="s">
        <v>188</v>
      </c>
      <c r="W45" t="s">
        <v>188</v>
      </c>
      <c r="X45" t="s">
        <v>188</v>
      </c>
      <c r="Z45">
        <v>1</v>
      </c>
      <c r="AA45" t="s">
        <v>87</v>
      </c>
      <c r="AB45" t="s">
        <v>180</v>
      </c>
      <c r="AC45">
        <v>2011</v>
      </c>
      <c r="AD45" t="s">
        <v>92</v>
      </c>
      <c r="AE45">
        <v>13</v>
      </c>
    </row>
    <row r="46" spans="1:32" x14ac:dyDescent="0.3">
      <c r="A46" s="126" t="s">
        <v>124</v>
      </c>
      <c r="B46" s="126" t="s">
        <v>190</v>
      </c>
      <c r="C46" s="126" t="s">
        <v>126</v>
      </c>
      <c r="D46" s="126" t="s">
        <v>170</v>
      </c>
      <c r="E46" s="126" t="s">
        <v>240</v>
      </c>
      <c r="F46" s="132">
        <v>46309.345833333333</v>
      </c>
      <c r="G46" s="126" t="s">
        <v>192</v>
      </c>
      <c r="H46" s="126">
        <v>13</v>
      </c>
      <c r="I46" s="126" t="s">
        <v>235</v>
      </c>
      <c r="J46" s="132">
        <v>46309.48333333333</v>
      </c>
      <c r="K46" s="132">
        <v>46315.513194444444</v>
      </c>
      <c r="L46" s="132"/>
      <c r="M46" s="126">
        <v>13</v>
      </c>
      <c r="N46" s="126"/>
      <c r="O46" s="126" t="s">
        <v>174</v>
      </c>
      <c r="P46" s="126" t="s">
        <v>175</v>
      </c>
      <c r="Q46" s="126"/>
      <c r="R46" s="126"/>
      <c r="S46" s="126" t="s">
        <v>185</v>
      </c>
      <c r="T46" s="126" t="s">
        <v>186</v>
      </c>
      <c r="U46" s="126" t="s">
        <v>187</v>
      </c>
      <c r="V46" s="126" t="s">
        <v>124</v>
      </c>
      <c r="W46" s="126" t="s">
        <v>179</v>
      </c>
      <c r="X46" s="126" t="s">
        <v>178</v>
      </c>
      <c r="Y46" s="126"/>
      <c r="Z46" s="126"/>
      <c r="AA46" s="126" t="s">
        <v>35</v>
      </c>
      <c r="AB46" s="126" t="s">
        <v>185</v>
      </c>
      <c r="AC46" s="126"/>
      <c r="AD46" s="126" t="s">
        <v>52</v>
      </c>
      <c r="AE46" s="126">
        <v>1.3</v>
      </c>
      <c r="AF46" s="126"/>
    </row>
    <row r="47" spans="1:32" x14ac:dyDescent="0.3">
      <c r="A47" t="s">
        <v>124</v>
      </c>
      <c r="B47" t="s">
        <v>190</v>
      </c>
      <c r="C47" t="s">
        <v>126</v>
      </c>
      <c r="D47" t="s">
        <v>170</v>
      </c>
      <c r="E47" t="s">
        <v>241</v>
      </c>
      <c r="F47" s="133">
        <v>46286.371759259258</v>
      </c>
      <c r="G47" t="s">
        <v>242</v>
      </c>
      <c r="H47">
        <v>1</v>
      </c>
      <c r="I47" t="s">
        <v>243</v>
      </c>
      <c r="J47" s="133">
        <v>46289.438194444447</v>
      </c>
      <c r="K47" s="133">
        <v>46304.431250000001</v>
      </c>
      <c r="L47" s="133"/>
      <c r="M47">
        <v>1</v>
      </c>
      <c r="O47" t="s">
        <v>174</v>
      </c>
      <c r="P47" t="s">
        <v>175</v>
      </c>
      <c r="S47" t="s">
        <v>176</v>
      </c>
      <c r="T47" t="s">
        <v>177</v>
      </c>
      <c r="U47" t="s">
        <v>178</v>
      </c>
      <c r="V47" t="s">
        <v>124</v>
      </c>
      <c r="W47" t="s">
        <v>179</v>
      </c>
      <c r="X47" t="s">
        <v>178</v>
      </c>
      <c r="Y47">
        <v>0</v>
      </c>
      <c r="AA47" t="s">
        <v>35</v>
      </c>
      <c r="AB47" t="s">
        <v>180</v>
      </c>
      <c r="AC47">
        <v>2011</v>
      </c>
      <c r="AD47" t="s">
        <v>52</v>
      </c>
      <c r="AE47">
        <v>1</v>
      </c>
    </row>
    <row r="48" spans="1:32" x14ac:dyDescent="0.3">
      <c r="A48" s="126" t="s">
        <v>124</v>
      </c>
      <c r="B48" s="126" t="s">
        <v>203</v>
      </c>
      <c r="C48" s="126" t="s">
        <v>204</v>
      </c>
      <c r="D48" s="126" t="s">
        <v>170</v>
      </c>
      <c r="E48" s="126" t="s">
        <v>244</v>
      </c>
      <c r="F48" s="132">
        <v>46297.613888888889</v>
      </c>
      <c r="G48" s="126" t="s">
        <v>245</v>
      </c>
      <c r="H48" s="126">
        <v>3</v>
      </c>
      <c r="I48" s="126" t="s">
        <v>246</v>
      </c>
      <c r="J48" s="132">
        <v>46300.581250000003</v>
      </c>
      <c r="K48" s="132">
        <v>46300.673611111109</v>
      </c>
      <c r="L48" s="132"/>
      <c r="M48" s="126">
        <v>3</v>
      </c>
      <c r="N48" s="126"/>
      <c r="O48" s="126" t="s">
        <v>174</v>
      </c>
      <c r="P48" s="126" t="s">
        <v>209</v>
      </c>
      <c r="Q48" s="126"/>
      <c r="R48" s="126"/>
      <c r="S48" s="126" t="s">
        <v>247</v>
      </c>
      <c r="T48" s="126" t="s">
        <v>248</v>
      </c>
      <c r="U48" s="126" t="s">
        <v>249</v>
      </c>
      <c r="V48" s="126" t="s">
        <v>188</v>
      </c>
      <c r="W48" s="126" t="s">
        <v>188</v>
      </c>
      <c r="X48" s="126" t="s">
        <v>188</v>
      </c>
      <c r="Y48" s="126"/>
      <c r="Z48" s="126">
        <v>1</v>
      </c>
      <c r="AA48" s="126" t="s">
        <v>87</v>
      </c>
      <c r="AB48" s="126" t="s">
        <v>250</v>
      </c>
      <c r="AC48" s="126">
        <v>2940</v>
      </c>
      <c r="AD48" s="126" t="s">
        <v>92</v>
      </c>
      <c r="AE48" s="126">
        <v>3</v>
      </c>
      <c r="AF48" s="126">
        <v>90.4</v>
      </c>
    </row>
    <row r="49" spans="1:32" x14ac:dyDescent="0.3">
      <c r="A49" t="s">
        <v>124</v>
      </c>
      <c r="B49" t="s">
        <v>190</v>
      </c>
      <c r="C49" t="s">
        <v>126</v>
      </c>
      <c r="D49" t="s">
        <v>170</v>
      </c>
      <c r="E49" t="s">
        <v>251</v>
      </c>
      <c r="F49" s="133">
        <v>46282.327233796299</v>
      </c>
      <c r="G49" t="s">
        <v>172</v>
      </c>
      <c r="H49">
        <v>15</v>
      </c>
      <c r="I49" t="s">
        <v>252</v>
      </c>
      <c r="J49" s="133">
        <v>46282.396527777775</v>
      </c>
      <c r="K49" s="133">
        <v>46290.447916666664</v>
      </c>
      <c r="L49" s="133"/>
      <c r="M49">
        <v>15</v>
      </c>
      <c r="O49" t="s">
        <v>174</v>
      </c>
      <c r="P49" t="s">
        <v>175</v>
      </c>
      <c r="S49" t="s">
        <v>185</v>
      </c>
      <c r="T49" t="s">
        <v>186</v>
      </c>
      <c r="U49" t="s">
        <v>187</v>
      </c>
      <c r="V49" t="s">
        <v>124</v>
      </c>
      <c r="W49" t="s">
        <v>179</v>
      </c>
      <c r="X49" t="s">
        <v>178</v>
      </c>
      <c r="AA49" t="s">
        <v>35</v>
      </c>
      <c r="AB49" t="s">
        <v>185</v>
      </c>
      <c r="AD49" t="s">
        <v>52</v>
      </c>
      <c r="AE49">
        <v>1.5</v>
      </c>
      <c r="AF49">
        <v>1</v>
      </c>
    </row>
    <row r="50" spans="1:32" x14ac:dyDescent="0.3">
      <c r="A50" s="126" t="s">
        <v>124</v>
      </c>
      <c r="B50" s="126" t="s">
        <v>203</v>
      </c>
      <c r="C50" s="126" t="s">
        <v>204</v>
      </c>
      <c r="D50" s="126" t="s">
        <v>170</v>
      </c>
      <c r="E50" s="126" t="s">
        <v>207</v>
      </c>
      <c r="F50" s="132">
        <v>46317.383333333331</v>
      </c>
      <c r="G50" s="126" t="s">
        <v>172</v>
      </c>
      <c r="H50" s="126">
        <v>654</v>
      </c>
      <c r="I50" s="126" t="s">
        <v>208</v>
      </c>
      <c r="J50" s="132">
        <v>46317.488194444442</v>
      </c>
      <c r="K50" s="132">
        <v>46317.675000000003</v>
      </c>
      <c r="L50" s="132"/>
      <c r="M50" s="126">
        <v>654</v>
      </c>
      <c r="N50" s="126"/>
      <c r="O50" s="126" t="s">
        <v>205</v>
      </c>
      <c r="P50" s="126"/>
      <c r="Q50" s="126"/>
      <c r="R50" s="126"/>
      <c r="S50" s="126" t="s">
        <v>176</v>
      </c>
      <c r="T50" s="126" t="s">
        <v>177</v>
      </c>
      <c r="U50" s="126" t="s">
        <v>178</v>
      </c>
      <c r="V50" s="126" t="s">
        <v>188</v>
      </c>
      <c r="W50" s="126" t="s">
        <v>188</v>
      </c>
      <c r="X50" s="126" t="s">
        <v>188</v>
      </c>
      <c r="Y50" s="126"/>
      <c r="Z50" s="126">
        <v>1</v>
      </c>
      <c r="AA50" s="126" t="s">
        <v>87</v>
      </c>
      <c r="AB50" s="126" t="s">
        <v>180</v>
      </c>
      <c r="AC50" s="126">
        <v>2011</v>
      </c>
      <c r="AD50" s="126" t="s">
        <v>92</v>
      </c>
      <c r="AE50" s="126">
        <v>654</v>
      </c>
      <c r="AF50" s="126"/>
    </row>
    <row r="51" spans="1:32" x14ac:dyDescent="0.3">
      <c r="A51" t="s">
        <v>124</v>
      </c>
      <c r="B51" t="s">
        <v>194</v>
      </c>
      <c r="C51" t="s">
        <v>195</v>
      </c>
      <c r="D51" t="s">
        <v>170</v>
      </c>
      <c r="E51" t="s">
        <v>253</v>
      </c>
      <c r="F51" s="133">
        <v>46304.636805555558</v>
      </c>
      <c r="G51" t="s">
        <v>172</v>
      </c>
      <c r="H51">
        <v>8</v>
      </c>
      <c r="I51" t="s">
        <v>254</v>
      </c>
      <c r="J51" s="133">
        <v>46304.644444444442</v>
      </c>
      <c r="K51" s="133">
        <v>46308.387499999997</v>
      </c>
      <c r="L51" s="133">
        <v>46308.387499999997</v>
      </c>
      <c r="M51">
        <v>8</v>
      </c>
      <c r="O51" t="s">
        <v>174</v>
      </c>
      <c r="P51" t="s">
        <v>209</v>
      </c>
      <c r="S51" t="s">
        <v>176</v>
      </c>
      <c r="T51" t="s">
        <v>177</v>
      </c>
      <c r="U51" t="s">
        <v>178</v>
      </c>
      <c r="V51" t="s">
        <v>188</v>
      </c>
      <c r="W51" t="s">
        <v>188</v>
      </c>
      <c r="X51" t="s">
        <v>188</v>
      </c>
      <c r="AA51" t="s">
        <v>199</v>
      </c>
      <c r="AB51" t="s">
        <v>180</v>
      </c>
      <c r="AC51">
        <v>2011</v>
      </c>
      <c r="AD51" t="s">
        <v>95</v>
      </c>
      <c r="AE51">
        <v>1</v>
      </c>
      <c r="AF51">
        <v>1</v>
      </c>
    </row>
    <row r="52" spans="1:32" x14ac:dyDescent="0.3">
      <c r="A52" s="126" t="s">
        <v>124</v>
      </c>
      <c r="B52" s="126" t="s">
        <v>203</v>
      </c>
      <c r="C52" s="126" t="s">
        <v>204</v>
      </c>
      <c r="D52" s="126" t="s">
        <v>170</v>
      </c>
      <c r="E52" s="126" t="s">
        <v>253</v>
      </c>
      <c r="F52" s="132">
        <v>46304.636805555558</v>
      </c>
      <c r="G52" s="126" t="s">
        <v>172</v>
      </c>
      <c r="H52" s="126">
        <v>675</v>
      </c>
      <c r="I52" s="126" t="s">
        <v>254</v>
      </c>
      <c r="J52" s="132">
        <v>46304.644444444442</v>
      </c>
      <c r="K52" s="132">
        <v>46308.387499999997</v>
      </c>
      <c r="L52" s="132"/>
      <c r="M52" s="126">
        <v>675</v>
      </c>
      <c r="N52" s="126"/>
      <c r="O52" s="126"/>
      <c r="P52" s="126"/>
      <c r="Q52" s="126"/>
      <c r="R52" s="126"/>
      <c r="S52" s="126" t="s">
        <v>176</v>
      </c>
      <c r="T52" s="126" t="s">
        <v>177</v>
      </c>
      <c r="U52" s="126" t="s">
        <v>178</v>
      </c>
      <c r="V52" s="126" t="s">
        <v>188</v>
      </c>
      <c r="W52" s="126" t="s">
        <v>188</v>
      </c>
      <c r="X52" s="126" t="s">
        <v>188</v>
      </c>
      <c r="Y52" s="126"/>
      <c r="Z52" s="126">
        <v>1</v>
      </c>
      <c r="AA52" s="126" t="s">
        <v>87</v>
      </c>
      <c r="AB52" s="126" t="s">
        <v>180</v>
      </c>
      <c r="AC52" s="126">
        <v>2011</v>
      </c>
      <c r="AD52" s="126" t="s">
        <v>92</v>
      </c>
      <c r="AE52" s="126">
        <v>675</v>
      </c>
      <c r="AF52" s="126">
        <v>107.8</v>
      </c>
    </row>
    <row r="53" spans="1:32" x14ac:dyDescent="0.3">
      <c r="A53" t="s">
        <v>124</v>
      </c>
      <c r="B53" t="s">
        <v>194</v>
      </c>
      <c r="C53" t="s">
        <v>195</v>
      </c>
      <c r="D53" t="s">
        <v>170</v>
      </c>
      <c r="E53" t="s">
        <v>255</v>
      </c>
      <c r="F53" s="133">
        <v>46303.5546875</v>
      </c>
      <c r="G53" t="s">
        <v>256</v>
      </c>
      <c r="H53">
        <v>1</v>
      </c>
      <c r="I53" t="s">
        <v>257</v>
      </c>
      <c r="J53" s="133">
        <v>46310.477777777778</v>
      </c>
      <c r="K53" s="133">
        <v>46311.585416666669</v>
      </c>
      <c r="L53" s="133">
        <v>46311.585416666669</v>
      </c>
      <c r="M53">
        <v>1</v>
      </c>
      <c r="O53" t="s">
        <v>174</v>
      </c>
      <c r="P53" t="s">
        <v>209</v>
      </c>
      <c r="S53" t="s">
        <v>176</v>
      </c>
      <c r="T53" t="s">
        <v>177</v>
      </c>
      <c r="U53" t="s">
        <v>178</v>
      </c>
      <c r="V53" t="s">
        <v>188</v>
      </c>
      <c r="W53" t="s">
        <v>188</v>
      </c>
      <c r="X53" t="s">
        <v>188</v>
      </c>
      <c r="AA53" t="s">
        <v>199</v>
      </c>
      <c r="AB53" t="s">
        <v>180</v>
      </c>
      <c r="AC53">
        <v>2011</v>
      </c>
      <c r="AD53" t="s">
        <v>95</v>
      </c>
      <c r="AE53">
        <v>1</v>
      </c>
      <c r="AF53">
        <v>1</v>
      </c>
    </row>
    <row r="54" spans="1:32" x14ac:dyDescent="0.3">
      <c r="A54" s="126" t="s">
        <v>124</v>
      </c>
      <c r="B54" s="126" t="s">
        <v>203</v>
      </c>
      <c r="C54" s="126" t="s">
        <v>204</v>
      </c>
      <c r="D54" s="126" t="s">
        <v>170</v>
      </c>
      <c r="E54" s="126" t="s">
        <v>255</v>
      </c>
      <c r="F54" s="132">
        <v>46303.5546875</v>
      </c>
      <c r="G54" s="126" t="s">
        <v>256</v>
      </c>
      <c r="H54" s="126">
        <v>5</v>
      </c>
      <c r="I54" s="126" t="s">
        <v>257</v>
      </c>
      <c r="J54" s="132">
        <v>46310.477777777778</v>
      </c>
      <c r="K54" s="132">
        <v>46311.585416666669</v>
      </c>
      <c r="L54" s="132"/>
      <c r="M54" s="126">
        <v>5</v>
      </c>
      <c r="N54" s="126"/>
      <c r="O54" s="126" t="s">
        <v>174</v>
      </c>
      <c r="P54" s="126" t="s">
        <v>209</v>
      </c>
      <c r="Q54" s="126"/>
      <c r="R54" s="126"/>
      <c r="S54" s="126" t="s">
        <v>176</v>
      </c>
      <c r="T54" s="126" t="s">
        <v>177</v>
      </c>
      <c r="U54" s="126" t="s">
        <v>178</v>
      </c>
      <c r="V54" s="126" t="s">
        <v>188</v>
      </c>
      <c r="W54" s="126" t="s">
        <v>188</v>
      </c>
      <c r="X54" s="126" t="s">
        <v>188</v>
      </c>
      <c r="Y54" s="126"/>
      <c r="Z54" s="126">
        <v>1</v>
      </c>
      <c r="AA54" s="126" t="s">
        <v>87</v>
      </c>
      <c r="AB54" s="126" t="s">
        <v>180</v>
      </c>
      <c r="AC54" s="126">
        <v>2011</v>
      </c>
      <c r="AD54" s="126" t="s">
        <v>92</v>
      </c>
      <c r="AE54" s="126">
        <v>5</v>
      </c>
      <c r="AF54" s="126">
        <v>2</v>
      </c>
    </row>
    <row r="55" spans="1:32" x14ac:dyDescent="0.3">
      <c r="A55" t="s">
        <v>124</v>
      </c>
      <c r="B55" t="s">
        <v>194</v>
      </c>
      <c r="C55" t="s">
        <v>195</v>
      </c>
      <c r="D55" t="s">
        <v>170</v>
      </c>
      <c r="E55" t="s">
        <v>255</v>
      </c>
      <c r="F55" s="133">
        <v>46303.5546875</v>
      </c>
      <c r="G55" t="s">
        <v>256</v>
      </c>
      <c r="H55">
        <v>1</v>
      </c>
      <c r="I55" t="s">
        <v>257</v>
      </c>
      <c r="J55" s="133">
        <v>46310.477777777778</v>
      </c>
      <c r="K55" s="133">
        <v>46311.585416666669</v>
      </c>
      <c r="L55" s="133">
        <v>46311.585416666669</v>
      </c>
      <c r="M55">
        <v>1</v>
      </c>
      <c r="O55" t="s">
        <v>205</v>
      </c>
      <c r="S55" t="s">
        <v>176</v>
      </c>
      <c r="T55" t="s">
        <v>177</v>
      </c>
      <c r="U55" t="s">
        <v>178</v>
      </c>
      <c r="V55" t="s">
        <v>188</v>
      </c>
      <c r="W55" t="s">
        <v>188</v>
      </c>
      <c r="X55" t="s">
        <v>188</v>
      </c>
      <c r="AA55" t="s">
        <v>199</v>
      </c>
      <c r="AB55" t="s">
        <v>180</v>
      </c>
      <c r="AC55">
        <v>2011</v>
      </c>
      <c r="AD55" t="s">
        <v>95</v>
      </c>
      <c r="AE55">
        <v>1</v>
      </c>
    </row>
    <row r="56" spans="1:32" x14ac:dyDescent="0.3">
      <c r="A56" s="126" t="s">
        <v>124</v>
      </c>
      <c r="B56" s="126" t="s">
        <v>203</v>
      </c>
      <c r="C56" s="126" t="s">
        <v>204</v>
      </c>
      <c r="D56" s="126" t="s">
        <v>170</v>
      </c>
      <c r="E56" s="126" t="s">
        <v>255</v>
      </c>
      <c r="F56" s="132">
        <v>46303.5546875</v>
      </c>
      <c r="G56" s="126" t="s">
        <v>256</v>
      </c>
      <c r="H56" s="126">
        <v>3</v>
      </c>
      <c r="I56" s="126" t="s">
        <v>257</v>
      </c>
      <c r="J56" s="132">
        <v>46310.477777777778</v>
      </c>
      <c r="K56" s="132">
        <v>46311.585416666669</v>
      </c>
      <c r="L56" s="132"/>
      <c r="M56" s="126">
        <v>3</v>
      </c>
      <c r="N56" s="126"/>
      <c r="O56" s="126" t="s">
        <v>205</v>
      </c>
      <c r="P56" s="126"/>
      <c r="Q56" s="126"/>
      <c r="R56" s="126"/>
      <c r="S56" s="126" t="s">
        <v>176</v>
      </c>
      <c r="T56" s="126" t="s">
        <v>177</v>
      </c>
      <c r="U56" s="126" t="s">
        <v>178</v>
      </c>
      <c r="V56" s="126" t="s">
        <v>188</v>
      </c>
      <c r="W56" s="126" t="s">
        <v>188</v>
      </c>
      <c r="X56" s="126" t="s">
        <v>188</v>
      </c>
      <c r="Y56" s="126"/>
      <c r="Z56" s="126">
        <v>1</v>
      </c>
      <c r="AA56" s="126" t="s">
        <v>87</v>
      </c>
      <c r="AB56" s="126" t="s">
        <v>180</v>
      </c>
      <c r="AC56" s="126">
        <v>2011</v>
      </c>
      <c r="AD56" s="126" t="s">
        <v>92</v>
      </c>
      <c r="AE56" s="126">
        <v>3</v>
      </c>
      <c r="AF56" s="126"/>
    </row>
    <row r="57" spans="1:32" x14ac:dyDescent="0.3">
      <c r="A57" t="s">
        <v>124</v>
      </c>
      <c r="B57" t="s">
        <v>190</v>
      </c>
      <c r="C57" t="s">
        <v>126</v>
      </c>
      <c r="D57" t="s">
        <v>170</v>
      </c>
      <c r="E57" t="s">
        <v>258</v>
      </c>
      <c r="F57" s="133">
        <v>46286.369247685187</v>
      </c>
      <c r="G57" t="s">
        <v>242</v>
      </c>
      <c r="H57">
        <v>1</v>
      </c>
      <c r="I57" t="s">
        <v>243</v>
      </c>
      <c r="J57" s="133">
        <v>46289.438194444447</v>
      </c>
      <c r="K57" s="133">
        <v>46304.431250000001</v>
      </c>
      <c r="L57" s="133"/>
      <c r="M57">
        <v>1</v>
      </c>
      <c r="O57" t="s">
        <v>174</v>
      </c>
      <c r="P57" t="s">
        <v>175</v>
      </c>
      <c r="S57" t="s">
        <v>176</v>
      </c>
      <c r="T57" t="s">
        <v>177</v>
      </c>
      <c r="U57" t="s">
        <v>178</v>
      </c>
      <c r="V57" t="s">
        <v>124</v>
      </c>
      <c r="W57" t="s">
        <v>179</v>
      </c>
      <c r="X57" t="s">
        <v>178</v>
      </c>
      <c r="AA57" t="s">
        <v>35</v>
      </c>
      <c r="AB57" t="s">
        <v>180</v>
      </c>
      <c r="AC57">
        <v>2011</v>
      </c>
      <c r="AD57" t="s">
        <v>52</v>
      </c>
      <c r="AE57">
        <v>1</v>
      </c>
    </row>
    <row r="58" spans="1:32" x14ac:dyDescent="0.3">
      <c r="A58" s="126" t="s">
        <v>124</v>
      </c>
      <c r="B58" s="126" t="s">
        <v>194</v>
      </c>
      <c r="C58" s="126" t="s">
        <v>195</v>
      </c>
      <c r="D58" s="126" t="s">
        <v>170</v>
      </c>
      <c r="E58" s="126" t="s">
        <v>255</v>
      </c>
      <c r="F58" s="132">
        <v>46303.5546875</v>
      </c>
      <c r="G58" s="126" t="s">
        <v>256</v>
      </c>
      <c r="H58" s="126">
        <v>1</v>
      </c>
      <c r="I58" s="126" t="s">
        <v>257</v>
      </c>
      <c r="J58" s="132">
        <v>46310.477777777778</v>
      </c>
      <c r="K58" s="132">
        <v>46311.585416666669</v>
      </c>
      <c r="L58" s="132">
        <v>46311.585416666669</v>
      </c>
      <c r="M58" s="126">
        <v>1</v>
      </c>
      <c r="N58" s="126"/>
      <c r="O58" s="126" t="s">
        <v>205</v>
      </c>
      <c r="P58" s="126"/>
      <c r="Q58" s="126"/>
      <c r="R58" s="126"/>
      <c r="S58" s="126" t="s">
        <v>176</v>
      </c>
      <c r="T58" s="126" t="s">
        <v>177</v>
      </c>
      <c r="U58" s="126" t="s">
        <v>178</v>
      </c>
      <c r="V58" s="126" t="s">
        <v>188</v>
      </c>
      <c r="W58" s="126" t="s">
        <v>188</v>
      </c>
      <c r="X58" s="126" t="s">
        <v>188</v>
      </c>
      <c r="Y58" s="126"/>
      <c r="Z58" s="126"/>
      <c r="AA58" s="126" t="s">
        <v>199</v>
      </c>
      <c r="AB58" s="126" t="s">
        <v>180</v>
      </c>
      <c r="AC58" s="126">
        <v>2011</v>
      </c>
      <c r="AD58" s="126" t="s">
        <v>95</v>
      </c>
      <c r="AE58" s="126">
        <v>1</v>
      </c>
      <c r="AF58" s="126"/>
    </row>
    <row r="59" spans="1:32" x14ac:dyDescent="0.3">
      <c r="A59" t="s">
        <v>124</v>
      </c>
      <c r="B59" t="s">
        <v>203</v>
      </c>
      <c r="C59" t="s">
        <v>204</v>
      </c>
      <c r="D59" t="s">
        <v>170</v>
      </c>
      <c r="E59" t="s">
        <v>255</v>
      </c>
      <c r="F59" s="133">
        <v>46303.5546875</v>
      </c>
      <c r="G59" t="s">
        <v>256</v>
      </c>
      <c r="H59">
        <v>4</v>
      </c>
      <c r="I59" t="s">
        <v>257</v>
      </c>
      <c r="J59" s="133">
        <v>46310.477777777778</v>
      </c>
      <c r="K59" s="133">
        <v>46311.585416666669</v>
      </c>
      <c r="L59" s="133"/>
      <c r="M59">
        <v>4</v>
      </c>
      <c r="O59" t="s">
        <v>205</v>
      </c>
      <c r="S59" t="s">
        <v>176</v>
      </c>
      <c r="T59" t="s">
        <v>177</v>
      </c>
      <c r="U59" t="s">
        <v>178</v>
      </c>
      <c r="V59" t="s">
        <v>188</v>
      </c>
      <c r="W59" t="s">
        <v>188</v>
      </c>
      <c r="X59" t="s">
        <v>188</v>
      </c>
      <c r="Z59">
        <v>1</v>
      </c>
      <c r="AA59" t="s">
        <v>87</v>
      </c>
      <c r="AB59" t="s">
        <v>180</v>
      </c>
      <c r="AC59">
        <v>2011</v>
      </c>
      <c r="AD59" t="s">
        <v>92</v>
      </c>
      <c r="AE59">
        <v>4</v>
      </c>
    </row>
    <row r="60" spans="1:32" x14ac:dyDescent="0.3">
      <c r="A60" s="126" t="s">
        <v>124</v>
      </c>
      <c r="B60" s="126" t="s">
        <v>194</v>
      </c>
      <c r="C60" s="126" t="s">
        <v>195</v>
      </c>
      <c r="D60" s="126" t="s">
        <v>170</v>
      </c>
      <c r="E60" s="126" t="s">
        <v>255</v>
      </c>
      <c r="F60" s="132">
        <v>46303.5546875</v>
      </c>
      <c r="G60" s="126" t="s">
        <v>256</v>
      </c>
      <c r="H60" s="126">
        <v>1</v>
      </c>
      <c r="I60" s="126" t="s">
        <v>257</v>
      </c>
      <c r="J60" s="132">
        <v>46310.477777777778</v>
      </c>
      <c r="K60" s="132">
        <v>46311.585416666669</v>
      </c>
      <c r="L60" s="132">
        <v>46311.585416666669</v>
      </c>
      <c r="M60" s="126">
        <v>1</v>
      </c>
      <c r="N60" s="126"/>
      <c r="O60" s="126" t="s">
        <v>205</v>
      </c>
      <c r="P60" s="126"/>
      <c r="Q60" s="126"/>
      <c r="R60" s="126"/>
      <c r="S60" s="126" t="s">
        <v>176</v>
      </c>
      <c r="T60" s="126" t="s">
        <v>177</v>
      </c>
      <c r="U60" s="126" t="s">
        <v>178</v>
      </c>
      <c r="V60" s="126" t="s">
        <v>188</v>
      </c>
      <c r="W60" s="126" t="s">
        <v>188</v>
      </c>
      <c r="X60" s="126" t="s">
        <v>188</v>
      </c>
      <c r="Y60" s="126"/>
      <c r="Z60" s="126"/>
      <c r="AA60" s="126" t="s">
        <v>199</v>
      </c>
      <c r="AB60" s="126" t="s">
        <v>180</v>
      </c>
      <c r="AC60" s="126">
        <v>2011</v>
      </c>
      <c r="AD60" s="126" t="s">
        <v>95</v>
      </c>
      <c r="AE60" s="126">
        <v>1</v>
      </c>
      <c r="AF60" s="126"/>
    </row>
    <row r="61" spans="1:32" x14ac:dyDescent="0.3">
      <c r="A61" t="s">
        <v>124</v>
      </c>
      <c r="B61" t="s">
        <v>203</v>
      </c>
      <c r="C61" t="s">
        <v>204</v>
      </c>
      <c r="D61" t="s">
        <v>170</v>
      </c>
      <c r="E61" t="s">
        <v>255</v>
      </c>
      <c r="F61" s="133">
        <v>46303.5546875</v>
      </c>
      <c r="G61" t="s">
        <v>256</v>
      </c>
      <c r="H61">
        <v>8</v>
      </c>
      <c r="I61" t="s">
        <v>257</v>
      </c>
      <c r="J61" s="133">
        <v>46310.477777777778</v>
      </c>
      <c r="K61" s="133">
        <v>46311.585416666669</v>
      </c>
      <c r="L61" s="133"/>
      <c r="M61">
        <v>8</v>
      </c>
      <c r="O61" t="s">
        <v>205</v>
      </c>
      <c r="S61" t="s">
        <v>176</v>
      </c>
      <c r="T61" t="s">
        <v>177</v>
      </c>
      <c r="U61" t="s">
        <v>178</v>
      </c>
      <c r="V61" t="s">
        <v>188</v>
      </c>
      <c r="W61" t="s">
        <v>188</v>
      </c>
      <c r="X61" t="s">
        <v>188</v>
      </c>
      <c r="Z61">
        <v>1</v>
      </c>
      <c r="AA61" t="s">
        <v>87</v>
      </c>
      <c r="AB61" t="s">
        <v>180</v>
      </c>
      <c r="AC61">
        <v>2011</v>
      </c>
      <c r="AD61" t="s">
        <v>92</v>
      </c>
      <c r="AE61">
        <v>8</v>
      </c>
    </row>
    <row r="62" spans="1:32" x14ac:dyDescent="0.3">
      <c r="A62" s="126" t="s">
        <v>124</v>
      </c>
      <c r="B62" s="126" t="s">
        <v>194</v>
      </c>
      <c r="C62" s="126" t="s">
        <v>195</v>
      </c>
      <c r="D62" s="126" t="s">
        <v>170</v>
      </c>
      <c r="E62" s="126" t="s">
        <v>259</v>
      </c>
      <c r="F62" s="132">
        <v>46302.519976851851</v>
      </c>
      <c r="G62" s="126" t="s">
        <v>260</v>
      </c>
      <c r="H62" s="126">
        <v>6</v>
      </c>
      <c r="I62" s="126" t="s">
        <v>261</v>
      </c>
      <c r="J62" s="132">
        <v>46308.410416666666</v>
      </c>
      <c r="K62" s="132">
        <v>46308.497916666667</v>
      </c>
      <c r="L62" s="132">
        <v>46308.497916666667</v>
      </c>
      <c r="M62" s="126">
        <v>6</v>
      </c>
      <c r="N62" s="126"/>
      <c r="O62" s="126" t="s">
        <v>174</v>
      </c>
      <c r="P62" s="126" t="s">
        <v>209</v>
      </c>
      <c r="Q62" s="126"/>
      <c r="R62" s="126"/>
      <c r="S62" s="126" t="s">
        <v>176</v>
      </c>
      <c r="T62" s="126" t="s">
        <v>177</v>
      </c>
      <c r="U62" s="126" t="s">
        <v>178</v>
      </c>
      <c r="V62" s="126" t="s">
        <v>188</v>
      </c>
      <c r="W62" s="126" t="s">
        <v>188</v>
      </c>
      <c r="X62" s="126" t="s">
        <v>188</v>
      </c>
      <c r="Y62" s="126"/>
      <c r="Z62" s="126"/>
      <c r="AA62" s="126" t="s">
        <v>199</v>
      </c>
      <c r="AB62" s="126" t="s">
        <v>180</v>
      </c>
      <c r="AC62" s="126">
        <v>2011</v>
      </c>
      <c r="AD62" s="126" t="s">
        <v>95</v>
      </c>
      <c r="AE62" s="126">
        <v>1</v>
      </c>
      <c r="AF62" s="126"/>
    </row>
    <row r="63" spans="1:32" x14ac:dyDescent="0.3">
      <c r="A63" t="s">
        <v>124</v>
      </c>
      <c r="B63" t="s">
        <v>203</v>
      </c>
      <c r="C63" t="s">
        <v>204</v>
      </c>
      <c r="D63" t="s">
        <v>170</v>
      </c>
      <c r="E63" t="s">
        <v>259</v>
      </c>
      <c r="F63" s="133">
        <v>46302.519976851851</v>
      </c>
      <c r="G63" t="s">
        <v>260</v>
      </c>
      <c r="H63">
        <v>403</v>
      </c>
      <c r="I63" t="s">
        <v>261</v>
      </c>
      <c r="J63" s="133">
        <v>46308.410416666666</v>
      </c>
      <c r="K63" s="133">
        <v>46308.497916666667</v>
      </c>
      <c r="L63" s="133"/>
      <c r="M63">
        <v>403</v>
      </c>
      <c r="O63" t="s">
        <v>174</v>
      </c>
      <c r="P63" t="s">
        <v>209</v>
      </c>
      <c r="S63" t="s">
        <v>176</v>
      </c>
      <c r="T63" t="s">
        <v>177</v>
      </c>
      <c r="U63" t="s">
        <v>178</v>
      </c>
      <c r="V63" t="s">
        <v>188</v>
      </c>
      <c r="W63" t="s">
        <v>188</v>
      </c>
      <c r="X63" t="s">
        <v>188</v>
      </c>
      <c r="Z63">
        <v>1</v>
      </c>
      <c r="AA63" t="s">
        <v>87</v>
      </c>
      <c r="AB63" t="s">
        <v>180</v>
      </c>
      <c r="AC63">
        <v>2011</v>
      </c>
      <c r="AD63" t="s">
        <v>92</v>
      </c>
      <c r="AE63">
        <v>403</v>
      </c>
    </row>
    <row r="64" spans="1:32" x14ac:dyDescent="0.3">
      <c r="A64" s="126" t="s">
        <v>124</v>
      </c>
      <c r="B64" s="126" t="s">
        <v>203</v>
      </c>
      <c r="C64" s="126" t="s">
        <v>204</v>
      </c>
      <c r="D64" s="126" t="s">
        <v>170</v>
      </c>
      <c r="E64" s="126" t="s">
        <v>262</v>
      </c>
      <c r="F64" s="132">
        <v>46316.629849537036</v>
      </c>
      <c r="G64" s="126" t="s">
        <v>197</v>
      </c>
      <c r="H64" s="126">
        <v>5</v>
      </c>
      <c r="I64" s="126" t="s">
        <v>263</v>
      </c>
      <c r="J64" s="132">
        <v>46317.393726851849</v>
      </c>
      <c r="K64" s="132">
        <v>46317.458333333336</v>
      </c>
      <c r="L64" s="132"/>
      <c r="M64" s="126">
        <v>5</v>
      </c>
      <c r="N64" s="126"/>
      <c r="O64" s="126" t="s">
        <v>174</v>
      </c>
      <c r="P64" s="126" t="s">
        <v>209</v>
      </c>
      <c r="Q64" s="126"/>
      <c r="R64" s="126"/>
      <c r="S64" s="126" t="s">
        <v>176</v>
      </c>
      <c r="T64" s="126" t="s">
        <v>177</v>
      </c>
      <c r="U64" s="126" t="s">
        <v>178</v>
      </c>
      <c r="V64" s="126" t="s">
        <v>188</v>
      </c>
      <c r="W64" s="126" t="s">
        <v>188</v>
      </c>
      <c r="X64" s="126" t="s">
        <v>188</v>
      </c>
      <c r="Y64" s="126"/>
      <c r="Z64" s="126">
        <v>1</v>
      </c>
      <c r="AA64" s="126" t="s">
        <v>87</v>
      </c>
      <c r="AB64" s="126" t="s">
        <v>180</v>
      </c>
      <c r="AC64" s="126">
        <v>2011</v>
      </c>
      <c r="AD64" s="126" t="s">
        <v>92</v>
      </c>
      <c r="AE64" s="126">
        <v>5</v>
      </c>
      <c r="AF64" s="126"/>
    </row>
    <row r="65" spans="1:32" x14ac:dyDescent="0.3">
      <c r="A65" t="s">
        <v>124</v>
      </c>
      <c r="B65" t="s">
        <v>194</v>
      </c>
      <c r="C65" t="s">
        <v>195</v>
      </c>
      <c r="D65" t="s">
        <v>170</v>
      </c>
      <c r="E65" t="s">
        <v>262</v>
      </c>
      <c r="F65" s="133">
        <v>46316.629849537036</v>
      </c>
      <c r="G65" t="s">
        <v>197</v>
      </c>
      <c r="H65">
        <v>1</v>
      </c>
      <c r="I65" t="s">
        <v>263</v>
      </c>
      <c r="J65" s="133">
        <v>46317.393726851849</v>
      </c>
      <c r="K65" s="133">
        <v>46317.458333333336</v>
      </c>
      <c r="L65" s="133">
        <v>46317.458333333336</v>
      </c>
      <c r="M65">
        <v>1</v>
      </c>
      <c r="O65" t="s">
        <v>174</v>
      </c>
      <c r="P65" t="s">
        <v>209</v>
      </c>
      <c r="S65" t="s">
        <v>176</v>
      </c>
      <c r="T65" t="s">
        <v>177</v>
      </c>
      <c r="U65" t="s">
        <v>178</v>
      </c>
      <c r="V65" t="s">
        <v>188</v>
      </c>
      <c r="W65" t="s">
        <v>188</v>
      </c>
      <c r="X65" t="s">
        <v>188</v>
      </c>
      <c r="AA65" t="s">
        <v>199</v>
      </c>
      <c r="AB65" t="s">
        <v>180</v>
      </c>
      <c r="AC65">
        <v>2011</v>
      </c>
      <c r="AD65" t="s">
        <v>95</v>
      </c>
      <c r="AE65">
        <v>1</v>
      </c>
    </row>
    <row r="66" spans="1:32" x14ac:dyDescent="0.3">
      <c r="A66" s="126" t="s">
        <v>124</v>
      </c>
      <c r="B66" s="126" t="s">
        <v>181</v>
      </c>
      <c r="C66" s="126" t="s">
        <v>182</v>
      </c>
      <c r="D66" s="126" t="s">
        <v>170</v>
      </c>
      <c r="E66" s="126" t="s">
        <v>262</v>
      </c>
      <c r="F66" s="132">
        <v>46316.629849537036</v>
      </c>
      <c r="G66" s="126" t="s">
        <v>197</v>
      </c>
      <c r="H66" s="126">
        <v>1</v>
      </c>
      <c r="I66" s="126" t="s">
        <v>263</v>
      </c>
      <c r="J66" s="132">
        <v>46317.393726851849</v>
      </c>
      <c r="K66" s="132">
        <v>46317.458333333336</v>
      </c>
      <c r="L66" s="132"/>
      <c r="M66" s="126">
        <v>1</v>
      </c>
      <c r="N66" s="126"/>
      <c r="O66" s="126" t="s">
        <v>174</v>
      </c>
      <c r="P66" s="126" t="s">
        <v>209</v>
      </c>
      <c r="Q66" s="126"/>
      <c r="R66" s="126"/>
      <c r="S66" s="126" t="s">
        <v>176</v>
      </c>
      <c r="T66" s="126" t="s">
        <v>177</v>
      </c>
      <c r="U66" s="126" t="s">
        <v>178</v>
      </c>
      <c r="V66" s="126" t="s">
        <v>188</v>
      </c>
      <c r="W66" s="126" t="s">
        <v>188</v>
      </c>
      <c r="X66" s="126" t="s">
        <v>188</v>
      </c>
      <c r="Y66" s="126"/>
      <c r="Z66" s="126"/>
      <c r="AA66" s="126" t="s">
        <v>189</v>
      </c>
      <c r="AB66" s="126" t="s">
        <v>180</v>
      </c>
      <c r="AC66" s="126">
        <v>2011</v>
      </c>
      <c r="AD66" s="126" t="s">
        <v>63</v>
      </c>
      <c r="AE66" s="126">
        <v>1</v>
      </c>
      <c r="AF66" s="126">
        <v>1</v>
      </c>
    </row>
    <row r="67" spans="1:32" x14ac:dyDescent="0.3">
      <c r="A67" t="s">
        <v>124</v>
      </c>
      <c r="B67" t="s">
        <v>190</v>
      </c>
      <c r="C67" t="s">
        <v>126</v>
      </c>
      <c r="D67" t="s">
        <v>170</v>
      </c>
      <c r="E67" t="s">
        <v>264</v>
      </c>
      <c r="F67" s="133">
        <v>46309.355034722219</v>
      </c>
      <c r="G67" t="s">
        <v>192</v>
      </c>
      <c r="H67">
        <v>9</v>
      </c>
      <c r="I67" t="s">
        <v>265</v>
      </c>
      <c r="J67" s="133">
        <v>46309.457638888889</v>
      </c>
      <c r="K67" s="133">
        <v>46315.506944444445</v>
      </c>
      <c r="L67" s="133"/>
      <c r="M67">
        <v>9</v>
      </c>
      <c r="O67" t="s">
        <v>174</v>
      </c>
      <c r="P67" t="s">
        <v>175</v>
      </c>
      <c r="S67" t="s">
        <v>185</v>
      </c>
      <c r="T67" t="s">
        <v>186</v>
      </c>
      <c r="U67" t="s">
        <v>187</v>
      </c>
      <c r="V67" t="s">
        <v>124</v>
      </c>
      <c r="W67" t="s">
        <v>179</v>
      </c>
      <c r="X67" t="s">
        <v>178</v>
      </c>
      <c r="AA67" t="s">
        <v>35</v>
      </c>
      <c r="AB67" t="s">
        <v>185</v>
      </c>
      <c r="AD67" t="s">
        <v>52</v>
      </c>
      <c r="AE67">
        <v>1</v>
      </c>
    </row>
    <row r="68" spans="1:32" x14ac:dyDescent="0.3">
      <c r="A68" s="126" t="s">
        <v>124</v>
      </c>
      <c r="B68" s="126" t="s">
        <v>190</v>
      </c>
      <c r="C68" s="126" t="s">
        <v>126</v>
      </c>
      <c r="D68" s="126" t="s">
        <v>170</v>
      </c>
      <c r="E68" s="126" t="s">
        <v>266</v>
      </c>
      <c r="F68" s="132">
        <v>46314.484722222223</v>
      </c>
      <c r="G68" s="126" t="s">
        <v>256</v>
      </c>
      <c r="H68" s="126">
        <v>18</v>
      </c>
      <c r="I68" s="126" t="s">
        <v>267</v>
      </c>
      <c r="J68" s="132">
        <v>46314.631944444445</v>
      </c>
      <c r="K68" s="132">
        <v>46318.493055555555</v>
      </c>
      <c r="L68" s="132"/>
      <c r="M68" s="126">
        <v>18</v>
      </c>
      <c r="N68" s="126"/>
      <c r="O68" s="126" t="s">
        <v>174</v>
      </c>
      <c r="P68" s="126" t="s">
        <v>175</v>
      </c>
      <c r="Q68" s="126"/>
      <c r="R68" s="126"/>
      <c r="S68" s="126" t="s">
        <v>176</v>
      </c>
      <c r="T68" s="126" t="s">
        <v>177</v>
      </c>
      <c r="U68" s="126" t="s">
        <v>178</v>
      </c>
      <c r="V68" s="126" t="s">
        <v>124</v>
      </c>
      <c r="W68" s="126" t="s">
        <v>179</v>
      </c>
      <c r="X68" s="126" t="s">
        <v>178</v>
      </c>
      <c r="Y68" s="126">
        <v>0</v>
      </c>
      <c r="Z68" s="126"/>
      <c r="AA68" s="126" t="s">
        <v>35</v>
      </c>
      <c r="AB68" s="126" t="s">
        <v>180</v>
      </c>
      <c r="AC68" s="126">
        <v>2011</v>
      </c>
      <c r="AD68" s="126" t="s">
        <v>52</v>
      </c>
      <c r="AE68" s="126">
        <v>1.8</v>
      </c>
      <c r="AF68" s="126"/>
    </row>
    <row r="69" spans="1:32" x14ac:dyDescent="0.3">
      <c r="A69" t="s">
        <v>124</v>
      </c>
      <c r="B69" t="s">
        <v>190</v>
      </c>
      <c r="C69" t="s">
        <v>126</v>
      </c>
      <c r="D69" t="s">
        <v>170</v>
      </c>
      <c r="E69" t="s">
        <v>268</v>
      </c>
      <c r="F69" s="133">
        <v>46286.378831018519</v>
      </c>
      <c r="G69" t="s">
        <v>242</v>
      </c>
      <c r="H69">
        <v>1</v>
      </c>
      <c r="I69" t="s">
        <v>243</v>
      </c>
      <c r="J69" s="133">
        <v>46289.438194444447</v>
      </c>
      <c r="K69" s="133">
        <v>46304.431250000001</v>
      </c>
      <c r="L69" s="133"/>
      <c r="M69">
        <v>1</v>
      </c>
      <c r="O69" t="s">
        <v>174</v>
      </c>
      <c r="P69" t="s">
        <v>175</v>
      </c>
      <c r="S69" t="s">
        <v>176</v>
      </c>
      <c r="T69" t="s">
        <v>177</v>
      </c>
      <c r="U69" t="s">
        <v>178</v>
      </c>
      <c r="V69" t="s">
        <v>124</v>
      </c>
      <c r="W69" t="s">
        <v>179</v>
      </c>
      <c r="X69" t="s">
        <v>178</v>
      </c>
      <c r="AA69" t="s">
        <v>35</v>
      </c>
      <c r="AB69" t="s">
        <v>180</v>
      </c>
      <c r="AC69">
        <v>2011</v>
      </c>
      <c r="AD69" t="s">
        <v>52</v>
      </c>
      <c r="AE69">
        <v>1</v>
      </c>
    </row>
    <row r="70" spans="1:32" x14ac:dyDescent="0.3">
      <c r="A70" s="126" t="s">
        <v>124</v>
      </c>
      <c r="B70" s="126" t="s">
        <v>190</v>
      </c>
      <c r="C70" s="126" t="s">
        <v>126</v>
      </c>
      <c r="D70" s="126" t="s">
        <v>170</v>
      </c>
      <c r="E70" s="126" t="s">
        <v>269</v>
      </c>
      <c r="F70" s="132">
        <v>46286.372893518521</v>
      </c>
      <c r="G70" s="126" t="s">
        <v>242</v>
      </c>
      <c r="H70" s="126">
        <v>1</v>
      </c>
      <c r="I70" s="126" t="s">
        <v>243</v>
      </c>
      <c r="J70" s="132">
        <v>46289.438194444447</v>
      </c>
      <c r="K70" s="132">
        <v>46304.431250000001</v>
      </c>
      <c r="L70" s="132"/>
      <c r="M70" s="126">
        <v>1</v>
      </c>
      <c r="N70" s="126"/>
      <c r="O70" s="126" t="s">
        <v>174</v>
      </c>
      <c r="P70" s="126" t="s">
        <v>175</v>
      </c>
      <c r="Q70" s="126"/>
      <c r="R70" s="126"/>
      <c r="S70" s="126" t="s">
        <v>176</v>
      </c>
      <c r="T70" s="126" t="s">
        <v>177</v>
      </c>
      <c r="U70" s="126" t="s">
        <v>178</v>
      </c>
      <c r="V70" s="126" t="s">
        <v>124</v>
      </c>
      <c r="W70" s="126" t="s">
        <v>179</v>
      </c>
      <c r="X70" s="126" t="s">
        <v>178</v>
      </c>
      <c r="Y70" s="126"/>
      <c r="Z70" s="126"/>
      <c r="AA70" s="126" t="s">
        <v>35</v>
      </c>
      <c r="AB70" s="126" t="s">
        <v>180</v>
      </c>
      <c r="AC70" s="126">
        <v>2011</v>
      </c>
      <c r="AD70" s="126" t="s">
        <v>52</v>
      </c>
      <c r="AE70" s="126">
        <v>1</v>
      </c>
      <c r="AF70" s="126"/>
    </row>
    <row r="71" spans="1:32" x14ac:dyDescent="0.3">
      <c r="A71" t="s">
        <v>124</v>
      </c>
      <c r="B71" t="s">
        <v>190</v>
      </c>
      <c r="C71" t="s">
        <v>126</v>
      </c>
      <c r="D71" t="s">
        <v>170</v>
      </c>
      <c r="E71" t="s">
        <v>270</v>
      </c>
      <c r="F71" s="133">
        <v>46286.375694444447</v>
      </c>
      <c r="G71" t="s">
        <v>242</v>
      </c>
      <c r="H71">
        <v>1</v>
      </c>
      <c r="I71" t="s">
        <v>243</v>
      </c>
      <c r="J71" s="133">
        <v>46289.438194444447</v>
      </c>
      <c r="K71" s="133">
        <v>46304.431250000001</v>
      </c>
      <c r="L71" s="133"/>
      <c r="M71">
        <v>1</v>
      </c>
      <c r="O71" t="s">
        <v>174</v>
      </c>
      <c r="P71" t="s">
        <v>175</v>
      </c>
      <c r="S71" t="s">
        <v>176</v>
      </c>
      <c r="T71" t="s">
        <v>177</v>
      </c>
      <c r="U71" t="s">
        <v>178</v>
      </c>
      <c r="V71" t="s">
        <v>124</v>
      </c>
      <c r="W71" t="s">
        <v>179</v>
      </c>
      <c r="X71" t="s">
        <v>178</v>
      </c>
      <c r="AA71" t="s">
        <v>35</v>
      </c>
      <c r="AB71" t="s">
        <v>180</v>
      </c>
      <c r="AC71">
        <v>2011</v>
      </c>
      <c r="AD71" t="s">
        <v>52</v>
      </c>
      <c r="AE71">
        <v>1</v>
      </c>
    </row>
    <row r="72" spans="1:32" x14ac:dyDescent="0.3">
      <c r="A72" s="126" t="s">
        <v>124</v>
      </c>
      <c r="B72" s="126" t="s">
        <v>190</v>
      </c>
      <c r="C72" s="126" t="s">
        <v>126</v>
      </c>
      <c r="D72" s="126" t="s">
        <v>170</v>
      </c>
      <c r="E72" s="126" t="s">
        <v>271</v>
      </c>
      <c r="F72" s="132">
        <v>46286.370925925927</v>
      </c>
      <c r="G72" s="126" t="s">
        <v>242</v>
      </c>
      <c r="H72" s="126">
        <v>1</v>
      </c>
      <c r="I72" s="126" t="s">
        <v>243</v>
      </c>
      <c r="J72" s="132">
        <v>46289.438194444447</v>
      </c>
      <c r="K72" s="132">
        <v>46304.431250000001</v>
      </c>
      <c r="L72" s="132"/>
      <c r="M72" s="126">
        <v>1</v>
      </c>
      <c r="N72" s="126"/>
      <c r="O72" s="126" t="s">
        <v>174</v>
      </c>
      <c r="P72" s="126" t="s">
        <v>175</v>
      </c>
      <c r="Q72" s="126"/>
      <c r="R72" s="126"/>
      <c r="S72" s="126" t="s">
        <v>176</v>
      </c>
      <c r="T72" s="126" t="s">
        <v>177</v>
      </c>
      <c r="U72" s="126" t="s">
        <v>178</v>
      </c>
      <c r="V72" s="126" t="s">
        <v>124</v>
      </c>
      <c r="W72" s="126" t="s">
        <v>179</v>
      </c>
      <c r="X72" s="126" t="s">
        <v>178</v>
      </c>
      <c r="Y72" s="126"/>
      <c r="Z72" s="126"/>
      <c r="AA72" s="126" t="s">
        <v>35</v>
      </c>
      <c r="AB72" s="126" t="s">
        <v>180</v>
      </c>
      <c r="AC72" s="126">
        <v>2011</v>
      </c>
      <c r="AD72" s="126" t="s">
        <v>52</v>
      </c>
      <c r="AE72" s="126">
        <v>1</v>
      </c>
      <c r="AF72" s="126"/>
    </row>
    <row r="73" spans="1:32" x14ac:dyDescent="0.3">
      <c r="A73" t="s">
        <v>124</v>
      </c>
      <c r="B73" t="s">
        <v>190</v>
      </c>
      <c r="C73" t="s">
        <v>126</v>
      </c>
      <c r="D73" t="s">
        <v>170</v>
      </c>
      <c r="E73" t="s">
        <v>272</v>
      </c>
      <c r="F73" s="133">
        <v>46286.394085648149</v>
      </c>
      <c r="G73" t="s">
        <v>242</v>
      </c>
      <c r="H73">
        <v>1</v>
      </c>
      <c r="I73" t="s">
        <v>243</v>
      </c>
      <c r="J73" s="133">
        <v>46289.438194444447</v>
      </c>
      <c r="K73" s="133">
        <v>46304.431250000001</v>
      </c>
      <c r="L73" s="133"/>
      <c r="M73">
        <v>1</v>
      </c>
      <c r="O73" t="s">
        <v>174</v>
      </c>
      <c r="P73" t="s">
        <v>175</v>
      </c>
      <c r="S73" t="s">
        <v>176</v>
      </c>
      <c r="T73" t="s">
        <v>177</v>
      </c>
      <c r="U73" t="s">
        <v>178</v>
      </c>
      <c r="V73" t="s">
        <v>124</v>
      </c>
      <c r="W73" t="s">
        <v>179</v>
      </c>
      <c r="X73" t="s">
        <v>178</v>
      </c>
      <c r="AA73" t="s">
        <v>35</v>
      </c>
      <c r="AB73" t="s">
        <v>180</v>
      </c>
      <c r="AC73">
        <v>2011</v>
      </c>
      <c r="AD73" t="s">
        <v>52</v>
      </c>
      <c r="AE73">
        <v>1</v>
      </c>
    </row>
    <row r="74" spans="1:32" x14ac:dyDescent="0.3">
      <c r="A74" s="126" t="s">
        <v>124</v>
      </c>
      <c r="B74" s="126" t="s">
        <v>190</v>
      </c>
      <c r="C74" s="126" t="s">
        <v>126</v>
      </c>
      <c r="D74" s="126" t="s">
        <v>170</v>
      </c>
      <c r="E74" s="126" t="s">
        <v>273</v>
      </c>
      <c r="F74" s="132">
        <v>46286.374641203707</v>
      </c>
      <c r="G74" s="126" t="s">
        <v>242</v>
      </c>
      <c r="H74" s="126">
        <v>1</v>
      </c>
      <c r="I74" s="126" t="s">
        <v>243</v>
      </c>
      <c r="J74" s="132">
        <v>46289.438194444447</v>
      </c>
      <c r="K74" s="132">
        <v>46304.431250000001</v>
      </c>
      <c r="L74" s="132"/>
      <c r="M74" s="126">
        <v>1</v>
      </c>
      <c r="N74" s="126"/>
      <c r="O74" s="126" t="s">
        <v>174</v>
      </c>
      <c r="P74" s="126" t="s">
        <v>175</v>
      </c>
      <c r="Q74" s="126"/>
      <c r="R74" s="126"/>
      <c r="S74" s="126" t="s">
        <v>176</v>
      </c>
      <c r="T74" s="126" t="s">
        <v>177</v>
      </c>
      <c r="U74" s="126" t="s">
        <v>178</v>
      </c>
      <c r="V74" s="126" t="s">
        <v>124</v>
      </c>
      <c r="W74" s="126" t="s">
        <v>179</v>
      </c>
      <c r="X74" s="126" t="s">
        <v>178</v>
      </c>
      <c r="Y74" s="126"/>
      <c r="Z74" s="126"/>
      <c r="AA74" s="126" t="s">
        <v>35</v>
      </c>
      <c r="AB74" s="126" t="s">
        <v>180</v>
      </c>
      <c r="AC74" s="126">
        <v>2011</v>
      </c>
      <c r="AD74" s="126" t="s">
        <v>52</v>
      </c>
      <c r="AE74" s="126">
        <v>1</v>
      </c>
      <c r="AF74" s="126"/>
    </row>
    <row r="75" spans="1:32" x14ac:dyDescent="0.3">
      <c r="A75" t="s">
        <v>124</v>
      </c>
      <c r="B75" t="s">
        <v>190</v>
      </c>
      <c r="C75" t="s">
        <v>126</v>
      </c>
      <c r="D75" t="s">
        <v>170</v>
      </c>
      <c r="E75" t="s">
        <v>274</v>
      </c>
      <c r="F75" s="133">
        <v>46286.372118055559</v>
      </c>
      <c r="G75" t="s">
        <v>242</v>
      </c>
      <c r="H75">
        <v>1</v>
      </c>
      <c r="I75" t="s">
        <v>243</v>
      </c>
      <c r="J75" s="133">
        <v>46289.438194444447</v>
      </c>
      <c r="K75" s="133">
        <v>46304.431250000001</v>
      </c>
      <c r="L75" s="133"/>
      <c r="M75">
        <v>1</v>
      </c>
      <c r="O75" t="s">
        <v>174</v>
      </c>
      <c r="P75" t="s">
        <v>175</v>
      </c>
      <c r="S75" t="s">
        <v>176</v>
      </c>
      <c r="T75" t="s">
        <v>177</v>
      </c>
      <c r="U75" t="s">
        <v>178</v>
      </c>
      <c r="V75" t="s">
        <v>124</v>
      </c>
      <c r="W75" t="s">
        <v>179</v>
      </c>
      <c r="X75" t="s">
        <v>178</v>
      </c>
      <c r="AA75" t="s">
        <v>35</v>
      </c>
      <c r="AB75" t="s">
        <v>180</v>
      </c>
      <c r="AC75">
        <v>2011</v>
      </c>
      <c r="AD75" t="s">
        <v>52</v>
      </c>
      <c r="AE75">
        <v>1</v>
      </c>
    </row>
    <row r="76" spans="1:32" x14ac:dyDescent="0.3">
      <c r="A76" s="126" t="s">
        <v>124</v>
      </c>
      <c r="B76" s="126" t="s">
        <v>190</v>
      </c>
      <c r="C76" s="126" t="s">
        <v>126</v>
      </c>
      <c r="D76" s="126" t="s">
        <v>170</v>
      </c>
      <c r="E76" s="126" t="s">
        <v>275</v>
      </c>
      <c r="F76" s="132">
        <v>46286.371249999997</v>
      </c>
      <c r="G76" s="126" t="s">
        <v>242</v>
      </c>
      <c r="H76" s="126">
        <v>1</v>
      </c>
      <c r="I76" s="126" t="s">
        <v>243</v>
      </c>
      <c r="J76" s="132">
        <v>46289.438194444447</v>
      </c>
      <c r="K76" s="132">
        <v>46304.431250000001</v>
      </c>
      <c r="L76" s="132"/>
      <c r="M76" s="126">
        <v>1</v>
      </c>
      <c r="N76" s="126"/>
      <c r="O76" s="126" t="s">
        <v>174</v>
      </c>
      <c r="P76" s="126" t="s">
        <v>175</v>
      </c>
      <c r="Q76" s="126"/>
      <c r="R76" s="126"/>
      <c r="S76" s="126" t="s">
        <v>176</v>
      </c>
      <c r="T76" s="126" t="s">
        <v>177</v>
      </c>
      <c r="U76" s="126" t="s">
        <v>178</v>
      </c>
      <c r="V76" s="126" t="s">
        <v>124</v>
      </c>
      <c r="W76" s="126" t="s">
        <v>179</v>
      </c>
      <c r="X76" s="126" t="s">
        <v>178</v>
      </c>
      <c r="Y76" s="126"/>
      <c r="Z76" s="126"/>
      <c r="AA76" s="126" t="s">
        <v>35</v>
      </c>
      <c r="AB76" s="126" t="s">
        <v>180</v>
      </c>
      <c r="AC76" s="126">
        <v>2011</v>
      </c>
      <c r="AD76" s="126" t="s">
        <v>52</v>
      </c>
      <c r="AE76" s="126">
        <v>1</v>
      </c>
      <c r="AF76" s="126"/>
    </row>
    <row r="77" spans="1:32" x14ac:dyDescent="0.3">
      <c r="A77" t="s">
        <v>124</v>
      </c>
      <c r="B77" t="s">
        <v>190</v>
      </c>
      <c r="C77" t="s">
        <v>126</v>
      </c>
      <c r="D77" t="s">
        <v>170</v>
      </c>
      <c r="E77" t="s">
        <v>276</v>
      </c>
      <c r="F77" s="133">
        <v>46286.374189814815</v>
      </c>
      <c r="G77" t="s">
        <v>242</v>
      </c>
      <c r="H77">
        <v>1</v>
      </c>
      <c r="I77" t="s">
        <v>243</v>
      </c>
      <c r="J77" s="133">
        <v>46289.438194444447</v>
      </c>
      <c r="K77" s="133">
        <v>46304.431250000001</v>
      </c>
      <c r="L77" s="133"/>
      <c r="M77">
        <v>1</v>
      </c>
      <c r="O77" t="s">
        <v>174</v>
      </c>
      <c r="P77" t="s">
        <v>175</v>
      </c>
      <c r="S77" t="s">
        <v>176</v>
      </c>
      <c r="T77" t="s">
        <v>177</v>
      </c>
      <c r="U77" t="s">
        <v>178</v>
      </c>
      <c r="V77" t="s">
        <v>124</v>
      </c>
      <c r="W77" t="s">
        <v>179</v>
      </c>
      <c r="X77" t="s">
        <v>178</v>
      </c>
      <c r="AA77" t="s">
        <v>35</v>
      </c>
      <c r="AB77" t="s">
        <v>180</v>
      </c>
      <c r="AC77">
        <v>2011</v>
      </c>
      <c r="AD77" t="s">
        <v>52</v>
      </c>
      <c r="AE77">
        <v>1</v>
      </c>
    </row>
    <row r="78" spans="1:32" x14ac:dyDescent="0.3">
      <c r="A78" s="126" t="s">
        <v>124</v>
      </c>
      <c r="B78" s="126" t="s">
        <v>190</v>
      </c>
      <c r="C78" s="126" t="s">
        <v>126</v>
      </c>
      <c r="D78" s="126" t="s">
        <v>170</v>
      </c>
      <c r="E78" s="126" t="s">
        <v>277</v>
      </c>
      <c r="F78" s="132">
        <v>46286.369849537034</v>
      </c>
      <c r="G78" s="126" t="s">
        <v>242</v>
      </c>
      <c r="H78" s="126">
        <v>1</v>
      </c>
      <c r="I78" s="126" t="s">
        <v>243</v>
      </c>
      <c r="J78" s="132">
        <v>46289.438194444447</v>
      </c>
      <c r="K78" s="132">
        <v>46304.431250000001</v>
      </c>
      <c r="L78" s="132"/>
      <c r="M78" s="126">
        <v>1</v>
      </c>
      <c r="N78" s="126"/>
      <c r="O78" s="126" t="s">
        <v>174</v>
      </c>
      <c r="P78" s="126" t="s">
        <v>175</v>
      </c>
      <c r="Q78" s="126"/>
      <c r="R78" s="126"/>
      <c r="S78" s="126" t="s">
        <v>176</v>
      </c>
      <c r="T78" s="126" t="s">
        <v>177</v>
      </c>
      <c r="U78" s="126" t="s">
        <v>178</v>
      </c>
      <c r="V78" s="126" t="s">
        <v>124</v>
      </c>
      <c r="W78" s="126" t="s">
        <v>179</v>
      </c>
      <c r="X78" s="126" t="s">
        <v>178</v>
      </c>
      <c r="Y78" s="126"/>
      <c r="Z78" s="126"/>
      <c r="AA78" s="126" t="s">
        <v>35</v>
      </c>
      <c r="AB78" s="126" t="s">
        <v>180</v>
      </c>
      <c r="AC78" s="126">
        <v>2011</v>
      </c>
      <c r="AD78" s="126" t="s">
        <v>52</v>
      </c>
      <c r="AE78" s="126">
        <v>1</v>
      </c>
      <c r="AF78" s="126"/>
    </row>
    <row r="79" spans="1:32" x14ac:dyDescent="0.3">
      <c r="A79" t="s">
        <v>124</v>
      </c>
      <c r="B79" t="s">
        <v>190</v>
      </c>
      <c r="C79" t="s">
        <v>126</v>
      </c>
      <c r="D79" t="s">
        <v>170</v>
      </c>
      <c r="E79" t="s">
        <v>278</v>
      </c>
      <c r="F79" s="133">
        <v>46286.372476851851</v>
      </c>
      <c r="G79" t="s">
        <v>242</v>
      </c>
      <c r="H79">
        <v>1</v>
      </c>
      <c r="I79" t="s">
        <v>243</v>
      </c>
      <c r="J79" s="133">
        <v>46289.438194444447</v>
      </c>
      <c r="K79" s="133">
        <v>46304.431250000001</v>
      </c>
      <c r="L79" s="133"/>
      <c r="M79">
        <v>1</v>
      </c>
      <c r="O79" t="s">
        <v>174</v>
      </c>
      <c r="P79" t="s">
        <v>175</v>
      </c>
      <c r="S79" t="s">
        <v>176</v>
      </c>
      <c r="T79" t="s">
        <v>177</v>
      </c>
      <c r="U79" t="s">
        <v>178</v>
      </c>
      <c r="V79" t="s">
        <v>124</v>
      </c>
      <c r="W79" t="s">
        <v>179</v>
      </c>
      <c r="X79" t="s">
        <v>178</v>
      </c>
      <c r="AA79" t="s">
        <v>35</v>
      </c>
      <c r="AB79" t="s">
        <v>180</v>
      </c>
      <c r="AC79">
        <v>2011</v>
      </c>
      <c r="AD79" t="s">
        <v>52</v>
      </c>
      <c r="AE79">
        <v>1</v>
      </c>
    </row>
    <row r="80" spans="1:32" x14ac:dyDescent="0.3">
      <c r="A80" s="126" t="s">
        <v>124</v>
      </c>
      <c r="B80" s="126" t="s">
        <v>190</v>
      </c>
      <c r="C80" s="126" t="s">
        <v>126</v>
      </c>
      <c r="D80" s="126" t="s">
        <v>170</v>
      </c>
      <c r="E80" s="126" t="s">
        <v>279</v>
      </c>
      <c r="F80" s="132">
        <v>46286.370173611111</v>
      </c>
      <c r="G80" s="126" t="s">
        <v>242</v>
      </c>
      <c r="H80" s="126">
        <v>1</v>
      </c>
      <c r="I80" s="126" t="s">
        <v>243</v>
      </c>
      <c r="J80" s="132">
        <v>46289.438194444447</v>
      </c>
      <c r="K80" s="132">
        <v>46304.431250000001</v>
      </c>
      <c r="L80" s="132"/>
      <c r="M80" s="126">
        <v>1</v>
      </c>
      <c r="N80" s="126"/>
      <c r="O80" s="126" t="s">
        <v>174</v>
      </c>
      <c r="P80" s="126" t="s">
        <v>175</v>
      </c>
      <c r="Q80" s="126"/>
      <c r="R80" s="126"/>
      <c r="S80" s="126" t="s">
        <v>176</v>
      </c>
      <c r="T80" s="126" t="s">
        <v>177</v>
      </c>
      <c r="U80" s="126" t="s">
        <v>178</v>
      </c>
      <c r="V80" s="126" t="s">
        <v>124</v>
      </c>
      <c r="W80" s="126" t="s">
        <v>179</v>
      </c>
      <c r="X80" s="126" t="s">
        <v>178</v>
      </c>
      <c r="Y80" s="126"/>
      <c r="Z80" s="126"/>
      <c r="AA80" s="126" t="s">
        <v>35</v>
      </c>
      <c r="AB80" s="126" t="s">
        <v>180</v>
      </c>
      <c r="AC80" s="126">
        <v>2011</v>
      </c>
      <c r="AD80" s="126" t="s">
        <v>52</v>
      </c>
      <c r="AE80" s="126">
        <v>1</v>
      </c>
      <c r="AF80" s="126"/>
    </row>
    <row r="81" spans="1:32" x14ac:dyDescent="0.3">
      <c r="A81" t="s">
        <v>124</v>
      </c>
      <c r="B81" t="s">
        <v>190</v>
      </c>
      <c r="C81" t="s">
        <v>126</v>
      </c>
      <c r="D81" t="s">
        <v>170</v>
      </c>
      <c r="E81" t="s">
        <v>280</v>
      </c>
      <c r="F81" s="133">
        <v>46286.368171296293</v>
      </c>
      <c r="G81" t="s">
        <v>242</v>
      </c>
      <c r="H81">
        <v>1</v>
      </c>
      <c r="I81" t="s">
        <v>243</v>
      </c>
      <c r="J81" s="133">
        <v>46289.438194444447</v>
      </c>
      <c r="K81" s="133">
        <v>46304.431250000001</v>
      </c>
      <c r="L81" s="133"/>
      <c r="M81">
        <v>1</v>
      </c>
      <c r="O81" t="s">
        <v>174</v>
      </c>
      <c r="P81" t="s">
        <v>175</v>
      </c>
      <c r="S81" t="s">
        <v>176</v>
      </c>
      <c r="T81" t="s">
        <v>177</v>
      </c>
      <c r="U81" t="s">
        <v>178</v>
      </c>
      <c r="V81" t="s">
        <v>124</v>
      </c>
      <c r="W81" t="s">
        <v>179</v>
      </c>
      <c r="X81" t="s">
        <v>178</v>
      </c>
      <c r="AA81" t="s">
        <v>35</v>
      </c>
      <c r="AB81" t="s">
        <v>180</v>
      </c>
      <c r="AC81">
        <v>2011</v>
      </c>
      <c r="AD81" t="s">
        <v>52</v>
      </c>
      <c r="AE81">
        <v>1</v>
      </c>
    </row>
    <row r="82" spans="1:32" x14ac:dyDescent="0.3">
      <c r="A82" s="126" t="s">
        <v>124</v>
      </c>
      <c r="B82" s="126" t="s">
        <v>190</v>
      </c>
      <c r="C82" s="126" t="s">
        <v>126</v>
      </c>
      <c r="D82" s="126" t="s">
        <v>170</v>
      </c>
      <c r="E82" s="126" t="s">
        <v>281</v>
      </c>
      <c r="F82" s="132">
        <v>46286.375092592592</v>
      </c>
      <c r="G82" s="126" t="s">
        <v>242</v>
      </c>
      <c r="H82" s="126">
        <v>1</v>
      </c>
      <c r="I82" s="126" t="s">
        <v>243</v>
      </c>
      <c r="J82" s="132">
        <v>46289.438194444447</v>
      </c>
      <c r="K82" s="132">
        <v>46304.431250000001</v>
      </c>
      <c r="L82" s="132"/>
      <c r="M82" s="126">
        <v>1</v>
      </c>
      <c r="N82" s="126"/>
      <c r="O82" s="126" t="s">
        <v>174</v>
      </c>
      <c r="P82" s="126" t="s">
        <v>175</v>
      </c>
      <c r="Q82" s="126"/>
      <c r="R82" s="126"/>
      <c r="S82" s="126" t="s">
        <v>176</v>
      </c>
      <c r="T82" s="126" t="s">
        <v>177</v>
      </c>
      <c r="U82" s="126" t="s">
        <v>178</v>
      </c>
      <c r="V82" s="126" t="s">
        <v>124</v>
      </c>
      <c r="W82" s="126" t="s">
        <v>179</v>
      </c>
      <c r="X82" s="126" t="s">
        <v>178</v>
      </c>
      <c r="Y82" s="126"/>
      <c r="Z82" s="126"/>
      <c r="AA82" s="126" t="s">
        <v>35</v>
      </c>
      <c r="AB82" s="126" t="s">
        <v>180</v>
      </c>
      <c r="AC82" s="126">
        <v>2011</v>
      </c>
      <c r="AD82" s="126" t="s">
        <v>52</v>
      </c>
      <c r="AE82" s="126">
        <v>1</v>
      </c>
      <c r="AF82" s="126"/>
    </row>
    <row r="83" spans="1:32" x14ac:dyDescent="0.3">
      <c r="A83" t="s">
        <v>124</v>
      </c>
      <c r="B83" t="s">
        <v>190</v>
      </c>
      <c r="C83" t="s">
        <v>126</v>
      </c>
      <c r="D83" t="s">
        <v>170</v>
      </c>
      <c r="E83" t="s">
        <v>282</v>
      </c>
      <c r="F83" s="133">
        <v>46286.368506944447</v>
      </c>
      <c r="G83" t="s">
        <v>242</v>
      </c>
      <c r="H83">
        <v>1</v>
      </c>
      <c r="I83" t="s">
        <v>243</v>
      </c>
      <c r="J83" s="133">
        <v>46289.438194444447</v>
      </c>
      <c r="K83" s="133">
        <v>46304.431250000001</v>
      </c>
      <c r="L83" s="133"/>
      <c r="M83">
        <v>1</v>
      </c>
      <c r="O83" t="s">
        <v>174</v>
      </c>
      <c r="P83" t="s">
        <v>175</v>
      </c>
      <c r="S83" t="s">
        <v>176</v>
      </c>
      <c r="T83" t="s">
        <v>177</v>
      </c>
      <c r="U83" t="s">
        <v>178</v>
      </c>
      <c r="V83" t="s">
        <v>124</v>
      </c>
      <c r="W83" t="s">
        <v>179</v>
      </c>
      <c r="X83" t="s">
        <v>178</v>
      </c>
      <c r="AA83" t="s">
        <v>35</v>
      </c>
      <c r="AB83" t="s">
        <v>180</v>
      </c>
      <c r="AC83">
        <v>2011</v>
      </c>
      <c r="AD83" t="s">
        <v>52</v>
      </c>
      <c r="AE83">
        <v>1</v>
      </c>
    </row>
    <row r="84" spans="1:32" x14ac:dyDescent="0.3">
      <c r="A84" s="126" t="s">
        <v>124</v>
      </c>
      <c r="B84" s="126" t="s">
        <v>190</v>
      </c>
      <c r="C84" s="126" t="s">
        <v>126</v>
      </c>
      <c r="D84" s="126" t="s">
        <v>170</v>
      </c>
      <c r="E84" s="126" t="s">
        <v>283</v>
      </c>
      <c r="F84" s="132">
        <v>46286.36959490741</v>
      </c>
      <c r="G84" s="126" t="s">
        <v>242</v>
      </c>
      <c r="H84" s="126">
        <v>1</v>
      </c>
      <c r="I84" s="126" t="s">
        <v>243</v>
      </c>
      <c r="J84" s="132">
        <v>46289.438194444447</v>
      </c>
      <c r="K84" s="132">
        <v>46304.431250000001</v>
      </c>
      <c r="L84" s="132"/>
      <c r="M84" s="126">
        <v>1</v>
      </c>
      <c r="N84" s="126"/>
      <c r="O84" s="126" t="s">
        <v>174</v>
      </c>
      <c r="P84" s="126" t="s">
        <v>175</v>
      </c>
      <c r="Q84" s="126"/>
      <c r="R84" s="126"/>
      <c r="S84" s="126" t="s">
        <v>176</v>
      </c>
      <c r="T84" s="126" t="s">
        <v>177</v>
      </c>
      <c r="U84" s="126" t="s">
        <v>178</v>
      </c>
      <c r="V84" s="126" t="s">
        <v>124</v>
      </c>
      <c r="W84" s="126" t="s">
        <v>179</v>
      </c>
      <c r="X84" s="126" t="s">
        <v>178</v>
      </c>
      <c r="Y84" s="126"/>
      <c r="Z84" s="126"/>
      <c r="AA84" s="126" t="s">
        <v>35</v>
      </c>
      <c r="AB84" s="126" t="s">
        <v>180</v>
      </c>
      <c r="AC84" s="126">
        <v>2011</v>
      </c>
      <c r="AD84" s="126" t="s">
        <v>52</v>
      </c>
      <c r="AE84" s="126">
        <v>1</v>
      </c>
      <c r="AF84" s="126"/>
    </row>
    <row r="85" spans="1:32" x14ac:dyDescent="0.3">
      <c r="A85" t="s">
        <v>124</v>
      </c>
      <c r="B85" t="s">
        <v>190</v>
      </c>
      <c r="C85" t="s">
        <v>126</v>
      </c>
      <c r="D85" t="s">
        <v>170</v>
      </c>
      <c r="E85" t="s">
        <v>284</v>
      </c>
      <c r="F85" s="133">
        <v>46286.368900462963</v>
      </c>
      <c r="G85" t="s">
        <v>242</v>
      </c>
      <c r="H85">
        <v>1</v>
      </c>
      <c r="I85" t="s">
        <v>243</v>
      </c>
      <c r="J85" s="133">
        <v>46289.438194444447</v>
      </c>
      <c r="K85" s="133">
        <v>46304.431250000001</v>
      </c>
      <c r="L85" s="133"/>
      <c r="M85">
        <v>1</v>
      </c>
      <c r="O85" t="s">
        <v>174</v>
      </c>
      <c r="P85" t="s">
        <v>175</v>
      </c>
      <c r="S85" t="s">
        <v>176</v>
      </c>
      <c r="T85" t="s">
        <v>177</v>
      </c>
      <c r="U85" t="s">
        <v>178</v>
      </c>
      <c r="V85" t="s">
        <v>124</v>
      </c>
      <c r="W85" t="s">
        <v>179</v>
      </c>
      <c r="X85" t="s">
        <v>178</v>
      </c>
      <c r="AA85" t="s">
        <v>35</v>
      </c>
      <c r="AB85" t="s">
        <v>180</v>
      </c>
      <c r="AC85">
        <v>2011</v>
      </c>
      <c r="AD85" t="s">
        <v>52</v>
      </c>
      <c r="AE85">
        <v>1</v>
      </c>
    </row>
    <row r="86" spans="1:32" x14ac:dyDescent="0.3">
      <c r="A86" s="126" t="s">
        <v>124</v>
      </c>
      <c r="B86" s="126" t="s">
        <v>190</v>
      </c>
      <c r="C86" s="126" t="s">
        <v>126</v>
      </c>
      <c r="D86" s="126" t="s">
        <v>170</v>
      </c>
      <c r="E86" s="126" t="s">
        <v>285</v>
      </c>
      <c r="F86" s="132">
        <v>46286.370520833334</v>
      </c>
      <c r="G86" s="126" t="s">
        <v>242</v>
      </c>
      <c r="H86" s="126">
        <v>1</v>
      </c>
      <c r="I86" s="126" t="s">
        <v>243</v>
      </c>
      <c r="J86" s="132">
        <v>46289.438194444447</v>
      </c>
      <c r="K86" s="132">
        <v>46304.431250000001</v>
      </c>
      <c r="L86" s="132"/>
      <c r="M86" s="126">
        <v>1</v>
      </c>
      <c r="N86" s="126"/>
      <c r="O86" s="126" t="s">
        <v>174</v>
      </c>
      <c r="P86" s="126" t="s">
        <v>175</v>
      </c>
      <c r="Q86" s="126"/>
      <c r="R86" s="126"/>
      <c r="S86" s="126" t="s">
        <v>176</v>
      </c>
      <c r="T86" s="126" t="s">
        <v>177</v>
      </c>
      <c r="U86" s="126" t="s">
        <v>178</v>
      </c>
      <c r="V86" s="126" t="s">
        <v>124</v>
      </c>
      <c r="W86" s="126" t="s">
        <v>179</v>
      </c>
      <c r="X86" s="126" t="s">
        <v>178</v>
      </c>
      <c r="Y86" s="126"/>
      <c r="Z86" s="126"/>
      <c r="AA86" s="126" t="s">
        <v>35</v>
      </c>
      <c r="AB86" s="126" t="s">
        <v>180</v>
      </c>
      <c r="AC86" s="126">
        <v>2011</v>
      </c>
      <c r="AD86" s="126" t="s">
        <v>52</v>
      </c>
      <c r="AE86" s="126">
        <v>1</v>
      </c>
      <c r="AF86" s="126"/>
    </row>
    <row r="87" spans="1:32" x14ac:dyDescent="0.3">
      <c r="A87" t="s">
        <v>124</v>
      </c>
      <c r="B87" t="s">
        <v>190</v>
      </c>
      <c r="C87" t="s">
        <v>126</v>
      </c>
      <c r="D87" t="s">
        <v>170</v>
      </c>
      <c r="E87" t="s">
        <v>286</v>
      </c>
      <c r="F87" s="133">
        <v>46286.367893518516</v>
      </c>
      <c r="G87" t="s">
        <v>242</v>
      </c>
      <c r="H87">
        <v>1</v>
      </c>
      <c r="I87" t="s">
        <v>243</v>
      </c>
      <c r="J87" s="133">
        <v>46289.438194444447</v>
      </c>
      <c r="K87" s="133">
        <v>46304.431250000001</v>
      </c>
      <c r="L87" s="133"/>
      <c r="M87">
        <v>1</v>
      </c>
      <c r="O87" t="s">
        <v>174</v>
      </c>
      <c r="P87" t="s">
        <v>175</v>
      </c>
      <c r="S87" t="s">
        <v>176</v>
      </c>
      <c r="T87" t="s">
        <v>177</v>
      </c>
      <c r="U87" t="s">
        <v>178</v>
      </c>
      <c r="V87" t="s">
        <v>124</v>
      </c>
      <c r="W87" t="s">
        <v>179</v>
      </c>
      <c r="X87" t="s">
        <v>178</v>
      </c>
      <c r="AA87" t="s">
        <v>35</v>
      </c>
      <c r="AB87" t="s">
        <v>180</v>
      </c>
      <c r="AC87">
        <v>2011</v>
      </c>
      <c r="AD87" t="s">
        <v>52</v>
      </c>
      <c r="AE87">
        <v>1</v>
      </c>
    </row>
    <row r="88" spans="1:32" x14ac:dyDescent="0.3">
      <c r="A88" s="126" t="s">
        <v>124</v>
      </c>
      <c r="B88" s="126" t="s">
        <v>190</v>
      </c>
      <c r="C88" s="126" t="s">
        <v>126</v>
      </c>
      <c r="D88" s="126" t="s">
        <v>170</v>
      </c>
      <c r="E88" s="126" t="s">
        <v>287</v>
      </c>
      <c r="F88" s="132">
        <v>46286.367372685185</v>
      </c>
      <c r="G88" s="126" t="s">
        <v>242</v>
      </c>
      <c r="H88" s="126">
        <v>1</v>
      </c>
      <c r="I88" s="126" t="s">
        <v>243</v>
      </c>
      <c r="J88" s="132">
        <v>46289.438194444447</v>
      </c>
      <c r="K88" s="132">
        <v>46304.431250000001</v>
      </c>
      <c r="L88" s="132"/>
      <c r="M88" s="126">
        <v>1</v>
      </c>
      <c r="N88" s="126"/>
      <c r="O88" s="126" t="s">
        <v>174</v>
      </c>
      <c r="P88" s="126" t="s">
        <v>175</v>
      </c>
      <c r="Q88" s="126"/>
      <c r="R88" s="126"/>
      <c r="S88" s="126" t="s">
        <v>176</v>
      </c>
      <c r="T88" s="126" t="s">
        <v>177</v>
      </c>
      <c r="U88" s="126" t="s">
        <v>178</v>
      </c>
      <c r="V88" s="126" t="s">
        <v>124</v>
      </c>
      <c r="W88" s="126" t="s">
        <v>179</v>
      </c>
      <c r="X88" s="126" t="s">
        <v>178</v>
      </c>
      <c r="Y88" s="126"/>
      <c r="Z88" s="126"/>
      <c r="AA88" s="126" t="s">
        <v>35</v>
      </c>
      <c r="AB88" s="126" t="s">
        <v>180</v>
      </c>
      <c r="AC88" s="126">
        <v>2011</v>
      </c>
      <c r="AD88" s="126" t="s">
        <v>52</v>
      </c>
      <c r="AE88" s="126">
        <v>1</v>
      </c>
      <c r="AF88" s="126"/>
    </row>
    <row r="89" spans="1:32" x14ac:dyDescent="0.3">
      <c r="A89" t="s">
        <v>124</v>
      </c>
      <c r="B89" t="s">
        <v>190</v>
      </c>
      <c r="C89" t="s">
        <v>126</v>
      </c>
      <c r="D89" t="s">
        <v>170</v>
      </c>
      <c r="E89" t="s">
        <v>288</v>
      </c>
      <c r="F89" s="133">
        <v>46286.373263888891</v>
      </c>
      <c r="G89" t="s">
        <v>242</v>
      </c>
      <c r="H89">
        <v>1</v>
      </c>
      <c r="I89" t="s">
        <v>243</v>
      </c>
      <c r="J89" s="133">
        <v>46289.438194444447</v>
      </c>
      <c r="K89" s="133">
        <v>46304.431250000001</v>
      </c>
      <c r="L89" s="133"/>
      <c r="M89">
        <v>1</v>
      </c>
      <c r="O89" t="s">
        <v>174</v>
      </c>
      <c r="P89" t="s">
        <v>175</v>
      </c>
      <c r="S89" t="s">
        <v>176</v>
      </c>
      <c r="T89" t="s">
        <v>177</v>
      </c>
      <c r="U89" t="s">
        <v>178</v>
      </c>
      <c r="V89" t="s">
        <v>124</v>
      </c>
      <c r="W89" t="s">
        <v>179</v>
      </c>
      <c r="X89" t="s">
        <v>178</v>
      </c>
      <c r="AA89" t="s">
        <v>35</v>
      </c>
      <c r="AB89" t="s">
        <v>180</v>
      </c>
      <c r="AC89">
        <v>2011</v>
      </c>
      <c r="AD89" t="s">
        <v>52</v>
      </c>
      <c r="AE89">
        <v>1</v>
      </c>
    </row>
    <row r="90" spans="1:32" x14ac:dyDescent="0.3">
      <c r="A90" s="126" t="s">
        <v>124</v>
      </c>
      <c r="B90" s="126" t="s">
        <v>190</v>
      </c>
      <c r="C90" s="126" t="s">
        <v>126</v>
      </c>
      <c r="D90" s="126" t="s">
        <v>170</v>
      </c>
      <c r="E90" s="126" t="s">
        <v>289</v>
      </c>
      <c r="F90" s="132">
        <v>46314.486111111109</v>
      </c>
      <c r="G90" s="126" t="s">
        <v>256</v>
      </c>
      <c r="H90" s="126">
        <v>13</v>
      </c>
      <c r="I90" s="126" t="s">
        <v>267</v>
      </c>
      <c r="J90" s="132">
        <v>46314.631944444445</v>
      </c>
      <c r="K90" s="132">
        <v>46318.493055555555</v>
      </c>
      <c r="L90" s="132"/>
      <c r="M90" s="126">
        <v>13</v>
      </c>
      <c r="N90" s="126"/>
      <c r="O90" s="126" t="s">
        <v>174</v>
      </c>
      <c r="P90" s="126" t="s">
        <v>175</v>
      </c>
      <c r="Q90" s="126"/>
      <c r="R90" s="126"/>
      <c r="S90" s="126" t="s">
        <v>176</v>
      </c>
      <c r="T90" s="126" t="s">
        <v>177</v>
      </c>
      <c r="U90" s="126" t="s">
        <v>178</v>
      </c>
      <c r="V90" s="126" t="s">
        <v>124</v>
      </c>
      <c r="W90" s="126" t="s">
        <v>179</v>
      </c>
      <c r="X90" s="126" t="s">
        <v>178</v>
      </c>
      <c r="Y90" s="126"/>
      <c r="Z90" s="126"/>
      <c r="AA90" s="126" t="s">
        <v>35</v>
      </c>
      <c r="AB90" s="126" t="s">
        <v>180</v>
      </c>
      <c r="AC90" s="126">
        <v>2011</v>
      </c>
      <c r="AD90" s="126" t="s">
        <v>52</v>
      </c>
      <c r="AE90" s="126">
        <v>1.3</v>
      </c>
      <c r="AF90" s="126"/>
    </row>
    <row r="91" spans="1:32" x14ac:dyDescent="0.3">
      <c r="A91" t="s">
        <v>124</v>
      </c>
      <c r="B91" t="s">
        <v>203</v>
      </c>
      <c r="C91" t="s">
        <v>204</v>
      </c>
      <c r="D91" t="s">
        <v>170</v>
      </c>
      <c r="E91" t="s">
        <v>290</v>
      </c>
      <c r="F91" s="133">
        <v>46300.593055555553</v>
      </c>
      <c r="G91" t="s">
        <v>256</v>
      </c>
      <c r="H91">
        <v>1430</v>
      </c>
      <c r="I91" t="s">
        <v>291</v>
      </c>
      <c r="J91" s="133">
        <v>46300.698611111111</v>
      </c>
      <c r="K91" s="133">
        <v>46302.461805555555</v>
      </c>
      <c r="L91" s="133"/>
      <c r="M91">
        <v>1430</v>
      </c>
      <c r="O91" t="s">
        <v>174</v>
      </c>
      <c r="P91" t="s">
        <v>209</v>
      </c>
      <c r="S91" t="s">
        <v>176</v>
      </c>
      <c r="T91" t="s">
        <v>177</v>
      </c>
      <c r="U91" t="s">
        <v>178</v>
      </c>
      <c r="V91" t="s">
        <v>188</v>
      </c>
      <c r="W91" t="s">
        <v>188</v>
      </c>
      <c r="X91" t="s">
        <v>188</v>
      </c>
      <c r="Z91">
        <v>1</v>
      </c>
      <c r="AA91" t="s">
        <v>87</v>
      </c>
      <c r="AB91" t="s">
        <v>180</v>
      </c>
      <c r="AC91">
        <v>2011</v>
      </c>
      <c r="AD91" t="s">
        <v>92</v>
      </c>
      <c r="AE91">
        <v>1430</v>
      </c>
      <c r="AF91">
        <v>143</v>
      </c>
    </row>
    <row r="92" spans="1:32" x14ac:dyDescent="0.3">
      <c r="A92" s="126" t="s">
        <v>124</v>
      </c>
      <c r="B92" s="126" t="s">
        <v>194</v>
      </c>
      <c r="C92" s="126" t="s">
        <v>195</v>
      </c>
      <c r="D92" s="126" t="s">
        <v>170</v>
      </c>
      <c r="E92" s="126" t="s">
        <v>290</v>
      </c>
      <c r="F92" s="132">
        <v>46300.593055555553</v>
      </c>
      <c r="G92" s="126" t="s">
        <v>256</v>
      </c>
      <c r="H92" s="126">
        <v>23</v>
      </c>
      <c r="I92" s="126" t="s">
        <v>291</v>
      </c>
      <c r="J92" s="132">
        <v>46300.705555555556</v>
      </c>
      <c r="K92" s="132">
        <v>46302.631944444445</v>
      </c>
      <c r="L92" s="132">
        <v>46302.631944444445</v>
      </c>
      <c r="M92" s="126">
        <v>23</v>
      </c>
      <c r="N92" s="126"/>
      <c r="O92" s="126" t="s">
        <v>174</v>
      </c>
      <c r="P92" s="126" t="s">
        <v>209</v>
      </c>
      <c r="Q92" s="126"/>
      <c r="R92" s="126"/>
      <c r="S92" s="126" t="s">
        <v>176</v>
      </c>
      <c r="T92" s="126" t="s">
        <v>177</v>
      </c>
      <c r="U92" s="126" t="s">
        <v>178</v>
      </c>
      <c r="V92" s="126" t="s">
        <v>188</v>
      </c>
      <c r="W92" s="126" t="s">
        <v>188</v>
      </c>
      <c r="X92" s="126" t="s">
        <v>188</v>
      </c>
      <c r="Y92" s="126"/>
      <c r="Z92" s="126"/>
      <c r="AA92" s="126" t="s">
        <v>199</v>
      </c>
      <c r="AB92" s="126" t="s">
        <v>180</v>
      </c>
      <c r="AC92" s="126">
        <v>2011</v>
      </c>
      <c r="AD92" s="126" t="s">
        <v>95</v>
      </c>
      <c r="AE92" s="126">
        <v>2.2999999999999998</v>
      </c>
      <c r="AF92" s="126">
        <v>1</v>
      </c>
    </row>
    <row r="93" spans="1:32" x14ac:dyDescent="0.3">
      <c r="A93" t="s">
        <v>124</v>
      </c>
      <c r="B93" t="s">
        <v>203</v>
      </c>
      <c r="C93" t="s">
        <v>204</v>
      </c>
      <c r="D93" t="s">
        <v>170</v>
      </c>
      <c r="E93" t="s">
        <v>292</v>
      </c>
      <c r="F93" s="133">
        <v>46289.433333333334</v>
      </c>
      <c r="G93" t="s">
        <v>256</v>
      </c>
      <c r="H93">
        <v>6</v>
      </c>
      <c r="I93" t="s">
        <v>293</v>
      </c>
      <c r="J93" s="133">
        <v>46290.397916666669</v>
      </c>
      <c r="K93" s="133">
        <v>46301.655555555553</v>
      </c>
      <c r="L93" s="133">
        <v>46304.631944444445</v>
      </c>
      <c r="M93">
        <v>1</v>
      </c>
      <c r="O93" t="s">
        <v>174</v>
      </c>
      <c r="P93" t="s">
        <v>175</v>
      </c>
      <c r="S93" t="s">
        <v>176</v>
      </c>
      <c r="T93" t="s">
        <v>177</v>
      </c>
      <c r="U93" t="s">
        <v>178</v>
      </c>
      <c r="V93" t="s">
        <v>188</v>
      </c>
      <c r="W93" t="s">
        <v>188</v>
      </c>
      <c r="X93" t="s">
        <v>188</v>
      </c>
      <c r="Z93">
        <v>1</v>
      </c>
      <c r="AA93" t="s">
        <v>87</v>
      </c>
      <c r="AB93" t="s">
        <v>180</v>
      </c>
      <c r="AC93">
        <v>2011</v>
      </c>
      <c r="AD93" t="s">
        <v>92</v>
      </c>
      <c r="AE93">
        <v>1</v>
      </c>
      <c r="AF93">
        <v>1</v>
      </c>
    </row>
    <row r="94" spans="1:32" x14ac:dyDescent="0.3">
      <c r="A94" s="126" t="s">
        <v>124</v>
      </c>
      <c r="B94" s="126" t="s">
        <v>194</v>
      </c>
      <c r="C94" s="126" t="s">
        <v>195</v>
      </c>
      <c r="D94" s="126" t="s">
        <v>170</v>
      </c>
      <c r="E94" s="126" t="s">
        <v>292</v>
      </c>
      <c r="F94" s="132">
        <v>46289.433333333334</v>
      </c>
      <c r="G94" s="126" t="s">
        <v>256</v>
      </c>
      <c r="H94" s="126">
        <v>1</v>
      </c>
      <c r="I94" s="126" t="s">
        <v>293</v>
      </c>
      <c r="J94" s="132">
        <v>46290.397916666669</v>
      </c>
      <c r="K94" s="132">
        <v>46301.655555555553</v>
      </c>
      <c r="L94" s="132">
        <v>46304.631944444445</v>
      </c>
      <c r="M94" s="126">
        <v>1</v>
      </c>
      <c r="N94" s="126"/>
      <c r="O94" s="126" t="s">
        <v>174</v>
      </c>
      <c r="P94" s="126" t="s">
        <v>209</v>
      </c>
      <c r="Q94" s="126"/>
      <c r="R94" s="126"/>
      <c r="S94" s="126" t="s">
        <v>176</v>
      </c>
      <c r="T94" s="126" t="s">
        <v>177</v>
      </c>
      <c r="U94" s="126" t="s">
        <v>178</v>
      </c>
      <c r="V94" s="126" t="s">
        <v>188</v>
      </c>
      <c r="W94" s="126" t="s">
        <v>188</v>
      </c>
      <c r="X94" s="126" t="s">
        <v>188</v>
      </c>
      <c r="Y94" s="126"/>
      <c r="Z94" s="126"/>
      <c r="AA94" s="126" t="s">
        <v>199</v>
      </c>
      <c r="AB94" s="126" t="s">
        <v>180</v>
      </c>
      <c r="AC94" s="126">
        <v>2011</v>
      </c>
      <c r="AD94" s="126" t="s">
        <v>95</v>
      </c>
      <c r="AE94" s="126">
        <v>1</v>
      </c>
      <c r="AF94" s="126">
        <v>1</v>
      </c>
    </row>
    <row r="95" spans="1:32" x14ac:dyDescent="0.3">
      <c r="A95" t="s">
        <v>124</v>
      </c>
      <c r="B95" t="s">
        <v>181</v>
      </c>
      <c r="C95" t="s">
        <v>182</v>
      </c>
      <c r="D95" t="s">
        <v>170</v>
      </c>
      <c r="E95" t="s">
        <v>292</v>
      </c>
      <c r="F95" s="133">
        <v>46289.433333333334</v>
      </c>
      <c r="G95" t="s">
        <v>256</v>
      </c>
      <c r="H95">
        <v>1</v>
      </c>
      <c r="I95" t="s">
        <v>293</v>
      </c>
      <c r="J95" s="133">
        <v>46290.397916666669</v>
      </c>
      <c r="K95" s="133">
        <v>46301.655555555553</v>
      </c>
      <c r="L95" s="133">
        <v>46304.631944444445</v>
      </c>
      <c r="M95">
        <v>1</v>
      </c>
      <c r="O95" t="s">
        <v>174</v>
      </c>
      <c r="P95" t="s">
        <v>175</v>
      </c>
      <c r="S95" t="s">
        <v>176</v>
      </c>
      <c r="T95" t="s">
        <v>177</v>
      </c>
      <c r="U95" t="s">
        <v>178</v>
      </c>
      <c r="V95" t="s">
        <v>188</v>
      </c>
      <c r="W95" t="s">
        <v>188</v>
      </c>
      <c r="X95" t="s">
        <v>188</v>
      </c>
      <c r="AA95" t="s">
        <v>189</v>
      </c>
      <c r="AB95" t="s">
        <v>180</v>
      </c>
      <c r="AC95">
        <v>2011</v>
      </c>
      <c r="AD95" t="s">
        <v>63</v>
      </c>
      <c r="AE95">
        <v>1</v>
      </c>
      <c r="AF95">
        <v>1</v>
      </c>
    </row>
    <row r="96" spans="1:32" x14ac:dyDescent="0.3">
      <c r="A96" s="126" t="s">
        <v>124</v>
      </c>
      <c r="B96" s="126" t="s">
        <v>203</v>
      </c>
      <c r="C96" s="126" t="s">
        <v>204</v>
      </c>
      <c r="D96" s="126" t="s">
        <v>170</v>
      </c>
      <c r="E96" s="126" t="s">
        <v>294</v>
      </c>
      <c r="F96" s="132">
        <v>46290.661111111112</v>
      </c>
      <c r="G96" s="126" t="s">
        <v>172</v>
      </c>
      <c r="H96" s="126">
        <v>33</v>
      </c>
      <c r="I96" s="126" t="s">
        <v>295</v>
      </c>
      <c r="J96" s="132">
        <v>46290.713888888888</v>
      </c>
      <c r="K96" s="132">
        <v>46295.45</v>
      </c>
      <c r="L96" s="132"/>
      <c r="M96" s="126">
        <v>33</v>
      </c>
      <c r="N96" s="126"/>
      <c r="O96" s="126" t="s">
        <v>174</v>
      </c>
      <c r="P96" s="126" t="s">
        <v>209</v>
      </c>
      <c r="Q96" s="126"/>
      <c r="R96" s="126"/>
      <c r="S96" s="126" t="s">
        <v>176</v>
      </c>
      <c r="T96" s="126" t="s">
        <v>177</v>
      </c>
      <c r="U96" s="126" t="s">
        <v>178</v>
      </c>
      <c r="V96" s="126" t="s">
        <v>188</v>
      </c>
      <c r="W96" s="126" t="s">
        <v>188</v>
      </c>
      <c r="X96" s="126" t="s">
        <v>188</v>
      </c>
      <c r="Y96" s="126"/>
      <c r="Z96" s="126">
        <v>1</v>
      </c>
      <c r="AA96" s="126" t="s">
        <v>87</v>
      </c>
      <c r="AB96" s="126" t="s">
        <v>180</v>
      </c>
      <c r="AC96" s="126">
        <v>2011</v>
      </c>
      <c r="AD96" s="126" t="s">
        <v>92</v>
      </c>
      <c r="AE96" s="126">
        <v>33</v>
      </c>
      <c r="AF96" s="126">
        <v>3.3</v>
      </c>
    </row>
    <row r="97" spans="1:32" x14ac:dyDescent="0.3">
      <c r="A97" t="s">
        <v>124</v>
      </c>
      <c r="B97" t="s">
        <v>194</v>
      </c>
      <c r="C97" t="s">
        <v>195</v>
      </c>
      <c r="D97" t="s">
        <v>170</v>
      </c>
      <c r="E97" t="s">
        <v>294</v>
      </c>
      <c r="F97" s="133">
        <v>46290.661111111112</v>
      </c>
      <c r="G97" t="s">
        <v>172</v>
      </c>
      <c r="H97">
        <v>1</v>
      </c>
      <c r="I97" t="s">
        <v>295</v>
      </c>
      <c r="J97" s="133">
        <v>46290.713888888888</v>
      </c>
      <c r="K97" s="133">
        <v>46295.45</v>
      </c>
      <c r="L97" s="133">
        <v>46294.506249999999</v>
      </c>
      <c r="M97">
        <v>1</v>
      </c>
      <c r="O97" t="s">
        <v>174</v>
      </c>
      <c r="P97" t="s">
        <v>175</v>
      </c>
      <c r="S97" t="s">
        <v>176</v>
      </c>
      <c r="T97" t="s">
        <v>177</v>
      </c>
      <c r="U97" t="s">
        <v>178</v>
      </c>
      <c r="V97" t="s">
        <v>188</v>
      </c>
      <c r="W97" t="s">
        <v>188</v>
      </c>
      <c r="X97" t="s">
        <v>188</v>
      </c>
      <c r="AA97" t="s">
        <v>199</v>
      </c>
      <c r="AB97" t="s">
        <v>180</v>
      </c>
      <c r="AC97">
        <v>2011</v>
      </c>
      <c r="AD97" t="s">
        <v>95</v>
      </c>
      <c r="AE97">
        <v>1</v>
      </c>
      <c r="AF97">
        <v>1</v>
      </c>
    </row>
    <row r="98" spans="1:32" x14ac:dyDescent="0.3">
      <c r="A98" s="126" t="s">
        <v>124</v>
      </c>
      <c r="B98" s="126" t="s">
        <v>194</v>
      </c>
      <c r="C98" s="126" t="s">
        <v>195</v>
      </c>
      <c r="D98" s="126" t="s">
        <v>170</v>
      </c>
      <c r="E98" s="126" t="s">
        <v>296</v>
      </c>
      <c r="F98" s="132">
        <v>46316.590937499997</v>
      </c>
      <c r="G98" s="126" t="s">
        <v>245</v>
      </c>
      <c r="H98" s="126">
        <v>1</v>
      </c>
      <c r="I98" s="126" t="s">
        <v>297</v>
      </c>
      <c r="J98" s="132">
        <v>46316.636296296296</v>
      </c>
      <c r="K98" s="132">
        <v>46316.69027777778</v>
      </c>
      <c r="L98" s="132">
        <v>46316.69027777778</v>
      </c>
      <c r="M98" s="126">
        <v>1</v>
      </c>
      <c r="N98" s="126"/>
      <c r="O98" s="126" t="s">
        <v>174</v>
      </c>
      <c r="P98" s="126" t="s">
        <v>209</v>
      </c>
      <c r="Q98" s="126"/>
      <c r="R98" s="126"/>
      <c r="S98" s="126" t="s">
        <v>247</v>
      </c>
      <c r="T98" s="126" t="s">
        <v>248</v>
      </c>
      <c r="U98" s="126" t="s">
        <v>249</v>
      </c>
      <c r="V98" s="126" t="s">
        <v>188</v>
      </c>
      <c r="W98" s="126" t="s">
        <v>188</v>
      </c>
      <c r="X98" s="126" t="s">
        <v>188</v>
      </c>
      <c r="Y98" s="126"/>
      <c r="Z98" s="126"/>
      <c r="AA98" s="126" t="s">
        <v>199</v>
      </c>
      <c r="AB98" s="126" t="s">
        <v>250</v>
      </c>
      <c r="AC98" s="126">
        <v>2940</v>
      </c>
      <c r="AD98" s="126" t="s">
        <v>95</v>
      </c>
      <c r="AE98" s="126">
        <v>1</v>
      </c>
      <c r="AF98" s="126">
        <v>1</v>
      </c>
    </row>
    <row r="99" spans="1:32" x14ac:dyDescent="0.3">
      <c r="A99" t="s">
        <v>124</v>
      </c>
      <c r="B99" t="s">
        <v>203</v>
      </c>
      <c r="C99" t="s">
        <v>204</v>
      </c>
      <c r="D99" t="s">
        <v>170</v>
      </c>
      <c r="E99" t="s">
        <v>296</v>
      </c>
      <c r="F99" s="133">
        <v>46316.590937499997</v>
      </c>
      <c r="G99" t="s">
        <v>245</v>
      </c>
      <c r="H99">
        <v>1</v>
      </c>
      <c r="I99" t="s">
        <v>297</v>
      </c>
      <c r="J99" s="133">
        <v>46316.636296296296</v>
      </c>
      <c r="K99" s="133">
        <v>46316.69027777778</v>
      </c>
      <c r="L99" s="133"/>
      <c r="M99">
        <v>1</v>
      </c>
      <c r="O99" t="s">
        <v>174</v>
      </c>
      <c r="P99" t="s">
        <v>209</v>
      </c>
      <c r="S99" t="s">
        <v>247</v>
      </c>
      <c r="T99" t="s">
        <v>248</v>
      </c>
      <c r="U99" t="s">
        <v>249</v>
      </c>
      <c r="V99" t="s">
        <v>188</v>
      </c>
      <c r="W99" t="s">
        <v>188</v>
      </c>
      <c r="X99" t="s">
        <v>188</v>
      </c>
      <c r="Z99">
        <v>1</v>
      </c>
      <c r="AA99" t="s">
        <v>87</v>
      </c>
      <c r="AB99" t="s">
        <v>250</v>
      </c>
      <c r="AC99">
        <v>2940</v>
      </c>
      <c r="AD99" t="s">
        <v>92</v>
      </c>
      <c r="AE99">
        <v>1</v>
      </c>
      <c r="AF99">
        <v>70.099999999999994</v>
      </c>
    </row>
    <row r="100" spans="1:32" x14ac:dyDescent="0.3">
      <c r="A100" s="126" t="s">
        <v>124</v>
      </c>
      <c r="B100" s="126" t="s">
        <v>194</v>
      </c>
      <c r="C100" s="126" t="s">
        <v>195</v>
      </c>
      <c r="D100" s="126" t="s">
        <v>170</v>
      </c>
      <c r="E100" s="126" t="s">
        <v>296</v>
      </c>
      <c r="F100" s="132">
        <v>46316.590937499997</v>
      </c>
      <c r="G100" s="126" t="s">
        <v>245</v>
      </c>
      <c r="H100" s="126">
        <v>7</v>
      </c>
      <c r="I100" s="126" t="s">
        <v>297</v>
      </c>
      <c r="J100" s="132">
        <v>46316.636296296296</v>
      </c>
      <c r="K100" s="132">
        <v>46316.69027777778</v>
      </c>
      <c r="L100" s="132">
        <v>46316.69027777778</v>
      </c>
      <c r="M100" s="126">
        <v>7</v>
      </c>
      <c r="N100" s="126"/>
      <c r="O100" s="126" t="s">
        <v>205</v>
      </c>
      <c r="P100" s="126"/>
      <c r="Q100" s="126"/>
      <c r="R100" s="126"/>
      <c r="S100" s="126" t="s">
        <v>247</v>
      </c>
      <c r="T100" s="126" t="s">
        <v>248</v>
      </c>
      <c r="U100" s="126" t="s">
        <v>249</v>
      </c>
      <c r="V100" s="126" t="s">
        <v>188</v>
      </c>
      <c r="W100" s="126" t="s">
        <v>188</v>
      </c>
      <c r="X100" s="126" t="s">
        <v>188</v>
      </c>
      <c r="Y100" s="126"/>
      <c r="Z100" s="126"/>
      <c r="AA100" s="126" t="s">
        <v>199</v>
      </c>
      <c r="AB100" s="126" t="s">
        <v>250</v>
      </c>
      <c r="AC100" s="126">
        <v>2940</v>
      </c>
      <c r="AD100" s="126" t="s">
        <v>95</v>
      </c>
      <c r="AE100" s="126">
        <v>1</v>
      </c>
      <c r="AF100" s="126"/>
    </row>
    <row r="101" spans="1:32" x14ac:dyDescent="0.3">
      <c r="A101" t="s">
        <v>124</v>
      </c>
      <c r="B101" t="s">
        <v>190</v>
      </c>
      <c r="C101" t="s">
        <v>126</v>
      </c>
      <c r="D101" t="s">
        <v>170</v>
      </c>
      <c r="E101" t="s">
        <v>298</v>
      </c>
      <c r="F101" s="133">
        <v>46286.376273148147</v>
      </c>
      <c r="G101" t="s">
        <v>242</v>
      </c>
      <c r="H101">
        <v>1</v>
      </c>
      <c r="I101" t="s">
        <v>243</v>
      </c>
      <c r="J101" s="133">
        <v>46289.438194444447</v>
      </c>
      <c r="K101" s="133">
        <v>46304.431250000001</v>
      </c>
      <c r="L101" s="133"/>
      <c r="M101">
        <v>1</v>
      </c>
      <c r="O101" t="s">
        <v>174</v>
      </c>
      <c r="P101" t="s">
        <v>175</v>
      </c>
      <c r="S101" t="s">
        <v>176</v>
      </c>
      <c r="T101" t="s">
        <v>177</v>
      </c>
      <c r="U101" t="s">
        <v>178</v>
      </c>
      <c r="V101" t="s">
        <v>124</v>
      </c>
      <c r="W101" t="s">
        <v>179</v>
      </c>
      <c r="X101" t="s">
        <v>178</v>
      </c>
      <c r="AA101" t="s">
        <v>35</v>
      </c>
      <c r="AB101" t="s">
        <v>180</v>
      </c>
      <c r="AC101">
        <v>2011</v>
      </c>
      <c r="AD101" t="s">
        <v>52</v>
      </c>
      <c r="AE101">
        <v>1</v>
      </c>
    </row>
    <row r="102" spans="1:32" x14ac:dyDescent="0.3">
      <c r="A102" s="126" t="s">
        <v>124</v>
      </c>
      <c r="B102" s="126" t="s">
        <v>203</v>
      </c>
      <c r="C102" s="126" t="s">
        <v>204</v>
      </c>
      <c r="D102" s="126" t="s">
        <v>170</v>
      </c>
      <c r="E102" s="126" t="s">
        <v>296</v>
      </c>
      <c r="F102" s="132">
        <v>46316.590937499997</v>
      </c>
      <c r="G102" s="126" t="s">
        <v>245</v>
      </c>
      <c r="H102" s="126">
        <v>700</v>
      </c>
      <c r="I102" s="126" t="s">
        <v>297</v>
      </c>
      <c r="J102" s="132">
        <v>46316.636296296296</v>
      </c>
      <c r="K102" s="132">
        <v>46316.69027777778</v>
      </c>
      <c r="L102" s="132"/>
      <c r="M102" s="126">
        <v>700</v>
      </c>
      <c r="N102" s="126"/>
      <c r="O102" s="126" t="s">
        <v>205</v>
      </c>
      <c r="P102" s="126"/>
      <c r="Q102" s="126"/>
      <c r="R102" s="126"/>
      <c r="S102" s="126" t="s">
        <v>247</v>
      </c>
      <c r="T102" s="126" t="s">
        <v>248</v>
      </c>
      <c r="U102" s="126" t="s">
        <v>249</v>
      </c>
      <c r="V102" s="126" t="s">
        <v>188</v>
      </c>
      <c r="W102" s="126" t="s">
        <v>188</v>
      </c>
      <c r="X102" s="126" t="s">
        <v>188</v>
      </c>
      <c r="Y102" s="126"/>
      <c r="Z102" s="126">
        <v>1</v>
      </c>
      <c r="AA102" s="126" t="s">
        <v>87</v>
      </c>
      <c r="AB102" s="126" t="s">
        <v>250</v>
      </c>
      <c r="AC102" s="126">
        <v>2940</v>
      </c>
      <c r="AD102" s="126" t="s">
        <v>92</v>
      </c>
      <c r="AE102" s="126">
        <v>700</v>
      </c>
      <c r="AF102" s="126"/>
    </row>
    <row r="103" spans="1:32" x14ac:dyDescent="0.3">
      <c r="A103" t="s">
        <v>124</v>
      </c>
      <c r="B103" t="s">
        <v>190</v>
      </c>
      <c r="C103" t="s">
        <v>126</v>
      </c>
      <c r="D103" t="s">
        <v>170</v>
      </c>
      <c r="E103" t="s">
        <v>299</v>
      </c>
      <c r="F103" s="133">
        <v>46309.338148148148</v>
      </c>
      <c r="G103" t="s">
        <v>300</v>
      </c>
      <c r="H103">
        <v>20</v>
      </c>
      <c r="I103" t="s">
        <v>301</v>
      </c>
      <c r="J103" s="133">
        <v>46309.364583333336</v>
      </c>
      <c r="K103" s="133">
        <v>46315.506944444445</v>
      </c>
      <c r="L103" s="133">
        <v>46315.506944444445</v>
      </c>
      <c r="M103">
        <v>20</v>
      </c>
      <c r="O103" t="s">
        <v>174</v>
      </c>
      <c r="P103" t="s">
        <v>175</v>
      </c>
      <c r="S103" t="s">
        <v>185</v>
      </c>
      <c r="T103" t="s">
        <v>186</v>
      </c>
      <c r="U103" t="s">
        <v>187</v>
      </c>
      <c r="V103" t="s">
        <v>124</v>
      </c>
      <c r="W103" t="s">
        <v>179</v>
      </c>
      <c r="X103" t="s">
        <v>178</v>
      </c>
      <c r="AA103" t="s">
        <v>35</v>
      </c>
      <c r="AB103" t="s">
        <v>185</v>
      </c>
      <c r="AD103" t="s">
        <v>52</v>
      </c>
      <c r="AE103">
        <v>2</v>
      </c>
    </row>
    <row r="104" spans="1:32" x14ac:dyDescent="0.3">
      <c r="A104" s="126" t="s">
        <v>124</v>
      </c>
      <c r="B104" s="126" t="s">
        <v>194</v>
      </c>
      <c r="C104" s="126" t="s">
        <v>195</v>
      </c>
      <c r="D104" s="126" t="s">
        <v>170</v>
      </c>
      <c r="E104" s="126" t="s">
        <v>302</v>
      </c>
      <c r="F104" s="132">
        <v>46303.633750000001</v>
      </c>
      <c r="G104" s="126" t="s">
        <v>172</v>
      </c>
      <c r="H104" s="126">
        <v>9</v>
      </c>
      <c r="I104" s="126" t="s">
        <v>303</v>
      </c>
      <c r="J104" s="132">
        <v>46303.68372685185</v>
      </c>
      <c r="K104" s="132">
        <v>46304.552083333336</v>
      </c>
      <c r="L104" s="132">
        <v>46304.552083333336</v>
      </c>
      <c r="M104" s="126">
        <v>9</v>
      </c>
      <c r="N104" s="126"/>
      <c r="O104" s="126" t="s">
        <v>174</v>
      </c>
      <c r="P104" s="126" t="s">
        <v>209</v>
      </c>
      <c r="Q104" s="126"/>
      <c r="R104" s="126"/>
      <c r="S104" s="126" t="s">
        <v>176</v>
      </c>
      <c r="T104" s="126" t="s">
        <v>177</v>
      </c>
      <c r="U104" s="126" t="s">
        <v>178</v>
      </c>
      <c r="V104" s="126" t="s">
        <v>188</v>
      </c>
      <c r="W104" s="126" t="s">
        <v>188</v>
      </c>
      <c r="X104" s="126" t="s">
        <v>188</v>
      </c>
      <c r="Y104" s="126"/>
      <c r="Z104" s="126"/>
      <c r="AA104" s="126" t="s">
        <v>199</v>
      </c>
      <c r="AB104" s="126" t="s">
        <v>180</v>
      </c>
      <c r="AC104" s="126">
        <v>2011</v>
      </c>
      <c r="AD104" s="126" t="s">
        <v>95</v>
      </c>
      <c r="AE104" s="126">
        <v>1</v>
      </c>
      <c r="AF104" s="126"/>
    </row>
    <row r="105" spans="1:32" x14ac:dyDescent="0.3">
      <c r="A105" t="s">
        <v>124</v>
      </c>
      <c r="B105" t="s">
        <v>203</v>
      </c>
      <c r="C105" t="s">
        <v>204</v>
      </c>
      <c r="D105" t="s">
        <v>170</v>
      </c>
      <c r="E105" t="s">
        <v>302</v>
      </c>
      <c r="F105" s="133">
        <v>46303.633750000001</v>
      </c>
      <c r="G105" t="s">
        <v>172</v>
      </c>
      <c r="H105">
        <v>699</v>
      </c>
      <c r="I105" t="s">
        <v>303</v>
      </c>
      <c r="J105" s="133">
        <v>46303.68372685185</v>
      </c>
      <c r="K105" s="133">
        <v>46304.552083333336</v>
      </c>
      <c r="L105" s="133"/>
      <c r="M105">
        <v>699</v>
      </c>
      <c r="S105" t="s">
        <v>176</v>
      </c>
      <c r="T105" t="s">
        <v>177</v>
      </c>
      <c r="U105" t="s">
        <v>178</v>
      </c>
      <c r="V105" t="s">
        <v>188</v>
      </c>
      <c r="W105" t="s">
        <v>188</v>
      </c>
      <c r="X105" t="s">
        <v>188</v>
      </c>
      <c r="Z105">
        <v>1</v>
      </c>
      <c r="AA105" t="s">
        <v>87</v>
      </c>
      <c r="AB105" t="s">
        <v>180</v>
      </c>
      <c r="AC105">
        <v>2011</v>
      </c>
      <c r="AD105" t="s">
        <v>92</v>
      </c>
      <c r="AE105">
        <v>699</v>
      </c>
    </row>
    <row r="106" spans="1:32" x14ac:dyDescent="0.3">
      <c r="A106" s="126" t="s">
        <v>124</v>
      </c>
      <c r="B106" s="126" t="s">
        <v>190</v>
      </c>
      <c r="C106" s="126" t="s">
        <v>126</v>
      </c>
      <c r="D106" s="126" t="s">
        <v>170</v>
      </c>
      <c r="E106" s="126" t="s">
        <v>304</v>
      </c>
      <c r="F106" s="132">
        <v>46303.532418981478</v>
      </c>
      <c r="G106" s="126" t="s">
        <v>256</v>
      </c>
      <c r="H106" s="126">
        <v>47</v>
      </c>
      <c r="I106" s="126" t="s">
        <v>305</v>
      </c>
      <c r="J106" s="132">
        <v>46303.589583333334</v>
      </c>
      <c r="K106" s="132">
        <v>46304.589583333334</v>
      </c>
      <c r="L106" s="132"/>
      <c r="M106" s="126">
        <v>47</v>
      </c>
      <c r="N106" s="126"/>
      <c r="O106" s="126"/>
      <c r="P106" s="126"/>
      <c r="Q106" s="126"/>
      <c r="R106" s="126"/>
      <c r="S106" s="126" t="s">
        <v>176</v>
      </c>
      <c r="T106" s="126" t="s">
        <v>177</v>
      </c>
      <c r="U106" s="126" t="s">
        <v>178</v>
      </c>
      <c r="V106" s="126" t="s">
        <v>124</v>
      </c>
      <c r="W106" s="126" t="s">
        <v>179</v>
      </c>
      <c r="X106" s="126" t="s">
        <v>178</v>
      </c>
      <c r="Y106" s="126">
        <v>0</v>
      </c>
      <c r="Z106" s="126"/>
      <c r="AA106" s="126" t="s">
        <v>35</v>
      </c>
      <c r="AB106" s="126" t="s">
        <v>180</v>
      </c>
      <c r="AC106" s="126">
        <v>2011</v>
      </c>
      <c r="AD106" s="126" t="s">
        <v>52</v>
      </c>
      <c r="AE106" s="126">
        <v>4.7</v>
      </c>
      <c r="AF106" s="126"/>
    </row>
    <row r="107" spans="1:32" x14ac:dyDescent="0.3">
      <c r="A107" t="s">
        <v>124</v>
      </c>
      <c r="B107" t="s">
        <v>190</v>
      </c>
      <c r="C107" t="s">
        <v>126</v>
      </c>
      <c r="D107" t="s">
        <v>170</v>
      </c>
      <c r="E107" t="s">
        <v>306</v>
      </c>
      <c r="F107" s="133">
        <v>46303.529490740744</v>
      </c>
      <c r="G107" t="s">
        <v>256</v>
      </c>
      <c r="H107">
        <v>3</v>
      </c>
      <c r="I107" t="s">
        <v>305</v>
      </c>
      <c r="J107" s="133">
        <v>46303.589583333334</v>
      </c>
      <c r="K107" s="133">
        <v>46304.589583333334</v>
      </c>
      <c r="L107" s="133"/>
      <c r="M107">
        <v>3</v>
      </c>
      <c r="S107" t="s">
        <v>176</v>
      </c>
      <c r="T107" t="s">
        <v>177</v>
      </c>
      <c r="U107" t="s">
        <v>178</v>
      </c>
      <c r="V107" t="s">
        <v>124</v>
      </c>
      <c r="W107" t="s">
        <v>179</v>
      </c>
      <c r="X107" t="s">
        <v>178</v>
      </c>
      <c r="AA107" t="s">
        <v>35</v>
      </c>
      <c r="AB107" t="s">
        <v>180</v>
      </c>
      <c r="AC107">
        <v>2011</v>
      </c>
      <c r="AD107" t="s">
        <v>52</v>
      </c>
      <c r="AE107">
        <v>1</v>
      </c>
    </row>
    <row r="108" spans="1:32" x14ac:dyDescent="0.3">
      <c r="A108" s="126" t="s">
        <v>124</v>
      </c>
      <c r="B108" s="126" t="s">
        <v>190</v>
      </c>
      <c r="C108" s="126" t="s">
        <v>126</v>
      </c>
      <c r="D108" s="126" t="s">
        <v>170</v>
      </c>
      <c r="E108" s="126" t="s">
        <v>307</v>
      </c>
      <c r="F108" s="132">
        <v>46303.514363425929</v>
      </c>
      <c r="G108" s="126" t="s">
        <v>256</v>
      </c>
      <c r="H108" s="126">
        <v>2</v>
      </c>
      <c r="I108" s="126" t="s">
        <v>308</v>
      </c>
      <c r="J108" s="132">
        <v>46303.59097222222</v>
      </c>
      <c r="K108" s="132">
        <v>46304.590277777781</v>
      </c>
      <c r="L108" s="132"/>
      <c r="M108" s="126">
        <v>2</v>
      </c>
      <c r="N108" s="126"/>
      <c r="O108" s="126"/>
      <c r="P108" s="126"/>
      <c r="Q108" s="126"/>
      <c r="R108" s="126"/>
      <c r="S108" s="126" t="s">
        <v>176</v>
      </c>
      <c r="T108" s="126" t="s">
        <v>177</v>
      </c>
      <c r="U108" s="126" t="s">
        <v>178</v>
      </c>
      <c r="V108" s="126" t="s">
        <v>124</v>
      </c>
      <c r="W108" s="126" t="s">
        <v>179</v>
      </c>
      <c r="X108" s="126" t="s">
        <v>178</v>
      </c>
      <c r="Y108" s="126"/>
      <c r="Z108" s="126"/>
      <c r="AA108" s="126" t="s">
        <v>35</v>
      </c>
      <c r="AB108" s="126" t="s">
        <v>180</v>
      </c>
      <c r="AC108" s="126">
        <v>2011</v>
      </c>
      <c r="AD108" s="126" t="s">
        <v>52</v>
      </c>
      <c r="AE108" s="126">
        <v>1</v>
      </c>
      <c r="AF108" s="126"/>
    </row>
    <row r="109" spans="1:32" x14ac:dyDescent="0.3">
      <c r="A109" t="s">
        <v>124</v>
      </c>
      <c r="B109" t="s">
        <v>203</v>
      </c>
      <c r="C109" t="s">
        <v>204</v>
      </c>
      <c r="D109" t="s">
        <v>170</v>
      </c>
      <c r="E109" t="s">
        <v>244</v>
      </c>
      <c r="F109" s="133">
        <v>46297.613888888889</v>
      </c>
      <c r="G109" t="s">
        <v>245</v>
      </c>
      <c r="H109">
        <v>623</v>
      </c>
      <c r="I109" t="s">
        <v>246</v>
      </c>
      <c r="J109" s="133">
        <v>46300.581250000003</v>
      </c>
      <c r="K109" s="133">
        <v>46300.673611111109</v>
      </c>
      <c r="L109" s="133"/>
      <c r="M109">
        <v>623</v>
      </c>
      <c r="O109" t="s">
        <v>205</v>
      </c>
      <c r="S109" t="s">
        <v>247</v>
      </c>
      <c r="T109" t="s">
        <v>248</v>
      </c>
      <c r="U109" t="s">
        <v>249</v>
      </c>
      <c r="V109" t="s">
        <v>188</v>
      </c>
      <c r="W109" t="s">
        <v>188</v>
      </c>
      <c r="X109" t="s">
        <v>188</v>
      </c>
      <c r="Z109">
        <v>1</v>
      </c>
      <c r="AA109" t="s">
        <v>87</v>
      </c>
      <c r="AB109" t="s">
        <v>250</v>
      </c>
      <c r="AC109">
        <v>2940</v>
      </c>
      <c r="AD109" t="s">
        <v>92</v>
      </c>
      <c r="AE109">
        <v>623</v>
      </c>
    </row>
    <row r="110" spans="1:32" x14ac:dyDescent="0.3">
      <c r="A110" s="126" t="s">
        <v>124</v>
      </c>
      <c r="B110" s="126" t="s">
        <v>194</v>
      </c>
      <c r="C110" s="126" t="s">
        <v>195</v>
      </c>
      <c r="D110" s="126" t="s">
        <v>170</v>
      </c>
      <c r="E110" s="126" t="s">
        <v>244</v>
      </c>
      <c r="F110" s="132">
        <v>46297.613888888889</v>
      </c>
      <c r="G110" s="126" t="s">
        <v>245</v>
      </c>
      <c r="H110" s="126">
        <v>7</v>
      </c>
      <c r="I110" s="126" t="s">
        <v>246</v>
      </c>
      <c r="J110" s="132">
        <v>46300.581250000003</v>
      </c>
      <c r="K110" s="132">
        <v>46300.673611111109</v>
      </c>
      <c r="L110" s="132">
        <v>46294.506249999999</v>
      </c>
      <c r="M110" s="126">
        <v>7</v>
      </c>
      <c r="N110" s="126"/>
      <c r="O110" s="126" t="s">
        <v>174</v>
      </c>
      <c r="P110" s="126" t="s">
        <v>175</v>
      </c>
      <c r="Q110" s="126"/>
      <c r="R110" s="126"/>
      <c r="S110" s="126" t="s">
        <v>247</v>
      </c>
      <c r="T110" s="126" t="s">
        <v>248</v>
      </c>
      <c r="U110" s="126" t="s">
        <v>249</v>
      </c>
      <c r="V110" s="126" t="s">
        <v>188</v>
      </c>
      <c r="W110" s="126" t="s">
        <v>188</v>
      </c>
      <c r="X110" s="126" t="s">
        <v>188</v>
      </c>
      <c r="Y110" s="126"/>
      <c r="Z110" s="126"/>
      <c r="AA110" s="126" t="s">
        <v>199</v>
      </c>
      <c r="AB110" s="126" t="s">
        <v>250</v>
      </c>
      <c r="AC110" s="126">
        <v>2940</v>
      </c>
      <c r="AD110" s="126" t="s">
        <v>95</v>
      </c>
      <c r="AE110" s="126">
        <v>1</v>
      </c>
      <c r="AF110" s="126">
        <v>1</v>
      </c>
    </row>
    <row r="111" spans="1:32" x14ac:dyDescent="0.3">
      <c r="A111" t="s">
        <v>124</v>
      </c>
      <c r="B111" t="s">
        <v>190</v>
      </c>
      <c r="C111" t="s">
        <v>126</v>
      </c>
      <c r="D111" t="s">
        <v>170</v>
      </c>
      <c r="E111" t="s">
        <v>309</v>
      </c>
      <c r="F111" s="133">
        <v>46309.339108796295</v>
      </c>
      <c r="G111" t="s">
        <v>300</v>
      </c>
      <c r="H111">
        <v>15</v>
      </c>
      <c r="I111" t="s">
        <v>301</v>
      </c>
      <c r="J111" s="133">
        <v>46309.364583333336</v>
      </c>
      <c r="K111" s="133">
        <v>46315.506944444445</v>
      </c>
      <c r="L111" s="133">
        <v>46315.506944444445</v>
      </c>
      <c r="M111">
        <v>15</v>
      </c>
      <c r="O111" t="s">
        <v>174</v>
      </c>
      <c r="P111" t="s">
        <v>175</v>
      </c>
      <c r="S111" t="s">
        <v>185</v>
      </c>
      <c r="T111" t="s">
        <v>186</v>
      </c>
      <c r="U111" t="s">
        <v>187</v>
      </c>
      <c r="V111" t="s">
        <v>124</v>
      </c>
      <c r="W111" t="s">
        <v>179</v>
      </c>
      <c r="X111" t="s">
        <v>178</v>
      </c>
      <c r="AA111" t="s">
        <v>35</v>
      </c>
      <c r="AB111" t="s">
        <v>185</v>
      </c>
      <c r="AD111" t="s">
        <v>52</v>
      </c>
      <c r="AE111">
        <v>1.5</v>
      </c>
    </row>
    <row r="112" spans="1:32" x14ac:dyDescent="0.3">
      <c r="A112" s="126" t="s">
        <v>124</v>
      </c>
      <c r="B112" s="126" t="s">
        <v>190</v>
      </c>
      <c r="C112" s="126" t="s">
        <v>126</v>
      </c>
      <c r="D112" s="126" t="s">
        <v>170</v>
      </c>
      <c r="E112" s="126" t="s">
        <v>310</v>
      </c>
      <c r="F112" s="132">
        <v>46315.466273148151</v>
      </c>
      <c r="G112" s="126" t="s">
        <v>256</v>
      </c>
      <c r="H112" s="126">
        <v>3</v>
      </c>
      <c r="I112" s="126" t="s">
        <v>311</v>
      </c>
      <c r="J112" s="132">
        <v>46315.511805555558</v>
      </c>
      <c r="K112" s="132">
        <v>46318.577777777777</v>
      </c>
      <c r="L112" s="132"/>
      <c r="M112" s="126">
        <v>3</v>
      </c>
      <c r="N112" s="126"/>
      <c r="O112" s="126" t="s">
        <v>174</v>
      </c>
      <c r="P112" s="126" t="s">
        <v>175</v>
      </c>
      <c r="Q112" s="126"/>
      <c r="R112" s="126"/>
      <c r="S112" s="126" t="s">
        <v>176</v>
      </c>
      <c r="T112" s="126" t="s">
        <v>177</v>
      </c>
      <c r="U112" s="126" t="s">
        <v>178</v>
      </c>
      <c r="V112" s="126" t="s">
        <v>124</v>
      </c>
      <c r="W112" s="126" t="s">
        <v>179</v>
      </c>
      <c r="X112" s="126" t="s">
        <v>178</v>
      </c>
      <c r="Y112" s="126"/>
      <c r="Z112" s="126"/>
      <c r="AA112" s="126" t="s">
        <v>35</v>
      </c>
      <c r="AB112" s="126" t="s">
        <v>180</v>
      </c>
      <c r="AC112" s="126">
        <v>2011</v>
      </c>
      <c r="AD112" s="126" t="s">
        <v>52</v>
      </c>
      <c r="AE112" s="126">
        <v>1</v>
      </c>
      <c r="AF112" s="126"/>
    </row>
    <row r="113" spans="1:32" x14ac:dyDescent="0.3">
      <c r="A113" t="s">
        <v>124</v>
      </c>
      <c r="B113" t="s">
        <v>203</v>
      </c>
      <c r="C113" t="s">
        <v>204</v>
      </c>
      <c r="D113" t="s">
        <v>170</v>
      </c>
      <c r="E113" t="s">
        <v>312</v>
      </c>
      <c r="F113" s="133">
        <v>46297.727719907409</v>
      </c>
      <c r="G113" t="s">
        <v>313</v>
      </c>
      <c r="H113">
        <v>278</v>
      </c>
      <c r="I113" t="s">
        <v>314</v>
      </c>
      <c r="J113" s="133">
        <v>46300.390972222223</v>
      </c>
      <c r="K113" s="133">
        <v>46300.563888888886</v>
      </c>
      <c r="L113" s="133"/>
      <c r="M113">
        <v>278</v>
      </c>
      <c r="O113" t="s">
        <v>174</v>
      </c>
      <c r="P113" t="s">
        <v>209</v>
      </c>
      <c r="S113" t="s">
        <v>247</v>
      </c>
      <c r="T113" t="s">
        <v>248</v>
      </c>
      <c r="U113" t="s">
        <v>249</v>
      </c>
      <c r="V113" t="s">
        <v>188</v>
      </c>
      <c r="W113" t="s">
        <v>188</v>
      </c>
      <c r="X113" t="s">
        <v>188</v>
      </c>
      <c r="Z113">
        <v>1</v>
      </c>
      <c r="AA113" t="s">
        <v>87</v>
      </c>
      <c r="AB113" t="s">
        <v>250</v>
      </c>
      <c r="AC113">
        <v>2940</v>
      </c>
      <c r="AD113" t="s">
        <v>92</v>
      </c>
      <c r="AE113">
        <v>278</v>
      </c>
    </row>
    <row r="114" spans="1:32" x14ac:dyDescent="0.3">
      <c r="A114" s="126" t="s">
        <v>124</v>
      </c>
      <c r="B114" s="126" t="s">
        <v>194</v>
      </c>
      <c r="C114" s="126" t="s">
        <v>195</v>
      </c>
      <c r="D114" s="126" t="s">
        <v>170</v>
      </c>
      <c r="E114" s="126" t="s">
        <v>312</v>
      </c>
      <c r="F114" s="132">
        <v>46297.727719907409</v>
      </c>
      <c r="G114" s="126" t="s">
        <v>313</v>
      </c>
      <c r="H114" s="126">
        <v>3</v>
      </c>
      <c r="I114" s="126" t="s">
        <v>314</v>
      </c>
      <c r="J114" s="132">
        <v>46300.390972222223</v>
      </c>
      <c r="K114" s="132">
        <v>46300.563888888886</v>
      </c>
      <c r="L114" s="132">
        <v>46300.563888888886</v>
      </c>
      <c r="M114" s="126">
        <v>3</v>
      </c>
      <c r="N114" s="126"/>
      <c r="O114" s="126" t="s">
        <v>174</v>
      </c>
      <c r="P114" s="126" t="s">
        <v>209</v>
      </c>
      <c r="Q114" s="126"/>
      <c r="R114" s="126"/>
      <c r="S114" s="126" t="s">
        <v>247</v>
      </c>
      <c r="T114" s="126" t="s">
        <v>248</v>
      </c>
      <c r="U114" s="126" t="s">
        <v>249</v>
      </c>
      <c r="V114" s="126" t="s">
        <v>188</v>
      </c>
      <c r="W114" s="126" t="s">
        <v>188</v>
      </c>
      <c r="X114" s="126" t="s">
        <v>188</v>
      </c>
      <c r="Y114" s="126"/>
      <c r="Z114" s="126"/>
      <c r="AA114" s="126" t="s">
        <v>199</v>
      </c>
      <c r="AB114" s="126" t="s">
        <v>250</v>
      </c>
      <c r="AC114" s="126">
        <v>2940</v>
      </c>
      <c r="AD114" s="126" t="s">
        <v>95</v>
      </c>
      <c r="AE114" s="126">
        <v>1</v>
      </c>
      <c r="AF114" s="126"/>
    </row>
    <row r="115" spans="1:32" x14ac:dyDescent="0.3">
      <c r="A115" t="s">
        <v>124</v>
      </c>
      <c r="B115" t="s">
        <v>224</v>
      </c>
      <c r="C115" t="s">
        <v>225</v>
      </c>
      <c r="D115" t="s">
        <v>170</v>
      </c>
      <c r="E115" t="s">
        <v>315</v>
      </c>
      <c r="F115" s="133">
        <v>46290.34443287037</v>
      </c>
      <c r="G115" t="s">
        <v>256</v>
      </c>
      <c r="H115">
        <v>400</v>
      </c>
      <c r="I115" t="s">
        <v>316</v>
      </c>
      <c r="J115" s="133">
        <v>46290.488888888889</v>
      </c>
      <c r="K115" s="133">
        <v>46311.575694444444</v>
      </c>
      <c r="L115" s="133"/>
      <c r="M115">
        <v>400</v>
      </c>
      <c r="O115" t="s">
        <v>174</v>
      </c>
      <c r="P115" t="s">
        <v>175</v>
      </c>
      <c r="S115" t="s">
        <v>176</v>
      </c>
      <c r="T115" t="s">
        <v>177</v>
      </c>
      <c r="U115" t="s">
        <v>178</v>
      </c>
      <c r="V115" t="s">
        <v>188</v>
      </c>
      <c r="W115" t="s">
        <v>188</v>
      </c>
      <c r="X115" t="s">
        <v>188</v>
      </c>
      <c r="AA115" t="s">
        <v>232</v>
      </c>
      <c r="AB115" t="s">
        <v>180</v>
      </c>
      <c r="AC115">
        <v>2011</v>
      </c>
      <c r="AD115" t="s">
        <v>188</v>
      </c>
      <c r="AF115">
        <v>0</v>
      </c>
    </row>
    <row r="116" spans="1:32" x14ac:dyDescent="0.3">
      <c r="A116" s="126" t="s">
        <v>124</v>
      </c>
      <c r="B116" s="126" t="s">
        <v>190</v>
      </c>
      <c r="C116" s="126" t="s">
        <v>126</v>
      </c>
      <c r="D116" s="126" t="s">
        <v>170</v>
      </c>
      <c r="E116" s="126" t="s">
        <v>317</v>
      </c>
      <c r="F116" s="132">
        <v>46300.606319444443</v>
      </c>
      <c r="G116" s="126" t="s">
        <v>318</v>
      </c>
      <c r="H116" s="126">
        <v>3</v>
      </c>
      <c r="I116" s="126" t="s">
        <v>319</v>
      </c>
      <c r="J116" s="132">
        <v>46301.49722222222</v>
      </c>
      <c r="K116" s="132">
        <v>46304.615277777775</v>
      </c>
      <c r="L116" s="132"/>
      <c r="M116" s="126">
        <v>3</v>
      </c>
      <c r="N116" s="126"/>
      <c r="O116" s="126" t="s">
        <v>174</v>
      </c>
      <c r="P116" s="126" t="s">
        <v>175</v>
      </c>
      <c r="Q116" s="126"/>
      <c r="R116" s="126"/>
      <c r="S116" s="126" t="s">
        <v>176</v>
      </c>
      <c r="T116" s="126" t="s">
        <v>177</v>
      </c>
      <c r="U116" s="126" t="s">
        <v>178</v>
      </c>
      <c r="V116" s="126" t="s">
        <v>124</v>
      </c>
      <c r="W116" s="126" t="s">
        <v>179</v>
      </c>
      <c r="X116" s="126" t="s">
        <v>178</v>
      </c>
      <c r="Y116" s="126">
        <v>0</v>
      </c>
      <c r="Z116" s="126"/>
      <c r="AA116" s="126" t="s">
        <v>35</v>
      </c>
      <c r="AB116" s="126" t="s">
        <v>180</v>
      </c>
      <c r="AC116" s="126">
        <v>2011</v>
      </c>
      <c r="AD116" s="126" t="s">
        <v>52</v>
      </c>
      <c r="AE116" s="126">
        <v>1</v>
      </c>
      <c r="AF116" s="126"/>
    </row>
    <row r="117" spans="1:32" x14ac:dyDescent="0.3">
      <c r="A117" t="s">
        <v>124</v>
      </c>
      <c r="B117" t="s">
        <v>190</v>
      </c>
      <c r="C117" t="s">
        <v>126</v>
      </c>
      <c r="D117" t="s">
        <v>170</v>
      </c>
      <c r="E117" t="s">
        <v>320</v>
      </c>
      <c r="F117" s="133">
        <v>46300.606863425928</v>
      </c>
      <c r="G117" t="s">
        <v>318</v>
      </c>
      <c r="H117">
        <v>3</v>
      </c>
      <c r="I117" t="s">
        <v>319</v>
      </c>
      <c r="J117" s="133">
        <v>46301.49722222222</v>
      </c>
      <c r="K117" s="133">
        <v>46304.615277777775</v>
      </c>
      <c r="L117" s="133"/>
      <c r="M117">
        <v>3</v>
      </c>
      <c r="O117" t="s">
        <v>174</v>
      </c>
      <c r="P117" t="s">
        <v>175</v>
      </c>
      <c r="S117" t="s">
        <v>176</v>
      </c>
      <c r="T117" t="s">
        <v>177</v>
      </c>
      <c r="U117" t="s">
        <v>178</v>
      </c>
      <c r="V117" t="s">
        <v>124</v>
      </c>
      <c r="W117" t="s">
        <v>179</v>
      </c>
      <c r="X117" t="s">
        <v>178</v>
      </c>
      <c r="AA117" t="s">
        <v>35</v>
      </c>
      <c r="AB117" t="s">
        <v>180</v>
      </c>
      <c r="AC117">
        <v>2011</v>
      </c>
      <c r="AD117" t="s">
        <v>52</v>
      </c>
      <c r="AE117">
        <v>1</v>
      </c>
    </row>
    <row r="118" spans="1:32" x14ac:dyDescent="0.3">
      <c r="A118" s="126" t="s">
        <v>124</v>
      </c>
      <c r="B118" s="126" t="s">
        <v>190</v>
      </c>
      <c r="C118" s="126" t="s">
        <v>126</v>
      </c>
      <c r="D118" s="126" t="s">
        <v>170</v>
      </c>
      <c r="E118" s="126" t="s">
        <v>321</v>
      </c>
      <c r="F118" s="132">
        <v>46300.607349537036</v>
      </c>
      <c r="G118" s="126" t="s">
        <v>318</v>
      </c>
      <c r="H118" s="126">
        <v>2</v>
      </c>
      <c r="I118" s="126" t="s">
        <v>319</v>
      </c>
      <c r="J118" s="132">
        <v>46301.49722222222</v>
      </c>
      <c r="K118" s="132">
        <v>46304.615277777775</v>
      </c>
      <c r="L118" s="132"/>
      <c r="M118" s="126">
        <v>2</v>
      </c>
      <c r="N118" s="126"/>
      <c r="O118" s="126" t="s">
        <v>174</v>
      </c>
      <c r="P118" s="126" t="s">
        <v>175</v>
      </c>
      <c r="Q118" s="126"/>
      <c r="R118" s="126"/>
      <c r="S118" s="126" t="s">
        <v>176</v>
      </c>
      <c r="T118" s="126" t="s">
        <v>177</v>
      </c>
      <c r="U118" s="126" t="s">
        <v>178</v>
      </c>
      <c r="V118" s="126" t="s">
        <v>124</v>
      </c>
      <c r="W118" s="126" t="s">
        <v>179</v>
      </c>
      <c r="X118" s="126" t="s">
        <v>178</v>
      </c>
      <c r="Y118" s="126"/>
      <c r="Z118" s="126"/>
      <c r="AA118" s="126" t="s">
        <v>35</v>
      </c>
      <c r="AB118" s="126" t="s">
        <v>180</v>
      </c>
      <c r="AC118" s="126">
        <v>2011</v>
      </c>
      <c r="AD118" s="126" t="s">
        <v>52</v>
      </c>
      <c r="AE118" s="126">
        <v>1</v>
      </c>
      <c r="AF118" s="126"/>
    </row>
    <row r="119" spans="1:32" x14ac:dyDescent="0.3">
      <c r="A119" t="s">
        <v>124</v>
      </c>
      <c r="B119" t="s">
        <v>190</v>
      </c>
      <c r="C119" t="s">
        <v>126</v>
      </c>
      <c r="D119" t="s">
        <v>170</v>
      </c>
      <c r="E119" t="s">
        <v>322</v>
      </c>
      <c r="F119" s="133">
        <v>46300.607824074075</v>
      </c>
      <c r="G119" t="s">
        <v>318</v>
      </c>
      <c r="H119">
        <v>2</v>
      </c>
      <c r="I119" t="s">
        <v>319</v>
      </c>
      <c r="J119" s="133">
        <v>46301.49722222222</v>
      </c>
      <c r="K119" s="133">
        <v>46304.615277777775</v>
      </c>
      <c r="L119" s="133"/>
      <c r="M119">
        <v>2</v>
      </c>
      <c r="O119" t="s">
        <v>174</v>
      </c>
      <c r="P119" t="s">
        <v>175</v>
      </c>
      <c r="S119" t="s">
        <v>176</v>
      </c>
      <c r="T119" t="s">
        <v>177</v>
      </c>
      <c r="U119" t="s">
        <v>178</v>
      </c>
      <c r="V119" t="s">
        <v>124</v>
      </c>
      <c r="W119" t="s">
        <v>179</v>
      </c>
      <c r="X119" t="s">
        <v>178</v>
      </c>
      <c r="AA119" t="s">
        <v>35</v>
      </c>
      <c r="AB119" t="s">
        <v>180</v>
      </c>
      <c r="AC119">
        <v>2011</v>
      </c>
      <c r="AD119" t="s">
        <v>52</v>
      </c>
      <c r="AE119">
        <v>1</v>
      </c>
    </row>
    <row r="120" spans="1:32" x14ac:dyDescent="0.3">
      <c r="A120" s="126" t="s">
        <v>124</v>
      </c>
      <c r="B120" s="126" t="s">
        <v>190</v>
      </c>
      <c r="C120" s="126" t="s">
        <v>126</v>
      </c>
      <c r="D120" s="126" t="s">
        <v>170</v>
      </c>
      <c r="E120" s="126" t="s">
        <v>323</v>
      </c>
      <c r="F120" s="132">
        <v>46300.608287037037</v>
      </c>
      <c r="G120" s="126" t="s">
        <v>318</v>
      </c>
      <c r="H120" s="126">
        <v>2</v>
      </c>
      <c r="I120" s="126" t="s">
        <v>319</v>
      </c>
      <c r="J120" s="132">
        <v>46301.49722222222</v>
      </c>
      <c r="K120" s="132">
        <v>46304.615277777775</v>
      </c>
      <c r="L120" s="132"/>
      <c r="M120" s="126">
        <v>2</v>
      </c>
      <c r="N120" s="126"/>
      <c r="O120" s="126" t="s">
        <v>174</v>
      </c>
      <c r="P120" s="126" t="s">
        <v>175</v>
      </c>
      <c r="Q120" s="126"/>
      <c r="R120" s="126"/>
      <c r="S120" s="126" t="s">
        <v>176</v>
      </c>
      <c r="T120" s="126" t="s">
        <v>177</v>
      </c>
      <c r="U120" s="126" t="s">
        <v>178</v>
      </c>
      <c r="V120" s="126" t="s">
        <v>124</v>
      </c>
      <c r="W120" s="126" t="s">
        <v>179</v>
      </c>
      <c r="X120" s="126" t="s">
        <v>178</v>
      </c>
      <c r="Y120" s="126"/>
      <c r="Z120" s="126"/>
      <c r="AA120" s="126" t="s">
        <v>35</v>
      </c>
      <c r="AB120" s="126" t="s">
        <v>180</v>
      </c>
      <c r="AC120" s="126">
        <v>2011</v>
      </c>
      <c r="AD120" s="126" t="s">
        <v>52</v>
      </c>
      <c r="AE120" s="126">
        <v>1</v>
      </c>
      <c r="AF120" s="126"/>
    </row>
    <row r="121" spans="1:32" x14ac:dyDescent="0.3">
      <c r="A121" t="s">
        <v>124</v>
      </c>
      <c r="B121" t="s">
        <v>190</v>
      </c>
      <c r="C121" t="s">
        <v>126</v>
      </c>
      <c r="D121" t="s">
        <v>170</v>
      </c>
      <c r="E121" t="s">
        <v>324</v>
      </c>
      <c r="F121" s="133">
        <v>46300.608703703707</v>
      </c>
      <c r="G121" t="s">
        <v>318</v>
      </c>
      <c r="H121">
        <v>2</v>
      </c>
      <c r="I121" t="s">
        <v>319</v>
      </c>
      <c r="J121" s="133">
        <v>46301.49722222222</v>
      </c>
      <c r="K121" s="133">
        <v>46304.615277777775</v>
      </c>
      <c r="L121" s="133"/>
      <c r="M121">
        <v>2</v>
      </c>
      <c r="O121" t="s">
        <v>174</v>
      </c>
      <c r="P121" t="s">
        <v>175</v>
      </c>
      <c r="S121" t="s">
        <v>176</v>
      </c>
      <c r="T121" t="s">
        <v>177</v>
      </c>
      <c r="U121" t="s">
        <v>178</v>
      </c>
      <c r="V121" t="s">
        <v>124</v>
      </c>
      <c r="W121" t="s">
        <v>179</v>
      </c>
      <c r="X121" t="s">
        <v>178</v>
      </c>
      <c r="AA121" t="s">
        <v>35</v>
      </c>
      <c r="AB121" t="s">
        <v>180</v>
      </c>
      <c r="AC121">
        <v>2011</v>
      </c>
      <c r="AD121" t="s">
        <v>52</v>
      </c>
      <c r="AE121">
        <v>1</v>
      </c>
    </row>
    <row r="122" spans="1:32" x14ac:dyDescent="0.3">
      <c r="A122" s="126" t="s">
        <v>124</v>
      </c>
      <c r="B122" s="126" t="s">
        <v>190</v>
      </c>
      <c r="C122" s="126" t="s">
        <v>126</v>
      </c>
      <c r="D122" s="126" t="s">
        <v>170</v>
      </c>
      <c r="E122" s="126" t="s">
        <v>325</v>
      </c>
      <c r="F122" s="132">
        <v>46300.6090625</v>
      </c>
      <c r="G122" s="126" t="s">
        <v>318</v>
      </c>
      <c r="H122" s="126">
        <v>3</v>
      </c>
      <c r="I122" s="126" t="s">
        <v>319</v>
      </c>
      <c r="J122" s="132">
        <v>46301.49722222222</v>
      </c>
      <c r="K122" s="132">
        <v>46304.615277777775</v>
      </c>
      <c r="L122" s="132"/>
      <c r="M122" s="126">
        <v>3</v>
      </c>
      <c r="N122" s="126"/>
      <c r="O122" s="126" t="s">
        <v>174</v>
      </c>
      <c r="P122" s="126" t="s">
        <v>175</v>
      </c>
      <c r="Q122" s="126"/>
      <c r="R122" s="126"/>
      <c r="S122" s="126" t="s">
        <v>176</v>
      </c>
      <c r="T122" s="126" t="s">
        <v>177</v>
      </c>
      <c r="U122" s="126" t="s">
        <v>178</v>
      </c>
      <c r="V122" s="126" t="s">
        <v>124</v>
      </c>
      <c r="W122" s="126" t="s">
        <v>179</v>
      </c>
      <c r="X122" s="126" t="s">
        <v>178</v>
      </c>
      <c r="Y122" s="126"/>
      <c r="Z122" s="126"/>
      <c r="AA122" s="126" t="s">
        <v>35</v>
      </c>
      <c r="AB122" s="126" t="s">
        <v>180</v>
      </c>
      <c r="AC122" s="126">
        <v>2011</v>
      </c>
      <c r="AD122" s="126" t="s">
        <v>52</v>
      </c>
      <c r="AE122" s="126">
        <v>1</v>
      </c>
      <c r="AF122" s="126"/>
    </row>
    <row r="123" spans="1:32" x14ac:dyDescent="0.3">
      <c r="A123" t="s">
        <v>124</v>
      </c>
      <c r="B123" t="s">
        <v>190</v>
      </c>
      <c r="C123" t="s">
        <v>126</v>
      </c>
      <c r="D123" t="s">
        <v>170</v>
      </c>
      <c r="E123" t="s">
        <v>326</v>
      </c>
      <c r="F123" s="133">
        <v>46300.609444444446</v>
      </c>
      <c r="G123" t="s">
        <v>318</v>
      </c>
      <c r="H123">
        <v>3</v>
      </c>
      <c r="I123" t="s">
        <v>319</v>
      </c>
      <c r="J123" s="133">
        <v>46301.49722222222</v>
      </c>
      <c r="K123" s="133">
        <v>46304.615277777775</v>
      </c>
      <c r="L123" s="133"/>
      <c r="M123">
        <v>3</v>
      </c>
      <c r="O123" t="s">
        <v>174</v>
      </c>
      <c r="P123" t="s">
        <v>175</v>
      </c>
      <c r="S123" t="s">
        <v>176</v>
      </c>
      <c r="T123" t="s">
        <v>177</v>
      </c>
      <c r="U123" t="s">
        <v>178</v>
      </c>
      <c r="V123" t="s">
        <v>124</v>
      </c>
      <c r="W123" t="s">
        <v>179</v>
      </c>
      <c r="X123" t="s">
        <v>178</v>
      </c>
      <c r="AA123" t="s">
        <v>35</v>
      </c>
      <c r="AB123" t="s">
        <v>180</v>
      </c>
      <c r="AC123">
        <v>2011</v>
      </c>
      <c r="AD123" t="s">
        <v>52</v>
      </c>
      <c r="AE123">
        <v>1</v>
      </c>
    </row>
    <row r="124" spans="1:32" x14ac:dyDescent="0.3">
      <c r="A124" s="126" t="s">
        <v>124</v>
      </c>
      <c r="B124" s="126" t="s">
        <v>190</v>
      </c>
      <c r="C124" s="126" t="s">
        <v>126</v>
      </c>
      <c r="D124" s="126" t="s">
        <v>170</v>
      </c>
      <c r="E124" s="126" t="s">
        <v>327</v>
      </c>
      <c r="F124" s="132">
        <v>46300.609849537039</v>
      </c>
      <c r="G124" s="126" t="s">
        <v>318</v>
      </c>
      <c r="H124" s="126">
        <v>3</v>
      </c>
      <c r="I124" s="126" t="s">
        <v>319</v>
      </c>
      <c r="J124" s="132">
        <v>46301.49722222222</v>
      </c>
      <c r="K124" s="132">
        <v>46304.615277777775</v>
      </c>
      <c r="L124" s="132"/>
      <c r="M124" s="126">
        <v>3</v>
      </c>
      <c r="N124" s="126"/>
      <c r="O124" s="126" t="s">
        <v>174</v>
      </c>
      <c r="P124" s="126" t="s">
        <v>175</v>
      </c>
      <c r="Q124" s="126"/>
      <c r="R124" s="126"/>
      <c r="S124" s="126" t="s">
        <v>176</v>
      </c>
      <c r="T124" s="126" t="s">
        <v>177</v>
      </c>
      <c r="U124" s="126" t="s">
        <v>178</v>
      </c>
      <c r="V124" s="126" t="s">
        <v>124</v>
      </c>
      <c r="W124" s="126" t="s">
        <v>179</v>
      </c>
      <c r="X124" s="126" t="s">
        <v>178</v>
      </c>
      <c r="Y124" s="126"/>
      <c r="Z124" s="126"/>
      <c r="AA124" s="126" t="s">
        <v>35</v>
      </c>
      <c r="AB124" s="126" t="s">
        <v>180</v>
      </c>
      <c r="AC124" s="126">
        <v>2011</v>
      </c>
      <c r="AD124" s="126" t="s">
        <v>52</v>
      </c>
      <c r="AE124" s="126">
        <v>1</v>
      </c>
      <c r="AF124" s="126"/>
    </row>
    <row r="125" spans="1:32" x14ac:dyDescent="0.3">
      <c r="A125" t="s">
        <v>124</v>
      </c>
      <c r="B125" t="s">
        <v>224</v>
      </c>
      <c r="C125" t="s">
        <v>225</v>
      </c>
      <c r="D125" t="s">
        <v>170</v>
      </c>
      <c r="E125" t="s">
        <v>328</v>
      </c>
      <c r="F125" s="133">
        <v>46302.597407407404</v>
      </c>
      <c r="G125" t="s">
        <v>219</v>
      </c>
      <c r="H125">
        <v>50</v>
      </c>
      <c r="I125" t="s">
        <v>329</v>
      </c>
      <c r="J125" s="133">
        <v>46302.668055555558</v>
      </c>
      <c r="K125" s="133">
        <v>46311.431944444441</v>
      </c>
      <c r="L125" s="133"/>
      <c r="M125">
        <v>50</v>
      </c>
      <c r="O125" t="s">
        <v>174</v>
      </c>
      <c r="P125" t="s">
        <v>175</v>
      </c>
      <c r="S125" t="s">
        <v>221</v>
      </c>
      <c r="T125" t="s">
        <v>222</v>
      </c>
      <c r="U125" t="s">
        <v>178</v>
      </c>
      <c r="V125" t="s">
        <v>188</v>
      </c>
      <c r="W125" t="s">
        <v>188</v>
      </c>
      <c r="X125" t="s">
        <v>188</v>
      </c>
      <c r="AA125" t="s">
        <v>232</v>
      </c>
      <c r="AB125" t="s">
        <v>223</v>
      </c>
      <c r="AC125">
        <v>1350</v>
      </c>
      <c r="AD125" t="s">
        <v>188</v>
      </c>
      <c r="AF125">
        <v>0</v>
      </c>
    </row>
    <row r="126" spans="1:32" x14ac:dyDescent="0.3">
      <c r="A126" s="126" t="s">
        <v>124</v>
      </c>
      <c r="B126" s="126" t="s">
        <v>224</v>
      </c>
      <c r="C126" s="126" t="s">
        <v>225</v>
      </c>
      <c r="D126" s="126" t="s">
        <v>170</v>
      </c>
      <c r="E126" s="126" t="s">
        <v>330</v>
      </c>
      <c r="F126" s="132">
        <v>46302.599849537037</v>
      </c>
      <c r="G126" s="126" t="s">
        <v>219</v>
      </c>
      <c r="H126" s="126">
        <v>50</v>
      </c>
      <c r="I126" s="126" t="s">
        <v>329</v>
      </c>
      <c r="J126" s="132">
        <v>46302.668055555558</v>
      </c>
      <c r="K126" s="132">
        <v>46311.431944444441</v>
      </c>
      <c r="L126" s="132"/>
      <c r="M126" s="126">
        <v>50</v>
      </c>
      <c r="N126" s="126"/>
      <c r="O126" s="126" t="s">
        <v>174</v>
      </c>
      <c r="P126" s="126" t="s">
        <v>175</v>
      </c>
      <c r="Q126" s="126"/>
      <c r="R126" s="126"/>
      <c r="S126" s="126" t="s">
        <v>221</v>
      </c>
      <c r="T126" s="126" t="s">
        <v>222</v>
      </c>
      <c r="U126" s="126" t="s">
        <v>178</v>
      </c>
      <c r="V126" s="126" t="s">
        <v>188</v>
      </c>
      <c r="W126" s="126" t="s">
        <v>188</v>
      </c>
      <c r="X126" s="126" t="s">
        <v>188</v>
      </c>
      <c r="Y126" s="126"/>
      <c r="Z126" s="126"/>
      <c r="AA126" s="126" t="s">
        <v>232</v>
      </c>
      <c r="AB126" s="126" t="s">
        <v>223</v>
      </c>
      <c r="AC126" s="126">
        <v>1350</v>
      </c>
      <c r="AD126" s="126" t="s">
        <v>188</v>
      </c>
      <c r="AE126" s="126"/>
      <c r="AF126" s="126"/>
    </row>
    <row r="127" spans="1:32" x14ac:dyDescent="0.3">
      <c r="A127" t="s">
        <v>124</v>
      </c>
      <c r="B127" t="s">
        <v>190</v>
      </c>
      <c r="C127" t="s">
        <v>126</v>
      </c>
      <c r="D127" t="s">
        <v>170</v>
      </c>
      <c r="E127" t="s">
        <v>331</v>
      </c>
      <c r="F127" s="133">
        <v>46304.448437500003</v>
      </c>
      <c r="G127" t="s">
        <v>332</v>
      </c>
      <c r="H127">
        <v>7</v>
      </c>
      <c r="I127" t="s">
        <v>333</v>
      </c>
      <c r="J127" s="133">
        <v>46308.632638888892</v>
      </c>
      <c r="K127" s="133">
        <v>46311.591666666667</v>
      </c>
      <c r="L127" s="133"/>
      <c r="M127">
        <v>7</v>
      </c>
      <c r="O127" t="s">
        <v>174</v>
      </c>
      <c r="P127" t="s">
        <v>175</v>
      </c>
      <c r="S127" t="s">
        <v>176</v>
      </c>
      <c r="T127" t="s">
        <v>177</v>
      </c>
      <c r="U127" t="s">
        <v>178</v>
      </c>
      <c r="V127" t="s">
        <v>124</v>
      </c>
      <c r="W127" t="s">
        <v>179</v>
      </c>
      <c r="X127" t="s">
        <v>178</v>
      </c>
      <c r="Y127">
        <v>0</v>
      </c>
      <c r="AA127" t="s">
        <v>35</v>
      </c>
      <c r="AB127" t="s">
        <v>180</v>
      </c>
      <c r="AC127">
        <v>2011</v>
      </c>
      <c r="AD127" t="s">
        <v>52</v>
      </c>
      <c r="AE127">
        <v>1</v>
      </c>
      <c r="AF127">
        <v>1</v>
      </c>
    </row>
    <row r="128" spans="1:32" x14ac:dyDescent="0.3">
      <c r="A128" s="126" t="s">
        <v>124</v>
      </c>
      <c r="B128" s="126" t="s">
        <v>190</v>
      </c>
      <c r="C128" s="126" t="s">
        <v>126</v>
      </c>
      <c r="D128" s="126" t="s">
        <v>170</v>
      </c>
      <c r="E128" s="126" t="s">
        <v>334</v>
      </c>
      <c r="F128" s="132">
        <v>46304.450439814813</v>
      </c>
      <c r="G128" s="126" t="s">
        <v>332</v>
      </c>
      <c r="H128" s="126">
        <v>3</v>
      </c>
      <c r="I128" s="126" t="s">
        <v>333</v>
      </c>
      <c r="J128" s="132">
        <v>46308.632638888892</v>
      </c>
      <c r="K128" s="132">
        <v>46311.591666666667</v>
      </c>
      <c r="L128" s="132"/>
      <c r="M128" s="126">
        <v>3</v>
      </c>
      <c r="N128" s="126"/>
      <c r="O128" s="126" t="s">
        <v>174</v>
      </c>
      <c r="P128" s="126" t="s">
        <v>175</v>
      </c>
      <c r="Q128" s="126"/>
      <c r="R128" s="126"/>
      <c r="S128" s="126" t="s">
        <v>176</v>
      </c>
      <c r="T128" s="126" t="s">
        <v>177</v>
      </c>
      <c r="U128" s="126" t="s">
        <v>178</v>
      </c>
      <c r="V128" s="126" t="s">
        <v>124</v>
      </c>
      <c r="W128" s="126" t="s">
        <v>179</v>
      </c>
      <c r="X128" s="126" t="s">
        <v>178</v>
      </c>
      <c r="Y128" s="126"/>
      <c r="Z128" s="126"/>
      <c r="AA128" s="126" t="s">
        <v>35</v>
      </c>
      <c r="AB128" s="126" t="s">
        <v>180</v>
      </c>
      <c r="AC128" s="126">
        <v>2011</v>
      </c>
      <c r="AD128" s="126" t="s">
        <v>52</v>
      </c>
      <c r="AE128" s="126">
        <v>1</v>
      </c>
      <c r="AF128" s="126"/>
    </row>
    <row r="129" spans="1:32" x14ac:dyDescent="0.3">
      <c r="A129" t="s">
        <v>124</v>
      </c>
      <c r="B129" t="s">
        <v>224</v>
      </c>
      <c r="C129" t="s">
        <v>225</v>
      </c>
      <c r="D129" t="s">
        <v>170</v>
      </c>
      <c r="E129" t="s">
        <v>335</v>
      </c>
      <c r="F129" s="133">
        <v>46310.391215277778</v>
      </c>
      <c r="G129" t="s">
        <v>219</v>
      </c>
      <c r="H129">
        <v>100</v>
      </c>
      <c r="I129" t="s">
        <v>336</v>
      </c>
      <c r="J129" s="133">
        <v>46310.586805555555</v>
      </c>
      <c r="K129" s="133">
        <v>46311.432638888888</v>
      </c>
      <c r="L129" s="133"/>
      <c r="M129">
        <v>100</v>
      </c>
      <c r="O129" t="s">
        <v>174</v>
      </c>
      <c r="P129" t="s">
        <v>209</v>
      </c>
      <c r="S129" t="s">
        <v>221</v>
      </c>
      <c r="T129" t="s">
        <v>222</v>
      </c>
      <c r="U129" t="s">
        <v>178</v>
      </c>
      <c r="V129" t="s">
        <v>188</v>
      </c>
      <c r="W129" t="s">
        <v>188</v>
      </c>
      <c r="X129" t="s">
        <v>188</v>
      </c>
      <c r="AA129" t="s">
        <v>232</v>
      </c>
      <c r="AB129" t="s">
        <v>223</v>
      </c>
      <c r="AC129">
        <v>1350</v>
      </c>
      <c r="AD129" t="s">
        <v>188</v>
      </c>
    </row>
    <row r="130" spans="1:32" x14ac:dyDescent="0.3">
      <c r="A130" s="126" t="s">
        <v>124</v>
      </c>
      <c r="B130" s="126" t="s">
        <v>224</v>
      </c>
      <c r="C130" s="126" t="s">
        <v>225</v>
      </c>
      <c r="D130" s="126" t="s">
        <v>170</v>
      </c>
      <c r="E130" s="126" t="s">
        <v>337</v>
      </c>
      <c r="F130" s="132">
        <v>46310.393148148149</v>
      </c>
      <c r="G130" s="126" t="s">
        <v>219</v>
      </c>
      <c r="H130" s="126">
        <v>180</v>
      </c>
      <c r="I130" s="126" t="s">
        <v>336</v>
      </c>
      <c r="J130" s="132">
        <v>46310.586805555555</v>
      </c>
      <c r="K130" s="132">
        <v>46311.432638888888</v>
      </c>
      <c r="L130" s="132"/>
      <c r="M130" s="126">
        <v>180</v>
      </c>
      <c r="N130" s="126"/>
      <c r="O130" s="126" t="s">
        <v>174</v>
      </c>
      <c r="P130" s="126" t="s">
        <v>209</v>
      </c>
      <c r="Q130" s="126"/>
      <c r="R130" s="126"/>
      <c r="S130" s="126" t="s">
        <v>221</v>
      </c>
      <c r="T130" s="126" t="s">
        <v>222</v>
      </c>
      <c r="U130" s="126" t="s">
        <v>178</v>
      </c>
      <c r="V130" s="126" t="s">
        <v>188</v>
      </c>
      <c r="W130" s="126" t="s">
        <v>188</v>
      </c>
      <c r="X130" s="126" t="s">
        <v>188</v>
      </c>
      <c r="Y130" s="126"/>
      <c r="Z130" s="126"/>
      <c r="AA130" s="126" t="s">
        <v>232</v>
      </c>
      <c r="AB130" s="126" t="s">
        <v>223</v>
      </c>
      <c r="AC130" s="126">
        <v>1350</v>
      </c>
      <c r="AD130" s="126" t="s">
        <v>188</v>
      </c>
      <c r="AE130" s="126"/>
      <c r="AF130" s="126"/>
    </row>
    <row r="131" spans="1:32" x14ac:dyDescent="0.3">
      <c r="A131" t="s">
        <v>124</v>
      </c>
      <c r="B131" t="s">
        <v>224</v>
      </c>
      <c r="C131" t="s">
        <v>225</v>
      </c>
      <c r="D131" t="s">
        <v>170</v>
      </c>
      <c r="E131" t="s">
        <v>338</v>
      </c>
      <c r="F131" s="133">
        <v>46310.39366898148</v>
      </c>
      <c r="G131" t="s">
        <v>219</v>
      </c>
      <c r="H131">
        <v>100</v>
      </c>
      <c r="I131" t="s">
        <v>336</v>
      </c>
      <c r="J131" s="133">
        <v>46310.586805555555</v>
      </c>
      <c r="K131" s="133">
        <v>46311.432638888888</v>
      </c>
      <c r="L131" s="133"/>
      <c r="M131">
        <v>100</v>
      </c>
      <c r="O131" t="s">
        <v>174</v>
      </c>
      <c r="P131" t="s">
        <v>209</v>
      </c>
      <c r="S131" t="s">
        <v>221</v>
      </c>
      <c r="T131" t="s">
        <v>222</v>
      </c>
      <c r="U131" t="s">
        <v>178</v>
      </c>
      <c r="V131" t="s">
        <v>188</v>
      </c>
      <c r="W131" t="s">
        <v>188</v>
      </c>
      <c r="X131" t="s">
        <v>188</v>
      </c>
      <c r="AA131" t="s">
        <v>232</v>
      </c>
      <c r="AB131" t="s">
        <v>223</v>
      </c>
      <c r="AC131">
        <v>1350</v>
      </c>
      <c r="AD131" t="s">
        <v>188</v>
      </c>
    </row>
    <row r="132" spans="1:32" x14ac:dyDescent="0.3">
      <c r="A132" s="126" t="s">
        <v>124</v>
      </c>
      <c r="B132" s="126" t="s">
        <v>224</v>
      </c>
      <c r="C132" s="126" t="s">
        <v>225</v>
      </c>
      <c r="D132" s="126" t="s">
        <v>170</v>
      </c>
      <c r="E132" s="126" t="s">
        <v>339</v>
      </c>
      <c r="F132" s="132">
        <v>46310.394490740742</v>
      </c>
      <c r="G132" s="126" t="s">
        <v>219</v>
      </c>
      <c r="H132" s="126">
        <v>100</v>
      </c>
      <c r="I132" s="126" t="s">
        <v>336</v>
      </c>
      <c r="J132" s="132">
        <v>46310.586805555555</v>
      </c>
      <c r="K132" s="132">
        <v>46311.432638888888</v>
      </c>
      <c r="L132" s="132"/>
      <c r="M132" s="126">
        <v>100</v>
      </c>
      <c r="N132" s="126"/>
      <c r="O132" s="126" t="s">
        <v>174</v>
      </c>
      <c r="P132" s="126" t="s">
        <v>209</v>
      </c>
      <c r="Q132" s="126"/>
      <c r="R132" s="126"/>
      <c r="S132" s="126" t="s">
        <v>221</v>
      </c>
      <c r="T132" s="126" t="s">
        <v>222</v>
      </c>
      <c r="U132" s="126" t="s">
        <v>178</v>
      </c>
      <c r="V132" s="126" t="s">
        <v>188</v>
      </c>
      <c r="W132" s="126" t="s">
        <v>188</v>
      </c>
      <c r="X132" s="126" t="s">
        <v>188</v>
      </c>
      <c r="Y132" s="126"/>
      <c r="Z132" s="126"/>
      <c r="AA132" s="126" t="s">
        <v>232</v>
      </c>
      <c r="AB132" s="126" t="s">
        <v>223</v>
      </c>
      <c r="AC132" s="126">
        <v>1350</v>
      </c>
      <c r="AD132" s="126" t="s">
        <v>188</v>
      </c>
      <c r="AE132" s="126"/>
      <c r="AF132" s="126"/>
    </row>
    <row r="133" spans="1:32" x14ac:dyDescent="0.3">
      <c r="A133" t="s">
        <v>124</v>
      </c>
      <c r="B133" t="s">
        <v>190</v>
      </c>
      <c r="C133" t="s">
        <v>126</v>
      </c>
      <c r="D133" t="s">
        <v>170</v>
      </c>
      <c r="E133" t="s">
        <v>340</v>
      </c>
      <c r="F133" s="133">
        <v>46314.559479166666</v>
      </c>
      <c r="G133" t="s">
        <v>219</v>
      </c>
      <c r="H133">
        <v>33</v>
      </c>
      <c r="I133" t="s">
        <v>341</v>
      </c>
      <c r="J133" s="133">
        <v>46314.672222222223</v>
      </c>
      <c r="K133" s="133">
        <v>46318.445138888892</v>
      </c>
      <c r="L133" s="133"/>
      <c r="M133">
        <v>33</v>
      </c>
      <c r="O133" t="s">
        <v>174</v>
      </c>
      <c r="P133" t="s">
        <v>175</v>
      </c>
      <c r="S133" t="s">
        <v>176</v>
      </c>
      <c r="T133" t="s">
        <v>177</v>
      </c>
      <c r="U133" t="s">
        <v>178</v>
      </c>
      <c r="V133" t="s">
        <v>124</v>
      </c>
      <c r="W133" t="s">
        <v>179</v>
      </c>
      <c r="X133" t="s">
        <v>178</v>
      </c>
      <c r="AA133" t="s">
        <v>35</v>
      </c>
      <c r="AB133" t="s">
        <v>180</v>
      </c>
      <c r="AC133">
        <v>2011</v>
      </c>
      <c r="AD133" t="s">
        <v>52</v>
      </c>
      <c r="AE133">
        <v>3.3</v>
      </c>
    </row>
    <row r="134" spans="1:32" x14ac:dyDescent="0.3">
      <c r="A134" s="126" t="s">
        <v>124</v>
      </c>
      <c r="B134" s="126" t="s">
        <v>194</v>
      </c>
      <c r="C134" s="126" t="s">
        <v>195</v>
      </c>
      <c r="D134" s="126" t="s">
        <v>170</v>
      </c>
      <c r="E134" s="126" t="s">
        <v>244</v>
      </c>
      <c r="F134" s="132">
        <v>46297.613888888889</v>
      </c>
      <c r="G134" s="126" t="s">
        <v>245</v>
      </c>
      <c r="H134" s="126">
        <v>1</v>
      </c>
      <c r="I134" s="126" t="s">
        <v>246</v>
      </c>
      <c r="J134" s="132">
        <v>46300.581250000003</v>
      </c>
      <c r="K134" s="132">
        <v>46300.673611111109</v>
      </c>
      <c r="L134" s="132">
        <v>46294.506249999999</v>
      </c>
      <c r="M134" s="126">
        <v>1</v>
      </c>
      <c r="N134" s="126"/>
      <c r="O134" s="126" t="s">
        <v>205</v>
      </c>
      <c r="P134" s="126"/>
      <c r="Q134" s="126"/>
      <c r="R134" s="126"/>
      <c r="S134" s="126" t="s">
        <v>247</v>
      </c>
      <c r="T134" s="126" t="s">
        <v>248</v>
      </c>
      <c r="U134" s="126" t="s">
        <v>249</v>
      </c>
      <c r="V134" s="126" t="s">
        <v>188</v>
      </c>
      <c r="W134" s="126" t="s">
        <v>188</v>
      </c>
      <c r="X134" s="126" t="s">
        <v>188</v>
      </c>
      <c r="Y134" s="126"/>
      <c r="Z134" s="126"/>
      <c r="AA134" s="126" t="s">
        <v>199</v>
      </c>
      <c r="AB134" s="126" t="s">
        <v>250</v>
      </c>
      <c r="AC134" s="126">
        <v>2940</v>
      </c>
      <c r="AD134" s="126" t="s">
        <v>95</v>
      </c>
      <c r="AE134" s="126">
        <v>1</v>
      </c>
      <c r="AF134" s="126"/>
    </row>
    <row r="135" spans="1:32" x14ac:dyDescent="0.3">
      <c r="A135" s="130" t="s">
        <v>124</v>
      </c>
      <c r="B135" s="130" t="s">
        <v>194</v>
      </c>
      <c r="C135" s="130" t="s">
        <v>195</v>
      </c>
      <c r="D135" s="130" t="s">
        <v>170</v>
      </c>
      <c r="E135" s="130" t="s">
        <v>207</v>
      </c>
      <c r="F135" s="134">
        <v>46317.383333333331</v>
      </c>
      <c r="G135" s="130" t="s">
        <v>172</v>
      </c>
      <c r="H135" s="130">
        <v>8</v>
      </c>
      <c r="I135" s="130" t="s">
        <v>208</v>
      </c>
      <c r="J135" s="134">
        <v>46317.488194444442</v>
      </c>
      <c r="K135" s="134">
        <v>46317.675000000003</v>
      </c>
      <c r="L135" s="134">
        <v>46294.506249999999</v>
      </c>
      <c r="M135" s="130">
        <v>8</v>
      </c>
      <c r="N135" s="130"/>
      <c r="O135" s="130" t="s">
        <v>205</v>
      </c>
      <c r="P135" s="130"/>
      <c r="Q135" s="130"/>
      <c r="R135" s="130"/>
      <c r="S135" s="130" t="s">
        <v>176</v>
      </c>
      <c r="T135" s="130" t="s">
        <v>177</v>
      </c>
      <c r="U135" s="130" t="s">
        <v>178</v>
      </c>
      <c r="V135" s="130" t="s">
        <v>188</v>
      </c>
      <c r="W135" s="130" t="s">
        <v>188</v>
      </c>
      <c r="X135" s="130" t="s">
        <v>188</v>
      </c>
      <c r="Y135" s="130"/>
      <c r="Z135" s="130"/>
      <c r="AA135" s="130" t="s">
        <v>199</v>
      </c>
      <c r="AB135" s="130" t="s">
        <v>180</v>
      </c>
      <c r="AC135" s="130">
        <v>2011</v>
      </c>
      <c r="AD135" s="130" t="s">
        <v>95</v>
      </c>
      <c r="AE135" s="130">
        <v>1</v>
      </c>
      <c r="AF135" s="130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A430-6E88-4D44-9E3E-977EA1E185C2}">
  <dimension ref="A1:R5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16.77734375" bestFit="1" customWidth="1"/>
    <col min="4" max="4" width="16.44140625" bestFit="1" customWidth="1"/>
    <col min="5" max="5" width="32.664062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20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142</v>
      </c>
      <c r="B1" s="129" t="s">
        <v>19</v>
      </c>
      <c r="C1" s="129" t="s">
        <v>18</v>
      </c>
      <c r="D1" s="129" t="s">
        <v>145</v>
      </c>
      <c r="E1" s="129" t="s">
        <v>146</v>
      </c>
      <c r="F1" s="129" t="s">
        <v>147</v>
      </c>
      <c r="G1" s="129" t="s">
        <v>150</v>
      </c>
      <c r="H1" s="129" t="s">
        <v>158</v>
      </c>
      <c r="I1" s="129" t="s">
        <v>159</v>
      </c>
      <c r="J1" s="129" t="s">
        <v>160</v>
      </c>
      <c r="K1" s="129" t="s">
        <v>161</v>
      </c>
      <c r="L1" s="129" t="s">
        <v>162</v>
      </c>
      <c r="M1" s="129" t="s">
        <v>163</v>
      </c>
      <c r="N1" s="129" t="s">
        <v>164</v>
      </c>
      <c r="O1" s="129" t="s">
        <v>20</v>
      </c>
      <c r="P1" s="129" t="s">
        <v>165</v>
      </c>
      <c r="Q1" s="129" t="s">
        <v>123</v>
      </c>
      <c r="R1" s="129" t="s">
        <v>167</v>
      </c>
    </row>
    <row r="2" spans="1:18" x14ac:dyDescent="0.3">
      <c r="A2" s="126" t="s">
        <v>124</v>
      </c>
      <c r="B2" s="126" t="s">
        <v>168</v>
      </c>
      <c r="C2" s="126" t="s">
        <v>169</v>
      </c>
      <c r="D2" s="132">
        <v>46309.413865740738</v>
      </c>
      <c r="E2" s="126" t="s">
        <v>172</v>
      </c>
      <c r="F2" s="126">
        <v>1</v>
      </c>
      <c r="G2" s="132">
        <v>46318.584722222222</v>
      </c>
      <c r="H2" s="126" t="s">
        <v>176</v>
      </c>
      <c r="I2" s="126" t="s">
        <v>177</v>
      </c>
      <c r="J2" s="126" t="s">
        <v>178</v>
      </c>
      <c r="K2" s="126" t="s">
        <v>124</v>
      </c>
      <c r="L2" s="126" t="s">
        <v>179</v>
      </c>
      <c r="M2" s="126" t="s">
        <v>178</v>
      </c>
      <c r="N2" s="126">
        <v>0</v>
      </c>
      <c r="O2" s="126" t="s">
        <v>35</v>
      </c>
      <c r="P2" s="126" t="s">
        <v>180</v>
      </c>
      <c r="Q2" s="126" t="s">
        <v>52</v>
      </c>
      <c r="R2" s="126">
        <v>1</v>
      </c>
    </row>
    <row r="3" spans="1:18" x14ac:dyDescent="0.3">
      <c r="A3" t="s">
        <v>124</v>
      </c>
      <c r="B3" t="s">
        <v>190</v>
      </c>
      <c r="C3" t="s">
        <v>126</v>
      </c>
      <c r="D3" s="133">
        <v>46309.340717592589</v>
      </c>
      <c r="E3" t="s">
        <v>192</v>
      </c>
      <c r="F3">
        <v>9</v>
      </c>
      <c r="G3" s="133">
        <v>46315.506944444445</v>
      </c>
      <c r="H3" t="s">
        <v>185</v>
      </c>
      <c r="I3" t="s">
        <v>186</v>
      </c>
      <c r="J3" t="s">
        <v>187</v>
      </c>
      <c r="K3" t="s">
        <v>124</v>
      </c>
      <c r="L3" t="s">
        <v>179</v>
      </c>
      <c r="M3" t="s">
        <v>178</v>
      </c>
      <c r="O3" t="s">
        <v>35</v>
      </c>
      <c r="P3" t="s">
        <v>185</v>
      </c>
      <c r="Q3" t="s">
        <v>52</v>
      </c>
      <c r="R3">
        <v>1</v>
      </c>
    </row>
    <row r="4" spans="1:18" x14ac:dyDescent="0.3">
      <c r="A4" s="126" t="s">
        <v>124</v>
      </c>
      <c r="B4" s="126" t="s">
        <v>216</v>
      </c>
      <c r="C4" s="126" t="s">
        <v>126</v>
      </c>
      <c r="D4" s="132">
        <v>46297.483865740738</v>
      </c>
      <c r="E4" s="126" t="s">
        <v>172</v>
      </c>
      <c r="F4" s="126">
        <v>1</v>
      </c>
      <c r="G4" s="132">
        <v>46304.625694444447</v>
      </c>
      <c r="H4" s="126" t="s">
        <v>176</v>
      </c>
      <c r="I4" s="126" t="s">
        <v>177</v>
      </c>
      <c r="J4" s="126" t="s">
        <v>178</v>
      </c>
      <c r="K4" s="126" t="s">
        <v>124</v>
      </c>
      <c r="L4" s="126" t="s">
        <v>179</v>
      </c>
      <c r="M4" s="126" t="s">
        <v>178</v>
      </c>
      <c r="N4" s="126">
        <v>0</v>
      </c>
      <c r="O4" s="126" t="s">
        <v>54</v>
      </c>
      <c r="P4" s="126" t="s">
        <v>180</v>
      </c>
      <c r="Q4" s="126" t="s">
        <v>52</v>
      </c>
      <c r="R4" s="126">
        <v>4.07</v>
      </c>
    </row>
    <row r="5" spans="1:18" x14ac:dyDescent="0.3">
      <c r="A5" t="s">
        <v>124</v>
      </c>
      <c r="B5" t="s">
        <v>190</v>
      </c>
      <c r="C5" t="s">
        <v>126</v>
      </c>
      <c r="D5" s="133">
        <v>46314.577777777777</v>
      </c>
      <c r="E5" t="s">
        <v>219</v>
      </c>
      <c r="F5">
        <v>25</v>
      </c>
      <c r="G5" s="133">
        <v>46318.4375</v>
      </c>
      <c r="H5" t="s">
        <v>221</v>
      </c>
      <c r="I5" t="s">
        <v>222</v>
      </c>
      <c r="J5" t="s">
        <v>178</v>
      </c>
      <c r="K5" t="s">
        <v>124</v>
      </c>
      <c r="L5" t="s">
        <v>179</v>
      </c>
      <c r="M5" t="s">
        <v>178</v>
      </c>
      <c r="N5">
        <v>0</v>
      </c>
      <c r="O5" t="s">
        <v>35</v>
      </c>
      <c r="P5" t="s">
        <v>223</v>
      </c>
      <c r="Q5" t="s">
        <v>52</v>
      </c>
      <c r="R5">
        <v>1</v>
      </c>
    </row>
    <row r="6" spans="1:18" x14ac:dyDescent="0.3">
      <c r="A6" s="126" t="s">
        <v>124</v>
      </c>
      <c r="B6" s="126" t="s">
        <v>190</v>
      </c>
      <c r="C6" s="126" t="s">
        <v>126</v>
      </c>
      <c r="D6" s="132">
        <v>46309.349305555559</v>
      </c>
      <c r="E6" s="126" t="s">
        <v>192</v>
      </c>
      <c r="F6" s="126">
        <v>9</v>
      </c>
      <c r="G6" s="132">
        <v>46315.513194444444</v>
      </c>
      <c r="H6" s="126" t="s">
        <v>185</v>
      </c>
      <c r="I6" s="126" t="s">
        <v>186</v>
      </c>
      <c r="J6" s="126" t="s">
        <v>187</v>
      </c>
      <c r="K6" s="126" t="s">
        <v>124</v>
      </c>
      <c r="L6" s="126" t="s">
        <v>179</v>
      </c>
      <c r="M6" s="126" t="s">
        <v>178</v>
      </c>
      <c r="N6" s="126"/>
      <c r="O6" s="126" t="s">
        <v>35</v>
      </c>
      <c r="P6" s="126" t="s">
        <v>185</v>
      </c>
      <c r="Q6" s="126" t="s">
        <v>52</v>
      </c>
      <c r="R6" s="126"/>
    </row>
    <row r="7" spans="1:18" x14ac:dyDescent="0.3">
      <c r="A7" t="s">
        <v>124</v>
      </c>
      <c r="B7" t="s">
        <v>190</v>
      </c>
      <c r="C7" t="s">
        <v>126</v>
      </c>
      <c r="D7" s="133">
        <v>46309.345833333333</v>
      </c>
      <c r="E7" t="s">
        <v>192</v>
      </c>
      <c r="F7">
        <v>13</v>
      </c>
      <c r="G7" s="133">
        <v>46315.513194444444</v>
      </c>
      <c r="H7" t="s">
        <v>185</v>
      </c>
      <c r="I7" t="s">
        <v>186</v>
      </c>
      <c r="J7" t="s">
        <v>187</v>
      </c>
      <c r="K7" t="s">
        <v>124</v>
      </c>
      <c r="L7" t="s">
        <v>179</v>
      </c>
      <c r="M7" t="s">
        <v>178</v>
      </c>
      <c r="O7" t="s">
        <v>35</v>
      </c>
      <c r="P7" t="s">
        <v>185</v>
      </c>
      <c r="Q7" t="s">
        <v>52</v>
      </c>
    </row>
    <row r="8" spans="1:18" x14ac:dyDescent="0.3">
      <c r="A8" s="126" t="s">
        <v>124</v>
      </c>
      <c r="B8" s="126" t="s">
        <v>190</v>
      </c>
      <c r="C8" s="126" t="s">
        <v>126</v>
      </c>
      <c r="D8" s="132">
        <v>46286.371759259258</v>
      </c>
      <c r="E8" s="126" t="s">
        <v>242</v>
      </c>
      <c r="F8" s="126">
        <v>1</v>
      </c>
      <c r="G8" s="132">
        <v>46304.431250000001</v>
      </c>
      <c r="H8" s="126" t="s">
        <v>176</v>
      </c>
      <c r="I8" s="126" t="s">
        <v>177</v>
      </c>
      <c r="J8" s="126" t="s">
        <v>178</v>
      </c>
      <c r="K8" s="126" t="s">
        <v>124</v>
      </c>
      <c r="L8" s="126" t="s">
        <v>179</v>
      </c>
      <c r="M8" s="126" t="s">
        <v>178</v>
      </c>
      <c r="N8" s="126">
        <v>0</v>
      </c>
      <c r="O8" s="126" t="s">
        <v>35</v>
      </c>
      <c r="P8" s="126" t="s">
        <v>180</v>
      </c>
      <c r="Q8" s="126" t="s">
        <v>52</v>
      </c>
      <c r="R8" s="126"/>
    </row>
    <row r="9" spans="1:18" x14ac:dyDescent="0.3">
      <c r="A9" t="s">
        <v>124</v>
      </c>
      <c r="B9" t="s">
        <v>190</v>
      </c>
      <c r="C9" t="s">
        <v>126</v>
      </c>
      <c r="D9" s="133">
        <v>46282.327233796299</v>
      </c>
      <c r="E9" t="s">
        <v>172</v>
      </c>
      <c r="F9">
        <v>15</v>
      </c>
      <c r="G9" s="133">
        <v>46290.447916666664</v>
      </c>
      <c r="H9" t="s">
        <v>185</v>
      </c>
      <c r="I9" t="s">
        <v>186</v>
      </c>
      <c r="J9" t="s">
        <v>187</v>
      </c>
      <c r="K9" t="s">
        <v>124</v>
      </c>
      <c r="L9" t="s">
        <v>179</v>
      </c>
      <c r="M9" t="s">
        <v>178</v>
      </c>
      <c r="O9" t="s">
        <v>35</v>
      </c>
      <c r="P9" t="s">
        <v>185</v>
      </c>
      <c r="Q9" t="s">
        <v>52</v>
      </c>
      <c r="R9">
        <v>1</v>
      </c>
    </row>
    <row r="10" spans="1:18" x14ac:dyDescent="0.3">
      <c r="A10" s="126" t="s">
        <v>124</v>
      </c>
      <c r="B10" s="126" t="s">
        <v>190</v>
      </c>
      <c r="C10" s="126" t="s">
        <v>126</v>
      </c>
      <c r="D10" s="132">
        <v>46286.369247685187</v>
      </c>
      <c r="E10" s="126" t="s">
        <v>242</v>
      </c>
      <c r="F10" s="126">
        <v>1</v>
      </c>
      <c r="G10" s="132">
        <v>46304.431250000001</v>
      </c>
      <c r="H10" s="126" t="s">
        <v>176</v>
      </c>
      <c r="I10" s="126" t="s">
        <v>177</v>
      </c>
      <c r="J10" s="126" t="s">
        <v>178</v>
      </c>
      <c r="K10" s="126" t="s">
        <v>124</v>
      </c>
      <c r="L10" s="126" t="s">
        <v>179</v>
      </c>
      <c r="M10" s="126" t="s">
        <v>178</v>
      </c>
      <c r="N10" s="126"/>
      <c r="O10" s="126" t="s">
        <v>35</v>
      </c>
      <c r="P10" s="126" t="s">
        <v>180</v>
      </c>
      <c r="Q10" s="126" t="s">
        <v>52</v>
      </c>
      <c r="R10" s="126"/>
    </row>
    <row r="11" spans="1:18" x14ac:dyDescent="0.3">
      <c r="A11" t="s">
        <v>124</v>
      </c>
      <c r="B11" t="s">
        <v>190</v>
      </c>
      <c r="C11" t="s">
        <v>126</v>
      </c>
      <c r="D11" s="133">
        <v>46309.355034722219</v>
      </c>
      <c r="E11" t="s">
        <v>192</v>
      </c>
      <c r="F11">
        <v>9</v>
      </c>
      <c r="G11" s="133">
        <v>46315.506944444445</v>
      </c>
      <c r="H11" t="s">
        <v>185</v>
      </c>
      <c r="I11" t="s">
        <v>186</v>
      </c>
      <c r="J11" t="s">
        <v>187</v>
      </c>
      <c r="K11" t="s">
        <v>124</v>
      </c>
      <c r="L11" t="s">
        <v>179</v>
      </c>
      <c r="M11" t="s">
        <v>178</v>
      </c>
      <c r="O11" t="s">
        <v>35</v>
      </c>
      <c r="P11" t="s">
        <v>185</v>
      </c>
      <c r="Q11" t="s">
        <v>52</v>
      </c>
    </row>
    <row r="12" spans="1:18" x14ac:dyDescent="0.3">
      <c r="A12" s="126" t="s">
        <v>124</v>
      </c>
      <c r="B12" s="126" t="s">
        <v>190</v>
      </c>
      <c r="C12" s="126" t="s">
        <v>126</v>
      </c>
      <c r="D12" s="132">
        <v>46314.484722222223</v>
      </c>
      <c r="E12" s="126" t="s">
        <v>256</v>
      </c>
      <c r="F12" s="126">
        <v>18</v>
      </c>
      <c r="G12" s="132">
        <v>46318.493055555555</v>
      </c>
      <c r="H12" s="126" t="s">
        <v>176</v>
      </c>
      <c r="I12" s="126" t="s">
        <v>177</v>
      </c>
      <c r="J12" s="126" t="s">
        <v>178</v>
      </c>
      <c r="K12" s="126" t="s">
        <v>124</v>
      </c>
      <c r="L12" s="126" t="s">
        <v>179</v>
      </c>
      <c r="M12" s="126" t="s">
        <v>178</v>
      </c>
      <c r="N12" s="126">
        <v>0</v>
      </c>
      <c r="O12" s="126" t="s">
        <v>35</v>
      </c>
      <c r="P12" s="126" t="s">
        <v>180</v>
      </c>
      <c r="Q12" s="126" t="s">
        <v>52</v>
      </c>
      <c r="R12" s="126"/>
    </row>
    <row r="13" spans="1:18" x14ac:dyDescent="0.3">
      <c r="A13" t="s">
        <v>124</v>
      </c>
      <c r="B13" t="s">
        <v>190</v>
      </c>
      <c r="C13" t="s">
        <v>126</v>
      </c>
      <c r="D13" s="133">
        <v>46286.378831018519</v>
      </c>
      <c r="E13" t="s">
        <v>242</v>
      </c>
      <c r="F13">
        <v>1</v>
      </c>
      <c r="G13" s="133">
        <v>46304.431250000001</v>
      </c>
      <c r="H13" t="s">
        <v>176</v>
      </c>
      <c r="I13" t="s">
        <v>177</v>
      </c>
      <c r="J13" t="s">
        <v>178</v>
      </c>
      <c r="K13" t="s">
        <v>124</v>
      </c>
      <c r="L13" t="s">
        <v>179</v>
      </c>
      <c r="M13" t="s">
        <v>178</v>
      </c>
      <c r="O13" t="s">
        <v>35</v>
      </c>
      <c r="P13" t="s">
        <v>180</v>
      </c>
      <c r="Q13" t="s">
        <v>52</v>
      </c>
    </row>
    <row r="14" spans="1:18" x14ac:dyDescent="0.3">
      <c r="A14" s="126" t="s">
        <v>124</v>
      </c>
      <c r="B14" s="126" t="s">
        <v>190</v>
      </c>
      <c r="C14" s="126" t="s">
        <v>126</v>
      </c>
      <c r="D14" s="132">
        <v>46286.372893518521</v>
      </c>
      <c r="E14" s="126" t="s">
        <v>242</v>
      </c>
      <c r="F14" s="126">
        <v>1</v>
      </c>
      <c r="G14" s="132">
        <v>46304.431250000001</v>
      </c>
      <c r="H14" s="126" t="s">
        <v>176</v>
      </c>
      <c r="I14" s="126" t="s">
        <v>177</v>
      </c>
      <c r="J14" s="126" t="s">
        <v>178</v>
      </c>
      <c r="K14" s="126" t="s">
        <v>124</v>
      </c>
      <c r="L14" s="126" t="s">
        <v>179</v>
      </c>
      <c r="M14" s="126" t="s">
        <v>178</v>
      </c>
      <c r="N14" s="126"/>
      <c r="O14" s="126" t="s">
        <v>35</v>
      </c>
      <c r="P14" s="126" t="s">
        <v>180</v>
      </c>
      <c r="Q14" s="126" t="s">
        <v>52</v>
      </c>
      <c r="R14" s="126"/>
    </row>
    <row r="15" spans="1:18" x14ac:dyDescent="0.3">
      <c r="A15" t="s">
        <v>124</v>
      </c>
      <c r="B15" t="s">
        <v>190</v>
      </c>
      <c r="C15" t="s">
        <v>126</v>
      </c>
      <c r="D15" s="133">
        <v>46286.375694444447</v>
      </c>
      <c r="E15" t="s">
        <v>242</v>
      </c>
      <c r="F15">
        <v>1</v>
      </c>
      <c r="G15" s="133">
        <v>46304.431250000001</v>
      </c>
      <c r="H15" t="s">
        <v>176</v>
      </c>
      <c r="I15" t="s">
        <v>177</v>
      </c>
      <c r="J15" t="s">
        <v>178</v>
      </c>
      <c r="K15" t="s">
        <v>124</v>
      </c>
      <c r="L15" t="s">
        <v>179</v>
      </c>
      <c r="M15" t="s">
        <v>178</v>
      </c>
      <c r="O15" t="s">
        <v>35</v>
      </c>
      <c r="P15" t="s">
        <v>180</v>
      </c>
      <c r="Q15" t="s">
        <v>52</v>
      </c>
    </row>
    <row r="16" spans="1:18" x14ac:dyDescent="0.3">
      <c r="A16" s="126" t="s">
        <v>124</v>
      </c>
      <c r="B16" s="126" t="s">
        <v>190</v>
      </c>
      <c r="C16" s="126" t="s">
        <v>126</v>
      </c>
      <c r="D16" s="132">
        <v>46286.370925925927</v>
      </c>
      <c r="E16" s="126" t="s">
        <v>242</v>
      </c>
      <c r="F16" s="126">
        <v>1</v>
      </c>
      <c r="G16" s="132">
        <v>46304.431250000001</v>
      </c>
      <c r="H16" s="126" t="s">
        <v>176</v>
      </c>
      <c r="I16" s="126" t="s">
        <v>177</v>
      </c>
      <c r="J16" s="126" t="s">
        <v>178</v>
      </c>
      <c r="K16" s="126" t="s">
        <v>124</v>
      </c>
      <c r="L16" s="126" t="s">
        <v>179</v>
      </c>
      <c r="M16" s="126" t="s">
        <v>178</v>
      </c>
      <c r="N16" s="126"/>
      <c r="O16" s="126" t="s">
        <v>35</v>
      </c>
      <c r="P16" s="126" t="s">
        <v>180</v>
      </c>
      <c r="Q16" s="126" t="s">
        <v>52</v>
      </c>
      <c r="R16" s="126"/>
    </row>
    <row r="17" spans="1:18" x14ac:dyDescent="0.3">
      <c r="A17" t="s">
        <v>124</v>
      </c>
      <c r="B17" t="s">
        <v>190</v>
      </c>
      <c r="C17" t="s">
        <v>126</v>
      </c>
      <c r="D17" s="133">
        <v>46286.394085648149</v>
      </c>
      <c r="E17" t="s">
        <v>242</v>
      </c>
      <c r="F17">
        <v>1</v>
      </c>
      <c r="G17" s="133">
        <v>46304.431250000001</v>
      </c>
      <c r="H17" t="s">
        <v>176</v>
      </c>
      <c r="I17" t="s">
        <v>177</v>
      </c>
      <c r="J17" t="s">
        <v>178</v>
      </c>
      <c r="K17" t="s">
        <v>124</v>
      </c>
      <c r="L17" t="s">
        <v>179</v>
      </c>
      <c r="M17" t="s">
        <v>178</v>
      </c>
      <c r="O17" t="s">
        <v>35</v>
      </c>
      <c r="P17" t="s">
        <v>180</v>
      </c>
      <c r="Q17" t="s">
        <v>52</v>
      </c>
    </row>
    <row r="18" spans="1:18" x14ac:dyDescent="0.3">
      <c r="A18" s="126" t="s">
        <v>124</v>
      </c>
      <c r="B18" s="126" t="s">
        <v>190</v>
      </c>
      <c r="C18" s="126" t="s">
        <v>126</v>
      </c>
      <c r="D18" s="132">
        <v>46286.374641203707</v>
      </c>
      <c r="E18" s="126" t="s">
        <v>242</v>
      </c>
      <c r="F18" s="126">
        <v>1</v>
      </c>
      <c r="G18" s="132">
        <v>46304.431250000001</v>
      </c>
      <c r="H18" s="126" t="s">
        <v>176</v>
      </c>
      <c r="I18" s="126" t="s">
        <v>177</v>
      </c>
      <c r="J18" s="126" t="s">
        <v>178</v>
      </c>
      <c r="K18" s="126" t="s">
        <v>124</v>
      </c>
      <c r="L18" s="126" t="s">
        <v>179</v>
      </c>
      <c r="M18" s="126" t="s">
        <v>178</v>
      </c>
      <c r="N18" s="126"/>
      <c r="O18" s="126" t="s">
        <v>35</v>
      </c>
      <c r="P18" s="126" t="s">
        <v>180</v>
      </c>
      <c r="Q18" s="126" t="s">
        <v>52</v>
      </c>
      <c r="R18" s="126"/>
    </row>
    <row r="19" spans="1:18" x14ac:dyDescent="0.3">
      <c r="A19" t="s">
        <v>124</v>
      </c>
      <c r="B19" t="s">
        <v>190</v>
      </c>
      <c r="C19" t="s">
        <v>126</v>
      </c>
      <c r="D19" s="133">
        <v>46286.372118055559</v>
      </c>
      <c r="E19" t="s">
        <v>242</v>
      </c>
      <c r="F19">
        <v>1</v>
      </c>
      <c r="G19" s="133">
        <v>46304.431250000001</v>
      </c>
      <c r="H19" t="s">
        <v>176</v>
      </c>
      <c r="I19" t="s">
        <v>177</v>
      </c>
      <c r="J19" t="s">
        <v>178</v>
      </c>
      <c r="K19" t="s">
        <v>124</v>
      </c>
      <c r="L19" t="s">
        <v>179</v>
      </c>
      <c r="M19" t="s">
        <v>178</v>
      </c>
      <c r="O19" t="s">
        <v>35</v>
      </c>
      <c r="P19" t="s">
        <v>180</v>
      </c>
      <c r="Q19" t="s">
        <v>52</v>
      </c>
    </row>
    <row r="20" spans="1:18" x14ac:dyDescent="0.3">
      <c r="A20" s="126" t="s">
        <v>124</v>
      </c>
      <c r="B20" s="126" t="s">
        <v>190</v>
      </c>
      <c r="C20" s="126" t="s">
        <v>126</v>
      </c>
      <c r="D20" s="132">
        <v>46286.371249999997</v>
      </c>
      <c r="E20" s="126" t="s">
        <v>242</v>
      </c>
      <c r="F20" s="126">
        <v>1</v>
      </c>
      <c r="G20" s="132">
        <v>46304.431250000001</v>
      </c>
      <c r="H20" s="126" t="s">
        <v>176</v>
      </c>
      <c r="I20" s="126" t="s">
        <v>177</v>
      </c>
      <c r="J20" s="126" t="s">
        <v>178</v>
      </c>
      <c r="K20" s="126" t="s">
        <v>124</v>
      </c>
      <c r="L20" s="126" t="s">
        <v>179</v>
      </c>
      <c r="M20" s="126" t="s">
        <v>178</v>
      </c>
      <c r="N20" s="126"/>
      <c r="O20" s="126" t="s">
        <v>35</v>
      </c>
      <c r="P20" s="126" t="s">
        <v>180</v>
      </c>
      <c r="Q20" s="126" t="s">
        <v>52</v>
      </c>
      <c r="R20" s="126"/>
    </row>
    <row r="21" spans="1:18" x14ac:dyDescent="0.3">
      <c r="A21" t="s">
        <v>124</v>
      </c>
      <c r="B21" t="s">
        <v>190</v>
      </c>
      <c r="C21" t="s">
        <v>126</v>
      </c>
      <c r="D21" s="133">
        <v>46286.374189814815</v>
      </c>
      <c r="E21" t="s">
        <v>242</v>
      </c>
      <c r="F21">
        <v>1</v>
      </c>
      <c r="G21" s="133">
        <v>46304.431250000001</v>
      </c>
      <c r="H21" t="s">
        <v>176</v>
      </c>
      <c r="I21" t="s">
        <v>177</v>
      </c>
      <c r="J21" t="s">
        <v>178</v>
      </c>
      <c r="K21" t="s">
        <v>124</v>
      </c>
      <c r="L21" t="s">
        <v>179</v>
      </c>
      <c r="M21" t="s">
        <v>178</v>
      </c>
      <c r="O21" t="s">
        <v>35</v>
      </c>
      <c r="P21" t="s">
        <v>180</v>
      </c>
      <c r="Q21" t="s">
        <v>52</v>
      </c>
    </row>
    <row r="22" spans="1:18" x14ac:dyDescent="0.3">
      <c r="A22" s="126" t="s">
        <v>124</v>
      </c>
      <c r="B22" s="126" t="s">
        <v>190</v>
      </c>
      <c r="C22" s="126" t="s">
        <v>126</v>
      </c>
      <c r="D22" s="132">
        <v>46286.369849537034</v>
      </c>
      <c r="E22" s="126" t="s">
        <v>242</v>
      </c>
      <c r="F22" s="126">
        <v>1</v>
      </c>
      <c r="G22" s="132">
        <v>46304.431250000001</v>
      </c>
      <c r="H22" s="126" t="s">
        <v>176</v>
      </c>
      <c r="I22" s="126" t="s">
        <v>177</v>
      </c>
      <c r="J22" s="126" t="s">
        <v>178</v>
      </c>
      <c r="K22" s="126" t="s">
        <v>124</v>
      </c>
      <c r="L22" s="126" t="s">
        <v>179</v>
      </c>
      <c r="M22" s="126" t="s">
        <v>178</v>
      </c>
      <c r="N22" s="126"/>
      <c r="O22" s="126" t="s">
        <v>35</v>
      </c>
      <c r="P22" s="126" t="s">
        <v>180</v>
      </c>
      <c r="Q22" s="126" t="s">
        <v>52</v>
      </c>
      <c r="R22" s="126"/>
    </row>
    <row r="23" spans="1:18" x14ac:dyDescent="0.3">
      <c r="A23" t="s">
        <v>124</v>
      </c>
      <c r="B23" t="s">
        <v>190</v>
      </c>
      <c r="C23" t="s">
        <v>126</v>
      </c>
      <c r="D23" s="133">
        <v>46286.372476851851</v>
      </c>
      <c r="E23" t="s">
        <v>242</v>
      </c>
      <c r="F23">
        <v>1</v>
      </c>
      <c r="G23" s="133">
        <v>46304.431250000001</v>
      </c>
      <c r="H23" t="s">
        <v>176</v>
      </c>
      <c r="I23" t="s">
        <v>177</v>
      </c>
      <c r="J23" t="s">
        <v>178</v>
      </c>
      <c r="K23" t="s">
        <v>124</v>
      </c>
      <c r="L23" t="s">
        <v>179</v>
      </c>
      <c r="M23" t="s">
        <v>178</v>
      </c>
      <c r="O23" t="s">
        <v>35</v>
      </c>
      <c r="P23" t="s">
        <v>180</v>
      </c>
      <c r="Q23" t="s">
        <v>52</v>
      </c>
    </row>
    <row r="24" spans="1:18" x14ac:dyDescent="0.3">
      <c r="A24" s="126" t="s">
        <v>124</v>
      </c>
      <c r="B24" s="126" t="s">
        <v>190</v>
      </c>
      <c r="C24" s="126" t="s">
        <v>126</v>
      </c>
      <c r="D24" s="132">
        <v>46286.370173611111</v>
      </c>
      <c r="E24" s="126" t="s">
        <v>242</v>
      </c>
      <c r="F24" s="126">
        <v>1</v>
      </c>
      <c r="G24" s="132">
        <v>46304.431250000001</v>
      </c>
      <c r="H24" s="126" t="s">
        <v>176</v>
      </c>
      <c r="I24" s="126" t="s">
        <v>177</v>
      </c>
      <c r="J24" s="126" t="s">
        <v>178</v>
      </c>
      <c r="K24" s="126" t="s">
        <v>124</v>
      </c>
      <c r="L24" s="126" t="s">
        <v>179</v>
      </c>
      <c r="M24" s="126" t="s">
        <v>178</v>
      </c>
      <c r="N24" s="126"/>
      <c r="O24" s="126" t="s">
        <v>35</v>
      </c>
      <c r="P24" s="126" t="s">
        <v>180</v>
      </c>
      <c r="Q24" s="126" t="s">
        <v>52</v>
      </c>
      <c r="R24" s="126"/>
    </row>
    <row r="25" spans="1:18" x14ac:dyDescent="0.3">
      <c r="A25" t="s">
        <v>124</v>
      </c>
      <c r="B25" t="s">
        <v>190</v>
      </c>
      <c r="C25" t="s">
        <v>126</v>
      </c>
      <c r="D25" s="133">
        <v>46286.368171296293</v>
      </c>
      <c r="E25" t="s">
        <v>242</v>
      </c>
      <c r="F25">
        <v>1</v>
      </c>
      <c r="G25" s="133">
        <v>46304.431250000001</v>
      </c>
      <c r="H25" t="s">
        <v>176</v>
      </c>
      <c r="I25" t="s">
        <v>177</v>
      </c>
      <c r="J25" t="s">
        <v>178</v>
      </c>
      <c r="K25" t="s">
        <v>124</v>
      </c>
      <c r="L25" t="s">
        <v>179</v>
      </c>
      <c r="M25" t="s">
        <v>178</v>
      </c>
      <c r="O25" t="s">
        <v>35</v>
      </c>
      <c r="P25" t="s">
        <v>180</v>
      </c>
      <c r="Q25" t="s">
        <v>52</v>
      </c>
    </row>
    <row r="26" spans="1:18" x14ac:dyDescent="0.3">
      <c r="A26" s="126" t="s">
        <v>124</v>
      </c>
      <c r="B26" s="126" t="s">
        <v>190</v>
      </c>
      <c r="C26" s="126" t="s">
        <v>126</v>
      </c>
      <c r="D26" s="132">
        <v>46286.375092592592</v>
      </c>
      <c r="E26" s="126" t="s">
        <v>242</v>
      </c>
      <c r="F26" s="126">
        <v>1</v>
      </c>
      <c r="G26" s="132">
        <v>46304.431250000001</v>
      </c>
      <c r="H26" s="126" t="s">
        <v>176</v>
      </c>
      <c r="I26" s="126" t="s">
        <v>177</v>
      </c>
      <c r="J26" s="126" t="s">
        <v>178</v>
      </c>
      <c r="K26" s="126" t="s">
        <v>124</v>
      </c>
      <c r="L26" s="126" t="s">
        <v>179</v>
      </c>
      <c r="M26" s="126" t="s">
        <v>178</v>
      </c>
      <c r="N26" s="126"/>
      <c r="O26" s="126" t="s">
        <v>35</v>
      </c>
      <c r="P26" s="126" t="s">
        <v>180</v>
      </c>
      <c r="Q26" s="126" t="s">
        <v>52</v>
      </c>
      <c r="R26" s="126"/>
    </row>
    <row r="27" spans="1:18" x14ac:dyDescent="0.3">
      <c r="A27" t="s">
        <v>124</v>
      </c>
      <c r="B27" t="s">
        <v>190</v>
      </c>
      <c r="C27" t="s">
        <v>126</v>
      </c>
      <c r="D27" s="133">
        <v>46286.368506944447</v>
      </c>
      <c r="E27" t="s">
        <v>242</v>
      </c>
      <c r="F27">
        <v>1</v>
      </c>
      <c r="G27" s="133">
        <v>46304.431250000001</v>
      </c>
      <c r="H27" t="s">
        <v>176</v>
      </c>
      <c r="I27" t="s">
        <v>177</v>
      </c>
      <c r="J27" t="s">
        <v>178</v>
      </c>
      <c r="K27" t="s">
        <v>124</v>
      </c>
      <c r="L27" t="s">
        <v>179</v>
      </c>
      <c r="M27" t="s">
        <v>178</v>
      </c>
      <c r="O27" t="s">
        <v>35</v>
      </c>
      <c r="P27" t="s">
        <v>180</v>
      </c>
      <c r="Q27" t="s">
        <v>52</v>
      </c>
    </row>
    <row r="28" spans="1:18" x14ac:dyDescent="0.3">
      <c r="A28" s="126" t="s">
        <v>124</v>
      </c>
      <c r="B28" s="126" t="s">
        <v>190</v>
      </c>
      <c r="C28" s="126" t="s">
        <v>126</v>
      </c>
      <c r="D28" s="132">
        <v>46286.36959490741</v>
      </c>
      <c r="E28" s="126" t="s">
        <v>242</v>
      </c>
      <c r="F28" s="126">
        <v>1</v>
      </c>
      <c r="G28" s="132">
        <v>46304.431250000001</v>
      </c>
      <c r="H28" s="126" t="s">
        <v>176</v>
      </c>
      <c r="I28" s="126" t="s">
        <v>177</v>
      </c>
      <c r="J28" s="126" t="s">
        <v>178</v>
      </c>
      <c r="K28" s="126" t="s">
        <v>124</v>
      </c>
      <c r="L28" s="126" t="s">
        <v>179</v>
      </c>
      <c r="M28" s="126" t="s">
        <v>178</v>
      </c>
      <c r="N28" s="126"/>
      <c r="O28" s="126" t="s">
        <v>35</v>
      </c>
      <c r="P28" s="126" t="s">
        <v>180</v>
      </c>
      <c r="Q28" s="126" t="s">
        <v>52</v>
      </c>
      <c r="R28" s="126"/>
    </row>
    <row r="29" spans="1:18" x14ac:dyDescent="0.3">
      <c r="A29" t="s">
        <v>124</v>
      </c>
      <c r="B29" t="s">
        <v>190</v>
      </c>
      <c r="C29" t="s">
        <v>126</v>
      </c>
      <c r="D29" s="133">
        <v>46286.368900462963</v>
      </c>
      <c r="E29" t="s">
        <v>242</v>
      </c>
      <c r="F29">
        <v>1</v>
      </c>
      <c r="G29" s="133">
        <v>46304.431250000001</v>
      </c>
      <c r="H29" t="s">
        <v>176</v>
      </c>
      <c r="I29" t="s">
        <v>177</v>
      </c>
      <c r="J29" t="s">
        <v>178</v>
      </c>
      <c r="K29" t="s">
        <v>124</v>
      </c>
      <c r="L29" t="s">
        <v>179</v>
      </c>
      <c r="M29" t="s">
        <v>178</v>
      </c>
      <c r="O29" t="s">
        <v>35</v>
      </c>
      <c r="P29" t="s">
        <v>180</v>
      </c>
      <c r="Q29" t="s">
        <v>52</v>
      </c>
    </row>
    <row r="30" spans="1:18" x14ac:dyDescent="0.3">
      <c r="A30" s="126" t="s">
        <v>124</v>
      </c>
      <c r="B30" s="126" t="s">
        <v>190</v>
      </c>
      <c r="C30" s="126" t="s">
        <v>126</v>
      </c>
      <c r="D30" s="132">
        <v>46286.370520833334</v>
      </c>
      <c r="E30" s="126" t="s">
        <v>242</v>
      </c>
      <c r="F30" s="126">
        <v>1</v>
      </c>
      <c r="G30" s="132">
        <v>46304.431250000001</v>
      </c>
      <c r="H30" s="126" t="s">
        <v>176</v>
      </c>
      <c r="I30" s="126" t="s">
        <v>177</v>
      </c>
      <c r="J30" s="126" t="s">
        <v>178</v>
      </c>
      <c r="K30" s="126" t="s">
        <v>124</v>
      </c>
      <c r="L30" s="126" t="s">
        <v>179</v>
      </c>
      <c r="M30" s="126" t="s">
        <v>178</v>
      </c>
      <c r="N30" s="126"/>
      <c r="O30" s="126" t="s">
        <v>35</v>
      </c>
      <c r="P30" s="126" t="s">
        <v>180</v>
      </c>
      <c r="Q30" s="126" t="s">
        <v>52</v>
      </c>
      <c r="R30" s="126"/>
    </row>
    <row r="31" spans="1:18" x14ac:dyDescent="0.3">
      <c r="A31" t="s">
        <v>124</v>
      </c>
      <c r="B31" t="s">
        <v>190</v>
      </c>
      <c r="C31" t="s">
        <v>126</v>
      </c>
      <c r="D31" s="133">
        <v>46286.367893518516</v>
      </c>
      <c r="E31" t="s">
        <v>242</v>
      </c>
      <c r="F31">
        <v>1</v>
      </c>
      <c r="G31" s="133">
        <v>46304.431250000001</v>
      </c>
      <c r="H31" t="s">
        <v>176</v>
      </c>
      <c r="I31" t="s">
        <v>177</v>
      </c>
      <c r="J31" t="s">
        <v>178</v>
      </c>
      <c r="K31" t="s">
        <v>124</v>
      </c>
      <c r="L31" t="s">
        <v>179</v>
      </c>
      <c r="M31" t="s">
        <v>178</v>
      </c>
      <c r="O31" t="s">
        <v>35</v>
      </c>
      <c r="P31" t="s">
        <v>180</v>
      </c>
      <c r="Q31" t="s">
        <v>52</v>
      </c>
    </row>
    <row r="32" spans="1:18" x14ac:dyDescent="0.3">
      <c r="A32" s="126" t="s">
        <v>124</v>
      </c>
      <c r="B32" s="126" t="s">
        <v>190</v>
      </c>
      <c r="C32" s="126" t="s">
        <v>126</v>
      </c>
      <c r="D32" s="132">
        <v>46286.367372685185</v>
      </c>
      <c r="E32" s="126" t="s">
        <v>242</v>
      </c>
      <c r="F32" s="126">
        <v>1</v>
      </c>
      <c r="G32" s="132">
        <v>46304.431250000001</v>
      </c>
      <c r="H32" s="126" t="s">
        <v>176</v>
      </c>
      <c r="I32" s="126" t="s">
        <v>177</v>
      </c>
      <c r="J32" s="126" t="s">
        <v>178</v>
      </c>
      <c r="K32" s="126" t="s">
        <v>124</v>
      </c>
      <c r="L32" s="126" t="s">
        <v>179</v>
      </c>
      <c r="M32" s="126" t="s">
        <v>178</v>
      </c>
      <c r="N32" s="126"/>
      <c r="O32" s="126" t="s">
        <v>35</v>
      </c>
      <c r="P32" s="126" t="s">
        <v>180</v>
      </c>
      <c r="Q32" s="126" t="s">
        <v>52</v>
      </c>
      <c r="R32" s="126"/>
    </row>
    <row r="33" spans="1:18" x14ac:dyDescent="0.3">
      <c r="A33" t="s">
        <v>124</v>
      </c>
      <c r="B33" t="s">
        <v>190</v>
      </c>
      <c r="C33" t="s">
        <v>126</v>
      </c>
      <c r="D33" s="133">
        <v>46286.373263888891</v>
      </c>
      <c r="E33" t="s">
        <v>242</v>
      </c>
      <c r="F33">
        <v>1</v>
      </c>
      <c r="G33" s="133">
        <v>46304.431250000001</v>
      </c>
      <c r="H33" t="s">
        <v>176</v>
      </c>
      <c r="I33" t="s">
        <v>177</v>
      </c>
      <c r="J33" t="s">
        <v>178</v>
      </c>
      <c r="K33" t="s">
        <v>124</v>
      </c>
      <c r="L33" t="s">
        <v>179</v>
      </c>
      <c r="M33" t="s">
        <v>178</v>
      </c>
      <c r="O33" t="s">
        <v>35</v>
      </c>
      <c r="P33" t="s">
        <v>180</v>
      </c>
      <c r="Q33" t="s">
        <v>52</v>
      </c>
    </row>
    <row r="34" spans="1:18" x14ac:dyDescent="0.3">
      <c r="A34" s="126" t="s">
        <v>124</v>
      </c>
      <c r="B34" s="126" t="s">
        <v>190</v>
      </c>
      <c r="C34" s="126" t="s">
        <v>126</v>
      </c>
      <c r="D34" s="132">
        <v>46314.486111111109</v>
      </c>
      <c r="E34" s="126" t="s">
        <v>256</v>
      </c>
      <c r="F34" s="126">
        <v>13</v>
      </c>
      <c r="G34" s="132">
        <v>46318.493055555555</v>
      </c>
      <c r="H34" s="126" t="s">
        <v>176</v>
      </c>
      <c r="I34" s="126" t="s">
        <v>177</v>
      </c>
      <c r="J34" s="126" t="s">
        <v>178</v>
      </c>
      <c r="K34" s="126" t="s">
        <v>124</v>
      </c>
      <c r="L34" s="126" t="s">
        <v>179</v>
      </c>
      <c r="M34" s="126" t="s">
        <v>178</v>
      </c>
      <c r="N34" s="126"/>
      <c r="O34" s="126" t="s">
        <v>35</v>
      </c>
      <c r="P34" s="126" t="s">
        <v>180</v>
      </c>
      <c r="Q34" s="126" t="s">
        <v>52</v>
      </c>
      <c r="R34" s="126"/>
    </row>
    <row r="35" spans="1:18" x14ac:dyDescent="0.3">
      <c r="A35" t="s">
        <v>124</v>
      </c>
      <c r="B35" t="s">
        <v>190</v>
      </c>
      <c r="C35" t="s">
        <v>126</v>
      </c>
      <c r="D35" s="133">
        <v>46286.376273148147</v>
      </c>
      <c r="E35" t="s">
        <v>242</v>
      </c>
      <c r="F35">
        <v>1</v>
      </c>
      <c r="G35" s="133">
        <v>46304.431250000001</v>
      </c>
      <c r="H35" t="s">
        <v>176</v>
      </c>
      <c r="I35" t="s">
        <v>177</v>
      </c>
      <c r="J35" t="s">
        <v>178</v>
      </c>
      <c r="K35" t="s">
        <v>124</v>
      </c>
      <c r="L35" t="s">
        <v>179</v>
      </c>
      <c r="M35" t="s">
        <v>178</v>
      </c>
      <c r="O35" t="s">
        <v>35</v>
      </c>
      <c r="P35" t="s">
        <v>180</v>
      </c>
      <c r="Q35" t="s">
        <v>52</v>
      </c>
    </row>
    <row r="36" spans="1:18" x14ac:dyDescent="0.3">
      <c r="A36" s="126" t="s">
        <v>124</v>
      </c>
      <c r="B36" s="126" t="s">
        <v>190</v>
      </c>
      <c r="C36" s="126" t="s">
        <v>126</v>
      </c>
      <c r="D36" s="132">
        <v>46309.338148148148</v>
      </c>
      <c r="E36" s="126" t="s">
        <v>300</v>
      </c>
      <c r="F36" s="126">
        <v>20</v>
      </c>
      <c r="G36" s="132">
        <v>46315.506944444445</v>
      </c>
      <c r="H36" s="126" t="s">
        <v>185</v>
      </c>
      <c r="I36" s="126" t="s">
        <v>186</v>
      </c>
      <c r="J36" s="126" t="s">
        <v>187</v>
      </c>
      <c r="K36" s="126" t="s">
        <v>124</v>
      </c>
      <c r="L36" s="126" t="s">
        <v>179</v>
      </c>
      <c r="M36" s="126" t="s">
        <v>178</v>
      </c>
      <c r="N36" s="126"/>
      <c r="O36" s="126" t="s">
        <v>35</v>
      </c>
      <c r="P36" s="126" t="s">
        <v>185</v>
      </c>
      <c r="Q36" s="126" t="s">
        <v>52</v>
      </c>
      <c r="R36" s="126"/>
    </row>
    <row r="37" spans="1:18" x14ac:dyDescent="0.3">
      <c r="A37" t="s">
        <v>124</v>
      </c>
      <c r="B37" t="s">
        <v>190</v>
      </c>
      <c r="C37" t="s">
        <v>126</v>
      </c>
      <c r="D37" s="133">
        <v>46303.532418981478</v>
      </c>
      <c r="E37" t="s">
        <v>256</v>
      </c>
      <c r="F37">
        <v>47</v>
      </c>
      <c r="G37" s="133">
        <v>46304.589583333334</v>
      </c>
      <c r="H37" t="s">
        <v>176</v>
      </c>
      <c r="I37" t="s">
        <v>177</v>
      </c>
      <c r="J37" t="s">
        <v>178</v>
      </c>
      <c r="K37" t="s">
        <v>124</v>
      </c>
      <c r="L37" t="s">
        <v>179</v>
      </c>
      <c r="M37" t="s">
        <v>178</v>
      </c>
      <c r="N37">
        <v>0</v>
      </c>
      <c r="O37" t="s">
        <v>35</v>
      </c>
      <c r="P37" t="s">
        <v>180</v>
      </c>
      <c r="Q37" t="s">
        <v>52</v>
      </c>
    </row>
    <row r="38" spans="1:18" x14ac:dyDescent="0.3">
      <c r="A38" s="126" t="s">
        <v>124</v>
      </c>
      <c r="B38" s="126" t="s">
        <v>190</v>
      </c>
      <c r="C38" s="126" t="s">
        <v>126</v>
      </c>
      <c r="D38" s="132">
        <v>46303.529490740744</v>
      </c>
      <c r="E38" s="126" t="s">
        <v>256</v>
      </c>
      <c r="F38" s="126">
        <v>3</v>
      </c>
      <c r="G38" s="132">
        <v>46304.589583333334</v>
      </c>
      <c r="H38" s="126" t="s">
        <v>176</v>
      </c>
      <c r="I38" s="126" t="s">
        <v>177</v>
      </c>
      <c r="J38" s="126" t="s">
        <v>178</v>
      </c>
      <c r="K38" s="126" t="s">
        <v>124</v>
      </c>
      <c r="L38" s="126" t="s">
        <v>179</v>
      </c>
      <c r="M38" s="126" t="s">
        <v>178</v>
      </c>
      <c r="N38" s="126"/>
      <c r="O38" s="126" t="s">
        <v>35</v>
      </c>
      <c r="P38" s="126" t="s">
        <v>180</v>
      </c>
      <c r="Q38" s="126" t="s">
        <v>52</v>
      </c>
      <c r="R38" s="126"/>
    </row>
    <row r="39" spans="1:18" x14ac:dyDescent="0.3">
      <c r="A39" t="s">
        <v>124</v>
      </c>
      <c r="B39" t="s">
        <v>190</v>
      </c>
      <c r="C39" t="s">
        <v>126</v>
      </c>
      <c r="D39" s="133">
        <v>46303.514363425929</v>
      </c>
      <c r="E39" t="s">
        <v>256</v>
      </c>
      <c r="F39">
        <v>2</v>
      </c>
      <c r="G39" s="133">
        <v>46304.590277777781</v>
      </c>
      <c r="H39" t="s">
        <v>176</v>
      </c>
      <c r="I39" t="s">
        <v>177</v>
      </c>
      <c r="J39" t="s">
        <v>178</v>
      </c>
      <c r="K39" t="s">
        <v>124</v>
      </c>
      <c r="L39" t="s">
        <v>179</v>
      </c>
      <c r="M39" t="s">
        <v>178</v>
      </c>
      <c r="O39" t="s">
        <v>35</v>
      </c>
      <c r="P39" t="s">
        <v>180</v>
      </c>
      <c r="Q39" t="s">
        <v>52</v>
      </c>
    </row>
    <row r="40" spans="1:18" x14ac:dyDescent="0.3">
      <c r="A40" s="126" t="s">
        <v>124</v>
      </c>
      <c r="B40" s="126" t="s">
        <v>190</v>
      </c>
      <c r="C40" s="126" t="s">
        <v>126</v>
      </c>
      <c r="D40" s="132">
        <v>46309.339108796295</v>
      </c>
      <c r="E40" s="126" t="s">
        <v>300</v>
      </c>
      <c r="F40" s="126">
        <v>15</v>
      </c>
      <c r="G40" s="132">
        <v>46315.506944444445</v>
      </c>
      <c r="H40" s="126" t="s">
        <v>185</v>
      </c>
      <c r="I40" s="126" t="s">
        <v>186</v>
      </c>
      <c r="J40" s="126" t="s">
        <v>187</v>
      </c>
      <c r="K40" s="126" t="s">
        <v>124</v>
      </c>
      <c r="L40" s="126" t="s">
        <v>179</v>
      </c>
      <c r="M40" s="126" t="s">
        <v>178</v>
      </c>
      <c r="N40" s="126"/>
      <c r="O40" s="126" t="s">
        <v>35</v>
      </c>
      <c r="P40" s="126" t="s">
        <v>185</v>
      </c>
      <c r="Q40" s="126" t="s">
        <v>52</v>
      </c>
      <c r="R40" s="126"/>
    </row>
    <row r="41" spans="1:18" x14ac:dyDescent="0.3">
      <c r="A41" t="s">
        <v>124</v>
      </c>
      <c r="B41" t="s">
        <v>190</v>
      </c>
      <c r="C41" t="s">
        <v>126</v>
      </c>
      <c r="D41" s="133">
        <v>46315.466273148151</v>
      </c>
      <c r="E41" t="s">
        <v>256</v>
      </c>
      <c r="F41">
        <v>3</v>
      </c>
      <c r="G41" s="133">
        <v>46318.577777777777</v>
      </c>
      <c r="H41" t="s">
        <v>176</v>
      </c>
      <c r="I41" t="s">
        <v>177</v>
      </c>
      <c r="J41" t="s">
        <v>178</v>
      </c>
      <c r="K41" t="s">
        <v>124</v>
      </c>
      <c r="L41" t="s">
        <v>179</v>
      </c>
      <c r="M41" t="s">
        <v>178</v>
      </c>
      <c r="O41" t="s">
        <v>35</v>
      </c>
      <c r="P41" t="s">
        <v>180</v>
      </c>
      <c r="Q41" t="s">
        <v>52</v>
      </c>
    </row>
    <row r="42" spans="1:18" x14ac:dyDescent="0.3">
      <c r="A42" s="126" t="s">
        <v>124</v>
      </c>
      <c r="B42" s="126" t="s">
        <v>190</v>
      </c>
      <c r="C42" s="126" t="s">
        <v>126</v>
      </c>
      <c r="D42" s="132">
        <v>46300.606319444443</v>
      </c>
      <c r="E42" s="126" t="s">
        <v>318</v>
      </c>
      <c r="F42" s="126">
        <v>3</v>
      </c>
      <c r="G42" s="132">
        <v>46304.615277777775</v>
      </c>
      <c r="H42" s="126" t="s">
        <v>176</v>
      </c>
      <c r="I42" s="126" t="s">
        <v>177</v>
      </c>
      <c r="J42" s="126" t="s">
        <v>178</v>
      </c>
      <c r="K42" s="126" t="s">
        <v>124</v>
      </c>
      <c r="L42" s="126" t="s">
        <v>179</v>
      </c>
      <c r="M42" s="126" t="s">
        <v>178</v>
      </c>
      <c r="N42" s="126">
        <v>0</v>
      </c>
      <c r="O42" s="126" t="s">
        <v>35</v>
      </c>
      <c r="P42" s="126" t="s">
        <v>180</v>
      </c>
      <c r="Q42" s="126" t="s">
        <v>52</v>
      </c>
      <c r="R42" s="126"/>
    </row>
    <row r="43" spans="1:18" x14ac:dyDescent="0.3">
      <c r="A43" t="s">
        <v>124</v>
      </c>
      <c r="B43" t="s">
        <v>190</v>
      </c>
      <c r="C43" t="s">
        <v>126</v>
      </c>
      <c r="D43" s="133">
        <v>46300.606863425928</v>
      </c>
      <c r="E43" t="s">
        <v>318</v>
      </c>
      <c r="F43">
        <v>3</v>
      </c>
      <c r="G43" s="133">
        <v>46304.615277777775</v>
      </c>
      <c r="H43" t="s">
        <v>176</v>
      </c>
      <c r="I43" t="s">
        <v>177</v>
      </c>
      <c r="J43" t="s">
        <v>178</v>
      </c>
      <c r="K43" t="s">
        <v>124</v>
      </c>
      <c r="L43" t="s">
        <v>179</v>
      </c>
      <c r="M43" t="s">
        <v>178</v>
      </c>
      <c r="O43" t="s">
        <v>35</v>
      </c>
      <c r="P43" t="s">
        <v>180</v>
      </c>
      <c r="Q43" t="s">
        <v>52</v>
      </c>
    </row>
    <row r="44" spans="1:18" x14ac:dyDescent="0.3">
      <c r="A44" s="126" t="s">
        <v>124</v>
      </c>
      <c r="B44" s="126" t="s">
        <v>190</v>
      </c>
      <c r="C44" s="126" t="s">
        <v>126</v>
      </c>
      <c r="D44" s="132">
        <v>46300.607349537036</v>
      </c>
      <c r="E44" s="126" t="s">
        <v>318</v>
      </c>
      <c r="F44" s="126">
        <v>2</v>
      </c>
      <c r="G44" s="132">
        <v>46304.615277777775</v>
      </c>
      <c r="H44" s="126" t="s">
        <v>176</v>
      </c>
      <c r="I44" s="126" t="s">
        <v>177</v>
      </c>
      <c r="J44" s="126" t="s">
        <v>178</v>
      </c>
      <c r="K44" s="126" t="s">
        <v>124</v>
      </c>
      <c r="L44" s="126" t="s">
        <v>179</v>
      </c>
      <c r="M44" s="126" t="s">
        <v>178</v>
      </c>
      <c r="N44" s="126"/>
      <c r="O44" s="126" t="s">
        <v>35</v>
      </c>
      <c r="P44" s="126" t="s">
        <v>180</v>
      </c>
      <c r="Q44" s="126" t="s">
        <v>52</v>
      </c>
      <c r="R44" s="126"/>
    </row>
    <row r="45" spans="1:18" x14ac:dyDescent="0.3">
      <c r="A45" t="s">
        <v>124</v>
      </c>
      <c r="B45" t="s">
        <v>190</v>
      </c>
      <c r="C45" t="s">
        <v>126</v>
      </c>
      <c r="D45" s="133">
        <v>46300.607824074075</v>
      </c>
      <c r="E45" t="s">
        <v>318</v>
      </c>
      <c r="F45">
        <v>2</v>
      </c>
      <c r="G45" s="133">
        <v>46304.615277777775</v>
      </c>
      <c r="H45" t="s">
        <v>176</v>
      </c>
      <c r="I45" t="s">
        <v>177</v>
      </c>
      <c r="J45" t="s">
        <v>178</v>
      </c>
      <c r="K45" t="s">
        <v>124</v>
      </c>
      <c r="L45" t="s">
        <v>179</v>
      </c>
      <c r="M45" t="s">
        <v>178</v>
      </c>
      <c r="O45" t="s">
        <v>35</v>
      </c>
      <c r="P45" t="s">
        <v>180</v>
      </c>
      <c r="Q45" t="s">
        <v>52</v>
      </c>
    </row>
    <row r="46" spans="1:18" x14ac:dyDescent="0.3">
      <c r="A46" s="126" t="s">
        <v>124</v>
      </c>
      <c r="B46" s="126" t="s">
        <v>190</v>
      </c>
      <c r="C46" s="126" t="s">
        <v>126</v>
      </c>
      <c r="D46" s="132">
        <v>46300.608287037037</v>
      </c>
      <c r="E46" s="126" t="s">
        <v>318</v>
      </c>
      <c r="F46" s="126">
        <v>2</v>
      </c>
      <c r="G46" s="132">
        <v>46304.615277777775</v>
      </c>
      <c r="H46" s="126" t="s">
        <v>176</v>
      </c>
      <c r="I46" s="126" t="s">
        <v>177</v>
      </c>
      <c r="J46" s="126" t="s">
        <v>178</v>
      </c>
      <c r="K46" s="126" t="s">
        <v>124</v>
      </c>
      <c r="L46" s="126" t="s">
        <v>179</v>
      </c>
      <c r="M46" s="126" t="s">
        <v>178</v>
      </c>
      <c r="N46" s="126"/>
      <c r="O46" s="126" t="s">
        <v>35</v>
      </c>
      <c r="P46" s="126" t="s">
        <v>180</v>
      </c>
      <c r="Q46" s="126" t="s">
        <v>52</v>
      </c>
      <c r="R46" s="126"/>
    </row>
    <row r="47" spans="1:18" x14ac:dyDescent="0.3">
      <c r="A47" t="s">
        <v>124</v>
      </c>
      <c r="B47" t="s">
        <v>190</v>
      </c>
      <c r="C47" t="s">
        <v>126</v>
      </c>
      <c r="D47" s="133">
        <v>46300.608703703707</v>
      </c>
      <c r="E47" t="s">
        <v>318</v>
      </c>
      <c r="F47">
        <v>2</v>
      </c>
      <c r="G47" s="133">
        <v>46304.615277777775</v>
      </c>
      <c r="H47" t="s">
        <v>176</v>
      </c>
      <c r="I47" t="s">
        <v>177</v>
      </c>
      <c r="J47" t="s">
        <v>178</v>
      </c>
      <c r="K47" t="s">
        <v>124</v>
      </c>
      <c r="L47" t="s">
        <v>179</v>
      </c>
      <c r="M47" t="s">
        <v>178</v>
      </c>
      <c r="O47" t="s">
        <v>35</v>
      </c>
      <c r="P47" t="s">
        <v>180</v>
      </c>
      <c r="Q47" t="s">
        <v>52</v>
      </c>
    </row>
    <row r="48" spans="1:18" x14ac:dyDescent="0.3">
      <c r="A48" s="126" t="s">
        <v>124</v>
      </c>
      <c r="B48" s="126" t="s">
        <v>190</v>
      </c>
      <c r="C48" s="126" t="s">
        <v>126</v>
      </c>
      <c r="D48" s="132">
        <v>46300.6090625</v>
      </c>
      <c r="E48" s="126" t="s">
        <v>318</v>
      </c>
      <c r="F48" s="126">
        <v>3</v>
      </c>
      <c r="G48" s="132">
        <v>46304.615277777775</v>
      </c>
      <c r="H48" s="126" t="s">
        <v>176</v>
      </c>
      <c r="I48" s="126" t="s">
        <v>177</v>
      </c>
      <c r="J48" s="126" t="s">
        <v>178</v>
      </c>
      <c r="K48" s="126" t="s">
        <v>124</v>
      </c>
      <c r="L48" s="126" t="s">
        <v>179</v>
      </c>
      <c r="M48" s="126" t="s">
        <v>178</v>
      </c>
      <c r="N48" s="126"/>
      <c r="O48" s="126" t="s">
        <v>35</v>
      </c>
      <c r="P48" s="126" t="s">
        <v>180</v>
      </c>
      <c r="Q48" s="126" t="s">
        <v>52</v>
      </c>
      <c r="R48" s="126"/>
    </row>
    <row r="49" spans="1:18" x14ac:dyDescent="0.3">
      <c r="A49" t="s">
        <v>124</v>
      </c>
      <c r="B49" t="s">
        <v>190</v>
      </c>
      <c r="C49" t="s">
        <v>126</v>
      </c>
      <c r="D49" s="133">
        <v>46300.609444444446</v>
      </c>
      <c r="E49" t="s">
        <v>318</v>
      </c>
      <c r="F49">
        <v>3</v>
      </c>
      <c r="G49" s="133">
        <v>46304.615277777775</v>
      </c>
      <c r="H49" t="s">
        <v>176</v>
      </c>
      <c r="I49" t="s">
        <v>177</v>
      </c>
      <c r="J49" t="s">
        <v>178</v>
      </c>
      <c r="K49" t="s">
        <v>124</v>
      </c>
      <c r="L49" t="s">
        <v>179</v>
      </c>
      <c r="M49" t="s">
        <v>178</v>
      </c>
      <c r="O49" t="s">
        <v>35</v>
      </c>
      <c r="P49" t="s">
        <v>180</v>
      </c>
      <c r="Q49" t="s">
        <v>52</v>
      </c>
    </row>
    <row r="50" spans="1:18" x14ac:dyDescent="0.3">
      <c r="A50" s="126" t="s">
        <v>124</v>
      </c>
      <c r="B50" s="126" t="s">
        <v>190</v>
      </c>
      <c r="C50" s="126" t="s">
        <v>126</v>
      </c>
      <c r="D50" s="132">
        <v>46300.609849537039</v>
      </c>
      <c r="E50" s="126" t="s">
        <v>318</v>
      </c>
      <c r="F50" s="126">
        <v>3</v>
      </c>
      <c r="G50" s="132">
        <v>46304.615277777775</v>
      </c>
      <c r="H50" s="126" t="s">
        <v>176</v>
      </c>
      <c r="I50" s="126" t="s">
        <v>177</v>
      </c>
      <c r="J50" s="126" t="s">
        <v>178</v>
      </c>
      <c r="K50" s="126" t="s">
        <v>124</v>
      </c>
      <c r="L50" s="126" t="s">
        <v>179</v>
      </c>
      <c r="M50" s="126" t="s">
        <v>178</v>
      </c>
      <c r="N50" s="126"/>
      <c r="O50" s="126" t="s">
        <v>35</v>
      </c>
      <c r="P50" s="126" t="s">
        <v>180</v>
      </c>
      <c r="Q50" s="126" t="s">
        <v>52</v>
      </c>
      <c r="R50" s="126"/>
    </row>
    <row r="51" spans="1:18" x14ac:dyDescent="0.3">
      <c r="A51" t="s">
        <v>124</v>
      </c>
      <c r="B51" t="s">
        <v>190</v>
      </c>
      <c r="C51" t="s">
        <v>126</v>
      </c>
      <c r="D51" s="133">
        <v>46304.448437500003</v>
      </c>
      <c r="E51" t="s">
        <v>332</v>
      </c>
      <c r="F51">
        <v>7</v>
      </c>
      <c r="G51" s="133">
        <v>46311.591666666667</v>
      </c>
      <c r="H51" t="s">
        <v>176</v>
      </c>
      <c r="I51" t="s">
        <v>177</v>
      </c>
      <c r="J51" t="s">
        <v>178</v>
      </c>
      <c r="K51" t="s">
        <v>124</v>
      </c>
      <c r="L51" t="s">
        <v>179</v>
      </c>
      <c r="M51" t="s">
        <v>178</v>
      </c>
      <c r="N51">
        <v>0</v>
      </c>
      <c r="O51" t="s">
        <v>35</v>
      </c>
      <c r="P51" t="s">
        <v>180</v>
      </c>
      <c r="Q51" t="s">
        <v>52</v>
      </c>
      <c r="R51">
        <v>1</v>
      </c>
    </row>
    <row r="52" spans="1:18" x14ac:dyDescent="0.3">
      <c r="A52" s="126" t="s">
        <v>124</v>
      </c>
      <c r="B52" s="126" t="s">
        <v>190</v>
      </c>
      <c r="C52" s="126" t="s">
        <v>126</v>
      </c>
      <c r="D52" s="132">
        <v>46304.450439814813</v>
      </c>
      <c r="E52" s="126" t="s">
        <v>332</v>
      </c>
      <c r="F52" s="126">
        <v>3</v>
      </c>
      <c r="G52" s="132">
        <v>46311.591666666667</v>
      </c>
      <c r="H52" s="126" t="s">
        <v>176</v>
      </c>
      <c r="I52" s="126" t="s">
        <v>177</v>
      </c>
      <c r="J52" s="126" t="s">
        <v>178</v>
      </c>
      <c r="K52" s="126" t="s">
        <v>124</v>
      </c>
      <c r="L52" s="126" t="s">
        <v>179</v>
      </c>
      <c r="M52" s="126" t="s">
        <v>178</v>
      </c>
      <c r="N52" s="126"/>
      <c r="O52" s="126" t="s">
        <v>35</v>
      </c>
      <c r="P52" s="126" t="s">
        <v>180</v>
      </c>
      <c r="Q52" s="126" t="s">
        <v>52</v>
      </c>
      <c r="R52" s="126"/>
    </row>
    <row r="53" spans="1:18" x14ac:dyDescent="0.3">
      <c r="A53" s="130" t="s">
        <v>124</v>
      </c>
      <c r="B53" s="130" t="s">
        <v>190</v>
      </c>
      <c r="C53" s="130" t="s">
        <v>126</v>
      </c>
      <c r="D53" s="134">
        <v>46314.559479166666</v>
      </c>
      <c r="E53" s="130" t="s">
        <v>219</v>
      </c>
      <c r="F53" s="130">
        <v>33</v>
      </c>
      <c r="G53" s="134">
        <v>46318.445138888892</v>
      </c>
      <c r="H53" s="130" t="s">
        <v>176</v>
      </c>
      <c r="I53" s="130" t="s">
        <v>177</v>
      </c>
      <c r="J53" s="130" t="s">
        <v>178</v>
      </c>
      <c r="K53" s="130" t="s">
        <v>124</v>
      </c>
      <c r="L53" s="130" t="s">
        <v>179</v>
      </c>
      <c r="M53" s="130" t="s">
        <v>178</v>
      </c>
      <c r="N53" s="130"/>
      <c r="O53" s="130" t="s">
        <v>35</v>
      </c>
      <c r="P53" s="130" t="s">
        <v>180</v>
      </c>
      <c r="Q53" s="130" t="s">
        <v>52</v>
      </c>
      <c r="R53" s="130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2026-10-29T14:33:51Z</dcterms:created>
  <dcterms:modified xsi:type="dcterms:W3CDTF">2026-10-29T14:33:52Z</dcterms:modified>
</cp:coreProperties>
</file>