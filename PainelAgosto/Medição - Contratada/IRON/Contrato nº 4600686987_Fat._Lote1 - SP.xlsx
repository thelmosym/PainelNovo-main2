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Y:\Arquivamento_SID\2. Controles\Painel Novo\Medição - Contratada\IRON\"/>
    </mc:Choice>
  </mc:AlternateContent>
  <xr:revisionPtr revIDLastSave="0" documentId="13_ncr:1_{9019A6FF-0FAA-499F-A509-A630A0603AF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MC IMB SP" sheetId="1" r:id="rId1"/>
    <sheet name="Consolidado" sheetId="3" r:id="rId2"/>
    <sheet name="Tabela" sheetId="14" r:id="rId3"/>
    <sheet name="Digitalização projeto" sheetId="8" state="hidden" r:id="rId4"/>
    <sheet name="Videos submarinos" sheetId="9" state="hidden" r:id="rId5"/>
    <sheet name="Relação de ordens de serviço" sheetId="10" state="hidden" r:id="rId6"/>
    <sheet name="Base" sheetId="12" state="hidden" r:id="rId7"/>
  </sheets>
  <definedNames>
    <definedName name="ARMCXDOC">'MC IMB SP'!$D$12</definedName>
    <definedName name="ARMCXMID">'MC IMB SP'!$D$15</definedName>
    <definedName name="ARMMID">'MC IMB SP'!$D$27</definedName>
    <definedName name="ARMTB">'MC IMB SP'!$D$18</definedName>
    <definedName name="FDM">'MC IMB SP'!$N$5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2vdynzFDGlO395VfV8ybYn4ihRlzo2pVtLu8QfhxZw4="/>
    </ext>
  </extLst>
</workbook>
</file>

<file path=xl/calcChain.xml><?xml version="1.0" encoding="utf-8"?>
<calcChain xmlns="http://schemas.openxmlformats.org/spreadsheetml/2006/main">
  <c r="N5" i="3" l="1"/>
  <c r="O5" i="3" s="1"/>
  <c r="N6" i="3"/>
  <c r="O6" i="3" s="1"/>
  <c r="N7" i="3"/>
  <c r="O7" i="3" s="1"/>
  <c r="N8" i="3"/>
  <c r="N9" i="3"/>
  <c r="O9" i="3" s="1"/>
  <c r="N10" i="3"/>
  <c r="O10" i="3" s="1"/>
  <c r="N11" i="3"/>
  <c r="O11" i="3" s="1"/>
  <c r="N12" i="3"/>
  <c r="O12" i="3" s="1"/>
  <c r="N13" i="3"/>
  <c r="O13" i="3" s="1"/>
  <c r="N14" i="3"/>
  <c r="O14" i="3" s="1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4" i="3"/>
  <c r="O4" i="3" s="1"/>
  <c r="O8" i="3"/>
  <c r="O15" i="3"/>
  <c r="O16" i="3"/>
  <c r="Q16" i="3" s="1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Q8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5" i="3"/>
  <c r="P6" i="3"/>
  <c r="P7" i="3"/>
  <c r="P8" i="3"/>
  <c r="P9" i="3"/>
  <c r="P10" i="3"/>
  <c r="P11" i="3"/>
  <c r="P12" i="3"/>
  <c r="P13" i="3"/>
  <c r="P14" i="3"/>
  <c r="P15" i="3"/>
  <c r="P16" i="3"/>
  <c r="H5" i="3"/>
  <c r="H6" i="3"/>
  <c r="H7" i="3"/>
  <c r="H8" i="3"/>
  <c r="H9" i="3"/>
  <c r="H10" i="3"/>
  <c r="H11" i="3"/>
  <c r="H12" i="3"/>
  <c r="H13" i="3"/>
  <c r="H14" i="3"/>
  <c r="H15" i="3"/>
  <c r="H16" i="3"/>
  <c r="G29" i="1"/>
  <c r="F29" i="1"/>
  <c r="E29" i="1"/>
  <c r="D29" i="1"/>
  <c r="G26" i="1"/>
  <c r="F26" i="1"/>
  <c r="E26" i="1"/>
  <c r="D26" i="1"/>
  <c r="G23" i="1"/>
  <c r="F23" i="1"/>
  <c r="E23" i="1"/>
  <c r="D23" i="1"/>
  <c r="G20" i="1"/>
  <c r="F20" i="1"/>
  <c r="E20" i="1"/>
  <c r="D20" i="1"/>
  <c r="G17" i="1"/>
  <c r="F17" i="1"/>
  <c r="E17" i="1"/>
  <c r="D17" i="1"/>
  <c r="F14" i="1"/>
  <c r="E14" i="1"/>
  <c r="D14" i="1"/>
  <c r="G14" i="1"/>
  <c r="Q12" i="3" l="1"/>
  <c r="Q15" i="3"/>
  <c r="Q9" i="3"/>
  <c r="Q11" i="3"/>
  <c r="Q7" i="3"/>
  <c r="Q14" i="3"/>
  <c r="Q6" i="3"/>
  <c r="Q10" i="3"/>
  <c r="Q13" i="3"/>
  <c r="Q5" i="3"/>
  <c r="L19" i="1" l="1"/>
  <c r="L13" i="1"/>
  <c r="L38" i="1"/>
  <c r="L39" i="1"/>
  <c r="L40" i="1"/>
  <c r="L41" i="1"/>
  <c r="L42" i="1"/>
  <c r="L43" i="1"/>
  <c r="L44" i="1"/>
  <c r="L45" i="1"/>
  <c r="L46" i="1"/>
  <c r="L47" i="1"/>
  <c r="L16" i="1"/>
  <c r="L22" i="1"/>
  <c r="L25" i="1"/>
  <c r="L28" i="1"/>
  <c r="L30" i="1"/>
  <c r="L31" i="1"/>
  <c r="L32" i="1"/>
  <c r="L33" i="1"/>
  <c r="L34" i="1"/>
  <c r="L35" i="1"/>
  <c r="L36" i="1"/>
  <c r="P4" i="3" l="1"/>
  <c r="Q4" i="3" s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4" i="3"/>
  <c r="E5" i="3"/>
  <c r="E6" i="3"/>
  <c r="E7" i="3"/>
  <c r="E8" i="3"/>
  <c r="G8" i="3" s="1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4" i="3"/>
  <c r="D5" i="3"/>
  <c r="D6" i="3"/>
  <c r="G6" i="3" s="1"/>
  <c r="D7" i="3"/>
  <c r="D8" i="3"/>
  <c r="D9" i="3"/>
  <c r="D10" i="3"/>
  <c r="D11" i="3"/>
  <c r="D12" i="3"/>
  <c r="D13" i="3"/>
  <c r="D14" i="3"/>
  <c r="G14" i="3" s="1"/>
  <c r="D15" i="3"/>
  <c r="D16" i="3"/>
  <c r="G16" i="3" s="1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4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10" i="3"/>
  <c r="C5" i="3"/>
  <c r="C6" i="3"/>
  <c r="C7" i="3"/>
  <c r="C8" i="3"/>
  <c r="C9" i="3"/>
  <c r="C4" i="3"/>
  <c r="G15" i="3"/>
  <c r="G9" i="3"/>
  <c r="M47" i="1"/>
  <c r="M46" i="1"/>
  <c r="M45" i="1"/>
  <c r="M44" i="1"/>
  <c r="M43" i="1"/>
  <c r="M42" i="1"/>
  <c r="M41" i="1"/>
  <c r="M40" i="1"/>
  <c r="M39" i="1"/>
  <c r="M38" i="1"/>
  <c r="M36" i="1"/>
  <c r="M35" i="1"/>
  <c r="M34" i="1"/>
  <c r="M33" i="1"/>
  <c r="M32" i="1"/>
  <c r="M31" i="1"/>
  <c r="M30" i="1"/>
  <c r="H29" i="1"/>
  <c r="H26" i="1"/>
  <c r="H23" i="1"/>
  <c r="J22" i="1"/>
  <c r="M22" i="1" s="1"/>
  <c r="H20" i="1"/>
  <c r="H17" i="1"/>
  <c r="H14" i="1"/>
  <c r="N6" i="1"/>
  <c r="N4" i="1"/>
  <c r="G13" i="3" l="1"/>
  <c r="G5" i="3"/>
  <c r="G7" i="3"/>
  <c r="G11" i="3"/>
  <c r="G10" i="3"/>
  <c r="G12" i="3"/>
  <c r="G4" i="3"/>
  <c r="H4" i="3" s="1"/>
  <c r="J16" i="1"/>
  <c r="M16" i="1" s="1"/>
  <c r="J13" i="1"/>
  <c r="M13" i="1" s="1"/>
  <c r="J25" i="1"/>
  <c r="M25" i="1" s="1"/>
  <c r="J19" i="1"/>
  <c r="M19" i="1" s="1"/>
  <c r="J28" i="1"/>
  <c r="M28" i="1" s="1"/>
  <c r="K22" i="1"/>
  <c r="K16" i="1" l="1"/>
  <c r="K28" i="1"/>
  <c r="K25" i="1"/>
  <c r="K19" i="1"/>
  <c r="K13" i="1"/>
  <c r="M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Índice de Conformidade do Prazo de Atendimento
======</t>
        </r>
      </text>
    </comment>
    <comment ref="M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Fator de Desempenho Mensal
======</t>
        </r>
      </text>
    </comment>
    <comment ref="D1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Quantidade de UA armazenadas em guarda no mês anterior
======</t>
        </r>
      </text>
    </comment>
    <comment ref="E1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Quantidade de UA baixadas permanentemente da guarda no mês
corrente
======</t>
        </r>
      </text>
    </comment>
    <comment ref="F1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Quantidade de UA destruídas na guarda no mês corrente
======</t>
        </r>
      </text>
    </comment>
    <comment ref="G1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Quantidade novas UA incluídas na guarda no mês corrente
======</t>
        </r>
      </text>
    </comment>
    <comment ref="H1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<sst xmlns="http://schemas.openxmlformats.org/spreadsheetml/2006/main" count="670" uniqueCount="458">
  <si>
    <t>P E T R O L E O  B R A S I L E I R O  S. A.  P E T R O B R A S</t>
  </si>
  <si>
    <t>Medição</t>
  </si>
  <si>
    <t>Tipo de Solicitação</t>
  </si>
  <si>
    <t>Observações</t>
  </si>
  <si>
    <t>KM</t>
  </si>
  <si>
    <t>SP</t>
  </si>
  <si>
    <t>M E M Ó R I A   D E   C Á L C U L O   D E   M E D I Ç Ã O</t>
  </si>
  <si>
    <r>
      <rPr>
        <b/>
        <sz val="11"/>
        <color theme="1"/>
        <rFont val="Calibri"/>
        <family val="2"/>
      </rPr>
      <t>Razão Social:</t>
    </r>
    <r>
      <rPr>
        <sz val="11"/>
        <color theme="1"/>
        <rFont val="Calibri"/>
        <family val="2"/>
      </rPr>
      <t xml:space="preserve"> </t>
    </r>
  </si>
  <si>
    <t>IRON MOUNTAIN DO BRASIL LTDA</t>
  </si>
  <si>
    <r>
      <rPr>
        <b/>
        <sz val="11"/>
        <color theme="1"/>
        <rFont val="Calibri"/>
        <family val="2"/>
      </rPr>
      <t>CNPJ:</t>
    </r>
    <r>
      <rPr>
        <sz val="11"/>
        <color theme="1"/>
        <rFont val="Calibri"/>
        <family val="2"/>
      </rPr>
      <t xml:space="preserve"> </t>
    </r>
  </si>
  <si>
    <t>04.120.966/0001-13</t>
  </si>
  <si>
    <t>mês anterior</t>
  </si>
  <si>
    <t>Saída/mês</t>
  </si>
  <si>
    <t>Item 1 PPU</t>
  </si>
  <si>
    <t>Exp./Mês</t>
  </si>
  <si>
    <t>Novas/mês</t>
  </si>
  <si>
    <t>IAPEFARQ:</t>
  </si>
  <si>
    <t>Consolidado SP</t>
  </si>
  <si>
    <t>Editar</t>
  </si>
  <si>
    <r>
      <rPr>
        <b/>
        <sz val="11"/>
        <color theme="1"/>
        <rFont val="Calibri"/>
        <family val="2"/>
      </rPr>
      <t>Contrato SAP:</t>
    </r>
    <r>
      <rPr>
        <sz val="11"/>
        <color theme="1"/>
        <rFont val="Calibri"/>
        <family val="2"/>
      </rPr>
      <t xml:space="preserve"> </t>
    </r>
  </si>
  <si>
    <t>Área contrato:</t>
  </si>
  <si>
    <t>Lote 1</t>
  </si>
  <si>
    <t>MEDIDAS CONTRATO</t>
  </si>
  <si>
    <t>FDM:</t>
  </si>
  <si>
    <t>Padrão</t>
  </si>
  <si>
    <t>Ø</t>
  </si>
  <si>
    <r>
      <rPr>
        <b/>
        <sz val="11"/>
        <color theme="1"/>
        <rFont val="Calibri"/>
        <family val="2"/>
      </rPr>
      <t>Objeto:</t>
    </r>
  </si>
  <si>
    <t>A</t>
  </si>
  <si>
    <t>Serviços de Guarda e Gerenciamento de Documentos e Informações do Acervo da PETROBRAS</t>
  </si>
  <si>
    <t>L</t>
  </si>
  <si>
    <t>P</t>
  </si>
  <si>
    <t>Instr. contratual:</t>
  </si>
  <si>
    <t>cm³ = V1</t>
  </si>
  <si>
    <t>5900.0133210.25.2</t>
  </si>
  <si>
    <t>Item 2 PPU</t>
  </si>
  <si>
    <t>cm³ = V2</t>
  </si>
  <si>
    <t>FC = V1/V2</t>
  </si>
  <si>
    <t>QUAm-1</t>
  </si>
  <si>
    <t>QBm</t>
  </si>
  <si>
    <t>QDm</t>
  </si>
  <si>
    <t>QNm</t>
  </si>
  <si>
    <t>QUAm</t>
  </si>
  <si>
    <t>UA</t>
  </si>
  <si>
    <t>$ Unitário</t>
  </si>
  <si>
    <t>Período:</t>
  </si>
  <si>
    <t>$ Total</t>
  </si>
  <si>
    <t>26/06/2026  à  25/07/2026</t>
  </si>
  <si>
    <t>Tabela</t>
  </si>
  <si>
    <t>Contrato</t>
  </si>
  <si>
    <t>A 25,0 X L 14,0 X P 37,0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</si>
  <si>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</si>
  <si>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</si>
  <si>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</si>
  <si>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</si>
  <si>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</si>
  <si>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</si>
  <si>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</si>
  <si>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Guarda de Documentos e Informações</t>
  </si>
  <si>
    <t>ARM-CX-DOC</t>
  </si>
  <si>
    <t xml:space="preserve">Armazenamento de caixas para documentos </t>
  </si>
  <si>
    <t>1.1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</si>
  <si>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</si>
  <si>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</si>
  <si>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</si>
  <si>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</si>
  <si>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</si>
  <si>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</si>
  <si>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</si>
  <si>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</si>
  <si>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</si>
  <si>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FC1</t>
  </si>
  <si>
    <t>Caixa 7 kg</t>
  </si>
  <si>
    <t>ARM-MIC</t>
  </si>
  <si>
    <t>Armazenamento de microformas</t>
  </si>
  <si>
    <t>1.5</t>
  </si>
  <si>
    <t>A 30,0 X L 19,0 X P 39,0</t>
  </si>
  <si>
    <t>ARM-MID</t>
  </si>
  <si>
    <t>Armazenamento de midias</t>
  </si>
  <si>
    <t>1.6</t>
  </si>
  <si>
    <t>1.7</t>
  </si>
  <si>
    <t>A 29 X L 41 X P 37</t>
  </si>
  <si>
    <t>Caixa 20 kg - Tipo 1</t>
  </si>
  <si>
    <t>Frete</t>
  </si>
  <si>
    <t>1.8</t>
  </si>
  <si>
    <t>FRE-EXP: Frete expresso</t>
  </si>
  <si>
    <t>A 29 X L 40 X P 50</t>
  </si>
  <si>
    <t>Caixa 20 kg - Tipo 2</t>
  </si>
  <si>
    <t>1.9</t>
  </si>
  <si>
    <t>KM-AD: Quilometragem adicional</t>
  </si>
  <si>
    <t>1.10</t>
  </si>
  <si>
    <t>PES-ITEM: Pesquisa de itens avulsos</t>
  </si>
  <si>
    <t>Item Avulso</t>
  </si>
  <si>
    <t>1.11</t>
  </si>
  <si>
    <t>DES-EMB: Destruição segura de documentos</t>
  </si>
  <si>
    <t>FC2</t>
  </si>
  <si>
    <t>1.12</t>
  </si>
  <si>
    <t>Ø10,0 P 120,0</t>
  </si>
  <si>
    <t>TRANSF: Transferência inicial de acervo documental</t>
  </si>
  <si>
    <t>Transferência</t>
  </si>
  <si>
    <t>1.13</t>
  </si>
  <si>
    <t xml:space="preserve">MIGR-UA: Migração de acervo documental para digitalização </t>
  </si>
  <si>
    <t>Fora do Prazo</t>
  </si>
  <si>
    <t>Gerenciamento de Documentos e Informações</t>
  </si>
  <si>
    <t>FC3</t>
  </si>
  <si>
    <t>A 34,0 X L 37,0 X P 12,0</t>
  </si>
  <si>
    <t>Caixa para mídias - Tipo 1</t>
  </si>
  <si>
    <t>2.1</t>
  </si>
  <si>
    <t>CAT-ITEM: Catalogação de documentos digitalizados</t>
  </si>
  <si>
    <t>Documento</t>
  </si>
  <si>
    <t>2.2</t>
  </si>
  <si>
    <t>A 10,0 X L 10,0 X P 2,5</t>
  </si>
  <si>
    <t>ORG-DOC: Organização de documentos para digitalização</t>
  </si>
  <si>
    <t>2.3</t>
  </si>
  <si>
    <t>UD</t>
  </si>
  <si>
    <t>FC5</t>
  </si>
  <si>
    <t>A 11,0 X L 15,5 X P 0,3</t>
  </si>
  <si>
    <t>Microficha</t>
  </si>
  <si>
    <t>2.4</t>
  </si>
  <si>
    <t>DIG-MF: Digitalização de microfichas</t>
  </si>
  <si>
    <t>2.5</t>
  </si>
  <si>
    <t>DIG-DOC: Digitalização de documentos</t>
  </si>
  <si>
    <t>A 12,5 X L 14 X P 0,5</t>
  </si>
  <si>
    <t>2.6</t>
  </si>
  <si>
    <t xml:space="preserve">UD </t>
  </si>
  <si>
    <t>2.7</t>
  </si>
  <si>
    <t>CONV-MID: Conversão de mídias</t>
  </si>
  <si>
    <t>Mídia</t>
  </si>
  <si>
    <t>FC6</t>
  </si>
  <si>
    <t>2.8</t>
  </si>
  <si>
    <t>GRV-MID: Gravação de mídias</t>
  </si>
  <si>
    <t>2.9</t>
  </si>
  <si>
    <t>COP-MID: Cópia de mídias</t>
  </si>
  <si>
    <t>2.10</t>
  </si>
  <si>
    <t>COP-VID: 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</si>
  <si>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</si>
  <si>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</si>
  <si>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</si>
  <si>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</si>
  <si>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</si>
  <si>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FRE-NRM</t>
  </si>
  <si>
    <t>PEDIDO</t>
  </si>
  <si>
    <t>FRS</t>
  </si>
  <si>
    <t>RM</t>
  </si>
  <si>
    <t>NL</t>
  </si>
  <si>
    <t>VALOR</t>
  </si>
  <si>
    <t>COMENTÁRIOS DA FISCALIZAÇÃO</t>
  </si>
  <si>
    <t>Solicitante</t>
  </si>
  <si>
    <t>No Prazo</t>
  </si>
  <si>
    <t>data_criacao</t>
  </si>
  <si>
    <t>Imagens</t>
  </si>
  <si>
    <t>Identificador SOS</t>
  </si>
  <si>
    <t>Localização</t>
  </si>
  <si>
    <t>id</t>
  </si>
  <si>
    <t>inspecao</t>
  </si>
  <si>
    <t>etiqueta</t>
  </si>
  <si>
    <t>status</t>
  </si>
  <si>
    <t>midia</t>
  </si>
  <si>
    <t>repositorio</t>
  </si>
  <si>
    <t>dt_extracao</t>
  </si>
  <si>
    <t>dt_fim_extracao</t>
  </si>
  <si>
    <t>dt_sincronismo</t>
  </si>
  <si>
    <t>dt_fim_sincronismo</t>
  </si>
  <si>
    <t>hr_fim_sincronismo</t>
  </si>
  <si>
    <t>estacao</t>
  </si>
  <si>
    <t>estacao_ip</t>
  </si>
  <si>
    <t>urgente</t>
  </si>
  <si>
    <t>arquivos</t>
  </si>
  <si>
    <t>OS</t>
  </si>
  <si>
    <t>Click</t>
  </si>
  <si>
    <t>Status</t>
  </si>
  <si>
    <t>Forado prazo</t>
  </si>
  <si>
    <t>RJ</t>
  </si>
  <si>
    <t>Microfilme</t>
  </si>
  <si>
    <t>Normal</t>
  </si>
  <si>
    <t>FRE-EXP</t>
  </si>
  <si>
    <t>DF</t>
  </si>
  <si>
    <t>Documento - Formato A4</t>
  </si>
  <si>
    <t>ES</t>
  </si>
  <si>
    <t>Documento - Formato A3</t>
  </si>
  <si>
    <t>Documento - Formato A2</t>
  </si>
  <si>
    <t>Documento - Formato A1</t>
  </si>
  <si>
    <t>Documento - Formato A0</t>
  </si>
  <si>
    <t>Documento - Superior ao Formato A0</t>
  </si>
  <si>
    <t>Status Primário</t>
  </si>
  <si>
    <t>Status Secundário</t>
  </si>
  <si>
    <t>Coordenador</t>
  </si>
  <si>
    <t>Status do prazo</t>
  </si>
  <si>
    <t>Estados</t>
  </si>
  <si>
    <t>Ordens atendidas no prazo</t>
  </si>
  <si>
    <t>Gustavo Henrique Ferreira</t>
  </si>
  <si>
    <t>Renan Valente</t>
  </si>
  <si>
    <t>26/01/2021 a 25/02/2021</t>
  </si>
  <si>
    <t>Ordens em atendimento</t>
  </si>
  <si>
    <t>Ordens atendidas fora do prazo</t>
  </si>
  <si>
    <t>Carolina Santos de mendonça</t>
  </si>
  <si>
    <t>Israel Silva</t>
  </si>
  <si>
    <t>26/02/2021 a 25/03/2021</t>
  </si>
  <si>
    <t>Urgente</t>
  </si>
  <si>
    <t>Ordens pendentes</t>
  </si>
  <si>
    <t>Ordens pendentes no prazo</t>
  </si>
  <si>
    <t>Viviane Rosa Rangel</t>
  </si>
  <si>
    <t>Lucas Santos</t>
  </si>
  <si>
    <t>26/03/2021 a 25/04/2021</t>
  </si>
  <si>
    <t>Ordens atendidas</t>
  </si>
  <si>
    <t>Ordens pendentes fora do  prazo</t>
  </si>
  <si>
    <t>Erick Brito</t>
  </si>
  <si>
    <t>26/04/2021 a 25/05/2021</t>
  </si>
  <si>
    <t>Bruna de Oliveira</t>
  </si>
  <si>
    <t>26/05/2021 a 25/06/2021</t>
  </si>
  <si>
    <t>MS</t>
  </si>
  <si>
    <t>26/06/2021 a 25/07/2021</t>
  </si>
  <si>
    <t>26/07/2021 a 25/08/2021</t>
  </si>
  <si>
    <t>26/08/2021 a 25/09/2021</t>
  </si>
  <si>
    <t>Status da OS</t>
  </si>
  <si>
    <t>26/09/2021 a 25/10/2021</t>
  </si>
  <si>
    <t>Aguardando atendimento</t>
  </si>
  <si>
    <t>26/10/2021 a 25/11/2021</t>
  </si>
  <si>
    <t>Em atendimento</t>
  </si>
  <si>
    <t>26/11/2021 a 25/12/2021</t>
  </si>
  <si>
    <t>Atendida</t>
  </si>
  <si>
    <t>Caixa 5 kg</t>
  </si>
  <si>
    <t>Tubo de engenharia</t>
  </si>
  <si>
    <t>Microfilme 16 mm</t>
  </si>
  <si>
    <t>Caixa 20 kg (contendo Mídias e Microfilmes)</t>
  </si>
  <si>
    <t>A 29,0 X L 18,0 X P 41,0</t>
  </si>
  <si>
    <t>Linha de serviço PPU</t>
  </si>
  <si>
    <t>ITEM</t>
  </si>
  <si>
    <t>DESCRIÇÃO</t>
  </si>
  <si>
    <t>Linha de Serviço PPU</t>
  </si>
  <si>
    <t>UNID.</t>
  </si>
  <si>
    <t xml:space="preserve">PREÇO UNITÁRIO </t>
  </si>
  <si>
    <t>Descrição da Linha de Serviço</t>
  </si>
  <si>
    <t>ARM-CX-DOC: Armazenamento de caixas para documentos</t>
  </si>
  <si>
    <t xml:space="preserve"> Armazenamento de caixas para documentos</t>
  </si>
  <si>
    <t>A 0,5 X L 12,5 X P14,0</t>
  </si>
  <si>
    <t>ARM-CX-MID: Armazenamento de caixas para mídias</t>
  </si>
  <si>
    <t xml:space="preserve"> Armazenamento de caixas para mídias</t>
  </si>
  <si>
    <t>A 0,5 X L 13,0 X P13,0</t>
  </si>
  <si>
    <t>ARM-TB: Armazenamento de tubos</t>
  </si>
  <si>
    <t xml:space="preserve"> Armazenamento de tubos</t>
  </si>
  <si>
    <t>A 0,5 X L 14,0 X P 12,5</t>
  </si>
  <si>
    <t>ARM-MA: Armazenamento de mapotecas e arquivos de aço</t>
  </si>
  <si>
    <t xml:space="preserve"> Armazenamento de mapotecas e arquivos de aço</t>
  </si>
  <si>
    <t>A 0,5 X L 14,0 X P 13,0</t>
  </si>
  <si>
    <t>ARM-MIC: Armazenamento de microformas</t>
  </si>
  <si>
    <t xml:space="preserve"> Armazenamento de microformas</t>
  </si>
  <si>
    <t>A 0,5 X L 14,0 X P 14,0</t>
  </si>
  <si>
    <t>ARM-MID: Armazenamento de midias</t>
  </si>
  <si>
    <t xml:space="preserve"> Armazenamento de midias</t>
  </si>
  <si>
    <t>A 08,0 X L 41,0 X P 41,0</t>
  </si>
  <si>
    <t>FRE-NRM: Frete normal</t>
  </si>
  <si>
    <t xml:space="preserve"> Frete normal</t>
  </si>
  <si>
    <t>A 1,0 X L 12,5 X P14,0</t>
  </si>
  <si>
    <t xml:space="preserve"> Frete expresso</t>
  </si>
  <si>
    <t>A 1,0 X L 14,0 X P 13,0</t>
  </si>
  <si>
    <t>INS-ITEM</t>
  </si>
  <si>
    <t>KM-AD</t>
  </si>
  <si>
    <t xml:space="preserve"> Quilometragem adicional</t>
  </si>
  <si>
    <t>A 1,0 X L 14,0 X P 19,0</t>
  </si>
  <si>
    <t>PES-ITEM</t>
  </si>
  <si>
    <t xml:space="preserve"> Pesquisa de itens avulsos</t>
  </si>
  <si>
    <t>DES-EMB</t>
  </si>
  <si>
    <t>Embalagem</t>
  </si>
  <si>
    <t xml:space="preserve"> Destruição segura de documentos</t>
  </si>
  <si>
    <t>A 10,0 X L 10,5 X P 4,0</t>
  </si>
  <si>
    <t>TRANSF</t>
  </si>
  <si>
    <t xml:space="preserve"> Transferência inicial de acervo documental</t>
  </si>
  <si>
    <t>A 10,0 X L 15,5 X P 0,3</t>
  </si>
  <si>
    <t>MIGR-UA</t>
  </si>
  <si>
    <t xml:space="preserve"> Migração de acervo documental para digitalização </t>
  </si>
  <si>
    <t>A 10,0 X L 19,0 X P 26,5</t>
  </si>
  <si>
    <t>CAT-EMB</t>
  </si>
  <si>
    <t>CAT-ITEM</t>
  </si>
  <si>
    <t xml:space="preserve"> Catalogação de documentos digitalizados</t>
  </si>
  <si>
    <t>A 10,0 X L 3,0 X P 10,0</t>
  </si>
  <si>
    <t>ORG-DOC</t>
  </si>
  <si>
    <t xml:space="preserve"> Organização de documentos para digitalização</t>
  </si>
  <si>
    <t>A 10,0 X L 4,5 X P 10,0</t>
  </si>
  <si>
    <t>DIG-MI: Digitalização de microfilmes</t>
  </si>
  <si>
    <t>DIG-MI</t>
  </si>
  <si>
    <t xml:space="preserve"> Digitalização de microfilmes</t>
  </si>
  <si>
    <t>A 10,5 X L 15,0 X P 0,3</t>
  </si>
  <si>
    <t>HIG-MI</t>
  </si>
  <si>
    <t>DIG-MF</t>
  </si>
  <si>
    <t xml:space="preserve"> Digitalização de microfichas</t>
  </si>
  <si>
    <t>A 10,5 X L 19,0 X P2,5</t>
  </si>
  <si>
    <t>HIG-MF</t>
  </si>
  <si>
    <t>DIG-DOC</t>
  </si>
  <si>
    <t xml:space="preserve"> Digitalização de documentos</t>
  </si>
  <si>
    <t>A 10,5 X L 41,0 X P 41,0</t>
  </si>
  <si>
    <t>HIG-PER</t>
  </si>
  <si>
    <t>IND-DOC: Indexação de documentos</t>
  </si>
  <si>
    <t>IND-DOC</t>
  </si>
  <si>
    <t xml:space="preserve"> Indexação de documentos</t>
  </si>
  <si>
    <t>A 100,0 X L 140,0 X P 51,0</t>
  </si>
  <si>
    <t>CONV-MID</t>
  </si>
  <si>
    <t xml:space="preserve"> Conversão de mídias</t>
  </si>
  <si>
    <t>GRV-MID</t>
  </si>
  <si>
    <t xml:space="preserve"> Gravação de mídias</t>
  </si>
  <si>
    <t>A 11,0 X L 33,0 X P 37,0</t>
  </si>
  <si>
    <t>COP-MID</t>
  </si>
  <si>
    <t xml:space="preserve"> Cópia de mídias</t>
  </si>
  <si>
    <t>A 11,0 X L 33,0 X P 41,0</t>
  </si>
  <si>
    <t>COP-VID</t>
  </si>
  <si>
    <t xml:space="preserve"> Cópia de vídeos</t>
  </si>
  <si>
    <t>A 11,5 X L 37,0 X P 33,0</t>
  </si>
  <si>
    <t xml:space="preserve">A 12,0 X L 34,0 X P 37,0 </t>
  </si>
  <si>
    <t xml:space="preserve">A 12,0 X L 34,0 X P 37,0  </t>
  </si>
  <si>
    <t>A 12,5 X L 14,5 X P0,5</t>
  </si>
  <si>
    <t>N/A</t>
  </si>
  <si>
    <t>A 130,0 X L 060,0 X P 72,0</t>
  </si>
  <si>
    <t>A 130,0 X L 060,0 X P 73,0</t>
  </si>
  <si>
    <t>A 135,0 X L 51,0 X P 105,0</t>
  </si>
  <si>
    <t>A 140,0 X L 067,0 X P 72,0</t>
  </si>
  <si>
    <t>A 15,0 X L 40,0 X P 35,0</t>
  </si>
  <si>
    <t>A 150,0 X L 090,0 X P 76,0</t>
  </si>
  <si>
    <t>A 16,5 X L 11,5 X P 0,3</t>
  </si>
  <si>
    <t>A 17,0 X L 20,5 X P 111,5</t>
  </si>
  <si>
    <t>A 170,0 X L 061,0 X P 72,0</t>
  </si>
  <si>
    <t>A 180,0 X L 068,0 X P 72,0</t>
  </si>
  <si>
    <t>A 21,0 X L 31,0 X P 46,0</t>
  </si>
  <si>
    <t>A 21,0 X L 41,0 X P 55,0</t>
  </si>
  <si>
    <t>A 21,5 X L 41,0 X P 51,0</t>
  </si>
  <si>
    <t>A 23,0 X L 36,5 X P 48,0</t>
  </si>
  <si>
    <t>A 24,5 X L 14,0 X P 27,0</t>
  </si>
  <si>
    <t>A 25,0 X L 13,5 X P 37,0</t>
  </si>
  <si>
    <t>A 25,0 X L 14,0 X P 36,5</t>
  </si>
  <si>
    <t>A 25,0 X L 23,5 X P 46,0</t>
  </si>
  <si>
    <t>A 26,0 X L 15,0 X P 37,0</t>
  </si>
  <si>
    <t>A 26,0 X L 39,0 X P 46,5</t>
  </si>
  <si>
    <t>A 26,0 X L 39,0 X P 47,0</t>
  </si>
  <si>
    <t>A 26,0 X L 39,5 X P 48,5</t>
  </si>
  <si>
    <t>A 26,5 X L 37,0 X P 37,0</t>
  </si>
  <si>
    <t>A 26,5 X L 38,0 X P 43,0</t>
  </si>
  <si>
    <t>A 26,5 X L 38,0 X P 45,5</t>
  </si>
  <si>
    <t>A 26,5 X L 38,5 X P 46,5</t>
  </si>
  <si>
    <t>A 26,5 X L 40,0 X P 49,0</t>
  </si>
  <si>
    <t>A 27,0 X L 36,0 X P 47,0</t>
  </si>
  <si>
    <t>A 27,0 X L 36,0 X P 49,0</t>
  </si>
  <si>
    <t>A 27,0 X L 38,0 X P 49,0</t>
  </si>
  <si>
    <t>A 27,5 X L 36,0 X P 49,0</t>
  </si>
  <si>
    <t>A 28,0 X L 37,5 X P 46,0</t>
  </si>
  <si>
    <t>A 28,0 X L 37,5 X P 47,5</t>
  </si>
  <si>
    <t>A 28,0 X L 37,5 X P 48,0</t>
  </si>
  <si>
    <t>A 28,0 X L 38,0 X P 46,5</t>
  </si>
  <si>
    <t>A 28,0 X L 38,5 X P 48,0</t>
  </si>
  <si>
    <t>A 28,0 X L 39,0 X P 46,0</t>
  </si>
  <si>
    <t>A 28,5 X L 37,0 X P 43,0</t>
  </si>
  <si>
    <t>A 29,0 X L 37,0 X P 41,5</t>
  </si>
  <si>
    <t>A 29,0 X L 37,0 X P 42,5</t>
  </si>
  <si>
    <t>A 29,0 X L 37,0 X P 43,0</t>
  </si>
  <si>
    <t>A 29,0 X L 37,5 X P 41,5</t>
  </si>
  <si>
    <t>A 29,0 X L 37,5 X P 46,0</t>
  </si>
  <si>
    <t>A 29,0 X L 38,0 X P 42,0</t>
  </si>
  <si>
    <t>A 29,0 X L 41,0 X P 37,0</t>
  </si>
  <si>
    <t>A 29,0 X L 41,5 X P 47,5</t>
  </si>
  <si>
    <t>A 29,5 X L 39,0 X P 46,0</t>
  </si>
  <si>
    <t>A 30,0 X L 09,0 X P 39,5</t>
  </si>
  <si>
    <t>A 30,0 X L 09,0 X P 40,5</t>
  </si>
  <si>
    <t>A 30,0 X L 20,0 X P 42,0</t>
  </si>
  <si>
    <t>A 30,0 X L 38,5 X P 42,0</t>
  </si>
  <si>
    <t>A 31,0 X L 31,0 X P 47,5</t>
  </si>
  <si>
    <t xml:space="preserve">A 4,5 X L 10 </t>
  </si>
  <si>
    <t>A 40,5 X L 41,5  X P 10,0</t>
  </si>
  <si>
    <t>A 40,5 X L41,5 X P 10,0</t>
  </si>
  <si>
    <t>L 0,11 X C 1,20</t>
  </si>
  <si>
    <t>L 0,11 X C 1,23</t>
  </si>
  <si>
    <t>L 0,11 X C 1,26</t>
  </si>
  <si>
    <t>L 0,11 X C 1,30</t>
  </si>
  <si>
    <t>L 05,0 X A 35,0</t>
  </si>
  <si>
    <t>L 05,0 X A 36,0</t>
  </si>
  <si>
    <t>L 05,0 X A 47,0</t>
  </si>
  <si>
    <t>L 06,0 X A 45,0</t>
  </si>
  <si>
    <t>L 07,0 X A 64,0</t>
  </si>
  <si>
    <t>L 07,0 X A 66,0</t>
  </si>
  <si>
    <t>L 07,0 X A 88,0</t>
  </si>
  <si>
    <t>L 07,5 X A 54,0</t>
  </si>
  <si>
    <t>L 09,0 X A 70,0</t>
  </si>
  <si>
    <t>L 09,0 X A 93,0</t>
  </si>
  <si>
    <t>L 09,5 X A 94,0</t>
  </si>
  <si>
    <t>L 10 X P 30</t>
  </si>
  <si>
    <t>L 10,0 X A 104,0</t>
  </si>
  <si>
    <t>L 10,0 X A 120,0</t>
  </si>
  <si>
    <t>L 10,0 X A 76,0</t>
  </si>
  <si>
    <t>L 10,0 X A 92,0</t>
  </si>
  <si>
    <t>L 10,0 X P 122,0</t>
  </si>
  <si>
    <t>L 10,0 X P 124,0</t>
  </si>
  <si>
    <t>L 10,0 X P 125,0</t>
  </si>
  <si>
    <t>L 10,0 X P 130,0</t>
  </si>
  <si>
    <t>L 10,0 X P 30,0</t>
  </si>
  <si>
    <t>L 10,5 X P 100,0</t>
  </si>
  <si>
    <t>L 11,0 X P 122,0</t>
  </si>
  <si>
    <t>L 16,0 X A 96,0</t>
  </si>
  <si>
    <t>L 6,0 X P 152,0</t>
  </si>
  <si>
    <t>L 6,0 X P 71,0</t>
  </si>
  <si>
    <t>L 6,0 X P 81,0</t>
  </si>
  <si>
    <t>L 7,0 X P 100,0</t>
  </si>
  <si>
    <t>L 7,0 X P 120,0</t>
  </si>
  <si>
    <t>L 9,0 X P 93,0</t>
  </si>
  <si>
    <t>QUAm = QUAm-1 + QNm - QBm - QDm</t>
  </si>
  <si>
    <t>Formula</t>
  </si>
  <si>
    <t>Caixa para mídias - Tipo 2</t>
  </si>
  <si>
    <t>Mapoteca</t>
  </si>
  <si>
    <t>FC4</t>
  </si>
  <si>
    <t>Arquivo de aço 1</t>
  </si>
  <si>
    <t>Arquivo de aço 2</t>
  </si>
  <si>
    <t>Arquivo de aço 3</t>
  </si>
  <si>
    <t>Arquivo de aço 4</t>
  </si>
  <si>
    <t>Arquivo de aço 5</t>
  </si>
  <si>
    <t>FC7</t>
  </si>
  <si>
    <t>FC8</t>
  </si>
  <si>
    <t>FC9</t>
  </si>
  <si>
    <t>Fita VHS</t>
  </si>
  <si>
    <t>Mídia óptica (Caixa acrílica)</t>
  </si>
  <si>
    <t>Mídia óptica (DVD Filme)</t>
  </si>
  <si>
    <t>Caixa 10 kg (Jumbo)</t>
  </si>
  <si>
    <t>Caixa 20 Kg</t>
  </si>
  <si>
    <t>Caixa 5kg</t>
  </si>
  <si>
    <t>Documentação administrativa</t>
  </si>
  <si>
    <t>Documentação bibliográfica</t>
  </si>
  <si>
    <t>Documentação contábil e financeira</t>
  </si>
  <si>
    <t>Documentação contratual</t>
  </si>
  <si>
    <t>Documentação técnica</t>
  </si>
  <si>
    <t>Item avulso</t>
  </si>
  <si>
    <t>Item documental</t>
  </si>
  <si>
    <t>Item documental em caixa</t>
  </si>
  <si>
    <t>Item documental em mapoteca</t>
  </si>
  <si>
    <t>Item documental em Tubo</t>
  </si>
  <si>
    <t>Kit de material</t>
  </si>
  <si>
    <t>Microfilme 35 mm</t>
  </si>
  <si>
    <t>Microforma em arquivo de aço</t>
  </si>
  <si>
    <t>Microforma em caixa de mídia</t>
  </si>
  <si>
    <t>Mídia em arquivo de aço</t>
  </si>
  <si>
    <t>Mídia em caixa de mídia</t>
  </si>
  <si>
    <t>Mídia óptica</t>
  </si>
  <si>
    <t>Pasta de dossiê</t>
  </si>
  <si>
    <t>Pasta fichário A/Z</t>
  </si>
  <si>
    <t>Perfil</t>
  </si>
  <si>
    <t>Transferência inicial</t>
  </si>
  <si>
    <t>Tubo para perfil de poço</t>
  </si>
  <si>
    <t xml:space="preserve">Frete normal </t>
  </si>
  <si>
    <t>Frete expresso</t>
  </si>
  <si>
    <t>Quilometragem adicional</t>
  </si>
  <si>
    <t>Pesquisa de itens avulsos</t>
  </si>
  <si>
    <t>Destruição segura de documentos</t>
  </si>
  <si>
    <t>Transferência inicial de acervo documental</t>
  </si>
  <si>
    <t xml:space="preserve">Migração de acervo documental para digitalização </t>
  </si>
  <si>
    <t>Catalogação de documentos digitalizados</t>
  </si>
  <si>
    <t>Organização de documentos para digitalização</t>
  </si>
  <si>
    <t xml:space="preserve">Digitalização de microfilmes </t>
  </si>
  <si>
    <t>Digitalização de microfichas</t>
  </si>
  <si>
    <t>Digitalização de documentos</t>
  </si>
  <si>
    <t xml:space="preserve">Indexação de documentos </t>
  </si>
  <si>
    <t>Conversão de mídias</t>
  </si>
  <si>
    <t>Gravação de mídias</t>
  </si>
  <si>
    <t>Cópia de mídias</t>
  </si>
  <si>
    <t>Cópia de vídeos</t>
  </si>
  <si>
    <t>Tubo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</si>
</sst>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#,##0.00;[Red]#,##0.00"/>
    <numFmt numFmtId="165" formatCode="#,##0;[Red]#,##0"/>
    <numFmt numFmtId="166" formatCode="#,##0.0000;[Red]#,##0.0000"/>
    <numFmt numFmtId="167" formatCode="0.0"/>
    <numFmt numFmtId="168" formatCode="#,##0.000;[Red]#,##0.000"/>
    <numFmt numFmtId="169" formatCode="_-&quot;R$&quot;\ * #,##0.00_-;\-&quot;R$&quot;\ * #,##0.00_-;_-&quot;R$&quot;\ * &quot;-&quot;??_-;_-@"/>
    <numFmt numFmtId="170" formatCode="0.000"/>
    <numFmt numFmtId="171" formatCode="_-* #,##0.00_-;\-* #,##0.00_-;_-* &quot;-&quot;??_-;_-@"/>
    <numFmt numFmtId="172" formatCode="&quot;R$&quot;\ #,##0.00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0"/>
      <color theme="0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sz val="10"/>
      <color theme="0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sz val="11"/>
      <color theme="1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rgb="FFFFFFFF"/>
      <name val="Calibri"/>
      <family val="2"/>
    </font>
    <font>
      <sz val="12"/>
      <color theme="1"/>
      <name val="Bahnschrift Condensed"/>
      <family val="2"/>
    </font>
    <font>
      <sz val="10"/>
      <color rgb="FFFFFF00"/>
      <name val="Calibri"/>
      <family val="2"/>
    </font>
    <font>
      <b/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1E4E79"/>
        <bgColor rgb="FF1E4E79"/>
      </patternFill>
    </fill>
    <fill>
      <patternFill patternType="solid">
        <fgColor rgb="FF548135"/>
        <bgColor rgb="FF548135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002060"/>
        <bgColor rgb="FF002060"/>
      </patternFill>
    </fill>
    <fill>
      <patternFill patternType="solid">
        <fgColor rgb="FFFFE598"/>
        <bgColor rgb="FFFFE598"/>
      </patternFill>
    </fill>
    <fill>
      <patternFill patternType="solid">
        <fgColor theme="9"/>
        <bgColor theme="9"/>
      </patternFill>
    </fill>
    <fill>
      <patternFill patternType="solid">
        <fgColor theme="5" tint="0.39997558519241921"/>
        <bgColor rgb="FFFFF2CC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D8D8D8"/>
      </patternFill>
    </fill>
  </fills>
  <borders count="46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7" fillId="0" borderId="0" xfId="0" applyFont="1"/>
    <xf numFmtId="0" fontId="9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8" fillId="0" borderId="7" xfId="0" applyFont="1" applyBorder="1" applyAlignment="1">
      <alignment horizontal="right" vertical="center"/>
    </xf>
    <xf numFmtId="0" fontId="8" fillId="0" borderId="0" xfId="0" applyFont="1"/>
    <xf numFmtId="164" fontId="7" fillId="0" borderId="0" xfId="0" applyNumberFormat="1" applyFont="1" applyAlignment="1">
      <alignment horizontal="center"/>
    </xf>
    <xf numFmtId="164" fontId="7" fillId="4" borderId="0" xfId="0" applyNumberFormat="1" applyFont="1" applyFill="1" applyAlignment="1">
      <alignment horizontal="center"/>
    </xf>
    <xf numFmtId="4" fontId="10" fillId="3" borderId="7" xfId="0" applyNumberFormat="1" applyFont="1" applyFill="1" applyBorder="1" applyAlignment="1">
      <alignment horizontal="left" vertical="center"/>
    </xf>
    <xf numFmtId="9" fontId="10" fillId="0" borderId="8" xfId="0" applyNumberFormat="1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9" fillId="3" borderId="0" xfId="0" applyFont="1" applyFill="1" applyAlignment="1">
      <alignment horizontal="left" vertical="center"/>
    </xf>
    <xf numFmtId="0" fontId="9" fillId="0" borderId="10" xfId="0" applyFont="1" applyBorder="1" applyAlignment="1">
      <alignment vertical="center"/>
    </xf>
    <xf numFmtId="9" fontId="10" fillId="0" borderId="10" xfId="0" applyNumberFormat="1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3" xfId="0" applyFont="1" applyBorder="1" applyAlignment="1">
      <alignment horizontal="right" vertical="center"/>
    </xf>
    <xf numFmtId="0" fontId="9" fillId="3" borderId="13" xfId="0" applyFont="1" applyFill="1" applyBorder="1" applyAlignment="1">
      <alignment horizontal="left" vertical="center"/>
    </xf>
    <xf numFmtId="0" fontId="12" fillId="0" borderId="14" xfId="0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vertical="center"/>
    </xf>
    <xf numFmtId="0" fontId="8" fillId="8" borderId="20" xfId="0" applyFont="1" applyFill="1" applyBorder="1" applyAlignment="1">
      <alignment vertical="center"/>
    </xf>
    <xf numFmtId="0" fontId="8" fillId="8" borderId="21" xfId="0" applyFont="1" applyFill="1" applyBorder="1" applyAlignment="1">
      <alignment vertical="center"/>
    </xf>
    <xf numFmtId="0" fontId="8" fillId="8" borderId="21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3" fillId="0" borderId="0" xfId="0" applyFont="1"/>
    <xf numFmtId="0" fontId="3" fillId="0" borderId="26" xfId="0" applyFont="1" applyBorder="1" applyAlignment="1">
      <alignment horizontal="center" vertical="center"/>
    </xf>
    <xf numFmtId="3" fontId="9" fillId="3" borderId="3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3" fontId="9" fillId="0" borderId="3" xfId="0" applyNumberFormat="1" applyFont="1" applyBorder="1" applyAlignment="1">
      <alignment horizontal="center" vertical="center"/>
    </xf>
    <xf numFmtId="3" fontId="9" fillId="0" borderId="15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3" fontId="9" fillId="3" borderId="15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7" fillId="8" borderId="20" xfId="0" applyFont="1" applyFill="1" applyBorder="1" applyAlignment="1">
      <alignment horizontal="center" vertical="center"/>
    </xf>
    <xf numFmtId="170" fontId="17" fillId="8" borderId="20" xfId="0" applyNumberFormat="1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169" fontId="19" fillId="0" borderId="27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172" fontId="3" fillId="0" borderId="0" xfId="0" applyNumberFormat="1" applyFont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14" fillId="2" borderId="4" xfId="0" applyFont="1" applyFill="1" applyBorder="1" applyAlignment="1">
      <alignment horizontal="center" vertical="center"/>
    </xf>
    <xf numFmtId="165" fontId="14" fillId="2" borderId="4" xfId="0" applyNumberFormat="1" applyFont="1" applyFill="1" applyBorder="1" applyAlignment="1">
      <alignment horizontal="center" vertical="center"/>
    </xf>
    <xf numFmtId="0" fontId="3" fillId="2" borderId="29" xfId="0" applyFont="1" applyFill="1" applyBorder="1"/>
    <xf numFmtId="14" fontId="7" fillId="2" borderId="4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left" vertical="center"/>
    </xf>
    <xf numFmtId="14" fontId="7" fillId="0" borderId="4" xfId="0" applyNumberFormat="1" applyFont="1" applyBorder="1" applyAlignment="1">
      <alignment horizontal="center" vertical="center"/>
    </xf>
    <xf numFmtId="21" fontId="7" fillId="0" borderId="4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2" fillId="10" borderId="29" xfId="0" applyFont="1" applyFill="1" applyBorder="1"/>
    <xf numFmtId="3" fontId="23" fillId="5" borderId="4" xfId="0" applyNumberFormat="1" applyFont="1" applyFill="1" applyBorder="1"/>
    <xf numFmtId="3" fontId="23" fillId="5" borderId="11" xfId="0" applyNumberFormat="1" applyFont="1" applyFill="1" applyBorder="1"/>
    <xf numFmtId="0" fontId="0" fillId="0" borderId="0" xfId="0" applyAlignment="1">
      <alignment horizontal="center"/>
    </xf>
    <xf numFmtId="0" fontId="1" fillId="0" borderId="0" xfId="0" applyFont="1"/>
    <xf numFmtId="0" fontId="24" fillId="0" borderId="30" xfId="0" applyFont="1" applyBorder="1"/>
    <xf numFmtId="172" fontId="0" fillId="0" borderId="0" xfId="0" applyNumberFormat="1"/>
    <xf numFmtId="0" fontId="1" fillId="0" borderId="30" xfId="0" applyFont="1" applyBorder="1"/>
    <xf numFmtId="2" fontId="1" fillId="0" borderId="0" xfId="0" applyNumberFormat="1" applyFont="1"/>
    <xf numFmtId="2" fontId="0" fillId="0" borderId="0" xfId="0" applyNumberFormat="1"/>
    <xf numFmtId="0" fontId="1" fillId="0" borderId="31" xfId="0" applyFont="1" applyBorder="1"/>
    <xf numFmtId="0" fontId="20" fillId="12" borderId="0" xfId="0" applyFont="1" applyFill="1" applyAlignment="1">
      <alignment horizontal="center"/>
    </xf>
    <xf numFmtId="0" fontId="11" fillId="5" borderId="33" xfId="0" applyFont="1" applyFill="1" applyBorder="1" applyAlignment="1">
      <alignment horizontal="center" vertical="center"/>
    </xf>
    <xf numFmtId="0" fontId="11" fillId="5" borderId="34" xfId="0" applyFont="1" applyFill="1" applyBorder="1" applyAlignment="1">
      <alignment horizontal="center" vertical="center"/>
    </xf>
    <xf numFmtId="165" fontId="11" fillId="6" borderId="34" xfId="0" applyNumberFormat="1" applyFont="1" applyFill="1" applyBorder="1" applyAlignment="1">
      <alignment horizontal="center" vertical="center"/>
    </xf>
    <xf numFmtId="166" fontId="11" fillId="6" borderId="34" xfId="0" applyNumberFormat="1" applyFont="1" applyFill="1" applyBorder="1" applyAlignment="1">
      <alignment horizontal="center" vertical="center"/>
    </xf>
    <xf numFmtId="165" fontId="11" fillId="7" borderId="34" xfId="0" applyNumberFormat="1" applyFont="1" applyFill="1" applyBorder="1" applyAlignment="1">
      <alignment horizontal="center" vertical="center"/>
    </xf>
    <xf numFmtId="164" fontId="11" fillId="6" borderId="34" xfId="0" applyNumberFormat="1" applyFont="1" applyFill="1" applyBorder="1" applyAlignment="1">
      <alignment horizontal="center" vertical="center"/>
    </xf>
    <xf numFmtId="165" fontId="11" fillId="5" borderId="34" xfId="0" applyNumberFormat="1" applyFont="1" applyFill="1" applyBorder="1" applyAlignment="1">
      <alignment horizontal="center" vertical="center"/>
    </xf>
    <xf numFmtId="165" fontId="11" fillId="5" borderId="35" xfId="0" applyNumberFormat="1" applyFont="1" applyFill="1" applyBorder="1" applyAlignment="1">
      <alignment horizontal="center" vertical="center"/>
    </xf>
    <xf numFmtId="0" fontId="7" fillId="0" borderId="36" xfId="0" applyFont="1" applyBorder="1" applyAlignment="1">
      <alignment horizontal="left"/>
    </xf>
    <xf numFmtId="165" fontId="7" fillId="0" borderId="32" xfId="0" applyNumberFormat="1" applyFont="1" applyBorder="1" applyAlignment="1">
      <alignment horizontal="center"/>
    </xf>
    <xf numFmtId="171" fontId="7" fillId="0" borderId="32" xfId="0" applyNumberFormat="1" applyFont="1" applyBorder="1" applyAlignment="1">
      <alignment horizontal="center"/>
    </xf>
    <xf numFmtId="171" fontId="7" fillId="0" borderId="37" xfId="0" applyNumberFormat="1" applyFont="1" applyBorder="1" applyAlignment="1">
      <alignment horizontal="left" vertical="center"/>
    </xf>
    <xf numFmtId="0" fontId="16" fillId="8" borderId="36" xfId="0" applyFont="1" applyFill="1" applyBorder="1"/>
    <xf numFmtId="171" fontId="3" fillId="8" borderId="32" xfId="0" applyNumberFormat="1" applyFont="1" applyFill="1" applyBorder="1" applyAlignment="1">
      <alignment horizontal="center"/>
    </xf>
    <xf numFmtId="0" fontId="7" fillId="0" borderId="36" xfId="0" applyFont="1" applyBorder="1" applyAlignment="1">
      <alignment horizontal="left" vertical="center"/>
    </xf>
    <xf numFmtId="171" fontId="7" fillId="0" borderId="32" xfId="0" applyNumberFormat="1" applyFont="1" applyBorder="1" applyAlignment="1">
      <alignment horizontal="center" vertical="center"/>
    </xf>
    <xf numFmtId="0" fontId="7" fillId="0" borderId="38" xfId="0" applyFont="1" applyBorder="1" applyAlignment="1">
      <alignment horizontal="left"/>
    </xf>
    <xf numFmtId="165" fontId="7" fillId="0" borderId="39" xfId="0" applyNumberFormat="1" applyFont="1" applyBorder="1" applyAlignment="1">
      <alignment horizontal="center"/>
    </xf>
    <xf numFmtId="171" fontId="7" fillId="0" borderId="39" xfId="0" applyNumberFormat="1" applyFont="1" applyBorder="1" applyAlignment="1">
      <alignment horizontal="center"/>
    </xf>
    <xf numFmtId="0" fontId="7" fillId="0" borderId="32" xfId="0" applyFont="1" applyBorder="1" applyAlignment="1">
      <alignment horizontal="left"/>
    </xf>
    <xf numFmtId="0" fontId="16" fillId="8" borderId="32" xfId="0" applyFont="1" applyFill="1" applyBorder="1" applyAlignment="1">
      <alignment horizontal="left"/>
    </xf>
    <xf numFmtId="0" fontId="7" fillId="0" borderId="32" xfId="0" applyFont="1" applyBorder="1" applyAlignment="1">
      <alignment horizontal="left" vertical="center"/>
    </xf>
    <xf numFmtId="0" fontId="7" fillId="0" borderId="39" xfId="0" applyFont="1" applyBorder="1" applyAlignment="1">
      <alignment horizontal="left"/>
    </xf>
    <xf numFmtId="0" fontId="24" fillId="11" borderId="29" xfId="0" applyFont="1" applyFill="1" applyBorder="1"/>
    <xf numFmtId="0" fontId="7" fillId="0" borderId="29" xfId="0" applyFont="1" applyBorder="1" applyAlignment="1">
      <alignment horizontal="left" vertical="center"/>
    </xf>
    <xf numFmtId="0" fontId="0" fillId="0" borderId="39" xfId="0" applyBorder="1"/>
    <xf numFmtId="167" fontId="7" fillId="13" borderId="32" xfId="0" applyNumberFormat="1" applyFont="1" applyFill="1" applyBorder="1" applyAlignment="1">
      <alignment horizontal="center"/>
    </xf>
    <xf numFmtId="165" fontId="7" fillId="13" borderId="32" xfId="0" applyNumberFormat="1" applyFont="1" applyFill="1" applyBorder="1" applyAlignment="1">
      <alignment horizontal="center"/>
    </xf>
    <xf numFmtId="165" fontId="16" fillId="14" borderId="32" xfId="0" applyNumberFormat="1" applyFont="1" applyFill="1" applyBorder="1" applyAlignment="1">
      <alignment horizontal="center"/>
    </xf>
    <xf numFmtId="165" fontId="7" fillId="13" borderId="39" xfId="0" applyNumberFormat="1" applyFont="1" applyFill="1" applyBorder="1" applyAlignment="1">
      <alignment horizontal="center"/>
    </xf>
    <xf numFmtId="168" fontId="7" fillId="0" borderId="32" xfId="0" applyNumberFormat="1" applyFont="1" applyBorder="1" applyAlignment="1">
      <alignment horizontal="center"/>
    </xf>
    <xf numFmtId="168" fontId="16" fillId="0" borderId="32" xfId="0" applyNumberFormat="1" applyFont="1" applyBorder="1" applyAlignment="1">
      <alignment horizontal="center"/>
    </xf>
    <xf numFmtId="168" fontId="7" fillId="0" borderId="32" xfId="0" applyNumberFormat="1" applyFont="1" applyBorder="1" applyAlignment="1">
      <alignment horizontal="center" vertical="center"/>
    </xf>
    <xf numFmtId="168" fontId="7" fillId="0" borderId="39" xfId="0" applyNumberFormat="1" applyFont="1" applyBorder="1" applyAlignment="1">
      <alignment horizontal="center"/>
    </xf>
    <xf numFmtId="171" fontId="3" fillId="8" borderId="37" xfId="0" applyNumberFormat="1" applyFont="1" applyFill="1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40" xfId="0" applyBorder="1" applyAlignment="1">
      <alignment horizontal="left"/>
    </xf>
    <xf numFmtId="165" fontId="7" fillId="3" borderId="0" xfId="0" applyNumberFormat="1" applyFont="1" applyFill="1" applyAlignment="1">
      <alignment horizontal="left"/>
    </xf>
    <xf numFmtId="172" fontId="7" fillId="13" borderId="32" xfId="0" applyNumberFormat="1" applyFont="1" applyFill="1" applyBorder="1" applyAlignment="1">
      <alignment horizontal="center"/>
    </xf>
    <xf numFmtId="0" fontId="3" fillId="0" borderId="41" xfId="0" applyFont="1" applyBorder="1" applyAlignment="1">
      <alignment vertical="center" wrapText="1"/>
    </xf>
    <xf numFmtId="0" fontId="3" fillId="0" borderId="32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32" xfId="0" applyFont="1" applyBorder="1" applyAlignment="1">
      <alignment vertical="center" wrapText="1"/>
    </xf>
    <xf numFmtId="0" fontId="3" fillId="0" borderId="32" xfId="0" applyFont="1" applyBorder="1"/>
    <xf numFmtId="0" fontId="8" fillId="8" borderId="22" xfId="0" applyFont="1" applyFill="1" applyBorder="1" applyAlignment="1">
      <alignment vertical="center"/>
    </xf>
    <xf numFmtId="170" fontId="17" fillId="8" borderId="29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wrapText="1"/>
    </xf>
    <xf numFmtId="0" fontId="15" fillId="0" borderId="18" xfId="0" applyFont="1" applyBorder="1" applyAlignment="1">
      <alignment horizontal="center" vertical="center"/>
    </xf>
    <xf numFmtId="169" fontId="15" fillId="0" borderId="23" xfId="0" applyNumberFormat="1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169" fontId="15" fillId="0" borderId="45" xfId="0" applyNumberFormat="1" applyFont="1" applyBorder="1" applyAlignment="1">
      <alignment horizontal="right" vertical="center"/>
    </xf>
    <xf numFmtId="169" fontId="15" fillId="0" borderId="25" xfId="0" applyNumberFormat="1" applyFont="1" applyBorder="1" applyAlignment="1">
      <alignment horizontal="right" vertical="center"/>
    </xf>
    <xf numFmtId="0" fontId="15" fillId="0" borderId="26" xfId="0" applyFont="1" applyBorder="1" applyAlignment="1">
      <alignment horizontal="center" vertical="center"/>
    </xf>
    <xf numFmtId="169" fontId="15" fillId="0" borderId="34" xfId="0" applyNumberFormat="1" applyFont="1" applyBorder="1" applyAlignment="1">
      <alignment horizontal="right" vertical="center"/>
    </xf>
    <xf numFmtId="169" fontId="15" fillId="0" borderId="28" xfId="0" applyNumberFormat="1" applyFont="1" applyBorder="1" applyAlignment="1">
      <alignment horizontal="right" vertical="center"/>
    </xf>
    <xf numFmtId="0" fontId="15" fillId="0" borderId="18" xfId="0" applyFont="1" applyBorder="1" applyAlignment="1">
      <alignment vertical="center"/>
    </xf>
    <xf numFmtId="0" fontId="0" fillId="0" borderId="45" xfId="0" applyBorder="1"/>
    <xf numFmtId="169" fontId="15" fillId="0" borderId="23" xfId="0" applyNumberFormat="1" applyFont="1" applyBorder="1" applyAlignment="1">
      <alignment horizontal="right" vertical="center"/>
    </xf>
    <xf numFmtId="0" fontId="15" fillId="0" borderId="24" xfId="0" applyFont="1" applyBorder="1" applyAlignment="1">
      <alignment vertical="center"/>
    </xf>
    <xf numFmtId="0" fontId="15" fillId="0" borderId="3" xfId="0" applyFont="1" applyBorder="1" applyAlignment="1">
      <alignment horizontal="center" vertical="center"/>
    </xf>
    <xf numFmtId="169" fontId="15" fillId="0" borderId="32" xfId="0" applyNumberFormat="1" applyFont="1" applyBorder="1" applyAlignment="1">
      <alignment horizontal="right" vertical="center"/>
    </xf>
    <xf numFmtId="0" fontId="13" fillId="0" borderId="17" xfId="0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165" fontId="16" fillId="0" borderId="32" xfId="0" applyNumberFormat="1" applyFont="1" applyBorder="1" applyAlignment="1">
      <alignment horizontal="center"/>
    </xf>
    <xf numFmtId="165" fontId="7" fillId="0" borderId="32" xfId="0" applyNumberFormat="1" applyFont="1" applyBorder="1" applyAlignment="1">
      <alignment horizontal="center" vertical="center"/>
    </xf>
    <xf numFmtId="1" fontId="7" fillId="13" borderId="32" xfId="0" applyNumberFormat="1" applyFont="1" applyFill="1" applyBorder="1" applyAlignment="1">
      <alignment horizontal="center"/>
    </xf>
    <xf numFmtId="0" fontId="3" fillId="0" borderId="15" xfId="0" applyFont="1" applyBorder="1" applyAlignment="1">
      <alignment horizontal="left" vertical="center" wrapText="1"/>
    </xf>
    <xf numFmtId="0" fontId="6" fillId="0" borderId="16" xfId="0" applyFont="1" applyBorder="1"/>
    <xf numFmtId="0" fontId="6" fillId="0" borderId="17" xfId="0" applyFont="1" applyBorder="1"/>
    <xf numFmtId="0" fontId="8" fillId="0" borderId="15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wrapText="1"/>
    </xf>
    <xf numFmtId="0" fontId="6" fillId="0" borderId="27" xfId="0" applyFont="1" applyBorder="1"/>
    <xf numFmtId="0" fontId="6" fillId="0" borderId="32" xfId="0" applyFont="1" applyBorder="1" applyAlignment="1">
      <alignment horizontal="left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/>
    </xf>
    <xf numFmtId="0" fontId="8" fillId="8" borderId="22" xfId="0" applyFont="1" applyFill="1" applyBorder="1" applyAlignment="1">
      <alignment horizontal="left" vertical="center"/>
    </xf>
    <xf numFmtId="0" fontId="6" fillId="0" borderId="22" xfId="0" applyFont="1" applyBorder="1"/>
    <xf numFmtId="0" fontId="6" fillId="0" borderId="37" xfId="0" applyFont="1" applyBorder="1" applyAlignment="1">
      <alignment horizontal="left"/>
    </xf>
    <xf numFmtId="0" fontId="6" fillId="0" borderId="42" xfId="0" applyFont="1" applyBorder="1" applyAlignment="1">
      <alignment horizontal="left"/>
    </xf>
    <xf numFmtId="0" fontId="6" fillId="0" borderId="36" xfId="0" applyFont="1" applyBorder="1" applyAlignment="1">
      <alignment horizontal="left"/>
    </xf>
    <xf numFmtId="0" fontId="3" fillId="0" borderId="32" xfId="0" applyFont="1" applyBorder="1" applyAlignment="1">
      <alignment horizontal="left" vertical="center"/>
    </xf>
    <xf numFmtId="0" fontId="6" fillId="0" borderId="22" xfId="0" applyFont="1" applyBorder="1" applyAlignment="1">
      <alignment horizontal="left"/>
    </xf>
    <xf numFmtId="0" fontId="6" fillId="0" borderId="23" xfId="0" applyFont="1" applyBorder="1" applyAlignment="1">
      <alignment horizontal="left"/>
    </xf>
    <xf numFmtId="0" fontId="3" fillId="0" borderId="23" xfId="0" applyFont="1" applyBorder="1" applyAlignment="1">
      <alignment horizontal="left" vertical="center" wrapText="1"/>
    </xf>
    <xf numFmtId="0" fontId="6" fillId="0" borderId="25" xfId="0" applyFont="1" applyBorder="1"/>
    <xf numFmtId="0" fontId="6" fillId="0" borderId="28" xfId="0" applyFont="1" applyBorder="1"/>
    <xf numFmtId="0" fontId="3" fillId="0" borderId="9" xfId="0" applyFont="1" applyBorder="1" applyAlignment="1">
      <alignment horizontal="left"/>
    </xf>
    <xf numFmtId="0" fontId="0" fillId="0" borderId="0" xfId="0"/>
    <xf numFmtId="0" fontId="3" fillId="0" borderId="12" xfId="0" applyFont="1" applyBorder="1" applyAlignment="1">
      <alignment horizontal="left"/>
    </xf>
    <xf numFmtId="0" fontId="6" fillId="0" borderId="13" xfId="0" applyFont="1" applyBorder="1"/>
    <xf numFmtId="0" fontId="3" fillId="0" borderId="16" xfId="0" applyFont="1" applyBorder="1" applyAlignment="1">
      <alignment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5" xfId="0" applyFont="1" applyBorder="1"/>
    <xf numFmtId="0" fontId="8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left"/>
    </xf>
    <xf numFmtId="0" fontId="6" fillId="0" borderId="7" xfId="0" applyFont="1" applyBorder="1"/>
    <xf numFmtId="0" fontId="8" fillId="0" borderId="7" xfId="0" applyFont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2" fontId="9" fillId="0" borderId="7" xfId="0" applyNumberFormat="1" applyFont="1" applyBorder="1" applyAlignment="1">
      <alignment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2" fontId="9" fillId="0" borderId="13" xfId="0" applyNumberFormat="1" applyFont="1" applyBorder="1" applyAlignment="1">
      <alignment vertical="center"/>
    </xf>
    <xf numFmtId="2" fontId="8" fillId="0" borderId="18" xfId="0" applyNumberFormat="1" applyFont="1" applyBorder="1" applyAlignment="1">
      <alignment horizontal="center" vertical="center" wrapText="1"/>
    </xf>
    <xf numFmtId="2" fontId="8" fillId="8" borderId="20" xfId="0" applyNumberFormat="1" applyFont="1" applyFill="1" applyBorder="1" applyAlignment="1">
      <alignment vertical="center"/>
    </xf>
    <xf numFmtId="2" fontId="15" fillId="0" borderId="22" xfId="0" applyNumberFormat="1" applyFont="1" applyBorder="1" applyAlignment="1">
      <alignment horizontal="center" vertical="center"/>
    </xf>
    <xf numFmtId="2" fontId="15" fillId="0" borderId="41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2" fontId="15" fillId="0" borderId="43" xfId="0" applyNumberFormat="1" applyFont="1" applyBorder="1" applyAlignment="1">
      <alignment horizontal="center" vertical="center"/>
    </xf>
    <xf numFmtId="2" fontId="15" fillId="0" borderId="27" xfId="0" applyNumberFormat="1" applyFont="1" applyBorder="1" applyAlignment="1">
      <alignment horizontal="center" vertical="center"/>
    </xf>
    <xf numFmtId="2" fontId="15" fillId="0" borderId="44" xfId="0" applyNumberFormat="1" applyFont="1" applyBorder="1" applyAlignment="1">
      <alignment horizontal="center" vertical="center"/>
    </xf>
    <xf numFmtId="2" fontId="15" fillId="0" borderId="26" xfId="0" applyNumberFormat="1" applyFont="1" applyBorder="1" applyAlignment="1">
      <alignment horizontal="center" vertical="center"/>
    </xf>
    <xf numFmtId="2" fontId="17" fillId="8" borderId="20" xfId="0" applyNumberFormat="1" applyFont="1" applyFill="1" applyBorder="1" applyAlignment="1">
      <alignment horizontal="center" vertical="center"/>
    </xf>
    <xf numFmtId="2" fontId="15" fillId="0" borderId="19" xfId="0" applyNumberFormat="1" applyFont="1" applyBorder="1" applyAlignment="1">
      <alignment horizontal="center" vertical="center"/>
    </xf>
    <xf numFmtId="2" fontId="3" fillId="0" borderId="27" xfId="0" applyNumberFormat="1" applyFont="1" applyBorder="1" applyAlignment="1">
      <alignment horizontal="center" vertical="center"/>
    </xf>
    <xf numFmtId="2" fontId="8" fillId="0" borderId="15" xfId="0" applyNumberFormat="1" applyFont="1" applyBorder="1" applyAlignment="1">
      <alignment horizontal="center" vertical="center"/>
    </xf>
    <xf numFmtId="2" fontId="6" fillId="0" borderId="17" xfId="0" applyNumberFormat="1" applyFont="1" applyBorder="1"/>
  </cellXfs>
  <cellStyles count="1">
    <cellStyle name="Normal" xfId="0" builtinId="0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72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2" formatCode="&quot;R$&quot;\ #,##0.00"/>
      <fill>
        <patternFill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2" formatCode="&quot;R$&quot;\ #,##0.00"/>
      <fill>
        <patternFill>
          <bgColor theme="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#,##0;[Red]#,##0"/>
      <fill>
        <patternFill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#,##0;[Red]#,##0"/>
      <fill>
        <patternFill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fill>
        <patternFill>
          <bgColor theme="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3">
    <tableStyle name="Consolidado SP-style" pivot="0" count="3" xr9:uid="{00000000-0011-0000-FFFF-FFFF00000000}">
      <tableStyleElement type="headerRow" dxfId="44"/>
      <tableStyleElement type="firstRowStripe" dxfId="43"/>
      <tableStyleElement type="secondRowStripe" dxfId="42"/>
    </tableStyle>
    <tableStyle name="Fretes cálculo - SP-style" pivot="0" count="3" xr9:uid="{00000000-0011-0000-FFFF-FFFF01000000}">
      <tableStyleElement type="headerRow" dxfId="41"/>
      <tableStyleElement type="firstRowStripe" dxfId="40"/>
      <tableStyleElement type="secondRowStripe" dxfId="39"/>
    </tableStyle>
    <tableStyle name="Relação de ordens de serviço-style" pivot="0" count="3" xr9:uid="{00000000-0011-0000-FFFF-FFFF02000000}">
      <tableStyleElement type="headerRow" dxfId="38"/>
      <tableStyleElement type="firstRowStripe" dxfId="37"/>
      <tableStyleElement type="secondRowStripe" dxfId="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23" Type="http://schemas.openxmlformats.org/officeDocument/2006/relationships/styles" Target="styles.xml"/><Relationship Id="rId4" Type="http://schemas.openxmlformats.org/officeDocument/2006/relationships/worksheet" Target="worksheets/sheet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solidadoSP" displayName="ConsolidadoSP" ref="A3:S29" headerRowDxfId="35" totalsRowDxfId="32" headerRowBorderDxfId="34" tableBorderDxfId="33">
  <autoFilter ref="A3:S29" xr:uid="{00000000-000C-0000-FFFF-FFFF00000000}"/>
  <tableColumns count="19">
    <tableColumn id="1" xr3:uid="{00000000-0010-0000-0000-000001000000}" name="MEDIDAS CONTRATO" dataDxfId="31"/>
    <tableColumn id="2" xr3:uid="{00000000-0010-0000-0000-000002000000}" name="Padrão" dataDxfId="30"/>
    <tableColumn id="3" xr3:uid="{00000000-0010-0000-0000-000003000000}" name="Ø" dataDxfId="29">
      <calculatedColumnFormula>IFERROR( VLOOKUP(ConsolidadoSP[[#This Row],[MEDIDAS CONTRATO]],MedidasContrato[[MEDIDAS CONTRATO]:[Ø]],2,0),"")</calculatedColumnFormula>
    </tableColumn>
    <tableColumn id="4" xr3:uid="{00000000-0010-0000-0000-000004000000}" name="A" dataDxfId="28">
      <calculatedColumnFormula>IFERROR( VLOOKUP(ConsolidadoSP[[#This Row],[MEDIDAS CONTRATO]],MedidasContrato[],3,0),"")</calculatedColumnFormula>
    </tableColumn>
    <tableColumn id="5" xr3:uid="{00000000-0010-0000-0000-000005000000}" name="L" dataDxfId="27">
      <calculatedColumnFormula>IFERROR( VLOOKUP(ConsolidadoSP[[#This Row],[MEDIDAS CONTRATO]],MedidasContrato[],4,0),"")</calculatedColumnFormula>
    </tableColumn>
    <tableColumn id="6" xr3:uid="{00000000-0010-0000-0000-000006000000}" name="P" dataDxfId="26">
      <calculatedColumnFormula>IFERROR( VLOOKUP(ConsolidadoSP[[#This Row],[MEDIDAS CONTRATO]],MedidasContrato[],5,0),"")</calculatedColumnFormula>
    </tableColumn>
    <tableColumn id="7" xr3:uid="{00000000-0010-0000-0000-000007000000}" name="cm³ = V1" dataDxfId="25"/>
    <tableColumn id="8" xr3:uid="{00000000-0010-0000-0000-000008000000}" name="cm³ = V2" dataDxfId="24"/>
    <tableColumn id="9" xr3:uid="{00000000-0010-0000-0000-000009000000}" name="FC = V1/V2" dataDxfId="23"/>
    <tableColumn id="10" xr3:uid="{00000000-0010-0000-0000-00000A000000}" name="QUAm-1" dataDxfId="22"/>
    <tableColumn id="11" xr3:uid="{00000000-0010-0000-0000-00000B000000}" name="QBm" dataDxfId="21"/>
    <tableColumn id="12" xr3:uid="{00000000-0010-0000-0000-00000C000000}" name="QDm" dataDxfId="20"/>
    <tableColumn id="13" xr3:uid="{00000000-0010-0000-0000-00000D000000}" name="QNm" dataDxfId="19"/>
    <tableColumn id="14" xr3:uid="{00000000-0010-0000-0000-00000E000000}" name="QUAm" dataDxfId="18">
      <calculatedColumnFormula xml:space="preserve"> IF( ConsolidadoSP[[#This Row],[QUAm-1]] = "", "", ConsolidadoSP[[#This Row],[QUAm-1]]  +ConsolidadoSP[[#This Row],[QNm]]  -ConsolidadoSP[[#This Row],[QBm]] -ConsolidadoSP[[#This Row],[QDm]])</calculatedColumnFormula>
    </tableColumn>
    <tableColumn id="15" xr3:uid="{00000000-0010-0000-0000-00000F000000}" name="UA" dataDxfId="17">
      <calculatedColumnFormula>IF( ConsolidadoSP[[#This Row],[FC = V1/V2]] = "", "", ConsolidadoSP[[#This Row],[FC = V1/V2]] * ConsolidadoSP[[#This Row],[QUAm]])</calculatedColumnFormula>
    </tableColumn>
    <tableColumn id="16" xr3:uid="{00000000-0010-0000-0000-000010000000}" name="$ Unitário" dataDxfId="16">
      <calculatedColumnFormula>IF( ConsolidadoSP[[#This Row],[Contrato]] = "", "", IFERROR( VLOOKUP(ConsolidadoSP[[#This Row],[Contrato]],TabelaIRON[[Linha de Serviço PPU]:[PREÇO UNITÁRIO ]],3,0),"Nao Encontrado"))</calculatedColumnFormula>
    </tableColumn>
    <tableColumn id="17" xr3:uid="{00000000-0010-0000-0000-000011000000}" name="$ Total" dataDxfId="15">
      <calculatedColumnFormula>IF(ConsolidadoSP[[#This Row],[FC = V1/V2]]="","", ConsolidadoSP[[#This Row],[UA]]  * ConsolidadoSP[[#This Row],[$ Unitário]])</calculatedColumnFormula>
    </tableColumn>
    <tableColumn id="18" xr3:uid="{00000000-0010-0000-0000-000012000000}" name="Tabela" dataDxfId="14"/>
    <tableColumn id="19" xr3:uid="{00000000-0010-0000-0000-000013000000}" name="Contrato" dataDxfId="13"/>
  </tableColumns>
  <tableStyleInfo name="TableStyleMedium6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B64176-A8E9-4EF0-826A-12CD9C4AD81C}" name="LinhaPPU" displayName="LinhaPPU" ref="E1:E29" totalsRowShown="0" headerRowDxfId="12">
  <autoFilter ref="E1:E29" xr:uid="{20B64176-A8E9-4EF0-826A-12CD9C4AD81C}"/>
  <tableColumns count="1">
    <tableColumn id="1" xr3:uid="{10781CAA-03D8-4ABE-91CC-E8ED9A5CC539}" name="Linha de serviço PPU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CF3038-6AA5-4D5B-AD8F-73A22BDB84DF}" name="TabelaIRON" displayName="TabelaIRON" ref="G1:L24" totalsRowShown="0">
  <autoFilter ref="G1:L24" xr:uid="{D8CF3038-6AA5-4D5B-AD8F-73A22BDB84DF}"/>
  <tableColumns count="6">
    <tableColumn id="1" xr3:uid="{A12BF48E-6445-4F1D-B9A9-9CE03554EA75}" name="ITEM"/>
    <tableColumn id="3" xr3:uid="{2A73A8F2-A691-4874-860C-C1669F544617}" name="DESCRIÇÃO"/>
    <tableColumn id="2" xr3:uid="{D8AAFE76-101C-465C-A11C-40591914FB31}" name="Linha de Serviço PPU"/>
    <tableColumn id="4" xr3:uid="{5B9C971C-2FFB-482B-A376-A396D83217F0}" name="UNID."/>
    <tableColumn id="6" xr3:uid="{55F2321D-B89F-42AC-81ED-E09263A20A95}" name="PREÇO UNITÁRIO " dataDxfId="11"/>
    <tableColumn id="7" xr3:uid="{0335D8B8-C366-444D-A0D4-3F347CB7752E}" name="Descrição da Linha de Serviço"/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411E3F-CFEB-4D33-8F33-D21D26BFF7C7}" name="MedidasContrato" displayName="MedidasContrato" ref="N1:R124" totalsRowShown="0" headerRowDxfId="10" dataDxfId="9">
  <autoFilter ref="N1:R124" xr:uid="{62411E3F-CFEB-4D33-8F33-D21D26BFF7C7}"/>
  <sortState xmlns:xlrd2="http://schemas.microsoft.com/office/spreadsheetml/2017/richdata2" ref="N2:R124">
    <sortCondition ref="N1:N124"/>
  </sortState>
  <tableColumns count="5">
    <tableColumn id="1" xr3:uid="{D45D9DB4-4A0B-44EA-8F3E-83E4440ACB85}" name="MEDIDAS CONTRATO" dataDxfId="8"/>
    <tableColumn id="2" xr3:uid="{EED6936D-CC95-481E-B5AC-F10D38358418}" name="Ø" dataDxfId="7"/>
    <tableColumn id="3" xr3:uid="{1A6B84A9-B1CF-46B3-9B69-E13A1ED508E9}" name="A" dataDxfId="6"/>
    <tableColumn id="4" xr3:uid="{06A0FB9F-97EE-49C1-82B8-E6623A25341C}" name="L" dataDxfId="5"/>
    <tableColumn id="5" xr3:uid="{85F630D0-B32D-4805-97D0-CC568C4BAF97}" name="P" dataDxfId="4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F8BDC5-CC8E-4E6D-B6FF-5848A772EA41}" name="Padrão" displayName="Padrão" ref="A1:A54" totalsRowShown="0" headerRowDxfId="3" dataDxfId="2" tableBorderDxfId="1">
  <autoFilter ref="A1:A54" xr:uid="{90F8BDC5-CC8E-4E6D-B6FF-5848A772EA41}"/>
  <tableColumns count="1">
    <tableColumn id="1" xr3:uid="{FF36F49F-CB3C-491C-944E-DABBA77E30EC}" name="Padrão" dataDxfId="0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425760F-D1B6-439B-B568-A3DBC83ED37E}" name="Tabela" displayName="Tabela" ref="C1:C10" totalsRowShown="0">
  <autoFilter ref="C1:C10" xr:uid="{0425760F-D1B6-439B-B568-A3DBC83ED37E}"/>
  <tableColumns count="1">
    <tableColumn id="1" xr3:uid="{ABAAC426-55E7-4805-868C-B9C990BEAB37}" name="Tabela"/>
  </tableColumns>
  <tableStyleInfo name="TableStyleMedium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3:D6">
  <tableColumns count="3">
    <tableColumn id="1" xr3:uid="{00000000-0010-0000-0200-000001000000}" name="OS"/>
    <tableColumn id="2" xr3:uid="{00000000-0010-0000-0200-000002000000}" name="Click"/>
    <tableColumn id="3" xr3:uid="{00000000-0010-0000-0200-000003000000}" name="Status"/>
  </tableColumns>
  <tableStyleInfo name="Relação de ordens de serviç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5"/>
  </sheetPr>
  <dimension ref="A1:Z1000"/>
  <sheetViews>
    <sheetView showGridLines="0" tabSelected="1" topLeftCell="A26" workbookViewId="0">
      <selection activeCell="J26" sqref="J1:K1048576"/>
    </sheetView>
  </sheetViews>
  <sheetFormatPr defaultColWidth="14.44140625" defaultRowHeight="15" customHeight="1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1" width="16.6640625" style="83" customWidth="1"/>
    <col min="12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x14ac:dyDescent="0.3">
      <c r="A1" s="1"/>
      <c r="B1" s="1"/>
      <c r="C1" s="2"/>
      <c r="D1" s="2"/>
      <c r="E1" s="2"/>
      <c r="F1" s="2"/>
      <c r="G1" s="2"/>
      <c r="H1" s="2"/>
      <c r="I1" s="2"/>
      <c r="J1" s="187"/>
      <c r="K1" s="187"/>
      <c r="L1" s="2"/>
      <c r="M1" s="2"/>
      <c r="N1" s="3"/>
      <c r="Q1" s="4"/>
    </row>
    <row r="2" spans="1:26" ht="24" customHeight="1" x14ac:dyDescent="0.3">
      <c r="A2" s="1"/>
      <c r="B2" s="180" t="s">
        <v>0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2"/>
      <c r="Q2" s="4"/>
    </row>
    <row r="3" spans="1:26" ht="14.25" customHeight="1" x14ac:dyDescent="0.3">
      <c r="B3" s="183" t="s">
        <v>6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2"/>
      <c r="Q3" s="5"/>
      <c r="R3" s="4"/>
    </row>
    <row r="4" spans="1:26" ht="14.25" customHeight="1" x14ac:dyDescent="0.3">
      <c r="B4" s="184" t="s">
        <v>7</v>
      </c>
      <c r="C4" s="185"/>
      <c r="D4" s="7" t="s">
        <v>8</v>
      </c>
      <c r="E4" s="7"/>
      <c r="F4" s="3"/>
      <c r="G4" s="3"/>
      <c r="H4" s="2"/>
      <c r="I4" s="3" t="s">
        <v>9</v>
      </c>
      <c r="J4" s="188" t="s">
        <v>10</v>
      </c>
      <c r="K4" s="189"/>
      <c r="L4" s="186" t="s">
        <v>13</v>
      </c>
      <c r="M4" s="9" t="s">
        <v>16</v>
      </c>
      <c r="N4" s="13">
        <f>(21/22)*100</f>
        <v>95.454545454545453</v>
      </c>
      <c r="O4" s="14"/>
      <c r="Q4" s="5"/>
      <c r="R4" s="4"/>
    </row>
    <row r="5" spans="1:26" ht="14.25" customHeight="1" x14ac:dyDescent="0.3">
      <c r="B5" s="173" t="s">
        <v>19</v>
      </c>
      <c r="C5" s="174"/>
      <c r="D5" s="15">
        <v>4600686987</v>
      </c>
      <c r="E5" s="15"/>
      <c r="F5" s="3"/>
      <c r="G5" s="3"/>
      <c r="H5" s="2"/>
      <c r="I5" s="16" t="s">
        <v>20</v>
      </c>
      <c r="J5" s="190" t="s">
        <v>21</v>
      </c>
      <c r="K5" s="191"/>
      <c r="L5" s="174"/>
      <c r="M5" s="17" t="s">
        <v>23</v>
      </c>
      <c r="N5" s="18">
        <v>0.99</v>
      </c>
      <c r="O5" s="19"/>
      <c r="Q5" s="5"/>
      <c r="R5" s="4"/>
    </row>
    <row r="6" spans="1:26" ht="14.25" customHeight="1" x14ac:dyDescent="0.3">
      <c r="B6" s="173" t="s">
        <v>26</v>
      </c>
      <c r="C6" s="174"/>
      <c r="D6" s="178" t="s">
        <v>28</v>
      </c>
      <c r="E6" s="174"/>
      <c r="F6" s="174"/>
      <c r="G6" s="174"/>
      <c r="H6" s="174"/>
      <c r="I6" s="16" t="s">
        <v>31</v>
      </c>
      <c r="J6" s="190" t="s">
        <v>33</v>
      </c>
      <c r="K6" s="190"/>
      <c r="L6" s="179" t="s">
        <v>34</v>
      </c>
      <c r="M6" s="17" t="s">
        <v>16</v>
      </c>
      <c r="N6" s="13">
        <f>(3/13)*100</f>
        <v>23.076923076923077</v>
      </c>
      <c r="O6" s="20"/>
      <c r="Q6" s="5"/>
      <c r="R6" s="4"/>
    </row>
    <row r="7" spans="1:26" ht="14.25" customHeight="1" x14ac:dyDescent="0.3">
      <c r="B7" s="175"/>
      <c r="C7" s="176"/>
      <c r="D7" s="176"/>
      <c r="E7" s="176"/>
      <c r="F7" s="176"/>
      <c r="G7" s="176"/>
      <c r="H7" s="176"/>
      <c r="I7" s="21" t="s">
        <v>44</v>
      </c>
      <c r="J7" s="192" t="s">
        <v>46</v>
      </c>
      <c r="K7" s="192"/>
      <c r="L7" s="176"/>
      <c r="M7" s="22" t="s">
        <v>23</v>
      </c>
      <c r="N7" s="23">
        <v>0.97</v>
      </c>
      <c r="O7" s="24"/>
      <c r="Q7" s="4"/>
      <c r="R7" s="4"/>
    </row>
    <row r="8" spans="1:26" ht="14.25" customHeight="1" x14ac:dyDescent="0.3">
      <c r="D8" s="3"/>
      <c r="E8" s="3"/>
      <c r="F8" s="3"/>
      <c r="G8" s="3"/>
      <c r="H8" s="2"/>
      <c r="I8" s="2"/>
      <c r="J8" s="189"/>
      <c r="K8" s="189"/>
      <c r="L8" s="3"/>
      <c r="M8" s="16"/>
      <c r="N8" s="25"/>
      <c r="Q8" s="4"/>
      <c r="R8" s="4"/>
    </row>
    <row r="9" spans="1:26" ht="8.25" customHeight="1" x14ac:dyDescent="0.3">
      <c r="H9" s="26"/>
      <c r="I9" s="4"/>
      <c r="J9" s="189"/>
      <c r="K9" s="189"/>
      <c r="L9" s="7"/>
      <c r="M9" s="7"/>
      <c r="Q9" s="4"/>
      <c r="R9" s="4"/>
    </row>
    <row r="10" spans="1:26" ht="14.25" customHeight="1" x14ac:dyDescent="0.3">
      <c r="A10" s="1"/>
      <c r="B10" s="1"/>
      <c r="C10" s="27" t="s">
        <v>50</v>
      </c>
      <c r="D10" s="155" t="s">
        <v>51</v>
      </c>
      <c r="E10" s="153"/>
      <c r="F10" s="153"/>
      <c r="G10" s="153"/>
      <c r="H10" s="154"/>
      <c r="I10" s="28" t="s">
        <v>52</v>
      </c>
      <c r="J10" s="193" t="s">
        <v>53</v>
      </c>
      <c r="K10" s="193" t="s">
        <v>54</v>
      </c>
      <c r="L10" s="29" t="s">
        <v>55</v>
      </c>
      <c r="M10" s="30" t="s">
        <v>56</v>
      </c>
      <c r="N10" s="31" t="s">
        <v>3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32">
        <v>1</v>
      </c>
      <c r="D11" s="33" t="s">
        <v>57</v>
      </c>
      <c r="E11" s="34"/>
      <c r="F11" s="34"/>
      <c r="G11" s="34"/>
      <c r="H11" s="35"/>
      <c r="I11" s="34"/>
      <c r="J11" s="194"/>
      <c r="K11" s="194"/>
      <c r="L11" s="130"/>
      <c r="M11" s="35"/>
      <c r="N11" s="36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37"/>
      <c r="D12" s="132" t="s">
        <v>58</v>
      </c>
      <c r="E12" s="177" t="s">
        <v>59</v>
      </c>
      <c r="F12" s="153"/>
      <c r="G12" s="153"/>
      <c r="H12" s="153"/>
      <c r="I12" s="133"/>
      <c r="J12" s="195"/>
      <c r="K12" s="196"/>
      <c r="L12" s="111"/>
      <c r="M12" s="134"/>
      <c r="N12" s="170"/>
      <c r="Q12" s="4"/>
    </row>
    <row r="13" spans="1:26" ht="14.25" customHeight="1" x14ac:dyDescent="0.3">
      <c r="A13" s="1"/>
      <c r="B13" s="1"/>
      <c r="C13" s="38" t="s">
        <v>60</v>
      </c>
      <c r="D13" s="39" t="s">
        <v>37</v>
      </c>
      <c r="E13" s="39" t="s">
        <v>38</v>
      </c>
      <c r="F13" s="39" t="s">
        <v>39</v>
      </c>
      <c r="G13" s="39" t="s">
        <v>40</v>
      </c>
      <c r="H13" s="40" t="s">
        <v>41</v>
      </c>
      <c r="I13" s="135" t="s">
        <v>42</v>
      </c>
      <c r="J13" s="197">
        <f>SUMIF(Consolidado!S:S,D12,Consolidado!O:O)</f>
        <v>52663.623999999996</v>
      </c>
      <c r="K13" s="198">
        <f>J13*N5</f>
        <v>52136.987759999996</v>
      </c>
      <c r="L13" s="136">
        <f>IFERROR(VLOOKUP(D12,TabelaIRON[[Linha de Serviço PPU]:[PREÇO UNITÁRIO ]],3,FALSE),"N/A")</f>
        <v>0.6</v>
      </c>
      <c r="M13" s="137">
        <f>J13*L13</f>
        <v>31598.174399999996</v>
      </c>
      <c r="N13" s="171"/>
      <c r="P13" s="41"/>
      <c r="Q13" s="4"/>
    </row>
    <row r="14" spans="1:26" ht="14.25" customHeight="1" x14ac:dyDescent="0.3">
      <c r="A14" s="1"/>
      <c r="B14" s="1"/>
      <c r="C14" s="42"/>
      <c r="D14" s="43">
        <f>SUMIF(ConsolidadoSP[Contrato], D12, ConsolidadoSP[QUAm-1])</f>
        <v>64179</v>
      </c>
      <c r="E14" s="44">
        <f>SUMIF(ConsolidadoSP[Contrato], D12, ConsolidadoSP[QBm])</f>
        <v>0</v>
      </c>
      <c r="F14" s="44">
        <f>SUMIF(ConsolidadoSP[Contrato], D12, ConsolidadoSP[QDm])</f>
        <v>0</v>
      </c>
      <c r="G14" s="45">
        <f>SUMIF(ConsolidadoSP[Contrato], D12, ConsolidadoSP[QNm] )</f>
        <v>316</v>
      </c>
      <c r="H14" s="46">
        <f>(D14-E14-F14)+G14</f>
        <v>64495</v>
      </c>
      <c r="I14" s="138"/>
      <c r="J14" s="199"/>
      <c r="K14" s="200"/>
      <c r="L14" s="139"/>
      <c r="M14" s="140"/>
      <c r="N14" s="172"/>
      <c r="Q14" s="4"/>
    </row>
    <row r="15" spans="1:26" ht="15" customHeight="1" x14ac:dyDescent="0.3">
      <c r="A15" s="1"/>
      <c r="B15" s="1"/>
      <c r="C15" s="37"/>
      <c r="D15" s="132" t="s">
        <v>61</v>
      </c>
      <c r="E15" s="177" t="s">
        <v>62</v>
      </c>
      <c r="F15" s="153"/>
      <c r="G15" s="153"/>
      <c r="H15" s="153"/>
      <c r="I15" s="141"/>
      <c r="J15" s="195"/>
      <c r="K15" s="196"/>
      <c r="L15" s="142"/>
      <c r="M15" s="143"/>
      <c r="N15" s="170"/>
      <c r="Q15" s="4"/>
    </row>
    <row r="16" spans="1:26" ht="14.25" customHeight="1" x14ac:dyDescent="0.3">
      <c r="A16" s="1"/>
      <c r="B16" s="1"/>
      <c r="C16" s="38" t="s">
        <v>63</v>
      </c>
      <c r="D16" s="39" t="s">
        <v>37</v>
      </c>
      <c r="E16" s="39" t="s">
        <v>38</v>
      </c>
      <c r="F16" s="39" t="s">
        <v>39</v>
      </c>
      <c r="G16" s="39" t="s">
        <v>40</v>
      </c>
      <c r="H16" s="40" t="s">
        <v>41</v>
      </c>
      <c r="I16" s="135" t="s">
        <v>42</v>
      </c>
      <c r="J16" s="197">
        <f>SUMIF(Consolidado!S:S,D15,Consolidado!O:O)</f>
        <v>1870</v>
      </c>
      <c r="K16" s="198">
        <f>J16*N5</f>
        <v>1851.3</v>
      </c>
      <c r="L16" s="136">
        <f>IFERROR(VLOOKUP(D15,TabelaIRON[[Linha de Serviço PPU]:[PREÇO UNITÁRIO ]],3,FALSE),"N/A")</f>
        <v>3.55</v>
      </c>
      <c r="M16" s="137">
        <f>J16*L16</f>
        <v>6638.5</v>
      </c>
      <c r="N16" s="171"/>
      <c r="Q16" s="4"/>
    </row>
    <row r="17" spans="1:17" ht="14.25" customHeight="1" x14ac:dyDescent="0.3">
      <c r="A17" s="1"/>
      <c r="B17" s="1"/>
      <c r="C17" s="42"/>
      <c r="D17" s="43">
        <f>SUMIF(ConsolidadoSP[Contrato], D15, ConsolidadoSP[QUAm-1])</f>
        <v>1870</v>
      </c>
      <c r="E17" s="44">
        <f>SUMIF(ConsolidadoSP[Contrato], D15, ConsolidadoSP[QBm])</f>
        <v>0</v>
      </c>
      <c r="F17" s="44">
        <f>SUMIF(ConsolidadoSP[Contrato], D15, ConsolidadoSP[QDm])</f>
        <v>0</v>
      </c>
      <c r="G17" s="45">
        <f>SUMIF(ConsolidadoSP[Contrato], D15, ConsolidadoSP[QNm] )</f>
        <v>0</v>
      </c>
      <c r="H17" s="47">
        <f>(D17-E17-F17)+G17</f>
        <v>1870</v>
      </c>
      <c r="I17" s="138"/>
      <c r="J17" s="199"/>
      <c r="K17" s="200"/>
      <c r="L17" s="139"/>
      <c r="M17" s="140"/>
      <c r="N17" s="172"/>
      <c r="Q17" s="4"/>
    </row>
    <row r="18" spans="1:17" ht="15" customHeight="1" x14ac:dyDescent="0.3">
      <c r="A18" s="1"/>
      <c r="B18" s="1"/>
      <c r="C18" s="37"/>
      <c r="D18" s="132" t="s">
        <v>64</v>
      </c>
      <c r="E18" s="177" t="s">
        <v>65</v>
      </c>
      <c r="F18" s="153"/>
      <c r="G18" s="153"/>
      <c r="H18" s="153"/>
      <c r="I18" s="141"/>
      <c r="J18" s="195"/>
      <c r="K18" s="196"/>
      <c r="L18" s="142"/>
      <c r="M18" s="143"/>
      <c r="N18" s="170"/>
      <c r="Q18" s="4"/>
    </row>
    <row r="19" spans="1:17" ht="14.25" customHeight="1" x14ac:dyDescent="0.3">
      <c r="A19" s="1"/>
      <c r="B19" s="1"/>
      <c r="C19" s="38" t="s">
        <v>66</v>
      </c>
      <c r="D19" s="39" t="s">
        <v>37</v>
      </c>
      <c r="E19" s="39" t="s">
        <v>38</v>
      </c>
      <c r="F19" s="39" t="s">
        <v>39</v>
      </c>
      <c r="G19" s="39" t="s">
        <v>40</v>
      </c>
      <c r="H19" s="40" t="s">
        <v>41</v>
      </c>
      <c r="I19" s="135" t="s">
        <v>42</v>
      </c>
      <c r="J19" s="197">
        <f>SUMIF(Consolidado!S:S,D18,Consolidado!O:O)</f>
        <v>4951</v>
      </c>
      <c r="K19" s="198">
        <f>J19*N5</f>
        <v>4901.49</v>
      </c>
      <c r="L19" s="136">
        <f>IFERROR(VLOOKUP(D18,TabelaIRON[[Linha de Serviço PPU]:[PREÇO UNITÁRIO ]],3,FALSE),"N/A")</f>
        <v>0.74</v>
      </c>
      <c r="M19" s="137">
        <f>J19*L19</f>
        <v>3663.74</v>
      </c>
      <c r="N19" s="171"/>
      <c r="Q19" s="4"/>
    </row>
    <row r="20" spans="1:17" ht="14.25" customHeight="1" x14ac:dyDescent="0.3">
      <c r="A20" s="1"/>
      <c r="B20" s="1"/>
      <c r="C20" s="42"/>
      <c r="D20" s="43">
        <f>SUMIF(ConsolidadoSP[Contrato], D18, ConsolidadoSP[QUAm-1])</f>
        <v>4822</v>
      </c>
      <c r="E20" s="44">
        <f>SUMIF(ConsolidadoSP[Contrato], D18, ConsolidadoSP[QBm])</f>
        <v>0</v>
      </c>
      <c r="F20" s="44">
        <f>SUMIF(ConsolidadoSP[Contrato], D18, ConsolidadoSP[QDm])</f>
        <v>0</v>
      </c>
      <c r="G20" s="45">
        <f>SUMIF(ConsolidadoSP[Contrato], D18, ConsolidadoSP[QNm] )</f>
        <v>129</v>
      </c>
      <c r="H20" s="48">
        <f>(D20-E20-F20)+G20</f>
        <v>4951</v>
      </c>
      <c r="I20" s="138"/>
      <c r="J20" s="199"/>
      <c r="K20" s="200"/>
      <c r="L20" s="139"/>
      <c r="M20" s="140"/>
      <c r="N20" s="172"/>
      <c r="Q20" s="4"/>
    </row>
    <row r="21" spans="1:17" ht="15" customHeight="1" x14ac:dyDescent="0.3">
      <c r="A21" s="1"/>
      <c r="B21" s="1"/>
      <c r="C21" s="37"/>
      <c r="D21" s="132" t="s">
        <v>67</v>
      </c>
      <c r="E21" s="177" t="s">
        <v>68</v>
      </c>
      <c r="F21" s="153"/>
      <c r="G21" s="153"/>
      <c r="H21" s="153"/>
      <c r="I21" s="141"/>
      <c r="J21" s="195"/>
      <c r="K21" s="196"/>
      <c r="L21" s="142"/>
      <c r="M21" s="143"/>
      <c r="N21" s="170"/>
      <c r="Q21" s="4"/>
    </row>
    <row r="22" spans="1:17" ht="14.25" customHeight="1" x14ac:dyDescent="0.3">
      <c r="A22" s="1"/>
      <c r="B22" s="1"/>
      <c r="C22" s="38" t="s">
        <v>69</v>
      </c>
      <c r="D22" s="39" t="s">
        <v>37</v>
      </c>
      <c r="E22" s="39" t="s">
        <v>38</v>
      </c>
      <c r="F22" s="39" t="s">
        <v>39</v>
      </c>
      <c r="G22" s="39" t="s">
        <v>40</v>
      </c>
      <c r="H22" s="40" t="s">
        <v>41</v>
      </c>
      <c r="I22" s="135" t="s">
        <v>42</v>
      </c>
      <c r="J22" s="197">
        <f>SUMIF(Consolidado!S:S,D21,Consolidado!O:O)</f>
        <v>0</v>
      </c>
      <c r="K22" s="198">
        <f>J22*N5</f>
        <v>0</v>
      </c>
      <c r="L22" s="136">
        <f>IFERROR(VLOOKUP(D21,TabelaIRON[[Linha de Serviço PPU]:[PREÇO UNITÁRIO ]],3,FALSE),"N/A")</f>
        <v>56.11</v>
      </c>
      <c r="M22" s="137">
        <f>J22*L22</f>
        <v>0</v>
      </c>
      <c r="N22" s="171"/>
      <c r="Q22" s="4"/>
    </row>
    <row r="23" spans="1:17" ht="14.25" customHeight="1" x14ac:dyDescent="0.3">
      <c r="A23" s="1"/>
      <c r="B23" s="1"/>
      <c r="C23" s="42"/>
      <c r="D23" s="43">
        <f>SUMIF(ConsolidadoSP[Contrato], D21, ConsolidadoSP[QUAm-1])</f>
        <v>0</v>
      </c>
      <c r="E23" s="44">
        <f>SUMIF(ConsolidadoSP[Contrato], D21, ConsolidadoSP[QBm])</f>
        <v>0</v>
      </c>
      <c r="F23" s="44">
        <f>SUMIF(ConsolidadoSP[Contrato], D21, ConsolidadoSP[QDm])</f>
        <v>0</v>
      </c>
      <c r="G23" s="45">
        <f>SUMIF(ConsolidadoSP[Contrato], D21, ConsolidadoSP[QNm] )</f>
        <v>0</v>
      </c>
      <c r="H23" s="47">
        <f>(D23-E23-F23)+G23</f>
        <v>0</v>
      </c>
      <c r="I23" s="138"/>
      <c r="J23" s="199"/>
      <c r="K23" s="200"/>
      <c r="L23" s="139"/>
      <c r="M23" s="140"/>
      <c r="N23" s="172"/>
      <c r="Q23" s="4"/>
    </row>
    <row r="24" spans="1:17" ht="15" customHeight="1" x14ac:dyDescent="0.3">
      <c r="A24" s="1"/>
      <c r="B24" s="1"/>
      <c r="C24" s="37"/>
      <c r="D24" s="132" t="s">
        <v>72</v>
      </c>
      <c r="E24" s="177" t="s">
        <v>73</v>
      </c>
      <c r="F24" s="153"/>
      <c r="G24" s="153"/>
      <c r="H24" s="153"/>
      <c r="I24" s="141"/>
      <c r="J24" s="195"/>
      <c r="K24" s="196"/>
      <c r="L24" s="142"/>
      <c r="M24" s="143"/>
      <c r="N24" s="170"/>
      <c r="Q24" s="4"/>
    </row>
    <row r="25" spans="1:17" ht="14.25" customHeight="1" x14ac:dyDescent="0.3">
      <c r="A25" s="1"/>
      <c r="B25" s="1"/>
      <c r="C25" s="38" t="s">
        <v>74</v>
      </c>
      <c r="D25" s="39" t="s">
        <v>37</v>
      </c>
      <c r="E25" s="39" t="s">
        <v>38</v>
      </c>
      <c r="F25" s="39" t="s">
        <v>39</v>
      </c>
      <c r="G25" s="39" t="s">
        <v>40</v>
      </c>
      <c r="H25" s="40" t="s">
        <v>41</v>
      </c>
      <c r="I25" s="135" t="s">
        <v>42</v>
      </c>
      <c r="J25" s="197">
        <f>SUMIF(Consolidado!S:S,D24,Consolidado!O:O)</f>
        <v>0</v>
      </c>
      <c r="K25" s="198">
        <f>J25*N5</f>
        <v>0</v>
      </c>
      <c r="L25" s="136">
        <f>IFERROR(VLOOKUP(D24,TabelaIRON[[Linha de Serviço PPU]:[PREÇO UNITÁRIO ]],3,FALSE),"N/A")</f>
        <v>0.08</v>
      </c>
      <c r="M25" s="137">
        <f>J25*L25</f>
        <v>0</v>
      </c>
      <c r="N25" s="171"/>
      <c r="Q25" s="4"/>
    </row>
    <row r="26" spans="1:17" ht="14.25" customHeight="1" x14ac:dyDescent="0.3">
      <c r="A26" s="1"/>
      <c r="B26" s="1"/>
      <c r="C26" s="42"/>
      <c r="D26" s="43">
        <f>SUMIF(ConsolidadoSP[Contrato], D24, ConsolidadoSP[QUAm-1])</f>
        <v>0</v>
      </c>
      <c r="E26" s="44">
        <f>SUMIF(ConsolidadoSP[Contrato], D24, ConsolidadoSP[QBm])</f>
        <v>0</v>
      </c>
      <c r="F26" s="44">
        <f>SUMIF(ConsolidadoSP[Contrato], D24, ConsolidadoSP[QDm])</f>
        <v>0</v>
      </c>
      <c r="G26" s="45">
        <f>SUMIF(ConsolidadoSP[Contrato], D24, ConsolidadoSP[QNm] )</f>
        <v>0</v>
      </c>
      <c r="H26" s="47">
        <f>(D26-E26-F26)+G26</f>
        <v>0</v>
      </c>
      <c r="I26" s="138"/>
      <c r="J26" s="199"/>
      <c r="K26" s="200"/>
      <c r="L26" s="139"/>
      <c r="M26" s="140"/>
      <c r="N26" s="172"/>
      <c r="Q26" s="4"/>
    </row>
    <row r="27" spans="1:17" ht="15" customHeight="1" x14ac:dyDescent="0.3">
      <c r="A27" s="1"/>
      <c r="B27" s="1"/>
      <c r="C27" s="37"/>
      <c r="D27" s="132" t="s">
        <v>76</v>
      </c>
      <c r="E27" s="177" t="s">
        <v>77</v>
      </c>
      <c r="F27" s="153"/>
      <c r="G27" s="153"/>
      <c r="H27" s="153"/>
      <c r="I27" s="144"/>
      <c r="J27" s="197"/>
      <c r="K27" s="198"/>
      <c r="L27" s="142"/>
      <c r="M27" s="137"/>
      <c r="N27" s="170"/>
      <c r="Q27" s="4"/>
    </row>
    <row r="28" spans="1:17" ht="14.25" customHeight="1" x14ac:dyDescent="0.3">
      <c r="A28" s="1"/>
      <c r="B28" s="1"/>
      <c r="C28" s="38" t="s">
        <v>78</v>
      </c>
      <c r="D28" s="39" t="s">
        <v>37</v>
      </c>
      <c r="E28" s="39" t="s">
        <v>38</v>
      </c>
      <c r="F28" s="39" t="s">
        <v>39</v>
      </c>
      <c r="G28" s="39" t="s">
        <v>40</v>
      </c>
      <c r="H28" s="40" t="s">
        <v>41</v>
      </c>
      <c r="I28" s="135" t="s">
        <v>42</v>
      </c>
      <c r="J28" s="197">
        <f>SUMIF(Consolidado!S:S,D27,Consolidado!O:O)</f>
        <v>0</v>
      </c>
      <c r="K28" s="198">
        <f>J28*N5</f>
        <v>0</v>
      </c>
      <c r="L28" s="136">
        <f>IFERROR(VLOOKUP(D27,TabelaIRON[[Linha de Serviço PPU]:[PREÇO UNITÁRIO ]],3,FALSE),"N/A")</f>
        <v>0.08</v>
      </c>
      <c r="M28" s="137">
        <f>J28*L28</f>
        <v>0</v>
      </c>
      <c r="N28" s="171"/>
      <c r="Q28" s="4"/>
    </row>
    <row r="29" spans="1:17" ht="14.25" customHeight="1" x14ac:dyDescent="0.3">
      <c r="A29" s="1"/>
      <c r="B29" s="1"/>
      <c r="C29" s="42"/>
      <c r="D29" s="43">
        <f>SUMIF(ConsolidadoSP[Contrato], D27, ConsolidadoSP[QUAm-1])</f>
        <v>0</v>
      </c>
      <c r="E29" s="44">
        <f>SUMIF(ConsolidadoSP[Contrato], D27, ConsolidadoSP[QBm])</f>
        <v>0</v>
      </c>
      <c r="F29" s="44">
        <f>SUMIF(ConsolidadoSP[Contrato], D27, ConsolidadoSP[QDm])</f>
        <v>0</v>
      </c>
      <c r="G29" s="45">
        <f>SUMIF(ConsolidadoSP[Contrato], D27, ConsolidadoSP[QNm] )</f>
        <v>0</v>
      </c>
      <c r="H29" s="47">
        <f>(D29-E29-F29)+G29</f>
        <v>0</v>
      </c>
      <c r="I29" s="138"/>
      <c r="J29" s="199"/>
      <c r="K29" s="200"/>
      <c r="L29" s="139"/>
      <c r="M29" s="140"/>
      <c r="N29" s="172"/>
      <c r="Q29" s="4"/>
    </row>
    <row r="30" spans="1:17" ht="15" customHeight="1" x14ac:dyDescent="0.3">
      <c r="A30" s="1"/>
      <c r="B30" s="1"/>
      <c r="C30" s="49" t="s">
        <v>79</v>
      </c>
      <c r="D30" s="125" t="s">
        <v>139</v>
      </c>
      <c r="E30" s="168" t="s">
        <v>440</v>
      </c>
      <c r="F30" s="168"/>
      <c r="G30" s="168"/>
      <c r="H30" s="169"/>
      <c r="I30" s="138" t="s">
        <v>82</v>
      </c>
      <c r="J30" s="201">
        <v>10</v>
      </c>
      <c r="K30" s="200">
        <v>10</v>
      </c>
      <c r="L30" s="139">
        <f>IFERROR(VLOOKUP(D30,TabelaIRON[[Linha de Serviço PPU]:[PREÇO UNITÁRIO ]],3,FALSE),"N/A")</f>
        <v>125.89</v>
      </c>
      <c r="M30" s="140">
        <f t="shared" ref="M30:M36" si="0">J30*L30</f>
        <v>1258.9000000000001</v>
      </c>
      <c r="N30" s="50"/>
      <c r="Q30" s="4"/>
    </row>
    <row r="31" spans="1:17" ht="15" customHeight="1" x14ac:dyDescent="0.3">
      <c r="A31" s="1"/>
      <c r="B31" s="1"/>
      <c r="C31" s="49" t="s">
        <v>83</v>
      </c>
      <c r="D31" s="126" t="s">
        <v>174</v>
      </c>
      <c r="E31" s="158" t="s">
        <v>441</v>
      </c>
      <c r="F31" s="158"/>
      <c r="G31" s="158"/>
      <c r="H31" s="158"/>
      <c r="I31" s="145" t="s">
        <v>82</v>
      </c>
      <c r="J31" s="201">
        <v>1</v>
      </c>
      <c r="K31" s="200">
        <v>1</v>
      </c>
      <c r="L31" s="146">
        <f>IFERROR(VLOOKUP(D31,TabelaIRON[[Linha de Serviço PPU]:[PREÇO UNITÁRIO ]],3,FALSE),"N/A")</f>
        <v>200</v>
      </c>
      <c r="M31" s="140">
        <f t="shared" si="0"/>
        <v>200</v>
      </c>
      <c r="N31" s="50"/>
      <c r="Q31" s="4"/>
    </row>
    <row r="32" spans="1:17" ht="15" customHeight="1" x14ac:dyDescent="0.3">
      <c r="A32" s="1"/>
      <c r="B32" s="1"/>
      <c r="C32" s="49" t="s">
        <v>87</v>
      </c>
      <c r="D32" s="126" t="s">
        <v>256</v>
      </c>
      <c r="E32" s="158" t="s">
        <v>442</v>
      </c>
      <c r="F32" s="158"/>
      <c r="G32" s="158"/>
      <c r="H32" s="158"/>
      <c r="I32" s="145" t="s">
        <v>4</v>
      </c>
      <c r="J32" s="201">
        <v>250</v>
      </c>
      <c r="K32" s="200">
        <v>250</v>
      </c>
      <c r="L32" s="146">
        <f>IFERROR(VLOOKUP(D32,TabelaIRON[[Linha de Serviço PPU]:[PREÇO UNITÁRIO ]],3,FALSE),"N/A")</f>
        <v>0.5</v>
      </c>
      <c r="M32" s="140">
        <f t="shared" si="0"/>
        <v>125</v>
      </c>
      <c r="N32" s="50"/>
      <c r="Q32" s="4"/>
    </row>
    <row r="33" spans="1:17" ht="15" customHeight="1" x14ac:dyDescent="0.3">
      <c r="A33" s="1"/>
      <c r="B33" s="1"/>
      <c r="C33" s="49" t="s">
        <v>89</v>
      </c>
      <c r="D33" s="126" t="s">
        <v>259</v>
      </c>
      <c r="E33" s="164" t="s">
        <v>443</v>
      </c>
      <c r="F33" s="165"/>
      <c r="G33" s="165"/>
      <c r="H33" s="166"/>
      <c r="I33" s="145" t="s">
        <v>91</v>
      </c>
      <c r="J33" s="201">
        <v>30</v>
      </c>
      <c r="K33" s="200">
        <v>30</v>
      </c>
      <c r="L33" s="146">
        <f>IFERROR(VLOOKUP(D33,TabelaIRON[[Linha de Serviço PPU]:[PREÇO UNITÁRIO ]],3,FALSE),"N/A")</f>
        <v>1.96</v>
      </c>
      <c r="M33" s="140">
        <f t="shared" si="0"/>
        <v>58.8</v>
      </c>
      <c r="N33" s="50"/>
      <c r="Q33" s="4"/>
    </row>
    <row r="34" spans="1:17" ht="15" customHeight="1" x14ac:dyDescent="0.3">
      <c r="A34" s="1"/>
      <c r="B34" s="1"/>
      <c r="C34" s="49" t="s">
        <v>92</v>
      </c>
      <c r="D34" s="126" t="s">
        <v>261</v>
      </c>
      <c r="E34" s="164" t="s">
        <v>444</v>
      </c>
      <c r="F34" s="165"/>
      <c r="G34" s="165"/>
      <c r="H34" s="166"/>
      <c r="I34" s="145" t="s">
        <v>91</v>
      </c>
      <c r="J34" s="201">
        <v>0</v>
      </c>
      <c r="K34" s="200">
        <v>0</v>
      </c>
      <c r="L34" s="146">
        <f>IFERROR(VLOOKUP(D34,TabelaIRON[[Linha de Serviço PPU]:[PREÇO UNITÁRIO ]],3,FALSE),"N/A")</f>
        <v>1.35</v>
      </c>
      <c r="M34" s="140">
        <f t="shared" si="0"/>
        <v>0</v>
      </c>
      <c r="N34" s="50"/>
      <c r="Q34" s="4"/>
    </row>
    <row r="35" spans="1:17" ht="15" customHeight="1" x14ac:dyDescent="0.3">
      <c r="A35" s="1"/>
      <c r="B35" s="1"/>
      <c r="C35" s="49" t="s">
        <v>95</v>
      </c>
      <c r="D35" s="126" t="s">
        <v>265</v>
      </c>
      <c r="E35" s="164" t="s">
        <v>445</v>
      </c>
      <c r="F35" s="165"/>
      <c r="G35" s="165"/>
      <c r="H35" s="166"/>
      <c r="I35" s="145" t="s">
        <v>98</v>
      </c>
      <c r="J35" s="201">
        <v>0</v>
      </c>
      <c r="K35" s="200">
        <v>0</v>
      </c>
      <c r="L35" s="146">
        <f>IFERROR(VLOOKUP(D35,TabelaIRON[[Linha de Serviço PPU]:[PREÇO UNITÁRIO ]],3,FALSE),"N/A")</f>
        <v>594488.34</v>
      </c>
      <c r="M35" s="140">
        <f t="shared" si="0"/>
        <v>0</v>
      </c>
      <c r="N35" s="147"/>
      <c r="Q35" s="4"/>
    </row>
    <row r="36" spans="1:17" ht="15" customHeight="1" x14ac:dyDescent="0.3">
      <c r="A36" s="1"/>
      <c r="B36" s="1"/>
      <c r="C36" s="49" t="s">
        <v>99</v>
      </c>
      <c r="D36" s="126" t="s">
        <v>268</v>
      </c>
      <c r="E36" s="164" t="s">
        <v>446</v>
      </c>
      <c r="F36" s="165"/>
      <c r="G36" s="165"/>
      <c r="H36" s="166"/>
      <c r="I36" s="145" t="s">
        <v>42</v>
      </c>
      <c r="J36" s="201">
        <v>0</v>
      </c>
      <c r="K36" s="200">
        <v>0</v>
      </c>
      <c r="L36" s="146">
        <f>IFERROR(VLOOKUP(D36,TabelaIRON[[Linha de Serviço PPU]:[PREÇO UNITÁRIO ]],3,FALSE),"N/A")</f>
        <v>1.01</v>
      </c>
      <c r="M36" s="140">
        <f t="shared" si="0"/>
        <v>0</v>
      </c>
      <c r="N36" s="50"/>
      <c r="Q36" s="4"/>
    </row>
    <row r="37" spans="1:17" ht="15" customHeight="1" x14ac:dyDescent="0.3">
      <c r="A37" s="1"/>
      <c r="B37" s="1"/>
      <c r="C37" s="32">
        <v>2</v>
      </c>
      <c r="D37" s="162" t="s">
        <v>102</v>
      </c>
      <c r="E37" s="163"/>
      <c r="F37" s="163"/>
      <c r="G37" s="163"/>
      <c r="H37" s="163"/>
      <c r="I37" s="54"/>
      <c r="J37" s="202"/>
      <c r="K37" s="202"/>
      <c r="L37" s="131"/>
      <c r="M37" s="55"/>
      <c r="N37" s="35"/>
      <c r="Q37" s="4"/>
    </row>
    <row r="38" spans="1:17" ht="15" customHeight="1" x14ac:dyDescent="0.3">
      <c r="A38" s="1"/>
      <c r="B38" s="1"/>
      <c r="C38" s="127" t="s">
        <v>106</v>
      </c>
      <c r="D38" s="128" t="s">
        <v>272</v>
      </c>
      <c r="E38" s="158" t="s">
        <v>447</v>
      </c>
      <c r="F38" s="158"/>
      <c r="G38" s="158"/>
      <c r="H38" s="158"/>
      <c r="I38" s="148" t="s">
        <v>108</v>
      </c>
      <c r="J38" s="201">
        <v>28</v>
      </c>
      <c r="K38" s="203">
        <v>28</v>
      </c>
      <c r="L38" s="146">
        <f>IFERROR(VLOOKUP(D38,TabelaIRON[[Linha de Serviço PPU]:[PREÇO UNITÁRIO ]],3,FALSE),"N/A")</f>
        <v>0.44</v>
      </c>
      <c r="M38" s="140">
        <f t="shared" ref="M38:M47" si="1">J38*L38</f>
        <v>12.32</v>
      </c>
      <c r="N38" s="50"/>
      <c r="Q38" s="4"/>
    </row>
    <row r="39" spans="1:17" ht="15" customHeight="1" x14ac:dyDescent="0.3">
      <c r="A39" s="1"/>
      <c r="B39" s="1"/>
      <c r="C39" s="127" t="s">
        <v>109</v>
      </c>
      <c r="D39" s="129" t="s">
        <v>275</v>
      </c>
      <c r="E39" s="167" t="s">
        <v>448</v>
      </c>
      <c r="F39" s="167"/>
      <c r="G39" s="167"/>
      <c r="H39" s="167"/>
      <c r="I39" s="148" t="s">
        <v>42</v>
      </c>
      <c r="J39" s="201">
        <v>0</v>
      </c>
      <c r="K39" s="203">
        <v>0</v>
      </c>
      <c r="L39" s="146">
        <f>IFERROR(VLOOKUP(D39,TabelaIRON[[Linha de Serviço PPU]:[PREÇO UNITÁRIO ]],3,FALSE),"N/A")</f>
        <v>1.44</v>
      </c>
      <c r="M39" s="140">
        <f t="shared" si="1"/>
        <v>0</v>
      </c>
      <c r="N39" s="50"/>
      <c r="Q39" s="4"/>
    </row>
    <row r="40" spans="1:17" ht="15" customHeight="1" x14ac:dyDescent="0.3">
      <c r="A40" s="1"/>
      <c r="B40" s="1"/>
      <c r="C40" s="127" t="s">
        <v>112</v>
      </c>
      <c r="D40" s="128" t="s">
        <v>279</v>
      </c>
      <c r="E40" s="158" t="s">
        <v>449</v>
      </c>
      <c r="F40" s="158"/>
      <c r="G40" s="158"/>
      <c r="H40" s="158"/>
      <c r="I40" s="148" t="s">
        <v>113</v>
      </c>
      <c r="J40" s="201">
        <v>0</v>
      </c>
      <c r="K40" s="203">
        <v>0</v>
      </c>
      <c r="L40" s="146">
        <f>IFERROR(VLOOKUP(D40,TabelaIRON[[Linha de Serviço PPU]:[PREÇO UNITÁRIO ]],3,FALSE),"N/A")</f>
        <v>0.05</v>
      </c>
      <c r="M40" s="140">
        <f t="shared" si="1"/>
        <v>0</v>
      </c>
      <c r="N40" s="50"/>
      <c r="Q40" s="4"/>
    </row>
    <row r="41" spans="1:17" ht="15" customHeight="1" x14ac:dyDescent="0.3">
      <c r="A41" s="1"/>
      <c r="B41" s="1"/>
      <c r="C41" s="127" t="s">
        <v>117</v>
      </c>
      <c r="D41" s="128" t="s">
        <v>283</v>
      </c>
      <c r="E41" s="158" t="s">
        <v>450</v>
      </c>
      <c r="F41" s="158"/>
      <c r="G41" s="158"/>
      <c r="H41" s="158"/>
      <c r="I41" s="148" t="s">
        <v>113</v>
      </c>
      <c r="J41" s="201">
        <v>0</v>
      </c>
      <c r="K41" s="203">
        <v>0</v>
      </c>
      <c r="L41" s="146">
        <f>IFERROR(VLOOKUP(D41,TabelaIRON[[Linha de Serviço PPU]:[PREÇO UNITÁRIO ]],3,FALSE),"N/A")</f>
        <v>0.06</v>
      </c>
      <c r="M41" s="140">
        <f t="shared" si="1"/>
        <v>0</v>
      </c>
      <c r="N41" s="50"/>
      <c r="Q41" s="4"/>
    </row>
    <row r="42" spans="1:17" ht="15" customHeight="1" x14ac:dyDescent="0.3">
      <c r="A42" s="1"/>
      <c r="B42" s="1"/>
      <c r="C42" s="127" t="s">
        <v>119</v>
      </c>
      <c r="D42" s="128" t="s">
        <v>287</v>
      </c>
      <c r="E42" s="158" t="s">
        <v>451</v>
      </c>
      <c r="F42" s="158"/>
      <c r="G42" s="158"/>
      <c r="H42" s="158"/>
      <c r="I42" s="148" t="s">
        <v>113</v>
      </c>
      <c r="J42" s="201">
        <v>1858.5</v>
      </c>
      <c r="K42" s="203">
        <v>1858.5</v>
      </c>
      <c r="L42" s="146">
        <f>IFERROR(VLOOKUP(D42,TabelaIRON[[Linha de Serviço PPU]:[PREÇO UNITÁRIO ]],3,FALSE),"N/A")</f>
        <v>0.1</v>
      </c>
      <c r="M42" s="140">
        <f t="shared" si="1"/>
        <v>185.85000000000002</v>
      </c>
      <c r="N42" s="50"/>
      <c r="Q42" s="4"/>
    </row>
    <row r="43" spans="1:17" ht="15" customHeight="1" x14ac:dyDescent="0.3">
      <c r="A43" s="1"/>
      <c r="B43" s="1"/>
      <c r="C43" s="127" t="s">
        <v>122</v>
      </c>
      <c r="D43" s="128" t="s">
        <v>292</v>
      </c>
      <c r="E43" s="158" t="s">
        <v>452</v>
      </c>
      <c r="F43" s="158"/>
      <c r="G43" s="158"/>
      <c r="H43" s="158"/>
      <c r="I43" s="148" t="s">
        <v>123</v>
      </c>
      <c r="J43" s="201">
        <v>28</v>
      </c>
      <c r="K43" s="203">
        <v>28</v>
      </c>
      <c r="L43" s="146">
        <f>IFERROR(VLOOKUP(D43,TabelaIRON[[Linha de Serviço PPU]:[PREÇO UNITÁRIO ]],3,FALSE),"N/A")</f>
        <v>0.23</v>
      </c>
      <c r="M43" s="140">
        <f t="shared" si="1"/>
        <v>6.44</v>
      </c>
      <c r="N43" s="50"/>
      <c r="Q43" s="4"/>
    </row>
    <row r="44" spans="1:17" ht="15" customHeight="1" x14ac:dyDescent="0.3">
      <c r="A44" s="1"/>
      <c r="B44" s="1"/>
      <c r="C44" s="127" t="s">
        <v>124</v>
      </c>
      <c r="D44" s="128" t="s">
        <v>295</v>
      </c>
      <c r="E44" s="158" t="s">
        <v>453</v>
      </c>
      <c r="F44" s="158"/>
      <c r="G44" s="158"/>
      <c r="H44" s="158"/>
      <c r="I44" s="148" t="s">
        <v>126</v>
      </c>
      <c r="J44" s="201">
        <v>0</v>
      </c>
      <c r="K44" s="203">
        <v>0</v>
      </c>
      <c r="L44" s="146">
        <f>IFERROR(VLOOKUP(D44,TabelaIRON[[Linha de Serviço PPU]:[PREÇO UNITÁRIO ]],3,FALSE),"N/A")</f>
        <v>68.27</v>
      </c>
      <c r="M44" s="140">
        <f t="shared" si="1"/>
        <v>0</v>
      </c>
      <c r="N44" s="50"/>
      <c r="Q44" s="4"/>
    </row>
    <row r="45" spans="1:17" ht="15" customHeight="1" x14ac:dyDescent="0.3">
      <c r="A45" s="1"/>
      <c r="B45" s="1"/>
      <c r="C45" s="127" t="s">
        <v>128</v>
      </c>
      <c r="D45" s="128" t="s">
        <v>297</v>
      </c>
      <c r="E45" s="158" t="s">
        <v>454</v>
      </c>
      <c r="F45" s="158"/>
      <c r="G45" s="158"/>
      <c r="H45" s="158"/>
      <c r="I45" s="148" t="s">
        <v>126</v>
      </c>
      <c r="J45" s="201">
        <v>0</v>
      </c>
      <c r="K45" s="203">
        <v>0</v>
      </c>
      <c r="L45" s="146">
        <f>IFERROR(VLOOKUP(D45,TabelaIRON[[Linha de Serviço PPU]:[PREÇO UNITÁRIO ]],3,FALSE),"N/A")</f>
        <v>39</v>
      </c>
      <c r="M45" s="140">
        <f t="shared" si="1"/>
        <v>0</v>
      </c>
      <c r="N45" s="50"/>
      <c r="Q45" s="4"/>
    </row>
    <row r="46" spans="1:17" ht="15" customHeight="1" x14ac:dyDescent="0.3">
      <c r="A46" s="1"/>
      <c r="B46" s="1"/>
      <c r="C46" s="127" t="s">
        <v>130</v>
      </c>
      <c r="D46" s="128" t="s">
        <v>300</v>
      </c>
      <c r="E46" s="158" t="s">
        <v>455</v>
      </c>
      <c r="F46" s="158"/>
      <c r="G46" s="158"/>
      <c r="H46" s="158"/>
      <c r="I46" s="148" t="s">
        <v>126</v>
      </c>
      <c r="J46" s="201">
        <v>0</v>
      </c>
      <c r="K46" s="203">
        <v>0</v>
      </c>
      <c r="L46" s="146">
        <f>IFERROR(VLOOKUP(D46,TabelaIRON[[Linha de Serviço PPU]:[PREÇO UNITÁRIO ]],3,FALSE),"N/A")</f>
        <v>11.72</v>
      </c>
      <c r="M46" s="140">
        <f t="shared" si="1"/>
        <v>0</v>
      </c>
      <c r="N46" s="50"/>
      <c r="Q46" s="4"/>
    </row>
    <row r="47" spans="1:17" ht="15" customHeight="1" x14ac:dyDescent="0.3">
      <c r="A47" s="1"/>
      <c r="B47" s="1"/>
      <c r="C47" s="127" t="s">
        <v>132</v>
      </c>
      <c r="D47" s="128" t="s">
        <v>303</v>
      </c>
      <c r="E47" s="158" t="s">
        <v>456</v>
      </c>
      <c r="F47" s="158"/>
      <c r="G47" s="158"/>
      <c r="H47" s="158"/>
      <c r="I47" s="148" t="s">
        <v>126</v>
      </c>
      <c r="J47" s="201">
        <v>0</v>
      </c>
      <c r="K47" s="203">
        <v>0</v>
      </c>
      <c r="L47" s="146">
        <f>IFERROR(VLOOKUP(D47,TabelaIRON[[Linha de Serviço PPU]:[PREÇO UNITÁRIO ]],3,FALSE),"N/A")</f>
        <v>2.44</v>
      </c>
      <c r="M47" s="140">
        <f t="shared" si="1"/>
        <v>0</v>
      </c>
      <c r="N47" s="50"/>
      <c r="Q47" s="4"/>
    </row>
    <row r="48" spans="1:17" ht="30" customHeight="1" x14ac:dyDescent="0.3">
      <c r="A48" s="1"/>
      <c r="B48" s="1"/>
      <c r="C48" s="156" t="s">
        <v>134</v>
      </c>
      <c r="D48" s="157"/>
      <c r="E48" s="157"/>
      <c r="F48" s="157"/>
      <c r="G48" s="157"/>
      <c r="H48" s="157"/>
      <c r="I48" s="154"/>
      <c r="J48" s="204"/>
      <c r="K48" s="204"/>
      <c r="L48" s="56"/>
      <c r="M48" s="57">
        <f>SUM(M12:M47)</f>
        <v>43747.724399999999</v>
      </c>
      <c r="N48" s="50"/>
      <c r="Q48" s="4"/>
    </row>
    <row r="49" spans="1:17" ht="14.25" customHeight="1" x14ac:dyDescent="0.3">
      <c r="A49" s="1"/>
      <c r="B49" s="1"/>
      <c r="C49" s="159" t="s">
        <v>135</v>
      </c>
      <c r="D49" s="153"/>
      <c r="E49" s="153"/>
      <c r="F49" s="153"/>
      <c r="G49" s="153"/>
      <c r="H49" s="153"/>
      <c r="I49" s="154"/>
      <c r="J49" s="160" t="s">
        <v>136</v>
      </c>
      <c r="K49" s="153"/>
      <c r="L49" s="153"/>
      <c r="M49" s="153"/>
      <c r="N49" s="154"/>
      <c r="Q49" s="4"/>
    </row>
    <row r="50" spans="1:17" ht="45" customHeight="1" x14ac:dyDescent="0.3">
      <c r="A50" s="1"/>
      <c r="B50" s="1"/>
      <c r="C50" s="58"/>
      <c r="D50" s="59"/>
      <c r="E50" s="59"/>
      <c r="F50" s="59"/>
      <c r="G50" s="59"/>
      <c r="H50" s="60"/>
      <c r="I50" s="61"/>
      <c r="J50" s="160" t="s">
        <v>137</v>
      </c>
      <c r="K50" s="153"/>
      <c r="L50" s="153"/>
      <c r="M50" s="153"/>
      <c r="N50" s="154"/>
      <c r="Q50" s="4"/>
    </row>
    <row r="51" spans="1:17" ht="16.5" customHeight="1" x14ac:dyDescent="0.3">
      <c r="A51" s="1"/>
      <c r="B51" s="1"/>
      <c r="C51" s="161" t="s">
        <v>138</v>
      </c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4"/>
      <c r="Q51" s="4"/>
    </row>
    <row r="52" spans="1:17" ht="60" customHeight="1" x14ac:dyDescent="0.3">
      <c r="A52" s="1"/>
      <c r="B52" s="1"/>
      <c r="C52" s="152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4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187"/>
      <c r="K53" s="187"/>
      <c r="L53" s="2"/>
      <c r="M53" s="62"/>
      <c r="N53" s="3"/>
      <c r="Q53" s="4"/>
    </row>
    <row r="54" spans="1:17" ht="14.25" customHeight="1" x14ac:dyDescent="0.3">
      <c r="A54" s="1"/>
      <c r="B54" s="1"/>
      <c r="C54" s="2"/>
      <c r="D54" s="27" t="s">
        <v>140</v>
      </c>
      <c r="E54" s="27" t="s">
        <v>141</v>
      </c>
      <c r="F54" s="27" t="s">
        <v>142</v>
      </c>
      <c r="G54" s="27" t="s">
        <v>143</v>
      </c>
      <c r="H54" s="27"/>
      <c r="I54" s="27" t="s">
        <v>144</v>
      </c>
      <c r="J54" s="205" t="s">
        <v>145</v>
      </c>
      <c r="K54" s="206"/>
      <c r="L54" s="63"/>
      <c r="M54" s="63"/>
      <c r="N54" s="63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187"/>
      <c r="K55" s="187"/>
      <c r="L55" s="2"/>
      <c r="M55" s="62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187"/>
      <c r="K56" s="187"/>
      <c r="L56" s="2"/>
      <c r="M56" s="62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187"/>
      <c r="K57" s="187"/>
      <c r="L57" s="2"/>
      <c r="M57" s="62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187"/>
      <c r="K58" s="187"/>
      <c r="L58" s="2"/>
      <c r="M58" s="62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187"/>
      <c r="K59" s="187"/>
      <c r="L59" s="2"/>
      <c r="M59" s="62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187"/>
      <c r="K60" s="187"/>
      <c r="L60" s="2"/>
      <c r="M60" s="62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187"/>
      <c r="K61" s="187"/>
      <c r="L61" s="2"/>
      <c r="M61" s="62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187"/>
      <c r="K62" s="187"/>
      <c r="L62" s="2"/>
      <c r="M62" s="62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187"/>
      <c r="K63" s="187"/>
      <c r="L63" s="2"/>
      <c r="M63" s="62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187"/>
      <c r="K64" s="187"/>
      <c r="L64" s="2"/>
      <c r="M64" s="62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187"/>
      <c r="K65" s="187"/>
      <c r="L65" s="2"/>
      <c r="M65" s="62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187"/>
      <c r="K66" s="187"/>
      <c r="L66" s="2"/>
      <c r="M66" s="62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187"/>
      <c r="K67" s="187"/>
      <c r="L67" s="2"/>
      <c r="M67" s="62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187"/>
      <c r="K68" s="187"/>
      <c r="L68" s="2"/>
      <c r="M68" s="62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187"/>
      <c r="K69" s="187"/>
      <c r="L69" s="2"/>
      <c r="M69" s="62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187"/>
      <c r="K70" s="187"/>
      <c r="L70" s="2"/>
      <c r="M70" s="62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187"/>
      <c r="K71" s="187"/>
      <c r="L71" s="2"/>
      <c r="M71" s="62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187"/>
      <c r="K72" s="187"/>
      <c r="L72" s="2"/>
      <c r="M72" s="62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187"/>
      <c r="K73" s="187"/>
      <c r="L73" s="2"/>
      <c r="M73" s="62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187"/>
      <c r="K74" s="187"/>
      <c r="L74" s="2"/>
      <c r="M74" s="62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187"/>
      <c r="K75" s="187"/>
      <c r="L75" s="2"/>
      <c r="M75" s="62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187"/>
      <c r="K76" s="187"/>
      <c r="L76" s="2"/>
      <c r="M76" s="62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187"/>
      <c r="K77" s="187"/>
      <c r="L77" s="2"/>
      <c r="M77" s="62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187"/>
      <c r="K78" s="187"/>
      <c r="L78" s="2"/>
      <c r="M78" s="62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187"/>
      <c r="K79" s="187"/>
      <c r="L79" s="2"/>
      <c r="M79" s="62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187"/>
      <c r="K80" s="187"/>
      <c r="L80" s="2"/>
      <c r="M80" s="62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187"/>
      <c r="K81" s="187"/>
      <c r="L81" s="2"/>
      <c r="M81" s="62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187"/>
      <c r="K82" s="187"/>
      <c r="L82" s="2"/>
      <c r="M82" s="62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187"/>
      <c r="K83" s="187"/>
      <c r="L83" s="2"/>
      <c r="M83" s="62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187"/>
      <c r="K84" s="187"/>
      <c r="L84" s="2"/>
      <c r="M84" s="62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187"/>
      <c r="K85" s="187"/>
      <c r="L85" s="2"/>
      <c r="M85" s="62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187"/>
      <c r="K86" s="187"/>
      <c r="L86" s="2"/>
      <c r="M86" s="62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187"/>
      <c r="K87" s="187"/>
      <c r="L87" s="2"/>
      <c r="M87" s="62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187"/>
      <c r="K88" s="187"/>
      <c r="L88" s="2"/>
      <c r="M88" s="62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187"/>
      <c r="K89" s="187"/>
      <c r="L89" s="2"/>
      <c r="M89" s="62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187"/>
      <c r="K90" s="187"/>
      <c r="L90" s="2"/>
      <c r="M90" s="62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187"/>
      <c r="K91" s="187"/>
      <c r="L91" s="2"/>
      <c r="M91" s="62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187"/>
      <c r="K92" s="187"/>
      <c r="L92" s="2"/>
      <c r="M92" s="62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187"/>
      <c r="K93" s="187"/>
      <c r="L93" s="2"/>
      <c r="M93" s="62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187"/>
      <c r="K94" s="187"/>
      <c r="L94" s="2"/>
      <c r="M94" s="62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187"/>
      <c r="K95" s="187"/>
      <c r="L95" s="2"/>
      <c r="M95" s="62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187"/>
      <c r="K96" s="187"/>
      <c r="L96" s="2"/>
      <c r="M96" s="62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187"/>
      <c r="K97" s="187"/>
      <c r="L97" s="2"/>
      <c r="M97" s="62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187"/>
      <c r="K98" s="187"/>
      <c r="L98" s="2"/>
      <c r="M98" s="62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187"/>
      <c r="K99" s="187"/>
      <c r="L99" s="2"/>
      <c r="M99" s="62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187"/>
      <c r="K100" s="187"/>
      <c r="L100" s="2"/>
      <c r="M100" s="62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187"/>
      <c r="K101" s="187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187"/>
      <c r="K102" s="187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187"/>
      <c r="K103" s="187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187"/>
      <c r="K104" s="187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187"/>
      <c r="K105" s="187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187"/>
      <c r="K106" s="187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187"/>
      <c r="K107" s="187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187"/>
      <c r="K108" s="187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187"/>
      <c r="K109" s="187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187"/>
      <c r="K110" s="187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187"/>
      <c r="K111" s="187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187"/>
      <c r="K112" s="187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187"/>
      <c r="K113" s="187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187"/>
      <c r="K114" s="187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187"/>
      <c r="K115" s="187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187"/>
      <c r="K116" s="187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187"/>
      <c r="K117" s="187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187"/>
      <c r="K118" s="187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187"/>
      <c r="K119" s="187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187"/>
      <c r="K120" s="187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187"/>
      <c r="K121" s="187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187"/>
      <c r="K122" s="187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187"/>
      <c r="K123" s="187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187"/>
      <c r="K124" s="187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187"/>
      <c r="K125" s="187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187"/>
      <c r="K126" s="187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187"/>
      <c r="K127" s="187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187"/>
      <c r="K128" s="187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187"/>
      <c r="K129" s="187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187"/>
      <c r="K130" s="187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187"/>
      <c r="K131" s="187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187"/>
      <c r="K132" s="187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187"/>
      <c r="K133" s="187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187"/>
      <c r="K134" s="187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187"/>
      <c r="K135" s="187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187"/>
      <c r="K136" s="187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187"/>
      <c r="K137" s="187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187"/>
      <c r="K138" s="187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187"/>
      <c r="K139" s="187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187"/>
      <c r="K140" s="187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187"/>
      <c r="K141" s="187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187"/>
      <c r="K142" s="187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187"/>
      <c r="K143" s="187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187"/>
      <c r="K144" s="187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187"/>
      <c r="K145" s="187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187"/>
      <c r="K146" s="187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187"/>
      <c r="K147" s="187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187"/>
      <c r="K148" s="187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187"/>
      <c r="K149" s="187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187"/>
      <c r="K150" s="187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187"/>
      <c r="K151" s="187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187"/>
      <c r="K152" s="187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187"/>
      <c r="K153" s="187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187"/>
      <c r="K154" s="187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187"/>
      <c r="K155" s="187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187"/>
      <c r="K156" s="187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187"/>
      <c r="K157" s="187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187"/>
      <c r="K158" s="187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187"/>
      <c r="K159" s="187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187"/>
      <c r="K160" s="187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187"/>
      <c r="K161" s="187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187"/>
      <c r="K162" s="187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187"/>
      <c r="K163" s="187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187"/>
      <c r="K164" s="187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187"/>
      <c r="K165" s="187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187"/>
      <c r="K166" s="187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187"/>
      <c r="K167" s="187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187"/>
      <c r="K168" s="187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187"/>
      <c r="K169" s="187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187"/>
      <c r="K170" s="187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187"/>
      <c r="K171" s="187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187"/>
      <c r="K172" s="187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187"/>
      <c r="K173" s="187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187"/>
      <c r="K174" s="187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187"/>
      <c r="K175" s="187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187"/>
      <c r="K176" s="187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187"/>
      <c r="K177" s="187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187"/>
      <c r="K178" s="187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187"/>
      <c r="K179" s="187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187"/>
      <c r="K180" s="187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187"/>
      <c r="K181" s="187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187"/>
      <c r="K182" s="187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187"/>
      <c r="K183" s="187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187"/>
      <c r="K184" s="187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187"/>
      <c r="K185" s="187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187"/>
      <c r="K186" s="187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187"/>
      <c r="K187" s="187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187"/>
      <c r="K188" s="187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187"/>
      <c r="K189" s="187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187"/>
      <c r="K190" s="187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187"/>
      <c r="K191" s="187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187"/>
      <c r="K192" s="187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187"/>
      <c r="K193" s="187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187"/>
      <c r="K194" s="187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187"/>
      <c r="K195" s="187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187"/>
      <c r="K196" s="187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187"/>
      <c r="K197" s="187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187"/>
      <c r="K198" s="187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187"/>
      <c r="K199" s="187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187"/>
      <c r="K200" s="187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187"/>
      <c r="K201" s="187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187"/>
      <c r="K202" s="187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187"/>
      <c r="K203" s="187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187"/>
      <c r="K204" s="187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187"/>
      <c r="K205" s="187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187"/>
      <c r="K206" s="187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187"/>
      <c r="K207" s="187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187"/>
      <c r="K208" s="187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187"/>
      <c r="K209" s="187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187"/>
      <c r="K210" s="187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187"/>
      <c r="K211" s="187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187"/>
      <c r="K212" s="187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187"/>
      <c r="K213" s="187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187"/>
      <c r="K214" s="187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187"/>
      <c r="K215" s="187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187"/>
      <c r="K216" s="187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187"/>
      <c r="K217" s="187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187"/>
      <c r="K218" s="187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187"/>
      <c r="K219" s="187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187"/>
      <c r="K220" s="187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187"/>
      <c r="K221" s="187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187"/>
      <c r="K222" s="187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187"/>
      <c r="K223" s="187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187"/>
      <c r="K224" s="187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187"/>
      <c r="K225" s="187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187"/>
      <c r="K226" s="187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187"/>
      <c r="K227" s="187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187"/>
      <c r="K228" s="187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187"/>
      <c r="K229" s="187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187"/>
      <c r="K230" s="187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187"/>
      <c r="K231" s="187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187"/>
      <c r="K232" s="187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187"/>
      <c r="K233" s="187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187"/>
      <c r="K234" s="187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187"/>
      <c r="K235" s="187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187"/>
      <c r="K236" s="187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187"/>
      <c r="K237" s="187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187"/>
      <c r="K238" s="187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187"/>
      <c r="K239" s="187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187"/>
      <c r="K240" s="187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187"/>
      <c r="K241" s="187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187"/>
      <c r="K242" s="187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187"/>
      <c r="K243" s="187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187"/>
      <c r="K244" s="187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187"/>
      <c r="K245" s="187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187"/>
      <c r="K246" s="187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187"/>
      <c r="K247" s="187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187"/>
      <c r="K248" s="187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187"/>
      <c r="K249" s="187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187"/>
      <c r="K250" s="187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187"/>
      <c r="K251" s="187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187"/>
      <c r="K252" s="187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187"/>
      <c r="K253" s="187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187"/>
      <c r="K254" s="187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187"/>
      <c r="K255" s="187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187"/>
      <c r="K256" s="187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187"/>
      <c r="K257" s="187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187"/>
      <c r="K258" s="187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187"/>
      <c r="K259" s="187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187"/>
      <c r="K260" s="187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187"/>
      <c r="K261" s="187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187"/>
      <c r="K262" s="187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187"/>
      <c r="K263" s="187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187"/>
      <c r="K264" s="187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187"/>
      <c r="K265" s="187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187"/>
      <c r="K266" s="187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187"/>
      <c r="K267" s="187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187"/>
      <c r="K268" s="187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187"/>
      <c r="K269" s="187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187"/>
      <c r="K270" s="187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187"/>
      <c r="K271" s="187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187"/>
      <c r="K272" s="187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187"/>
      <c r="K273" s="187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187"/>
      <c r="K274" s="187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187"/>
      <c r="K275" s="187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187"/>
      <c r="K276" s="187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187"/>
      <c r="K277" s="187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187"/>
      <c r="K278" s="187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187"/>
      <c r="K279" s="187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187"/>
      <c r="K280" s="187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187"/>
      <c r="K281" s="187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187"/>
      <c r="K282" s="187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187"/>
      <c r="K283" s="187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187"/>
      <c r="K284" s="187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187"/>
      <c r="K285" s="187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187"/>
      <c r="K286" s="187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187"/>
      <c r="K287" s="187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187"/>
      <c r="K288" s="187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187"/>
      <c r="K289" s="187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187"/>
      <c r="K290" s="187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187"/>
      <c r="K291" s="187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187"/>
      <c r="K292" s="187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187"/>
      <c r="K293" s="187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187"/>
      <c r="K294" s="187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187"/>
      <c r="K295" s="187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187"/>
      <c r="K296" s="187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187"/>
      <c r="K297" s="187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187"/>
      <c r="K298" s="187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187"/>
      <c r="K299" s="187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187"/>
      <c r="K300" s="187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187"/>
      <c r="K301" s="187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187"/>
      <c r="K302" s="187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187"/>
      <c r="K303" s="187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187"/>
      <c r="K304" s="187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187"/>
      <c r="K305" s="187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187"/>
      <c r="K306" s="187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187"/>
      <c r="K307" s="187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187"/>
      <c r="K308" s="187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187"/>
      <c r="K309" s="187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187"/>
      <c r="K310" s="187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187"/>
      <c r="K311" s="187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187"/>
      <c r="K312" s="187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187"/>
      <c r="K313" s="187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187"/>
      <c r="K314" s="187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187"/>
      <c r="K315" s="187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187"/>
      <c r="K316" s="187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187"/>
      <c r="K317" s="187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187"/>
      <c r="K318" s="187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187"/>
      <c r="K319" s="187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187"/>
      <c r="K320" s="187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187"/>
      <c r="K321" s="187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187"/>
      <c r="K322" s="187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187"/>
      <c r="K323" s="187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187"/>
      <c r="K324" s="187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187"/>
      <c r="K325" s="187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187"/>
      <c r="K326" s="187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187"/>
      <c r="K327" s="187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187"/>
      <c r="K328" s="187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187"/>
      <c r="K329" s="187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187"/>
      <c r="K330" s="187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187"/>
      <c r="K331" s="187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187"/>
      <c r="K332" s="187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187"/>
      <c r="K333" s="187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187"/>
      <c r="K334" s="187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187"/>
      <c r="K335" s="187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187"/>
      <c r="K336" s="187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187"/>
      <c r="K337" s="187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187"/>
      <c r="K338" s="187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187"/>
      <c r="K339" s="187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187"/>
      <c r="K340" s="187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187"/>
      <c r="K341" s="187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187"/>
      <c r="K342" s="187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187"/>
      <c r="K343" s="187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187"/>
      <c r="K344" s="187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187"/>
      <c r="K345" s="187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187"/>
      <c r="K346" s="187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187"/>
      <c r="K347" s="187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187"/>
      <c r="K348" s="187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187"/>
      <c r="K349" s="187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187"/>
      <c r="K350" s="187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187"/>
      <c r="K351" s="187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187"/>
      <c r="K352" s="187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187"/>
      <c r="K353" s="187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187"/>
      <c r="K354" s="187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187"/>
      <c r="K355" s="187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187"/>
      <c r="K356" s="187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187"/>
      <c r="K357" s="187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187"/>
      <c r="K358" s="187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187"/>
      <c r="K359" s="187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187"/>
      <c r="K360" s="187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187"/>
      <c r="K361" s="187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187"/>
      <c r="K362" s="187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187"/>
      <c r="K363" s="187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187"/>
      <c r="K364" s="187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187"/>
      <c r="K365" s="187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187"/>
      <c r="K366" s="187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187"/>
      <c r="K367" s="187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187"/>
      <c r="K368" s="187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187"/>
      <c r="K369" s="187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187"/>
      <c r="K370" s="187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187"/>
      <c r="K371" s="187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187"/>
      <c r="K372" s="187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187"/>
      <c r="K373" s="187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187"/>
      <c r="K374" s="187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187"/>
      <c r="K375" s="187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187"/>
      <c r="K376" s="187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187"/>
      <c r="K377" s="187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187"/>
      <c r="K378" s="187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187"/>
      <c r="K379" s="187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187"/>
      <c r="K380" s="187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187"/>
      <c r="K381" s="187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187"/>
      <c r="K382" s="187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187"/>
      <c r="K383" s="187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187"/>
      <c r="K384" s="187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187"/>
      <c r="K385" s="187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187"/>
      <c r="K386" s="187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187"/>
      <c r="K387" s="187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187"/>
      <c r="K388" s="187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187"/>
      <c r="K389" s="187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187"/>
      <c r="K390" s="187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187"/>
      <c r="K391" s="187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187"/>
      <c r="K392" s="187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187"/>
      <c r="K393" s="187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187"/>
      <c r="K394" s="187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187"/>
      <c r="K395" s="187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187"/>
      <c r="K396" s="187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187"/>
      <c r="K397" s="187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187"/>
      <c r="K398" s="187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187"/>
      <c r="K399" s="187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187"/>
      <c r="K400" s="187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187"/>
      <c r="K401" s="187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187"/>
      <c r="K402" s="187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187"/>
      <c r="K403" s="187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187"/>
      <c r="K404" s="187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187"/>
      <c r="K405" s="187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187"/>
      <c r="K406" s="187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187"/>
      <c r="K407" s="187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187"/>
      <c r="K408" s="187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187"/>
      <c r="K409" s="187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187"/>
      <c r="K410" s="187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187"/>
      <c r="K411" s="187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187"/>
      <c r="K412" s="187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187"/>
      <c r="K413" s="187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187"/>
      <c r="K414" s="187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187"/>
      <c r="K415" s="187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187"/>
      <c r="K416" s="187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187"/>
      <c r="K417" s="187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187"/>
      <c r="K418" s="187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187"/>
      <c r="K419" s="187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187"/>
      <c r="K420" s="187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187"/>
      <c r="K421" s="187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187"/>
      <c r="K422" s="187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187"/>
      <c r="K423" s="187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187"/>
      <c r="K424" s="187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187"/>
      <c r="K425" s="187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187"/>
      <c r="K426" s="187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187"/>
      <c r="K427" s="187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187"/>
      <c r="K428" s="187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187"/>
      <c r="K429" s="187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187"/>
      <c r="K430" s="187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187"/>
      <c r="K431" s="187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187"/>
      <c r="K432" s="187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187"/>
      <c r="K433" s="187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187"/>
      <c r="K434" s="187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187"/>
      <c r="K435" s="187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187"/>
      <c r="K436" s="187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187"/>
      <c r="K437" s="187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187"/>
      <c r="K438" s="187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187"/>
      <c r="K439" s="187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187"/>
      <c r="K440" s="187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187"/>
      <c r="K441" s="187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187"/>
      <c r="K442" s="187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187"/>
      <c r="K443" s="187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187"/>
      <c r="K444" s="187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187"/>
      <c r="K445" s="187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187"/>
      <c r="K446" s="187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187"/>
      <c r="K447" s="187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187"/>
      <c r="K448" s="187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187"/>
      <c r="K449" s="187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187"/>
      <c r="K450" s="187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187"/>
      <c r="K451" s="187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187"/>
      <c r="K452" s="187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187"/>
      <c r="K453" s="187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187"/>
      <c r="K454" s="187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187"/>
      <c r="K455" s="187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187"/>
      <c r="K456" s="187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187"/>
      <c r="K457" s="187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187"/>
      <c r="K458" s="187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187"/>
      <c r="K459" s="187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187"/>
      <c r="K460" s="187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187"/>
      <c r="K461" s="187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187"/>
      <c r="K462" s="187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187"/>
      <c r="K463" s="187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187"/>
      <c r="K464" s="187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187"/>
      <c r="K465" s="187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187"/>
      <c r="K466" s="187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187"/>
      <c r="K467" s="187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187"/>
      <c r="K468" s="187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187"/>
      <c r="K469" s="187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187"/>
      <c r="K470" s="187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187"/>
      <c r="K471" s="187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187"/>
      <c r="K472" s="187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187"/>
      <c r="K473" s="187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187"/>
      <c r="K474" s="187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187"/>
      <c r="K475" s="187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187"/>
      <c r="K476" s="187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187"/>
      <c r="K477" s="187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187"/>
      <c r="K478" s="187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187"/>
      <c r="K479" s="187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187"/>
      <c r="K480" s="187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187"/>
      <c r="K481" s="187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187"/>
      <c r="K482" s="187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187"/>
      <c r="K483" s="187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187"/>
      <c r="K484" s="187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187"/>
      <c r="K485" s="187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187"/>
      <c r="K486" s="187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187"/>
      <c r="K487" s="187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187"/>
      <c r="K488" s="187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187"/>
      <c r="K489" s="187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187"/>
      <c r="K490" s="187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187"/>
      <c r="K491" s="187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187"/>
      <c r="K492" s="187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187"/>
      <c r="K493" s="187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187"/>
      <c r="K494" s="187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187"/>
      <c r="K495" s="187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187"/>
      <c r="K496" s="187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187"/>
      <c r="K497" s="187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187"/>
      <c r="K498" s="187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187"/>
      <c r="K499" s="187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187"/>
      <c r="K500" s="187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187"/>
      <c r="K501" s="187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187"/>
      <c r="K502" s="187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187"/>
      <c r="K503" s="187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187"/>
      <c r="K504" s="187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187"/>
      <c r="K505" s="187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187"/>
      <c r="K506" s="187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187"/>
      <c r="K507" s="187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187"/>
      <c r="K508" s="187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187"/>
      <c r="K509" s="187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187"/>
      <c r="K510" s="187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187"/>
      <c r="K511" s="187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187"/>
      <c r="K512" s="187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187"/>
      <c r="K513" s="187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187"/>
      <c r="K514" s="187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187"/>
      <c r="K515" s="187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187"/>
      <c r="K516" s="187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187"/>
      <c r="K517" s="187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187"/>
      <c r="K518" s="187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187"/>
      <c r="K519" s="187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187"/>
      <c r="K520" s="187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187"/>
      <c r="K521" s="187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187"/>
      <c r="K522" s="187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187"/>
      <c r="K523" s="187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187"/>
      <c r="K524" s="187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187"/>
      <c r="K525" s="187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187"/>
      <c r="K526" s="187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187"/>
      <c r="K527" s="187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187"/>
      <c r="K528" s="187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187"/>
      <c r="K529" s="187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187"/>
      <c r="K530" s="187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187"/>
      <c r="K531" s="187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187"/>
      <c r="K532" s="187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187"/>
      <c r="K533" s="187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187"/>
      <c r="K534" s="187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187"/>
      <c r="K535" s="187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187"/>
      <c r="K536" s="187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187"/>
      <c r="K537" s="187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187"/>
      <c r="K538" s="187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187"/>
      <c r="K539" s="187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187"/>
      <c r="K540" s="187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187"/>
      <c r="K541" s="187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187"/>
      <c r="K542" s="187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187"/>
      <c r="K543" s="187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187"/>
      <c r="K544" s="187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187"/>
      <c r="K545" s="187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187"/>
      <c r="K546" s="187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187"/>
      <c r="K547" s="187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187"/>
      <c r="K548" s="187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187"/>
      <c r="K549" s="187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187"/>
      <c r="K550" s="187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187"/>
      <c r="K551" s="187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187"/>
      <c r="K552" s="187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187"/>
      <c r="K553" s="187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187"/>
      <c r="K554" s="187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187"/>
      <c r="K555" s="187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187"/>
      <c r="K556" s="187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187"/>
      <c r="K557" s="187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187"/>
      <c r="K558" s="187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187"/>
      <c r="K559" s="187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187"/>
      <c r="K560" s="187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187"/>
      <c r="K561" s="187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187"/>
      <c r="K562" s="187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187"/>
      <c r="K563" s="187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187"/>
      <c r="K564" s="187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187"/>
      <c r="K565" s="187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187"/>
      <c r="K566" s="187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187"/>
      <c r="K567" s="187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187"/>
      <c r="K568" s="187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187"/>
      <c r="K569" s="187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187"/>
      <c r="K570" s="187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187"/>
      <c r="K571" s="187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187"/>
      <c r="K572" s="187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187"/>
      <c r="K573" s="187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187"/>
      <c r="K574" s="187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187"/>
      <c r="K575" s="187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187"/>
      <c r="K576" s="187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187"/>
      <c r="K577" s="187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187"/>
      <c r="K578" s="187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187"/>
      <c r="K579" s="187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187"/>
      <c r="K580" s="187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187"/>
      <c r="K581" s="187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187"/>
      <c r="K582" s="187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187"/>
      <c r="K583" s="187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187"/>
      <c r="K584" s="187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187"/>
      <c r="K585" s="187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187"/>
      <c r="K586" s="187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187"/>
      <c r="K587" s="187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187"/>
      <c r="K588" s="187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187"/>
      <c r="K589" s="187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187"/>
      <c r="K590" s="187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187"/>
      <c r="K591" s="187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187"/>
      <c r="K592" s="187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187"/>
      <c r="K593" s="187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187"/>
      <c r="K594" s="187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187"/>
      <c r="K595" s="187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187"/>
      <c r="K596" s="187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187"/>
      <c r="K597" s="187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187"/>
      <c r="K598" s="187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187"/>
      <c r="K599" s="187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187"/>
      <c r="K600" s="187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187"/>
      <c r="K601" s="187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187"/>
      <c r="K602" s="187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187"/>
      <c r="K603" s="187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187"/>
      <c r="K604" s="187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187"/>
      <c r="K605" s="187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187"/>
      <c r="K606" s="187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187"/>
      <c r="K607" s="187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187"/>
      <c r="K608" s="187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187"/>
      <c r="K609" s="187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187"/>
      <c r="K610" s="187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187"/>
      <c r="K611" s="187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187"/>
      <c r="K612" s="187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187"/>
      <c r="K613" s="187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187"/>
      <c r="K614" s="187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187"/>
      <c r="K615" s="187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187"/>
      <c r="K616" s="187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187"/>
      <c r="K617" s="187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187"/>
      <c r="K618" s="187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187"/>
      <c r="K619" s="187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187"/>
      <c r="K620" s="187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187"/>
      <c r="K621" s="187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187"/>
      <c r="K622" s="187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187"/>
      <c r="K623" s="187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187"/>
      <c r="K624" s="187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187"/>
      <c r="K625" s="187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187"/>
      <c r="K626" s="187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187"/>
      <c r="K627" s="187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187"/>
      <c r="K628" s="187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187"/>
      <c r="K629" s="187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187"/>
      <c r="K630" s="187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187"/>
      <c r="K631" s="187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187"/>
      <c r="K632" s="187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187"/>
      <c r="K633" s="187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187"/>
      <c r="K634" s="187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187"/>
      <c r="K635" s="187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187"/>
      <c r="K636" s="187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187"/>
      <c r="K637" s="187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187"/>
      <c r="K638" s="187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187"/>
      <c r="K639" s="187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187"/>
      <c r="K640" s="187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187"/>
      <c r="K641" s="187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187"/>
      <c r="K642" s="187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187"/>
      <c r="K643" s="187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187"/>
      <c r="K644" s="187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187"/>
      <c r="K645" s="187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187"/>
      <c r="K646" s="187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187"/>
      <c r="K647" s="187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187"/>
      <c r="K648" s="187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187"/>
      <c r="K649" s="187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187"/>
      <c r="K650" s="187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187"/>
      <c r="K651" s="187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187"/>
      <c r="K652" s="187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187"/>
      <c r="K653" s="187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187"/>
      <c r="K654" s="187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187"/>
      <c r="K655" s="187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187"/>
      <c r="K656" s="187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187"/>
      <c r="K657" s="187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187"/>
      <c r="K658" s="187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187"/>
      <c r="K659" s="187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187"/>
      <c r="K660" s="187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187"/>
      <c r="K661" s="187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187"/>
      <c r="K662" s="187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187"/>
      <c r="K663" s="187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187"/>
      <c r="K664" s="187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187"/>
      <c r="K665" s="187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187"/>
      <c r="K666" s="187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187"/>
      <c r="K667" s="187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187"/>
      <c r="K668" s="187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187"/>
      <c r="K669" s="187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187"/>
      <c r="K670" s="187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187"/>
      <c r="K671" s="187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187"/>
      <c r="K672" s="187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187"/>
      <c r="K673" s="187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187"/>
      <c r="K674" s="187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187"/>
      <c r="K675" s="187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187"/>
      <c r="K676" s="187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187"/>
      <c r="K677" s="187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187"/>
      <c r="K678" s="187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187"/>
      <c r="K679" s="187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187"/>
      <c r="K680" s="187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187"/>
      <c r="K681" s="187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187"/>
      <c r="K682" s="187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187"/>
      <c r="K683" s="187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187"/>
      <c r="K684" s="187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187"/>
      <c r="K685" s="187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187"/>
      <c r="K686" s="187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187"/>
      <c r="K687" s="187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187"/>
      <c r="K688" s="187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187"/>
      <c r="K689" s="187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187"/>
      <c r="K690" s="187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187"/>
      <c r="K691" s="187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187"/>
      <c r="K692" s="187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187"/>
      <c r="K693" s="187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187"/>
      <c r="K694" s="187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187"/>
      <c r="K695" s="187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187"/>
      <c r="K696" s="187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187"/>
      <c r="K697" s="187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187"/>
      <c r="K698" s="187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187"/>
      <c r="K699" s="187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187"/>
      <c r="K700" s="187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187"/>
      <c r="K701" s="187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187"/>
      <c r="K702" s="187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187"/>
      <c r="K703" s="187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187"/>
      <c r="K704" s="187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187"/>
      <c r="K705" s="187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187"/>
      <c r="K706" s="187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187"/>
      <c r="K707" s="187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187"/>
      <c r="K708" s="187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187"/>
      <c r="K709" s="187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187"/>
      <c r="K710" s="187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187"/>
      <c r="K711" s="187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187"/>
      <c r="K712" s="187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187"/>
      <c r="K713" s="187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187"/>
      <c r="K714" s="187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187"/>
      <c r="K715" s="187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187"/>
      <c r="K716" s="187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187"/>
      <c r="K717" s="187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187"/>
      <c r="K718" s="187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187"/>
      <c r="K719" s="187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187"/>
      <c r="K720" s="187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187"/>
      <c r="K721" s="187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187"/>
      <c r="K722" s="187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187"/>
      <c r="K723" s="187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187"/>
      <c r="K724" s="187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187"/>
      <c r="K725" s="187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187"/>
      <c r="K726" s="187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187"/>
      <c r="K727" s="187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187"/>
      <c r="K728" s="187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187"/>
      <c r="K729" s="187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187"/>
      <c r="K730" s="187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187"/>
      <c r="K731" s="187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187"/>
      <c r="K732" s="187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187"/>
      <c r="K733" s="187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187"/>
      <c r="K734" s="187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187"/>
      <c r="K735" s="187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187"/>
      <c r="K736" s="187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187"/>
      <c r="K737" s="187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187"/>
      <c r="K738" s="187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187"/>
      <c r="K739" s="187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187"/>
      <c r="K740" s="187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187"/>
      <c r="K741" s="187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187"/>
      <c r="K742" s="187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187"/>
      <c r="K743" s="187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187"/>
      <c r="K744" s="187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187"/>
      <c r="K745" s="187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187"/>
      <c r="K746" s="187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187"/>
      <c r="K747" s="187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187"/>
      <c r="K748" s="187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187"/>
      <c r="K749" s="187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187"/>
      <c r="K750" s="187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187"/>
      <c r="K751" s="187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187"/>
      <c r="K752" s="187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187"/>
      <c r="K753" s="187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187"/>
      <c r="K754" s="187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187"/>
      <c r="K755" s="187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187"/>
      <c r="K756" s="187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187"/>
      <c r="K757" s="187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187"/>
      <c r="K758" s="187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187"/>
      <c r="K759" s="187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187"/>
      <c r="K760" s="187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187"/>
      <c r="K761" s="187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187"/>
      <c r="K762" s="187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187"/>
      <c r="K763" s="187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187"/>
      <c r="K764" s="187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187"/>
      <c r="K765" s="187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187"/>
      <c r="K766" s="187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187"/>
      <c r="K767" s="187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187"/>
      <c r="K768" s="187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187"/>
      <c r="K769" s="187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187"/>
      <c r="K770" s="187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187"/>
      <c r="K771" s="187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187"/>
      <c r="K772" s="187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187"/>
      <c r="K773" s="187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187"/>
      <c r="K774" s="187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187"/>
      <c r="K775" s="187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187"/>
      <c r="K776" s="187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187"/>
      <c r="K777" s="187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187"/>
      <c r="K778" s="187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187"/>
      <c r="K779" s="187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187"/>
      <c r="K780" s="187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187"/>
      <c r="K781" s="187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187"/>
      <c r="K782" s="187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187"/>
      <c r="K783" s="187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187"/>
      <c r="K784" s="187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187"/>
      <c r="K785" s="187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187"/>
      <c r="K786" s="187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187"/>
      <c r="K787" s="187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187"/>
      <c r="K788" s="187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187"/>
      <c r="K789" s="187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187"/>
      <c r="K790" s="187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187"/>
      <c r="K791" s="187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187"/>
      <c r="K792" s="187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187"/>
      <c r="K793" s="187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187"/>
      <c r="K794" s="187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187"/>
      <c r="K795" s="187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187"/>
      <c r="K796" s="187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187"/>
      <c r="K797" s="187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187"/>
      <c r="K798" s="187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187"/>
      <c r="K799" s="187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187"/>
      <c r="K800" s="187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187"/>
      <c r="K801" s="187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187"/>
      <c r="K802" s="187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187"/>
      <c r="K803" s="187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187"/>
      <c r="K804" s="187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187"/>
      <c r="K805" s="187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187"/>
      <c r="K806" s="187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187"/>
      <c r="K807" s="187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187"/>
      <c r="K808" s="187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187"/>
      <c r="K809" s="187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187"/>
      <c r="K810" s="187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187"/>
      <c r="K811" s="187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187"/>
      <c r="K812" s="187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187"/>
      <c r="K813" s="187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187"/>
      <c r="K814" s="187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187"/>
      <c r="K815" s="187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187"/>
      <c r="K816" s="187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187"/>
      <c r="K817" s="187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187"/>
      <c r="K818" s="187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187"/>
      <c r="K819" s="187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187"/>
      <c r="K820" s="187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187"/>
      <c r="K821" s="187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187"/>
      <c r="K822" s="187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187"/>
      <c r="K823" s="187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187"/>
      <c r="K824" s="187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187"/>
      <c r="K825" s="187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187"/>
      <c r="K826" s="187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187"/>
      <c r="K827" s="187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187"/>
      <c r="K828" s="187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187"/>
      <c r="K829" s="187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187"/>
      <c r="K830" s="187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187"/>
      <c r="K831" s="187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187"/>
      <c r="K832" s="187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187"/>
      <c r="K833" s="187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187"/>
      <c r="K834" s="187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187"/>
      <c r="K835" s="187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187"/>
      <c r="K836" s="187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187"/>
      <c r="K837" s="187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187"/>
      <c r="K838" s="187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187"/>
      <c r="K839" s="187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187"/>
      <c r="K840" s="187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187"/>
      <c r="K841" s="187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187"/>
      <c r="K842" s="187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187"/>
      <c r="K843" s="187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187"/>
      <c r="K844" s="187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187"/>
      <c r="K845" s="187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187"/>
      <c r="K846" s="187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187"/>
      <c r="K847" s="187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187"/>
      <c r="K848" s="187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187"/>
      <c r="K849" s="187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187"/>
      <c r="K850" s="187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187"/>
      <c r="K851" s="187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187"/>
      <c r="K852" s="187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187"/>
      <c r="K853" s="187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187"/>
      <c r="K854" s="187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187"/>
      <c r="K855" s="187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187"/>
      <c r="K856" s="187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187"/>
      <c r="K857" s="187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187"/>
      <c r="K858" s="187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187"/>
      <c r="K859" s="187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187"/>
      <c r="K860" s="187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187"/>
      <c r="K861" s="187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187"/>
      <c r="K862" s="187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187"/>
      <c r="K863" s="187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187"/>
      <c r="K864" s="187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187"/>
      <c r="K865" s="187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187"/>
      <c r="K866" s="187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187"/>
      <c r="K867" s="187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187"/>
      <c r="K868" s="187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187"/>
      <c r="K869" s="187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187"/>
      <c r="K870" s="187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187"/>
      <c r="K871" s="187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187"/>
      <c r="K872" s="187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187"/>
      <c r="K873" s="187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187"/>
      <c r="K874" s="187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187"/>
      <c r="K875" s="187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187"/>
      <c r="K876" s="187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187"/>
      <c r="K877" s="187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187"/>
      <c r="K878" s="187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187"/>
      <c r="K879" s="187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187"/>
      <c r="K880" s="187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187"/>
      <c r="K881" s="187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187"/>
      <c r="K882" s="187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187"/>
      <c r="K883" s="187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187"/>
      <c r="K884" s="187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187"/>
      <c r="K885" s="187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187"/>
      <c r="K886" s="187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187"/>
      <c r="K887" s="187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187"/>
      <c r="K888" s="187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187"/>
      <c r="K889" s="187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187"/>
      <c r="K890" s="187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187"/>
      <c r="K891" s="187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187"/>
      <c r="K892" s="187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187"/>
      <c r="K893" s="187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187"/>
      <c r="K894" s="187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187"/>
      <c r="K895" s="187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187"/>
      <c r="K896" s="187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187"/>
      <c r="K897" s="187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187"/>
      <c r="K898" s="187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187"/>
      <c r="K899" s="187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187"/>
      <c r="K900" s="187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187"/>
      <c r="K901" s="187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187"/>
      <c r="K902" s="187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187"/>
      <c r="K903" s="187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187"/>
      <c r="K904" s="187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187"/>
      <c r="K905" s="187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187"/>
      <c r="K906" s="187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187"/>
      <c r="K907" s="187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187"/>
      <c r="K908" s="187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187"/>
      <c r="K909" s="187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187"/>
      <c r="K910" s="187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187"/>
      <c r="K911" s="187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187"/>
      <c r="K912" s="187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187"/>
      <c r="K913" s="187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187"/>
      <c r="K914" s="187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187"/>
      <c r="K915" s="187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187"/>
      <c r="K916" s="187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187"/>
      <c r="K917" s="187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187"/>
      <c r="K918" s="187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187"/>
      <c r="K919" s="187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187"/>
      <c r="K920" s="187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187"/>
      <c r="K921" s="187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187"/>
      <c r="K922" s="187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187"/>
      <c r="K923" s="187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187"/>
      <c r="K924" s="187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187"/>
      <c r="K925" s="187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187"/>
      <c r="K926" s="187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187"/>
      <c r="K927" s="187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187"/>
      <c r="K928" s="187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187"/>
      <c r="K929" s="187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187"/>
      <c r="K930" s="187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187"/>
      <c r="K931" s="187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187"/>
      <c r="K932" s="187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187"/>
      <c r="K933" s="187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187"/>
      <c r="K934" s="187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187"/>
      <c r="K935" s="187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187"/>
      <c r="K936" s="187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187"/>
      <c r="K937" s="187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187"/>
      <c r="K938" s="187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187"/>
      <c r="K939" s="187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187"/>
      <c r="K940" s="187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187"/>
      <c r="K941" s="187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187"/>
      <c r="K942" s="187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187"/>
      <c r="K943" s="187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187"/>
      <c r="K944" s="187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187"/>
      <c r="K945" s="187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187"/>
      <c r="K946" s="187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187"/>
      <c r="K947" s="187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187"/>
      <c r="K948" s="187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187"/>
      <c r="K949" s="187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187"/>
      <c r="K950" s="187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187"/>
      <c r="K951" s="187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187"/>
      <c r="K952" s="187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187"/>
      <c r="K953" s="187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187"/>
      <c r="K954" s="187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187"/>
      <c r="K955" s="187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187"/>
      <c r="K956" s="187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187"/>
      <c r="K957" s="187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187"/>
      <c r="K958" s="187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187"/>
      <c r="K959" s="187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187"/>
      <c r="K960" s="187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187"/>
      <c r="K961" s="187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187"/>
      <c r="K962" s="187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187"/>
      <c r="K963" s="187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187"/>
      <c r="K964" s="187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187"/>
      <c r="K965" s="187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187"/>
      <c r="K966" s="187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187"/>
      <c r="K967" s="187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187"/>
      <c r="K968" s="187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187"/>
      <c r="K969" s="187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187"/>
      <c r="K970" s="187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187"/>
      <c r="K971" s="187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187"/>
      <c r="K972" s="187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187"/>
      <c r="K973" s="187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187"/>
      <c r="K974" s="187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187"/>
      <c r="K975" s="187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187"/>
      <c r="K976" s="187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187"/>
      <c r="K977" s="187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187"/>
      <c r="K978" s="187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187"/>
      <c r="K979" s="187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187"/>
      <c r="K980" s="187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187"/>
      <c r="K981" s="187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187"/>
      <c r="K982" s="187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187"/>
      <c r="K983" s="187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187"/>
      <c r="K984" s="187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187"/>
      <c r="K985" s="187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187"/>
      <c r="K986" s="187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187"/>
      <c r="K987" s="187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187"/>
      <c r="K988" s="187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187"/>
      <c r="K989" s="187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187"/>
      <c r="K990" s="187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187"/>
      <c r="K991" s="187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187"/>
      <c r="K992" s="187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187"/>
      <c r="K993" s="187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187"/>
      <c r="K994" s="187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187"/>
      <c r="K995" s="187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187"/>
      <c r="K996" s="187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187"/>
      <c r="K997" s="187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187"/>
      <c r="K998" s="187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187"/>
      <c r="K999" s="187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187"/>
      <c r="K1000" s="187"/>
      <c r="L1000" s="2"/>
      <c r="M1000" s="2"/>
      <c r="N1000" s="3"/>
      <c r="Q1000" s="4"/>
    </row>
  </sheetData>
  <mergeCells count="47">
    <mergeCell ref="N21:N23"/>
    <mergeCell ref="B2:O2"/>
    <mergeCell ref="B3:O3"/>
    <mergeCell ref="B4:C4"/>
    <mergeCell ref="L4:L5"/>
    <mergeCell ref="B5:C5"/>
    <mergeCell ref="N24:N26"/>
    <mergeCell ref="N27:N29"/>
    <mergeCell ref="B6:C6"/>
    <mergeCell ref="B7:C7"/>
    <mergeCell ref="D10:H10"/>
    <mergeCell ref="E12:H12"/>
    <mergeCell ref="N12:N14"/>
    <mergeCell ref="E15:H15"/>
    <mergeCell ref="E18:H18"/>
    <mergeCell ref="E21:H21"/>
    <mergeCell ref="E24:H24"/>
    <mergeCell ref="E27:H27"/>
    <mergeCell ref="D6:H7"/>
    <mergeCell ref="L6:L7"/>
    <mergeCell ref="N15:N17"/>
    <mergeCell ref="N18:N20"/>
    <mergeCell ref="E30:H30"/>
    <mergeCell ref="E31:H31"/>
    <mergeCell ref="E32:H32"/>
    <mergeCell ref="E33:H33"/>
    <mergeCell ref="E34:H34"/>
    <mergeCell ref="D37:H37"/>
    <mergeCell ref="E35:H35"/>
    <mergeCell ref="E36:H36"/>
    <mergeCell ref="E38:H38"/>
    <mergeCell ref="E39:H39"/>
    <mergeCell ref="C52:N52"/>
    <mergeCell ref="J54:K54"/>
    <mergeCell ref="C48:I48"/>
    <mergeCell ref="E40:H40"/>
    <mergeCell ref="C49:I49"/>
    <mergeCell ref="J49:N49"/>
    <mergeCell ref="J50:N50"/>
    <mergeCell ref="C51:N51"/>
    <mergeCell ref="E41:H41"/>
    <mergeCell ref="E42:H42"/>
    <mergeCell ref="E43:H43"/>
    <mergeCell ref="E44:H44"/>
    <mergeCell ref="E45:H45"/>
    <mergeCell ref="E46:H46"/>
    <mergeCell ref="E47:H47"/>
  </mergeCells>
  <pageMargins left="0.23622047244094491" right="0.23622047244094491" top="0.74803149606299213" bottom="0.74803149606299213" header="0" footer="0"/>
  <pageSetup paperSize="9" scale="60" orientation="landscape"/>
  <headerFooter>
    <oddFooter>&amp;L_x000D_#008542 INTERNA_x000D_&amp;1#&amp;"Trebuchet MS"&amp;9&amp;K737373 PÚBLICA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tabColor theme="9"/>
  </sheetPr>
  <dimension ref="A1:Y982"/>
  <sheetViews>
    <sheetView showGridLines="0" workbookViewId="0">
      <pane ySplit="3" topLeftCell="A4" activePane="bottomLeft" state="frozen"/>
      <selection pane="bottomLeft" activeCell="K21" sqref="K21"/>
    </sheetView>
  </sheetViews>
  <sheetFormatPr defaultColWidth="14.44140625" defaultRowHeight="15" customHeight="1" x14ac:dyDescent="0.3"/>
  <cols>
    <col min="1" max="1" width="22.5546875" bestFit="1" customWidth="1"/>
    <col min="2" max="2" width="35.88671875" bestFit="1" customWidth="1"/>
    <col min="3" max="6" width="7.44140625" bestFit="1" customWidth="1"/>
    <col min="7" max="8" width="12.33203125" bestFit="1" customWidth="1"/>
    <col min="9" max="9" width="14.109375" bestFit="1" customWidth="1"/>
    <col min="10" max="10" width="12.21875" bestFit="1" customWidth="1"/>
    <col min="11" max="11" width="9.44140625" bestFit="1" customWidth="1"/>
    <col min="12" max="12" width="9.5546875" bestFit="1" customWidth="1"/>
    <col min="13" max="13" width="9.77734375" bestFit="1" customWidth="1"/>
    <col min="14" max="14" width="10.6640625" bestFit="1" customWidth="1"/>
    <col min="15" max="15" width="7.77734375" bestFit="1" customWidth="1"/>
    <col min="16" max="16" width="13.21875" bestFit="1" customWidth="1"/>
    <col min="17" max="17" width="11.33203125" bestFit="1" customWidth="1"/>
    <col min="18" max="18" width="10.5546875" bestFit="1" customWidth="1"/>
    <col min="19" max="19" width="13.109375" bestFit="1" customWidth="1"/>
    <col min="20" max="25" width="9.109375" customWidth="1"/>
  </cols>
  <sheetData>
    <row r="1" spans="1:25" ht="14.25" customHeight="1" x14ac:dyDescent="0.3">
      <c r="A1" s="10" t="s">
        <v>17</v>
      </c>
      <c r="B1" s="6"/>
      <c r="C1" s="6"/>
      <c r="D1" s="6"/>
      <c r="E1" s="6"/>
      <c r="F1" s="6"/>
      <c r="G1" s="6"/>
      <c r="H1" s="6"/>
      <c r="I1" s="6"/>
      <c r="J1" s="8" t="s">
        <v>11</v>
      </c>
      <c r="K1" s="8" t="s">
        <v>12</v>
      </c>
      <c r="L1" s="8" t="s">
        <v>14</v>
      </c>
      <c r="M1" s="8" t="s">
        <v>15</v>
      </c>
      <c r="N1" s="123" t="s">
        <v>399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2.75" customHeight="1" x14ac:dyDescent="0.3">
      <c r="A2" s="10"/>
      <c r="B2" s="6"/>
      <c r="C2" s="85" t="s">
        <v>400</v>
      </c>
      <c r="D2" s="85" t="s">
        <v>400</v>
      </c>
      <c r="E2" s="85" t="s">
        <v>400</v>
      </c>
      <c r="F2" s="85" t="s">
        <v>400</v>
      </c>
      <c r="G2" s="85" t="s">
        <v>400</v>
      </c>
      <c r="H2" s="85" t="s">
        <v>400</v>
      </c>
      <c r="I2" s="11"/>
      <c r="J2" s="12" t="s">
        <v>18</v>
      </c>
      <c r="K2" s="12" t="s">
        <v>18</v>
      </c>
      <c r="L2" s="12" t="s">
        <v>18</v>
      </c>
      <c r="M2" s="12" t="s">
        <v>18</v>
      </c>
      <c r="N2" s="85" t="s">
        <v>400</v>
      </c>
      <c r="O2" s="85" t="s">
        <v>400</v>
      </c>
      <c r="P2" s="85" t="s">
        <v>400</v>
      </c>
      <c r="Q2" s="85" t="s">
        <v>400</v>
      </c>
      <c r="R2" s="6"/>
      <c r="S2" s="6"/>
      <c r="T2" s="6"/>
      <c r="U2" s="6"/>
      <c r="V2" s="6"/>
      <c r="W2" s="6"/>
      <c r="X2" s="6"/>
      <c r="Y2" s="6"/>
    </row>
    <row r="3" spans="1:25" ht="14.25" customHeight="1" x14ac:dyDescent="0.3">
      <c r="A3" s="86" t="s">
        <v>22</v>
      </c>
      <c r="B3" s="87" t="s">
        <v>24</v>
      </c>
      <c r="C3" s="87" t="s">
        <v>25</v>
      </c>
      <c r="D3" s="87" t="s">
        <v>27</v>
      </c>
      <c r="E3" s="87" t="s">
        <v>29</v>
      </c>
      <c r="F3" s="87" t="s">
        <v>30</v>
      </c>
      <c r="G3" s="88" t="s">
        <v>32</v>
      </c>
      <c r="H3" s="88" t="s">
        <v>35</v>
      </c>
      <c r="I3" s="89" t="s">
        <v>36</v>
      </c>
      <c r="J3" s="90" t="s">
        <v>37</v>
      </c>
      <c r="K3" s="90" t="s">
        <v>38</v>
      </c>
      <c r="L3" s="90" t="s">
        <v>39</v>
      </c>
      <c r="M3" s="90" t="s">
        <v>40</v>
      </c>
      <c r="N3" s="90" t="s">
        <v>41</v>
      </c>
      <c r="O3" s="91" t="s">
        <v>42</v>
      </c>
      <c r="P3" s="92" t="s">
        <v>43</v>
      </c>
      <c r="Q3" s="92" t="s">
        <v>45</v>
      </c>
      <c r="R3" s="92" t="s">
        <v>47</v>
      </c>
      <c r="S3" s="93" t="s">
        <v>48</v>
      </c>
      <c r="T3" s="6"/>
      <c r="U3" s="6"/>
      <c r="V3" s="6"/>
      <c r="W3" s="6"/>
      <c r="X3" s="6"/>
      <c r="Y3" s="6"/>
    </row>
    <row r="4" spans="1:25" ht="14.25" customHeight="1" x14ac:dyDescent="0.3">
      <c r="A4" s="94" t="s">
        <v>49</v>
      </c>
      <c r="B4" s="105" t="s">
        <v>220</v>
      </c>
      <c r="C4" s="112">
        <f>IFERROR( VLOOKUP(ConsolidadoSP[[#This Row],[MEDIDAS CONTRATO]],MedidasContrato[[MEDIDAS CONTRATO]:[Ø]],2,0),"")</f>
        <v>0</v>
      </c>
      <c r="D4" s="112">
        <f>IFERROR( VLOOKUP(ConsolidadoSP[[#This Row],[MEDIDAS CONTRATO]],MedidasContrato[],3,0),"")</f>
        <v>25</v>
      </c>
      <c r="E4" s="112">
        <f>IFERROR( VLOOKUP(ConsolidadoSP[[#This Row],[MEDIDAS CONTRATO]],MedidasContrato[],4,0),"")</f>
        <v>14</v>
      </c>
      <c r="F4" s="112">
        <f>IFERROR( VLOOKUP(ConsolidadoSP[[#This Row],[MEDIDAS CONTRATO]],MedidasContrato[],5,0),"")</f>
        <v>37</v>
      </c>
      <c r="G4" s="113">
        <f>Consolidado!$D4*Consolidado!$E4*Consolidado!$F4</f>
        <v>12950</v>
      </c>
      <c r="H4" s="151">
        <f>G4/I4</f>
        <v>44047.619047619053</v>
      </c>
      <c r="I4" s="116">
        <v>0.29399999999999998</v>
      </c>
      <c r="J4" s="95">
        <v>0</v>
      </c>
      <c r="K4" s="95">
        <v>0</v>
      </c>
      <c r="L4" s="95">
        <v>0</v>
      </c>
      <c r="M4" s="95">
        <v>0</v>
      </c>
      <c r="N4" s="113">
        <f xml:space="preserve"> IF( ConsolidadoSP[[#This Row],[QUAm-1]] = "", "", ConsolidadoSP[[#This Row],[QUAm-1]]  +ConsolidadoSP[[#This Row],[QNm]]  -ConsolidadoSP[[#This Row],[QBm]] -ConsolidadoSP[[#This Row],[QDm]])</f>
        <v>0</v>
      </c>
      <c r="O4" s="113">
        <f>IF( ConsolidadoSP[[#This Row],[FC = V1/V2]] = "", "", ConsolidadoSP[[#This Row],[FC = V1/V2]] * ConsolidadoSP[[#This Row],[QUAm]])</f>
        <v>0</v>
      </c>
      <c r="P4" s="124">
        <f>IF( ConsolidadoSP[[#This Row],[Contrato]] = "", "", IFERROR( VLOOKUP(ConsolidadoSP[[#This Row],[Contrato]],TabelaIRON[[Linha de Serviço PPU]:[PREÇO UNITÁRIO ]],3,0),"Nao Encontrado"))</f>
        <v>0.6</v>
      </c>
      <c r="Q4" s="124">
        <f>IF(ConsolidadoSP[[#This Row],[FC = V1/V2]]="","", ConsolidadoSP[[#This Row],[UA]]  * ConsolidadoSP[[#This Row],[$ Unitário]])</f>
        <v>0</v>
      </c>
      <c r="R4" s="96" t="s">
        <v>70</v>
      </c>
      <c r="S4" s="97" t="s">
        <v>58</v>
      </c>
      <c r="T4" s="6"/>
      <c r="U4" s="6"/>
      <c r="V4" s="6"/>
      <c r="W4" s="6"/>
      <c r="X4" s="6"/>
      <c r="Y4" s="6"/>
    </row>
    <row r="5" spans="1:25" ht="14.25" customHeight="1" x14ac:dyDescent="0.3">
      <c r="A5" s="94" t="s">
        <v>224</v>
      </c>
      <c r="B5" s="105" t="s">
        <v>71</v>
      </c>
      <c r="C5" s="112">
        <f>IFERROR( VLOOKUP(ConsolidadoSP[[#This Row],[MEDIDAS CONTRATO]],MedidasContrato[[MEDIDAS CONTRATO]:[Ø]],2,0),"")</f>
        <v>0</v>
      </c>
      <c r="D5" s="112">
        <f>IFERROR( VLOOKUP(ConsolidadoSP[[#This Row],[MEDIDAS CONTRATO]],MedidasContrato[],3,0),"")</f>
        <v>29</v>
      </c>
      <c r="E5" s="112">
        <f>IFERROR( VLOOKUP(ConsolidadoSP[[#This Row],[MEDIDAS CONTRATO]],MedidasContrato[],4,0),"")</f>
        <v>18</v>
      </c>
      <c r="F5" s="112">
        <f>IFERROR( VLOOKUP(ConsolidadoSP[[#This Row],[MEDIDAS CONTRATO]],MedidasContrato[],5,0),"")</f>
        <v>41</v>
      </c>
      <c r="G5" s="113">
        <f>Consolidado!$D5*Consolidado!$E5*Consolidado!$F5</f>
        <v>21402</v>
      </c>
      <c r="H5" s="151">
        <f t="shared" ref="H5:H16" si="0">G5/I5</f>
        <v>44037.037037037036</v>
      </c>
      <c r="I5" s="116">
        <v>0.48599999999999999</v>
      </c>
      <c r="J5" s="95">
        <v>17224</v>
      </c>
      <c r="K5" s="95">
        <v>0</v>
      </c>
      <c r="L5" s="95">
        <v>0</v>
      </c>
      <c r="M5" s="95">
        <v>95</v>
      </c>
      <c r="N5" s="113">
        <f xml:space="preserve"> IF( ConsolidadoSP[[#This Row],[QUAm-1]] = "", "", ConsolidadoSP[[#This Row],[QUAm-1]]  +ConsolidadoSP[[#This Row],[QNm]]  -ConsolidadoSP[[#This Row],[QBm]] -ConsolidadoSP[[#This Row],[QDm]])</f>
        <v>17319</v>
      </c>
      <c r="O5" s="113">
        <f>IF( ConsolidadoSP[[#This Row],[FC = V1/V2]] = "", "", ConsolidadoSP[[#This Row],[FC = V1/V2]] * ConsolidadoSP[[#This Row],[QUAm]])</f>
        <v>8417.0339999999997</v>
      </c>
      <c r="P5" s="124">
        <f>IF( ConsolidadoSP[[#This Row],[Contrato]] = "", "", IFERROR( VLOOKUP(ConsolidadoSP[[#This Row],[Contrato]],TabelaIRON[[Linha de Serviço PPU]:[PREÇO UNITÁRIO ]],3,0),"Nao Encontrado"))</f>
        <v>0.6</v>
      </c>
      <c r="Q5" s="124">
        <f>IF(ConsolidadoSP[[#This Row],[FC = V1/V2]]="","", ConsolidadoSP[[#This Row],[UA]]  * ConsolidadoSP[[#This Row],[$ Unitário]])</f>
        <v>5050.2203999999992</v>
      </c>
      <c r="R5" s="96" t="s">
        <v>70</v>
      </c>
      <c r="S5" s="97" t="s">
        <v>58</v>
      </c>
      <c r="T5" s="6"/>
      <c r="U5" s="6"/>
      <c r="V5" s="6"/>
      <c r="W5" s="6"/>
      <c r="X5" s="6"/>
      <c r="Y5" s="6"/>
    </row>
    <row r="6" spans="1:25" ht="14.25" customHeight="1" x14ac:dyDescent="0.3">
      <c r="A6" s="98" t="s">
        <v>75</v>
      </c>
      <c r="B6" s="106" t="s">
        <v>415</v>
      </c>
      <c r="C6" s="112">
        <f>IFERROR( VLOOKUP(ConsolidadoSP[[#This Row],[MEDIDAS CONTRATO]],MedidasContrato[[MEDIDAS CONTRATO]:[Ø]],2,0),"")</f>
        <v>0</v>
      </c>
      <c r="D6" s="112">
        <f>IFERROR( VLOOKUP(ConsolidadoSP[[#This Row],[MEDIDAS CONTRATO]],MedidasContrato[],3,0),"")</f>
        <v>30</v>
      </c>
      <c r="E6" s="112">
        <f>IFERROR( VLOOKUP(ConsolidadoSP[[#This Row],[MEDIDAS CONTRATO]],MedidasContrato[],4,0),"")</f>
        <v>19</v>
      </c>
      <c r="F6" s="112">
        <f>IFERROR( VLOOKUP(ConsolidadoSP[[#This Row],[MEDIDAS CONTRATO]],MedidasContrato[],5,0),"")</f>
        <v>39</v>
      </c>
      <c r="G6" s="114">
        <f>Consolidado!$D6*Consolidado!$E6*Consolidado!$F6</f>
        <v>22230</v>
      </c>
      <c r="H6" s="151">
        <f t="shared" si="0"/>
        <v>44019.801980198019</v>
      </c>
      <c r="I6" s="117">
        <v>0.505</v>
      </c>
      <c r="J6" s="149">
        <v>5883</v>
      </c>
      <c r="K6" s="149">
        <v>0</v>
      </c>
      <c r="L6" s="149">
        <v>0</v>
      </c>
      <c r="M6" s="149">
        <v>35</v>
      </c>
      <c r="N6" s="113">
        <f xml:space="preserve"> IF( ConsolidadoSP[[#This Row],[QUAm-1]] = "", "", ConsolidadoSP[[#This Row],[QUAm-1]]  +ConsolidadoSP[[#This Row],[QNm]]  -ConsolidadoSP[[#This Row],[QBm]] -ConsolidadoSP[[#This Row],[QDm]])</f>
        <v>5918</v>
      </c>
      <c r="O6" s="113">
        <f>IF( ConsolidadoSP[[#This Row],[FC = V1/V2]] = "", "", ConsolidadoSP[[#This Row],[FC = V1/V2]] * ConsolidadoSP[[#This Row],[QUAm]])</f>
        <v>2988.59</v>
      </c>
      <c r="P6" s="124">
        <f>IF( ConsolidadoSP[[#This Row],[Contrato]] = "", "", IFERROR( VLOOKUP(ConsolidadoSP[[#This Row],[Contrato]],TabelaIRON[[Linha de Serviço PPU]:[PREÇO UNITÁRIO ]],3,0),"Nao Encontrado"))</f>
        <v>0.6</v>
      </c>
      <c r="Q6" s="124">
        <f>IF(ConsolidadoSP[[#This Row],[FC = V1/V2]]="","", ConsolidadoSP[[#This Row],[UA]]  * ConsolidadoSP[[#This Row],[$ Unitário]])</f>
        <v>1793.154</v>
      </c>
      <c r="R6" s="99" t="s">
        <v>70</v>
      </c>
      <c r="S6" s="120" t="s">
        <v>58</v>
      </c>
      <c r="T6" s="6"/>
      <c r="U6" s="6"/>
      <c r="V6" s="6"/>
      <c r="W6" s="6"/>
      <c r="X6" s="6"/>
      <c r="Y6" s="6"/>
    </row>
    <row r="7" spans="1:25" ht="14.25" customHeight="1" x14ac:dyDescent="0.3">
      <c r="A7" s="94" t="s">
        <v>80</v>
      </c>
      <c r="B7" s="105" t="s">
        <v>81</v>
      </c>
      <c r="C7" s="112">
        <f>IFERROR( VLOOKUP(ConsolidadoSP[[#This Row],[MEDIDAS CONTRATO]],MedidasContrato[[MEDIDAS CONTRATO]:[Ø]],2,0),"")</f>
        <v>0</v>
      </c>
      <c r="D7" s="112">
        <f>IFERROR( VLOOKUP(ConsolidadoSP[[#This Row],[MEDIDAS CONTRATO]],MedidasContrato[],3,0),"")</f>
        <v>29</v>
      </c>
      <c r="E7" s="112">
        <f>IFERROR( VLOOKUP(ConsolidadoSP[[#This Row],[MEDIDAS CONTRATO]],MedidasContrato[],4,0),"")</f>
        <v>41</v>
      </c>
      <c r="F7" s="112">
        <f>IFERROR( VLOOKUP(ConsolidadoSP[[#This Row],[MEDIDAS CONTRATO]],MedidasContrato[],5,0),"")</f>
        <v>37</v>
      </c>
      <c r="G7" s="113">
        <f>Consolidado!$D7*Consolidado!$E7*Consolidado!$F7</f>
        <v>43993</v>
      </c>
      <c r="H7" s="151">
        <f t="shared" si="0"/>
        <v>43993</v>
      </c>
      <c r="I7" s="116">
        <v>1</v>
      </c>
      <c r="J7" s="95">
        <v>41072</v>
      </c>
      <c r="K7" s="95">
        <v>0</v>
      </c>
      <c r="L7" s="95">
        <v>0</v>
      </c>
      <c r="M7" s="95">
        <v>186</v>
      </c>
      <c r="N7" s="113">
        <f xml:space="preserve"> IF( ConsolidadoSP[[#This Row],[QUAm-1]] = "", "", ConsolidadoSP[[#This Row],[QUAm-1]]  +ConsolidadoSP[[#This Row],[QNm]]  -ConsolidadoSP[[#This Row],[QBm]] -ConsolidadoSP[[#This Row],[QDm]])</f>
        <v>41258</v>
      </c>
      <c r="O7" s="113">
        <f>IF( ConsolidadoSP[[#This Row],[FC = V1/V2]] = "", "", ConsolidadoSP[[#This Row],[FC = V1/V2]] * ConsolidadoSP[[#This Row],[QUAm]])</f>
        <v>41258</v>
      </c>
      <c r="P7" s="124">
        <f>IF( ConsolidadoSP[[#This Row],[Contrato]] = "", "", IFERROR( VLOOKUP(ConsolidadoSP[[#This Row],[Contrato]],TabelaIRON[[Linha de Serviço PPU]:[PREÇO UNITÁRIO ]],3,0),"Nao Encontrado"))</f>
        <v>0.6</v>
      </c>
      <c r="Q7" s="124">
        <f>IF(ConsolidadoSP[[#This Row],[FC = V1/V2]]="","", ConsolidadoSP[[#This Row],[UA]]  * ConsolidadoSP[[#This Row],[$ Unitário]])</f>
        <v>24754.799999999999</v>
      </c>
      <c r="R7" s="96" t="s">
        <v>70</v>
      </c>
      <c r="S7" s="97" t="s">
        <v>58</v>
      </c>
      <c r="T7" s="6"/>
      <c r="U7" s="6"/>
      <c r="V7" s="6"/>
      <c r="W7" s="6"/>
      <c r="X7" s="6"/>
      <c r="Y7" s="6"/>
    </row>
    <row r="8" spans="1:25" ht="14.25" customHeight="1" x14ac:dyDescent="0.3">
      <c r="A8" s="94" t="s">
        <v>85</v>
      </c>
      <c r="B8" s="105" t="s">
        <v>86</v>
      </c>
      <c r="C8" s="112">
        <f>IFERROR( VLOOKUP(ConsolidadoSP[[#This Row],[MEDIDAS CONTRATO]],MedidasContrato[[MEDIDAS CONTRATO]:[Ø]],2,0),"")</f>
        <v>0</v>
      </c>
      <c r="D8" s="112">
        <f>IFERROR( VLOOKUP(ConsolidadoSP[[#This Row],[MEDIDAS CONTRATO]],MedidasContrato[],3,0),"")</f>
        <v>29</v>
      </c>
      <c r="E8" s="112">
        <f>IFERROR( VLOOKUP(ConsolidadoSP[[#This Row],[MEDIDAS CONTRATO]],MedidasContrato[],4,0),"")</f>
        <v>40</v>
      </c>
      <c r="F8" s="112">
        <f>IFERROR( VLOOKUP(ConsolidadoSP[[#This Row],[MEDIDAS CONTRATO]],MedidasContrato[],5,0),"")</f>
        <v>50</v>
      </c>
      <c r="G8" s="113">
        <f>Consolidado!$D8*Consolidado!$E8*Consolidado!$F8</f>
        <v>58000</v>
      </c>
      <c r="H8" s="151">
        <f t="shared" si="0"/>
        <v>44006.069802731407</v>
      </c>
      <c r="I8" s="116">
        <v>1.3180000000000001</v>
      </c>
      <c r="J8" s="95">
        <v>0</v>
      </c>
      <c r="K8" s="95">
        <v>0</v>
      </c>
      <c r="L8" s="95">
        <v>0</v>
      </c>
      <c r="M8" s="95">
        <v>0</v>
      </c>
      <c r="N8" s="113">
        <f xml:space="preserve"> IF( ConsolidadoSP[[#This Row],[QUAm-1]] = "", "", ConsolidadoSP[[#This Row],[QUAm-1]]  +ConsolidadoSP[[#This Row],[QNm]]  -ConsolidadoSP[[#This Row],[QBm]] -ConsolidadoSP[[#This Row],[QDm]])</f>
        <v>0</v>
      </c>
      <c r="O8" s="113">
        <f>IF( ConsolidadoSP[[#This Row],[FC = V1/V2]] = "", "", ConsolidadoSP[[#This Row],[FC = V1/V2]] * ConsolidadoSP[[#This Row],[QUAm]])</f>
        <v>0</v>
      </c>
      <c r="P8" s="124">
        <f>IF( ConsolidadoSP[[#This Row],[Contrato]] = "", "", IFERROR( VLOOKUP(ConsolidadoSP[[#This Row],[Contrato]],TabelaIRON[[Linha de Serviço PPU]:[PREÇO UNITÁRIO ]],3,0),"Nao Encontrado"))</f>
        <v>0.6</v>
      </c>
      <c r="Q8" s="124">
        <f>IF(ConsolidadoSP[[#This Row],[FC = V1/V2]]="","", ConsolidadoSP[[#This Row],[UA]]  * ConsolidadoSP[[#This Row],[$ Unitário]])</f>
        <v>0</v>
      </c>
      <c r="R8" s="96" t="s">
        <v>70</v>
      </c>
      <c r="S8" s="97" t="s">
        <v>58</v>
      </c>
      <c r="T8" s="6"/>
      <c r="U8" s="6"/>
      <c r="V8" s="6"/>
      <c r="W8" s="6"/>
      <c r="X8" s="6"/>
      <c r="Y8" s="6"/>
    </row>
    <row r="9" spans="1:25" ht="14.25" customHeight="1" x14ac:dyDescent="0.3">
      <c r="A9" s="100" t="s">
        <v>80</v>
      </c>
      <c r="B9" s="107" t="s">
        <v>223</v>
      </c>
      <c r="C9" s="112">
        <f>IFERROR( VLOOKUP(ConsolidadoSP[[#This Row],[MEDIDAS CONTRATO]],MedidasContrato[[MEDIDAS CONTRATO]:[Ø]],2,0),"")</f>
        <v>0</v>
      </c>
      <c r="D9" s="112">
        <f>IFERROR( VLOOKUP(ConsolidadoSP[[#This Row],[MEDIDAS CONTRATO]],MedidasContrato[],3,0),"")</f>
        <v>29</v>
      </c>
      <c r="E9" s="112">
        <f>IFERROR( VLOOKUP(ConsolidadoSP[[#This Row],[MEDIDAS CONTRATO]],MedidasContrato[],4,0),"")</f>
        <v>41</v>
      </c>
      <c r="F9" s="112">
        <f>IFERROR( VLOOKUP(ConsolidadoSP[[#This Row],[MEDIDAS CONTRATO]],MedidasContrato[],5,0),"")</f>
        <v>37</v>
      </c>
      <c r="G9" s="113">
        <f>Consolidado!$D9*Consolidado!$E9*Consolidado!$F9</f>
        <v>43993</v>
      </c>
      <c r="H9" s="151">
        <f t="shared" si="0"/>
        <v>43993</v>
      </c>
      <c r="I9" s="118">
        <v>1</v>
      </c>
      <c r="J9" s="150">
        <v>0</v>
      </c>
      <c r="K9" s="95">
        <v>0</v>
      </c>
      <c r="L9" s="95">
        <v>0</v>
      </c>
      <c r="M9" s="150">
        <v>0</v>
      </c>
      <c r="N9" s="113">
        <f xml:space="preserve"> IF( ConsolidadoSP[[#This Row],[QUAm-1]] = "", "", ConsolidadoSP[[#This Row],[QUAm-1]]  +ConsolidadoSP[[#This Row],[QNm]]  -ConsolidadoSP[[#This Row],[QBm]] -ConsolidadoSP[[#This Row],[QDm]])</f>
        <v>0</v>
      </c>
      <c r="O9" s="113">
        <f>IF( ConsolidadoSP[[#This Row],[FC = V1/V2]] = "", "", ConsolidadoSP[[#This Row],[FC = V1/V2]] * ConsolidadoSP[[#This Row],[QUAm]])</f>
        <v>0</v>
      </c>
      <c r="P9" s="124">
        <f>IF( ConsolidadoSP[[#This Row],[Contrato]] = "", "", IFERROR( VLOOKUP(ConsolidadoSP[[#This Row],[Contrato]],TabelaIRON[[Linha de Serviço PPU]:[PREÇO UNITÁRIO ]],3,0),"Nao Encontrado"))</f>
        <v>3.55</v>
      </c>
      <c r="Q9" s="124">
        <f>IF(ConsolidadoSP[[#This Row],[FC = V1/V2]]="","", ConsolidadoSP[[#This Row],[UA]]  * ConsolidadoSP[[#This Row],[$ Unitário]])</f>
        <v>0</v>
      </c>
      <c r="R9" s="101" t="s">
        <v>94</v>
      </c>
      <c r="S9" s="97" t="s">
        <v>61</v>
      </c>
      <c r="T9" s="53"/>
      <c r="U9" s="53"/>
      <c r="V9" s="53"/>
      <c r="W9" s="53"/>
      <c r="X9" s="53"/>
      <c r="Y9" s="53"/>
    </row>
    <row r="10" spans="1:25" ht="14.25" customHeight="1" x14ac:dyDescent="0.3">
      <c r="A10" s="94" t="s">
        <v>96</v>
      </c>
      <c r="B10" s="105" t="s">
        <v>457</v>
      </c>
      <c r="C10" s="112">
        <f>IFERROR( VLOOKUP(ConsolidadoSP[[#This Row],[MEDIDAS CONTRATO]],MedidasContrato[[MEDIDAS CONTRATO]:[Ø]],2,0),"")</f>
        <v>10</v>
      </c>
      <c r="D10" s="112">
        <f>IFERROR( VLOOKUP(ConsolidadoSP[[#This Row],[MEDIDAS CONTRATO]],MedidasContrato[],3,0),"")</f>
        <v>0</v>
      </c>
      <c r="E10" s="112">
        <f>IFERROR( VLOOKUP(ConsolidadoSP[[#This Row],[MEDIDAS CONTRATO]],MedidasContrato[],4,0),"")</f>
        <v>0</v>
      </c>
      <c r="F10" s="112">
        <f>IFERROR( VLOOKUP(ConsolidadoSP[[#This Row],[MEDIDAS CONTRATO]],MedidasContrato[],5,0),"")</f>
        <v>120</v>
      </c>
      <c r="G10" s="113">
        <f>(((Consolidado!$C10/2)^2*PI())*Consolidado!$F10)</f>
        <v>9424.7779607693792</v>
      </c>
      <c r="H10" s="151">
        <f t="shared" si="0"/>
        <v>9424.7779607693792</v>
      </c>
      <c r="I10" s="116">
        <v>1</v>
      </c>
      <c r="J10" s="95">
        <v>4822</v>
      </c>
      <c r="K10" s="95">
        <v>0</v>
      </c>
      <c r="L10" s="95">
        <v>0</v>
      </c>
      <c r="M10" s="95">
        <v>129</v>
      </c>
      <c r="N10" s="113">
        <f xml:space="preserve"> IF( ConsolidadoSP[[#This Row],[QUAm-1]] = "", "", ConsolidadoSP[[#This Row],[QUAm-1]]  +ConsolidadoSP[[#This Row],[QNm]]  -ConsolidadoSP[[#This Row],[QBm]] -ConsolidadoSP[[#This Row],[QDm]])</f>
        <v>4951</v>
      </c>
      <c r="O10" s="113">
        <f>IF( ConsolidadoSP[[#This Row],[FC = V1/V2]] = "", "", ConsolidadoSP[[#This Row],[FC = V1/V2]] * ConsolidadoSP[[#This Row],[QUAm]])</f>
        <v>4951</v>
      </c>
      <c r="P10" s="124">
        <f>IF( ConsolidadoSP[[#This Row],[Contrato]] = "", "", IFERROR( VLOOKUP(ConsolidadoSP[[#This Row],[Contrato]],TabelaIRON[[Linha de Serviço PPU]:[PREÇO UNITÁRIO ]],3,0),"Nao Encontrado"))</f>
        <v>0.74</v>
      </c>
      <c r="Q10" s="124">
        <f>IF(ConsolidadoSP[[#This Row],[FC = V1/V2]]="","", ConsolidadoSP[[#This Row],[UA]]  * ConsolidadoSP[[#This Row],[$ Unitário]])</f>
        <v>3663.74</v>
      </c>
      <c r="R10" s="96" t="s">
        <v>103</v>
      </c>
      <c r="S10" s="97" t="s">
        <v>64</v>
      </c>
      <c r="T10" s="6"/>
      <c r="U10" s="6"/>
      <c r="V10" s="6"/>
      <c r="W10" s="6"/>
      <c r="X10" s="6"/>
      <c r="Y10" s="6"/>
    </row>
    <row r="11" spans="1:25" ht="14.25" customHeight="1" x14ac:dyDescent="0.3">
      <c r="A11" s="94" t="s">
        <v>104</v>
      </c>
      <c r="B11" s="105" t="s">
        <v>105</v>
      </c>
      <c r="C11" s="112">
        <f>IFERROR( VLOOKUP(ConsolidadoSP[[#This Row],[MEDIDAS CONTRATO]],MedidasContrato[[MEDIDAS CONTRATO]:[Ø]],2,0),"")</f>
        <v>0</v>
      </c>
      <c r="D11" s="112">
        <f>IFERROR( VLOOKUP(ConsolidadoSP[[#This Row],[MEDIDAS CONTRATO]],MedidasContrato[],3,0),"")</f>
        <v>34</v>
      </c>
      <c r="E11" s="112">
        <f>IFERROR( VLOOKUP(ConsolidadoSP[[#This Row],[MEDIDAS CONTRATO]],MedidasContrato[],4,0),"")</f>
        <v>37</v>
      </c>
      <c r="F11" s="112">
        <f>IFERROR( VLOOKUP(ConsolidadoSP[[#This Row],[MEDIDAS CONTRATO]],MedidasContrato[],5,0),"")</f>
        <v>12</v>
      </c>
      <c r="G11" s="113">
        <f>Consolidado!$D11*Consolidado!$E11*Consolidado!$F11</f>
        <v>15096</v>
      </c>
      <c r="H11" s="151">
        <f t="shared" si="0"/>
        <v>15096</v>
      </c>
      <c r="I11" s="116">
        <v>1</v>
      </c>
      <c r="J11" s="95">
        <v>1870</v>
      </c>
      <c r="K11" s="95">
        <v>0</v>
      </c>
      <c r="L11" s="95">
        <v>0</v>
      </c>
      <c r="M11" s="95">
        <v>0</v>
      </c>
      <c r="N11" s="113">
        <f xml:space="preserve"> IF( ConsolidadoSP[[#This Row],[QUAm-1]] = "", "", ConsolidadoSP[[#This Row],[QUAm-1]]  +ConsolidadoSP[[#This Row],[QNm]]  -ConsolidadoSP[[#This Row],[QBm]] -ConsolidadoSP[[#This Row],[QDm]])</f>
        <v>1870</v>
      </c>
      <c r="O11" s="113">
        <f>IF( ConsolidadoSP[[#This Row],[FC = V1/V2]] = "", "", ConsolidadoSP[[#This Row],[FC = V1/V2]] * ConsolidadoSP[[#This Row],[QUAm]])</f>
        <v>1870</v>
      </c>
      <c r="P11" s="124">
        <f>IF( ConsolidadoSP[[#This Row],[Contrato]] = "", "", IFERROR( VLOOKUP(ConsolidadoSP[[#This Row],[Contrato]],TabelaIRON[[Linha de Serviço PPU]:[PREÇO UNITÁRIO ]],3,0),"Nao Encontrado"))</f>
        <v>3.55</v>
      </c>
      <c r="Q11" s="124">
        <f>IF(ConsolidadoSP[[#This Row],[FC = V1/V2]]="","", ConsolidadoSP[[#This Row],[UA]]  * ConsolidadoSP[[#This Row],[$ Unitário]])</f>
        <v>6638.5</v>
      </c>
      <c r="R11" s="96" t="s">
        <v>94</v>
      </c>
      <c r="S11" s="97" t="s">
        <v>61</v>
      </c>
      <c r="T11" s="6"/>
      <c r="U11" s="6"/>
      <c r="V11" s="6"/>
      <c r="W11" s="6"/>
      <c r="X11" s="6"/>
      <c r="Y11" s="6"/>
    </row>
    <row r="12" spans="1:25" ht="14.25" customHeight="1" x14ac:dyDescent="0.3">
      <c r="A12" s="94" t="s">
        <v>110</v>
      </c>
      <c r="B12" s="105" t="s">
        <v>172</v>
      </c>
      <c r="C12" s="112">
        <f>IFERROR( VLOOKUP(ConsolidadoSP[[#This Row],[MEDIDAS CONTRATO]],MedidasContrato[[MEDIDAS CONTRATO]:[Ø]],2,0),"")</f>
        <v>0</v>
      </c>
      <c r="D12" s="112">
        <f>IFERROR( VLOOKUP(ConsolidadoSP[[#This Row],[MEDIDAS CONTRATO]],MedidasContrato[],3,0),"")</f>
        <v>10</v>
      </c>
      <c r="E12" s="112">
        <f>IFERROR( VLOOKUP(ConsolidadoSP[[#This Row],[MEDIDAS CONTRATO]],MedidasContrato[],4,0),"")</f>
        <v>10</v>
      </c>
      <c r="F12" s="112">
        <f>IFERROR( VLOOKUP(ConsolidadoSP[[#This Row],[MEDIDAS CONTRATO]],MedidasContrato[],5,0),"")</f>
        <v>2.5</v>
      </c>
      <c r="G12" s="113">
        <f>Consolidado!$D12*Consolidado!$E12*Consolidado!$F12</f>
        <v>250</v>
      </c>
      <c r="H12" s="151">
        <f t="shared" si="0"/>
        <v>250</v>
      </c>
      <c r="I12" s="116">
        <v>1</v>
      </c>
      <c r="J12" s="95">
        <v>0</v>
      </c>
      <c r="K12" s="95">
        <v>0</v>
      </c>
      <c r="L12" s="95">
        <v>0</v>
      </c>
      <c r="M12" s="95">
        <v>0</v>
      </c>
      <c r="N12" s="113">
        <f xml:space="preserve"> IF( ConsolidadoSP[[#This Row],[QUAm-1]] = "", "", ConsolidadoSP[[#This Row],[QUAm-1]]  +ConsolidadoSP[[#This Row],[QNm]]  -ConsolidadoSP[[#This Row],[QBm]] -ConsolidadoSP[[#This Row],[QDm]])</f>
        <v>0</v>
      </c>
      <c r="O12" s="113">
        <f>IF( ConsolidadoSP[[#This Row],[FC = V1/V2]] = "", "", ConsolidadoSP[[#This Row],[FC = V1/V2]] * ConsolidadoSP[[#This Row],[QUAm]])</f>
        <v>0</v>
      </c>
      <c r="P12" s="124">
        <f>IF( ConsolidadoSP[[#This Row],[Contrato]] = "", "", IFERROR( VLOOKUP(ConsolidadoSP[[#This Row],[Contrato]],TabelaIRON[[Linha de Serviço PPU]:[PREÇO UNITÁRIO ]],3,0),"Nao Encontrado"))</f>
        <v>0.08</v>
      </c>
      <c r="Q12" s="124">
        <f>IF(ConsolidadoSP[[#This Row],[FC = V1/V2]]="","", ConsolidadoSP[[#This Row],[UA]]  * ConsolidadoSP[[#This Row],[$ Unitário]])</f>
        <v>0</v>
      </c>
      <c r="R12" s="96" t="s">
        <v>114</v>
      </c>
      <c r="S12" s="121" t="s">
        <v>72</v>
      </c>
      <c r="T12" s="6"/>
      <c r="U12" s="6"/>
      <c r="V12" s="6"/>
      <c r="W12" s="6"/>
      <c r="X12" s="6"/>
      <c r="Y12" s="6"/>
    </row>
    <row r="13" spans="1:25" ht="14.25" customHeight="1" x14ac:dyDescent="0.3">
      <c r="A13" s="94" t="s">
        <v>115</v>
      </c>
      <c r="B13" s="105" t="s">
        <v>116</v>
      </c>
      <c r="C13" s="112">
        <f>IFERROR( VLOOKUP(ConsolidadoSP[[#This Row],[MEDIDAS CONTRATO]],MedidasContrato[[MEDIDAS CONTRATO]:[Ø]],2,0),"")</f>
        <v>0</v>
      </c>
      <c r="D13" s="112">
        <f>IFERROR( VLOOKUP(ConsolidadoSP[[#This Row],[MEDIDAS CONTRATO]],MedidasContrato[],3,0),"")</f>
        <v>11</v>
      </c>
      <c r="E13" s="112">
        <f>IFERROR( VLOOKUP(ConsolidadoSP[[#This Row],[MEDIDAS CONTRATO]],MedidasContrato[],4,0),"")</f>
        <v>15.5</v>
      </c>
      <c r="F13" s="112">
        <f>IFERROR( VLOOKUP(ConsolidadoSP[[#This Row],[MEDIDAS CONTRATO]],MedidasContrato[],5,0),"")</f>
        <v>0.3</v>
      </c>
      <c r="G13" s="113">
        <f>Consolidado!$D13*Consolidado!$E13*Consolidado!$F13</f>
        <v>51.15</v>
      </c>
      <c r="H13" s="151">
        <f t="shared" si="0"/>
        <v>275</v>
      </c>
      <c r="I13" s="116">
        <v>0.186</v>
      </c>
      <c r="J13" s="95">
        <v>0</v>
      </c>
      <c r="K13" s="95">
        <v>0</v>
      </c>
      <c r="L13" s="95">
        <v>0</v>
      </c>
      <c r="M13" s="95">
        <v>0</v>
      </c>
      <c r="N13" s="113">
        <f xml:space="preserve"> IF( ConsolidadoSP[[#This Row],[QUAm-1]] = "", "", ConsolidadoSP[[#This Row],[QUAm-1]]  +ConsolidadoSP[[#This Row],[QNm]]  -ConsolidadoSP[[#This Row],[QBm]] -ConsolidadoSP[[#This Row],[QDm]])</f>
        <v>0</v>
      </c>
      <c r="O13" s="113">
        <f>IF( ConsolidadoSP[[#This Row],[FC = V1/V2]] = "", "", ConsolidadoSP[[#This Row],[FC = V1/V2]] * ConsolidadoSP[[#This Row],[QUAm]])</f>
        <v>0</v>
      </c>
      <c r="P13" s="124">
        <f>IF( ConsolidadoSP[[#This Row],[Contrato]] = "", "", IFERROR( VLOOKUP(ConsolidadoSP[[#This Row],[Contrato]],TabelaIRON[[Linha de Serviço PPU]:[PREÇO UNITÁRIO ]],3,0),"Nao Encontrado"))</f>
        <v>0.08</v>
      </c>
      <c r="Q13" s="124">
        <f>IF(ConsolidadoSP[[#This Row],[FC = V1/V2]]="","", ConsolidadoSP[[#This Row],[UA]]  * ConsolidadoSP[[#This Row],[$ Unitário]])</f>
        <v>0</v>
      </c>
      <c r="R13" s="96" t="s">
        <v>114</v>
      </c>
      <c r="S13" s="121" t="s">
        <v>72</v>
      </c>
      <c r="T13" s="6"/>
      <c r="U13" s="6"/>
      <c r="V13" s="6"/>
      <c r="W13" s="6"/>
      <c r="X13" s="6"/>
      <c r="Y13" s="6"/>
    </row>
    <row r="14" spans="1:25" ht="14.25" customHeight="1" x14ac:dyDescent="0.3">
      <c r="A14" s="94" t="s">
        <v>121</v>
      </c>
      <c r="B14" s="105" t="s">
        <v>434</v>
      </c>
      <c r="C14" s="112">
        <f>IFERROR( VLOOKUP(ConsolidadoSP[[#This Row],[MEDIDAS CONTRATO]],MedidasContrato[[MEDIDAS CONTRATO]:[Ø]],2,0),"")</f>
        <v>0</v>
      </c>
      <c r="D14" s="112">
        <f>IFERROR( VLOOKUP(ConsolidadoSP[[#This Row],[MEDIDAS CONTRATO]],MedidasContrato[],3,0),"")</f>
        <v>12.5</v>
      </c>
      <c r="E14" s="112">
        <f>IFERROR( VLOOKUP(ConsolidadoSP[[#This Row],[MEDIDAS CONTRATO]],MedidasContrato[],4,0),"")</f>
        <v>14</v>
      </c>
      <c r="F14" s="112">
        <f>IFERROR( VLOOKUP(ConsolidadoSP[[#This Row],[MEDIDAS CONTRATO]],MedidasContrato[],5,0),"")</f>
        <v>0.5</v>
      </c>
      <c r="G14" s="113">
        <f>Consolidado!$D14*Consolidado!$E14*Consolidado!$F14</f>
        <v>87.5</v>
      </c>
      <c r="H14" s="151">
        <f t="shared" si="0"/>
        <v>87.5</v>
      </c>
      <c r="I14" s="116">
        <v>1</v>
      </c>
      <c r="J14" s="95">
        <v>0</v>
      </c>
      <c r="K14" s="95">
        <v>0</v>
      </c>
      <c r="L14" s="95">
        <v>0</v>
      </c>
      <c r="M14" s="95">
        <v>0</v>
      </c>
      <c r="N14" s="113">
        <f xml:space="preserve"> IF( ConsolidadoSP[[#This Row],[QUAm-1]] = "", "", ConsolidadoSP[[#This Row],[QUAm-1]]  +ConsolidadoSP[[#This Row],[QNm]]  -ConsolidadoSP[[#This Row],[QBm]] -ConsolidadoSP[[#This Row],[QDm]])</f>
        <v>0</v>
      </c>
      <c r="O14" s="113">
        <f>IF( ConsolidadoSP[[#This Row],[FC = V1/V2]] = "", "", ConsolidadoSP[[#This Row],[FC = V1/V2]] * ConsolidadoSP[[#This Row],[QUAm]])</f>
        <v>0</v>
      </c>
      <c r="P14" s="124">
        <f>IF( ConsolidadoSP[[#This Row],[Contrato]] = "", "", IFERROR( VLOOKUP(ConsolidadoSP[[#This Row],[Contrato]],TabelaIRON[[Linha de Serviço PPU]:[PREÇO UNITÁRIO ]],3,0),"Nao Encontrado"))</f>
        <v>0.08</v>
      </c>
      <c r="Q14" s="124">
        <f>IF(ConsolidadoSP[[#This Row],[FC = V1/V2]]="","", ConsolidadoSP[[#This Row],[UA]]  * ConsolidadoSP[[#This Row],[$ Unitário]])</f>
        <v>0</v>
      </c>
      <c r="R14" s="96" t="s">
        <v>127</v>
      </c>
      <c r="S14" s="121" t="s">
        <v>76</v>
      </c>
      <c r="T14" s="6"/>
      <c r="U14" s="6"/>
      <c r="V14" s="6"/>
      <c r="W14" s="6"/>
      <c r="X14" s="6"/>
      <c r="Y14" s="6"/>
    </row>
    <row r="15" spans="1:25" ht="14.25" customHeight="1" x14ac:dyDescent="0.3">
      <c r="A15" s="94" t="s">
        <v>110</v>
      </c>
      <c r="B15" s="105" t="s">
        <v>172</v>
      </c>
      <c r="C15" s="112">
        <f>IFERROR( VLOOKUP(ConsolidadoSP[[#This Row],[MEDIDAS CONTRATO]],MedidasContrato[[MEDIDAS CONTRATO]:[Ø]],2,0),"")</f>
        <v>0</v>
      </c>
      <c r="D15" s="112">
        <f>IFERROR( VLOOKUP(ConsolidadoSP[[#This Row],[MEDIDAS CONTRATO]],MedidasContrato[],3,0),"")</f>
        <v>10</v>
      </c>
      <c r="E15" s="112">
        <f>IFERROR( VLOOKUP(ConsolidadoSP[[#This Row],[MEDIDAS CONTRATO]],MedidasContrato[],4,0),"")</f>
        <v>10</v>
      </c>
      <c r="F15" s="112">
        <f>IFERROR( VLOOKUP(ConsolidadoSP[[#This Row],[MEDIDAS CONTRATO]],MedidasContrato[],5,0),"")</f>
        <v>2.5</v>
      </c>
      <c r="G15" s="113">
        <f>Consolidado!$D15*Consolidado!$E15*Consolidado!$F15</f>
        <v>250</v>
      </c>
      <c r="H15" s="151">
        <f t="shared" si="0"/>
        <v>250</v>
      </c>
      <c r="I15" s="116">
        <v>1</v>
      </c>
      <c r="J15" s="95">
        <v>0</v>
      </c>
      <c r="K15" s="95">
        <v>0</v>
      </c>
      <c r="L15" s="95">
        <v>0</v>
      </c>
      <c r="M15" s="95">
        <v>0</v>
      </c>
      <c r="N15" s="113">
        <f xml:space="preserve"> IF( ConsolidadoSP[[#This Row],[QUAm-1]] = "", "", ConsolidadoSP[[#This Row],[QUAm-1]]  +ConsolidadoSP[[#This Row],[QNm]]  -ConsolidadoSP[[#This Row],[QBm]] -ConsolidadoSP[[#This Row],[QDm]])</f>
        <v>0</v>
      </c>
      <c r="O15" s="113">
        <f>IF( ConsolidadoSP[[#This Row],[FC = V1/V2]] = "", "", ConsolidadoSP[[#This Row],[FC = V1/V2]] * ConsolidadoSP[[#This Row],[QUAm]])</f>
        <v>0</v>
      </c>
      <c r="P15" s="124">
        <f>IF( ConsolidadoSP[[#This Row],[Contrato]] = "", "", IFERROR( VLOOKUP(ConsolidadoSP[[#This Row],[Contrato]],TabelaIRON[[Linha de Serviço PPU]:[PREÇO UNITÁRIO ]],3,0),"Nao Encontrado"))</f>
        <v>0.08</v>
      </c>
      <c r="Q15" s="124">
        <f>IF(ConsolidadoSP[[#This Row],[FC = V1/V2]]="","", ConsolidadoSP[[#This Row],[UA]]  * ConsolidadoSP[[#This Row],[$ Unitário]])</f>
        <v>0</v>
      </c>
      <c r="R15" s="96" t="s">
        <v>114</v>
      </c>
      <c r="S15" s="121" t="s">
        <v>72</v>
      </c>
      <c r="T15" s="6"/>
      <c r="U15" s="6"/>
      <c r="V15" s="6"/>
      <c r="W15" s="6"/>
      <c r="X15" s="6"/>
      <c r="Y15" s="6"/>
    </row>
    <row r="16" spans="1:25" ht="14.25" customHeight="1" x14ac:dyDescent="0.3">
      <c r="A16" s="94" t="s">
        <v>115</v>
      </c>
      <c r="B16" s="105" t="s">
        <v>116</v>
      </c>
      <c r="C16" s="112">
        <f>IFERROR( VLOOKUP(ConsolidadoSP[[#This Row],[MEDIDAS CONTRATO]],MedidasContrato[[MEDIDAS CONTRATO]:[Ø]],2,0),"")</f>
        <v>0</v>
      </c>
      <c r="D16" s="112">
        <f>IFERROR( VLOOKUP(ConsolidadoSP[[#This Row],[MEDIDAS CONTRATO]],MedidasContrato[],3,0),"")</f>
        <v>11</v>
      </c>
      <c r="E16" s="112">
        <f>IFERROR( VLOOKUP(ConsolidadoSP[[#This Row],[MEDIDAS CONTRATO]],MedidasContrato[],4,0),"")</f>
        <v>15.5</v>
      </c>
      <c r="F16" s="112">
        <f>IFERROR( VLOOKUP(ConsolidadoSP[[#This Row],[MEDIDAS CONTRATO]],MedidasContrato[],5,0),"")</f>
        <v>0.3</v>
      </c>
      <c r="G16" s="113">
        <f>Consolidado!$D16*Consolidado!$E16*Consolidado!$F16</f>
        <v>51.15</v>
      </c>
      <c r="H16" s="151">
        <f t="shared" si="0"/>
        <v>275</v>
      </c>
      <c r="I16" s="116">
        <v>0.186</v>
      </c>
      <c r="J16" s="95">
        <v>0</v>
      </c>
      <c r="K16" s="95">
        <v>0</v>
      </c>
      <c r="L16" s="95">
        <v>0</v>
      </c>
      <c r="M16" s="95">
        <v>0</v>
      </c>
      <c r="N16" s="113">
        <f xml:space="preserve"> IF( ConsolidadoSP[[#This Row],[QUAm-1]] = "", "", ConsolidadoSP[[#This Row],[QUAm-1]]  +ConsolidadoSP[[#This Row],[QNm]]  -ConsolidadoSP[[#This Row],[QBm]] -ConsolidadoSP[[#This Row],[QDm]])</f>
        <v>0</v>
      </c>
      <c r="O16" s="113">
        <f>IF( ConsolidadoSP[[#This Row],[FC = V1/V2]] = "", "", ConsolidadoSP[[#This Row],[FC = V1/V2]] * ConsolidadoSP[[#This Row],[QUAm]])</f>
        <v>0</v>
      </c>
      <c r="P16" s="124">
        <f>IF( ConsolidadoSP[[#This Row],[Contrato]] = "", "", IFERROR( VLOOKUP(ConsolidadoSP[[#This Row],[Contrato]],TabelaIRON[[Linha de Serviço PPU]:[PREÇO UNITÁRIO ]],3,0),"Nao Encontrado"))</f>
        <v>0.08</v>
      </c>
      <c r="Q16" s="124">
        <f>IF(ConsolidadoSP[[#This Row],[FC = V1/V2]]="","", ConsolidadoSP[[#This Row],[UA]]  * ConsolidadoSP[[#This Row],[$ Unitário]])</f>
        <v>0</v>
      </c>
      <c r="R16" s="96" t="s">
        <v>114</v>
      </c>
      <c r="S16" s="121" t="s">
        <v>72</v>
      </c>
      <c r="T16" s="6"/>
      <c r="U16" s="6"/>
      <c r="V16" s="6"/>
      <c r="W16" s="6"/>
      <c r="X16" s="6"/>
      <c r="Y16" s="6"/>
    </row>
    <row r="17" spans="1:25" ht="14.25" customHeight="1" x14ac:dyDescent="0.3">
      <c r="A17" s="94"/>
      <c r="B17" s="105"/>
      <c r="C17" s="112" t="str">
        <f>IFERROR( VLOOKUP(ConsolidadoSP[[#This Row],[MEDIDAS CONTRATO]],MedidasContrato[[MEDIDAS CONTRATO]:[Ø]],2,0),"")</f>
        <v/>
      </c>
      <c r="D17" s="112" t="str">
        <f>IFERROR( VLOOKUP(ConsolidadoSP[[#This Row],[MEDIDAS CONTRATO]],MedidasContrato[],3,0),"")</f>
        <v/>
      </c>
      <c r="E17" s="112" t="str">
        <f>IFERROR( VLOOKUP(ConsolidadoSP[[#This Row],[MEDIDAS CONTRATO]],MedidasContrato[],4,0),"")</f>
        <v/>
      </c>
      <c r="F17" s="112" t="str">
        <f>IFERROR( VLOOKUP(ConsolidadoSP[[#This Row],[MEDIDAS CONTRATO]],MedidasContrato[],5,0),"")</f>
        <v/>
      </c>
      <c r="G17" s="113"/>
      <c r="H17" s="113"/>
      <c r="I17" s="116"/>
      <c r="J17" s="95"/>
      <c r="K17" s="95"/>
      <c r="L17" s="95"/>
      <c r="M17" s="95"/>
      <c r="N17" s="113" t="str">
        <f xml:space="preserve"> IF( ConsolidadoSP[[#This Row],[QUAm-1]] = "", "", ConsolidadoSP[[#This Row],[QUAm-1]]  +ConsolidadoSP[[#This Row],[QNm]]  -ConsolidadoSP[[#This Row],[QBm]] -ConsolidadoSP[[#This Row],[QDm]])</f>
        <v/>
      </c>
      <c r="O17" s="113" t="str">
        <f>IF( ConsolidadoSP[[#This Row],[FC = V1/V2]] = "", "", ConsolidadoSP[[#This Row],[FC = V1/V2]] * ConsolidadoSP[[#This Row],[QUAm]])</f>
        <v/>
      </c>
      <c r="P17" s="124" t="str">
        <f>IF( ConsolidadoSP[[#This Row],[Contrato]] = "", "", IFERROR( VLOOKUP(ConsolidadoSP[[#This Row],[Contrato]],TabelaIRON[[Linha de Serviço PPU]:[PREÇO UNITÁRIO ]],3,0),"Nao Encontrado"))</f>
        <v/>
      </c>
      <c r="Q17" s="124" t="str">
        <f>IF(ConsolidadoSP[[#This Row],[FC = V1/V2]]="","", ConsolidadoSP[[#This Row],[UA]]  * ConsolidadoSP[[#This Row],[$ Unitário]])</f>
        <v/>
      </c>
      <c r="R17" s="96"/>
      <c r="S17" s="121"/>
      <c r="T17" s="6"/>
      <c r="U17" s="6"/>
      <c r="V17" s="6"/>
      <c r="W17" s="6"/>
      <c r="X17" s="6"/>
      <c r="Y17" s="6"/>
    </row>
    <row r="18" spans="1:25" ht="14.25" customHeight="1" x14ac:dyDescent="0.3">
      <c r="A18" s="94"/>
      <c r="B18" s="105"/>
      <c r="C18" s="112" t="str">
        <f>IFERROR( VLOOKUP(ConsolidadoSP[[#This Row],[MEDIDAS CONTRATO]],MedidasContrato[[MEDIDAS CONTRATO]:[Ø]],2,0),"")</f>
        <v/>
      </c>
      <c r="D18" s="112" t="str">
        <f>IFERROR( VLOOKUP(ConsolidadoSP[[#This Row],[MEDIDAS CONTRATO]],MedidasContrato[],3,0),"")</f>
        <v/>
      </c>
      <c r="E18" s="112" t="str">
        <f>IFERROR( VLOOKUP(ConsolidadoSP[[#This Row],[MEDIDAS CONTRATO]],MedidasContrato[],4,0),"")</f>
        <v/>
      </c>
      <c r="F18" s="112" t="str">
        <f>IFERROR( VLOOKUP(ConsolidadoSP[[#This Row],[MEDIDAS CONTRATO]],MedidasContrato[],5,0),"")</f>
        <v/>
      </c>
      <c r="G18" s="113"/>
      <c r="H18" s="113"/>
      <c r="I18" s="116"/>
      <c r="J18" s="95"/>
      <c r="K18" s="95"/>
      <c r="L18" s="95"/>
      <c r="M18" s="95"/>
      <c r="N18" s="113" t="str">
        <f xml:space="preserve"> IF( ConsolidadoSP[[#This Row],[QUAm-1]] = "", "", ConsolidadoSP[[#This Row],[QUAm-1]]  +ConsolidadoSP[[#This Row],[QNm]]  -ConsolidadoSP[[#This Row],[QBm]] -ConsolidadoSP[[#This Row],[QDm]])</f>
        <v/>
      </c>
      <c r="O18" s="113" t="str">
        <f>IF( ConsolidadoSP[[#This Row],[FC = V1/V2]] = "", "", ConsolidadoSP[[#This Row],[FC = V1/V2]] * ConsolidadoSP[[#This Row],[QUAm]])</f>
        <v/>
      </c>
      <c r="P18" s="124" t="str">
        <f>IF( ConsolidadoSP[[#This Row],[Contrato]] = "", "", IFERROR( VLOOKUP(ConsolidadoSP[[#This Row],[Contrato]],TabelaIRON[[Linha de Serviço PPU]:[PREÇO UNITÁRIO ]],3,0),"Nao Encontrado"))</f>
        <v/>
      </c>
      <c r="Q18" s="124" t="str">
        <f>IF(ConsolidadoSP[[#This Row],[FC = V1/V2]]="","", ConsolidadoSP[[#This Row],[UA]]  * ConsolidadoSP[[#This Row],[$ Unitário]])</f>
        <v/>
      </c>
      <c r="R18" s="96"/>
      <c r="S18" s="121"/>
      <c r="T18" s="6"/>
      <c r="U18" s="6"/>
      <c r="V18" s="6"/>
      <c r="W18" s="6"/>
      <c r="X18" s="6"/>
      <c r="Y18" s="6"/>
    </row>
    <row r="19" spans="1:25" ht="14.25" customHeight="1" x14ac:dyDescent="0.3">
      <c r="A19" s="94"/>
      <c r="B19" s="105"/>
      <c r="C19" s="112" t="str">
        <f>IFERROR( VLOOKUP(ConsolidadoSP[[#This Row],[MEDIDAS CONTRATO]],MedidasContrato[[MEDIDAS CONTRATO]:[Ø]],2,0),"")</f>
        <v/>
      </c>
      <c r="D19" s="112" t="str">
        <f>IFERROR( VLOOKUP(ConsolidadoSP[[#This Row],[MEDIDAS CONTRATO]],MedidasContrato[],3,0),"")</f>
        <v/>
      </c>
      <c r="E19" s="112" t="str">
        <f>IFERROR( VLOOKUP(ConsolidadoSP[[#This Row],[MEDIDAS CONTRATO]],MedidasContrato[],4,0),"")</f>
        <v/>
      </c>
      <c r="F19" s="112" t="str">
        <f>IFERROR( VLOOKUP(ConsolidadoSP[[#This Row],[MEDIDAS CONTRATO]],MedidasContrato[],5,0),"")</f>
        <v/>
      </c>
      <c r="G19" s="113"/>
      <c r="H19" s="113"/>
      <c r="I19" s="116"/>
      <c r="J19" s="95"/>
      <c r="K19" s="95"/>
      <c r="L19" s="95"/>
      <c r="M19" s="95"/>
      <c r="N19" s="113" t="str">
        <f xml:space="preserve"> IF( ConsolidadoSP[[#This Row],[QUAm-1]] = "", "", ConsolidadoSP[[#This Row],[QUAm-1]]  +ConsolidadoSP[[#This Row],[QNm]]  -ConsolidadoSP[[#This Row],[QBm]] -ConsolidadoSP[[#This Row],[QDm]])</f>
        <v/>
      </c>
      <c r="O19" s="113" t="str">
        <f>IF( ConsolidadoSP[[#This Row],[FC = V1/V2]] = "", "", ConsolidadoSP[[#This Row],[FC = V1/V2]] * ConsolidadoSP[[#This Row],[QUAm]])</f>
        <v/>
      </c>
      <c r="P19" s="124" t="str">
        <f>IF( ConsolidadoSP[[#This Row],[Contrato]] = "", "", IFERROR( VLOOKUP(ConsolidadoSP[[#This Row],[Contrato]],TabelaIRON[[Linha de Serviço PPU]:[PREÇO UNITÁRIO ]],3,0),"Nao Encontrado"))</f>
        <v/>
      </c>
      <c r="Q19" s="124" t="str">
        <f>IF(ConsolidadoSP[[#This Row],[FC = V1/V2]]="","", ConsolidadoSP[[#This Row],[UA]]  * ConsolidadoSP[[#This Row],[$ Unitário]])</f>
        <v/>
      </c>
      <c r="R19" s="96"/>
      <c r="S19" s="121"/>
      <c r="T19" s="6"/>
      <c r="U19" s="6"/>
      <c r="V19" s="6"/>
      <c r="W19" s="6"/>
      <c r="X19" s="6"/>
      <c r="Y19" s="6"/>
    </row>
    <row r="20" spans="1:25" ht="14.25" customHeight="1" x14ac:dyDescent="0.3">
      <c r="A20" s="94"/>
      <c r="B20" s="105"/>
      <c r="C20" s="112" t="str">
        <f>IFERROR( VLOOKUP(ConsolidadoSP[[#This Row],[MEDIDAS CONTRATO]],MedidasContrato[[MEDIDAS CONTRATO]:[Ø]],2,0),"")</f>
        <v/>
      </c>
      <c r="D20" s="112" t="str">
        <f>IFERROR( VLOOKUP(ConsolidadoSP[[#This Row],[MEDIDAS CONTRATO]],MedidasContrato[],3,0),"")</f>
        <v/>
      </c>
      <c r="E20" s="112" t="str">
        <f>IFERROR( VLOOKUP(ConsolidadoSP[[#This Row],[MEDIDAS CONTRATO]],MedidasContrato[],4,0),"")</f>
        <v/>
      </c>
      <c r="F20" s="112" t="str">
        <f>IFERROR( VLOOKUP(ConsolidadoSP[[#This Row],[MEDIDAS CONTRATO]],MedidasContrato[],5,0),"")</f>
        <v/>
      </c>
      <c r="G20" s="113"/>
      <c r="H20" s="113"/>
      <c r="I20" s="116"/>
      <c r="J20" s="95"/>
      <c r="K20" s="95"/>
      <c r="L20" s="95"/>
      <c r="M20" s="95"/>
      <c r="N20" s="113" t="str">
        <f xml:space="preserve"> IF( ConsolidadoSP[[#This Row],[QUAm-1]] = "", "", ConsolidadoSP[[#This Row],[QUAm-1]]  +ConsolidadoSP[[#This Row],[QNm]]  -ConsolidadoSP[[#This Row],[QBm]] -ConsolidadoSP[[#This Row],[QDm]])</f>
        <v/>
      </c>
      <c r="O20" s="113" t="str">
        <f>IF( ConsolidadoSP[[#This Row],[FC = V1/V2]] = "", "", ConsolidadoSP[[#This Row],[FC = V1/V2]] * ConsolidadoSP[[#This Row],[QUAm]])</f>
        <v/>
      </c>
      <c r="P20" s="124" t="str">
        <f>IF( ConsolidadoSP[[#This Row],[Contrato]] = "", "", IFERROR( VLOOKUP(ConsolidadoSP[[#This Row],[Contrato]],TabelaIRON[[Linha de Serviço PPU]:[PREÇO UNITÁRIO ]],3,0),"Nao Encontrado"))</f>
        <v/>
      </c>
      <c r="Q20" s="124" t="str">
        <f>IF(ConsolidadoSP[[#This Row],[FC = V1/V2]]="","", ConsolidadoSP[[#This Row],[UA]]  * ConsolidadoSP[[#This Row],[$ Unitário]])</f>
        <v/>
      </c>
      <c r="R20" s="96"/>
      <c r="S20" s="121"/>
      <c r="T20" s="6"/>
      <c r="U20" s="6"/>
      <c r="V20" s="6"/>
      <c r="W20" s="6"/>
      <c r="X20" s="6"/>
      <c r="Y20" s="6"/>
    </row>
    <row r="21" spans="1:25" ht="14.25" customHeight="1" x14ac:dyDescent="0.3">
      <c r="A21" s="94"/>
      <c r="B21" s="105"/>
      <c r="C21" s="112" t="str">
        <f>IFERROR( VLOOKUP(ConsolidadoSP[[#This Row],[MEDIDAS CONTRATO]],MedidasContrato[[MEDIDAS CONTRATO]:[Ø]],2,0),"")</f>
        <v/>
      </c>
      <c r="D21" s="112" t="str">
        <f>IFERROR( VLOOKUP(ConsolidadoSP[[#This Row],[MEDIDAS CONTRATO]],MedidasContrato[],3,0),"")</f>
        <v/>
      </c>
      <c r="E21" s="112" t="str">
        <f>IFERROR( VLOOKUP(ConsolidadoSP[[#This Row],[MEDIDAS CONTRATO]],MedidasContrato[],4,0),"")</f>
        <v/>
      </c>
      <c r="F21" s="112" t="str">
        <f>IFERROR( VLOOKUP(ConsolidadoSP[[#This Row],[MEDIDAS CONTRATO]],MedidasContrato[],5,0),"")</f>
        <v/>
      </c>
      <c r="G21" s="113"/>
      <c r="H21" s="113"/>
      <c r="I21" s="116"/>
      <c r="J21" s="95"/>
      <c r="K21" s="95"/>
      <c r="L21" s="95"/>
      <c r="M21" s="95"/>
      <c r="N21" s="113" t="str">
        <f xml:space="preserve"> IF( ConsolidadoSP[[#This Row],[QUAm-1]] = "", "", ConsolidadoSP[[#This Row],[QUAm-1]]  +ConsolidadoSP[[#This Row],[QNm]]  -ConsolidadoSP[[#This Row],[QBm]] -ConsolidadoSP[[#This Row],[QDm]])</f>
        <v/>
      </c>
      <c r="O21" s="113" t="str">
        <f>IF( ConsolidadoSP[[#This Row],[FC = V1/V2]] = "", "", ConsolidadoSP[[#This Row],[FC = V1/V2]] * ConsolidadoSP[[#This Row],[QUAm]])</f>
        <v/>
      </c>
      <c r="P21" s="124" t="str">
        <f>IF( ConsolidadoSP[[#This Row],[Contrato]] = "", "", IFERROR( VLOOKUP(ConsolidadoSP[[#This Row],[Contrato]],TabelaIRON[[Linha de Serviço PPU]:[PREÇO UNITÁRIO ]],3,0),"Nao Encontrado"))</f>
        <v/>
      </c>
      <c r="Q21" s="124" t="str">
        <f>IF(ConsolidadoSP[[#This Row],[FC = V1/V2]]="","", ConsolidadoSP[[#This Row],[UA]]  * ConsolidadoSP[[#This Row],[$ Unitário]])</f>
        <v/>
      </c>
      <c r="R21" s="96"/>
      <c r="S21" s="121"/>
      <c r="T21" s="6"/>
      <c r="U21" s="6"/>
      <c r="V21" s="6"/>
      <c r="W21" s="6"/>
      <c r="X21" s="6"/>
      <c r="Y21" s="6"/>
    </row>
    <row r="22" spans="1:25" ht="14.25" customHeight="1" x14ac:dyDescent="0.3">
      <c r="A22" s="94"/>
      <c r="B22" s="105"/>
      <c r="C22" s="112" t="str">
        <f>IFERROR( VLOOKUP(ConsolidadoSP[[#This Row],[MEDIDAS CONTRATO]],MedidasContrato[[MEDIDAS CONTRATO]:[Ø]],2,0),"")</f>
        <v/>
      </c>
      <c r="D22" s="112" t="str">
        <f>IFERROR( VLOOKUP(ConsolidadoSP[[#This Row],[MEDIDAS CONTRATO]],MedidasContrato[],3,0),"")</f>
        <v/>
      </c>
      <c r="E22" s="112" t="str">
        <f>IFERROR( VLOOKUP(ConsolidadoSP[[#This Row],[MEDIDAS CONTRATO]],MedidasContrato[],4,0),"")</f>
        <v/>
      </c>
      <c r="F22" s="112" t="str">
        <f>IFERROR( VLOOKUP(ConsolidadoSP[[#This Row],[MEDIDAS CONTRATO]],MedidasContrato[],5,0),"")</f>
        <v/>
      </c>
      <c r="G22" s="113"/>
      <c r="H22" s="113"/>
      <c r="I22" s="116"/>
      <c r="J22" s="95"/>
      <c r="K22" s="95"/>
      <c r="L22" s="95"/>
      <c r="M22" s="95"/>
      <c r="N22" s="113" t="str">
        <f xml:space="preserve"> IF( ConsolidadoSP[[#This Row],[QUAm-1]] = "", "", ConsolidadoSP[[#This Row],[QUAm-1]]  +ConsolidadoSP[[#This Row],[QNm]]  -ConsolidadoSP[[#This Row],[QBm]] -ConsolidadoSP[[#This Row],[QDm]])</f>
        <v/>
      </c>
      <c r="O22" s="113" t="str">
        <f>IF( ConsolidadoSP[[#This Row],[FC = V1/V2]] = "", "", ConsolidadoSP[[#This Row],[FC = V1/V2]] * ConsolidadoSP[[#This Row],[QUAm]])</f>
        <v/>
      </c>
      <c r="P22" s="124" t="str">
        <f>IF( ConsolidadoSP[[#This Row],[Contrato]] = "", "", IFERROR( VLOOKUP(ConsolidadoSP[[#This Row],[Contrato]],TabelaIRON[[Linha de Serviço PPU]:[PREÇO UNITÁRIO ]],3,0),"Nao Encontrado"))</f>
        <v/>
      </c>
      <c r="Q22" s="124" t="str">
        <f>IF(ConsolidadoSP[[#This Row],[FC = V1/V2]]="","", ConsolidadoSP[[#This Row],[UA]]  * ConsolidadoSP[[#This Row],[$ Unitário]])</f>
        <v/>
      </c>
      <c r="R22" s="96"/>
      <c r="S22" s="121"/>
      <c r="T22" s="6"/>
      <c r="U22" s="6"/>
      <c r="V22" s="6"/>
      <c r="W22" s="6"/>
      <c r="X22" s="6"/>
      <c r="Y22" s="6"/>
    </row>
    <row r="23" spans="1:25" ht="14.25" customHeight="1" x14ac:dyDescent="0.3">
      <c r="A23" s="94"/>
      <c r="B23" s="105"/>
      <c r="C23" s="112" t="str">
        <f>IFERROR( VLOOKUP(ConsolidadoSP[[#This Row],[MEDIDAS CONTRATO]],MedidasContrato[[MEDIDAS CONTRATO]:[Ø]],2,0),"")</f>
        <v/>
      </c>
      <c r="D23" s="112" t="str">
        <f>IFERROR( VLOOKUP(ConsolidadoSP[[#This Row],[MEDIDAS CONTRATO]],MedidasContrato[],3,0),"")</f>
        <v/>
      </c>
      <c r="E23" s="112" t="str">
        <f>IFERROR( VLOOKUP(ConsolidadoSP[[#This Row],[MEDIDAS CONTRATO]],MedidasContrato[],4,0),"")</f>
        <v/>
      </c>
      <c r="F23" s="112" t="str">
        <f>IFERROR( VLOOKUP(ConsolidadoSP[[#This Row],[MEDIDAS CONTRATO]],MedidasContrato[],5,0),"")</f>
        <v/>
      </c>
      <c r="G23" s="113"/>
      <c r="H23" s="113"/>
      <c r="I23" s="116"/>
      <c r="J23" s="95"/>
      <c r="K23" s="95"/>
      <c r="L23" s="95"/>
      <c r="M23" s="95"/>
      <c r="N23" s="113" t="str">
        <f xml:space="preserve"> IF( ConsolidadoSP[[#This Row],[QUAm-1]] = "", "", ConsolidadoSP[[#This Row],[QUAm-1]]  +ConsolidadoSP[[#This Row],[QNm]]  -ConsolidadoSP[[#This Row],[QBm]] -ConsolidadoSP[[#This Row],[QDm]])</f>
        <v/>
      </c>
      <c r="O23" s="113" t="str">
        <f>IF( ConsolidadoSP[[#This Row],[FC = V1/V2]] = "", "", ConsolidadoSP[[#This Row],[FC = V1/V2]] * ConsolidadoSP[[#This Row],[QUAm]])</f>
        <v/>
      </c>
      <c r="P23" s="124" t="str">
        <f>IF( ConsolidadoSP[[#This Row],[Contrato]] = "", "", IFERROR( VLOOKUP(ConsolidadoSP[[#This Row],[Contrato]],TabelaIRON[[Linha de Serviço PPU]:[PREÇO UNITÁRIO ]],3,0),"Nao Encontrado"))</f>
        <v/>
      </c>
      <c r="Q23" s="124" t="str">
        <f>IF(ConsolidadoSP[[#This Row],[FC = V1/V2]]="","", ConsolidadoSP[[#This Row],[UA]]  * ConsolidadoSP[[#This Row],[$ Unitário]])</f>
        <v/>
      </c>
      <c r="R23" s="96"/>
      <c r="S23" s="121"/>
      <c r="T23" s="6"/>
      <c r="U23" s="6"/>
      <c r="V23" s="6"/>
      <c r="W23" s="6"/>
      <c r="X23" s="6"/>
      <c r="Y23" s="6"/>
    </row>
    <row r="24" spans="1:25" ht="14.25" customHeight="1" x14ac:dyDescent="0.3">
      <c r="A24" s="94"/>
      <c r="B24" s="105"/>
      <c r="C24" s="112" t="str">
        <f>IFERROR( VLOOKUP(ConsolidadoSP[[#This Row],[MEDIDAS CONTRATO]],MedidasContrato[[MEDIDAS CONTRATO]:[Ø]],2,0),"")</f>
        <v/>
      </c>
      <c r="D24" s="112" t="str">
        <f>IFERROR( VLOOKUP(ConsolidadoSP[[#This Row],[MEDIDAS CONTRATO]],MedidasContrato[],3,0),"")</f>
        <v/>
      </c>
      <c r="E24" s="112" t="str">
        <f>IFERROR( VLOOKUP(ConsolidadoSP[[#This Row],[MEDIDAS CONTRATO]],MedidasContrato[],4,0),"")</f>
        <v/>
      </c>
      <c r="F24" s="112" t="str">
        <f>IFERROR( VLOOKUP(ConsolidadoSP[[#This Row],[MEDIDAS CONTRATO]],MedidasContrato[],5,0),"")</f>
        <v/>
      </c>
      <c r="G24" s="113"/>
      <c r="H24" s="113"/>
      <c r="I24" s="116"/>
      <c r="J24" s="95"/>
      <c r="K24" s="95"/>
      <c r="L24" s="95"/>
      <c r="M24" s="95"/>
      <c r="N24" s="113" t="str">
        <f xml:space="preserve"> IF( ConsolidadoSP[[#This Row],[QUAm-1]] = "", "", ConsolidadoSP[[#This Row],[QUAm-1]]  +ConsolidadoSP[[#This Row],[QNm]]  -ConsolidadoSP[[#This Row],[QBm]] -ConsolidadoSP[[#This Row],[QDm]])</f>
        <v/>
      </c>
      <c r="O24" s="113" t="str">
        <f>IF( ConsolidadoSP[[#This Row],[FC = V1/V2]] = "", "", ConsolidadoSP[[#This Row],[FC = V1/V2]] * ConsolidadoSP[[#This Row],[QUAm]])</f>
        <v/>
      </c>
      <c r="P24" s="124" t="str">
        <f>IF( ConsolidadoSP[[#This Row],[Contrato]] = "", "", IFERROR( VLOOKUP(ConsolidadoSP[[#This Row],[Contrato]],TabelaIRON[[Linha de Serviço PPU]:[PREÇO UNITÁRIO ]],3,0),"Nao Encontrado"))</f>
        <v/>
      </c>
      <c r="Q24" s="124" t="str">
        <f>IF(ConsolidadoSP[[#This Row],[FC = V1/V2]]="","", ConsolidadoSP[[#This Row],[UA]]  * ConsolidadoSP[[#This Row],[$ Unitário]])</f>
        <v/>
      </c>
      <c r="R24" s="96"/>
      <c r="S24" s="121"/>
      <c r="T24" s="6"/>
      <c r="U24" s="6"/>
      <c r="V24" s="6"/>
      <c r="W24" s="6"/>
      <c r="X24" s="6"/>
      <c r="Y24" s="6"/>
    </row>
    <row r="25" spans="1:25" ht="14.25" customHeight="1" x14ac:dyDescent="0.3">
      <c r="A25" s="94"/>
      <c r="B25" s="105"/>
      <c r="C25" s="112" t="str">
        <f>IFERROR( VLOOKUP(ConsolidadoSP[[#This Row],[MEDIDAS CONTRATO]],MedidasContrato[[MEDIDAS CONTRATO]:[Ø]],2,0),"")</f>
        <v/>
      </c>
      <c r="D25" s="112" t="str">
        <f>IFERROR( VLOOKUP(ConsolidadoSP[[#This Row],[MEDIDAS CONTRATO]],MedidasContrato[],3,0),"")</f>
        <v/>
      </c>
      <c r="E25" s="112" t="str">
        <f>IFERROR( VLOOKUP(ConsolidadoSP[[#This Row],[MEDIDAS CONTRATO]],MedidasContrato[],4,0),"")</f>
        <v/>
      </c>
      <c r="F25" s="112" t="str">
        <f>IFERROR( VLOOKUP(ConsolidadoSP[[#This Row],[MEDIDAS CONTRATO]],MedidasContrato[],5,0),"")</f>
        <v/>
      </c>
      <c r="G25" s="113"/>
      <c r="H25" s="113"/>
      <c r="I25" s="116"/>
      <c r="J25" s="95"/>
      <c r="K25" s="95"/>
      <c r="L25" s="95"/>
      <c r="M25" s="95"/>
      <c r="N25" s="113" t="str">
        <f xml:space="preserve"> IF( ConsolidadoSP[[#This Row],[QUAm-1]] = "", "", ConsolidadoSP[[#This Row],[QUAm-1]]  +ConsolidadoSP[[#This Row],[QNm]]  -ConsolidadoSP[[#This Row],[QBm]] -ConsolidadoSP[[#This Row],[QDm]])</f>
        <v/>
      </c>
      <c r="O25" s="113" t="str">
        <f>IF( ConsolidadoSP[[#This Row],[FC = V1/V2]] = "", "", ConsolidadoSP[[#This Row],[FC = V1/V2]] * ConsolidadoSP[[#This Row],[QUAm]])</f>
        <v/>
      </c>
      <c r="P25" s="124" t="str">
        <f>IF( ConsolidadoSP[[#This Row],[Contrato]] = "", "", IFERROR( VLOOKUP(ConsolidadoSP[[#This Row],[Contrato]],TabelaIRON[[Linha de Serviço PPU]:[PREÇO UNITÁRIO ]],3,0),"Nao Encontrado"))</f>
        <v/>
      </c>
      <c r="Q25" s="124" t="str">
        <f>IF(ConsolidadoSP[[#This Row],[FC = V1/V2]]="","", ConsolidadoSP[[#This Row],[UA]]  * ConsolidadoSP[[#This Row],[$ Unitário]])</f>
        <v/>
      </c>
      <c r="R25" s="96"/>
      <c r="S25" s="121"/>
      <c r="T25" s="6"/>
      <c r="U25" s="6"/>
      <c r="V25" s="6"/>
      <c r="W25" s="6"/>
      <c r="X25" s="6"/>
      <c r="Y25" s="6"/>
    </row>
    <row r="26" spans="1:25" ht="14.25" customHeight="1" x14ac:dyDescent="0.3">
      <c r="A26" s="94"/>
      <c r="B26" s="105"/>
      <c r="C26" s="112" t="str">
        <f>IFERROR( VLOOKUP(ConsolidadoSP[[#This Row],[MEDIDAS CONTRATO]],MedidasContrato[[MEDIDAS CONTRATO]:[Ø]],2,0),"")</f>
        <v/>
      </c>
      <c r="D26" s="112" t="str">
        <f>IFERROR( VLOOKUP(ConsolidadoSP[[#This Row],[MEDIDAS CONTRATO]],MedidasContrato[],3,0),"")</f>
        <v/>
      </c>
      <c r="E26" s="112" t="str">
        <f>IFERROR( VLOOKUP(ConsolidadoSP[[#This Row],[MEDIDAS CONTRATO]],MedidasContrato[],4,0),"")</f>
        <v/>
      </c>
      <c r="F26" s="112" t="str">
        <f>IFERROR( VLOOKUP(ConsolidadoSP[[#This Row],[MEDIDAS CONTRATO]],MedidasContrato[],5,0),"")</f>
        <v/>
      </c>
      <c r="G26" s="113"/>
      <c r="H26" s="113"/>
      <c r="I26" s="116"/>
      <c r="J26" s="95"/>
      <c r="K26" s="95"/>
      <c r="L26" s="95"/>
      <c r="M26" s="95"/>
      <c r="N26" s="113" t="str">
        <f xml:space="preserve"> IF( ConsolidadoSP[[#This Row],[QUAm-1]] = "", "", ConsolidadoSP[[#This Row],[QUAm-1]]  +ConsolidadoSP[[#This Row],[QNm]]  -ConsolidadoSP[[#This Row],[QBm]] -ConsolidadoSP[[#This Row],[QDm]])</f>
        <v/>
      </c>
      <c r="O26" s="113" t="str">
        <f>IF( ConsolidadoSP[[#This Row],[FC = V1/V2]] = "", "", ConsolidadoSP[[#This Row],[FC = V1/V2]] * ConsolidadoSP[[#This Row],[QUAm]])</f>
        <v/>
      </c>
      <c r="P26" s="124" t="str">
        <f>IF( ConsolidadoSP[[#This Row],[Contrato]] = "", "", IFERROR( VLOOKUP(ConsolidadoSP[[#This Row],[Contrato]],TabelaIRON[[Linha de Serviço PPU]:[PREÇO UNITÁRIO ]],3,0),"Nao Encontrado"))</f>
        <v/>
      </c>
      <c r="Q26" s="124" t="str">
        <f>IF(ConsolidadoSP[[#This Row],[FC = V1/V2]]="","", ConsolidadoSP[[#This Row],[UA]]  * ConsolidadoSP[[#This Row],[$ Unitário]])</f>
        <v/>
      </c>
      <c r="R26" s="96"/>
      <c r="S26" s="121"/>
      <c r="T26" s="6"/>
      <c r="U26" s="6"/>
      <c r="V26" s="6"/>
      <c r="W26" s="6"/>
      <c r="X26" s="6"/>
      <c r="Y26" s="6"/>
    </row>
    <row r="27" spans="1:25" ht="14.25" customHeight="1" x14ac:dyDescent="0.3">
      <c r="A27" s="94"/>
      <c r="B27" s="105"/>
      <c r="C27" s="112" t="str">
        <f>IFERROR( VLOOKUP(ConsolidadoSP[[#This Row],[MEDIDAS CONTRATO]],MedidasContrato[[MEDIDAS CONTRATO]:[Ø]],2,0),"")</f>
        <v/>
      </c>
      <c r="D27" s="112" t="str">
        <f>IFERROR( VLOOKUP(ConsolidadoSP[[#This Row],[MEDIDAS CONTRATO]],MedidasContrato[],3,0),"")</f>
        <v/>
      </c>
      <c r="E27" s="112" t="str">
        <f>IFERROR( VLOOKUP(ConsolidadoSP[[#This Row],[MEDIDAS CONTRATO]],MedidasContrato[],4,0),"")</f>
        <v/>
      </c>
      <c r="F27" s="112" t="str">
        <f>IFERROR( VLOOKUP(ConsolidadoSP[[#This Row],[MEDIDAS CONTRATO]],MedidasContrato[],5,0),"")</f>
        <v/>
      </c>
      <c r="G27" s="113"/>
      <c r="H27" s="113"/>
      <c r="I27" s="116"/>
      <c r="J27" s="95"/>
      <c r="K27" s="95"/>
      <c r="L27" s="95"/>
      <c r="M27" s="95"/>
      <c r="N27" s="113" t="str">
        <f xml:space="preserve"> IF( ConsolidadoSP[[#This Row],[QUAm-1]] = "", "", ConsolidadoSP[[#This Row],[QUAm-1]]  +ConsolidadoSP[[#This Row],[QNm]]  -ConsolidadoSP[[#This Row],[QBm]] -ConsolidadoSP[[#This Row],[QDm]])</f>
        <v/>
      </c>
      <c r="O27" s="113" t="str">
        <f>IF( ConsolidadoSP[[#This Row],[FC = V1/V2]] = "", "", ConsolidadoSP[[#This Row],[FC = V1/V2]] * ConsolidadoSP[[#This Row],[QUAm]])</f>
        <v/>
      </c>
      <c r="P27" s="124" t="str">
        <f>IF( ConsolidadoSP[[#This Row],[Contrato]] = "", "", IFERROR( VLOOKUP(ConsolidadoSP[[#This Row],[Contrato]],TabelaIRON[[Linha de Serviço PPU]:[PREÇO UNITÁRIO ]],3,0),"Nao Encontrado"))</f>
        <v/>
      </c>
      <c r="Q27" s="124" t="str">
        <f>IF(ConsolidadoSP[[#This Row],[FC = V1/V2]]="","", ConsolidadoSP[[#This Row],[UA]]  * ConsolidadoSP[[#This Row],[$ Unitário]])</f>
        <v/>
      </c>
      <c r="R27" s="96"/>
      <c r="S27" s="121"/>
      <c r="T27" s="6"/>
      <c r="U27" s="6"/>
      <c r="V27" s="6"/>
      <c r="W27" s="6"/>
      <c r="X27" s="6"/>
      <c r="Y27" s="6"/>
    </row>
    <row r="28" spans="1:25" ht="14.25" customHeight="1" x14ac:dyDescent="0.3">
      <c r="A28" s="94"/>
      <c r="B28" s="105"/>
      <c r="C28" s="112" t="str">
        <f>IFERROR( VLOOKUP(ConsolidadoSP[[#This Row],[MEDIDAS CONTRATO]],MedidasContrato[[MEDIDAS CONTRATO]:[Ø]],2,0),"")</f>
        <v/>
      </c>
      <c r="D28" s="112" t="str">
        <f>IFERROR( VLOOKUP(ConsolidadoSP[[#This Row],[MEDIDAS CONTRATO]],MedidasContrato[],3,0),"")</f>
        <v/>
      </c>
      <c r="E28" s="112" t="str">
        <f>IFERROR( VLOOKUP(ConsolidadoSP[[#This Row],[MEDIDAS CONTRATO]],MedidasContrato[],4,0),"")</f>
        <v/>
      </c>
      <c r="F28" s="112" t="str">
        <f>IFERROR( VLOOKUP(ConsolidadoSP[[#This Row],[MEDIDAS CONTRATO]],MedidasContrato[],5,0),"")</f>
        <v/>
      </c>
      <c r="G28" s="113"/>
      <c r="H28" s="113"/>
      <c r="I28" s="116"/>
      <c r="J28" s="95"/>
      <c r="K28" s="95"/>
      <c r="L28" s="95"/>
      <c r="M28" s="95"/>
      <c r="N28" s="113" t="str">
        <f xml:space="preserve"> IF( ConsolidadoSP[[#This Row],[QUAm-1]] = "", "", ConsolidadoSP[[#This Row],[QUAm-1]]  +ConsolidadoSP[[#This Row],[QNm]]  -ConsolidadoSP[[#This Row],[QBm]] -ConsolidadoSP[[#This Row],[QDm]])</f>
        <v/>
      </c>
      <c r="O28" s="113" t="str">
        <f>IF( ConsolidadoSP[[#This Row],[FC = V1/V2]] = "", "", ConsolidadoSP[[#This Row],[FC = V1/V2]] * ConsolidadoSP[[#This Row],[QUAm]])</f>
        <v/>
      </c>
      <c r="P28" s="124" t="str">
        <f>IF( ConsolidadoSP[[#This Row],[Contrato]] = "", "", IFERROR( VLOOKUP(ConsolidadoSP[[#This Row],[Contrato]],TabelaIRON[[Linha de Serviço PPU]:[PREÇO UNITÁRIO ]],3,0),"Nao Encontrado"))</f>
        <v/>
      </c>
      <c r="Q28" s="124" t="str">
        <f>IF(ConsolidadoSP[[#This Row],[FC = V1/V2]]="","", ConsolidadoSP[[#This Row],[UA]]  * ConsolidadoSP[[#This Row],[$ Unitário]])</f>
        <v/>
      </c>
      <c r="R28" s="96"/>
      <c r="S28" s="121"/>
      <c r="T28" s="6"/>
      <c r="U28" s="6"/>
      <c r="V28" s="6"/>
      <c r="W28" s="6"/>
      <c r="X28" s="6"/>
      <c r="Y28" s="6"/>
    </row>
    <row r="29" spans="1:25" ht="14.25" customHeight="1" x14ac:dyDescent="0.3">
      <c r="A29" s="102"/>
      <c r="B29" s="108"/>
      <c r="C29" s="112" t="str">
        <f>IFERROR( VLOOKUP(ConsolidadoSP[[#This Row],[MEDIDAS CONTRATO]],MedidasContrato[[MEDIDAS CONTRATO]:[Ø]],2,0),"")</f>
        <v/>
      </c>
      <c r="D29" s="112" t="str">
        <f>IFERROR( VLOOKUP(ConsolidadoSP[[#This Row],[MEDIDAS CONTRATO]],MedidasContrato[],3,0),"")</f>
        <v/>
      </c>
      <c r="E29" s="112" t="str">
        <f>IFERROR( VLOOKUP(ConsolidadoSP[[#This Row],[MEDIDAS CONTRATO]],MedidasContrato[],4,0),"")</f>
        <v/>
      </c>
      <c r="F29" s="112" t="str">
        <f>IFERROR( VLOOKUP(ConsolidadoSP[[#This Row],[MEDIDAS CONTRATO]],MedidasContrato[],5,0),"")</f>
        <v/>
      </c>
      <c r="G29" s="115"/>
      <c r="H29" s="115"/>
      <c r="I29" s="119"/>
      <c r="J29" s="103"/>
      <c r="K29" s="103"/>
      <c r="L29" s="103"/>
      <c r="M29" s="103"/>
      <c r="N29" s="113" t="str">
        <f xml:space="preserve"> IF( ConsolidadoSP[[#This Row],[QUAm-1]] = "", "", ConsolidadoSP[[#This Row],[QUAm-1]]  +ConsolidadoSP[[#This Row],[QNm]]  -ConsolidadoSP[[#This Row],[QBm]] -ConsolidadoSP[[#This Row],[QDm]])</f>
        <v/>
      </c>
      <c r="O29" s="113" t="str">
        <f>IF( ConsolidadoSP[[#This Row],[FC = V1/V2]] = "", "", ConsolidadoSP[[#This Row],[FC = V1/V2]] * ConsolidadoSP[[#This Row],[QUAm]])</f>
        <v/>
      </c>
      <c r="P29" s="124" t="str">
        <f>IF( ConsolidadoSP[[#This Row],[Contrato]] = "", "", IFERROR( VLOOKUP(ConsolidadoSP[[#This Row],[Contrato]],TabelaIRON[[Linha de Serviço PPU]:[PREÇO UNITÁRIO ]],3,0),"Nao Encontrado"))</f>
        <v/>
      </c>
      <c r="Q29" s="124" t="str">
        <f>IF(ConsolidadoSP[[#This Row],[FC = V1/V2]]="","", ConsolidadoSP[[#This Row],[UA]]  * ConsolidadoSP[[#This Row],[$ Unitário]])</f>
        <v/>
      </c>
      <c r="R29" s="104"/>
      <c r="S29" s="122"/>
      <c r="T29" s="6"/>
      <c r="U29" s="6"/>
      <c r="V29" s="6"/>
      <c r="W29" s="6"/>
      <c r="X29" s="6"/>
      <c r="Y29" s="6"/>
    </row>
    <row r="30" spans="1:25" ht="14.2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8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14.2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8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4.2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8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4.2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8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14.2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8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14.2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8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14.2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8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14.2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8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14.2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8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14.2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8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14.2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8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14.2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8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14.2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8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ht="14.2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8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ht="14.2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8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14.2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8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14.2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8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14.2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8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14.2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8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4.2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8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4.2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8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4.2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8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4.2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8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4.2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8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4.2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8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4.2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8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4.2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8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4.2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8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4.2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8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4.2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8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4.2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8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4.2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8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4.2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8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4.2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8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4.2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8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4.2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8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4.2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8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4.2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8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4.2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8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4.2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8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4.2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8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4.2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8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4.2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8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4.2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8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4.2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8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4.2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8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4.2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8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4.2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8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4.2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8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14.2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8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14.2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8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14.2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8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ht="14.2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8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ht="14.2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8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ht="14.2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8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ht="14.2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8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14.2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8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ht="14.2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8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ht="14.2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8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ht="14.2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8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ht="14.2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8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ht="14.2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8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ht="14.2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8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14.2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8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14.2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8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14.2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8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ht="14.2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8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14.2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8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14.2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8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ht="14.2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8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ht="14.2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8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4.2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8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4.2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8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4.2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8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4.2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8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4.2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8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4.2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8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4.2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8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4.2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8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4.2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8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4.2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8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4.2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8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4.2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8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4.2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8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4.2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8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4.2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8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4.2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8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4.2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8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4.2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8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4.2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8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4.2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8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4.2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8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4.2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8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4.2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8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4.2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8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4.2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8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4.2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8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4.2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8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4.2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8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4.2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8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4.2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8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4.2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8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4.2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8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4.2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8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4.2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8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4.2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8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4.2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8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4.2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8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4.2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8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4.2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8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4.2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8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4.2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8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4.2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8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4.2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8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4.2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8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4.2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8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4.2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8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4.2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8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4.2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8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4.2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8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4.2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8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4.2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8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4.2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8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4.2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8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4.2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8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4.2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8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4.2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8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4.2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8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4.2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8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4.2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8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4.2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8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4.2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8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4.2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8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4.2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8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4.2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8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4.2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8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4.2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8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4.2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8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4.2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8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4.2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8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4.2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8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4.2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8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4.2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8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4.2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8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4.2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8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4.2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8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4.2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8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4.2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8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4.2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8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4.2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8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4.2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8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4.2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8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4.2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8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4.2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8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4.2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8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4.2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8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4.2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8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4.2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8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4.2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8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4.2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8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4.2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8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4.2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8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4.2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8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4.2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8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4.2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8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4.2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8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4.2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8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4.2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8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4.2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8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4.2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8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4.2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8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4.2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8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4.2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8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4.2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8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4.2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8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4.2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8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4.2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8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4.2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8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4.2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8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4.2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8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4.2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8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4.2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8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4.2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8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4.2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8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4.2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8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4.2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8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4.2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8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4.2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8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4.2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8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4.2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8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4.2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8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4.2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8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14.2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8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14.2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8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14.2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8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14.2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8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14.2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8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14.2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8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14.2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8"/>
      <c r="K228" s="6"/>
      <c r="L228" s="6"/>
      <c r="M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14.2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8"/>
      <c r="K229" s="6"/>
      <c r="L229" s="6"/>
      <c r="M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14.2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8"/>
      <c r="K230" s="6"/>
      <c r="L230" s="6"/>
      <c r="M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14.2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8"/>
      <c r="K231" s="6"/>
      <c r="L231" s="6"/>
      <c r="M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14.2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8"/>
      <c r="K232" s="6"/>
      <c r="L232" s="6"/>
      <c r="M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14.2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8"/>
      <c r="K233" s="6"/>
      <c r="L233" s="6"/>
      <c r="M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14.2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8"/>
      <c r="K234" s="6"/>
      <c r="L234" s="6"/>
      <c r="M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14.2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8"/>
      <c r="K235" s="6"/>
      <c r="L235" s="6"/>
      <c r="M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14.2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8"/>
      <c r="K236" s="6"/>
      <c r="L236" s="6"/>
      <c r="M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ht="14.2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8"/>
      <c r="K237" s="6"/>
      <c r="L237" s="6"/>
      <c r="M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14.2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8"/>
      <c r="K238" s="6"/>
      <c r="L238" s="6"/>
      <c r="M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14.2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8"/>
      <c r="K239" s="6"/>
      <c r="L239" s="6"/>
      <c r="M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14.2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8"/>
      <c r="K240" s="6"/>
      <c r="L240" s="6"/>
      <c r="M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ht="14.2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8"/>
      <c r="K241" s="6"/>
      <c r="L241" s="6"/>
      <c r="M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spans="1:25" ht="14.2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8"/>
      <c r="K242" s="6"/>
      <c r="L242" s="6"/>
      <c r="M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14.2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8"/>
      <c r="K243" s="6"/>
      <c r="L243" s="6"/>
      <c r="M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14.2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8"/>
      <c r="K244" s="6"/>
      <c r="L244" s="6"/>
      <c r="M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14.2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8"/>
      <c r="K245" s="6"/>
      <c r="L245" s="6"/>
      <c r="M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14.2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8"/>
      <c r="K246" s="6"/>
      <c r="L246" s="6"/>
      <c r="M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14.2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8"/>
      <c r="K247" s="6"/>
      <c r="L247" s="6"/>
      <c r="M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14.2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8"/>
      <c r="K248" s="6"/>
      <c r="L248" s="6"/>
      <c r="M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14.2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8"/>
      <c r="K249" s="6"/>
      <c r="L249" s="6"/>
      <c r="M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14.2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8"/>
      <c r="K250" s="6"/>
      <c r="L250" s="6"/>
      <c r="M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14.2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8"/>
      <c r="K251" s="6"/>
      <c r="L251" s="6"/>
      <c r="M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14.2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8"/>
      <c r="K252" s="6"/>
      <c r="L252" s="6"/>
      <c r="M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ht="14.2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8"/>
      <c r="K253" s="6"/>
      <c r="L253" s="6"/>
      <c r="M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14.2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8"/>
      <c r="K254" s="6"/>
      <c r="L254" s="6"/>
      <c r="M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14.2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8"/>
      <c r="K255" s="6"/>
      <c r="L255" s="6"/>
      <c r="M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ht="14.2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8"/>
      <c r="K256" s="6"/>
      <c r="L256" s="6"/>
      <c r="M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14.2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8"/>
      <c r="K257" s="6"/>
      <c r="L257" s="6"/>
      <c r="M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14.2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8"/>
      <c r="K258" s="6"/>
      <c r="L258" s="6"/>
      <c r="M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14.2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8"/>
      <c r="K259" s="6"/>
      <c r="L259" s="6"/>
      <c r="M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14.2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8"/>
      <c r="K260" s="6"/>
      <c r="L260" s="6"/>
      <c r="M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14.2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8"/>
      <c r="K261" s="6"/>
      <c r="L261" s="6"/>
      <c r="M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14.2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8"/>
      <c r="K262" s="6"/>
      <c r="L262" s="6"/>
      <c r="M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14.2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8"/>
      <c r="K263" s="6"/>
      <c r="L263" s="6"/>
      <c r="M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14.2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8"/>
      <c r="K264" s="6"/>
      <c r="L264" s="6"/>
      <c r="M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ht="14.2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8"/>
      <c r="K265" s="6"/>
      <c r="L265" s="6"/>
      <c r="M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14.2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8"/>
      <c r="K266" s="6"/>
      <c r="L266" s="6"/>
      <c r="M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14.2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8"/>
      <c r="K267" s="6"/>
      <c r="L267" s="6"/>
      <c r="M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14.2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8"/>
      <c r="K268" s="6"/>
      <c r="L268" s="6"/>
      <c r="M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14.2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8"/>
      <c r="K269" s="6"/>
      <c r="L269" s="6"/>
      <c r="M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14.2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8"/>
      <c r="K270" s="6"/>
      <c r="L270" s="6"/>
      <c r="M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14.2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8"/>
      <c r="K271" s="6"/>
      <c r="L271" s="6"/>
      <c r="M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14.2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8"/>
      <c r="K272" s="6"/>
      <c r="L272" s="6"/>
      <c r="M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14.2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8"/>
      <c r="K273" s="6"/>
      <c r="L273" s="6"/>
      <c r="M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14.2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8"/>
      <c r="K274" s="6"/>
      <c r="L274" s="6"/>
      <c r="M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ht="14.2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8"/>
      <c r="K275" s="6"/>
      <c r="L275" s="6"/>
      <c r="M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14.2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8"/>
      <c r="K276" s="6"/>
      <c r="L276" s="6"/>
      <c r="M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14.2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8"/>
      <c r="K277" s="6"/>
      <c r="L277" s="6"/>
      <c r="M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14.2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8"/>
      <c r="K278" s="6"/>
      <c r="L278" s="6"/>
      <c r="M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14.2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8"/>
      <c r="K279" s="6"/>
      <c r="L279" s="6"/>
      <c r="M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14.2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8"/>
      <c r="K280" s="6"/>
      <c r="L280" s="6"/>
      <c r="M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14.2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8"/>
      <c r="K281" s="6"/>
      <c r="L281" s="6"/>
      <c r="M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14.2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8"/>
      <c r="K282" s="6"/>
      <c r="L282" s="6"/>
      <c r="M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14.2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8"/>
      <c r="K283" s="6"/>
      <c r="L283" s="6"/>
      <c r="M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14.2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8"/>
      <c r="K284" s="6"/>
      <c r="L284" s="6"/>
      <c r="M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14.2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8"/>
      <c r="K285" s="6"/>
      <c r="L285" s="6"/>
      <c r="M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ht="14.2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8"/>
      <c r="K286" s="6"/>
      <c r="L286" s="6"/>
      <c r="M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14.2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8"/>
      <c r="K287" s="6"/>
      <c r="L287" s="6"/>
      <c r="M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14.2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8"/>
      <c r="K288" s="6"/>
      <c r="L288" s="6"/>
      <c r="M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14.2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8"/>
      <c r="K289" s="6"/>
      <c r="L289" s="6"/>
      <c r="M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14.2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8"/>
      <c r="K290" s="6"/>
      <c r="L290" s="6"/>
      <c r="M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14.2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8"/>
      <c r="K291" s="6"/>
      <c r="L291" s="6"/>
      <c r="M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14.2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8"/>
      <c r="K292" s="6"/>
      <c r="L292" s="6"/>
      <c r="M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14.2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8"/>
      <c r="K293" s="6"/>
      <c r="L293" s="6"/>
      <c r="M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14.2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8"/>
      <c r="K294" s="6"/>
      <c r="L294" s="6"/>
      <c r="M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ht="14.2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8"/>
      <c r="K295" s="6"/>
      <c r="L295" s="6"/>
      <c r="M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14.2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8"/>
      <c r="K296" s="6"/>
      <c r="L296" s="6"/>
      <c r="M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14.2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8"/>
      <c r="K297" s="6"/>
      <c r="L297" s="6"/>
      <c r="M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14.2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8"/>
      <c r="K298" s="6"/>
      <c r="L298" s="6"/>
      <c r="M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14.2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8"/>
      <c r="K299" s="6"/>
      <c r="L299" s="6"/>
      <c r="M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14.2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8"/>
      <c r="K300" s="6"/>
      <c r="L300" s="6"/>
      <c r="M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14.2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8"/>
      <c r="K301" s="6"/>
      <c r="L301" s="6"/>
      <c r="M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14.2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8"/>
      <c r="K302" s="6"/>
      <c r="L302" s="6"/>
      <c r="M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14.2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8"/>
      <c r="K303" s="6"/>
      <c r="L303" s="6"/>
      <c r="M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ht="14.2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8"/>
      <c r="K304" s="6"/>
      <c r="L304" s="6"/>
      <c r="M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14.2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8"/>
      <c r="K305" s="6"/>
      <c r="L305" s="6"/>
      <c r="M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ht="14.2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8"/>
      <c r="K306" s="6"/>
      <c r="L306" s="6"/>
      <c r="M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1:25" ht="14.2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8"/>
      <c r="K307" s="6"/>
      <c r="L307" s="6"/>
      <c r="M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ht="14.2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8"/>
      <c r="K308" s="6"/>
      <c r="L308" s="6"/>
      <c r="M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ht="14.2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8"/>
      <c r="K309" s="6"/>
      <c r="L309" s="6"/>
      <c r="M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14.2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8"/>
      <c r="K310" s="6"/>
      <c r="L310" s="6"/>
      <c r="M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14.2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8"/>
      <c r="K311" s="6"/>
      <c r="L311" s="6"/>
      <c r="M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14.2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8"/>
      <c r="K312" s="6"/>
      <c r="L312" s="6"/>
      <c r="M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ht="14.2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8"/>
      <c r="K313" s="6"/>
      <c r="L313" s="6"/>
      <c r="M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14.2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8"/>
      <c r="K314" s="6"/>
      <c r="L314" s="6"/>
      <c r="M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14.2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8"/>
      <c r="K315" s="6"/>
      <c r="L315" s="6"/>
      <c r="M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14.2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8"/>
      <c r="K316" s="6"/>
      <c r="L316" s="6"/>
      <c r="M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14.2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8"/>
      <c r="K317" s="6"/>
      <c r="L317" s="6"/>
      <c r="M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14.2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8"/>
      <c r="K318" s="6"/>
      <c r="L318" s="6"/>
      <c r="M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14.2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8"/>
      <c r="K319" s="6"/>
      <c r="L319" s="6"/>
      <c r="M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14.2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8"/>
      <c r="K320" s="6"/>
      <c r="L320" s="6"/>
      <c r="M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14.2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8"/>
      <c r="K321" s="6"/>
      <c r="L321" s="6"/>
      <c r="M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14.2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8"/>
      <c r="K322" s="6"/>
      <c r="L322" s="6"/>
      <c r="M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ht="14.2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8"/>
      <c r="K323" s="6"/>
      <c r="L323" s="6"/>
      <c r="M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ht="14.2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8"/>
      <c r="K324" s="6"/>
      <c r="L324" s="6"/>
      <c r="M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ht="14.2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8"/>
      <c r="K325" s="6"/>
      <c r="L325" s="6"/>
      <c r="M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14.2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8"/>
      <c r="K326" s="6"/>
      <c r="L326" s="6"/>
      <c r="M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14.2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8"/>
      <c r="K327" s="6"/>
      <c r="L327" s="6"/>
      <c r="M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14.2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8"/>
      <c r="K328" s="6"/>
      <c r="L328" s="6"/>
      <c r="M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ht="14.2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8"/>
      <c r="K329" s="6"/>
      <c r="L329" s="6"/>
      <c r="M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14.2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8"/>
      <c r="K330" s="6"/>
      <c r="L330" s="6"/>
      <c r="M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14.2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8"/>
      <c r="K331" s="6"/>
      <c r="L331" s="6"/>
      <c r="M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ht="14.2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8"/>
      <c r="K332" s="6"/>
      <c r="L332" s="6"/>
      <c r="M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ht="14.2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8"/>
      <c r="K333" s="6"/>
      <c r="L333" s="6"/>
      <c r="M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spans="1:25" ht="14.2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8"/>
      <c r="K334" s="6"/>
      <c r="L334" s="6"/>
      <c r="M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14.2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8"/>
      <c r="K335" s="6"/>
      <c r="L335" s="6"/>
      <c r="M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14.2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8"/>
      <c r="K336" s="6"/>
      <c r="L336" s="6"/>
      <c r="M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ht="14.2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8"/>
      <c r="K337" s="6"/>
      <c r="L337" s="6"/>
      <c r="M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14.2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8"/>
      <c r="K338" s="6"/>
      <c r="L338" s="6"/>
      <c r="M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14.2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8"/>
      <c r="K339" s="6"/>
      <c r="L339" s="6"/>
      <c r="M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14.2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8"/>
      <c r="K340" s="6"/>
      <c r="L340" s="6"/>
      <c r="M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14.2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8"/>
      <c r="K341" s="6"/>
      <c r="L341" s="6"/>
      <c r="M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ht="14.2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8"/>
      <c r="K342" s="6"/>
      <c r="L342" s="6"/>
      <c r="M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14.2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8"/>
      <c r="K343" s="6"/>
      <c r="L343" s="6"/>
      <c r="M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14.2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8"/>
      <c r="K344" s="6"/>
      <c r="L344" s="6"/>
      <c r="M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14.2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8"/>
      <c r="K345" s="6"/>
      <c r="L345" s="6"/>
      <c r="M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14.2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8"/>
      <c r="K346" s="6"/>
      <c r="L346" s="6"/>
      <c r="M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14.2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8"/>
      <c r="K347" s="6"/>
      <c r="L347" s="6"/>
      <c r="M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14.2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8"/>
      <c r="K348" s="6"/>
      <c r="L348" s="6"/>
      <c r="M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14.2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8"/>
      <c r="K349" s="6"/>
      <c r="L349" s="6"/>
      <c r="M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ht="14.2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8"/>
      <c r="K350" s="6"/>
      <c r="L350" s="6"/>
      <c r="M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14.2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8"/>
      <c r="K351" s="6"/>
      <c r="L351" s="6"/>
      <c r="M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14.2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8"/>
      <c r="K352" s="6"/>
      <c r="L352" s="6"/>
      <c r="M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14.2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8"/>
      <c r="K353" s="6"/>
      <c r="L353" s="6"/>
      <c r="M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ht="14.2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8"/>
      <c r="K354" s="6"/>
      <c r="L354" s="6"/>
      <c r="M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14.2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8"/>
      <c r="K355" s="6"/>
      <c r="L355" s="6"/>
      <c r="M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14.2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8"/>
      <c r="K356" s="6"/>
      <c r="L356" s="6"/>
      <c r="M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14.2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8"/>
      <c r="K357" s="6"/>
      <c r="L357" s="6"/>
      <c r="M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ht="14.2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8"/>
      <c r="K358" s="6"/>
      <c r="L358" s="6"/>
      <c r="M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14.2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8"/>
      <c r="K359" s="6"/>
      <c r="L359" s="6"/>
      <c r="M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14.2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8"/>
      <c r="K360" s="6"/>
      <c r="L360" s="6"/>
      <c r="M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14.2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8"/>
      <c r="K361" s="6"/>
      <c r="L361" s="6"/>
      <c r="M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14.2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8"/>
      <c r="K362" s="6"/>
      <c r="L362" s="6"/>
      <c r="M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14.2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8"/>
      <c r="K363" s="6"/>
      <c r="L363" s="6"/>
      <c r="M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14.2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8"/>
      <c r="K364" s="6"/>
      <c r="L364" s="6"/>
      <c r="M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14.2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8"/>
      <c r="K365" s="6"/>
      <c r="L365" s="6"/>
      <c r="M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14.2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8"/>
      <c r="K366" s="6"/>
      <c r="L366" s="6"/>
      <c r="M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14.2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8"/>
      <c r="K367" s="6"/>
      <c r="L367" s="6"/>
      <c r="M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14.2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8"/>
      <c r="K368" s="6"/>
      <c r="L368" s="6"/>
      <c r="M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14.2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8"/>
      <c r="K369" s="6"/>
      <c r="L369" s="6"/>
      <c r="M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ht="14.2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8"/>
      <c r="K370" s="6"/>
      <c r="L370" s="6"/>
      <c r="M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14.2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8"/>
      <c r="K371" s="6"/>
      <c r="L371" s="6"/>
      <c r="M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14.2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8"/>
      <c r="K372" s="6"/>
      <c r="L372" s="6"/>
      <c r="M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14.2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8"/>
      <c r="K373" s="6"/>
      <c r="L373" s="6"/>
      <c r="M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14.2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8"/>
      <c r="K374" s="6"/>
      <c r="L374" s="6"/>
      <c r="M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14.2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8"/>
      <c r="K375" s="6"/>
      <c r="L375" s="6"/>
      <c r="M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14.2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8"/>
      <c r="K376" s="6"/>
      <c r="L376" s="6"/>
      <c r="M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14.2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8"/>
      <c r="K377" s="6"/>
      <c r="L377" s="6"/>
      <c r="M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14.2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8"/>
      <c r="K378" s="6"/>
      <c r="L378" s="6"/>
      <c r="M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14.2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8"/>
      <c r="K379" s="6"/>
      <c r="L379" s="6"/>
      <c r="M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14.2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8"/>
      <c r="K380" s="6"/>
      <c r="L380" s="6"/>
      <c r="M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ht="14.2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8"/>
      <c r="K381" s="6"/>
      <c r="L381" s="6"/>
      <c r="M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14.2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8"/>
      <c r="K382" s="6"/>
      <c r="L382" s="6"/>
      <c r="M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ht="14.2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8"/>
      <c r="K383" s="6"/>
      <c r="L383" s="6"/>
      <c r="M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ht="14.2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8"/>
      <c r="K384" s="6"/>
      <c r="L384" s="6"/>
      <c r="M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14.2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8"/>
      <c r="K385" s="6"/>
      <c r="L385" s="6"/>
      <c r="M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14.2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8"/>
      <c r="K386" s="6"/>
      <c r="L386" s="6"/>
      <c r="M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ht="14.2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8"/>
      <c r="K387" s="6"/>
      <c r="L387" s="6"/>
      <c r="M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14.2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8"/>
      <c r="K388" s="6"/>
      <c r="L388" s="6"/>
      <c r="M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14.2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8"/>
      <c r="K389" s="6"/>
      <c r="L389" s="6"/>
      <c r="M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14.2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8"/>
      <c r="K390" s="6"/>
      <c r="L390" s="6"/>
      <c r="M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14.2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8"/>
      <c r="K391" s="6"/>
      <c r="L391" s="6"/>
      <c r="M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14.2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8"/>
      <c r="K392" s="6"/>
      <c r="L392" s="6"/>
      <c r="M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ht="14.2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8"/>
      <c r="K393" s="6"/>
      <c r="L393" s="6"/>
      <c r="M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ht="14.2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8"/>
      <c r="K394" s="6"/>
      <c r="L394" s="6"/>
      <c r="M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14.2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8"/>
      <c r="K395" s="6"/>
      <c r="L395" s="6"/>
      <c r="M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14.2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8"/>
      <c r="K396" s="6"/>
      <c r="L396" s="6"/>
      <c r="M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ht="14.2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8"/>
      <c r="K397" s="6"/>
      <c r="L397" s="6"/>
      <c r="M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14.2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8"/>
      <c r="K398" s="6"/>
      <c r="L398" s="6"/>
      <c r="M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14.2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8"/>
      <c r="K399" s="6"/>
      <c r="L399" s="6"/>
      <c r="M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14.2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8"/>
      <c r="K400" s="6"/>
      <c r="L400" s="6"/>
      <c r="M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ht="14.2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8"/>
      <c r="K401" s="6"/>
      <c r="L401" s="6"/>
      <c r="M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ht="14.2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8"/>
      <c r="K402" s="6"/>
      <c r="L402" s="6"/>
      <c r="M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ht="14.2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8"/>
      <c r="K403" s="6"/>
      <c r="L403" s="6"/>
      <c r="M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14.2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8"/>
      <c r="K404" s="6"/>
      <c r="L404" s="6"/>
      <c r="M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ht="14.2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8"/>
      <c r="K405" s="6"/>
      <c r="L405" s="6"/>
      <c r="M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14.2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8"/>
      <c r="K406" s="6"/>
      <c r="L406" s="6"/>
      <c r="M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ht="14.2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8"/>
      <c r="K407" s="6"/>
      <c r="L407" s="6"/>
      <c r="M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14.2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8"/>
      <c r="K408" s="6"/>
      <c r="L408" s="6"/>
      <c r="M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ht="14.2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8"/>
      <c r="K409" s="6"/>
      <c r="L409" s="6"/>
      <c r="M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ht="14.2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8"/>
      <c r="K410" s="6"/>
      <c r="L410" s="6"/>
      <c r="M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ht="14.2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8"/>
      <c r="K411" s="6"/>
      <c r="L411" s="6"/>
      <c r="M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ht="14.2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8"/>
      <c r="K412" s="6"/>
      <c r="L412" s="6"/>
      <c r="M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ht="14.2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8"/>
      <c r="K413" s="6"/>
      <c r="L413" s="6"/>
      <c r="M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14.2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8"/>
      <c r="K414" s="6"/>
      <c r="L414" s="6"/>
      <c r="M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ht="14.2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8"/>
      <c r="K415" s="6"/>
      <c r="L415" s="6"/>
      <c r="M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ht="14.2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8"/>
      <c r="K416" s="6"/>
      <c r="L416" s="6"/>
      <c r="M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ht="14.2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8"/>
      <c r="K417" s="6"/>
      <c r="L417" s="6"/>
      <c r="M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ht="14.2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8"/>
      <c r="K418" s="6"/>
      <c r="L418" s="6"/>
      <c r="M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ht="14.2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8"/>
      <c r="K419" s="6"/>
      <c r="L419" s="6"/>
      <c r="M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14.2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8"/>
      <c r="K420" s="6"/>
      <c r="L420" s="6"/>
      <c r="M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14.2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8"/>
      <c r="K421" s="6"/>
      <c r="L421" s="6"/>
      <c r="M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14.2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8"/>
      <c r="K422" s="6"/>
      <c r="L422" s="6"/>
      <c r="M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14.2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8"/>
      <c r="K423" s="6"/>
      <c r="L423" s="6"/>
      <c r="M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14.2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8"/>
      <c r="K424" s="6"/>
      <c r="L424" s="6"/>
      <c r="M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14.2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8"/>
      <c r="K425" s="6"/>
      <c r="L425" s="6"/>
      <c r="M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14.2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8"/>
      <c r="K426" s="6"/>
      <c r="L426" s="6"/>
      <c r="M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14.2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8"/>
      <c r="K427" s="6"/>
      <c r="L427" s="6"/>
      <c r="M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ht="14.2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8"/>
      <c r="K428" s="6"/>
      <c r="L428" s="6"/>
      <c r="M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ht="14.2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8"/>
      <c r="K429" s="6"/>
      <c r="L429" s="6"/>
      <c r="M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14.2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8"/>
      <c r="K430" s="6"/>
      <c r="L430" s="6"/>
      <c r="M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14.2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8"/>
      <c r="K431" s="6"/>
      <c r="L431" s="6"/>
      <c r="M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14.2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8"/>
      <c r="K432" s="6"/>
      <c r="L432" s="6"/>
      <c r="M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14.2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8"/>
      <c r="K433" s="6"/>
      <c r="L433" s="6"/>
      <c r="M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14.2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8"/>
      <c r="K434" s="6"/>
      <c r="L434" s="6"/>
      <c r="M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14.2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8"/>
      <c r="K435" s="6"/>
      <c r="L435" s="6"/>
      <c r="M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14.2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8"/>
      <c r="K436" s="6"/>
      <c r="L436" s="6"/>
      <c r="M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14.2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8"/>
      <c r="K437" s="6"/>
      <c r="L437" s="6"/>
      <c r="M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14.2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8"/>
      <c r="K438" s="6"/>
      <c r="L438" s="6"/>
      <c r="M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14.2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8"/>
      <c r="K439" s="6"/>
      <c r="L439" s="6"/>
      <c r="M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14.2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8"/>
      <c r="K440" s="6"/>
      <c r="L440" s="6"/>
      <c r="M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14.2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8"/>
      <c r="K441" s="6"/>
      <c r="L441" s="6"/>
      <c r="M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14.2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8"/>
      <c r="K442" s="6"/>
      <c r="L442" s="6"/>
      <c r="M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14.2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8"/>
      <c r="K443" s="6"/>
      <c r="L443" s="6"/>
      <c r="M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14.2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8"/>
      <c r="K444" s="6"/>
      <c r="L444" s="6"/>
      <c r="M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14.2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8"/>
      <c r="K445" s="6"/>
      <c r="L445" s="6"/>
      <c r="M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14.2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8"/>
      <c r="K446" s="6"/>
      <c r="L446" s="6"/>
      <c r="M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14.2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8"/>
      <c r="K447" s="6"/>
      <c r="L447" s="6"/>
      <c r="M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14.2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8"/>
      <c r="K448" s="6"/>
      <c r="L448" s="6"/>
      <c r="M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14.2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8"/>
      <c r="K449" s="6"/>
      <c r="L449" s="6"/>
      <c r="M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14.2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8"/>
      <c r="K450" s="6"/>
      <c r="L450" s="6"/>
      <c r="M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ht="14.2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8"/>
      <c r="K451" s="6"/>
      <c r="L451" s="6"/>
      <c r="M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14.2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8"/>
      <c r="K452" s="6"/>
      <c r="L452" s="6"/>
      <c r="M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14.2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8"/>
      <c r="K453" s="6"/>
      <c r="L453" s="6"/>
      <c r="M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ht="14.2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8"/>
      <c r="K454" s="6"/>
      <c r="L454" s="6"/>
      <c r="M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14.2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8"/>
      <c r="K455" s="6"/>
      <c r="L455" s="6"/>
      <c r="M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14.2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8"/>
      <c r="K456" s="6"/>
      <c r="L456" s="6"/>
      <c r="M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14.2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8"/>
      <c r="K457" s="6"/>
      <c r="L457" s="6"/>
      <c r="M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ht="14.2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8"/>
      <c r="K458" s="6"/>
      <c r="L458" s="6"/>
      <c r="M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ht="14.2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8"/>
      <c r="K459" s="6"/>
      <c r="L459" s="6"/>
      <c r="M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14.2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8"/>
      <c r="K460" s="6"/>
      <c r="L460" s="6"/>
      <c r="M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14.2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8"/>
      <c r="K461" s="6"/>
      <c r="L461" s="6"/>
      <c r="M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14.2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8"/>
      <c r="K462" s="6"/>
      <c r="L462" s="6"/>
      <c r="M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14.2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8"/>
      <c r="K463" s="6"/>
      <c r="L463" s="6"/>
      <c r="M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14.2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8"/>
      <c r="K464" s="6"/>
      <c r="L464" s="6"/>
      <c r="M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14.2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8"/>
      <c r="K465" s="6"/>
      <c r="L465" s="6"/>
      <c r="M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14.2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8"/>
      <c r="K466" s="6"/>
      <c r="L466" s="6"/>
      <c r="M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14.2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8"/>
      <c r="K467" s="6"/>
      <c r="L467" s="6"/>
      <c r="M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14.2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8"/>
      <c r="K468" s="6"/>
      <c r="L468" s="6"/>
      <c r="M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14.2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8"/>
      <c r="K469" s="6"/>
      <c r="L469" s="6"/>
      <c r="M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ht="14.2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8"/>
      <c r="K470" s="6"/>
      <c r="L470" s="6"/>
      <c r="M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ht="14.2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8"/>
      <c r="K471" s="6"/>
      <c r="L471" s="6"/>
      <c r="M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14.2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8"/>
      <c r="K472" s="6"/>
      <c r="L472" s="6"/>
      <c r="M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14.2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8"/>
      <c r="K473" s="6"/>
      <c r="L473" s="6"/>
      <c r="M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14.2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8"/>
      <c r="K474" s="6"/>
      <c r="L474" s="6"/>
      <c r="M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14.2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8"/>
      <c r="K475" s="6"/>
      <c r="L475" s="6"/>
      <c r="M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14.2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8"/>
      <c r="K476" s="6"/>
      <c r="L476" s="6"/>
      <c r="M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14.2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8"/>
      <c r="K477" s="6"/>
      <c r="L477" s="6"/>
      <c r="M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14.2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8"/>
      <c r="K478" s="6"/>
      <c r="L478" s="6"/>
      <c r="M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14.2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8"/>
      <c r="K479" s="6"/>
      <c r="L479" s="6"/>
      <c r="M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ht="14.2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8"/>
      <c r="K480" s="6"/>
      <c r="L480" s="6"/>
      <c r="M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14.2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8"/>
      <c r="K481" s="6"/>
      <c r="L481" s="6"/>
      <c r="M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14.2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8"/>
      <c r="K482" s="6"/>
      <c r="L482" s="6"/>
      <c r="M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14.2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8"/>
      <c r="K483" s="6"/>
      <c r="L483" s="6"/>
      <c r="M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14.2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8"/>
      <c r="K484" s="6"/>
      <c r="L484" s="6"/>
      <c r="M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ht="14.2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8"/>
      <c r="K485" s="6"/>
      <c r="L485" s="6"/>
      <c r="M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ht="14.2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8"/>
      <c r="K486" s="6"/>
      <c r="L486" s="6"/>
      <c r="M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ht="14.2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8"/>
      <c r="K487" s="6"/>
      <c r="L487" s="6"/>
      <c r="M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ht="14.2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8"/>
      <c r="K488" s="6"/>
      <c r="L488" s="6"/>
      <c r="M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ht="14.2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8"/>
      <c r="K489" s="6"/>
      <c r="L489" s="6"/>
      <c r="M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ht="14.2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8"/>
      <c r="K490" s="6"/>
      <c r="L490" s="6"/>
      <c r="M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ht="14.2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8"/>
      <c r="K491" s="6"/>
      <c r="L491" s="6"/>
      <c r="M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ht="14.2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8"/>
      <c r="K492" s="6"/>
      <c r="L492" s="6"/>
      <c r="M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ht="14.2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8"/>
      <c r="K493" s="6"/>
      <c r="L493" s="6"/>
      <c r="M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ht="14.2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8"/>
      <c r="K494" s="6"/>
      <c r="L494" s="6"/>
      <c r="M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ht="14.2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8"/>
      <c r="K495" s="6"/>
      <c r="L495" s="6"/>
      <c r="M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ht="14.2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8"/>
      <c r="K496" s="6"/>
      <c r="L496" s="6"/>
      <c r="M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ht="14.2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8"/>
      <c r="K497" s="6"/>
      <c r="L497" s="6"/>
      <c r="M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ht="14.2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8"/>
      <c r="K498" s="6"/>
      <c r="L498" s="6"/>
      <c r="M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ht="14.2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8"/>
      <c r="K499" s="6"/>
      <c r="L499" s="6"/>
      <c r="M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ht="14.2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8"/>
      <c r="K500" s="6"/>
      <c r="L500" s="6"/>
      <c r="M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ht="14.2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8"/>
      <c r="K501" s="6"/>
      <c r="L501" s="6"/>
      <c r="M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ht="14.2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8"/>
      <c r="K502" s="6"/>
      <c r="L502" s="6"/>
      <c r="M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ht="14.2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8"/>
      <c r="K503" s="6"/>
      <c r="L503" s="6"/>
      <c r="M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ht="14.2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8"/>
      <c r="K504" s="6"/>
      <c r="L504" s="6"/>
      <c r="M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ht="14.2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8"/>
      <c r="K505" s="6"/>
      <c r="L505" s="6"/>
      <c r="M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ht="14.2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8"/>
      <c r="K506" s="6"/>
      <c r="L506" s="6"/>
      <c r="M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ht="14.2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8"/>
      <c r="K507" s="6"/>
      <c r="L507" s="6"/>
      <c r="M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ht="14.2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8"/>
      <c r="K508" s="6"/>
      <c r="L508" s="6"/>
      <c r="M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ht="14.2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8"/>
      <c r="K509" s="6"/>
      <c r="L509" s="6"/>
      <c r="M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ht="14.2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8"/>
      <c r="K510" s="6"/>
      <c r="L510" s="6"/>
      <c r="M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ht="14.2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8"/>
      <c r="K511" s="6"/>
      <c r="L511" s="6"/>
      <c r="M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ht="14.2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8"/>
      <c r="K512" s="6"/>
      <c r="L512" s="6"/>
      <c r="M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14.2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8"/>
      <c r="K513" s="6"/>
      <c r="L513" s="6"/>
      <c r="M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14.2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8"/>
      <c r="K514" s="6"/>
      <c r="L514" s="6"/>
      <c r="M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14.2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8"/>
      <c r="K515" s="6"/>
      <c r="L515" s="6"/>
      <c r="M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14.2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8"/>
      <c r="K516" s="6"/>
      <c r="L516" s="6"/>
      <c r="M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14.2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8"/>
      <c r="K517" s="6"/>
      <c r="L517" s="6"/>
      <c r="M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14.2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8"/>
      <c r="K518" s="6"/>
      <c r="L518" s="6"/>
      <c r="M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14.2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8"/>
      <c r="K519" s="6"/>
      <c r="L519" s="6"/>
      <c r="M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14.2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8"/>
      <c r="K520" s="6"/>
      <c r="L520" s="6"/>
      <c r="M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14.2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8"/>
      <c r="K521" s="6"/>
      <c r="L521" s="6"/>
      <c r="M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14.2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8"/>
      <c r="K522" s="6"/>
      <c r="L522" s="6"/>
      <c r="M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14.2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8"/>
      <c r="K523" s="6"/>
      <c r="L523" s="6"/>
      <c r="M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14.2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8"/>
      <c r="K524" s="6"/>
      <c r="L524" s="6"/>
      <c r="M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14.2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8"/>
      <c r="K525" s="6"/>
      <c r="L525" s="6"/>
      <c r="M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14.2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8"/>
      <c r="K526" s="6"/>
      <c r="L526" s="6"/>
      <c r="M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14.2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8"/>
      <c r="K527" s="6"/>
      <c r="L527" s="6"/>
      <c r="M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14.2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8"/>
      <c r="K528" s="6"/>
      <c r="L528" s="6"/>
      <c r="M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14.2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8"/>
      <c r="K529" s="6"/>
      <c r="L529" s="6"/>
      <c r="M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14.2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8"/>
      <c r="K530" s="6"/>
      <c r="L530" s="6"/>
      <c r="M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14.2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8"/>
      <c r="K531" s="6"/>
      <c r="L531" s="6"/>
      <c r="M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14.2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8"/>
      <c r="K532" s="6"/>
      <c r="L532" s="6"/>
      <c r="M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14.2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8"/>
      <c r="K533" s="6"/>
      <c r="L533" s="6"/>
      <c r="M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14.2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8"/>
      <c r="K534" s="6"/>
      <c r="L534" s="6"/>
      <c r="M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14.2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8"/>
      <c r="K535" s="6"/>
      <c r="L535" s="6"/>
      <c r="M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14.2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8"/>
      <c r="K536" s="6"/>
      <c r="L536" s="6"/>
      <c r="M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14.2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8"/>
      <c r="K537" s="6"/>
      <c r="L537" s="6"/>
      <c r="M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14.2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8"/>
      <c r="K538" s="6"/>
      <c r="L538" s="6"/>
      <c r="M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14.2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8"/>
      <c r="K539" s="6"/>
      <c r="L539" s="6"/>
      <c r="M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14.2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8"/>
      <c r="K540" s="6"/>
      <c r="L540" s="6"/>
      <c r="M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ht="14.2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8"/>
      <c r="K541" s="6"/>
      <c r="L541" s="6"/>
      <c r="M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ht="14.2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8"/>
      <c r="K542" s="6"/>
      <c r="L542" s="6"/>
      <c r="M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ht="14.2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8"/>
      <c r="K543" s="6"/>
      <c r="L543" s="6"/>
      <c r="M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ht="14.2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8"/>
      <c r="K544" s="6"/>
      <c r="L544" s="6"/>
      <c r="M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ht="14.2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8"/>
      <c r="K545" s="6"/>
      <c r="L545" s="6"/>
      <c r="M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ht="14.2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8"/>
      <c r="K546" s="6"/>
      <c r="L546" s="6"/>
      <c r="M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ht="14.2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8"/>
      <c r="K547" s="6"/>
      <c r="L547" s="6"/>
      <c r="M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ht="14.2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8"/>
      <c r="K548" s="6"/>
      <c r="L548" s="6"/>
      <c r="M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ht="14.2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8"/>
      <c r="K549" s="6"/>
      <c r="L549" s="6"/>
      <c r="M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ht="14.2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8"/>
      <c r="K550" s="6"/>
      <c r="L550" s="6"/>
      <c r="M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ht="14.2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8"/>
      <c r="K551" s="6"/>
      <c r="L551" s="6"/>
      <c r="M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ht="14.2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8"/>
      <c r="K552" s="6"/>
      <c r="L552" s="6"/>
      <c r="M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ht="14.2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8"/>
      <c r="K553" s="6"/>
      <c r="L553" s="6"/>
      <c r="M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ht="14.2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8"/>
      <c r="K554" s="6"/>
      <c r="L554" s="6"/>
      <c r="M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ht="14.2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8"/>
      <c r="K555" s="6"/>
      <c r="L555" s="6"/>
      <c r="M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ht="14.2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8"/>
      <c r="K556" s="6"/>
      <c r="L556" s="6"/>
      <c r="M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ht="14.2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8"/>
      <c r="K557" s="6"/>
      <c r="L557" s="6"/>
      <c r="M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ht="14.2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8"/>
      <c r="K558" s="6"/>
      <c r="L558" s="6"/>
      <c r="M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ht="14.2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8"/>
      <c r="K559" s="6"/>
      <c r="L559" s="6"/>
      <c r="M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ht="14.2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8"/>
      <c r="K560" s="6"/>
      <c r="L560" s="6"/>
      <c r="M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ht="14.2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8"/>
      <c r="K561" s="6"/>
      <c r="L561" s="6"/>
      <c r="M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ht="14.2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8"/>
      <c r="K562" s="6"/>
      <c r="L562" s="6"/>
      <c r="M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ht="14.2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8"/>
      <c r="K563" s="6"/>
      <c r="L563" s="6"/>
      <c r="M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ht="14.2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8"/>
      <c r="K564" s="6"/>
      <c r="L564" s="6"/>
      <c r="M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ht="14.2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8"/>
      <c r="K565" s="6"/>
      <c r="L565" s="6"/>
      <c r="M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ht="14.2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8"/>
      <c r="K566" s="6"/>
      <c r="L566" s="6"/>
      <c r="M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ht="14.2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8"/>
      <c r="K567" s="6"/>
      <c r="L567" s="6"/>
      <c r="M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ht="14.2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8"/>
      <c r="K568" s="6"/>
      <c r="L568" s="6"/>
      <c r="M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ht="14.2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8"/>
      <c r="K569" s="6"/>
      <c r="L569" s="6"/>
      <c r="M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ht="14.2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8"/>
      <c r="K570" s="6"/>
      <c r="L570" s="6"/>
      <c r="M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ht="14.2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8"/>
      <c r="K571" s="6"/>
      <c r="L571" s="6"/>
      <c r="M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ht="14.2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8"/>
      <c r="K572" s="6"/>
      <c r="L572" s="6"/>
      <c r="M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ht="14.2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8"/>
      <c r="K573" s="6"/>
      <c r="L573" s="6"/>
      <c r="M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ht="14.2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8"/>
      <c r="K574" s="6"/>
      <c r="L574" s="6"/>
      <c r="M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ht="14.2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8"/>
      <c r="K575" s="6"/>
      <c r="L575" s="6"/>
      <c r="M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ht="14.2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8"/>
      <c r="K576" s="6"/>
      <c r="L576" s="6"/>
      <c r="M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ht="14.2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8"/>
      <c r="K577" s="6"/>
      <c r="L577" s="6"/>
      <c r="M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ht="14.2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8"/>
      <c r="K578" s="6"/>
      <c r="L578" s="6"/>
      <c r="M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ht="14.2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8"/>
      <c r="K579" s="6"/>
      <c r="L579" s="6"/>
      <c r="M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ht="14.2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8"/>
      <c r="K580" s="6"/>
      <c r="L580" s="6"/>
      <c r="M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ht="14.2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8"/>
      <c r="K581" s="6"/>
      <c r="L581" s="6"/>
      <c r="M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ht="14.2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8"/>
      <c r="K582" s="6"/>
      <c r="L582" s="6"/>
      <c r="M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ht="14.2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8"/>
      <c r="K583" s="6"/>
      <c r="L583" s="6"/>
      <c r="M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ht="14.2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8"/>
      <c r="K584" s="6"/>
      <c r="L584" s="6"/>
      <c r="M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ht="14.2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8"/>
      <c r="K585" s="6"/>
      <c r="L585" s="6"/>
      <c r="M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ht="14.2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8"/>
      <c r="K586" s="6"/>
      <c r="L586" s="6"/>
      <c r="M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ht="14.2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8"/>
      <c r="K587" s="6"/>
      <c r="L587" s="6"/>
      <c r="M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ht="14.2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8"/>
      <c r="K588" s="6"/>
      <c r="L588" s="6"/>
      <c r="M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ht="14.2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8"/>
      <c r="K589" s="6"/>
      <c r="L589" s="6"/>
      <c r="M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ht="14.2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8"/>
      <c r="K590" s="6"/>
      <c r="L590" s="6"/>
      <c r="M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ht="14.2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8"/>
      <c r="K591" s="6"/>
      <c r="L591" s="6"/>
      <c r="M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ht="14.2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8"/>
      <c r="K592" s="6"/>
      <c r="L592" s="6"/>
      <c r="M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ht="14.2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8"/>
      <c r="K593" s="6"/>
      <c r="L593" s="6"/>
      <c r="M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ht="14.2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8"/>
      <c r="K594" s="6"/>
      <c r="L594" s="6"/>
      <c r="M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ht="14.2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8"/>
      <c r="K595" s="6"/>
      <c r="L595" s="6"/>
      <c r="M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ht="14.2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8"/>
      <c r="K596" s="6"/>
      <c r="L596" s="6"/>
      <c r="M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ht="14.2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8"/>
      <c r="K597" s="6"/>
      <c r="L597" s="6"/>
      <c r="M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ht="14.2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8"/>
      <c r="K598" s="6"/>
      <c r="L598" s="6"/>
      <c r="M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ht="14.2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8"/>
      <c r="K599" s="6"/>
      <c r="L599" s="6"/>
      <c r="M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ht="14.2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8"/>
      <c r="K600" s="6"/>
      <c r="L600" s="6"/>
      <c r="M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ht="14.2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8"/>
      <c r="K601" s="6"/>
      <c r="L601" s="6"/>
      <c r="M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ht="14.2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8"/>
      <c r="K602" s="6"/>
      <c r="L602" s="6"/>
      <c r="M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ht="14.2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8"/>
      <c r="K603" s="6"/>
      <c r="L603" s="6"/>
      <c r="M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ht="14.2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8"/>
      <c r="K604" s="6"/>
      <c r="L604" s="6"/>
      <c r="M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ht="14.2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8"/>
      <c r="K605" s="6"/>
      <c r="L605" s="6"/>
      <c r="M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ht="14.2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8"/>
      <c r="K606" s="6"/>
      <c r="L606" s="6"/>
      <c r="M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ht="14.2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8"/>
      <c r="K607" s="6"/>
      <c r="L607" s="6"/>
      <c r="M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ht="14.2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8"/>
      <c r="K608" s="6"/>
      <c r="L608" s="6"/>
      <c r="M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ht="14.2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8"/>
      <c r="K609" s="6"/>
      <c r="L609" s="6"/>
      <c r="M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ht="14.2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8"/>
      <c r="K610" s="6"/>
      <c r="L610" s="6"/>
      <c r="M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ht="14.2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8"/>
      <c r="K611" s="6"/>
      <c r="L611" s="6"/>
      <c r="M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ht="14.2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8"/>
      <c r="K612" s="6"/>
      <c r="L612" s="6"/>
      <c r="M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ht="14.2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8"/>
      <c r="K613" s="6"/>
      <c r="L613" s="6"/>
      <c r="M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ht="14.2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8"/>
      <c r="K614" s="6"/>
      <c r="L614" s="6"/>
      <c r="M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ht="14.2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8"/>
      <c r="K615" s="6"/>
      <c r="L615" s="6"/>
      <c r="M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ht="14.2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8"/>
      <c r="K616" s="6"/>
      <c r="L616" s="6"/>
      <c r="M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ht="14.2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8"/>
      <c r="K617" s="6"/>
      <c r="L617" s="6"/>
      <c r="M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ht="14.2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8"/>
      <c r="K618" s="6"/>
      <c r="L618" s="6"/>
      <c r="M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ht="14.2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8"/>
      <c r="K619" s="6"/>
      <c r="L619" s="6"/>
      <c r="M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ht="14.2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8"/>
      <c r="K620" s="6"/>
      <c r="L620" s="6"/>
      <c r="M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ht="14.2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8"/>
      <c r="K621" s="6"/>
      <c r="L621" s="6"/>
      <c r="M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ht="14.2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8"/>
      <c r="K622" s="6"/>
      <c r="L622" s="6"/>
      <c r="M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ht="14.2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8"/>
      <c r="K623" s="6"/>
      <c r="L623" s="6"/>
      <c r="M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ht="14.2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8"/>
      <c r="K624" s="6"/>
      <c r="L624" s="6"/>
      <c r="M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ht="14.2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8"/>
      <c r="K625" s="6"/>
      <c r="L625" s="6"/>
      <c r="M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ht="14.2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8"/>
      <c r="K626" s="6"/>
      <c r="L626" s="6"/>
      <c r="M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ht="14.2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8"/>
      <c r="K627" s="6"/>
      <c r="L627" s="6"/>
      <c r="M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ht="14.2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8"/>
      <c r="K628" s="6"/>
      <c r="L628" s="6"/>
      <c r="M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ht="14.2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8"/>
      <c r="K629" s="6"/>
      <c r="L629" s="6"/>
      <c r="M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ht="14.2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8"/>
      <c r="K630" s="6"/>
      <c r="L630" s="6"/>
      <c r="M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ht="14.2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8"/>
      <c r="K631" s="6"/>
      <c r="L631" s="6"/>
      <c r="M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ht="14.2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8"/>
      <c r="K632" s="6"/>
      <c r="L632" s="6"/>
      <c r="M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ht="14.2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8"/>
      <c r="K633" s="6"/>
      <c r="L633" s="6"/>
      <c r="M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ht="14.2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8"/>
      <c r="K634" s="6"/>
      <c r="L634" s="6"/>
      <c r="M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ht="14.2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8"/>
      <c r="K635" s="6"/>
      <c r="L635" s="6"/>
      <c r="M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ht="14.2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8"/>
      <c r="K636" s="6"/>
      <c r="L636" s="6"/>
      <c r="M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ht="14.2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8"/>
      <c r="K637" s="6"/>
      <c r="L637" s="6"/>
      <c r="M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ht="14.2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8"/>
      <c r="K638" s="6"/>
      <c r="L638" s="6"/>
      <c r="M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ht="14.2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8"/>
      <c r="K639" s="6"/>
      <c r="L639" s="6"/>
      <c r="M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ht="14.2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8"/>
      <c r="K640" s="6"/>
      <c r="L640" s="6"/>
      <c r="M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ht="14.2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8"/>
      <c r="K641" s="6"/>
      <c r="L641" s="6"/>
      <c r="M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ht="14.2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8"/>
      <c r="K642" s="6"/>
      <c r="L642" s="6"/>
      <c r="M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ht="14.2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8"/>
      <c r="K643" s="6"/>
      <c r="L643" s="6"/>
      <c r="M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ht="14.2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8"/>
      <c r="K644" s="6"/>
      <c r="L644" s="6"/>
      <c r="M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ht="14.2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8"/>
      <c r="K645" s="6"/>
      <c r="L645" s="6"/>
      <c r="M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ht="14.2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8"/>
      <c r="K646" s="6"/>
      <c r="L646" s="6"/>
      <c r="M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ht="14.2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8"/>
      <c r="K647" s="6"/>
      <c r="L647" s="6"/>
      <c r="M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ht="14.2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8"/>
      <c r="K648" s="6"/>
      <c r="L648" s="6"/>
      <c r="M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ht="14.2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8"/>
      <c r="K649" s="6"/>
      <c r="L649" s="6"/>
      <c r="M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ht="14.2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8"/>
      <c r="K650" s="6"/>
      <c r="L650" s="6"/>
      <c r="M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ht="14.2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8"/>
      <c r="K651" s="6"/>
      <c r="L651" s="6"/>
      <c r="M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ht="14.2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8"/>
      <c r="K652" s="6"/>
      <c r="L652" s="6"/>
      <c r="M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ht="14.2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8"/>
      <c r="K653" s="6"/>
      <c r="L653" s="6"/>
      <c r="M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ht="14.2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8"/>
      <c r="K654" s="6"/>
      <c r="L654" s="6"/>
      <c r="M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ht="14.2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8"/>
      <c r="K655" s="6"/>
      <c r="L655" s="6"/>
      <c r="M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ht="14.2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8"/>
      <c r="K656" s="6"/>
      <c r="L656" s="6"/>
      <c r="M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ht="14.2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8"/>
      <c r="K657" s="6"/>
      <c r="L657" s="6"/>
      <c r="M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ht="14.2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8"/>
      <c r="K658" s="6"/>
      <c r="L658" s="6"/>
      <c r="M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ht="14.2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8"/>
      <c r="K659" s="6"/>
      <c r="L659" s="6"/>
      <c r="M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ht="14.2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8"/>
      <c r="K660" s="6"/>
      <c r="L660" s="6"/>
      <c r="M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ht="14.2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8"/>
      <c r="K661" s="6"/>
      <c r="L661" s="6"/>
      <c r="M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ht="14.2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8"/>
      <c r="K662" s="6"/>
      <c r="L662" s="6"/>
      <c r="M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ht="14.2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8"/>
      <c r="K663" s="6"/>
      <c r="L663" s="6"/>
      <c r="M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ht="14.2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8"/>
      <c r="K664" s="6"/>
      <c r="L664" s="6"/>
      <c r="M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ht="14.2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8"/>
      <c r="K665" s="6"/>
      <c r="L665" s="6"/>
      <c r="M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ht="14.2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8"/>
      <c r="K666" s="6"/>
      <c r="L666" s="6"/>
      <c r="M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ht="14.2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8"/>
      <c r="K667" s="6"/>
      <c r="L667" s="6"/>
      <c r="M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ht="14.2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8"/>
      <c r="K668" s="6"/>
      <c r="L668" s="6"/>
      <c r="M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ht="14.2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8"/>
      <c r="K669" s="6"/>
      <c r="L669" s="6"/>
      <c r="M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ht="14.2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8"/>
      <c r="K670" s="6"/>
      <c r="L670" s="6"/>
      <c r="M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ht="14.2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8"/>
      <c r="K671" s="6"/>
      <c r="L671" s="6"/>
      <c r="M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ht="14.2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8"/>
      <c r="K672" s="6"/>
      <c r="L672" s="6"/>
      <c r="M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ht="14.2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8"/>
      <c r="K673" s="6"/>
      <c r="L673" s="6"/>
      <c r="M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ht="14.2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8"/>
      <c r="K674" s="6"/>
      <c r="L674" s="6"/>
      <c r="M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ht="14.2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8"/>
      <c r="K675" s="6"/>
      <c r="L675" s="6"/>
      <c r="M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ht="14.2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8"/>
      <c r="K676" s="6"/>
      <c r="L676" s="6"/>
      <c r="M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ht="14.2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8"/>
      <c r="K677" s="6"/>
      <c r="L677" s="6"/>
      <c r="M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ht="14.2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8"/>
      <c r="K678" s="6"/>
      <c r="L678" s="6"/>
      <c r="M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ht="14.2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8"/>
      <c r="K679" s="6"/>
      <c r="L679" s="6"/>
      <c r="M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ht="14.2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8"/>
      <c r="K680" s="6"/>
      <c r="L680" s="6"/>
      <c r="M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ht="14.2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8"/>
      <c r="K681" s="6"/>
      <c r="L681" s="6"/>
      <c r="M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ht="14.2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8"/>
      <c r="K682" s="6"/>
      <c r="L682" s="6"/>
      <c r="M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ht="14.2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8"/>
      <c r="K683" s="6"/>
      <c r="L683" s="6"/>
      <c r="M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ht="14.2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8"/>
      <c r="K684" s="6"/>
      <c r="L684" s="6"/>
      <c r="M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ht="14.2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8"/>
      <c r="K685" s="6"/>
      <c r="L685" s="6"/>
      <c r="M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ht="14.2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8"/>
      <c r="K686" s="6"/>
      <c r="L686" s="6"/>
      <c r="M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ht="14.2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8"/>
      <c r="K687" s="6"/>
      <c r="L687" s="6"/>
      <c r="M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ht="14.2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8"/>
      <c r="K688" s="6"/>
      <c r="L688" s="6"/>
      <c r="M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ht="14.2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8"/>
      <c r="K689" s="6"/>
      <c r="L689" s="6"/>
      <c r="M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ht="14.2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8"/>
      <c r="K690" s="6"/>
      <c r="L690" s="6"/>
      <c r="M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ht="14.2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8"/>
      <c r="K691" s="6"/>
      <c r="L691" s="6"/>
      <c r="M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ht="14.2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8"/>
      <c r="K692" s="6"/>
      <c r="L692" s="6"/>
      <c r="M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ht="14.2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8"/>
      <c r="K693" s="6"/>
      <c r="L693" s="6"/>
      <c r="M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ht="14.2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8"/>
      <c r="K694" s="6"/>
      <c r="L694" s="6"/>
      <c r="M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ht="14.2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8"/>
      <c r="K695" s="6"/>
      <c r="L695" s="6"/>
      <c r="M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ht="14.2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8"/>
      <c r="K696" s="6"/>
      <c r="L696" s="6"/>
      <c r="M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ht="14.2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8"/>
      <c r="K697" s="6"/>
      <c r="L697" s="6"/>
      <c r="M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ht="14.2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8"/>
      <c r="K698" s="6"/>
      <c r="L698" s="6"/>
      <c r="M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ht="14.2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8"/>
      <c r="K699" s="6"/>
      <c r="L699" s="6"/>
      <c r="M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ht="14.2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8"/>
      <c r="K700" s="6"/>
      <c r="L700" s="6"/>
      <c r="M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ht="14.2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8"/>
      <c r="K701" s="6"/>
      <c r="L701" s="6"/>
      <c r="M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ht="14.2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8"/>
      <c r="K702" s="6"/>
      <c r="L702" s="6"/>
      <c r="M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ht="14.2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8"/>
      <c r="K703" s="6"/>
      <c r="L703" s="6"/>
      <c r="M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ht="14.2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8"/>
      <c r="K704" s="6"/>
      <c r="L704" s="6"/>
      <c r="M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ht="14.2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8"/>
      <c r="K705" s="6"/>
      <c r="L705" s="6"/>
      <c r="M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ht="14.2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8"/>
      <c r="K706" s="6"/>
      <c r="L706" s="6"/>
      <c r="M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ht="14.2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8"/>
      <c r="K707" s="6"/>
      <c r="L707" s="6"/>
      <c r="M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ht="14.2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8"/>
      <c r="K708" s="6"/>
      <c r="L708" s="6"/>
      <c r="M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ht="14.2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8"/>
      <c r="K709" s="6"/>
      <c r="L709" s="6"/>
      <c r="M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ht="14.2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8"/>
      <c r="K710" s="6"/>
      <c r="L710" s="6"/>
      <c r="M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ht="14.2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8"/>
      <c r="K711" s="6"/>
      <c r="L711" s="6"/>
      <c r="M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ht="14.2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8"/>
      <c r="K712" s="6"/>
      <c r="L712" s="6"/>
      <c r="M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ht="14.2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8"/>
      <c r="K713" s="6"/>
      <c r="L713" s="6"/>
      <c r="M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ht="14.2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8"/>
      <c r="K714" s="6"/>
      <c r="L714" s="6"/>
      <c r="M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ht="14.2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8"/>
      <c r="K715" s="6"/>
      <c r="L715" s="6"/>
      <c r="M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ht="14.2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8"/>
      <c r="K716" s="6"/>
      <c r="L716" s="6"/>
      <c r="M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ht="14.2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8"/>
      <c r="K717" s="6"/>
      <c r="L717" s="6"/>
      <c r="M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ht="14.2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8"/>
      <c r="K718" s="6"/>
      <c r="L718" s="6"/>
      <c r="M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ht="14.2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8"/>
      <c r="K719" s="6"/>
      <c r="L719" s="6"/>
      <c r="M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ht="14.2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8"/>
      <c r="K720" s="6"/>
      <c r="L720" s="6"/>
      <c r="M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ht="14.2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8"/>
      <c r="K721" s="6"/>
      <c r="L721" s="6"/>
      <c r="M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ht="14.2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8"/>
      <c r="K722" s="6"/>
      <c r="L722" s="6"/>
      <c r="M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ht="14.2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8"/>
      <c r="K723" s="6"/>
      <c r="L723" s="6"/>
      <c r="M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ht="14.2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8"/>
      <c r="K724" s="6"/>
      <c r="L724" s="6"/>
      <c r="M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ht="14.2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8"/>
      <c r="K725" s="6"/>
      <c r="L725" s="6"/>
      <c r="M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ht="14.2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8"/>
      <c r="K726" s="6"/>
      <c r="L726" s="6"/>
      <c r="M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ht="14.2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8"/>
      <c r="K727" s="6"/>
      <c r="L727" s="6"/>
      <c r="M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ht="14.2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8"/>
      <c r="K728" s="6"/>
      <c r="L728" s="6"/>
      <c r="M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ht="14.2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8"/>
      <c r="K729" s="6"/>
      <c r="L729" s="6"/>
      <c r="M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ht="14.2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8"/>
      <c r="K730" s="6"/>
      <c r="L730" s="6"/>
      <c r="M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ht="14.2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8"/>
      <c r="K731" s="6"/>
      <c r="L731" s="6"/>
      <c r="M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ht="14.2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8"/>
      <c r="K732" s="6"/>
      <c r="L732" s="6"/>
      <c r="M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ht="14.2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8"/>
      <c r="K733" s="6"/>
      <c r="L733" s="6"/>
      <c r="M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ht="14.2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8"/>
      <c r="K734" s="6"/>
      <c r="L734" s="6"/>
      <c r="M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ht="14.2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8"/>
      <c r="K735" s="6"/>
      <c r="L735" s="6"/>
      <c r="M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ht="14.2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8"/>
      <c r="K736" s="6"/>
      <c r="L736" s="6"/>
      <c r="M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ht="14.2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8"/>
      <c r="K737" s="6"/>
      <c r="L737" s="6"/>
      <c r="M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ht="14.2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8"/>
      <c r="K738" s="6"/>
      <c r="L738" s="6"/>
      <c r="M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ht="14.2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8"/>
      <c r="K739" s="6"/>
      <c r="L739" s="6"/>
      <c r="M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ht="14.2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8"/>
      <c r="K740" s="6"/>
      <c r="L740" s="6"/>
      <c r="M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ht="14.2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8"/>
      <c r="K741" s="6"/>
      <c r="L741" s="6"/>
      <c r="M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ht="14.2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8"/>
      <c r="K742" s="6"/>
      <c r="L742" s="6"/>
      <c r="M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ht="14.2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8"/>
      <c r="K743" s="6"/>
      <c r="L743" s="6"/>
      <c r="M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ht="14.2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8"/>
      <c r="K744" s="6"/>
      <c r="L744" s="6"/>
      <c r="M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ht="14.2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8"/>
      <c r="K745" s="6"/>
      <c r="L745" s="6"/>
      <c r="M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ht="14.2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8"/>
      <c r="K746" s="6"/>
      <c r="L746" s="6"/>
      <c r="M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ht="14.2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8"/>
      <c r="K747" s="6"/>
      <c r="L747" s="6"/>
      <c r="M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ht="14.2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8"/>
      <c r="K748" s="6"/>
      <c r="L748" s="6"/>
      <c r="M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ht="14.2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8"/>
      <c r="K749" s="6"/>
      <c r="L749" s="6"/>
      <c r="M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ht="14.2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8"/>
      <c r="K750" s="6"/>
      <c r="L750" s="6"/>
      <c r="M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ht="14.2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8"/>
      <c r="K751" s="6"/>
      <c r="L751" s="6"/>
      <c r="M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ht="14.2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8"/>
      <c r="K752" s="6"/>
      <c r="L752" s="6"/>
      <c r="M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ht="14.2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8"/>
      <c r="K753" s="6"/>
      <c r="L753" s="6"/>
      <c r="M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ht="14.2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8"/>
      <c r="K754" s="6"/>
      <c r="L754" s="6"/>
      <c r="M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ht="14.2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8"/>
      <c r="K755" s="6"/>
      <c r="L755" s="6"/>
      <c r="M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ht="14.2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8"/>
      <c r="K756" s="6"/>
      <c r="L756" s="6"/>
      <c r="M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ht="14.2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8"/>
      <c r="K757" s="6"/>
      <c r="L757" s="6"/>
      <c r="M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ht="14.2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8"/>
      <c r="K758" s="6"/>
      <c r="L758" s="6"/>
      <c r="M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ht="14.2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8"/>
      <c r="K759" s="6"/>
      <c r="L759" s="6"/>
      <c r="M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ht="14.2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8"/>
      <c r="K760" s="6"/>
      <c r="L760" s="6"/>
      <c r="M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ht="14.2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8"/>
      <c r="K761" s="6"/>
      <c r="L761" s="6"/>
      <c r="M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ht="14.2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8"/>
      <c r="K762" s="6"/>
      <c r="L762" s="6"/>
      <c r="M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ht="14.2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8"/>
      <c r="K763" s="6"/>
      <c r="L763" s="6"/>
      <c r="M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ht="14.2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8"/>
      <c r="K764" s="6"/>
      <c r="L764" s="6"/>
      <c r="M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ht="14.2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8"/>
      <c r="K765" s="6"/>
      <c r="L765" s="6"/>
      <c r="M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ht="14.2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8"/>
      <c r="K766" s="6"/>
      <c r="L766" s="6"/>
      <c r="M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ht="14.2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8"/>
      <c r="K767" s="6"/>
      <c r="L767" s="6"/>
      <c r="M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ht="14.2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8"/>
      <c r="K768" s="6"/>
      <c r="L768" s="6"/>
      <c r="M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ht="14.2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8"/>
      <c r="K769" s="6"/>
      <c r="L769" s="6"/>
      <c r="M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ht="14.2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8"/>
      <c r="K770" s="6"/>
      <c r="L770" s="6"/>
      <c r="M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ht="14.2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8"/>
      <c r="K771" s="6"/>
      <c r="L771" s="6"/>
      <c r="M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ht="14.2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8"/>
      <c r="K772" s="6"/>
      <c r="L772" s="6"/>
      <c r="M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ht="14.2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8"/>
      <c r="K773" s="6"/>
      <c r="L773" s="6"/>
      <c r="M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ht="14.2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8"/>
      <c r="K774" s="6"/>
      <c r="L774" s="6"/>
      <c r="M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ht="14.2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8"/>
      <c r="K775" s="6"/>
      <c r="L775" s="6"/>
      <c r="M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ht="14.2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8"/>
      <c r="K776" s="6"/>
      <c r="L776" s="6"/>
      <c r="M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ht="14.2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8"/>
      <c r="K777" s="6"/>
      <c r="L777" s="6"/>
      <c r="M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ht="14.2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8"/>
      <c r="K778" s="6"/>
      <c r="L778" s="6"/>
      <c r="M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ht="14.2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8"/>
      <c r="K779" s="6"/>
      <c r="L779" s="6"/>
      <c r="M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ht="14.2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8"/>
      <c r="K780" s="6"/>
      <c r="L780" s="6"/>
      <c r="M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ht="14.2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8"/>
      <c r="K781" s="6"/>
      <c r="L781" s="6"/>
      <c r="M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ht="14.2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8"/>
      <c r="K782" s="6"/>
      <c r="L782" s="6"/>
      <c r="M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ht="14.2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8"/>
      <c r="K783" s="6"/>
      <c r="L783" s="6"/>
      <c r="M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ht="14.2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8"/>
      <c r="K784" s="6"/>
      <c r="L784" s="6"/>
      <c r="M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ht="14.2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8"/>
      <c r="K785" s="6"/>
      <c r="L785" s="6"/>
      <c r="M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ht="14.2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8"/>
      <c r="K786" s="6"/>
      <c r="L786" s="6"/>
      <c r="M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ht="14.2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8"/>
      <c r="K787" s="6"/>
      <c r="L787" s="6"/>
      <c r="M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ht="14.2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8"/>
      <c r="K788" s="6"/>
      <c r="L788" s="6"/>
      <c r="M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ht="14.2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8"/>
      <c r="K789" s="6"/>
      <c r="L789" s="6"/>
      <c r="M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ht="14.2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8"/>
      <c r="K790" s="6"/>
      <c r="L790" s="6"/>
      <c r="M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ht="14.2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8"/>
      <c r="K791" s="6"/>
      <c r="L791" s="6"/>
      <c r="M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ht="14.2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8"/>
      <c r="K792" s="6"/>
      <c r="L792" s="6"/>
      <c r="M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ht="14.2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8"/>
      <c r="K793" s="6"/>
      <c r="L793" s="6"/>
      <c r="M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ht="14.2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8"/>
      <c r="K794" s="6"/>
      <c r="L794" s="6"/>
      <c r="M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ht="14.2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8"/>
      <c r="K795" s="6"/>
      <c r="L795" s="6"/>
      <c r="M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ht="14.2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8"/>
      <c r="K796" s="6"/>
      <c r="L796" s="6"/>
      <c r="M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ht="14.2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8"/>
      <c r="K797" s="6"/>
      <c r="L797" s="6"/>
      <c r="M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ht="14.2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8"/>
      <c r="K798" s="6"/>
      <c r="L798" s="6"/>
      <c r="M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ht="14.2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8"/>
      <c r="K799" s="6"/>
      <c r="L799" s="6"/>
      <c r="M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ht="14.2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8"/>
      <c r="K800" s="6"/>
      <c r="L800" s="6"/>
      <c r="M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ht="14.2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8"/>
      <c r="K801" s="6"/>
      <c r="L801" s="6"/>
      <c r="M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ht="14.2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8"/>
      <c r="K802" s="6"/>
      <c r="L802" s="6"/>
      <c r="M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ht="14.2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8"/>
      <c r="K803" s="6"/>
      <c r="L803" s="6"/>
      <c r="M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ht="14.2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8"/>
      <c r="K804" s="6"/>
      <c r="L804" s="6"/>
      <c r="M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ht="14.2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8"/>
      <c r="K805" s="6"/>
      <c r="L805" s="6"/>
      <c r="M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ht="14.2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8"/>
      <c r="K806" s="6"/>
      <c r="L806" s="6"/>
      <c r="M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ht="14.2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8"/>
      <c r="K807" s="6"/>
      <c r="L807" s="6"/>
      <c r="M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ht="14.2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8"/>
      <c r="K808" s="6"/>
      <c r="L808" s="6"/>
      <c r="M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ht="14.2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8"/>
      <c r="K809" s="6"/>
      <c r="L809" s="6"/>
      <c r="M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ht="14.2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8"/>
      <c r="K810" s="6"/>
      <c r="L810" s="6"/>
      <c r="M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ht="14.2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8"/>
      <c r="K811" s="6"/>
      <c r="L811" s="6"/>
      <c r="M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ht="14.2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8"/>
      <c r="K812" s="6"/>
      <c r="L812" s="6"/>
      <c r="M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ht="14.2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8"/>
      <c r="K813" s="6"/>
      <c r="L813" s="6"/>
      <c r="M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ht="14.2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8"/>
      <c r="K814" s="6"/>
      <c r="L814" s="6"/>
      <c r="M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ht="14.2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8"/>
      <c r="K815" s="6"/>
      <c r="L815" s="6"/>
      <c r="M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ht="14.2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8"/>
      <c r="K816" s="6"/>
      <c r="L816" s="6"/>
      <c r="M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ht="14.2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8"/>
      <c r="K817" s="6"/>
      <c r="L817" s="6"/>
      <c r="M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ht="14.2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8"/>
      <c r="K818" s="6"/>
      <c r="L818" s="6"/>
      <c r="M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ht="14.2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8"/>
      <c r="K819" s="6"/>
      <c r="L819" s="6"/>
      <c r="M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ht="14.2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8"/>
      <c r="K820" s="6"/>
      <c r="L820" s="6"/>
      <c r="M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ht="14.2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8"/>
      <c r="K821" s="6"/>
      <c r="L821" s="6"/>
      <c r="M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ht="14.2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8"/>
      <c r="K822" s="6"/>
      <c r="L822" s="6"/>
      <c r="M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ht="14.2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8"/>
      <c r="K823" s="6"/>
      <c r="L823" s="6"/>
      <c r="M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ht="14.2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8"/>
      <c r="K824" s="6"/>
      <c r="L824" s="6"/>
      <c r="M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ht="14.2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8"/>
      <c r="K825" s="6"/>
      <c r="L825" s="6"/>
      <c r="M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ht="14.2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8"/>
      <c r="K826" s="6"/>
      <c r="L826" s="6"/>
      <c r="M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ht="14.2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8"/>
      <c r="K827" s="6"/>
      <c r="L827" s="6"/>
      <c r="M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ht="14.2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8"/>
      <c r="K828" s="6"/>
      <c r="L828" s="6"/>
      <c r="M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ht="14.2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8"/>
      <c r="K829" s="6"/>
      <c r="L829" s="6"/>
      <c r="M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ht="14.2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8"/>
      <c r="K830" s="6"/>
      <c r="L830" s="6"/>
      <c r="M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ht="14.2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8"/>
      <c r="K831" s="6"/>
      <c r="L831" s="6"/>
      <c r="M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ht="14.2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8"/>
      <c r="K832" s="6"/>
      <c r="L832" s="6"/>
      <c r="M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ht="14.2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8"/>
      <c r="K833" s="6"/>
      <c r="L833" s="6"/>
      <c r="M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ht="14.2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8"/>
      <c r="K834" s="6"/>
      <c r="L834" s="6"/>
      <c r="M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ht="14.2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8"/>
      <c r="K835" s="6"/>
      <c r="L835" s="6"/>
      <c r="M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ht="14.2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8"/>
      <c r="K836" s="6"/>
      <c r="L836" s="6"/>
      <c r="M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ht="14.2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8"/>
      <c r="K837" s="6"/>
      <c r="L837" s="6"/>
      <c r="M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ht="14.2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8"/>
      <c r="K838" s="6"/>
      <c r="L838" s="6"/>
      <c r="M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ht="14.2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8"/>
      <c r="K839" s="6"/>
      <c r="L839" s="6"/>
      <c r="M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ht="14.2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8"/>
      <c r="K840" s="6"/>
      <c r="L840" s="6"/>
      <c r="M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ht="14.2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8"/>
      <c r="K841" s="6"/>
      <c r="L841" s="6"/>
      <c r="M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ht="14.2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8"/>
      <c r="K842" s="6"/>
      <c r="L842" s="6"/>
      <c r="M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ht="14.2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8"/>
      <c r="K843" s="6"/>
      <c r="L843" s="6"/>
      <c r="M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ht="14.2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8"/>
      <c r="K844" s="6"/>
      <c r="L844" s="6"/>
      <c r="M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ht="14.2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8"/>
      <c r="K845" s="6"/>
      <c r="L845" s="6"/>
      <c r="M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ht="14.2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8"/>
      <c r="K846" s="6"/>
      <c r="L846" s="6"/>
      <c r="M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ht="14.2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8"/>
      <c r="K847" s="6"/>
      <c r="L847" s="6"/>
      <c r="M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ht="14.2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8"/>
      <c r="K848" s="6"/>
      <c r="L848" s="6"/>
      <c r="M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ht="14.2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8"/>
      <c r="K849" s="6"/>
      <c r="L849" s="6"/>
      <c r="M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ht="14.2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8"/>
      <c r="K850" s="6"/>
      <c r="L850" s="6"/>
      <c r="M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ht="14.2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8"/>
      <c r="K851" s="6"/>
      <c r="L851" s="6"/>
      <c r="M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ht="14.2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8"/>
      <c r="K852" s="6"/>
      <c r="L852" s="6"/>
      <c r="M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ht="14.2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8"/>
      <c r="K853" s="6"/>
      <c r="L853" s="6"/>
      <c r="M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ht="14.2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8"/>
      <c r="K854" s="6"/>
      <c r="L854" s="6"/>
      <c r="M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ht="14.2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8"/>
      <c r="K855" s="6"/>
      <c r="L855" s="6"/>
      <c r="M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ht="14.2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8"/>
      <c r="K856" s="6"/>
      <c r="L856" s="6"/>
      <c r="M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ht="14.2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8"/>
      <c r="K857" s="6"/>
      <c r="L857" s="6"/>
      <c r="M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ht="14.2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8"/>
      <c r="K858" s="6"/>
      <c r="L858" s="6"/>
      <c r="M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ht="14.2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8"/>
      <c r="K859" s="6"/>
      <c r="L859" s="6"/>
      <c r="M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ht="14.2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8"/>
      <c r="K860" s="6"/>
      <c r="L860" s="6"/>
      <c r="M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ht="14.2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8"/>
      <c r="K861" s="6"/>
      <c r="L861" s="6"/>
      <c r="M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ht="14.2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8"/>
      <c r="K862" s="6"/>
      <c r="L862" s="6"/>
      <c r="M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ht="14.2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8"/>
      <c r="K863" s="6"/>
      <c r="L863" s="6"/>
      <c r="M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ht="14.2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8"/>
      <c r="K864" s="6"/>
      <c r="L864" s="6"/>
      <c r="M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ht="14.2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8"/>
      <c r="K865" s="6"/>
      <c r="L865" s="6"/>
      <c r="M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ht="14.2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8"/>
      <c r="K866" s="6"/>
      <c r="L866" s="6"/>
      <c r="M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ht="14.2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8"/>
      <c r="K867" s="6"/>
      <c r="L867" s="6"/>
      <c r="M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ht="14.2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8"/>
      <c r="K868" s="6"/>
      <c r="L868" s="6"/>
      <c r="M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ht="14.2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8"/>
      <c r="K869" s="6"/>
      <c r="L869" s="6"/>
      <c r="M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ht="14.2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8"/>
      <c r="K870" s="6"/>
      <c r="L870" s="6"/>
      <c r="M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ht="14.2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8"/>
      <c r="K871" s="6"/>
      <c r="L871" s="6"/>
      <c r="M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ht="14.2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8"/>
      <c r="K872" s="6"/>
      <c r="L872" s="6"/>
      <c r="M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ht="14.2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8"/>
      <c r="K873" s="6"/>
      <c r="L873" s="6"/>
      <c r="M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ht="14.2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8"/>
      <c r="K874" s="6"/>
      <c r="L874" s="6"/>
      <c r="M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ht="14.2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8"/>
      <c r="K875" s="6"/>
      <c r="L875" s="6"/>
      <c r="M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ht="14.2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8"/>
      <c r="K876" s="6"/>
      <c r="L876" s="6"/>
      <c r="M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ht="14.2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8"/>
      <c r="K877" s="6"/>
      <c r="L877" s="6"/>
      <c r="M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ht="14.2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8"/>
      <c r="K878" s="6"/>
      <c r="L878" s="6"/>
      <c r="M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ht="14.2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8"/>
      <c r="K879" s="6"/>
      <c r="L879" s="6"/>
      <c r="M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ht="14.2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8"/>
      <c r="K880" s="6"/>
      <c r="L880" s="6"/>
      <c r="M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ht="14.2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8"/>
      <c r="K881" s="6"/>
      <c r="L881" s="6"/>
      <c r="M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ht="14.2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8"/>
      <c r="K882" s="6"/>
      <c r="L882" s="6"/>
      <c r="M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ht="14.2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8"/>
      <c r="K883" s="6"/>
      <c r="L883" s="6"/>
      <c r="M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ht="14.2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8"/>
      <c r="K884" s="6"/>
      <c r="L884" s="6"/>
      <c r="M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ht="14.2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8"/>
      <c r="K885" s="6"/>
      <c r="L885" s="6"/>
      <c r="M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ht="14.2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8"/>
      <c r="K886" s="6"/>
      <c r="L886" s="6"/>
      <c r="M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ht="14.2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8"/>
      <c r="K887" s="6"/>
      <c r="L887" s="6"/>
      <c r="M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ht="14.2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8"/>
      <c r="K888" s="6"/>
      <c r="L888" s="6"/>
      <c r="M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ht="14.2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8"/>
      <c r="K889" s="6"/>
      <c r="L889" s="6"/>
      <c r="M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ht="14.2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8"/>
      <c r="K890" s="6"/>
      <c r="L890" s="6"/>
      <c r="M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ht="14.2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8"/>
      <c r="K891" s="6"/>
      <c r="L891" s="6"/>
      <c r="M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ht="14.2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8"/>
      <c r="K892" s="6"/>
      <c r="L892" s="6"/>
      <c r="M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ht="14.2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8"/>
      <c r="K893" s="6"/>
      <c r="L893" s="6"/>
      <c r="M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ht="14.2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8"/>
      <c r="K894" s="6"/>
      <c r="L894" s="6"/>
      <c r="M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ht="14.2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8"/>
      <c r="K895" s="6"/>
      <c r="L895" s="6"/>
      <c r="M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ht="14.2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8"/>
      <c r="K896" s="6"/>
      <c r="L896" s="6"/>
      <c r="M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ht="14.2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8"/>
      <c r="K897" s="6"/>
      <c r="L897" s="6"/>
      <c r="M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ht="14.2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8"/>
      <c r="K898" s="6"/>
      <c r="L898" s="6"/>
      <c r="M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ht="14.2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8"/>
      <c r="K899" s="6"/>
      <c r="L899" s="6"/>
      <c r="M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ht="14.2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8"/>
      <c r="K900" s="6"/>
      <c r="L900" s="6"/>
      <c r="M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ht="14.2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8"/>
      <c r="K901" s="6"/>
      <c r="L901" s="6"/>
      <c r="M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ht="14.2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8"/>
      <c r="K902" s="6"/>
      <c r="L902" s="6"/>
      <c r="M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ht="14.2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8"/>
      <c r="K903" s="6"/>
      <c r="L903" s="6"/>
      <c r="M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ht="14.2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8"/>
      <c r="K904" s="6"/>
      <c r="L904" s="6"/>
      <c r="M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ht="14.2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8"/>
      <c r="K905" s="6"/>
      <c r="L905" s="6"/>
      <c r="M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ht="14.2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8"/>
      <c r="K906" s="6"/>
      <c r="L906" s="6"/>
      <c r="M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ht="14.2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8"/>
      <c r="K907" s="6"/>
      <c r="L907" s="6"/>
      <c r="M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ht="14.2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8"/>
      <c r="K908" s="6"/>
      <c r="L908" s="6"/>
      <c r="M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ht="14.2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8"/>
      <c r="K909" s="6"/>
      <c r="L909" s="6"/>
      <c r="M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ht="14.2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8"/>
      <c r="K910" s="6"/>
      <c r="L910" s="6"/>
      <c r="M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ht="14.2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8"/>
      <c r="K911" s="6"/>
      <c r="L911" s="6"/>
      <c r="M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ht="14.2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8"/>
      <c r="K912" s="6"/>
      <c r="L912" s="6"/>
      <c r="M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ht="14.2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8"/>
      <c r="K913" s="6"/>
      <c r="L913" s="6"/>
      <c r="M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ht="14.2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8"/>
      <c r="K914" s="6"/>
      <c r="L914" s="6"/>
      <c r="M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ht="14.2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8"/>
      <c r="K915" s="6"/>
      <c r="L915" s="6"/>
      <c r="M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ht="14.2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8"/>
      <c r="K916" s="6"/>
      <c r="L916" s="6"/>
      <c r="M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ht="14.2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8"/>
      <c r="K917" s="6"/>
      <c r="L917" s="6"/>
      <c r="M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ht="14.2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8"/>
      <c r="K918" s="6"/>
      <c r="L918" s="6"/>
      <c r="M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ht="14.2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8"/>
      <c r="K919" s="6"/>
      <c r="L919" s="6"/>
      <c r="M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ht="14.2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8"/>
      <c r="K920" s="6"/>
      <c r="L920" s="6"/>
      <c r="M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ht="14.2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8"/>
      <c r="K921" s="6"/>
      <c r="L921" s="6"/>
      <c r="M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ht="14.2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8"/>
      <c r="K922" s="6"/>
      <c r="L922" s="6"/>
      <c r="M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ht="14.2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8"/>
      <c r="K923" s="6"/>
      <c r="L923" s="6"/>
      <c r="M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ht="14.2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8"/>
      <c r="K924" s="6"/>
      <c r="L924" s="6"/>
      <c r="M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ht="14.2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8"/>
      <c r="K925" s="6"/>
      <c r="L925" s="6"/>
      <c r="M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ht="14.2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8"/>
      <c r="K926" s="6"/>
      <c r="L926" s="6"/>
      <c r="M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ht="14.2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8"/>
      <c r="K927" s="6"/>
      <c r="L927" s="6"/>
      <c r="M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ht="14.2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8"/>
      <c r="K928" s="6"/>
      <c r="L928" s="6"/>
      <c r="M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ht="14.2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8"/>
      <c r="K929" s="6"/>
      <c r="L929" s="6"/>
      <c r="M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ht="14.2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8"/>
      <c r="K930" s="6"/>
      <c r="L930" s="6"/>
      <c r="M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ht="14.2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8"/>
      <c r="K931" s="6"/>
      <c r="L931" s="6"/>
      <c r="M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ht="14.2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8"/>
      <c r="K932" s="6"/>
      <c r="L932" s="6"/>
      <c r="M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ht="14.2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8"/>
      <c r="K933" s="6"/>
      <c r="L933" s="6"/>
      <c r="M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ht="14.2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8"/>
      <c r="K934" s="6"/>
      <c r="L934" s="6"/>
      <c r="M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ht="14.2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8"/>
      <c r="K935" s="6"/>
      <c r="L935" s="6"/>
      <c r="M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ht="14.2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8"/>
      <c r="K936" s="6"/>
      <c r="L936" s="6"/>
      <c r="M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ht="14.2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8"/>
      <c r="K937" s="6"/>
      <c r="L937" s="6"/>
      <c r="M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ht="14.2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8"/>
      <c r="K938" s="6"/>
      <c r="L938" s="6"/>
      <c r="M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ht="14.2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8"/>
      <c r="K939" s="6"/>
      <c r="L939" s="6"/>
      <c r="M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ht="14.2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8"/>
      <c r="K940" s="6"/>
      <c r="L940" s="6"/>
      <c r="M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ht="14.2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8"/>
      <c r="K941" s="6"/>
      <c r="L941" s="6"/>
      <c r="M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ht="14.2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8"/>
      <c r="K942" s="6"/>
      <c r="L942" s="6"/>
      <c r="M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ht="14.2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8"/>
      <c r="K943" s="6"/>
      <c r="L943" s="6"/>
      <c r="M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ht="14.2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8"/>
      <c r="K944" s="6"/>
      <c r="L944" s="6"/>
      <c r="M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ht="14.2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8"/>
      <c r="K945" s="6"/>
      <c r="L945" s="6"/>
      <c r="M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ht="14.2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8"/>
      <c r="K946" s="6"/>
      <c r="L946" s="6"/>
      <c r="M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ht="14.2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8"/>
      <c r="K947" s="6"/>
      <c r="L947" s="6"/>
      <c r="M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ht="14.2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8"/>
      <c r="K948" s="6"/>
      <c r="L948" s="6"/>
      <c r="M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ht="14.2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8"/>
      <c r="K949" s="6"/>
      <c r="L949" s="6"/>
      <c r="M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ht="14.2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8"/>
      <c r="K950" s="6"/>
      <c r="L950" s="6"/>
      <c r="M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ht="14.2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8"/>
      <c r="K951" s="6"/>
      <c r="L951" s="6"/>
      <c r="M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ht="14.2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8"/>
      <c r="K952" s="6"/>
      <c r="L952" s="6"/>
      <c r="M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ht="14.2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8"/>
      <c r="K953" s="6"/>
      <c r="L953" s="6"/>
      <c r="M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ht="14.2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8"/>
      <c r="K954" s="6"/>
      <c r="L954" s="6"/>
      <c r="M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ht="14.2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8"/>
      <c r="K955" s="6"/>
      <c r="L955" s="6"/>
      <c r="M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ht="14.2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8"/>
      <c r="K956" s="6"/>
      <c r="L956" s="6"/>
      <c r="M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spans="1:25" ht="14.2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8"/>
      <c r="K957" s="6"/>
      <c r="L957" s="6"/>
      <c r="M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spans="1:25" ht="14.2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8"/>
      <c r="K958" s="6"/>
      <c r="L958" s="6"/>
      <c r="M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spans="1:25" ht="14.2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8"/>
      <c r="K959" s="6"/>
      <c r="L959" s="6"/>
      <c r="M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spans="1:25" ht="14.2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8"/>
      <c r="K960" s="6"/>
      <c r="L960" s="6"/>
      <c r="M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spans="1:25" ht="14.2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8"/>
      <c r="K961" s="6"/>
      <c r="L961" s="6"/>
      <c r="M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spans="1:25" ht="14.2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8"/>
      <c r="K962" s="6"/>
      <c r="L962" s="6"/>
      <c r="M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spans="1:25" ht="14.2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8"/>
      <c r="K963" s="6"/>
      <c r="L963" s="6"/>
      <c r="M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spans="1:25" ht="14.2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8"/>
      <c r="K964" s="6"/>
      <c r="L964" s="6"/>
      <c r="M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spans="1:25" ht="14.2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8"/>
      <c r="K965" s="6"/>
      <c r="L965" s="6"/>
      <c r="M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spans="1:25" ht="14.2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8"/>
      <c r="K966" s="6"/>
      <c r="L966" s="6"/>
      <c r="M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spans="1:25" ht="14.2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8"/>
      <c r="K967" s="6"/>
      <c r="L967" s="6"/>
      <c r="M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spans="1:25" ht="14.2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8"/>
      <c r="K968" s="6"/>
      <c r="L968" s="6"/>
      <c r="M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spans="1:25" ht="14.2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8"/>
      <c r="K969" s="6"/>
      <c r="L969" s="6"/>
      <c r="M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spans="1:25" ht="1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8"/>
      <c r="K970" s="6"/>
      <c r="L970" s="6"/>
      <c r="M970" s="6"/>
      <c r="O970" s="6"/>
      <c r="P970" s="6"/>
      <c r="Q970" s="6"/>
      <c r="R970" s="6"/>
      <c r="S970" s="6"/>
    </row>
    <row r="971" spans="1:25" ht="1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8"/>
      <c r="K971" s="6"/>
      <c r="L971" s="6"/>
      <c r="M971" s="6"/>
      <c r="O971" s="6"/>
      <c r="P971" s="6"/>
      <c r="Q971" s="6"/>
      <c r="R971" s="6"/>
      <c r="S971" s="6"/>
    </row>
    <row r="972" spans="1:25" ht="1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8"/>
      <c r="K972" s="6"/>
      <c r="L972" s="6"/>
      <c r="M972" s="6"/>
      <c r="O972" s="6"/>
      <c r="P972" s="6"/>
      <c r="Q972" s="6"/>
      <c r="R972" s="6"/>
      <c r="S972" s="6"/>
    </row>
    <row r="973" spans="1:25" ht="1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8"/>
      <c r="K973" s="6"/>
      <c r="L973" s="6"/>
      <c r="M973" s="6"/>
      <c r="O973" s="6"/>
      <c r="P973" s="6"/>
      <c r="Q973" s="6"/>
      <c r="R973" s="6"/>
      <c r="S973" s="6"/>
    </row>
    <row r="974" spans="1:25" ht="1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8"/>
      <c r="K974" s="6"/>
      <c r="L974" s="6"/>
      <c r="M974" s="6"/>
      <c r="O974" s="6"/>
      <c r="P974" s="6"/>
      <c r="Q974" s="6"/>
      <c r="R974" s="6"/>
      <c r="S974" s="6"/>
    </row>
    <row r="975" spans="1:25" ht="1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8"/>
      <c r="K975" s="6"/>
      <c r="L975" s="6"/>
      <c r="M975" s="6"/>
      <c r="O975" s="6"/>
      <c r="P975" s="6"/>
      <c r="Q975" s="6"/>
      <c r="R975" s="6"/>
      <c r="S975" s="6"/>
    </row>
    <row r="976" spans="1:25" ht="1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8"/>
      <c r="K976" s="6"/>
      <c r="L976" s="6"/>
      <c r="M976" s="6"/>
      <c r="O976" s="6"/>
      <c r="P976" s="6"/>
      <c r="Q976" s="6"/>
      <c r="R976" s="6"/>
      <c r="S976" s="6"/>
    </row>
    <row r="977" spans="1:19" ht="1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8"/>
      <c r="K977" s="6"/>
      <c r="L977" s="6"/>
      <c r="M977" s="6"/>
      <c r="O977" s="6"/>
      <c r="P977" s="6"/>
      <c r="Q977" s="6"/>
      <c r="R977" s="6"/>
      <c r="S977" s="6"/>
    </row>
    <row r="978" spans="1:19" ht="1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8"/>
      <c r="K978" s="6"/>
      <c r="L978" s="6"/>
      <c r="M978" s="6"/>
      <c r="O978" s="6"/>
      <c r="P978" s="6"/>
      <c r="Q978" s="6"/>
      <c r="R978" s="6"/>
      <c r="S978" s="6"/>
    </row>
    <row r="979" spans="1:19" ht="1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8"/>
      <c r="K979" s="6"/>
      <c r="L979" s="6"/>
      <c r="M979" s="6"/>
      <c r="O979" s="6"/>
      <c r="P979" s="6"/>
      <c r="Q979" s="6"/>
      <c r="R979" s="6"/>
      <c r="S979" s="6"/>
    </row>
    <row r="980" spans="1:19" ht="1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8"/>
      <c r="K980" s="6"/>
      <c r="L980" s="6"/>
      <c r="M980" s="6"/>
      <c r="O980" s="6"/>
      <c r="P980" s="6"/>
      <c r="Q980" s="6"/>
      <c r="R980" s="6"/>
      <c r="S980" s="6"/>
    </row>
    <row r="981" spans="1:19" ht="1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8"/>
      <c r="K981" s="6"/>
      <c r="L981" s="6"/>
      <c r="M981" s="6"/>
      <c r="O981" s="6"/>
      <c r="P981" s="6"/>
      <c r="Q981" s="6"/>
      <c r="R981" s="6"/>
      <c r="S981" s="6"/>
    </row>
    <row r="982" spans="1:19" ht="1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8"/>
      <c r="K982" s="6"/>
      <c r="L982" s="6"/>
      <c r="M982" s="6"/>
      <c r="O982" s="6"/>
      <c r="P982" s="6"/>
      <c r="Q982" s="6"/>
      <c r="R982" s="6"/>
      <c r="S982" s="6"/>
    </row>
  </sheetData>
  <pageMargins left="0.511811024" right="0.511811024" top="0.78740157499999996" bottom="0.78740157499999996" header="0" footer="0"/>
  <pageSetup paperSize="9" orientation="portrait"/>
  <headerFooter>
    <oddFooter>&amp;L_x000D_#008542 INTERNA_x000D_&amp;1#&amp;"Trebuchet MS"&amp;9&amp;K737373 PÚBLICA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DF1D58B-3495-46DF-8427-762268EBAABA}">
          <x14:formula1>
            <xm:f>Tabela!$N$2:$N$124</xm:f>
          </x14:formula1>
          <xm:sqref>A4:A29</xm:sqref>
        </x14:dataValidation>
        <x14:dataValidation type="list" allowBlank="1" showInputMessage="1" showErrorMessage="1" xr:uid="{69632437-0D6C-4F65-A9E4-3510F0CB9787}">
          <x14:formula1>
            <xm:f>Tabela!$A$2:$A$53</xm:f>
          </x14:formula1>
          <xm:sqref>B4:B29</xm:sqref>
        </x14:dataValidation>
        <x14:dataValidation type="list" allowBlank="1" showInputMessage="1" showErrorMessage="1" xr:uid="{487E07B7-607A-49BC-994A-B33D75036988}">
          <x14:formula1>
            <xm:f>Tabela!$C$2:$C$10</xm:f>
          </x14:formula1>
          <xm:sqref>R4:R29</xm:sqref>
        </x14:dataValidation>
        <x14:dataValidation type="list" allowBlank="1" showInputMessage="1" showErrorMessage="1" xr:uid="{A005B77B-BDEF-4266-B7AB-FEBA39F88C20}">
          <x14:formula1>
            <xm:f>Tabela!$E$2:$E$29</xm:f>
          </x14:formula1>
          <xm:sqref>S4:S29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8FB5E-BA81-4FFE-906A-16F843BDDFA8}">
  <sheetPr>
    <tabColor rgb="FFFF0000"/>
  </sheetPr>
  <dimension ref="A1:R124"/>
  <sheetViews>
    <sheetView workbookViewId="0">
      <selection sqref="A1:XFD1048576"/>
    </sheetView>
  </sheetViews>
  <sheetFormatPr defaultRowHeight="14.4" x14ac:dyDescent="0.3"/>
  <cols>
    <col min="1" max="1" width="37.44140625" bestFit="1" customWidth="1"/>
    <col min="3" max="3" width="8.77734375" bestFit="1" customWidth="1"/>
    <col min="5" max="5" width="21.77734375" customWidth="1"/>
    <col min="6" max="6" width="4.109375" customWidth="1"/>
    <col min="7" max="7" width="7.5546875" bestFit="1" customWidth="1"/>
    <col min="8" max="8" width="52.109375" bestFit="1" customWidth="1"/>
    <col min="9" max="9" width="21.109375" bestFit="1" customWidth="1"/>
    <col min="10" max="10" width="12.109375" bestFit="1" customWidth="1"/>
    <col min="11" max="11" width="18.33203125" bestFit="1" customWidth="1"/>
    <col min="12" max="12" width="43.6640625" bestFit="1" customWidth="1"/>
    <col min="13" max="13" width="3.77734375" customWidth="1"/>
    <col min="14" max="14" width="21.77734375" bestFit="1" customWidth="1"/>
    <col min="16" max="16" width="23.6640625" customWidth="1"/>
  </cols>
  <sheetData>
    <row r="1" spans="1:18" ht="15" thickBot="1" x14ac:dyDescent="0.35">
      <c r="A1" s="109" t="s">
        <v>24</v>
      </c>
      <c r="C1" t="s">
        <v>47</v>
      </c>
      <c r="E1" s="78" t="s">
        <v>225</v>
      </c>
      <c r="G1" t="s">
        <v>226</v>
      </c>
      <c r="H1" t="s">
        <v>227</v>
      </c>
      <c r="I1" t="s">
        <v>228</v>
      </c>
      <c r="J1" t="s">
        <v>229</v>
      </c>
      <c r="K1" t="s">
        <v>230</v>
      </c>
      <c r="L1" t="s">
        <v>231</v>
      </c>
      <c r="N1" s="79" t="s">
        <v>22</v>
      </c>
      <c r="O1" s="77" t="s">
        <v>25</v>
      </c>
      <c r="P1" s="77" t="s">
        <v>27</v>
      </c>
      <c r="Q1" s="77" t="s">
        <v>29</v>
      </c>
      <c r="R1" s="77" t="s">
        <v>30</v>
      </c>
    </row>
    <row r="2" spans="1:18" x14ac:dyDescent="0.3">
      <c r="A2" t="s">
        <v>404</v>
      </c>
      <c r="C2" t="s">
        <v>70</v>
      </c>
      <c r="E2" t="s">
        <v>58</v>
      </c>
      <c r="G2" t="s">
        <v>60</v>
      </c>
      <c r="H2" t="s">
        <v>232</v>
      </c>
      <c r="I2" t="s">
        <v>58</v>
      </c>
      <c r="J2" t="s">
        <v>42</v>
      </c>
      <c r="K2" s="80">
        <v>0.6</v>
      </c>
      <c r="L2" t="s">
        <v>233</v>
      </c>
      <c r="N2" s="81" t="s">
        <v>234</v>
      </c>
      <c r="P2" s="82">
        <v>0.5</v>
      </c>
      <c r="Q2" s="82">
        <v>12.5</v>
      </c>
      <c r="R2" s="83">
        <v>14</v>
      </c>
    </row>
    <row r="3" spans="1:18" x14ac:dyDescent="0.3">
      <c r="A3" t="s">
        <v>405</v>
      </c>
      <c r="C3" t="s">
        <v>94</v>
      </c>
      <c r="E3" t="s">
        <v>61</v>
      </c>
      <c r="G3" t="s">
        <v>63</v>
      </c>
      <c r="H3" t="s">
        <v>235</v>
      </c>
      <c r="I3" t="s">
        <v>61</v>
      </c>
      <c r="J3" t="s">
        <v>42</v>
      </c>
      <c r="K3" s="80">
        <v>3.55</v>
      </c>
      <c r="L3" t="s">
        <v>236</v>
      </c>
      <c r="N3" s="78" t="s">
        <v>237</v>
      </c>
      <c r="P3" s="83">
        <v>0.5</v>
      </c>
      <c r="Q3" s="83">
        <v>13</v>
      </c>
      <c r="R3" s="83">
        <v>13</v>
      </c>
    </row>
    <row r="4" spans="1:18" x14ac:dyDescent="0.3">
      <c r="A4" t="s">
        <v>406</v>
      </c>
      <c r="C4" t="s">
        <v>103</v>
      </c>
      <c r="E4" t="s">
        <v>64</v>
      </c>
      <c r="G4" t="s">
        <v>66</v>
      </c>
      <c r="H4" t="s">
        <v>238</v>
      </c>
      <c r="I4" t="s">
        <v>64</v>
      </c>
      <c r="J4" t="s">
        <v>42</v>
      </c>
      <c r="K4" s="80">
        <v>0.74</v>
      </c>
      <c r="L4" t="s">
        <v>239</v>
      </c>
      <c r="N4" s="78" t="s">
        <v>240</v>
      </c>
      <c r="P4" s="83">
        <v>0.5</v>
      </c>
      <c r="Q4" s="83">
        <v>14</v>
      </c>
      <c r="R4" s="83">
        <v>12.5</v>
      </c>
    </row>
    <row r="5" spans="1:18" x14ac:dyDescent="0.3">
      <c r="A5" t="s">
        <v>407</v>
      </c>
      <c r="C5" t="s">
        <v>403</v>
      </c>
      <c r="E5" t="s">
        <v>67</v>
      </c>
      <c r="G5" t="s">
        <v>69</v>
      </c>
      <c r="H5" t="s">
        <v>241</v>
      </c>
      <c r="I5" t="s">
        <v>67</v>
      </c>
      <c r="J5" t="s">
        <v>42</v>
      </c>
      <c r="K5" s="80">
        <v>56.11</v>
      </c>
      <c r="L5" t="s">
        <v>242</v>
      </c>
      <c r="N5" s="78" t="s">
        <v>243</v>
      </c>
      <c r="P5" s="83">
        <v>0.5</v>
      </c>
      <c r="Q5" s="83">
        <v>14</v>
      </c>
      <c r="R5" s="83">
        <v>13</v>
      </c>
    </row>
    <row r="6" spans="1:18" x14ac:dyDescent="0.3">
      <c r="A6" t="s">
        <v>408</v>
      </c>
      <c r="C6" t="s">
        <v>114</v>
      </c>
      <c r="E6" t="s">
        <v>72</v>
      </c>
      <c r="G6" t="s">
        <v>74</v>
      </c>
      <c r="H6" t="s">
        <v>244</v>
      </c>
      <c r="I6" t="s">
        <v>72</v>
      </c>
      <c r="J6" t="s">
        <v>42</v>
      </c>
      <c r="K6" s="80">
        <v>0.08</v>
      </c>
      <c r="L6" t="s">
        <v>245</v>
      </c>
      <c r="N6" s="78" t="s">
        <v>246</v>
      </c>
      <c r="P6" s="83">
        <v>0.5</v>
      </c>
      <c r="Q6" s="83">
        <v>14</v>
      </c>
      <c r="R6" s="83">
        <v>14</v>
      </c>
    </row>
    <row r="7" spans="1:18" x14ac:dyDescent="0.3">
      <c r="A7" t="s">
        <v>415</v>
      </c>
      <c r="C7" t="s">
        <v>127</v>
      </c>
      <c r="E7" t="s">
        <v>76</v>
      </c>
      <c r="G7" t="s">
        <v>78</v>
      </c>
      <c r="H7" t="s">
        <v>247</v>
      </c>
      <c r="I7" t="s">
        <v>76</v>
      </c>
      <c r="J7" t="s">
        <v>42</v>
      </c>
      <c r="K7" s="80">
        <v>0.08</v>
      </c>
      <c r="L7" t="s">
        <v>248</v>
      </c>
      <c r="N7" s="78" t="s">
        <v>249</v>
      </c>
      <c r="P7" s="83">
        <v>8</v>
      </c>
      <c r="Q7" s="83">
        <v>41</v>
      </c>
      <c r="R7" s="83">
        <v>41</v>
      </c>
    </row>
    <row r="8" spans="1:18" x14ac:dyDescent="0.3">
      <c r="A8" t="s">
        <v>416</v>
      </c>
      <c r="C8" s="78" t="s">
        <v>409</v>
      </c>
      <c r="E8" t="s">
        <v>139</v>
      </c>
      <c r="G8" t="s">
        <v>79</v>
      </c>
      <c r="H8" t="s">
        <v>250</v>
      </c>
      <c r="I8" t="s">
        <v>139</v>
      </c>
      <c r="J8" t="s">
        <v>82</v>
      </c>
      <c r="K8" s="80">
        <v>125.89</v>
      </c>
      <c r="L8" t="s">
        <v>251</v>
      </c>
      <c r="N8" s="78" t="s">
        <v>252</v>
      </c>
      <c r="P8" s="82">
        <v>1</v>
      </c>
      <c r="Q8" s="82">
        <v>12.5</v>
      </c>
      <c r="R8" s="82">
        <v>14</v>
      </c>
    </row>
    <row r="9" spans="1:18" x14ac:dyDescent="0.3">
      <c r="A9" t="s">
        <v>81</v>
      </c>
      <c r="C9" s="78" t="s">
        <v>410</v>
      </c>
      <c r="E9" t="s">
        <v>174</v>
      </c>
      <c r="G9" t="s">
        <v>83</v>
      </c>
      <c r="H9" t="s">
        <v>84</v>
      </c>
      <c r="I9" t="s">
        <v>174</v>
      </c>
      <c r="J9" t="s">
        <v>82</v>
      </c>
      <c r="K9" s="80">
        <v>200</v>
      </c>
      <c r="L9" t="s">
        <v>253</v>
      </c>
      <c r="N9" s="78" t="s">
        <v>254</v>
      </c>
      <c r="P9" s="83">
        <v>1</v>
      </c>
      <c r="Q9" s="83">
        <v>14</v>
      </c>
      <c r="R9" s="83">
        <v>13</v>
      </c>
    </row>
    <row r="10" spans="1:18" x14ac:dyDescent="0.3">
      <c r="A10" t="s">
        <v>86</v>
      </c>
      <c r="C10" s="78" t="s">
        <v>411</v>
      </c>
      <c r="E10" t="s">
        <v>255</v>
      </c>
      <c r="G10" t="s">
        <v>87</v>
      </c>
      <c r="H10" t="s">
        <v>88</v>
      </c>
      <c r="I10" t="s">
        <v>256</v>
      </c>
      <c r="J10" t="s">
        <v>4</v>
      </c>
      <c r="K10" s="80">
        <v>0.5</v>
      </c>
      <c r="L10" t="s">
        <v>257</v>
      </c>
      <c r="N10" s="78" t="s">
        <v>258</v>
      </c>
      <c r="P10" s="83">
        <v>1</v>
      </c>
      <c r="Q10" s="83">
        <v>14</v>
      </c>
      <c r="R10" s="83">
        <v>19</v>
      </c>
    </row>
    <row r="11" spans="1:18" x14ac:dyDescent="0.3">
      <c r="A11" s="110" t="s">
        <v>223</v>
      </c>
      <c r="E11" t="s">
        <v>259</v>
      </c>
      <c r="G11" t="s">
        <v>89</v>
      </c>
      <c r="H11" t="s">
        <v>90</v>
      </c>
      <c r="I11" t="s">
        <v>259</v>
      </c>
      <c r="J11" t="s">
        <v>91</v>
      </c>
      <c r="K11" s="80">
        <v>1.96</v>
      </c>
      <c r="L11" t="s">
        <v>260</v>
      </c>
      <c r="N11" s="78" t="s">
        <v>110</v>
      </c>
      <c r="P11" s="83">
        <v>10</v>
      </c>
      <c r="Q11" s="83">
        <v>10</v>
      </c>
      <c r="R11" s="83">
        <v>2.5</v>
      </c>
    </row>
    <row r="12" spans="1:18" x14ac:dyDescent="0.3">
      <c r="A12" t="s">
        <v>220</v>
      </c>
      <c r="E12" t="s">
        <v>261</v>
      </c>
      <c r="G12" t="s">
        <v>92</v>
      </c>
      <c r="H12" t="s">
        <v>93</v>
      </c>
      <c r="I12" t="s">
        <v>261</v>
      </c>
      <c r="J12" t="s">
        <v>262</v>
      </c>
      <c r="K12" s="80">
        <v>1.35</v>
      </c>
      <c r="L12" t="s">
        <v>263</v>
      </c>
      <c r="N12" s="78" t="s">
        <v>264</v>
      </c>
      <c r="P12" s="83">
        <v>10</v>
      </c>
      <c r="Q12" s="83">
        <v>10.5</v>
      </c>
      <c r="R12" s="83">
        <v>4</v>
      </c>
    </row>
    <row r="13" spans="1:18" x14ac:dyDescent="0.3">
      <c r="A13" t="s">
        <v>417</v>
      </c>
      <c r="E13" t="s">
        <v>265</v>
      </c>
      <c r="G13" t="s">
        <v>95</v>
      </c>
      <c r="H13" t="s">
        <v>97</v>
      </c>
      <c r="I13" t="s">
        <v>265</v>
      </c>
      <c r="J13" t="s">
        <v>98</v>
      </c>
      <c r="K13" s="80">
        <v>594488.34</v>
      </c>
      <c r="L13" t="s">
        <v>266</v>
      </c>
      <c r="N13" s="78" t="s">
        <v>267</v>
      </c>
      <c r="P13" s="83">
        <v>10</v>
      </c>
      <c r="Q13" s="83">
        <v>15.5</v>
      </c>
      <c r="R13" s="83">
        <v>0.3</v>
      </c>
    </row>
    <row r="14" spans="1:18" x14ac:dyDescent="0.3">
      <c r="A14" t="s">
        <v>71</v>
      </c>
      <c r="E14" t="s">
        <v>268</v>
      </c>
      <c r="G14" t="s">
        <v>99</v>
      </c>
      <c r="H14" t="s">
        <v>100</v>
      </c>
      <c r="I14" t="s">
        <v>268</v>
      </c>
      <c r="J14" t="s">
        <v>42</v>
      </c>
      <c r="K14" s="80">
        <v>1.01</v>
      </c>
      <c r="L14" t="s">
        <v>269</v>
      </c>
      <c r="N14" s="78" t="s">
        <v>270</v>
      </c>
      <c r="P14" s="83">
        <v>10</v>
      </c>
      <c r="Q14" s="83">
        <v>19</v>
      </c>
      <c r="R14" s="83">
        <v>26.5</v>
      </c>
    </row>
    <row r="15" spans="1:18" x14ac:dyDescent="0.3">
      <c r="A15" t="s">
        <v>105</v>
      </c>
      <c r="E15" t="s">
        <v>271</v>
      </c>
      <c r="G15" t="s">
        <v>106</v>
      </c>
      <c r="H15" t="s">
        <v>107</v>
      </c>
      <c r="I15" t="s">
        <v>272</v>
      </c>
      <c r="J15" t="s">
        <v>108</v>
      </c>
      <c r="K15" s="80">
        <v>0.44</v>
      </c>
      <c r="L15" t="s">
        <v>273</v>
      </c>
      <c r="N15" s="78" t="s">
        <v>274</v>
      </c>
      <c r="P15" s="83">
        <v>10</v>
      </c>
      <c r="Q15" s="83">
        <v>3</v>
      </c>
      <c r="R15" s="83">
        <v>10</v>
      </c>
    </row>
    <row r="16" spans="1:18" x14ac:dyDescent="0.3">
      <c r="A16" t="s">
        <v>401</v>
      </c>
      <c r="E16" t="s">
        <v>272</v>
      </c>
      <c r="G16" t="s">
        <v>109</v>
      </c>
      <c r="H16" t="s">
        <v>111</v>
      </c>
      <c r="I16" t="s">
        <v>275</v>
      </c>
      <c r="J16" t="s">
        <v>42</v>
      </c>
      <c r="K16" s="80">
        <v>1.44</v>
      </c>
      <c r="L16" t="s">
        <v>276</v>
      </c>
      <c r="N16" s="78" t="s">
        <v>277</v>
      </c>
      <c r="P16" s="83">
        <v>10</v>
      </c>
      <c r="Q16" s="83">
        <v>4.5</v>
      </c>
      <c r="R16" s="83">
        <v>10</v>
      </c>
    </row>
    <row r="17" spans="1:18" x14ac:dyDescent="0.3">
      <c r="A17" t="s">
        <v>418</v>
      </c>
      <c r="E17" t="s">
        <v>275</v>
      </c>
      <c r="G17" t="s">
        <v>112</v>
      </c>
      <c r="H17" t="s">
        <v>278</v>
      </c>
      <c r="I17" t="s">
        <v>279</v>
      </c>
      <c r="J17" t="s">
        <v>113</v>
      </c>
      <c r="K17" s="80">
        <v>0.05</v>
      </c>
      <c r="L17" t="s">
        <v>280</v>
      </c>
      <c r="N17" s="78" t="s">
        <v>281</v>
      </c>
      <c r="P17" s="83">
        <v>10.5</v>
      </c>
      <c r="Q17" s="83">
        <v>15</v>
      </c>
      <c r="R17" s="83">
        <v>0.3</v>
      </c>
    </row>
    <row r="18" spans="1:18" x14ac:dyDescent="0.3">
      <c r="A18" t="s">
        <v>419</v>
      </c>
      <c r="E18" t="s">
        <v>282</v>
      </c>
      <c r="G18" t="s">
        <v>117</v>
      </c>
      <c r="H18" t="s">
        <v>118</v>
      </c>
      <c r="I18" t="s">
        <v>283</v>
      </c>
      <c r="J18" t="s">
        <v>113</v>
      </c>
      <c r="K18" s="80">
        <v>0.06</v>
      </c>
      <c r="L18" t="s">
        <v>284</v>
      </c>
      <c r="N18" s="78" t="s">
        <v>285</v>
      </c>
      <c r="P18" s="83">
        <v>10.5</v>
      </c>
      <c r="Q18" s="83">
        <v>19</v>
      </c>
      <c r="R18" s="83">
        <v>2.5</v>
      </c>
    </row>
    <row r="19" spans="1:18" x14ac:dyDescent="0.3">
      <c r="A19" t="s">
        <v>420</v>
      </c>
      <c r="E19" t="s">
        <v>286</v>
      </c>
      <c r="G19" t="s">
        <v>119</v>
      </c>
      <c r="H19" t="s">
        <v>120</v>
      </c>
      <c r="I19" t="s">
        <v>287</v>
      </c>
      <c r="J19" t="s">
        <v>113</v>
      </c>
      <c r="K19" s="80">
        <v>0.1</v>
      </c>
      <c r="L19" t="s">
        <v>288</v>
      </c>
      <c r="N19" s="78" t="s">
        <v>289</v>
      </c>
      <c r="P19" s="83">
        <v>10.5</v>
      </c>
      <c r="Q19" s="83">
        <v>41</v>
      </c>
      <c r="R19" s="83">
        <v>41</v>
      </c>
    </row>
    <row r="20" spans="1:18" x14ac:dyDescent="0.3">
      <c r="A20" t="s">
        <v>421</v>
      </c>
      <c r="E20" t="s">
        <v>290</v>
      </c>
      <c r="G20" t="s">
        <v>122</v>
      </c>
      <c r="H20" t="s">
        <v>291</v>
      </c>
      <c r="I20" t="s">
        <v>292</v>
      </c>
      <c r="J20" t="s">
        <v>113</v>
      </c>
      <c r="K20" s="80">
        <v>0.23</v>
      </c>
      <c r="L20" t="s">
        <v>293</v>
      </c>
      <c r="N20" s="78" t="s">
        <v>294</v>
      </c>
      <c r="P20" s="83">
        <v>100</v>
      </c>
      <c r="Q20" s="83">
        <v>140</v>
      </c>
      <c r="R20" s="83">
        <v>51</v>
      </c>
    </row>
    <row r="21" spans="1:18" x14ac:dyDescent="0.3">
      <c r="A21" t="s">
        <v>422</v>
      </c>
      <c r="E21" t="s">
        <v>279</v>
      </c>
      <c r="G21" t="s">
        <v>124</v>
      </c>
      <c r="H21" t="s">
        <v>125</v>
      </c>
      <c r="I21" t="s">
        <v>295</v>
      </c>
      <c r="J21" t="s">
        <v>126</v>
      </c>
      <c r="K21" s="80">
        <v>68.27</v>
      </c>
      <c r="L21" t="s">
        <v>296</v>
      </c>
      <c r="N21" s="78" t="s">
        <v>115</v>
      </c>
      <c r="P21" s="83">
        <v>11</v>
      </c>
      <c r="Q21" s="83">
        <v>15.5</v>
      </c>
      <c r="R21" s="83">
        <v>0.3</v>
      </c>
    </row>
    <row r="22" spans="1:18" x14ac:dyDescent="0.3">
      <c r="A22" t="s">
        <v>181</v>
      </c>
      <c r="E22" t="s">
        <v>283</v>
      </c>
      <c r="G22" t="s">
        <v>128</v>
      </c>
      <c r="H22" t="s">
        <v>129</v>
      </c>
      <c r="I22" t="s">
        <v>297</v>
      </c>
      <c r="J22" t="s">
        <v>126</v>
      </c>
      <c r="K22" s="80">
        <v>39</v>
      </c>
      <c r="L22" t="s">
        <v>298</v>
      </c>
      <c r="N22" s="78" t="s">
        <v>299</v>
      </c>
      <c r="P22" s="83">
        <v>11</v>
      </c>
      <c r="Q22" s="83">
        <v>33</v>
      </c>
      <c r="R22" s="83">
        <v>37</v>
      </c>
    </row>
    <row r="23" spans="1:18" x14ac:dyDescent="0.3">
      <c r="A23" t="s">
        <v>180</v>
      </c>
      <c r="E23" t="s">
        <v>287</v>
      </c>
      <c r="G23" t="s">
        <v>130</v>
      </c>
      <c r="H23" t="s">
        <v>131</v>
      </c>
      <c r="I23" t="s">
        <v>300</v>
      </c>
      <c r="J23" t="s">
        <v>126</v>
      </c>
      <c r="K23" s="80">
        <v>11.72</v>
      </c>
      <c r="L23" t="s">
        <v>301</v>
      </c>
      <c r="N23" s="78" t="s">
        <v>302</v>
      </c>
      <c r="P23" s="83">
        <v>11</v>
      </c>
      <c r="Q23" s="83">
        <v>33</v>
      </c>
      <c r="R23" s="83">
        <v>41</v>
      </c>
    </row>
    <row r="24" spans="1:18" x14ac:dyDescent="0.3">
      <c r="A24" t="s">
        <v>179</v>
      </c>
      <c r="E24" t="s">
        <v>292</v>
      </c>
      <c r="G24" t="s">
        <v>132</v>
      </c>
      <c r="H24" t="s">
        <v>133</v>
      </c>
      <c r="I24" t="s">
        <v>303</v>
      </c>
      <c r="J24" t="s">
        <v>126</v>
      </c>
      <c r="K24" s="80">
        <v>2.44</v>
      </c>
      <c r="L24" t="s">
        <v>304</v>
      </c>
      <c r="N24" s="78" t="s">
        <v>305</v>
      </c>
      <c r="P24" s="83">
        <v>11.5</v>
      </c>
      <c r="Q24" s="83">
        <v>37</v>
      </c>
      <c r="R24" s="83">
        <v>33</v>
      </c>
    </row>
    <row r="25" spans="1:18" x14ac:dyDescent="0.3">
      <c r="A25" t="s">
        <v>178</v>
      </c>
      <c r="E25" t="s">
        <v>295</v>
      </c>
      <c r="N25" s="78" t="s">
        <v>306</v>
      </c>
      <c r="P25" s="83">
        <v>12</v>
      </c>
      <c r="Q25" s="83">
        <v>34</v>
      </c>
      <c r="R25" s="83">
        <v>37</v>
      </c>
    </row>
    <row r="26" spans="1:18" x14ac:dyDescent="0.3">
      <c r="A26" t="s">
        <v>176</v>
      </c>
      <c r="E26" t="s">
        <v>297</v>
      </c>
      <c r="N26" s="78" t="s">
        <v>307</v>
      </c>
      <c r="P26" s="83">
        <v>12</v>
      </c>
      <c r="Q26" s="83">
        <v>34</v>
      </c>
      <c r="R26" s="83">
        <v>37</v>
      </c>
    </row>
    <row r="27" spans="1:18" x14ac:dyDescent="0.3">
      <c r="A27" t="s">
        <v>182</v>
      </c>
      <c r="E27" t="s">
        <v>300</v>
      </c>
      <c r="N27" s="78" t="s">
        <v>121</v>
      </c>
      <c r="P27" s="83">
        <v>12.5</v>
      </c>
      <c r="Q27" s="83">
        <v>14</v>
      </c>
      <c r="R27" s="83">
        <v>0.5</v>
      </c>
    </row>
    <row r="28" spans="1:18" x14ac:dyDescent="0.3">
      <c r="A28" t="s">
        <v>262</v>
      </c>
      <c r="E28" t="s">
        <v>303</v>
      </c>
      <c r="N28" s="78" t="s">
        <v>308</v>
      </c>
      <c r="P28" s="83">
        <v>12.5</v>
      </c>
      <c r="Q28" s="83">
        <v>14.5</v>
      </c>
      <c r="R28" s="83">
        <v>0.5</v>
      </c>
    </row>
    <row r="29" spans="1:18" x14ac:dyDescent="0.3">
      <c r="A29" t="s">
        <v>412</v>
      </c>
      <c r="E29" t="s">
        <v>309</v>
      </c>
      <c r="N29" s="78" t="s">
        <v>310</v>
      </c>
      <c r="P29" s="83">
        <v>130</v>
      </c>
      <c r="Q29" s="83">
        <v>60</v>
      </c>
      <c r="R29" s="83">
        <v>72</v>
      </c>
    </row>
    <row r="30" spans="1:18" x14ac:dyDescent="0.3">
      <c r="A30" t="s">
        <v>423</v>
      </c>
      <c r="N30" s="78" t="s">
        <v>311</v>
      </c>
      <c r="P30" s="83">
        <v>130</v>
      </c>
      <c r="Q30" s="83">
        <v>60</v>
      </c>
      <c r="R30" s="83">
        <v>73</v>
      </c>
    </row>
    <row r="31" spans="1:18" x14ac:dyDescent="0.3">
      <c r="A31" t="s">
        <v>424</v>
      </c>
      <c r="N31" s="78" t="s">
        <v>312</v>
      </c>
      <c r="P31" s="83">
        <v>135</v>
      </c>
      <c r="Q31" s="83">
        <v>51</v>
      </c>
      <c r="R31" s="83">
        <v>105</v>
      </c>
    </row>
    <row r="32" spans="1:18" x14ac:dyDescent="0.3">
      <c r="A32" t="s">
        <v>425</v>
      </c>
      <c r="N32" s="78" t="s">
        <v>313</v>
      </c>
      <c r="P32" s="83">
        <v>140</v>
      </c>
      <c r="Q32" s="83">
        <v>67</v>
      </c>
      <c r="R32" s="83">
        <v>72</v>
      </c>
    </row>
    <row r="33" spans="1:18" x14ac:dyDescent="0.3">
      <c r="A33" t="s">
        <v>426</v>
      </c>
      <c r="N33" s="78" t="s">
        <v>314</v>
      </c>
      <c r="P33" s="83">
        <v>15</v>
      </c>
      <c r="Q33" s="83">
        <v>40</v>
      </c>
      <c r="R33" s="83">
        <v>35</v>
      </c>
    </row>
    <row r="34" spans="1:18" x14ac:dyDescent="0.3">
      <c r="A34" t="s">
        <v>427</v>
      </c>
      <c r="N34" s="78" t="s">
        <v>315</v>
      </c>
      <c r="P34" s="83">
        <v>150</v>
      </c>
      <c r="Q34" s="83">
        <v>90</v>
      </c>
      <c r="R34" s="83">
        <v>76</v>
      </c>
    </row>
    <row r="35" spans="1:18" x14ac:dyDescent="0.3">
      <c r="A35" t="s">
        <v>428</v>
      </c>
      <c r="N35" s="78" t="s">
        <v>316</v>
      </c>
      <c r="P35" s="83">
        <v>16.5</v>
      </c>
      <c r="Q35" s="83">
        <v>11.5</v>
      </c>
      <c r="R35" s="83">
        <v>0.3</v>
      </c>
    </row>
    <row r="36" spans="1:18" x14ac:dyDescent="0.3">
      <c r="A36" t="s">
        <v>402</v>
      </c>
      <c r="N36" s="78" t="s">
        <v>317</v>
      </c>
      <c r="P36" s="83">
        <v>17</v>
      </c>
      <c r="Q36" s="83">
        <v>20.5</v>
      </c>
      <c r="R36" s="83">
        <v>111.5</v>
      </c>
    </row>
    <row r="37" spans="1:18" x14ac:dyDescent="0.3">
      <c r="A37" t="s">
        <v>116</v>
      </c>
      <c r="N37" s="78" t="s">
        <v>318</v>
      </c>
      <c r="P37" s="83">
        <v>170</v>
      </c>
      <c r="Q37" s="83">
        <v>61</v>
      </c>
      <c r="R37" s="83">
        <v>72</v>
      </c>
    </row>
    <row r="38" spans="1:18" x14ac:dyDescent="0.3">
      <c r="A38" t="s">
        <v>172</v>
      </c>
      <c r="N38" s="78" t="s">
        <v>319</v>
      </c>
      <c r="P38" s="83">
        <v>180</v>
      </c>
      <c r="Q38" s="83">
        <v>68</v>
      </c>
      <c r="R38" s="83">
        <v>72</v>
      </c>
    </row>
    <row r="39" spans="1:18" x14ac:dyDescent="0.3">
      <c r="A39" t="s">
        <v>222</v>
      </c>
      <c r="N39" s="78" t="s">
        <v>320</v>
      </c>
      <c r="P39" s="83">
        <v>21</v>
      </c>
      <c r="Q39" s="83">
        <v>31</v>
      </c>
      <c r="R39" s="83">
        <v>46</v>
      </c>
    </row>
    <row r="40" spans="1:18" x14ac:dyDescent="0.3">
      <c r="A40" t="s">
        <v>429</v>
      </c>
      <c r="N40" s="78" t="s">
        <v>321</v>
      </c>
      <c r="P40" s="83">
        <v>21</v>
      </c>
      <c r="Q40" s="83">
        <v>41</v>
      </c>
      <c r="R40" s="83">
        <v>55</v>
      </c>
    </row>
    <row r="41" spans="1:18" x14ac:dyDescent="0.3">
      <c r="A41" t="s">
        <v>430</v>
      </c>
      <c r="N41" s="78" t="s">
        <v>322</v>
      </c>
      <c r="P41" s="83">
        <v>21.5</v>
      </c>
      <c r="Q41" s="83">
        <v>41</v>
      </c>
      <c r="R41" s="83">
        <v>51</v>
      </c>
    </row>
    <row r="42" spans="1:18" x14ac:dyDescent="0.3">
      <c r="A42" t="s">
        <v>431</v>
      </c>
      <c r="N42" s="78" t="s">
        <v>323</v>
      </c>
      <c r="P42" s="83">
        <v>23</v>
      </c>
      <c r="Q42" s="83">
        <v>36.5</v>
      </c>
      <c r="R42" s="83">
        <v>48</v>
      </c>
    </row>
    <row r="43" spans="1:18" x14ac:dyDescent="0.3">
      <c r="A43" t="s">
        <v>126</v>
      </c>
      <c r="N43" s="78" t="s">
        <v>324</v>
      </c>
      <c r="P43" s="83">
        <v>24.5</v>
      </c>
      <c r="Q43" s="83">
        <v>14</v>
      </c>
      <c r="R43" s="83">
        <v>27</v>
      </c>
    </row>
    <row r="44" spans="1:18" x14ac:dyDescent="0.3">
      <c r="A44" t="s">
        <v>432</v>
      </c>
      <c r="N44" s="78" t="s">
        <v>325</v>
      </c>
      <c r="P44" s="83">
        <v>25</v>
      </c>
      <c r="Q44" s="83">
        <v>13.5</v>
      </c>
      <c r="R44" s="83">
        <v>37</v>
      </c>
    </row>
    <row r="45" spans="1:18" x14ac:dyDescent="0.3">
      <c r="A45" t="s">
        <v>433</v>
      </c>
      <c r="N45" s="78" t="s">
        <v>326</v>
      </c>
      <c r="P45" s="83">
        <v>25</v>
      </c>
      <c r="Q45" s="83">
        <v>14</v>
      </c>
      <c r="R45" s="83">
        <v>36.5</v>
      </c>
    </row>
    <row r="46" spans="1:18" x14ac:dyDescent="0.3">
      <c r="A46" t="s">
        <v>434</v>
      </c>
      <c r="N46" s="78" t="s">
        <v>49</v>
      </c>
      <c r="P46" s="83">
        <v>25</v>
      </c>
      <c r="Q46" s="83">
        <v>14</v>
      </c>
      <c r="R46" s="83">
        <v>37</v>
      </c>
    </row>
    <row r="47" spans="1:18" x14ac:dyDescent="0.3">
      <c r="A47" t="s">
        <v>413</v>
      </c>
      <c r="N47" s="78" t="s">
        <v>327</v>
      </c>
      <c r="P47" s="83">
        <v>25</v>
      </c>
      <c r="Q47" s="83">
        <v>23.5</v>
      </c>
      <c r="R47" s="83">
        <v>46</v>
      </c>
    </row>
    <row r="48" spans="1:18" x14ac:dyDescent="0.3">
      <c r="A48" t="s">
        <v>414</v>
      </c>
      <c r="N48" s="78" t="s">
        <v>328</v>
      </c>
      <c r="P48" s="83">
        <v>26</v>
      </c>
      <c r="Q48" s="83">
        <v>15</v>
      </c>
      <c r="R48" s="83">
        <v>37</v>
      </c>
    </row>
    <row r="49" spans="1:18" x14ac:dyDescent="0.3">
      <c r="A49" t="s">
        <v>435</v>
      </c>
      <c r="N49" s="78" t="s">
        <v>329</v>
      </c>
      <c r="P49" s="83">
        <v>26</v>
      </c>
      <c r="Q49" s="83">
        <v>39</v>
      </c>
      <c r="R49" s="83">
        <v>46.5</v>
      </c>
    </row>
    <row r="50" spans="1:18" x14ac:dyDescent="0.3">
      <c r="A50" t="s">
        <v>436</v>
      </c>
      <c r="N50" s="78" t="s">
        <v>330</v>
      </c>
      <c r="P50" s="83">
        <v>26</v>
      </c>
      <c r="Q50" s="83">
        <v>39</v>
      </c>
      <c r="R50" s="83">
        <v>47</v>
      </c>
    </row>
    <row r="51" spans="1:18" x14ac:dyDescent="0.3">
      <c r="A51" t="s">
        <v>437</v>
      </c>
      <c r="N51" s="78" t="s">
        <v>331</v>
      </c>
      <c r="P51" s="83">
        <v>26</v>
      </c>
      <c r="Q51" s="83">
        <v>39.5</v>
      </c>
      <c r="R51" s="83">
        <v>48.5</v>
      </c>
    </row>
    <row r="52" spans="1:18" x14ac:dyDescent="0.3">
      <c r="A52" t="s">
        <v>438</v>
      </c>
      <c r="N52" s="78" t="s">
        <v>332</v>
      </c>
      <c r="P52" s="83">
        <v>26.5</v>
      </c>
      <c r="Q52" s="83">
        <v>37</v>
      </c>
      <c r="R52" s="83">
        <v>37</v>
      </c>
    </row>
    <row r="53" spans="1:18" x14ac:dyDescent="0.3">
      <c r="A53" t="s">
        <v>221</v>
      </c>
      <c r="N53" s="78" t="s">
        <v>333</v>
      </c>
      <c r="P53" s="83">
        <v>26.5</v>
      </c>
      <c r="Q53" s="83">
        <v>38</v>
      </c>
      <c r="R53" s="83">
        <v>43</v>
      </c>
    </row>
    <row r="54" spans="1:18" x14ac:dyDescent="0.3">
      <c r="A54" s="111" t="s">
        <v>439</v>
      </c>
      <c r="N54" s="78" t="s">
        <v>334</v>
      </c>
      <c r="P54" s="83">
        <v>26.5</v>
      </c>
      <c r="Q54" s="83">
        <v>38</v>
      </c>
      <c r="R54" s="83">
        <v>45.5</v>
      </c>
    </row>
    <row r="55" spans="1:18" x14ac:dyDescent="0.3">
      <c r="N55" s="78" t="s">
        <v>335</v>
      </c>
      <c r="P55" s="83">
        <v>26.5</v>
      </c>
      <c r="Q55" s="83">
        <v>38.5</v>
      </c>
      <c r="R55" s="83">
        <v>46.5</v>
      </c>
    </row>
    <row r="56" spans="1:18" x14ac:dyDescent="0.3">
      <c r="N56" s="78" t="s">
        <v>336</v>
      </c>
      <c r="P56" s="83">
        <v>26.5</v>
      </c>
      <c r="Q56" s="83">
        <v>40</v>
      </c>
      <c r="R56" s="83">
        <v>49</v>
      </c>
    </row>
    <row r="57" spans="1:18" x14ac:dyDescent="0.3">
      <c r="N57" s="78" t="s">
        <v>337</v>
      </c>
      <c r="P57" s="83">
        <v>27</v>
      </c>
      <c r="Q57" s="83">
        <v>36</v>
      </c>
      <c r="R57" s="83">
        <v>47</v>
      </c>
    </row>
    <row r="58" spans="1:18" x14ac:dyDescent="0.3">
      <c r="N58" s="78" t="s">
        <v>338</v>
      </c>
      <c r="P58" s="83">
        <v>27</v>
      </c>
      <c r="Q58" s="83">
        <v>36</v>
      </c>
      <c r="R58" s="83">
        <v>49</v>
      </c>
    </row>
    <row r="59" spans="1:18" x14ac:dyDescent="0.3">
      <c r="N59" s="78" t="s">
        <v>339</v>
      </c>
      <c r="P59" s="83">
        <v>27</v>
      </c>
      <c r="Q59" s="83">
        <v>38</v>
      </c>
      <c r="R59" s="83">
        <v>49</v>
      </c>
    </row>
    <row r="60" spans="1:18" x14ac:dyDescent="0.3">
      <c r="N60" s="78" t="s">
        <v>340</v>
      </c>
      <c r="P60" s="83">
        <v>27.5</v>
      </c>
      <c r="Q60" s="83">
        <v>36</v>
      </c>
      <c r="R60" s="83">
        <v>49</v>
      </c>
    </row>
    <row r="61" spans="1:18" x14ac:dyDescent="0.3">
      <c r="N61" s="78" t="s">
        <v>341</v>
      </c>
      <c r="P61" s="83">
        <v>28</v>
      </c>
      <c r="Q61" s="83">
        <v>37.5</v>
      </c>
      <c r="R61" s="83">
        <v>46</v>
      </c>
    </row>
    <row r="62" spans="1:18" x14ac:dyDescent="0.3">
      <c r="N62" s="78" t="s">
        <v>342</v>
      </c>
      <c r="P62" s="83">
        <v>28</v>
      </c>
      <c r="Q62" s="83">
        <v>37.5</v>
      </c>
      <c r="R62" s="83">
        <v>47.5</v>
      </c>
    </row>
    <row r="63" spans="1:18" x14ac:dyDescent="0.3">
      <c r="N63" s="78" t="s">
        <v>343</v>
      </c>
      <c r="P63" s="83">
        <v>28</v>
      </c>
      <c r="Q63" s="83">
        <v>37.5</v>
      </c>
      <c r="R63" s="83">
        <v>48</v>
      </c>
    </row>
    <row r="64" spans="1:18" x14ac:dyDescent="0.3">
      <c r="N64" s="78" t="s">
        <v>344</v>
      </c>
      <c r="P64" s="83">
        <v>28</v>
      </c>
      <c r="Q64" s="83">
        <v>38</v>
      </c>
      <c r="R64" s="83">
        <v>46.5</v>
      </c>
    </row>
    <row r="65" spans="14:18" x14ac:dyDescent="0.3">
      <c r="N65" s="78" t="s">
        <v>345</v>
      </c>
      <c r="P65" s="83">
        <v>28</v>
      </c>
      <c r="Q65" s="83">
        <v>38.5</v>
      </c>
      <c r="R65" s="83">
        <v>48</v>
      </c>
    </row>
    <row r="66" spans="14:18" x14ac:dyDescent="0.3">
      <c r="N66" s="78" t="s">
        <v>346</v>
      </c>
      <c r="P66" s="83">
        <v>28</v>
      </c>
      <c r="Q66" s="83">
        <v>39</v>
      </c>
      <c r="R66" s="83">
        <v>46</v>
      </c>
    </row>
    <row r="67" spans="14:18" x14ac:dyDescent="0.3">
      <c r="N67" s="78" t="s">
        <v>347</v>
      </c>
      <c r="P67" s="83">
        <v>28.5</v>
      </c>
      <c r="Q67" s="83">
        <v>37</v>
      </c>
      <c r="R67" s="83">
        <v>43</v>
      </c>
    </row>
    <row r="68" spans="14:18" x14ac:dyDescent="0.3">
      <c r="N68" s="78" t="s">
        <v>85</v>
      </c>
      <c r="P68" s="83">
        <v>29</v>
      </c>
      <c r="Q68" s="83">
        <v>40</v>
      </c>
      <c r="R68" s="83">
        <v>50</v>
      </c>
    </row>
    <row r="69" spans="14:18" x14ac:dyDescent="0.3">
      <c r="N69" s="78" t="s">
        <v>80</v>
      </c>
      <c r="P69" s="83">
        <v>29</v>
      </c>
      <c r="Q69" s="83">
        <v>41</v>
      </c>
      <c r="R69" s="83">
        <v>37</v>
      </c>
    </row>
    <row r="70" spans="14:18" x14ac:dyDescent="0.3">
      <c r="N70" s="78" t="s">
        <v>224</v>
      </c>
      <c r="P70" s="83">
        <v>29</v>
      </c>
      <c r="Q70" s="83">
        <v>18</v>
      </c>
      <c r="R70" s="83">
        <v>41</v>
      </c>
    </row>
    <row r="71" spans="14:18" x14ac:dyDescent="0.3">
      <c r="N71" s="78" t="s">
        <v>348</v>
      </c>
      <c r="P71" s="83">
        <v>29</v>
      </c>
      <c r="Q71" s="83">
        <v>37</v>
      </c>
      <c r="R71" s="83">
        <v>41.5</v>
      </c>
    </row>
    <row r="72" spans="14:18" x14ac:dyDescent="0.3">
      <c r="N72" s="78" t="s">
        <v>349</v>
      </c>
      <c r="P72" s="83">
        <v>29</v>
      </c>
      <c r="Q72" s="83">
        <v>37</v>
      </c>
      <c r="R72" s="83">
        <v>42.5</v>
      </c>
    </row>
    <row r="73" spans="14:18" x14ac:dyDescent="0.3">
      <c r="N73" s="78" t="s">
        <v>350</v>
      </c>
      <c r="P73" s="83">
        <v>29</v>
      </c>
      <c r="Q73" s="83">
        <v>37</v>
      </c>
      <c r="R73" s="83">
        <v>43</v>
      </c>
    </row>
    <row r="74" spans="14:18" x14ac:dyDescent="0.3">
      <c r="N74" s="78" t="s">
        <v>351</v>
      </c>
      <c r="P74" s="83">
        <v>29</v>
      </c>
      <c r="Q74" s="83">
        <v>37.5</v>
      </c>
      <c r="R74" s="83">
        <v>41.5</v>
      </c>
    </row>
    <row r="75" spans="14:18" x14ac:dyDescent="0.3">
      <c r="N75" s="78" t="s">
        <v>352</v>
      </c>
      <c r="P75" s="83">
        <v>29</v>
      </c>
      <c r="Q75" s="83">
        <v>37.5</v>
      </c>
      <c r="R75" s="83">
        <v>46</v>
      </c>
    </row>
    <row r="76" spans="14:18" x14ac:dyDescent="0.3">
      <c r="N76" s="78" t="s">
        <v>353</v>
      </c>
      <c r="P76" s="83">
        <v>29</v>
      </c>
      <c r="Q76" s="83">
        <v>38</v>
      </c>
      <c r="R76" s="83">
        <v>42</v>
      </c>
    </row>
    <row r="77" spans="14:18" x14ac:dyDescent="0.3">
      <c r="N77" s="78" t="s">
        <v>354</v>
      </c>
      <c r="P77" s="83">
        <v>29</v>
      </c>
      <c r="Q77" s="83">
        <v>41</v>
      </c>
      <c r="R77" s="83">
        <v>37</v>
      </c>
    </row>
    <row r="78" spans="14:18" x14ac:dyDescent="0.3">
      <c r="N78" s="78" t="s">
        <v>355</v>
      </c>
      <c r="P78" s="83">
        <v>29</v>
      </c>
      <c r="Q78" s="83">
        <v>41.5</v>
      </c>
      <c r="R78" s="83">
        <v>47.5</v>
      </c>
    </row>
    <row r="79" spans="14:18" x14ac:dyDescent="0.3">
      <c r="N79" s="78" t="s">
        <v>356</v>
      </c>
      <c r="P79" s="83">
        <v>29.5</v>
      </c>
      <c r="Q79" s="83">
        <v>39</v>
      </c>
      <c r="R79" s="83">
        <v>46</v>
      </c>
    </row>
    <row r="80" spans="14:18" x14ac:dyDescent="0.3">
      <c r="N80" s="78" t="s">
        <v>357</v>
      </c>
      <c r="P80" s="83">
        <v>30</v>
      </c>
      <c r="Q80" s="83">
        <v>9</v>
      </c>
      <c r="R80" s="83">
        <v>39.5</v>
      </c>
    </row>
    <row r="81" spans="14:18" x14ac:dyDescent="0.3">
      <c r="N81" s="78" t="s">
        <v>358</v>
      </c>
      <c r="P81" s="83">
        <v>30</v>
      </c>
      <c r="Q81" s="83">
        <v>9</v>
      </c>
      <c r="R81" s="83">
        <v>40.5</v>
      </c>
    </row>
    <row r="82" spans="14:18" x14ac:dyDescent="0.3">
      <c r="N82" s="78" t="s">
        <v>75</v>
      </c>
      <c r="P82" s="83">
        <v>30</v>
      </c>
      <c r="Q82" s="83">
        <v>19</v>
      </c>
      <c r="R82" s="83">
        <v>39</v>
      </c>
    </row>
    <row r="83" spans="14:18" x14ac:dyDescent="0.3">
      <c r="N83" s="78" t="s">
        <v>359</v>
      </c>
      <c r="P83" s="83">
        <v>30</v>
      </c>
      <c r="Q83" s="83">
        <v>20</v>
      </c>
      <c r="R83" s="83">
        <v>42</v>
      </c>
    </row>
    <row r="84" spans="14:18" x14ac:dyDescent="0.3">
      <c r="N84" s="78" t="s">
        <v>360</v>
      </c>
      <c r="P84" s="83">
        <v>30</v>
      </c>
      <c r="Q84" s="83">
        <v>38.5</v>
      </c>
      <c r="R84" s="83">
        <v>42</v>
      </c>
    </row>
    <row r="85" spans="14:18" x14ac:dyDescent="0.3">
      <c r="N85" s="78" t="s">
        <v>361</v>
      </c>
      <c r="P85" s="83">
        <v>31</v>
      </c>
      <c r="Q85" s="83">
        <v>31</v>
      </c>
      <c r="R85" s="83">
        <v>47.5</v>
      </c>
    </row>
    <row r="86" spans="14:18" x14ac:dyDescent="0.3">
      <c r="N86" s="78" t="s">
        <v>104</v>
      </c>
      <c r="P86" s="83">
        <v>34</v>
      </c>
      <c r="Q86" s="83">
        <v>37</v>
      </c>
      <c r="R86" s="83">
        <v>12</v>
      </c>
    </row>
    <row r="87" spans="14:18" x14ac:dyDescent="0.3">
      <c r="N87" s="78" t="s">
        <v>362</v>
      </c>
      <c r="P87" s="83">
        <v>4.5</v>
      </c>
      <c r="Q87" s="83">
        <v>10</v>
      </c>
      <c r="R87" s="83"/>
    </row>
    <row r="88" spans="14:18" x14ac:dyDescent="0.3">
      <c r="N88" s="78" t="s">
        <v>363</v>
      </c>
      <c r="P88" s="83">
        <v>40.5</v>
      </c>
      <c r="Q88" s="83">
        <v>41.5</v>
      </c>
      <c r="R88" s="83">
        <v>10</v>
      </c>
    </row>
    <row r="89" spans="14:18" x14ac:dyDescent="0.3">
      <c r="N89" s="78" t="s">
        <v>364</v>
      </c>
      <c r="P89" s="83">
        <v>40.5</v>
      </c>
      <c r="Q89" s="83">
        <v>41.5</v>
      </c>
      <c r="R89" s="83">
        <v>10</v>
      </c>
    </row>
    <row r="90" spans="14:18" x14ac:dyDescent="0.3">
      <c r="N90" s="78" t="s">
        <v>365</v>
      </c>
      <c r="P90" s="83"/>
      <c r="Q90" s="83">
        <v>0.11</v>
      </c>
      <c r="R90" s="83">
        <v>1.2</v>
      </c>
    </row>
    <row r="91" spans="14:18" x14ac:dyDescent="0.3">
      <c r="N91" s="78" t="s">
        <v>366</v>
      </c>
      <c r="P91" s="83"/>
      <c r="Q91" s="83">
        <v>0.11</v>
      </c>
      <c r="R91" s="83">
        <v>1.23</v>
      </c>
    </row>
    <row r="92" spans="14:18" x14ac:dyDescent="0.3">
      <c r="N92" s="78" t="s">
        <v>367</v>
      </c>
      <c r="P92" s="83"/>
      <c r="Q92" s="83">
        <v>0.11</v>
      </c>
      <c r="R92" s="83">
        <v>1.26</v>
      </c>
    </row>
    <row r="93" spans="14:18" x14ac:dyDescent="0.3">
      <c r="N93" s="78" t="s">
        <v>368</v>
      </c>
      <c r="P93" s="83"/>
      <c r="Q93" s="83">
        <v>0.11</v>
      </c>
      <c r="R93" s="83">
        <v>1.3</v>
      </c>
    </row>
    <row r="94" spans="14:18" x14ac:dyDescent="0.3">
      <c r="N94" s="78" t="s">
        <v>369</v>
      </c>
      <c r="P94" s="83">
        <v>35</v>
      </c>
      <c r="Q94" s="83">
        <v>5</v>
      </c>
      <c r="R94" s="83"/>
    </row>
    <row r="95" spans="14:18" x14ac:dyDescent="0.3">
      <c r="N95" s="78" t="s">
        <v>370</v>
      </c>
      <c r="P95" s="83">
        <v>36</v>
      </c>
      <c r="Q95" s="83">
        <v>5</v>
      </c>
      <c r="R95" s="83"/>
    </row>
    <row r="96" spans="14:18" x14ac:dyDescent="0.3">
      <c r="N96" s="78" t="s">
        <v>371</v>
      </c>
      <c r="P96" s="83">
        <v>47</v>
      </c>
      <c r="Q96" s="83">
        <v>5</v>
      </c>
      <c r="R96" s="83"/>
    </row>
    <row r="97" spans="14:18" x14ac:dyDescent="0.3">
      <c r="N97" s="78" t="s">
        <v>372</v>
      </c>
      <c r="P97" s="83">
        <v>45</v>
      </c>
      <c r="Q97" s="83">
        <v>6</v>
      </c>
      <c r="R97" s="83"/>
    </row>
    <row r="98" spans="14:18" x14ac:dyDescent="0.3">
      <c r="N98" s="78" t="s">
        <v>373</v>
      </c>
      <c r="P98" s="83">
        <v>64</v>
      </c>
      <c r="Q98" s="83">
        <v>7</v>
      </c>
      <c r="R98" s="83"/>
    </row>
    <row r="99" spans="14:18" x14ac:dyDescent="0.3">
      <c r="N99" s="78" t="s">
        <v>374</v>
      </c>
      <c r="P99" s="83">
        <v>66</v>
      </c>
      <c r="Q99" s="83">
        <v>7</v>
      </c>
      <c r="R99" s="83"/>
    </row>
    <row r="100" spans="14:18" x14ac:dyDescent="0.3">
      <c r="N100" s="78" t="s">
        <v>375</v>
      </c>
      <c r="P100" s="83">
        <v>88</v>
      </c>
      <c r="Q100" s="83">
        <v>7</v>
      </c>
      <c r="R100" s="83"/>
    </row>
    <row r="101" spans="14:18" x14ac:dyDescent="0.3">
      <c r="N101" s="78" t="s">
        <v>376</v>
      </c>
      <c r="P101" s="83">
        <v>54</v>
      </c>
      <c r="Q101" s="83">
        <v>7.5</v>
      </c>
      <c r="R101" s="83"/>
    </row>
    <row r="102" spans="14:18" x14ac:dyDescent="0.3">
      <c r="N102" s="78" t="s">
        <v>377</v>
      </c>
      <c r="P102" s="83">
        <v>70</v>
      </c>
      <c r="Q102" s="82">
        <v>9</v>
      </c>
      <c r="R102" s="83"/>
    </row>
    <row r="103" spans="14:18" x14ac:dyDescent="0.3">
      <c r="N103" s="78" t="s">
        <v>378</v>
      </c>
      <c r="P103" s="83">
        <v>93</v>
      </c>
      <c r="Q103" s="83">
        <v>9</v>
      </c>
      <c r="R103" s="83"/>
    </row>
    <row r="104" spans="14:18" x14ac:dyDescent="0.3">
      <c r="N104" s="78" t="s">
        <v>379</v>
      </c>
      <c r="P104" s="83">
        <v>94</v>
      </c>
      <c r="Q104" s="83">
        <v>9.5</v>
      </c>
      <c r="R104" s="83"/>
    </row>
    <row r="105" spans="14:18" x14ac:dyDescent="0.3">
      <c r="N105" s="78" t="s">
        <v>380</v>
      </c>
      <c r="P105" s="83">
        <v>104</v>
      </c>
      <c r="Q105" s="82">
        <v>10</v>
      </c>
      <c r="R105" s="83">
        <v>30</v>
      </c>
    </row>
    <row r="106" spans="14:18" x14ac:dyDescent="0.3">
      <c r="N106" s="78" t="s">
        <v>381</v>
      </c>
      <c r="P106" s="83">
        <v>120</v>
      </c>
      <c r="Q106" s="83">
        <v>10</v>
      </c>
      <c r="R106" s="83"/>
    </row>
    <row r="107" spans="14:18" x14ac:dyDescent="0.3">
      <c r="N107" s="78" t="s">
        <v>382</v>
      </c>
      <c r="P107" s="83">
        <v>76</v>
      </c>
      <c r="Q107" s="83">
        <v>10</v>
      </c>
      <c r="R107" s="83"/>
    </row>
    <row r="108" spans="14:18" x14ac:dyDescent="0.3">
      <c r="N108" s="78" t="s">
        <v>383</v>
      </c>
      <c r="P108" s="83">
        <v>92</v>
      </c>
      <c r="Q108" s="83">
        <v>10</v>
      </c>
      <c r="R108" s="83"/>
    </row>
    <row r="109" spans="14:18" x14ac:dyDescent="0.3">
      <c r="N109" s="78" t="s">
        <v>384</v>
      </c>
      <c r="P109" s="83"/>
      <c r="Q109" s="83">
        <v>10</v>
      </c>
      <c r="R109" s="83"/>
    </row>
    <row r="110" spans="14:18" x14ac:dyDescent="0.3">
      <c r="N110" s="78" t="s">
        <v>385</v>
      </c>
      <c r="P110" s="83"/>
      <c r="Q110" s="83">
        <v>10</v>
      </c>
      <c r="R110" s="83">
        <v>122</v>
      </c>
    </row>
    <row r="111" spans="14:18" x14ac:dyDescent="0.3">
      <c r="N111" s="78" t="s">
        <v>386</v>
      </c>
      <c r="P111" s="83"/>
      <c r="Q111" s="83">
        <v>10</v>
      </c>
      <c r="R111" s="83">
        <v>124</v>
      </c>
    </row>
    <row r="112" spans="14:18" x14ac:dyDescent="0.3">
      <c r="N112" s="78" t="s">
        <v>387</v>
      </c>
      <c r="P112" s="83"/>
      <c r="Q112" s="83">
        <v>10</v>
      </c>
      <c r="R112" s="83">
        <v>125</v>
      </c>
    </row>
    <row r="113" spans="14:18" x14ac:dyDescent="0.3">
      <c r="N113" s="78" t="s">
        <v>388</v>
      </c>
      <c r="P113" s="83"/>
      <c r="Q113" s="83">
        <v>10</v>
      </c>
      <c r="R113" s="83">
        <v>130</v>
      </c>
    </row>
    <row r="114" spans="14:18" x14ac:dyDescent="0.3">
      <c r="N114" s="78" t="s">
        <v>389</v>
      </c>
      <c r="P114" s="83"/>
      <c r="Q114" s="83">
        <v>10</v>
      </c>
      <c r="R114" s="83">
        <v>30</v>
      </c>
    </row>
    <row r="115" spans="14:18" x14ac:dyDescent="0.3">
      <c r="N115" s="78" t="s">
        <v>390</v>
      </c>
      <c r="P115" s="83"/>
      <c r="Q115" s="83">
        <v>10.5</v>
      </c>
      <c r="R115" s="83">
        <v>100</v>
      </c>
    </row>
    <row r="116" spans="14:18" x14ac:dyDescent="0.3">
      <c r="N116" s="78" t="s">
        <v>391</v>
      </c>
      <c r="P116" s="83"/>
      <c r="Q116" s="83">
        <v>11</v>
      </c>
      <c r="R116" s="83">
        <v>122</v>
      </c>
    </row>
    <row r="117" spans="14:18" x14ac:dyDescent="0.3">
      <c r="N117" s="78" t="s">
        <v>392</v>
      </c>
      <c r="P117" s="83">
        <v>96</v>
      </c>
      <c r="Q117" s="83">
        <v>16</v>
      </c>
      <c r="R117" s="83"/>
    </row>
    <row r="118" spans="14:18" x14ac:dyDescent="0.3">
      <c r="N118" s="78" t="s">
        <v>393</v>
      </c>
      <c r="P118" s="83"/>
      <c r="Q118" s="83">
        <v>6</v>
      </c>
      <c r="R118" s="83">
        <v>152</v>
      </c>
    </row>
    <row r="119" spans="14:18" x14ac:dyDescent="0.3">
      <c r="N119" s="78" t="s">
        <v>394</v>
      </c>
      <c r="P119" s="83"/>
      <c r="Q119" s="83">
        <v>6</v>
      </c>
      <c r="R119" s="83">
        <v>71</v>
      </c>
    </row>
    <row r="120" spans="14:18" x14ac:dyDescent="0.3">
      <c r="N120" s="78" t="s">
        <v>395</v>
      </c>
      <c r="P120" s="83"/>
      <c r="Q120" s="83">
        <v>6</v>
      </c>
      <c r="R120" s="83">
        <v>81</v>
      </c>
    </row>
    <row r="121" spans="14:18" x14ac:dyDescent="0.3">
      <c r="N121" s="78" t="s">
        <v>396</v>
      </c>
      <c r="P121" s="83"/>
      <c r="Q121" s="83">
        <v>7</v>
      </c>
      <c r="R121" s="83">
        <v>100</v>
      </c>
    </row>
    <row r="122" spans="14:18" x14ac:dyDescent="0.3">
      <c r="N122" s="78" t="s">
        <v>397</v>
      </c>
      <c r="P122" s="83"/>
      <c r="Q122" s="83">
        <v>7</v>
      </c>
      <c r="R122" s="83">
        <v>120</v>
      </c>
    </row>
    <row r="123" spans="14:18" x14ac:dyDescent="0.3">
      <c r="N123" s="78" t="s">
        <v>398</v>
      </c>
      <c r="P123" s="83"/>
      <c r="Q123" s="83">
        <v>9</v>
      </c>
      <c r="R123" s="83">
        <v>93</v>
      </c>
    </row>
    <row r="124" spans="14:18" ht="15" thickBot="1" x14ac:dyDescent="0.35">
      <c r="N124" s="84" t="s">
        <v>96</v>
      </c>
      <c r="O124">
        <v>10</v>
      </c>
      <c r="P124" s="83"/>
      <c r="Q124" s="83"/>
      <c r="R124" s="83">
        <v>120</v>
      </c>
    </row>
  </sheetData>
  <pageMargins left="0.511811024" right="0.511811024" top="0.78740157499999996" bottom="0.78740157499999996" header="0.31496062000000002" footer="0.31496062000000002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8"/>
  <dimension ref="A1:Z1000"/>
  <sheetViews>
    <sheetView showGridLines="0" workbookViewId="0"/>
  </sheetViews>
  <sheetFormatPr defaultColWidth="14.44140625" defaultRowHeight="15" customHeight="1" x14ac:dyDescent="0.3"/>
  <cols>
    <col min="1" max="1" width="10.5546875" customWidth="1"/>
    <col min="2" max="2" width="7.5546875" customWidth="1"/>
    <col min="3" max="3" width="7.44140625" customWidth="1"/>
    <col min="5" max="5" width="9.44140625" customWidth="1"/>
    <col min="6" max="26" width="8.6640625" customWidth="1"/>
  </cols>
  <sheetData>
    <row r="1" spans="1:26" ht="14.25" customHeight="1" x14ac:dyDescent="0.3">
      <c r="A1" s="64" t="s">
        <v>148</v>
      </c>
      <c r="B1" s="64" t="s">
        <v>1</v>
      </c>
      <c r="C1" s="65" t="s">
        <v>149</v>
      </c>
      <c r="D1" s="64" t="s">
        <v>150</v>
      </c>
      <c r="E1" s="64" t="s">
        <v>151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14.25" customHeight="1" x14ac:dyDescent="0.3">
      <c r="A2" s="67"/>
      <c r="B2" s="68"/>
      <c r="C2" s="68"/>
      <c r="D2" s="67"/>
      <c r="E2" s="67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14.25" customHeight="1" x14ac:dyDescent="0.3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4.25" customHeight="1" x14ac:dyDescent="0.3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4.25" customHeight="1" x14ac:dyDescent="0.3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 ht="14.25" customHeight="1" x14ac:dyDescent="0.3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14.25" customHeight="1" x14ac:dyDescent="0.3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 ht="14.25" customHeight="1" x14ac:dyDescent="0.3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ht="14.25" customHeight="1" x14ac:dyDescent="0.3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spans="1:26" ht="14.2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spans="1:26" ht="14.25" customHeight="1" x14ac:dyDescent="0.3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spans="1:26" ht="14.25" customHeight="1" x14ac:dyDescent="0.3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spans="1:26" ht="14.25" customHeight="1" x14ac:dyDescent="0.3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spans="1:26" ht="14.25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spans="1:26" ht="14.25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26" ht="14.25" customHeight="1" x14ac:dyDescent="0.3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spans="1:26" ht="14.25" customHeight="1" x14ac:dyDescent="0.3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spans="1:26" ht="14.25" customHeight="1" x14ac:dyDescent="0.3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1:26" ht="14.25" customHeight="1" x14ac:dyDescent="0.3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spans="1:26" ht="14.25" customHeight="1" x14ac:dyDescent="0.3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spans="1:26" ht="14.25" customHeight="1" x14ac:dyDescent="0.3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spans="1:26" ht="14.25" customHeight="1" x14ac:dyDescent="0.3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spans="1:26" ht="14.25" customHeight="1" x14ac:dyDescent="0.3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spans="1:26" ht="14.25" customHeight="1" x14ac:dyDescent="0.3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1:26" ht="14.25" customHeight="1" x14ac:dyDescent="0.3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spans="1:26" ht="14.25" customHeight="1" x14ac:dyDescent="0.3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spans="1:26" ht="14.25" customHeight="1" x14ac:dyDescent="0.3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spans="1:26" ht="14.25" customHeight="1" x14ac:dyDescent="0.3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spans="1:26" ht="14.25" customHeight="1" x14ac:dyDescent="0.3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14.25" customHeight="1" x14ac:dyDescent="0.3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14.25" customHeight="1" x14ac:dyDescent="0.3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spans="1:26" ht="14.25" customHeight="1" x14ac:dyDescent="0.3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spans="1:26" ht="14.25" customHeight="1" x14ac:dyDescent="0.3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spans="1:26" ht="14.25" customHeight="1" x14ac:dyDescent="0.3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spans="1:26" ht="14.25" customHeight="1" x14ac:dyDescent="0.3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spans="1:26" ht="14.25" customHeight="1" x14ac:dyDescent="0.3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spans="1:26" ht="14.25" customHeight="1" x14ac:dyDescent="0.3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spans="1:26" ht="14.25" customHeight="1" x14ac:dyDescent="0.3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spans="1:26" ht="14.25" customHeight="1" x14ac:dyDescent="0.3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spans="1:26" ht="14.25" customHeight="1" x14ac:dyDescent="0.3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spans="1:26" ht="14.25" customHeight="1" x14ac:dyDescent="0.3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 ht="14.25" customHeight="1" x14ac:dyDescent="0.3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 ht="14.25" customHeight="1" x14ac:dyDescent="0.3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spans="1:26" ht="14.25" customHeight="1" x14ac:dyDescent="0.3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 ht="14.25" customHeight="1" x14ac:dyDescent="0.3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 ht="14.25" customHeight="1" x14ac:dyDescent="0.3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 ht="14.25" customHeight="1" x14ac:dyDescent="0.3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 ht="14.25" customHeight="1" x14ac:dyDescent="0.3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spans="1:26" ht="14.25" customHeight="1" x14ac:dyDescent="0.3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spans="1:26" ht="14.25" customHeight="1" x14ac:dyDescent="0.3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 ht="14.25" customHeight="1" x14ac:dyDescent="0.3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spans="1:26" ht="14.25" customHeight="1" x14ac:dyDescent="0.3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spans="1:26" ht="14.25" customHeight="1" x14ac:dyDescent="0.3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spans="1:26" ht="14.25" customHeight="1" x14ac:dyDescent="0.3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spans="1:26" ht="14.25" customHeight="1" x14ac:dyDescent="0.3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spans="1:26" ht="14.25" customHeight="1" x14ac:dyDescent="0.3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spans="1:26" ht="14.25" customHeight="1" x14ac:dyDescent="0.3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 ht="14.25" customHeight="1" x14ac:dyDescent="0.3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 ht="14.25" customHeight="1" x14ac:dyDescent="0.3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14.25" customHeight="1" x14ac:dyDescent="0.3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 ht="14.25" customHeight="1" x14ac:dyDescent="0.3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spans="1:26" ht="14.25" customHeight="1" x14ac:dyDescent="0.3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1:26" ht="14.25" customHeight="1" x14ac:dyDescent="0.3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 ht="14.25" customHeight="1" x14ac:dyDescent="0.3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 ht="14.25" customHeight="1" x14ac:dyDescent="0.3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spans="1:26" ht="14.25" customHeight="1" x14ac:dyDescent="0.3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spans="1:26" ht="14.25" customHeight="1" x14ac:dyDescent="0.3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4.25" customHeight="1" x14ac:dyDescent="0.3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spans="1:26" ht="14.25" customHeight="1" x14ac:dyDescent="0.3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spans="1:26" ht="14.25" customHeight="1" x14ac:dyDescent="0.3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spans="1:26" ht="14.25" customHeight="1" x14ac:dyDescent="0.3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spans="1:26" ht="14.25" customHeight="1" x14ac:dyDescent="0.3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1:26" ht="14.25" customHeight="1" x14ac:dyDescent="0.3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spans="1:26" ht="14.25" customHeight="1" x14ac:dyDescent="0.3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spans="1:26" ht="14.25" customHeight="1" x14ac:dyDescent="0.3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 ht="14.25" customHeight="1" x14ac:dyDescent="0.3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spans="1:26" ht="14.25" customHeight="1" x14ac:dyDescent="0.3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 ht="14.25" customHeight="1" x14ac:dyDescent="0.3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 ht="14.25" customHeight="1" x14ac:dyDescent="0.3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 ht="14.25" customHeight="1" x14ac:dyDescent="0.3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ht="14.25" customHeight="1" x14ac:dyDescent="0.3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spans="1:26" ht="14.25" customHeight="1" x14ac:dyDescent="0.3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ht="14.25" customHeight="1" x14ac:dyDescent="0.3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1:26" ht="14.25" customHeight="1" x14ac:dyDescent="0.3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 ht="14.25" customHeight="1" x14ac:dyDescent="0.3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spans="1:26" ht="14.25" customHeight="1" x14ac:dyDescent="0.3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 ht="14.25" customHeight="1" x14ac:dyDescent="0.3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 ht="14.25" customHeight="1" x14ac:dyDescent="0.3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spans="1:26" ht="14.25" customHeight="1" x14ac:dyDescent="0.3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spans="1:26" ht="14.25" customHeight="1" x14ac:dyDescent="0.3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spans="1:26" ht="14.25" customHeight="1" x14ac:dyDescent="0.3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spans="1:26" ht="14.25" customHeight="1" x14ac:dyDescent="0.3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6" ht="14.25" customHeight="1" x14ac:dyDescent="0.3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spans="1:26" ht="14.25" customHeight="1" x14ac:dyDescent="0.3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spans="1:26" ht="14.25" customHeight="1" x14ac:dyDescent="0.3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spans="1:26" ht="14.25" customHeight="1" x14ac:dyDescent="0.3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spans="1:26" ht="14.25" customHeight="1" x14ac:dyDescent="0.3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spans="1:26" ht="14.25" customHeight="1" x14ac:dyDescent="0.3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spans="1:26" ht="14.25" customHeight="1" x14ac:dyDescent="0.3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spans="1:26" ht="14.25" customHeight="1" x14ac:dyDescent="0.3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1:26" ht="14.25" customHeight="1" x14ac:dyDescent="0.3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spans="1:26" ht="14.25" customHeight="1" x14ac:dyDescent="0.3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spans="1:26" ht="14.25" customHeight="1" x14ac:dyDescent="0.3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spans="1:26" ht="14.25" customHeight="1" x14ac:dyDescent="0.3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1:26" ht="14.25" customHeight="1" x14ac:dyDescent="0.3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spans="1:26" ht="14.25" customHeight="1" x14ac:dyDescent="0.3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spans="1:26" ht="14.25" customHeight="1" x14ac:dyDescent="0.3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1:26" ht="14.25" customHeight="1" x14ac:dyDescent="0.3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spans="1:26" ht="14.25" customHeight="1" x14ac:dyDescent="0.3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spans="1:26" ht="14.25" customHeight="1" x14ac:dyDescent="0.3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spans="1:26" ht="14.25" customHeight="1" x14ac:dyDescent="0.3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spans="1:26" ht="14.25" customHeight="1" x14ac:dyDescent="0.3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spans="1:26" ht="14.25" customHeight="1" x14ac:dyDescent="0.3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spans="1:26" ht="14.25" customHeight="1" x14ac:dyDescent="0.3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spans="1:26" ht="14.25" customHeight="1" x14ac:dyDescent="0.3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spans="1:26" ht="14.25" customHeight="1" x14ac:dyDescent="0.3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 ht="14.25" customHeight="1" x14ac:dyDescent="0.3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1:26" ht="14.25" customHeight="1" x14ac:dyDescent="0.3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1:26" ht="14.25" customHeight="1" x14ac:dyDescent="0.3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spans="1:26" ht="14.25" customHeight="1" x14ac:dyDescent="0.3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spans="1:26" ht="14.25" customHeight="1" x14ac:dyDescent="0.3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spans="1:26" ht="14.25" customHeight="1" x14ac:dyDescent="0.3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spans="1:26" ht="14.25" customHeight="1" x14ac:dyDescent="0.3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1:26" ht="14.25" customHeight="1" x14ac:dyDescent="0.3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 ht="14.25" customHeight="1" x14ac:dyDescent="0.3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1:26" ht="14.25" customHeight="1" x14ac:dyDescent="0.3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1:26" ht="14.25" customHeight="1" x14ac:dyDescent="0.3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1:26" ht="14.25" customHeight="1" x14ac:dyDescent="0.3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1:26" ht="14.25" customHeight="1" x14ac:dyDescent="0.3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1:26" ht="14.25" customHeight="1" x14ac:dyDescent="0.3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1:26" ht="14.25" customHeight="1" x14ac:dyDescent="0.3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1:26" ht="14.25" customHeight="1" x14ac:dyDescent="0.3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 ht="14.25" customHeight="1" x14ac:dyDescent="0.3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1:26" ht="14.25" customHeight="1" x14ac:dyDescent="0.3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1:26" ht="14.25" customHeight="1" x14ac:dyDescent="0.3"/>
    <row r="136" spans="1:26" ht="14.25" customHeight="1" x14ac:dyDescent="0.3"/>
    <row r="137" spans="1:26" ht="14.25" customHeight="1" x14ac:dyDescent="0.3"/>
    <row r="138" spans="1:26" ht="14.25" customHeight="1" x14ac:dyDescent="0.3"/>
    <row r="139" spans="1:26" ht="14.25" customHeight="1" x14ac:dyDescent="0.3"/>
    <row r="140" spans="1:26" ht="14.25" customHeight="1" x14ac:dyDescent="0.3"/>
    <row r="141" spans="1:26" ht="14.25" customHeight="1" x14ac:dyDescent="0.3"/>
    <row r="142" spans="1:26" ht="14.25" customHeight="1" x14ac:dyDescent="0.3"/>
    <row r="143" spans="1:26" ht="14.25" customHeight="1" x14ac:dyDescent="0.3"/>
    <row r="144" spans="1:26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511811024" right="0.511811024" top="0.78740157499999996" bottom="0.78740157499999996" header="0" footer="0"/>
  <pageSetup orientation="landscape"/>
  <headerFooter>
    <oddFooter>&amp;L_x000D_#008542 INTERNA_x000D_&amp;1#&amp;"Trebuchet MS"&amp;9&amp;K737373 PÚBLICA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/>
  <dimension ref="A1:Z1000"/>
  <sheetViews>
    <sheetView workbookViewId="0"/>
  </sheetViews>
  <sheetFormatPr defaultColWidth="14.44140625" defaultRowHeight="15" customHeight="1" x14ac:dyDescent="0.3"/>
  <cols>
    <col min="1" max="1" width="2.44140625" customWidth="1"/>
    <col min="2" max="3" width="7.6640625" customWidth="1"/>
    <col min="4" max="4" width="5.6640625" customWidth="1"/>
    <col min="5" max="5" width="5.33203125" customWidth="1"/>
    <col min="6" max="6" width="9.6640625" customWidth="1"/>
    <col min="7" max="7" width="10.33203125" customWidth="1"/>
    <col min="8" max="8" width="13.88671875" customWidth="1"/>
    <col min="9" max="9" width="12.88671875" customWidth="1"/>
    <col min="10" max="11" width="16.44140625" customWidth="1"/>
    <col min="12" max="12" width="6.88671875" customWidth="1"/>
    <col min="13" max="13" width="9.109375" customWidth="1"/>
    <col min="14" max="14" width="7.33203125" customWidth="1"/>
    <col min="15" max="15" width="7.5546875" customWidth="1"/>
    <col min="16" max="26" width="9.109375" customWidth="1"/>
  </cols>
  <sheetData>
    <row r="1" spans="1:26" ht="12.75" customHeight="1" x14ac:dyDescent="0.3">
      <c r="A1" s="69" t="s">
        <v>152</v>
      </c>
      <c r="B1" s="69" t="s">
        <v>153</v>
      </c>
      <c r="C1" s="69" t="s">
        <v>154</v>
      </c>
      <c r="D1" s="69" t="s">
        <v>155</v>
      </c>
      <c r="E1" s="69" t="s">
        <v>156</v>
      </c>
      <c r="F1" s="70" t="s">
        <v>157</v>
      </c>
      <c r="G1" s="69" t="s">
        <v>158</v>
      </c>
      <c r="H1" s="69" t="s">
        <v>159</v>
      </c>
      <c r="I1" s="69" t="s">
        <v>160</v>
      </c>
      <c r="J1" s="69" t="s">
        <v>161</v>
      </c>
      <c r="K1" s="69" t="s">
        <v>162</v>
      </c>
      <c r="L1" s="69" t="s">
        <v>163</v>
      </c>
      <c r="M1" s="69" t="s">
        <v>164</v>
      </c>
      <c r="N1" s="69" t="s">
        <v>165</v>
      </c>
      <c r="O1" s="69" t="s">
        <v>166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3">
      <c r="A2" s="52"/>
      <c r="B2" s="52"/>
      <c r="C2" s="52"/>
      <c r="D2" s="52"/>
      <c r="E2" s="52"/>
      <c r="F2" s="51"/>
      <c r="G2" s="52"/>
      <c r="H2" s="52"/>
      <c r="I2" s="52"/>
      <c r="J2" s="71"/>
      <c r="K2" s="72"/>
      <c r="L2" s="52"/>
      <c r="M2" s="52"/>
      <c r="N2" s="52"/>
      <c r="O2" s="52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8740157499999996" right="0.78740157499999996" top="0.984251969" bottom="0.984251969" header="0" footer="0"/>
  <pageSetup orientation="landscape"/>
  <headerFooter>
    <oddFooter>&amp;L_x000D_#008542 INTERNA_x000D_&amp;1#&amp;"Trebuchet MS"&amp;9&amp;K737373 PÚBLICA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0"/>
  <dimension ref="B1:D1000"/>
  <sheetViews>
    <sheetView showGridLines="0" workbookViewId="0"/>
  </sheetViews>
  <sheetFormatPr defaultColWidth="14.44140625" defaultRowHeight="15" customHeight="1" x14ac:dyDescent="0.3"/>
  <cols>
    <col min="1" max="1" width="8.6640625" customWidth="1"/>
    <col min="2" max="3" width="10.33203125" customWidth="1"/>
    <col min="4" max="4" width="12.44140625" customWidth="1"/>
    <col min="5" max="26" width="8.6640625" customWidth="1"/>
  </cols>
  <sheetData>
    <row r="1" spans="2:4" ht="14.25" customHeight="1" x14ac:dyDescent="0.3"/>
    <row r="2" spans="2:4" ht="14.25" customHeight="1" x14ac:dyDescent="0.3"/>
    <row r="3" spans="2:4" ht="14.25" customHeight="1" x14ac:dyDescent="0.3">
      <c r="B3" s="73" t="s">
        <v>167</v>
      </c>
      <c r="C3" s="73" t="s">
        <v>168</v>
      </c>
      <c r="D3" s="73" t="s">
        <v>169</v>
      </c>
    </row>
    <row r="4" spans="2:4" ht="14.25" customHeight="1" x14ac:dyDescent="0.3">
      <c r="B4" s="4">
        <v>10000</v>
      </c>
      <c r="C4" s="4">
        <v>52</v>
      </c>
      <c r="D4" s="4" t="s">
        <v>147</v>
      </c>
    </row>
    <row r="5" spans="2:4" ht="14.25" customHeight="1" x14ac:dyDescent="0.3">
      <c r="B5" s="4">
        <v>2000</v>
      </c>
      <c r="C5" s="4">
        <v>45</v>
      </c>
      <c r="D5" s="4" t="s">
        <v>170</v>
      </c>
    </row>
    <row r="6" spans="2:4" ht="14.25" customHeight="1" x14ac:dyDescent="0.3">
      <c r="B6" s="4">
        <v>500</v>
      </c>
      <c r="C6" s="4">
        <v>10</v>
      </c>
      <c r="D6" s="4" t="s">
        <v>147</v>
      </c>
    </row>
    <row r="7" spans="2:4" ht="14.25" customHeight="1" x14ac:dyDescent="0.3"/>
    <row r="8" spans="2:4" ht="14.25" customHeight="1" x14ac:dyDescent="0.3"/>
    <row r="9" spans="2:4" ht="14.25" customHeight="1" x14ac:dyDescent="0.3"/>
    <row r="10" spans="2:4" ht="14.25" customHeight="1" x14ac:dyDescent="0.3"/>
    <row r="11" spans="2:4" ht="14.25" customHeight="1" x14ac:dyDescent="0.3"/>
    <row r="12" spans="2:4" ht="14.25" customHeight="1" x14ac:dyDescent="0.3"/>
    <row r="13" spans="2:4" ht="14.25" customHeight="1" x14ac:dyDescent="0.3"/>
    <row r="14" spans="2:4" ht="14.25" customHeight="1" x14ac:dyDescent="0.3"/>
    <row r="15" spans="2:4" ht="14.25" customHeight="1" x14ac:dyDescent="0.3"/>
    <row r="16" spans="2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511811024" right="0.511811024" top="0.78740157499999996" bottom="0.78740157499999996" header="0" footer="0"/>
  <pageSetup paperSize="9" orientation="portrait"/>
  <headerFooter>
    <oddFooter>&amp;L_x000D_#008542 INTERNA_x000D_&amp;1#&amp;"Trebuchet MS"&amp;9&amp;K737373 PÚBLICA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2"/>
  <dimension ref="B1:P1000"/>
  <sheetViews>
    <sheetView showGridLines="0" workbookViewId="0"/>
  </sheetViews>
  <sheetFormatPr defaultColWidth="14.44140625" defaultRowHeight="15" customHeight="1" x14ac:dyDescent="0.3"/>
  <cols>
    <col min="1" max="1" width="2.33203125" customWidth="1"/>
    <col min="2" max="2" width="21.109375" customWidth="1"/>
    <col min="3" max="3" width="8.6640625" customWidth="1"/>
    <col min="4" max="4" width="27.109375" customWidth="1"/>
    <col min="5" max="5" width="8.6640625" customWidth="1"/>
    <col min="6" max="6" width="24.88671875" customWidth="1"/>
    <col min="7" max="7" width="8.6640625" customWidth="1"/>
    <col min="8" max="8" width="15" customWidth="1"/>
    <col min="9" max="9" width="8.6640625" customWidth="1"/>
    <col min="10" max="10" width="12.88671875" customWidth="1"/>
    <col min="11" max="11" width="8.6640625" customWidth="1"/>
    <col min="12" max="12" width="22.109375" customWidth="1"/>
    <col min="13" max="13" width="8.6640625" customWidth="1"/>
    <col min="14" max="14" width="6.88671875" customWidth="1"/>
    <col min="15" max="15" width="8.6640625" customWidth="1"/>
    <col min="16" max="16" width="15.109375" customWidth="1"/>
    <col min="17" max="26" width="8.6640625" customWidth="1"/>
  </cols>
  <sheetData>
    <row r="1" spans="2:16" ht="14.25" customHeight="1" x14ac:dyDescent="0.3"/>
    <row r="2" spans="2:16" ht="14.25" customHeight="1" x14ac:dyDescent="0.3">
      <c r="B2" s="74" t="s">
        <v>183</v>
      </c>
      <c r="D2" s="74" t="s">
        <v>184</v>
      </c>
      <c r="F2" s="74" t="s">
        <v>146</v>
      </c>
      <c r="H2" s="74" t="s">
        <v>185</v>
      </c>
      <c r="J2" s="74" t="s">
        <v>186</v>
      </c>
      <c r="L2" s="74" t="s">
        <v>1</v>
      </c>
      <c r="N2" s="74" t="s">
        <v>187</v>
      </c>
      <c r="P2" s="74" t="s">
        <v>2</v>
      </c>
    </row>
    <row r="3" spans="2:16" ht="14.25" customHeight="1" x14ac:dyDescent="0.3">
      <c r="B3" s="75"/>
      <c r="D3" s="75" t="s">
        <v>188</v>
      </c>
      <c r="F3" s="75" t="s">
        <v>189</v>
      </c>
      <c r="H3" s="75" t="s">
        <v>190</v>
      </c>
      <c r="J3" s="75" t="s">
        <v>147</v>
      </c>
      <c r="L3" s="75" t="s">
        <v>191</v>
      </c>
      <c r="N3" s="75" t="s">
        <v>171</v>
      </c>
      <c r="P3" s="75" t="s">
        <v>173</v>
      </c>
    </row>
    <row r="4" spans="2:16" ht="14.25" customHeight="1" x14ac:dyDescent="0.3">
      <c r="B4" s="75" t="s">
        <v>192</v>
      </c>
      <c r="D4" s="75" t="s">
        <v>193</v>
      </c>
      <c r="F4" s="75" t="s">
        <v>194</v>
      </c>
      <c r="H4" s="75" t="s">
        <v>195</v>
      </c>
      <c r="J4" s="75" t="s">
        <v>101</v>
      </c>
      <c r="L4" s="75" t="s">
        <v>196</v>
      </c>
      <c r="N4" s="75" t="s">
        <v>175</v>
      </c>
      <c r="P4" s="75" t="s">
        <v>197</v>
      </c>
    </row>
    <row r="5" spans="2:16" ht="14.25" customHeight="1" x14ac:dyDescent="0.3">
      <c r="B5" s="75" t="s">
        <v>198</v>
      </c>
      <c r="D5" s="75" t="s">
        <v>199</v>
      </c>
      <c r="F5" s="75" t="s">
        <v>200</v>
      </c>
      <c r="H5" s="75" t="s">
        <v>201</v>
      </c>
      <c r="L5" s="75" t="s">
        <v>202</v>
      </c>
      <c r="N5" s="75" t="s">
        <v>177</v>
      </c>
    </row>
    <row r="6" spans="2:16" ht="14.25" customHeight="1" x14ac:dyDescent="0.3">
      <c r="B6" s="75" t="s">
        <v>203</v>
      </c>
      <c r="D6" s="75" t="s">
        <v>204</v>
      </c>
      <c r="H6" s="75" t="s">
        <v>205</v>
      </c>
      <c r="L6" s="75" t="s">
        <v>206</v>
      </c>
      <c r="N6" s="75" t="s">
        <v>5</v>
      </c>
    </row>
    <row r="7" spans="2:16" ht="14.25" customHeight="1" x14ac:dyDescent="0.3">
      <c r="H7" s="75" t="s">
        <v>207</v>
      </c>
      <c r="L7" s="75" t="s">
        <v>208</v>
      </c>
      <c r="N7" s="76" t="s">
        <v>209</v>
      </c>
    </row>
    <row r="8" spans="2:16" ht="14.25" customHeight="1" x14ac:dyDescent="0.3">
      <c r="L8" s="75" t="s">
        <v>210</v>
      </c>
    </row>
    <row r="9" spans="2:16" ht="14.25" customHeight="1" x14ac:dyDescent="0.3">
      <c r="L9" s="75" t="s">
        <v>211</v>
      </c>
    </row>
    <row r="10" spans="2:16" ht="14.25" customHeight="1" x14ac:dyDescent="0.3">
      <c r="L10" s="75" t="s">
        <v>212</v>
      </c>
    </row>
    <row r="11" spans="2:16" ht="14.25" customHeight="1" x14ac:dyDescent="0.3">
      <c r="B11" s="74" t="s">
        <v>213</v>
      </c>
      <c r="L11" s="75" t="s">
        <v>214</v>
      </c>
    </row>
    <row r="12" spans="2:16" ht="14.25" customHeight="1" x14ac:dyDescent="0.3">
      <c r="B12" s="75" t="s">
        <v>215</v>
      </c>
      <c r="L12" s="75" t="s">
        <v>216</v>
      </c>
    </row>
    <row r="13" spans="2:16" ht="14.25" customHeight="1" x14ac:dyDescent="0.3">
      <c r="B13" s="75" t="s">
        <v>217</v>
      </c>
      <c r="L13" s="75" t="s">
        <v>218</v>
      </c>
    </row>
    <row r="14" spans="2:16" ht="14.25" customHeight="1" x14ac:dyDescent="0.3">
      <c r="B14" s="75" t="s">
        <v>219</v>
      </c>
    </row>
    <row r="15" spans="2:16" ht="14.25" customHeight="1" x14ac:dyDescent="0.3"/>
    <row r="16" spans="2: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511811024" right="0.511811024" top="0.78740157499999996" bottom="0.78740157499999996" header="0" footer="0"/>
  <pageSetup paperSize="9" orientation="portrait"/>
  <headerFooter>
    <oddFooter>&amp;L_x000D_#008542 INTERNA_x000D_&amp;1#&amp;"Trebuchet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5</vt:i4>
      </vt:variant>
    </vt:vector>
  </HeadingPairs>
  <TitlesOfParts>
    <vt:vector size="12" baseType="lpstr">
      <vt:lpstr>MC IMB SP</vt:lpstr>
      <vt:lpstr>Consolidado</vt:lpstr>
      <vt:lpstr>Tabela</vt:lpstr>
      <vt:lpstr>Digitalização projeto</vt:lpstr>
      <vt:lpstr>Videos submarinos</vt:lpstr>
      <vt:lpstr>Relação de ordens de serviço</vt:lpstr>
      <vt:lpstr>Base</vt:lpstr>
      <vt:lpstr>ARMCXDOC</vt:lpstr>
      <vt:lpstr>ARMCXMID</vt:lpstr>
      <vt:lpstr>ARMMID</vt:lpstr>
      <vt:lpstr>ARMTB</vt:lpstr>
      <vt:lpstr>FDM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alamo.diretoria@outlook.com</dc:creator>
  <cp:lastModifiedBy>Thelmo Pinheiro Sym - PrestServ</cp:lastModifiedBy>
  <dcterms:created xsi:type="dcterms:W3CDTF">2021-05-25T21:02:45Z</dcterms:created>
  <dcterms:modified xsi:type="dcterms:W3CDTF">2026-08-28T11:39:39Z</dcterms:modified>
</cp:coreProperties>
</file>