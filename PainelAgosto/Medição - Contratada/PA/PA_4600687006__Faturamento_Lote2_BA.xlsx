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Y:\Arquivamento_SID\2. Controles\Painel Novo\Medição - Contratada\PA\"/>
    </mc:Choice>
  </mc:AlternateContent>
  <xr:revisionPtr revIDLastSave="0" documentId="13_ncr:1_{8F687D8F-FF9A-44DE-9EFE-C7834806FB18}" xr6:coauthVersionLast="47" xr6:coauthVersionMax="47" xr10:uidLastSave="{00000000-0000-0000-0000-000000000000}"/>
  <bookViews>
    <workbookView xWindow="-108" yWindow="-108" windowWidth="30936" windowHeight="16776" tabRatio="891" activeTab="1" xr2:uid="{00000000-000D-0000-FFFF-FFFF00000000}"/>
  </bookViews>
  <sheets>
    <sheet name="MC BA" sheetId="1" r:id="rId1"/>
    <sheet name="Consolidado" sheetId="2" r:id="rId2"/>
    <sheet name="Tabela" sheetId="15" r:id="rId3"/>
    <sheet name="Mapa Geral" sheetId="3" r:id="rId4"/>
    <sheet name="Digitalização Click" sheetId="4" r:id="rId5"/>
    <sheet name="Atendimentos" sheetId="5" state="hidden" r:id="rId6"/>
    <sheet name="Digitalização Projeto" sheetId="6" state="hidden" r:id="rId7"/>
    <sheet name="Catalogação projeto" sheetId="7" state="hidden" r:id="rId8"/>
    <sheet name="Planilha1" sheetId="12" state="hidden" r:id="rId9"/>
    <sheet name="Planilha2" sheetId="13" state="hidden" r:id="rId10"/>
    <sheet name="Planilha3" sheetId="14" state="hidden" r:id="rId11"/>
    <sheet name="Fretes cálculo" sheetId="8" r:id="rId12"/>
    <sheet name="Relação de ordens de serviço" sheetId="9" state="hidden" r:id="rId13"/>
    <sheet name="Combos" sheetId="10" state="hidden" r:id="rId14"/>
    <sheet name="Base" sheetId="11" state="hidden" r:id="rId15"/>
  </sheets>
  <definedNames>
    <definedName name="_xlnm._FilterDatabase" localSheetId="13" hidden="1">Combos!$B$2:$K$28</definedName>
    <definedName name="_xlnm._FilterDatabase" localSheetId="3" hidden="1">'Mapa Geral'!$G$39:$K$42</definedName>
    <definedName name="ARMCXDOC">'MC BA'!$D$12</definedName>
    <definedName name="ARMCXMID">'MC BA'!$D$15</definedName>
    <definedName name="ARMMA">'MC BA'!$D$21</definedName>
    <definedName name="ARMMIC">'MC BA'!$D$24</definedName>
    <definedName name="ARMMID">'MC BA'!$D$27</definedName>
    <definedName name="ARMTB">'MC BA'!$D$18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F29" i="1"/>
  <c r="E29" i="1"/>
  <c r="D29" i="1"/>
  <c r="H29" i="1" s="1"/>
  <c r="G26" i="1"/>
  <c r="F26" i="1"/>
  <c r="E26" i="1"/>
  <c r="D26" i="1"/>
  <c r="H26" i="1" s="1"/>
  <c r="G23" i="1"/>
  <c r="F23" i="1"/>
  <c r="E23" i="1"/>
  <c r="D23" i="1"/>
  <c r="H23" i="1" s="1"/>
  <c r="G20" i="1"/>
  <c r="F20" i="1"/>
  <c r="E20" i="1"/>
  <c r="D20" i="1"/>
  <c r="H20" i="1" s="1"/>
  <c r="D17" i="1"/>
  <c r="H17" i="1" s="1"/>
  <c r="G17" i="1"/>
  <c r="F17" i="1"/>
  <c r="E17" i="1"/>
  <c r="J28" i="1"/>
  <c r="J25" i="1"/>
  <c r="J22" i="1"/>
  <c r="G14" i="1"/>
  <c r="F14" i="1"/>
  <c r="E14" i="1"/>
  <c r="D14" i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P19" i="2"/>
  <c r="Q19" i="2" s="1"/>
  <c r="P20" i="2"/>
  <c r="Q20" i="2" s="1"/>
  <c r="P21" i="2"/>
  <c r="Q21" i="2" s="1"/>
  <c r="P22" i="2"/>
  <c r="Q22" i="2" s="1"/>
  <c r="P23" i="2"/>
  <c r="Q23" i="2" s="1"/>
  <c r="P24" i="2"/>
  <c r="Q24" i="2" s="1"/>
  <c r="P25" i="2"/>
  <c r="Q25" i="2" s="1"/>
  <c r="P17" i="2"/>
  <c r="P18" i="2"/>
  <c r="Q18" i="2" s="1"/>
  <c r="C19" i="2"/>
  <c r="D19" i="2"/>
  <c r="E19" i="2"/>
  <c r="F19" i="2"/>
  <c r="C20" i="2"/>
  <c r="D20" i="2"/>
  <c r="E20" i="2"/>
  <c r="F20" i="2"/>
  <c r="C21" i="2"/>
  <c r="D21" i="2"/>
  <c r="E21" i="2"/>
  <c r="F21" i="2"/>
  <c r="C22" i="2"/>
  <c r="D22" i="2"/>
  <c r="E22" i="2"/>
  <c r="F22" i="2"/>
  <c r="C23" i="2"/>
  <c r="D23" i="2"/>
  <c r="E23" i="2"/>
  <c r="F23" i="2"/>
  <c r="C24" i="2"/>
  <c r="D24" i="2"/>
  <c r="E24" i="2"/>
  <c r="F24" i="2"/>
  <c r="C25" i="2"/>
  <c r="D25" i="2"/>
  <c r="E25" i="2"/>
  <c r="F25" i="2"/>
  <c r="C17" i="2"/>
  <c r="D17" i="2"/>
  <c r="E17" i="2"/>
  <c r="F17" i="2"/>
  <c r="C18" i="2"/>
  <c r="D18" i="2"/>
  <c r="E18" i="2"/>
  <c r="F18" i="2"/>
  <c r="K33" i="1"/>
  <c r="K34" i="1"/>
  <c r="K35" i="1"/>
  <c r="L28" i="1"/>
  <c r="L25" i="1"/>
  <c r="L22" i="1"/>
  <c r="L19" i="1"/>
  <c r="L16" i="1"/>
  <c r="L13" i="1"/>
  <c r="L30" i="1"/>
  <c r="L31" i="1"/>
  <c r="L32" i="1"/>
  <c r="L33" i="1"/>
  <c r="L34" i="1"/>
  <c r="L35" i="1"/>
  <c r="L36" i="1"/>
  <c r="L38" i="1"/>
  <c r="L39" i="1"/>
  <c r="L40" i="1"/>
  <c r="L41" i="1"/>
  <c r="L42" i="1"/>
  <c r="L43" i="1"/>
  <c r="L44" i="1"/>
  <c r="L45" i="1"/>
  <c r="L46" i="1"/>
  <c r="P5" i="2"/>
  <c r="P6" i="2"/>
  <c r="P7" i="2"/>
  <c r="P8" i="2"/>
  <c r="P9" i="2"/>
  <c r="P10" i="2"/>
  <c r="P11" i="2"/>
  <c r="P12" i="2"/>
  <c r="P13" i="2"/>
  <c r="P14" i="2"/>
  <c r="P15" i="2"/>
  <c r="P16" i="2"/>
  <c r="P4" i="2"/>
  <c r="F5" i="2"/>
  <c r="F6" i="2"/>
  <c r="F7" i="2"/>
  <c r="F8" i="2"/>
  <c r="F9" i="2"/>
  <c r="F10" i="2"/>
  <c r="F11" i="2"/>
  <c r="F12" i="2"/>
  <c r="F13" i="2"/>
  <c r="F14" i="2"/>
  <c r="F15" i="2"/>
  <c r="F16" i="2"/>
  <c r="F4" i="2"/>
  <c r="E13" i="2"/>
  <c r="E14" i="2"/>
  <c r="E15" i="2"/>
  <c r="E16" i="2"/>
  <c r="E5" i="2"/>
  <c r="E6" i="2"/>
  <c r="E7" i="2"/>
  <c r="E8" i="2"/>
  <c r="E9" i="2"/>
  <c r="E10" i="2"/>
  <c r="E11" i="2"/>
  <c r="E12" i="2"/>
  <c r="E4" i="2"/>
  <c r="D5" i="2"/>
  <c r="D6" i="2"/>
  <c r="D7" i="2"/>
  <c r="D8" i="2"/>
  <c r="D9" i="2"/>
  <c r="D10" i="2"/>
  <c r="D11" i="2"/>
  <c r="D12" i="2"/>
  <c r="D13" i="2"/>
  <c r="D14" i="2"/>
  <c r="D15" i="2"/>
  <c r="D16" i="2"/>
  <c r="D4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G25" i="2" l="1"/>
  <c r="I25" i="2" s="1"/>
  <c r="O25" i="2" s="1"/>
  <c r="G10" i="2"/>
  <c r="I10" i="2" s="1"/>
  <c r="G9" i="2"/>
  <c r="I9" i="2" s="1"/>
  <c r="G8" i="2"/>
  <c r="I8" i="2" s="1"/>
  <c r="G23" i="2"/>
  <c r="I23" i="2" s="1"/>
  <c r="O23" i="2" s="1"/>
  <c r="H14" i="1"/>
  <c r="G4" i="2"/>
  <c r="I4" i="2" s="1"/>
  <c r="G16" i="2"/>
  <c r="I16" i="2" s="1"/>
  <c r="O16" i="2" s="1"/>
  <c r="Q16" i="2" s="1"/>
  <c r="G22" i="2"/>
  <c r="I22" i="2" s="1"/>
  <c r="O22" i="2" s="1"/>
  <c r="G20" i="2"/>
  <c r="I20" i="2" s="1"/>
  <c r="O20" i="2" s="1"/>
  <c r="G24" i="2"/>
  <c r="I24" i="2" s="1"/>
  <c r="O24" i="2" s="1"/>
  <c r="G18" i="2"/>
  <c r="I18" i="2" s="1"/>
  <c r="O18" i="2" s="1"/>
  <c r="G21" i="2"/>
  <c r="I21" i="2" s="1"/>
  <c r="O21" i="2" s="1"/>
  <c r="G19" i="2"/>
  <c r="I19" i="2" s="1"/>
  <c r="O19" i="2" s="1"/>
  <c r="G6" i="2"/>
  <c r="I6" i="2" s="1"/>
  <c r="O6" i="2" s="1"/>
  <c r="Q6" i="2" s="1"/>
  <c r="G13" i="2"/>
  <c r="I13" i="2" s="1"/>
  <c r="O13" i="2" s="1"/>
  <c r="G5" i="2"/>
  <c r="I5" i="2" s="1"/>
  <c r="O5" i="2" s="1"/>
  <c r="Q5" i="2" s="1"/>
  <c r="G15" i="2"/>
  <c r="I15" i="2" s="1"/>
  <c r="O15" i="2" s="1"/>
  <c r="Q15" i="2" s="1"/>
  <c r="G7" i="2"/>
  <c r="I7" i="2" s="1"/>
  <c r="O7" i="2" s="1"/>
  <c r="Q7" i="2" s="1"/>
  <c r="G12" i="2"/>
  <c r="I12" i="2" s="1"/>
  <c r="O12" i="2" s="1"/>
  <c r="Q12" i="2" s="1"/>
  <c r="G14" i="2"/>
  <c r="I14" i="2" s="1"/>
  <c r="O14" i="2" s="1"/>
  <c r="Q14" i="2" s="1"/>
  <c r="G11" i="2"/>
  <c r="I11" i="2" s="1"/>
  <c r="O11" i="2" s="1"/>
  <c r="O9" i="2"/>
  <c r="Q9" i="2" s="1"/>
  <c r="O10" i="2"/>
  <c r="Q10" i="2" s="1"/>
  <c r="O8" i="2"/>
  <c r="Q8" i="2" s="1"/>
  <c r="G17" i="2"/>
  <c r="I17" i="2" s="1"/>
  <c r="O17" i="2" s="1"/>
  <c r="Q17" i="2" s="1"/>
  <c r="H7" i="8"/>
  <c r="H6" i="8"/>
  <c r="C30" i="4"/>
  <c r="S25" i="4"/>
  <c r="S26" i="4"/>
  <c r="S16" i="4"/>
  <c r="S17" i="4"/>
  <c r="S18" i="4"/>
  <c r="S19" i="4"/>
  <c r="S20" i="4"/>
  <c r="S14" i="4"/>
  <c r="S15" i="4"/>
  <c r="S21" i="4"/>
  <c r="S22" i="4"/>
  <c r="S13" i="4"/>
  <c r="S23" i="4"/>
  <c r="S24" i="4"/>
  <c r="S4" i="4"/>
  <c r="S5" i="4"/>
  <c r="S6" i="4"/>
  <c r="S7" i="4"/>
  <c r="S8" i="4"/>
  <c r="S9" i="4"/>
  <c r="S10" i="4"/>
  <c r="S11" i="4"/>
  <c r="S12" i="4"/>
  <c r="Q13" i="2" l="1"/>
  <c r="J19" i="1"/>
  <c r="Q11" i="2"/>
  <c r="J16" i="1"/>
  <c r="J41" i="1"/>
  <c r="C36" i="4"/>
  <c r="J33" i="1" s="1"/>
  <c r="H5" i="8" l="1"/>
  <c r="H4" i="8"/>
  <c r="H3" i="8"/>
  <c r="H2" i="8"/>
  <c r="S2" i="4"/>
  <c r="S3" i="4"/>
  <c r="C32" i="4" l="1"/>
  <c r="J30" i="1"/>
  <c r="J32" i="1" l="1"/>
  <c r="C31" i="4"/>
  <c r="J43" i="1" s="1"/>
  <c r="J31" i="1"/>
  <c r="K30" i="1" l="1"/>
  <c r="O4" i="2"/>
  <c r="Q4" i="2" l="1"/>
  <c r="J13" i="1"/>
  <c r="J45" i="1"/>
  <c r="J42" i="1"/>
  <c r="J42" i="3"/>
  <c r="K42" i="3" s="1"/>
  <c r="H42" i="3" l="1"/>
  <c r="I42" i="3" s="1"/>
  <c r="K41" i="3"/>
  <c r="N6" i="1" s="1"/>
  <c r="I41" i="3"/>
  <c r="N4" i="1" s="1"/>
  <c r="J4" i="6" l="1"/>
  <c r="G3" i="6"/>
  <c r="H3" i="6" s="1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K4" i="6" l="1"/>
  <c r="I4" i="6" l="1"/>
  <c r="H4" i="6" l="1"/>
  <c r="K45" i="1" l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8" i="1"/>
  <c r="M38" i="1" s="1"/>
  <c r="K36" i="1"/>
  <c r="M36" i="1" s="1"/>
  <c r="M34" i="1"/>
  <c r="M33" i="1"/>
  <c r="K28" i="1"/>
  <c r="M28" i="1" s="1"/>
  <c r="K25" i="1"/>
  <c r="M25" i="1" s="1"/>
  <c r="K22" i="1"/>
  <c r="M22" i="1" s="1"/>
  <c r="K13" i="1" l="1"/>
  <c r="M13" i="1" s="1"/>
  <c r="K39" i="1"/>
  <c r="M39" i="1" s="1"/>
  <c r="K31" i="1"/>
  <c r="M31" i="1" s="1"/>
  <c r="K32" i="1"/>
  <c r="M32" i="1" s="1"/>
  <c r="M30" i="1"/>
  <c r="K19" i="1"/>
  <c r="M19" i="1" l="1"/>
  <c r="K16" i="1"/>
  <c r="M16" i="1" s="1"/>
  <c r="K46" i="1"/>
  <c r="M46" i="1" s="1"/>
  <c r="M4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AC09F9A2-835B-420B-8FAF-1E05909E33F7}">
      <text>
        <r>
          <rPr>
            <sz val="11"/>
            <color theme="1"/>
            <rFont val="Calibri"/>
            <family val="2"/>
            <scheme val="minor"/>
          </rPr>
          <t>Quantidade de UA armazenadas em guarda no mês anterior
======</t>
        </r>
      </text>
    </comment>
    <comment ref="E13" authorId="0" shapeId="0" xr:uid="{7165E9B3-2C3F-4180-AF7C-7DFA3BE71874}">
      <text>
        <r>
          <rPr>
            <sz val="11"/>
            <color theme="1"/>
            <rFont val="Calibri"/>
            <family val="2"/>
            <scheme val="minor"/>
          </rPr>
          <t>Quantidade de UA baixadas permanentemente da guarda no mês
corrente
======</t>
        </r>
      </text>
    </comment>
    <comment ref="F13" authorId="0" shapeId="0" xr:uid="{E3434821-192C-4D36-AC3B-04901BF58C8F}">
      <text>
        <r>
          <rPr>
            <sz val="11"/>
            <color theme="1"/>
            <rFont val="Calibri"/>
            <family val="2"/>
            <scheme val="minor"/>
          </rPr>
          <t>Quantidade de UA destruídas na guarda no mês corrente
======</t>
        </r>
      </text>
    </comment>
    <comment ref="G13" authorId="0" shapeId="0" xr:uid="{3CFE2B97-F1B2-4A7C-98D6-A5E02A8BDC61}">
      <text>
        <r>
          <rPr>
            <sz val="11"/>
            <color theme="1"/>
            <rFont val="Calibri"/>
            <family val="2"/>
            <scheme val="minor"/>
          </rPr>
          <t>Quantidade novas UA incluídas na guarda no mês corrente
======</t>
        </r>
      </text>
    </comment>
    <comment ref="H13" authorId="0" shapeId="0" xr:uid="{19B3C106-D933-47AF-837A-E650B25BBC8E}">
      <text>
        <r>
          <rPr>
            <sz val="11"/>
            <color theme="1"/>
            <rFont val="Calibri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<sst xmlns="http://schemas.openxmlformats.org/spreadsheetml/2006/main" count="9939" uniqueCount="2974">
  <si>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</si>
  <si>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</si>
  <si>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</si>
  <si>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</si>
  <si>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</si>
  <si>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</si>
  <si>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</si>
  <si>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</si>
  <si>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FDM:</t>
  </si>
  <si>
    <r>
      <rPr>
        <b/>
        <sz val="11"/>
        <color theme="1"/>
        <rFont val="Calibri"/>
        <family val="2"/>
      </rPr>
      <t>Objeto:</t>
    </r>
  </si>
  <si>
    <t>Instr. contratual:</t>
  </si>
  <si>
    <t>Item 2 PPU</t>
  </si>
  <si>
    <t>Período: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</si>
  <si>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</si>
  <si>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</si>
  <si>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</si>
  <si>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</si>
  <si>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</si>
  <si>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</si>
  <si>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</si>
  <si>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</si>
  <si>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</si>
  <si>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ARM-CX-DOC: Armazenamento de caixas para documentos</t>
  </si>
  <si>
    <t>1.1</t>
  </si>
  <si>
    <t>QUAm-1</t>
  </si>
  <si>
    <t>QBm</t>
  </si>
  <si>
    <t>QDm</t>
  </si>
  <si>
    <t>QNm</t>
  </si>
  <si>
    <t>QUAm</t>
  </si>
  <si>
    <t>UA</t>
  </si>
  <si>
    <t>ARM-CX-MID: Armazenamento de caixas para mídias</t>
  </si>
  <si>
    <t>1.2</t>
  </si>
  <si>
    <t>ARM-TB: Armazenamento de tubos</t>
  </si>
  <si>
    <t>1.3</t>
  </si>
  <si>
    <t>ARM-MA: Armazenamento de mapotecas e arquivos de aço</t>
  </si>
  <si>
    <t>1.4</t>
  </si>
  <si>
    <t>ARM-MIC: Armazenamento de microformas</t>
  </si>
  <si>
    <t>1.5</t>
  </si>
  <si>
    <t>ARM-MID: Armazenamento de midias</t>
  </si>
  <si>
    <t>1.6</t>
  </si>
  <si>
    <t>1.7</t>
  </si>
  <si>
    <t>FRE-NRM: Frete normal</t>
  </si>
  <si>
    <t>Frete</t>
  </si>
  <si>
    <t>1.8</t>
  </si>
  <si>
    <t>FRE-EXP: Frete expresso</t>
  </si>
  <si>
    <t>1.9</t>
  </si>
  <si>
    <t>KM-AD: Quilometragem adicional</t>
  </si>
  <si>
    <t>KM</t>
  </si>
  <si>
    <t>Item Avulso</t>
  </si>
  <si>
    <t>1.11</t>
  </si>
  <si>
    <t>PES-ITEM: Pesquisa de itens avulsos</t>
  </si>
  <si>
    <t>1.12</t>
  </si>
  <si>
    <t>DES-EMB: Destruição segura de documentos</t>
  </si>
  <si>
    <t>Embalagem</t>
  </si>
  <si>
    <t>1.13</t>
  </si>
  <si>
    <t>Transferência</t>
  </si>
  <si>
    <t>Gerenciamento de Documentos e Informações</t>
  </si>
  <si>
    <t>2.1</t>
  </si>
  <si>
    <t>2.2</t>
  </si>
  <si>
    <t>2.3</t>
  </si>
  <si>
    <t>2.4</t>
  </si>
  <si>
    <t>Microfilme</t>
  </si>
  <si>
    <t>2.5</t>
  </si>
  <si>
    <t>Microficha</t>
  </si>
  <si>
    <t>2.6</t>
  </si>
  <si>
    <t>2.7</t>
  </si>
  <si>
    <t>DIG-MI: Digitalização de microfilmes</t>
  </si>
  <si>
    <t>UD</t>
  </si>
  <si>
    <t>2.8</t>
  </si>
  <si>
    <t>DIG-MF: Digitalização de microfichas</t>
  </si>
  <si>
    <t>2.9</t>
  </si>
  <si>
    <t>DIG-DOC: Digitalização de documentos</t>
  </si>
  <si>
    <t>IND-DOC: Indexação de documentos</t>
  </si>
  <si>
    <t>Indexação</t>
  </si>
  <si>
    <t>CONV-MID: Conversão de mídias</t>
  </si>
  <si>
    <t>Mídia</t>
  </si>
  <si>
    <t>GRV-MID: Gravação de mídias</t>
  </si>
  <si>
    <t>COP-MID: Cópia de mídias</t>
  </si>
  <si>
    <t>TOTAL DO RM</t>
  </si>
  <si>
    <t>REPRESENTANTE DA PETROBRAS</t>
  </si>
  <si>
    <t>REPRESENTANTE DA CONTRATADA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</si>
  <si>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</si>
  <si>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</si>
  <si>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</si>
  <si>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</si>
  <si>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</si>
  <si>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</si>
  <si>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</si>
  <si>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Consolidado BA</t>
  </si>
  <si>
    <t>MEDIDAS CONTRATO</t>
  </si>
  <si>
    <t>Padrão</t>
  </si>
  <si>
    <t>Ø</t>
  </si>
  <si>
    <t>A</t>
  </si>
  <si>
    <t>L</t>
  </si>
  <si>
    <t>P</t>
  </si>
  <si>
    <t>cm³ = V1</t>
  </si>
  <si>
    <t>cm³ = V2</t>
  </si>
  <si>
    <t>FC = V1/V2</t>
  </si>
  <si>
    <t>$ Unitário</t>
  </si>
  <si>
    <t>$ Total</t>
  </si>
  <si>
    <t>Tabela</t>
  </si>
  <si>
    <t>Contrato</t>
  </si>
  <si>
    <t>A 26,0 X L 39,5 X P 48,5</t>
  </si>
  <si>
    <t>FC1</t>
  </si>
  <si>
    <t>ARM-CX-DOC</t>
  </si>
  <si>
    <t>A 26,5 X L 38,5 X P 46,5</t>
  </si>
  <si>
    <t>A 26,5 X L 40,0 X P 49,0</t>
  </si>
  <si>
    <t>A 28,0 X L 37,5 X P 47,5</t>
  </si>
  <si>
    <t>A 28,0 X L 39,0 X P 46,0</t>
  </si>
  <si>
    <t>A 29,5 X L 39,0 X P 46,0</t>
  </si>
  <si>
    <t xml:space="preserve">A 12,0 X L 34,0 X P 37,0 </t>
  </si>
  <si>
    <t>FC2</t>
  </si>
  <si>
    <t>ARM-CX-MID</t>
  </si>
  <si>
    <t>L 10 x P 30</t>
  </si>
  <si>
    <t>FC3</t>
  </si>
  <si>
    <t>ARM-TB</t>
  </si>
  <si>
    <t>Nº Da Ordem</t>
  </si>
  <si>
    <t>Status Primário</t>
  </si>
  <si>
    <t>Status Secundário</t>
  </si>
  <si>
    <t>Medição</t>
  </si>
  <si>
    <t>Solicitante</t>
  </si>
  <si>
    <t>Click</t>
  </si>
  <si>
    <t>Unidade de atendimento</t>
  </si>
  <si>
    <t>Coordenador</t>
  </si>
  <si>
    <t>UF para atendimento</t>
  </si>
  <si>
    <t>Gerência</t>
  </si>
  <si>
    <t>Data de emissão</t>
  </si>
  <si>
    <t>Data máxima de atendimento</t>
  </si>
  <si>
    <t>Data de atendimento</t>
  </si>
  <si>
    <t>Status do Prazo</t>
  </si>
  <si>
    <t>Linha de serviço</t>
  </si>
  <si>
    <t>Tipo de Solicitação</t>
  </si>
  <si>
    <t xml:space="preserve">Caixa de 20 Kg </t>
  </si>
  <si>
    <t>Caixa de Mídia</t>
  </si>
  <si>
    <t>Tubo de Engenharia</t>
  </si>
  <si>
    <t>Tubo de perfil de poços</t>
  </si>
  <si>
    <t>Etiqueta de caixa</t>
  </si>
  <si>
    <t>Lacre</t>
  </si>
  <si>
    <t>Endereço de atendimento</t>
  </si>
  <si>
    <t>Grupo</t>
  </si>
  <si>
    <t>Ordens pendentes</t>
  </si>
  <si>
    <t>Viviane Rosa Rangel</t>
  </si>
  <si>
    <t>BA</t>
  </si>
  <si>
    <t>Aguardando atendimento</t>
  </si>
  <si>
    <t>Digitalização</t>
  </si>
  <si>
    <t>Normal</t>
  </si>
  <si>
    <t>Ordens atendidas</t>
  </si>
  <si>
    <t>Ordens atendidas fora do prazo</t>
  </si>
  <si>
    <t>JACKELINE SOUZA FREITAS</t>
  </si>
  <si>
    <t>Atendida</t>
  </si>
  <si>
    <t xml:space="preserve">Suprimentos </t>
  </si>
  <si>
    <t>Ordens atendidas no prazo</t>
  </si>
  <si>
    <t>AM</t>
  </si>
  <si>
    <t>Gustavo Henrique Ferreira</t>
  </si>
  <si>
    <t>CE</t>
  </si>
  <si>
    <t>Implantação</t>
  </si>
  <si>
    <t>RN</t>
  </si>
  <si>
    <t>SE</t>
  </si>
  <si>
    <t>EDISER - Rua Acre, 2.504 , Galpão S5 - Bairro AMERICA, Aracaju, SE - CEP: 49080-010</t>
  </si>
  <si>
    <t>Ordens pendentes fora do  prazo</t>
  </si>
  <si>
    <t>Ordens pendentes no prazo</t>
  </si>
  <si>
    <t>BR-304, Estrada do contorno, KM-46. - Base Petrobras Mossoró - Oficina do IP</t>
  </si>
  <si>
    <t>Devolução</t>
  </si>
  <si>
    <t>ANALISES</t>
  </si>
  <si>
    <t>%</t>
  </si>
  <si>
    <t>Total de ordens de serviço ATENDIDAS</t>
  </si>
  <si>
    <t>Total de orden de serviço NO PRAZO</t>
  </si>
  <si>
    <t>Total de orden de serviço FORA DOPRAZO</t>
  </si>
  <si>
    <t>Dada abertura da OS</t>
  </si>
  <si>
    <t>Tipo do Prazo</t>
  </si>
  <si>
    <t>Excedeu volume</t>
  </si>
  <si>
    <t>SLA</t>
  </si>
  <si>
    <t>Data limite de atendimento</t>
  </si>
  <si>
    <t>Data de início do processo</t>
  </si>
  <si>
    <t>Data final do processo</t>
  </si>
  <si>
    <t>Data de entrega das imagens</t>
  </si>
  <si>
    <t>Prazo</t>
  </si>
  <si>
    <t>Caixa Cliente</t>
  </si>
  <si>
    <t>Qtd de documentos</t>
  </si>
  <si>
    <t>Qtd de Imagens</t>
  </si>
  <si>
    <t>Tipo documental</t>
  </si>
  <si>
    <t>Documento</t>
  </si>
  <si>
    <t>FC</t>
  </si>
  <si>
    <t>Parcionamento</t>
  </si>
  <si>
    <t>Qtd parcionamento</t>
  </si>
  <si>
    <t>Dossiê</t>
  </si>
  <si>
    <t>Documento - Formato A4</t>
  </si>
  <si>
    <t>NÃO</t>
  </si>
  <si>
    <t>Serviços</t>
  </si>
  <si>
    <t>RJ</t>
  </si>
  <si>
    <t>Digitalização de Microfichas</t>
  </si>
  <si>
    <t>Digitalização de documentos</t>
  </si>
  <si>
    <t>Upload de vídeos - Sob demanda</t>
  </si>
  <si>
    <t>Cópia de Vídeos</t>
  </si>
  <si>
    <t xml:space="preserve">Upload de vídeos </t>
  </si>
  <si>
    <t>OS</t>
  </si>
  <si>
    <t>Data da OS</t>
  </si>
  <si>
    <t>Data máxima</t>
  </si>
  <si>
    <t>Data do atendimento</t>
  </si>
  <si>
    <t>Nível de Serviço</t>
  </si>
  <si>
    <t>Frete a Cobrar</t>
  </si>
  <si>
    <t>Tipo</t>
  </si>
  <si>
    <t>Item avulso</t>
  </si>
  <si>
    <t>Cálculo</t>
  </si>
  <si>
    <t>Endereço SOS</t>
  </si>
  <si>
    <t>Endereço Petrobras</t>
  </si>
  <si>
    <t>Distância SOS&gt;Petrobras</t>
  </si>
  <si>
    <t>Status</t>
  </si>
  <si>
    <t>Cobrar excedente</t>
  </si>
  <si>
    <t>Link</t>
  </si>
  <si>
    <t>Data da solicitação</t>
  </si>
  <si>
    <t>Serviço</t>
  </si>
  <si>
    <t>Quantidades</t>
  </si>
  <si>
    <t>Endereço Petrobrás</t>
  </si>
  <si>
    <t>Endereço SOS Docs</t>
  </si>
  <si>
    <t>Cálculo final</t>
  </si>
  <si>
    <t>KM do trajeto</t>
  </si>
  <si>
    <t>KM excedente</t>
  </si>
  <si>
    <t>Av. Leite Barbosa, S/N - Mucuripe - Fortaleza – Ceará CEP: 60180-420, UO-LUBNOR - Engenharia, 2º Andar</t>
  </si>
  <si>
    <t>FRE-NRM</t>
  </si>
  <si>
    <t>KM-AD:</t>
  </si>
  <si>
    <t>Base Taquipe - BR 110, KM 378 - SÃO SEBASTIÃO DO PASSÉ - Documentação Técnica, prédio A-21</t>
  </si>
  <si>
    <t>Empréstimo</t>
  </si>
  <si>
    <t>FRE-EXP</t>
  </si>
  <si>
    <t>UN-RNCE (Prédio EDIRN) - AV. EUZÉBIO ROCHA, 1000, CIDADE DA ESPERANÇA, NATAL-RN, CEP: 59070-900</t>
  </si>
  <si>
    <t>ESTAÇÃO PILAR - FAZENDA LAMARÃO S/N, ACESSO BR316, KM 266, ZONA RURAL - PILAR-AL - CEP 57150-000, Prédio da TIC</t>
  </si>
  <si>
    <t>No Prazo</t>
  </si>
  <si>
    <t>Forado prazo</t>
  </si>
  <si>
    <t>LINHA DE NEGÓCIO</t>
  </si>
  <si>
    <t>UNIDADE</t>
  </si>
  <si>
    <t>SERVIÇO</t>
  </si>
  <si>
    <t>TIPO</t>
  </si>
  <si>
    <t>ENDEREÇO SOS DOCS</t>
  </si>
  <si>
    <t>ENDEREÇO PETROBRAS</t>
  </si>
  <si>
    <t>DOCUMENTO</t>
  </si>
  <si>
    <t>Tipo de Prazo</t>
  </si>
  <si>
    <t>SIM</t>
  </si>
  <si>
    <t>SP</t>
  </si>
  <si>
    <t>Processo</t>
  </si>
  <si>
    <t>FAFEN-BA ATUALPROCGEL - R. Eteno, 2198 - Polo Petroquímico, Camaçari - BA, 42810-000 (Prédio ADM 1)</t>
  </si>
  <si>
    <t>Expresso</t>
  </si>
  <si>
    <t>DF</t>
  </si>
  <si>
    <t>Doc. Avulso</t>
  </si>
  <si>
    <t>Saida Definitiva</t>
  </si>
  <si>
    <t>ES</t>
  </si>
  <si>
    <t>Nota Fiscal</t>
  </si>
  <si>
    <t>Av. Darcy Vargas, 645 - Parque Dez de Novembro, Manaus - AM, 69055-035, UN-AM, 3° andar, CPGP</t>
  </si>
  <si>
    <t>Documento - Formato A3</t>
  </si>
  <si>
    <t>Documento - Formato A2</t>
  </si>
  <si>
    <t>Documentação contratual</t>
  </si>
  <si>
    <t>Documento - Formato A1</t>
  </si>
  <si>
    <t>Cópia</t>
  </si>
  <si>
    <t>Documentação técnica</t>
  </si>
  <si>
    <t>Documento - Formato A0</t>
  </si>
  <si>
    <t>Documentação bibliográfica</t>
  </si>
  <si>
    <t>Documento - Superior ao Formato A0</t>
  </si>
  <si>
    <t>Documentação contábil e financeira</t>
  </si>
  <si>
    <t>RNEST: Rodovia PE-60, Km 10 S/N, Complexo Portuário de Suape, Refinaria Abreu e Lima - Ipojuca/PE CEP 55590-000. Prédio do Administrativo, Bloco A – Biblioteca</t>
  </si>
  <si>
    <t>Mídia DVD</t>
  </si>
  <si>
    <t>Documentação administrativa</t>
  </si>
  <si>
    <t>Usina de Biodiesel de Candeias: Rod. BA 522, KM 11 s/n Jabequara das Flores - Candeias/BA, Acesso no trevo do petróleo.</t>
  </si>
  <si>
    <t>EDIMAN - Av. Darcy Vargas, 645 - Parque Dez de Novembro, Manaus - AM, 69055-035, UN-AM, 2° andar, SALA 201 - (DOCUMENTAÇÃO TÉCNICA )</t>
  </si>
  <si>
    <t>Aeroporto Santa Maria - Av. Senador Júlio César Leite, SN, Bairro: Aeroporto - CEP 49037-580 - Aracaju - SE. Sala da Petrobras na área restrita do aeroporto.</t>
  </si>
  <si>
    <t>Refinaria Clara Camarão - ATI Guamaré - Rod. RN 221, S/N - Guamaré-RN - recepção do ativo industrial</t>
  </si>
  <si>
    <t>Status do prazo</t>
  </si>
  <si>
    <t>Estados</t>
  </si>
  <si>
    <t>Ordens em atendimento</t>
  </si>
  <si>
    <t>Carolina Santos de mendonça</t>
  </si>
  <si>
    <t>Fora do Prazo</t>
  </si>
  <si>
    <t>PE</t>
  </si>
  <si>
    <t>Urgente</t>
  </si>
  <si>
    <t>Serviço de guarda</t>
  </si>
  <si>
    <t>AL</t>
  </si>
  <si>
    <t>Status da OS</t>
  </si>
  <si>
    <t>Em atendimento</t>
  </si>
  <si>
    <t>ESTRADA ENGENHO SOLEDADE, BR 101, S/N , Zona Rural, Japaratuba, SE CEP: 49960-000.- BASE CARMOPOLIS - SALA DO TRANSPORTE</t>
  </si>
  <si>
    <t>ESTAÇÃO VANDEMIR FERREIRA - Rod BA 523 S/N FAZ. USINA SAO PAULO CAMPO DE CANDEIAS - SÃO FRANCISCO DO CONDE - BA</t>
  </si>
  <si>
    <t>C.T. ARAÇÁS - RODOVIA BA 093 KM 108, ARAÇÁS, BAHIA</t>
  </si>
  <si>
    <t>Rodovia BA 516- campo Buracica- Alagoinhas-BA -CEP- 48000-000- BASE ADMINSTRATIVA DE BURACICA</t>
  </si>
  <si>
    <t>AV WILSON ROSADO DE SA, S/N , ALTO SUMARÉ, Mossoró, RN CEP: 59633-900</t>
  </si>
  <si>
    <t>Polo Industrial de Guamaré - Rod. RN221 - KM 25, GUAMARÉ/RN</t>
  </si>
  <si>
    <t>C.T. CANDEIAS -Rodovia BA- 523- K4- Mataripe- São Francisco do Conde/BA - CEP: 43900-000, UPGN – CANDEIAS- CRE DE CANDEIAS</t>
  </si>
  <si>
    <t>TORRE PITUBA – CONJUNTO PITUBA, AVENIDA ACM, 1113</t>
  </si>
  <si>
    <t>Refinaria de Mataripe.-Rodovia BA- 523- K4- Mataripe- São Francisco do Conde/BA - CEP: 3970-970</t>
  </si>
  <si>
    <t>Indexação de documentos</t>
  </si>
  <si>
    <t>Av. Geonisio Barroso S/N, Fazenda Modelo – Catu/Ba - Cep: 48.110-000 - Base Administrativa de Santiago, UPGN-Catu, prédio da MI</t>
  </si>
  <si>
    <t>BASE FAZENDA BÁLSAMO: KM 15, Zona Rural, Fazenda Bálsamo, CEP 48.370-000, Esplanada-Bahia BR-101 - Referência: Entrada da cidade de Cardeal da Silva, após à ponte tem a Base Administrativa de Fazenda Bálsamo</t>
  </si>
  <si>
    <t>Qtd de documentos indexados</t>
  </si>
  <si>
    <t>Qtd de documentos catalogados</t>
  </si>
  <si>
    <t>Quantidade x FC</t>
  </si>
  <si>
    <t>AVENIDA 31 DE MARÇO S/N PRÓXIMO AO ANEL VIÁRIO, CEP 49740-000 – BASE CARMOPOLIS</t>
  </si>
  <si>
    <t>Av. Melício Machado, sn, km2, bairro Atalaia, Aracaju – SE -</t>
  </si>
  <si>
    <t>PARQUE DE TUBOS DE SAQUINHO,ENDEREÇO SOLEDADE,BR 101,KM 48/50,CEP 49960-000,JAPARATUBA/SERGIPE</t>
  </si>
  <si>
    <t>Estação Central do Canto do Amaro da PETROBRAS, BR-110, KM 27 - CEP 59.649-899 - Zona Rural - Mossoró/RN</t>
  </si>
  <si>
    <t>Digitalização UN_SEAL</t>
  </si>
  <si>
    <t>Rua Rio Quixito, 1 - Vila Buriti, Manaus - AM, 69075-831 – REMAN</t>
  </si>
  <si>
    <t>Data de envio da O.S</t>
  </si>
  <si>
    <t>Agendado</t>
  </si>
  <si>
    <t>A 11,5 X L 37,0 X P 33,0</t>
  </si>
  <si>
    <t>Tamanho x FC</t>
  </si>
  <si>
    <t>Agendada</t>
  </si>
  <si>
    <t>Rodovia RN 221, S/N KM 25, Guamaré - Guamaré, RN CEP: 59598-000</t>
  </si>
  <si>
    <t>Rodovia BA 093, Km 108, Bairro Araçás, CEP 48.180-000, Município de Entre Rios- Base Administrativa de Araçás</t>
  </si>
  <si>
    <t>Adson Santos</t>
  </si>
  <si>
    <t xml:space="preserve">Tamanho Total </t>
  </si>
  <si>
    <t>KM-Adicional</t>
  </si>
  <si>
    <t>Rua Acre, 2.504 , , Bloco-D, Sala 03, BAIRRO AMÉRICA, Aracaju, SE CEP: 49080-010</t>
  </si>
  <si>
    <t>UF</t>
  </si>
  <si>
    <t>FAZENDA: ALTO ALEGRE, POÇO 1 ARG.1 ALTO DO RODRIGUES/RN</t>
  </si>
  <si>
    <t>PERFIL</t>
  </si>
  <si>
    <t>CAMPO</t>
  </si>
  <si>
    <t>CAIXA</t>
  </si>
  <si>
    <t>CAIXA NOVA</t>
  </si>
  <si>
    <t>LARG X COMPR (Metros)</t>
  </si>
  <si>
    <t>FATOR DE CONVERSÃO</t>
  </si>
  <si>
    <t>Total imagem</t>
  </si>
  <si>
    <t>Total Indexação R$</t>
  </si>
  <si>
    <t>1-CON-001-BA</t>
  </si>
  <si>
    <t>TUCANO DO SUL</t>
  </si>
  <si>
    <t>CAIXA 01</t>
  </si>
  <si>
    <t>N/A</t>
  </si>
  <si>
    <t>1CON1_BPP_200_8.625_2002-03-21.pdf</t>
  </si>
  <si>
    <t>1CON1_CANHONEIO_CGEL_200_8.625_2002-03-21.pdf</t>
  </si>
  <si>
    <t>1-FSR-1-BA</t>
  </si>
  <si>
    <t>1FSR1_(ILEGIVEL) (1).pdf</t>
  </si>
  <si>
    <t>1FSR1_(ILEGIVEL) (2).pdf</t>
  </si>
  <si>
    <t>1FSR1_(ILEGIVEL) (3).pdf</t>
  </si>
  <si>
    <t>1FSR1_(ILEGIVEL) (4).pdf</t>
  </si>
  <si>
    <t>1-QE-1-BA</t>
  </si>
  <si>
    <t>1QE1_CASING_COLLAR_LOG_AND_PERFORATING_RECORD_1_200_1972-11-18.pdf</t>
  </si>
  <si>
    <t>3-CON-4-BA</t>
  </si>
  <si>
    <t>3CON4_MICROPERFIL_1_200_12.250_1968-02-19.pdf</t>
  </si>
  <si>
    <t>3CON4_MICROPERFIL_2_200_8.500_1969-03-16.pdf</t>
  </si>
  <si>
    <t>3CON4_MICROPERFIL_2_200_9.625_1969-03-16.pdf</t>
  </si>
  <si>
    <t>3-CON-5-BA</t>
  </si>
  <si>
    <t>3CON5_CASING_COLLAR_LOG_AND_PERFORATING_RECORD_2_200_8.625_1970-01-06.pdf</t>
  </si>
  <si>
    <t>3-CON-6-BA</t>
  </si>
  <si>
    <t>3CON6_PERFIL_ELETRICO_INDU€AO_1_12.250_1969-06-23.pdf</t>
  </si>
  <si>
    <t>3-QEX-4-BA</t>
  </si>
  <si>
    <t>3QEX4_(ILEGIVEL).pdf</t>
  </si>
  <si>
    <t>3QEX4_CASING_COLLAR_LOG_AND_PERFORATING_RECORD_1_1974-06-08.pdf</t>
  </si>
  <si>
    <t>3QEX4_CASING_COLLAR_LOG_AND_PERFORATING_RECORD_1_1974-07-26.pdf</t>
  </si>
  <si>
    <t>4-QEX-1-BA</t>
  </si>
  <si>
    <t>4QEX1_(ILEGIVEL) (1).pdf</t>
  </si>
  <si>
    <t>4QEX1_(ILEGIVEL) (2).pdf</t>
  </si>
  <si>
    <t>6-FMT-2-BA</t>
  </si>
  <si>
    <t>6FMT2_CBL-VDL-GR-CCL_1_200_8.500_1987-08-29 (2).pdf</t>
  </si>
  <si>
    <t>6FMT2_CBL-VDL-GR-CCL_1_200_8.500_1987-08-29.pdf</t>
  </si>
  <si>
    <t>7-CON-15-BA</t>
  </si>
  <si>
    <t>7CON15_CASING_COLLAR_LOG_AND_PERFOARTING_RECORD_1_12.250_1978-05-31.pdf</t>
  </si>
  <si>
    <t>7CON15_CASING_COLLAR_LOG_AND_PERFOARTING_RECORD_1_200_8.500_1978-04-21.pdf</t>
  </si>
  <si>
    <t>7CON15_CASING_COLLAR_LOG_AND_PERFOARTING_RECORD_1_200_8.500_1978-04-29.pdf</t>
  </si>
  <si>
    <t>7CON15_CASING_COLLAR_LOG_AND_PERFOARTING_RECORD_1_200_8.500_1978-05-27 (2).pdf</t>
  </si>
  <si>
    <t>7CON15_CASING_COLLAR_LOG_AND_PERFOARTING_RECORD_1_200_8.500_1978-05-27.pdf</t>
  </si>
  <si>
    <t>7CON15_COMPENSATED_FORMATION_DENSITY_LOG_1_200_7.500_1978-01-17.pdf</t>
  </si>
  <si>
    <t>7CON15_PERFORATING_DEPTH_CONTROL_1_200_8.500_1978-04-21.pdf</t>
  </si>
  <si>
    <t>7-CON-18D-BA</t>
  </si>
  <si>
    <t>7CON18D_CASING_COLLAR_LOG_AND_PERFOARTING_RECORD_2_1980-12-17 (2).pdf</t>
  </si>
  <si>
    <t>7CON18D_CASING_COLLAR_LOG_AND_PERFOARTING_RECORD_2_1980-12-17.pdf</t>
  </si>
  <si>
    <t>7CON18D_CGEL_1_1980-12-13.pdf</t>
  </si>
  <si>
    <t>7-CON-19-BA</t>
  </si>
  <si>
    <t>7CON19_COMPENSATED_DENSITY_CONPENSATED_NEUTRON_LOG_2_9.875_1980-03-22.pdf</t>
  </si>
  <si>
    <t>7-CON-20-BA</t>
  </si>
  <si>
    <t>7CON20_CANHONEIO_CGEL_1_200_8.500_2001-12-07 (2).pdf</t>
  </si>
  <si>
    <t>7CON20_CANHONEIO_CGEL_1_200_8.500_2001-12-07.pdf</t>
  </si>
  <si>
    <t>7CON20_PDCL_1_200_8.500_2001-12-07 (2).pdf</t>
  </si>
  <si>
    <t>7CON20_PDCL_1_200_8.500_2001-12-07.pdf</t>
  </si>
  <si>
    <t>7-FSR-3D-BA</t>
  </si>
  <si>
    <t>7FSR3D_(ILEGIVEL) (2).pdf</t>
  </si>
  <si>
    <t>7FSR3D_(ILEGIVEL) (3).pdf</t>
  </si>
  <si>
    <t>7FSR3D_(ILEGIVEL) (4).pdf</t>
  </si>
  <si>
    <t>7FSR3D_(ILEGIVEL).pdf</t>
  </si>
  <si>
    <t>7-QE-13-BA</t>
  </si>
  <si>
    <t>7QE13_(ILEGIVEL) (2).pdf</t>
  </si>
  <si>
    <t>7QE13_(ILEGIVEL) (3).pdf</t>
  </si>
  <si>
    <t>7QE13_(ILEGIVEL) (4).pdf</t>
  </si>
  <si>
    <t>7QE13_(ILEGIVEL) (5).pdf</t>
  </si>
  <si>
    <t>7QE13_(ILEGIVEL) (6).pdf</t>
  </si>
  <si>
    <t>7QE13_(ILEGIVEL) (7).pdf</t>
  </si>
  <si>
    <t>7QE13_(ILEGIVEL) (8).pdf</t>
  </si>
  <si>
    <t>7QE13_(ILEGIVEL).pdf</t>
  </si>
  <si>
    <t>7QE13_RECONCAVO_GAMMA_RAY-CCL_1_200_8.500_2004-08-16.pdf</t>
  </si>
  <si>
    <t>7-QE-7-BA</t>
  </si>
  <si>
    <t>7QE7_(ILEGIVEL) (2).pdf</t>
  </si>
  <si>
    <t>7QE7_(ILEGIVEL).pdf</t>
  </si>
  <si>
    <t>QE-1-BA</t>
  </si>
  <si>
    <t>QE1_CEMENT_BOND_LOG_1_1962-03-19.pdf</t>
  </si>
  <si>
    <t>QE1_FIELD_PRINT_INDUCTION_3_1000_8.625_1962-02-11.pdf</t>
  </si>
  <si>
    <t>QE1_FIELD_PRINT_INDUCTION_4_1000_8.625_1962-02-27.pdf</t>
  </si>
  <si>
    <t>QE1_FIELD_PRINT_INDUCTION_5_1000_8.625_1962-03-08.pdf</t>
  </si>
  <si>
    <t>QE1_MICROLOG_1_200_8.625_1962-01-27.pdf</t>
  </si>
  <si>
    <t>QE1_MICROLOG_2_200_8.625_1962-02-11.pdf</t>
  </si>
  <si>
    <t>QE1_MICROLOG_3_200_8.625_1962-02-17.pdf</t>
  </si>
  <si>
    <t>QE1_MICROLOG_4_200_8.625_1962-02-21.pdf</t>
  </si>
  <si>
    <t>QE-4-BA</t>
  </si>
  <si>
    <t>QE4_SONIC_LOG_1_200_8.625_1963-03-30.pdf</t>
  </si>
  <si>
    <t>QEX-1-BA</t>
  </si>
  <si>
    <t>QEX1_CASING_COLLAR_LOG_1_1972-11-10.pdf</t>
  </si>
  <si>
    <t>QEX-4-BA</t>
  </si>
  <si>
    <t>QEX4_(ILEGIVEL).pdf</t>
  </si>
  <si>
    <t>QEX4_FIELD_PRINT_2_8.625_1964-08-17.pdf</t>
  </si>
  <si>
    <t>1-RPJ-1-BA</t>
  </si>
  <si>
    <t>RIO VENTURA</t>
  </si>
  <si>
    <t>CAIXA 02</t>
  </si>
  <si>
    <t>1RPJ1_CASING_COLLAR_LOG_AND_PERFORATING_RECORD_1_8.500_1982-04-17.pdf</t>
  </si>
  <si>
    <t>1RPJ1_REGISTRO_DE_CANHONEIO_CG-EL_300_8.500_1992-01-23.pdf</t>
  </si>
  <si>
    <t>7-AG-338D-BA</t>
  </si>
  <si>
    <t>7AG388D_RECONCAVO_CANHONEIO_1_200_2011-11-26.pdf</t>
  </si>
  <si>
    <t>7-AG-360D-BA</t>
  </si>
  <si>
    <t>7AG360D_(ILEGIVEL).pdf</t>
  </si>
  <si>
    <t>7AG360D_RECONCAVO_ASSENTAMENTO_BPP_1_200_2010-07-02.pdf</t>
  </si>
  <si>
    <t>7AG360D_REGISTRO_DE_CANHONEIO_1_240_1992-07-08 (1).pdf</t>
  </si>
  <si>
    <t>7AG360D_REGISTRO_DE_CANHONEIO_1_240_1992-07-08 (2).pdf</t>
  </si>
  <si>
    <t>7AG360_CANHONEIO_CGEL_1_200_8.500_2000-07-22.pdf</t>
  </si>
  <si>
    <t>7-AG-361-D-BA</t>
  </si>
  <si>
    <t>7AG361D_REGISTRO_DE_CANHONEIO_1_200_1992-01-04.pdf</t>
  </si>
  <si>
    <t>7-AG-362D-BA</t>
  </si>
  <si>
    <t>7AG362D_(ILEGIVEL) (1).pdf</t>
  </si>
  <si>
    <t>7AG362D_(ILEGIVEL) (2).pdf</t>
  </si>
  <si>
    <t>7-AG-364D-BA</t>
  </si>
  <si>
    <t>7AG364D_CANHONEIO_CGEL_1_200_8.500_2000-07-29 (2).pdf</t>
  </si>
  <si>
    <t>7AG364D_CANHONEIO_CGEL_1_200_8.500_2000-07-29.pdf</t>
  </si>
  <si>
    <t>7-AG-370-BA</t>
  </si>
  <si>
    <t>7AG370_BPP_1_200_8.500_2000-11-01.pdf</t>
  </si>
  <si>
    <t>7AG370_CANHONEIO_CGEL-1_200_8.500_2000-10-28.pdf</t>
  </si>
  <si>
    <t>7AG370_CBL_VDL_GR_CCL_1_200_1_8.500_2000-10-28.pdf</t>
  </si>
  <si>
    <t>7AG37_CBL_VDL_GR_CCL_1_200_8.500_2000-10-28.pdf</t>
  </si>
  <si>
    <t>7-AG-371-BA</t>
  </si>
  <si>
    <t>7AG371_(ILEGIVEL).pdf</t>
  </si>
  <si>
    <t>7-AG-372D-BA</t>
  </si>
  <si>
    <t>7AG372D_CANHONEIO_CGEL_1_200_8.500_2002-07-29.pdf</t>
  </si>
  <si>
    <t>7AG372D_CANHONEIO_CGEL_1_200_8.500_2004-03-15.pdf</t>
  </si>
  <si>
    <t>7AG372D_CANHONEIO_CGEL_3_200_8.500_2001-02-16.pdf</t>
  </si>
  <si>
    <t>7-AG-375-BA</t>
  </si>
  <si>
    <t>7AG375_(ILEGIVEL).pdf</t>
  </si>
  <si>
    <t>7AG375_HSD_200_8.500_2002-04-07 (2).pdf</t>
  </si>
  <si>
    <t>7AG375_HSD_200_8.500_2002-04-07.pdf</t>
  </si>
  <si>
    <t>7AG375_RECONCAVO_CANHONEIO_1_200_8.500_2001-12-02 (2).pdf</t>
  </si>
  <si>
    <t>7AG375_RECONCAVO_CANHONEIO_1_200_8.500_2001-12-02.pdf</t>
  </si>
  <si>
    <t>7-AG-378-BA</t>
  </si>
  <si>
    <t>7AG378_CANHONEIO_CGEL_1_200_8.500_2002-10-08 (2).pdf</t>
  </si>
  <si>
    <t>7AG378_CANHONEIO_CGEL_1_200_8.500_2002-10-08.pdf</t>
  </si>
  <si>
    <t>7AG378_RECONCAVO_TMD-GR-CCL_200.pdf</t>
  </si>
  <si>
    <t>7-AG-386-BA</t>
  </si>
  <si>
    <t>7AG386_HSD_1_200_8.500_2002-11-12 (2).pdf</t>
  </si>
  <si>
    <t>7AG386_HSD_1_200_8.500_2002-11-12.pdf</t>
  </si>
  <si>
    <t>7-AG-387D-BA</t>
  </si>
  <si>
    <t>7AG387D_(ILEGIVEL) (2).pdf</t>
  </si>
  <si>
    <t>7AG387D_(ILEGIVEL) (3).pdf</t>
  </si>
  <si>
    <t>7AG387D_(ILEGIVEL) (4).pdf</t>
  </si>
  <si>
    <t>7AG387D_(ILEGIVEL).pdf</t>
  </si>
  <si>
    <t>7-AG-388D-BA</t>
  </si>
  <si>
    <t>7AG388D_(ILEGIVEL).pdf</t>
  </si>
  <si>
    <t>7AG388D_RECONCAVO_CANHONEIO_1_200_6.125_2012-01-12 (2).pdf</t>
  </si>
  <si>
    <t>7AG388D_RECONCAVO_CANHONEIO_1_200_6.125_2012-01-12.pdf</t>
  </si>
  <si>
    <t>7AG388D_RECONCAVO_CORRELA€AO_1_200_6.125_2012-01-13 (2).pdf</t>
  </si>
  <si>
    <t>7AG388D_RECONCAVO_CORRELA€AO_1_200_6.125_2012-01-13.pdf</t>
  </si>
  <si>
    <t>7-AG-389D-BA</t>
  </si>
  <si>
    <t>7AG389D_RECONCAVO_CANHONEIO_1_200_2006-08-26 (2).pdf</t>
  </si>
  <si>
    <t>7AG389D_RECONCAVO_CANHONEIO_1_200_2006-08-26.pdf</t>
  </si>
  <si>
    <t>7-AG-400D-BA</t>
  </si>
  <si>
    <t>7AG400D_RECONCAVO_CBL-VDL-GR-CCL_1_200_8.750_2007-03-09 (2).pdf</t>
  </si>
  <si>
    <t>7AG400D_RECONCAVO_CBL-VDL-GR-CCL_1_200_8.750_2007-03-09.pdf</t>
  </si>
  <si>
    <t>7-AG-407D-BA</t>
  </si>
  <si>
    <t>7AG407D_(ILEGIVEL) (1).pdf</t>
  </si>
  <si>
    <t>7AG407D_(ILEGIVEL) (2).pdf</t>
  </si>
  <si>
    <t>7AG407D_RECONCAVO_BPP_1_200_2011-12-23 (2).pdf</t>
  </si>
  <si>
    <t>7AG407D_RECONCAVO_BPP_1_200_2011-12-23.pdf</t>
  </si>
  <si>
    <t>7-AG-410P-BA</t>
  </si>
  <si>
    <t>7AG410P_(ILEGIVEL) (2).pdf</t>
  </si>
  <si>
    <t>7AG410P_(ILEGIVEL).pdf</t>
  </si>
  <si>
    <t>7-BSU-05DP-BA</t>
  </si>
  <si>
    <t>7BSU05DP_GR-CCL_1_200_1996-10-21.pdf</t>
  </si>
  <si>
    <t>7-BSU-10-BA</t>
  </si>
  <si>
    <t>7BSU10_GR-CCL_1_200_8.500_1996-10-17.pdf</t>
  </si>
  <si>
    <t>7-BSU-7D-BA</t>
  </si>
  <si>
    <t>7BSU7D_(ILEGIVEL) (1).pdf</t>
  </si>
  <si>
    <t>7BSU7D_(ILEGIVEL) (2).pdf</t>
  </si>
  <si>
    <t>7BSU7D_(ILEGIVEL) (3).pdf</t>
  </si>
  <si>
    <t>7BSU7D_(ILEGIVEL) (4).pdf</t>
  </si>
  <si>
    <t>7BSU7D_REGISTRO_DE_CANHONEIO_1_200_8.500_1994-03-15 (2).pdf</t>
  </si>
  <si>
    <t>7BSU7D_REGISTRO_DE_CANHONEIO_1_200_8.500_1994-03-15.pdf</t>
  </si>
  <si>
    <t>7-RPJ-11D-BA</t>
  </si>
  <si>
    <t>7RPJ11D_TCP_1_8.500_1988-02-11.pdf</t>
  </si>
  <si>
    <t>7-RPJ-14-BA</t>
  </si>
  <si>
    <t>7RPJ14_REGISTRO_DE_CANHONEIO_1_200_1992-07-26.pdf</t>
  </si>
  <si>
    <t>7-RPJ-16-BA</t>
  </si>
  <si>
    <t>7RJP16_CANHONEIO_CONVENCIONAL_1_200_2014-09-09.pdf</t>
  </si>
  <si>
    <t>7RPJ16_CANHONEIO_CONVENCIONAL_1_200_2014-09-09.pdf</t>
  </si>
  <si>
    <t>7-RPJ-22A-BA</t>
  </si>
  <si>
    <t>7RPJ22_GAMMA_RAY_COLLAR_LOG_1_1986-02-02.pdf</t>
  </si>
  <si>
    <t>7-RPJ-24-BA</t>
  </si>
  <si>
    <t>7RPJ24_REGISTRO_DE_CANHONEIO_200_8.500_1991-01-29.pdf</t>
  </si>
  <si>
    <t>7-RPJ-27-BA</t>
  </si>
  <si>
    <t>7RPJ27_TEMPERATURA_1_1000_8.500_1985-12-04.pdf</t>
  </si>
  <si>
    <t>7-RPJ-31D-BA</t>
  </si>
  <si>
    <t>7RPJ31D_CANHONEIO_CGEL_1_200_8.500_1998-05-24.pdf</t>
  </si>
  <si>
    <t>7-RPJ-32-BA</t>
  </si>
  <si>
    <t>7RPJ32_BPP_1_200_8.500_2001-10-23 (2).pdf</t>
  </si>
  <si>
    <t>7RPJ32_BPP_1_200_8.500_2001-10-23.pdf</t>
  </si>
  <si>
    <t>7RPJ32_CANHONEIO_CGEL_1_200_8.500_2001-23.pdf</t>
  </si>
  <si>
    <t>7RPJ32_PDCL_1_200_8.500_2001-10-23 (2).pdf</t>
  </si>
  <si>
    <t>7RPJ32_PDCL_1_200_8.500_2001-10-23.pdf</t>
  </si>
  <si>
    <t>7-RPJ-39-BA</t>
  </si>
  <si>
    <t>7RPJ39_TCP_1_8.500_1987-09-28 (2).pdf</t>
  </si>
  <si>
    <t>7RPJ39_TCP_1_8.500_1987-09-28.pdf</t>
  </si>
  <si>
    <t>7-RPJ-50-BA</t>
  </si>
  <si>
    <t>7RPJ50_ASSENTAMENTO_DE_BPP_200_8.500_1990-04-22.pdf</t>
  </si>
  <si>
    <t>7-RPJ-51-BA</t>
  </si>
  <si>
    <t>7RPJ51.pdf</t>
  </si>
  <si>
    <t>7RPJ51_(ILEGIVEL) (2).pdf</t>
  </si>
  <si>
    <t>7RPJ51_(ILEGIVEL).pdf</t>
  </si>
  <si>
    <t>7RPJ51_ASSENATAMENTO_DE_BPP_1_200_2006-07-06 (2).pdf</t>
  </si>
  <si>
    <t>7RPJ51_ASSENATAMENTO_DE_BPP_1_200_2006-07-06.pdf</t>
  </si>
  <si>
    <t>7RPJ51_RECONCAVO_CANHONEIO_1_200_2006-06-25 (2).pdf</t>
  </si>
  <si>
    <t>7RPJ51_RECONCAVO_CANHONEIO_1_200_2006-06-25.pdf</t>
  </si>
  <si>
    <t>7-RPJ-61D-BA</t>
  </si>
  <si>
    <t>7RPJ61D_(ILEGIVEL) (1).pdf</t>
  </si>
  <si>
    <t>7RPJ61D_(ILEGIVEL) (2).pdf</t>
  </si>
  <si>
    <t>7RPJ61D_BPP_1_200_12.250_1997-01-23 (2).pdf</t>
  </si>
  <si>
    <t>7RPJ61D_BPP_1_200_12.250_1997-01-23.pdf</t>
  </si>
  <si>
    <t>7-RPJ-75-DP-BA</t>
  </si>
  <si>
    <t>7RPJ75DP_RECONCAVO_CANHONEIO_1_200_8.750_2012-02-07 (2).pdf</t>
  </si>
  <si>
    <t>7RPJ75DP_RECONCAVO_CANHONEIO_1_200_8.750_2012-02-07.pdf</t>
  </si>
  <si>
    <t>7-RPJ-76D-BA</t>
  </si>
  <si>
    <t>7RPJ76D_CANHONEIO_CONVENCIONAL_1_200_8.500_2014-04-21 (2).pdf</t>
  </si>
  <si>
    <t>7RPJ76D_CANHONEIO_CONVENCIONAL_1_200_8.500_2014-04-21.pdf</t>
  </si>
  <si>
    <t>7RPJ76D_RECONCAVO_PDCL-GR-CCL_1_200_8.750_2012-12-04 (2).pdf</t>
  </si>
  <si>
    <t>7RPJ76D_RECONCAVO_PDCL-GR-CCL_1_200_8.750_2012-12-04.pdf</t>
  </si>
  <si>
    <t>8-RPJ-34DP-BA</t>
  </si>
  <si>
    <t>8RPJ34DP_RECONCAVO_CANHONEIO_1_200_2012-07-10 (2).pdf</t>
  </si>
  <si>
    <t>8RPJ34DP_RECONCAVO_CANHONEIO_1_200_2012-07-10.pdf</t>
  </si>
  <si>
    <t>7-AG-201-BA</t>
  </si>
  <si>
    <t>CAIXA 03</t>
  </si>
  <si>
    <t>7AG201_(ILEGIVEL) (1).pdf</t>
  </si>
  <si>
    <t>7AG201_(ILEGIVEL) (2).pdf</t>
  </si>
  <si>
    <t>7AG201_(ILEGIVEL) (3).pdf</t>
  </si>
  <si>
    <t>7AG201_(ILEGIVEL) (4).pdf</t>
  </si>
  <si>
    <t>7AG201_(ILEGIVEL) (5).pdf</t>
  </si>
  <si>
    <t>7AG201_(ILEGIVEL) (6).pdf</t>
  </si>
  <si>
    <t>7-AG-202-BA</t>
  </si>
  <si>
    <t>7AG202_CONTROLE_DE_CANHONEIO_1_1974-12-31.pdf</t>
  </si>
  <si>
    <t>7AG202_PERFIL_DE_FLUXO_1_200_2011-02-14.pdf</t>
  </si>
  <si>
    <t>7AG202_POERFIL_DE_FLUXO_1_200-2015-02-21.pdf</t>
  </si>
  <si>
    <t>7AG202_RECONCAVO_FLOWMETER_1_200_2006-12-16 (2).pdf</t>
  </si>
  <si>
    <t>7AG202_RECONCAVO_FLOWMETER_1_200_2006-12-16.pdf</t>
  </si>
  <si>
    <t>7AG202_RECONCAVO_FLOWMETER_1_200_2008-08-02.pdf</t>
  </si>
  <si>
    <t>7AG202_RECONCAVO_FLOWMETER_1_200_2010-07-21.pdf</t>
  </si>
  <si>
    <t>7-AG-203-BA</t>
  </si>
  <si>
    <t>7AG203_CONTROLE_DE_CANHONEIO_1_1974-01-31.pdf</t>
  </si>
  <si>
    <t>7AG203_CONTROLE_DE_CANHONEIO_1_1975-02-03.pdf</t>
  </si>
  <si>
    <t>7-AG-209-BA</t>
  </si>
  <si>
    <t>AG209_(ILEGIVEL) (1).pdf</t>
  </si>
  <si>
    <t>AG209_(ILEGIVEL) (2).pdf</t>
  </si>
  <si>
    <t>AG209_CASING_COLLAR_LOG_AND_PERFORATING_RECORD_1_200_1965-06-04.pdf</t>
  </si>
  <si>
    <t>7-AG-210-BA</t>
  </si>
  <si>
    <t>7AG210_REGISTRO_DE_CANHONEIO_1_240_8.500_1991-12-26.pdf</t>
  </si>
  <si>
    <t>7-AG-212-BA</t>
  </si>
  <si>
    <t>7AG212_CASING_COLLAR_LOG_AND_PERFORATING_RECORD_1_8.500_1978-05-31.pdf</t>
  </si>
  <si>
    <t>7-AG-219-BA</t>
  </si>
  <si>
    <t>7AG219_CANHONEIO_CGEL_1_200_8.500_1999-11-06.pdf</t>
  </si>
  <si>
    <t>7AG219_RECONCAVO_GR-CCL_COLUNA_PROD_1_200_2009-02-15 (2).pdf</t>
  </si>
  <si>
    <t>7AG219_RECONCAVO_GR-CCL_COLUNA_PROD_1_200_2009-02-15.pdf</t>
  </si>
  <si>
    <t>7AG219_REGISTRO_DE_ASSENTAMENTO_DE_PACKER_1_200_8.625_1992-05-11.pdf</t>
  </si>
  <si>
    <t>7AG219_REGITRO_DE_CANHONEIO_1_200_8.625_1990-09-18.pdf</t>
  </si>
  <si>
    <t>7-AG-221-BA</t>
  </si>
  <si>
    <t>7AG221_REGISTRO_DE_CANHNEIO_E_BPP_1_8.500_1990-08-05 (2).pdf</t>
  </si>
  <si>
    <t>7AG221_REGISTRO_DE_CANHNEIO_E_BPP_1_8.500_1990-08-05.pdf</t>
  </si>
  <si>
    <t>7-AG-223-BA</t>
  </si>
  <si>
    <t>7AG223_RECONCAVO_FLOWMETER_1_200_2006-03-16 (2).pdf</t>
  </si>
  <si>
    <t>7AG223_RECONCAVO_FLOWMETER_1_200_2006-03-16.pdf</t>
  </si>
  <si>
    <t>7AG223_RECONCAVO_FLOWMETER_1_200_2006-12-17 (2).pdf</t>
  </si>
  <si>
    <t>7AG223_RECONCAVO_FLOWMETER_1_200_2006-12-17.pdf</t>
  </si>
  <si>
    <t>7AG223_REGISTRO_DE_CANHNEIO_CG-EL_200_7.875_1992-02-21.pdf</t>
  </si>
  <si>
    <t>7-AG-226-BA</t>
  </si>
  <si>
    <t>7AG226_FLOWMETER_1_200_8.500_2003-01-30.pdf</t>
  </si>
  <si>
    <t>7AG226_PDCL_1_200_8.500_2003-01-23.pdf</t>
  </si>
  <si>
    <t>7AG226_RECONCAVO_FLOWMETER_1_200_2006-12-15.pdf</t>
  </si>
  <si>
    <t>7AG226_REGISTRO_DE_CANHONEIO_1_200_8.500_1991-04-20.pdf</t>
  </si>
  <si>
    <t>7-AG-229-BA</t>
  </si>
  <si>
    <t>7AG229_CANHONEIO_CGEL_1_200_8.500_1999-12-09 (2).pdf</t>
  </si>
  <si>
    <t>7AG229_CANHONEIO_CGEL_1_200_8.500_1999-12-09.pdf</t>
  </si>
  <si>
    <t>7-AG-230-BA</t>
  </si>
  <si>
    <t>7AG230_CANHONEIO_CGEL_1_200_8.500_2000-01-06.pdf</t>
  </si>
  <si>
    <t>7-AG-235-BA</t>
  </si>
  <si>
    <t>7AG235_CASING_COLLAR_LOG_AND_PERFOARTING_RECORD_1_1971-04-25.pdf</t>
  </si>
  <si>
    <t>7AG235_CASING_COLLAR_LOG_AND_PERFOARTING_RECORD_1_8.625_1970-08-07.pdf</t>
  </si>
  <si>
    <t>7AG235_CASING_COLLAR_LOG_AND_PERFOARTING_RECORD_1_8.625_1971-04-22.pdf</t>
  </si>
  <si>
    <t>7-AG-236-BA</t>
  </si>
  <si>
    <t>7AG236_CONROLE_DE_CANHONEIO-1974-07-26.pdf</t>
  </si>
  <si>
    <t>7AG236_CONTROLE_DE_CANHONEIO_1_1972-11-06.pdf</t>
  </si>
  <si>
    <t>7AG236_MINI_PERFIL_1_8.625_1971-05-29.pdf</t>
  </si>
  <si>
    <t>7AG236_PERFIL_ACUSTICO_COMPENSADO_1_8.625_1971-05-29.pdf</t>
  </si>
  <si>
    <t>7AG236_PERFIL_ACUSTICO_DE_CIMENTA€AO_1_1971-06-03.pdf</t>
  </si>
  <si>
    <t>7AG236_PERFIL_ELETRICO_INDU€AO_1_8.625_1971-05-29.pdf</t>
  </si>
  <si>
    <t>7-AG-238-BA</t>
  </si>
  <si>
    <t>7AG238_CAHNHONEIO_1_200_1999-09-07.pdf</t>
  </si>
  <si>
    <t>7AG238_CASING_COLLAR_LOG_AND_PERFOARTING_RECORD_1_1975-07-24.pdf</t>
  </si>
  <si>
    <t>7AG238_CASING_COLLAR_LOG_AND_PERFORATING_RECORD_1_1975-07-24.pdf</t>
  </si>
  <si>
    <t>7AG238_PERFIL_ELETRICO_INDU€AO_1_8.625_1971-09-17 (2).pdf</t>
  </si>
  <si>
    <t>7AG238_PERFIL_ELETRICO_INDU€AO_1_8.625_1971-09-17.pdf</t>
  </si>
  <si>
    <t>7AG238_USIT-CIMENTO_1_200_8.500_2005-06-10.pdf</t>
  </si>
  <si>
    <t>7-AG-240-BA</t>
  </si>
  <si>
    <t>7AG240D_CONTROLE_DE_CANHONEIO_1_1987-02-10.pdf</t>
  </si>
  <si>
    <t>7AG240D_RECONCAVO_TERRA_BPP_200_8.500_2012-11-18.pdf</t>
  </si>
  <si>
    <t>7AG240D_RECONCAVO_TERRA_CGEL_200_8.500_2012-11-18.pdf</t>
  </si>
  <si>
    <t>7AG240D_RECONCAVO_TERRA_PDCL_200_8.500_2012-11-18 (2).pdf</t>
  </si>
  <si>
    <t>7AG240D_RECONCAVO_TERRA_PDCL_200_8.500_2012-11-18.pdf</t>
  </si>
  <si>
    <t>7AG240_ASSENTAMENTO_DE_TAMPAO_1974-10-18.pdf</t>
  </si>
  <si>
    <t>7AG240_BPP_DEPTH_CONTROL_LOG_1_200_8.500_1995-07-10.pdf</t>
  </si>
  <si>
    <t>7AG240_CANHONEIO_1_200_8.500_1993-12-12.pdf</t>
  </si>
  <si>
    <t>7AG240_CG-EL_2_200_8.500_1989-12-21 (2).pdf</t>
  </si>
  <si>
    <t>7AG240_CG-EL_2_200_8.500_1989-12-21.pdf</t>
  </si>
  <si>
    <t>7AG240_CONTROLE_DE_CANHONEIO_1_1974-06-17.pdf</t>
  </si>
  <si>
    <t>7-AG-242-BA</t>
  </si>
  <si>
    <t>7AG242_(ILEGIVEL).pdf</t>
  </si>
  <si>
    <t>7AG242_CG-EL_1_200_9.875_1994-05-13.pdf</t>
  </si>
  <si>
    <t>7AG242_RECONCAVO_ASSENTAMENTO_BPP_E_HSD_200_8.500_2011-09-20.pdf</t>
  </si>
  <si>
    <t>7-AG-266-BA</t>
  </si>
  <si>
    <t>7AG266_(ILEGIVEL) (1).pdf</t>
  </si>
  <si>
    <t>7AG266_(ILEGIVEL) (2).pdf</t>
  </si>
  <si>
    <t>7-AG-267-BA</t>
  </si>
  <si>
    <t>7AG267_PDCL_1_200_8.500_2000-11-12 (2).pdf</t>
  </si>
  <si>
    <t>7AG267_PDCL_1_200_8.500_2000-11-12.pdf</t>
  </si>
  <si>
    <t>7AG267_PHASED_ENERJET_1_200_8.500_2000-11-12.pdf</t>
  </si>
  <si>
    <t>7AG267_REGISTRO_DE_CANHONEIO_1_200_1993-01-01 (2).pdf</t>
  </si>
  <si>
    <t>7AG267_REGISTRO_DE_CANHONEIO_1_200_1993-01-01.pdf</t>
  </si>
  <si>
    <t>7-AG-331A-BA</t>
  </si>
  <si>
    <t>7AG331A_BOND_INDEX_1_8.500_1986-03-29.pdf</t>
  </si>
  <si>
    <t>7AG331A_CALIPER_ACUSTICO_1_8.500_1986-03-29.pdf</t>
  </si>
  <si>
    <t>7AG331A_CBL-VDL-GR-CCL_2_200_8.500_1986-04-01.pdf</t>
  </si>
  <si>
    <t>7AG331A_CEL_1_8.500_1986-03-29.pdf</t>
  </si>
  <si>
    <t>7AG331A_CG-EL_1_8.500_1986-03-29.pdf</t>
  </si>
  <si>
    <t>7AG331A_COMPOSITE_1_200_8.500_1986-02-22.pdf</t>
  </si>
  <si>
    <t>7AG331A_CONTROLE_CANHONEIO_2_1986-04-06.pdf</t>
  </si>
  <si>
    <t>7AG331A_CONTROLE_DE_CANHONEIO_1_1986-04-04.pdf</t>
  </si>
  <si>
    <t>7AG331A_CYBERBOND_2_200_8.500_1986-04-01.pdf</t>
  </si>
  <si>
    <t>7AG331A_ISF-BHC-GR_1_200_8.500_1986-02-22.pdf</t>
  </si>
  <si>
    <t>7AG331A_PERFORATING_RECORD_1_200_8.500_1986-04-01.pdf</t>
  </si>
  <si>
    <t>7AG331_CYBERBOND_2_200_8.500_1986-04-01.pdf</t>
  </si>
  <si>
    <t>7AG331_INDUCTION_GAMMA-RAY_LOG_1_8.500_1985-11-08.pdf</t>
  </si>
  <si>
    <t>8-AG-228-BA</t>
  </si>
  <si>
    <t>8AG228.pdf</t>
  </si>
  <si>
    <t>8AG228_PERFIL_ELETRICO_INDU€AO_1_9.875_1970-04-28.pdf</t>
  </si>
  <si>
    <t>8-AG-229-BA</t>
  </si>
  <si>
    <t>7AG229_REGISTRO_DE_CANHONEIO_1_9.875_1990-06-25.pdf</t>
  </si>
  <si>
    <t>8-AG-230-BA</t>
  </si>
  <si>
    <t>8AG230_CONTROLE_DO_BPP_CG-EL_1_200_9.875_1991-09-01.pdf</t>
  </si>
  <si>
    <t>8-AG-234-BA</t>
  </si>
  <si>
    <t>8AG234_CASING_COLLAR_LOG_AND_PERFORATING_RECORD_1971-12-24.pdf</t>
  </si>
  <si>
    <t>8AG234_PERFIL_DENSIDADE_COMPENSADA_1_9.875.pdf</t>
  </si>
  <si>
    <t>8-AG-241D-BA</t>
  </si>
  <si>
    <t>8AG241D_ASSENATAMENTO_PACKER_MODELO_D_1_240_1992-08-13.pdf</t>
  </si>
  <si>
    <t>8AG241D_ASSENTAMENTO_PACKER_MODELO_D_1_240_1992-08-13.pdf</t>
  </si>
  <si>
    <t>AG-201-BA</t>
  </si>
  <si>
    <t>AG201_CASING_COLLAR_LOG_AND_PERFORATING_RECORD_1_7.875_1963-08-31.pdf</t>
  </si>
  <si>
    <t>AG201_SONIC_LOG_1_1000_9.625_1963-08-25.pdf</t>
  </si>
  <si>
    <t>AG-202-BA</t>
  </si>
  <si>
    <t>AG202_CASING_COLLAR_LOG_AND_PERFORATING_RECORD_1_8.500_1963-09-17.pdf</t>
  </si>
  <si>
    <t>AG202_CONTROLE_DE_CANHONEIO_1_1974-11-14.pdf</t>
  </si>
  <si>
    <t>AG-203-BA</t>
  </si>
  <si>
    <t>AG203_CASING_COLLAR_LOG_AND_PERFORATING_RECORD_1_8.500_1963-09-16.pdf</t>
  </si>
  <si>
    <t>AG203_PERFIL_DE_FLUXO_CONTINUO_1_200_2011-01-09.pdf</t>
  </si>
  <si>
    <t>AG-205-BA</t>
  </si>
  <si>
    <t>AG205_(ILEGIVEL).pdf</t>
  </si>
  <si>
    <t>AG205_CASING_COLLAR_LOG_AND_PERFORATING_RECORD_1_1963-12-15.pdf</t>
  </si>
  <si>
    <t>AG205_CASING_COLLAR_LOG_AND_PERFORATING_RECORD_1_1964-03-15 (2).pdf</t>
  </si>
  <si>
    <t>AG205_CASING_COLLAR_LOG_AND_PERFORATING_RECORD_1_1964-03-15.pdf</t>
  </si>
  <si>
    <t>AG-232-BA</t>
  </si>
  <si>
    <t>AG232_CONTROLE_DE_CANHONEIO_1_1974-12-23.pdf</t>
  </si>
  <si>
    <t>AG-238-BA</t>
  </si>
  <si>
    <t>AG238_CASING_COLLAR_LOG_AND_PERFORATING_RECORD_200.pdf</t>
  </si>
  <si>
    <t>PERFIL_INCOMPLETO.pdf</t>
  </si>
  <si>
    <t>CAIXA 04</t>
  </si>
  <si>
    <t>3-AG-54-BA</t>
  </si>
  <si>
    <t>3AG54_LPLT_PERFILAGEM_COM_PLT_DE_MEMORIA_1_200_6.500_2009-11-19.pdf</t>
  </si>
  <si>
    <t>7-AG-01-BA</t>
  </si>
  <si>
    <t>7AG01_(ILEGIVEL).pdf</t>
  </si>
  <si>
    <t>7AG01_CANHONEIO_CGEL_1_200_8.500_2003-12-23.pdf</t>
  </si>
  <si>
    <t>7-AG-0105-BA</t>
  </si>
  <si>
    <t>7AG0105_PERFIL_DE_FLUXO_1_200_2011-02-12 4444.pdf</t>
  </si>
  <si>
    <t>7AG0105_PERFIL_DE_FLUXO_CONTINUO_1_200_2010-09-19.pdf</t>
  </si>
  <si>
    <t>7AG0105_PERFIL_DE_FLUXO_CONTINUO_1_200_2014-05-05 (2).pdf</t>
  </si>
  <si>
    <t>7AG0105_PERFIL_DE_FLUXO_CONTINUO_1_200_2014-05-05.pdf</t>
  </si>
  <si>
    <t>7-AG-02A-BA</t>
  </si>
  <si>
    <t>7AG02A_GR-CCL_1_200_8.500_1996-05-18.pdf</t>
  </si>
  <si>
    <t>7-AG-05-BA</t>
  </si>
  <si>
    <t>7AG05_FLOWMETER_1_1000_8.500_2005-05-14.pdf</t>
  </si>
  <si>
    <t>7AG05_LPLT_PERFIL_DE_INJE€ÇO_COM_PLT_DE_MEMORIA_1_200_6.500_2009-09-19.pdf</t>
  </si>
  <si>
    <t>7-AG-06-BA</t>
  </si>
  <si>
    <t>7AG06_(ILEGIVEL) (2).pdf</t>
  </si>
  <si>
    <t>7AG06_(ILEGIVEL) (3).pdf</t>
  </si>
  <si>
    <t>7AG06_(ILEGIVEL) (4).pdf</t>
  </si>
  <si>
    <t>7AG06_(ILEGIVEL) (5).pdf</t>
  </si>
  <si>
    <t>7AG06_(ILEGIVEL).pdf</t>
  </si>
  <si>
    <t>7AG06_CANHONEIO_1_200_2005-10-03 (2).pdf</t>
  </si>
  <si>
    <t>7AG06_CANHONEIO_1_200_2005-10-03 (3).pdf</t>
  </si>
  <si>
    <t>7AG06_CANHONEIO_1_200_2005-10-03.pdf</t>
  </si>
  <si>
    <t>7AG06_CANHONEIO_3_200_2005-10-11.pdf</t>
  </si>
  <si>
    <t>7-AG-07-BA</t>
  </si>
  <si>
    <t>7AG07_(ILEGIVEL) (2).pdf</t>
  </si>
  <si>
    <t>7AG07_(ILEGIVEL) (3).pdf</t>
  </si>
  <si>
    <t>7AG07_(ILEGIVEL) (4).pdf</t>
  </si>
  <si>
    <t>7AG07_(ILEGIVEL).pdf</t>
  </si>
  <si>
    <t>7-AG-09-BA</t>
  </si>
  <si>
    <t>7AG09_(ILEGIVEL).pdf</t>
  </si>
  <si>
    <t>7AG09_FLOWMETER_1_200_8.500_2004-04-22.pdf</t>
  </si>
  <si>
    <t>7AG09_PERFIL_DE_FLUXO_1_200_2015-02-20.pdf</t>
  </si>
  <si>
    <t>7AG09_RECONCAVO_BPP_1_200_8.625_2021-05-16 (2).pdf</t>
  </si>
  <si>
    <t>7AG09_RECONCAVO_BPP_1_200_8.625_2021-05-16.pdf</t>
  </si>
  <si>
    <t>7AG09_RECONCAVO_CANHONEIO_1_200_8.625_2021-05-19 (2).pdf</t>
  </si>
  <si>
    <t>7AG09_RECONCAVO_CANHONEIO_1_200_8.625_2021-05-19.pdf</t>
  </si>
  <si>
    <t>7AG09_RECONCAVO_CBL-MSG-GR-CCL_1_200_8.625_2021-05-13.pdf</t>
  </si>
  <si>
    <t>7-AG-10-BA</t>
  </si>
  <si>
    <t>7AG10_(ILEGIVEL).pdf</t>
  </si>
  <si>
    <t>7AG10_CONTROLE_DE_PROFUNDIDADE_CANHONEIO_CGEL_1_200_1996-07-26.pdf</t>
  </si>
  <si>
    <t>7-AG-106-BA</t>
  </si>
  <si>
    <t>7AG106_BPP_1_200_8.500_1999-10-30 (2).pdf</t>
  </si>
  <si>
    <t>7AG106_BPP_1_200_8.500_1999-10-30.pdf</t>
  </si>
  <si>
    <t>7-AG-109-BA</t>
  </si>
  <si>
    <t>7AG109_(ILEGIVEL) (1).pdf</t>
  </si>
  <si>
    <t>7AG109_(ILEGIVEL) (2).pdf</t>
  </si>
  <si>
    <t>7-AG-110-BA</t>
  </si>
  <si>
    <t>7AG110_CONTROLE_DE_CANHONEIO_1_1190-08-05.pdf</t>
  </si>
  <si>
    <t>7AG110_CONTROLE_DE_CANHONEIO_1_1990-08-05.pdf</t>
  </si>
  <si>
    <t>7-AG-112-BA</t>
  </si>
  <si>
    <t>7AG112_CANHONEIO_CGEL_1_200_8.500_2003-10-04 (2).pdf</t>
  </si>
  <si>
    <t>7AG112_CANHONEIO_CGEL_1_200_8.500_2003-10-04.pdf</t>
  </si>
  <si>
    <t>7-AG-12-BA</t>
  </si>
  <si>
    <t>7AG12_CANHONEIO_CGEL_1_200_8.500_1999-01-01.pdf</t>
  </si>
  <si>
    <t>7-AG-122-BA</t>
  </si>
  <si>
    <t>7AG122_(ILEGIVEL) (1).pdf</t>
  </si>
  <si>
    <t>7AG122_(ILEGIVEL) (2).pdf</t>
  </si>
  <si>
    <t>7AG122_(ILEGIVEL) (3).pdf</t>
  </si>
  <si>
    <t>7AG122_BPP_1_200_8.500_2000-09-14.pdf</t>
  </si>
  <si>
    <t>7-AG-127-BA</t>
  </si>
  <si>
    <t>7AG127_PDCL_1_200_8.500_1998-02-01 (2).pdf</t>
  </si>
  <si>
    <t>7AG127_PDCL_1_200_8.500_1998-02-01.pdf</t>
  </si>
  <si>
    <t>7-AG-128D-BA</t>
  </si>
  <si>
    <t>7AG128D_(ILEGIVEL).pdf</t>
  </si>
  <si>
    <t>7-AG-130-BA</t>
  </si>
  <si>
    <t>7AG130_CASED_HOLE_RESERVOIR_ANALYSIS_1_1988-06-17.pdf</t>
  </si>
  <si>
    <t>7AG130_CONTROLE_DE_CANHONEIO_1_5.500_1974-10-09.pdf</t>
  </si>
  <si>
    <t>7-AG-134-BA</t>
  </si>
  <si>
    <t>7AG134_(ILEGIVEL) (1).pdf</t>
  </si>
  <si>
    <t>7AG134_(ILEGIVEL) (2).pdf</t>
  </si>
  <si>
    <t>7-AG-136-BA</t>
  </si>
  <si>
    <t>7AG136_CONTROLE_DE_CANHONEIO_1_1974-06-22.pdf</t>
  </si>
  <si>
    <t>7-AG-145-BA</t>
  </si>
  <si>
    <t>7AG145_(ILEGIVEL) (1).pdf</t>
  </si>
  <si>
    <t>7AG145_(ILEGIVEL) (2).pdf</t>
  </si>
  <si>
    <t>7AG145_(ILEGIVEL) (3).pdf</t>
  </si>
  <si>
    <t>7AG145_(ILEGIVEL) (4).pdf</t>
  </si>
  <si>
    <t>7-AG-147-BA</t>
  </si>
  <si>
    <t>7AG147_CANHONEIO_HSD_1_200_9.625_1998-03-31.pdf</t>
  </si>
  <si>
    <t>7AG147_GR-CCL_1_200_9.625_1998-03-27.pdf</t>
  </si>
  <si>
    <t>7AG147_GR-CCL_1_200_9.625_1998-03-29.pdf</t>
  </si>
  <si>
    <t>7AG147_HSD_ALTA_PPENETRA€AO_1_200_9.625_1998-03-29.pdf</t>
  </si>
  <si>
    <t>7-AG-15-BA</t>
  </si>
  <si>
    <t>7AG15_CONTROLE_DE_CANHONEIO_1_200_1990-12-19.pdf</t>
  </si>
  <si>
    <t>7AG15_GR-CCL_1_200_1990-12-19.pdf</t>
  </si>
  <si>
    <t>7-AG-151-BA</t>
  </si>
  <si>
    <t>7AG151_(ILEGIVEL).pdf</t>
  </si>
  <si>
    <t>7-AG-16-BA</t>
  </si>
  <si>
    <t>7AG16_BACIA_RECONCAVO_CGEL_1_200_10.750_2008-05-05 (2).pdf</t>
  </si>
  <si>
    <t>7AG16_BACIA_RECONCAVO_CGEL_1_200_10.750_2008-05-05.pdf</t>
  </si>
  <si>
    <t>7-AG-17-BA</t>
  </si>
  <si>
    <t>7AG17_BPP_1_200_9.625_1999-10-11.pdf</t>
  </si>
  <si>
    <t>7AG17_CANHONEIO_CGEL_1_200_9.625_1999-10-10.pdf</t>
  </si>
  <si>
    <t>7AG17_RECONCAVO_CANHONEIO_2_200_9.625_2019-02-13.pdf</t>
  </si>
  <si>
    <t>7AG17_RECONCAVO_GR-CCL_1_200_9.625_2019-02-132.pdf</t>
  </si>
  <si>
    <t>7-AG-19-BA</t>
  </si>
  <si>
    <t>7AG19_CANHONEIO_CONVENCIONAL_1_200_2011-11-12.pdf</t>
  </si>
  <si>
    <t>7AG19_CANHONEIO_CONVENCIONAL_1_200_8.400_2011-11-12 (4).pdf</t>
  </si>
  <si>
    <t>7AG19_CANHONEIO_CONVENCIONAL_1_200_8.400_2011-11-12.pdf</t>
  </si>
  <si>
    <t>7AG19_RECONCAVO_ASSENTAMENTO_DE_BPP_1_200_2011-11-14 (2).pdf</t>
  </si>
  <si>
    <t>7AG19_RECONCAVO_ASSENTAMENTO_DE_BPP_1_200_2011-11-14.pdf</t>
  </si>
  <si>
    <t>7AG19_RECONCAVO_TMDL-GR-CCL_1_200_2010-10-19 (2).pdf</t>
  </si>
  <si>
    <t>7-AG-20-BA</t>
  </si>
  <si>
    <t>7AG20_CANHONEIO_CGEL_1_200_8.500_2001-07-06.pdf</t>
  </si>
  <si>
    <t>7-AG-4-BA</t>
  </si>
  <si>
    <t>7AG4_CANHONEIO_CGEL_200_8.500_1997-03-22.pdf</t>
  </si>
  <si>
    <t>7AG4_CANHONEIO_CGEL_200_8.500_1997-03-24.pdf</t>
  </si>
  <si>
    <t>7AG4_PDCL_1000_8.500_1997-03-22 (2).pdf</t>
  </si>
  <si>
    <t>7AG4_PDCL_1000_8.500_1997-03-22.pdf</t>
  </si>
  <si>
    <t>7AG4_SQUEEZE_CGEL_200_8.500_1997-03-22.pdf</t>
  </si>
  <si>
    <t>7-AG-56-BA</t>
  </si>
  <si>
    <t>7AG56_CANHONEIO_PHASED_ENERJET_1_200_8.500_2005-05-29.pdf</t>
  </si>
  <si>
    <t>7AG56_GAMMA_RAY_1_200_8.500_2005-05-20.pdf</t>
  </si>
  <si>
    <t>7AG56_GAMMA_RAY_1_200_8.500_2005-05-29 (2).pdf</t>
  </si>
  <si>
    <t>7AG56_GAMMA_RAY_1_200_8.500_2005-05-29.pdf</t>
  </si>
  <si>
    <t>7-AG-57-BA</t>
  </si>
  <si>
    <t>7AG57_CONTROLE_DE_CANHONEIO_1_1974-11-20.pdf</t>
  </si>
  <si>
    <t>7-AG-59-BA</t>
  </si>
  <si>
    <t>7AG59_CASING_COLLAR_LOG_AND_PERFORATING_RECORD_1_200_4.750_1977-12-11 (2).pdf</t>
  </si>
  <si>
    <t>7AG59_CASING_COLLAR_LOG_AND_PERFORATING_RECORD_1_200_4.750_1977-12-11.pdf</t>
  </si>
  <si>
    <t>7-AG-63-BA</t>
  </si>
  <si>
    <t>7AG63_(ILEGIVEL).pdf</t>
  </si>
  <si>
    <t>7AG63_CANHONEIO_CGEL_1_200_8.500_2003-09-01.pdf</t>
  </si>
  <si>
    <t>7AG63_PDCL_1_200_8.500_2003-09-01 (2).pdf</t>
  </si>
  <si>
    <t>7AG63_PDCL_1_200_8.500_2003-09-01.pdf</t>
  </si>
  <si>
    <t>7-AG-64-BA</t>
  </si>
  <si>
    <t>7AG64_(ILEGIVEL) (1).pdf</t>
  </si>
  <si>
    <t>7AG64_(ILEGIVEL) (2).pdf</t>
  </si>
  <si>
    <t>7AG64_(ILEGIVEL) (3).pdf</t>
  </si>
  <si>
    <t>7AG64_ASSENTAMENTO_DE_TAMPAO_1_1974-08-06.pdf</t>
  </si>
  <si>
    <t>7-AG-65-BA</t>
  </si>
  <si>
    <t>7AG65_BPP_&amp;_CGEL_1_200_12.250_1997-02-11 (2).pdf</t>
  </si>
  <si>
    <t>7AG65_BPP_&amp;_CGEL_1_200_12.250_1997-02-11.pdf</t>
  </si>
  <si>
    <t>7-AG-67-BA</t>
  </si>
  <si>
    <t>7AG67_RECONCAVO_FLOWMETER_1_200_8.500_2008-04-27 (2).pdf</t>
  </si>
  <si>
    <t>7AG67_RECONCAVO_FLOWMETER_1_200_8.500_2008-04-27.pdf</t>
  </si>
  <si>
    <t>7-BA-119-BA</t>
  </si>
  <si>
    <t>7BA119_CANHONEIO_1_200_5.500_1998-03-25.pdf</t>
  </si>
  <si>
    <t>7-MJ-56-BA</t>
  </si>
  <si>
    <t>7MJ56_PERFORATING_DEPTH_CONTROL_1_8.500_1993-01-13.pdf</t>
  </si>
  <si>
    <t>8-AG-IG-1-BA</t>
  </si>
  <si>
    <t>8AGIG1_(ILEGIVEL).pdf</t>
  </si>
  <si>
    <t>AG-1-BA</t>
  </si>
  <si>
    <t>AG1_(ILEGIVEL).pdf</t>
  </si>
  <si>
    <t>AG1_MICRO_PERFIL_1_200_1958-12-25.pdf</t>
  </si>
  <si>
    <t>AG-10D-BA</t>
  </si>
  <si>
    <t>AG10D_SCHLUMBERGER_1_1954-06-03.pdf</t>
  </si>
  <si>
    <t>AG-114-BA</t>
  </si>
  <si>
    <t>AG114_(ILEGIVEL).pdf</t>
  </si>
  <si>
    <t>AG-132-BA</t>
  </si>
  <si>
    <t>AG132_PERFIL_ELETRICO_INDU€AO_1_200_7.875_196-05-22.pdf</t>
  </si>
  <si>
    <t>AG-19-BA</t>
  </si>
  <si>
    <t>AG19_ENGINEERED_PRODUCTION_LOGGING_1_1973-02-22.pdf</t>
  </si>
  <si>
    <t>AG-2-BA</t>
  </si>
  <si>
    <t>AG02A_ASSNTAMENTO_DE_BPP_E_CANHONEIO_CGEL_1_8.500_1996-05-19.pdf</t>
  </si>
  <si>
    <t>AG02_(ILEGIVEL).pdf</t>
  </si>
  <si>
    <t>AG-6-BA</t>
  </si>
  <si>
    <t>AG06_(ILEGIVEL) (1).pdf</t>
  </si>
  <si>
    <t>AG06_(ILEGIVEL) (2).pdf</t>
  </si>
  <si>
    <t>AG-60-BA</t>
  </si>
  <si>
    <t>AG60_(ILEGIVEL).pdf</t>
  </si>
  <si>
    <t>AG-IG-1-BA</t>
  </si>
  <si>
    <t>AGIG1_(ILEGIVEL) (2).pdf</t>
  </si>
  <si>
    <t>AGIG1_(ILEGIVEL) (3).pdf</t>
  </si>
  <si>
    <t>AGIG1_CASING_COLLAR_LOG_AND_PERFORATING_RECORD_1_200_7.875_1960-01-03 (2).pdf</t>
  </si>
  <si>
    <t>AGIG1_CASING_COLLAR_LOG_AND_PERFORATING_RECORD_1_200_7.875_1960-01-03.pdf</t>
  </si>
  <si>
    <t>AGIG1_CASING_COLLAR_LOG_AND_PERFORATING_RECORD_1_7.875_1960-04-25 (2).pdf</t>
  </si>
  <si>
    <t>AGIG1_MICRO_PERFIL_1_200_9.625_1959-12-28.pdf</t>
  </si>
  <si>
    <t>AGIG1_PERFIL_ELETRICO_INDU€AO_1_1000_9.625_1959-12-28.pdf</t>
  </si>
  <si>
    <t>AGIG1_RAIOS_GAMA-NEUTROS_1_200_7.875_1960-01-03.pdf</t>
  </si>
  <si>
    <t>AGB-13-BA</t>
  </si>
  <si>
    <t>AGB13_PERFIL_ELETRICO_INDU€AO_1_200_7.875_1965-03-17.pdf</t>
  </si>
  <si>
    <t>07-AG-315-BA</t>
  </si>
  <si>
    <t>CAIXA 05</t>
  </si>
  <si>
    <t>7AG315_(ILEGIVEL).pdf</t>
  </si>
  <si>
    <t>08-AG-305-BA</t>
  </si>
  <si>
    <t>8AG305_CCL-PERFORATING_RECORD_1_1982-03-05.pdf</t>
  </si>
  <si>
    <t>7-AG-0327-BA</t>
  </si>
  <si>
    <t>7AG327_PERFIL_DE_FLUXO_1_200_2011-02-15 (2).pdf</t>
  </si>
  <si>
    <t>7AG327_PERFIL_DE_FLUXO_1_200_2011-02-15.pdf</t>
  </si>
  <si>
    <t>7AG327_PERFIL_DE_FLUXO_CONTINUO_1_200_2010-09-15.pdf</t>
  </si>
  <si>
    <t>7-AG-0344-BA</t>
  </si>
  <si>
    <t>7AG344_PERFIL_DE_FLUXO_1_200_2011-02-11.pdf</t>
  </si>
  <si>
    <t>7AG344_PERFIL_DE_FLUXO_CONTINUO_1_200_2010-09-18.pdf</t>
  </si>
  <si>
    <t>7-AG-248-BA</t>
  </si>
  <si>
    <t>7AG248_ASSENTAMENTO_BPP_1_200_2001-05-02.pdf</t>
  </si>
  <si>
    <t>7AG248_CASING_COLLAR_LOG_AND_PPERFORATING_RECORRD_1_200_8.625_1976-02-29.pdf</t>
  </si>
  <si>
    <t>7AG248_CASING_COLLAR_LOG_AND_PPERFORATING_RECORRD_1_9.875_1975-11-05.pdf</t>
  </si>
  <si>
    <t>7AG248_CASING_COLLAR_LOG_AND_PPERFORATING_RECORRD_1_9.875_1982-12-02.pdf</t>
  </si>
  <si>
    <t>7AG248_CONTROLE_DE_CANHONEIO_1_1974-11-24.pdf</t>
  </si>
  <si>
    <t>7-AG-249-BA</t>
  </si>
  <si>
    <t>7AG249_ASSENTAMENTO_TAMPAO_&amp;_CONTROLE_DE_CANHONEIO_1_1975-06-22.pdf</t>
  </si>
  <si>
    <t>7AG249_CASING_COLLAR_LOG_AND_PPERFORATING_RECORRD_1_1975-04-26.pdf</t>
  </si>
  <si>
    <t>7AG249_CASING_COLLAR_LOG_AND_PPERFORATING_RECORRD_1_1979-10-29 (2).pdf</t>
  </si>
  <si>
    <t>7AG249_CASING_COLLAR_LOG_AND_PPERFORATING_RECORRD_1_1979-10-29.pdf</t>
  </si>
  <si>
    <t>7AG249_CASING_COLLAR_LOG_AND_PPERFORATING_RECORRD_1_200_1977-10-13.pdf</t>
  </si>
  <si>
    <t>7AG249_CASING_COLLAR_LOG_AND_PPERFORATING_RECORRD_1_200_1977-10-19.pdf</t>
  </si>
  <si>
    <t>7AG249_CONTROLE_DE_CANHONEIO_1_1975-04-13.pdf</t>
  </si>
  <si>
    <t>7-AG-270-BA</t>
  </si>
  <si>
    <t>7AG270_CASING_COLLAR_LOG_AND_PPERFORATING_RECORRD_1_9.785_1976-02-22.pdf</t>
  </si>
  <si>
    <t>7AG270_CASING_COLLAR_LOG_AND_PPERFORATING_RECORRD_1_9.785_1976-08-05.pdf</t>
  </si>
  <si>
    <t>7AG270_CASING_COLLAR_LOG_AND_PPERFORATING_RECORRD_1_9.785_1976-08-07.pdf</t>
  </si>
  <si>
    <t>7-AG-271-BA</t>
  </si>
  <si>
    <t>7AG271_(ILEGIVEL) (1).pdf</t>
  </si>
  <si>
    <t>7AG271_(ILEGIVEL) (2).pdf</t>
  </si>
  <si>
    <t>7-AG-272-BA</t>
  </si>
  <si>
    <t>7AG272_FORMATION_DENSITE_LOG_COMPENSATED_200_.pdf</t>
  </si>
  <si>
    <t>7-AG-274-BA</t>
  </si>
  <si>
    <t>7AG274_CANHONEIO_CGEL_1_200_9.875_1988-07-16.pdf</t>
  </si>
  <si>
    <t>7AG274_CASING_COLLAR_LOG_AND_PPERFORATING_RECORRD_1_200_1978-08-18.pdf</t>
  </si>
  <si>
    <t>7-AG-276-BA</t>
  </si>
  <si>
    <t>7AG276_BPP_1_200_10.750_1998-09-11 (2).pdf</t>
  </si>
  <si>
    <t>7AG276_BPP_1_200_10.750_1998-09-11.pdf</t>
  </si>
  <si>
    <t>7AG276_CASING_COLLAR_LOG_AND_PPERFORATING_RECORRD_1_200_9.875_1977-06-14.pdf</t>
  </si>
  <si>
    <t>7AG276_REGISTRO_DE_CANHONEIO_CGEL_1_200_9.875_1993-10-24.pdf</t>
  </si>
  <si>
    <t>7-AG-277-BA</t>
  </si>
  <si>
    <t>7AG277_CASING_COLLAR_LOG_AND_PPERFORATING_RECORRD_1_200_1977-06-21.pdf</t>
  </si>
  <si>
    <t>7AG277_CEMENT_BOND_LOG_1_200_7.875_1977-06-21.pdf</t>
  </si>
  <si>
    <t>7-AG-280-BA</t>
  </si>
  <si>
    <t>7AG280_(ILEGIVEL) (2).pdf</t>
  </si>
  <si>
    <t>7AG280_(ILEGIVEL) (3).pdf</t>
  </si>
  <si>
    <t>7AG280_(ILEGIVEL).pdf</t>
  </si>
  <si>
    <t>7AG280_RECONCAVO_CANHONEIO_1_200_2006-01-01 (2).pdf</t>
  </si>
  <si>
    <t>7AG280_RECONCAVO_CANHONEIO_1_200_2006-01-01.pdf</t>
  </si>
  <si>
    <t>7-AG-282-BA</t>
  </si>
  <si>
    <t>7AG282_(ILEGIVEL).pdf</t>
  </si>
  <si>
    <t>7-AG-287-BA</t>
  </si>
  <si>
    <t>7AG287_IND_1_1985-04-03.pdf</t>
  </si>
  <si>
    <t>7AG287_RECONCAVO_GABARITAGEM_1_200_2018-09-05 (2).pdf</t>
  </si>
  <si>
    <t>7AG287_RECONCAVO_GABARITAGEM_1_200_2018-09-05.pdf</t>
  </si>
  <si>
    <t>7-AG-288-BA</t>
  </si>
  <si>
    <t>7AG288_CASING_COLLAR_LOG_AND_PPERFORATING_RECORRD_1_200_9.875_1978-03-25 (2).pdf</t>
  </si>
  <si>
    <t>7AG288_CASING_COLLAR_LOG_AND_PPERFORATING_RECORRD_1_200_9.875_1978-03-25 (3).pdf</t>
  </si>
  <si>
    <t>7AG288_CASING_COLLAR_LOG_AND_PPERFORATING_RECORRD_1_200_9.875_1978-03-25.pdf</t>
  </si>
  <si>
    <t>7AG288_CASING_COLLAR_LOG_AND_PPERFORATING_RECORRD_1_200_9.875_1978-03-28.pdf</t>
  </si>
  <si>
    <t>7AG288_CASING_COLLAR_LOG_AND_PPERFORATING_RECORRD_200_9.875_1978-08-10.pdf</t>
  </si>
  <si>
    <t>7AG288_FLOWMETER_1_1000_8.500_2005-04-18.pdf</t>
  </si>
  <si>
    <t>7-AG-289-BA</t>
  </si>
  <si>
    <t>7AG289_CASING_COLLAR_LOG_AND_PPERFORATING_RECORRD_200_1978-06-08.pdf</t>
  </si>
  <si>
    <t>7-AG-291-BA</t>
  </si>
  <si>
    <t>7AG291_CASING_COLLAR_LOG_AND_PPERFORATING_RECORRD_1_200_9.875_1978-11-26.pdf</t>
  </si>
  <si>
    <t>7AG291_CASING_COLLAR_LOG_AND_PPERFORATING_RECORRD_1_200_9.875_1978-12-13.pdf</t>
  </si>
  <si>
    <t>7AG291_CASING_COLLAR_LOG_AND_PPERFORATING_RECORRD_200_9.875_1978-12-20.pdf</t>
  </si>
  <si>
    <t>7-AG-292-BA</t>
  </si>
  <si>
    <t>7AG292_CASING_COLLAR_2_9.875_1979-01-31.pdf</t>
  </si>
  <si>
    <t>7AG292_CASING_COLLAR_LOG_2_9.875_1979-01-31 (2).pdf</t>
  </si>
  <si>
    <t>7AG292_CASING_COLLAR_LOG_2_9.875_1979-01-31.pdf</t>
  </si>
  <si>
    <t>7-AG-294-BA</t>
  </si>
  <si>
    <t>7AG294_CASING_COLLAR_LOG_AND_PPERFORATING_RECORRD_200_1979-06-18.pdf</t>
  </si>
  <si>
    <t>7AG294_CASING_COLLAR_LOG_AND_PPERFORATING_RECORRD_200_9.875_1979-06-09.pdf</t>
  </si>
  <si>
    <t>7-AG-297-BA</t>
  </si>
  <si>
    <t>7AG297_CASING_COLLAR_LOG_AND_PPERFORATING_RECORRD_1_200_9.875_1979-11-17.pdf</t>
  </si>
  <si>
    <t>7-AG-300-BA</t>
  </si>
  <si>
    <t>7AG300_(ILEGIVEL) (2).pdf</t>
  </si>
  <si>
    <t>7AG300_(ILEGIVEL).pdf</t>
  </si>
  <si>
    <t>7-AG-302-BA</t>
  </si>
  <si>
    <t>7AG302_CASING_COLLAR_LOG_AND_PPERFORATING_RECORRD_1_9.875_1991-01-22.pdf</t>
  </si>
  <si>
    <t>7AG302_CG-EL_1_200_9.875_1990-10-07.pdf</t>
  </si>
  <si>
    <t>7-AG-306-BA</t>
  </si>
  <si>
    <t>7AG306_(ILEGIVEL) (2).pdf</t>
  </si>
  <si>
    <t>7AG306_(ILEGIVEL).pdf</t>
  </si>
  <si>
    <t>7AG306_CANHONEIO_CGEL_1_200_8.500_2001-08-31 (2).pdf</t>
  </si>
  <si>
    <t>7AG306_CANHONEIO_CGEL_1_200_8.500_2001-08-31.pdf</t>
  </si>
  <si>
    <t>7AG306_PDCL_1_200_8.500_2001-08-31 (2).pdf</t>
  </si>
  <si>
    <t>7AG306_PDCL_1_200_8.500_2001-08-31.pdf</t>
  </si>
  <si>
    <t>7-AG-307-BA</t>
  </si>
  <si>
    <t>7AG307_(ILEGIVEL) (2).pdf</t>
  </si>
  <si>
    <t>7AG307_(ILEGIVEL).pdf</t>
  </si>
  <si>
    <t>7AG307_CASING_COLLAR_LOG_AND_PPERFORATING_RECORRD_1_9.875_1982-03-30.pdf</t>
  </si>
  <si>
    <t>7AG307_RECONCAVO_DML_1_200_9.875_2013-01-30 (2).pdf</t>
  </si>
  <si>
    <t>7AG307_RECONCAVO_DML_1_200_9.875_2013-01-30.pdf</t>
  </si>
  <si>
    <t>7AG307_RECONCAVO_TMDL-GR_1_200_9.875_2012-11-06.pdf</t>
  </si>
  <si>
    <t>7AG307_RECONCAVO_TMDL-GR_1_200_9.875_2012-11-08.pdf</t>
  </si>
  <si>
    <t>7-AG-310-BA</t>
  </si>
  <si>
    <t>7AG310_ASSENTAMENTO_DE_BPP_1_9.625_1990-04-03 (2).pdf</t>
  </si>
  <si>
    <t>7AG310_ASSENTAMENTO_DE_BPP_1_9.625_1990-04-03.pdf</t>
  </si>
  <si>
    <t>7-AG-323-BA</t>
  </si>
  <si>
    <t>7AG323_(ILEGIVEL).pdf</t>
  </si>
  <si>
    <t>7AG323_FLOWMETER_1_1200_8.500_2005-08-30.pdf</t>
  </si>
  <si>
    <t>7AG323_FLOWMETER_1_200_8.500_2007-09-19 (2).pdf</t>
  </si>
  <si>
    <t>7AG323_FLOWMETER_1_200_8.500_2007-09-19.pdf</t>
  </si>
  <si>
    <t>7AG323_PERFIL_DE_FLUXO_1_200_2011-02-19 (2).pdf</t>
  </si>
  <si>
    <t>7AG323_PERFIL_DE_FLUXO_1_200_2011-02-19.pdf</t>
  </si>
  <si>
    <t>7AG323_PERFIL_DE_FLUXO_1_200_2015-02-22.pdf</t>
  </si>
  <si>
    <t>7AG323_RECONCAVO_FLOWMETER_1_200_2005-12-20.pdf</t>
  </si>
  <si>
    <t>7AG323_RECONCAVO_FLOWMETER_1_200_2008-08-01.pdf</t>
  </si>
  <si>
    <t>7-AG-325-BA</t>
  </si>
  <si>
    <t>7AG325_CEMENT_BOND_LOG_1_8.500_1983-11-01.pdf</t>
  </si>
  <si>
    <t>7AG325_RECONCAVO_CANHONEIO_HSD_1_200_2012-06-16 (2).pdf</t>
  </si>
  <si>
    <t>7AG325_RECONCAVO_CANHONEIO_HSD_1_200_2012-06-16.pdf</t>
  </si>
  <si>
    <t>7AG331A_CBL-VDL-GR-CCL_1_8.500_1986-03-29.pdf</t>
  </si>
  <si>
    <t>7AG331A_CYBERLOOK_1_200_8.500_1986-02-23.pdf</t>
  </si>
  <si>
    <t>7AG331A_NGT_RAIOS_1_200_8.500_1986-02-22.pdf</t>
  </si>
  <si>
    <t>7-AG-333-BA</t>
  </si>
  <si>
    <t>7AG333_CG-EL_2_200_8.500_1989-11-02 (2).pdf</t>
  </si>
  <si>
    <t>7AG333_CG-EL_2_200_8.500_1989-11-02.pdf</t>
  </si>
  <si>
    <t>7AG333_RECONCAVO_CANHONEIO_1_200_8.500_2012-10-27 (2).pdf</t>
  </si>
  <si>
    <t>7AG333_RECONCAVO_CANHONEIO_1_200_8.500_2012-10-27.pdf</t>
  </si>
  <si>
    <t>7AG333_RECONCAVO_CANHONEIO_1_200_8.500_2012-10-28 (2).pdf</t>
  </si>
  <si>
    <t>7AG333_RECONCAVO_CANHONEIO_1_200_8.500_2012-10-28.pdf</t>
  </si>
  <si>
    <t>7-AG-335-BA</t>
  </si>
  <si>
    <t>7AG335_CANHONEIO_CG-EL_1_200_8.500_1995-04-13 (2).pdf</t>
  </si>
  <si>
    <t>7AG335_CANHONEIO_CG-EL_1_200_8.500_1995-04-13.pdf</t>
  </si>
  <si>
    <t>7AG335_CANHONEIO_CG-EL_1_200_8.500_1995-04-15 (2).pdf</t>
  </si>
  <si>
    <t>7AG335_CANHONEIO_CG-EL_1_200_8.500_1995-04-15.pdf</t>
  </si>
  <si>
    <t>7AG335_CGEL_1_200_8.500_1995-04-12 (2).pdf</t>
  </si>
  <si>
    <t>7AG335_CGEL_1_200_8.500_1995-04-12.pdf</t>
  </si>
  <si>
    <t>7-AG-338-BA</t>
  </si>
  <si>
    <t>7AG338_(ILEGIVEL).pdf</t>
  </si>
  <si>
    <t>7AG338_COMPOSITE_LOG_2_8.500_1991-11-19.pdf</t>
  </si>
  <si>
    <t>7-AG-339-BA</t>
  </si>
  <si>
    <t>7AG339_TCP_1_200_8.500_1990-10-13.pdf</t>
  </si>
  <si>
    <t>7-AG-340-BA</t>
  </si>
  <si>
    <t>7AG340_GR-CCL_1_200_8.500_1990-10-25.pdf</t>
  </si>
  <si>
    <t>7AG340_REGISTRO_DE_CANHONEIO_1_200_8.500_1990-10-25.pdf</t>
  </si>
  <si>
    <t>7-AG-341-BA</t>
  </si>
  <si>
    <t>7AG341_(ILEGIVEL) (2).pdf</t>
  </si>
  <si>
    <t>7AG341_(ILEGIVEL).pdf</t>
  </si>
  <si>
    <t>7AG341_CBL-VDL-GR-CCL_1_200_8.500_1990-10-31 (2).pdf</t>
  </si>
  <si>
    <t>7AG341_CBL-VDL-GR-CCL_1_200_8.500_1990-10-31.pdf</t>
  </si>
  <si>
    <t>7-AG-347-BA</t>
  </si>
  <si>
    <t>7AG347_CANHONEIO_CGEL_1_200_8.500_2000-07-23 (2).pdf</t>
  </si>
  <si>
    <t>7AG347_CANHONEIO_CGEL_1_200_8.500_2000-07-23.pdf</t>
  </si>
  <si>
    <t>7-AG-349D-BA</t>
  </si>
  <si>
    <t>7AG349D_(ILEGIVEL) (1).pdf</t>
  </si>
  <si>
    <t>7AG349D_(ILEGIVEL) (2).pdf</t>
  </si>
  <si>
    <t>7AG349D_CGEL_1_200_8.500_1991-08-22 (2).pdf</t>
  </si>
  <si>
    <t>7AG349D_CGEL_1_200_8.500_1991-08-22.pdf</t>
  </si>
  <si>
    <t>7-AG-350-BA</t>
  </si>
  <si>
    <t>7AG350_RECONCAVO_CANHONEIO_1_200_2005-12-18 (2).pdf</t>
  </si>
  <si>
    <t>7AG350_RECONCAVO_CANHONEIO_1_200_2005-12-18.pdf</t>
  </si>
  <si>
    <t>7-AG-352P-BA</t>
  </si>
  <si>
    <t>7AG352P_(ILEGIVEL) (2).pdf</t>
  </si>
  <si>
    <t>7AG352P_(ILEGIVEL) (3).pdf</t>
  </si>
  <si>
    <t>7AG352P_(ILEGIVEL) (4).pdf</t>
  </si>
  <si>
    <t>7AG352P_(ILEGIVEL).pdf</t>
  </si>
  <si>
    <t>7AG352P_1991-11-12.pdf</t>
  </si>
  <si>
    <t>7AG352P_RECONCAVO_HSD_200_2006-12-27.pdf</t>
  </si>
  <si>
    <t>7AG352P_RECONCAVO_PDCL_1_200_2006-12-26 (2).pdf</t>
  </si>
  <si>
    <t>7AG352P_RECONCAVO_PDCL_1_200_2006-12-26.pdf</t>
  </si>
  <si>
    <t>7AG352P_TCP_WET_CONECTOR_1_200_8.500_1991-11-23.pdf</t>
  </si>
  <si>
    <t>8-AG-294-BA</t>
  </si>
  <si>
    <t>8AG294_(ILEGIVEL).pdf</t>
  </si>
  <si>
    <t>8AG294_CANHONEIO_CGEL_1_200_8.500_2001-10-20.pdf</t>
  </si>
  <si>
    <t>8AG294_PDCL_1_200_8.500_2001-10-20 (2).pdf</t>
  </si>
  <si>
    <t>8AG294_PDCL_1_200_8.500_2001-10-20.pdf</t>
  </si>
  <si>
    <t>8-AG-303-BA</t>
  </si>
  <si>
    <t>8AG303_(ILEGIVEL).pdf</t>
  </si>
  <si>
    <t>8-AG-309-BA</t>
  </si>
  <si>
    <t>8AG309_ASSENTAMENTO_BPP_1_200_8.500_1996-02-01 (1).pdf</t>
  </si>
  <si>
    <t>8AG309_ASSENTAMENTO_BPP_1_200_8.500_1996-02-01 (2).pdf</t>
  </si>
  <si>
    <t>8AG309_CANHONEIO_1_200_1998-02-01.pdf</t>
  </si>
  <si>
    <t>8AG309_CANHONEIO_CANHONEIO_1_200_1998-02-01.pdf</t>
  </si>
  <si>
    <t>8AG309_CANHONEIO_CGEL_1_200_8.500_2001-12-14.pdf</t>
  </si>
  <si>
    <t>8AG309_GR-CCL_1_200_8.500_2001-12-14.pdf</t>
  </si>
  <si>
    <t>8AG309_PERFIL_DE_FLUXO_CONTINUO_1_200_2010-07-24.pdf</t>
  </si>
  <si>
    <t>9-AG-285-BA</t>
  </si>
  <si>
    <t>9AG285_CASING_COLLAR_LOG_AND_PERFORATING_RECORD_1_200_1978-07-12.pdf</t>
  </si>
  <si>
    <t>9AG285_CASING_COLLAR_LOG_AND_PERFORATING_RECORD_1_200_9.875_1978-07-09.pdf</t>
  </si>
  <si>
    <t>9-AG-290-BA</t>
  </si>
  <si>
    <t>9AG290_PERFORATING_DEPTH_CONTROL_1_8.500_1992-05-22.pdf</t>
  </si>
  <si>
    <t>9-AG-293-BA</t>
  </si>
  <si>
    <t>9AG293_CASING_COLLAR_LOG_AND_PERFORATING_RECORD_1_1981-02-18.pdf</t>
  </si>
  <si>
    <t>9AG293_CASING_COLLAR_LOG_AND_PERFORATING_RECORD_2_1981-02-22.pdf</t>
  </si>
  <si>
    <t>AG-272-BA</t>
  </si>
  <si>
    <t>AG272_ELETRICO_INDU€AO_200.pdf</t>
  </si>
  <si>
    <t>7-AG-152-BA</t>
  </si>
  <si>
    <t>CAIXA 06</t>
  </si>
  <si>
    <t>7AG152-PERFIL_DE_FLUXO_1_200_2010-12-28.pdf</t>
  </si>
  <si>
    <t>7AG152-PERFIL_DE_FLUXO_1_200_2011-04-02 (2).pdf</t>
  </si>
  <si>
    <t>7AG152-PERFIL_DE_FLUXO_1_200_2011-04-02.pdf</t>
  </si>
  <si>
    <t>7AG152_CANHONEIO_22_200_8.500_2003-05-20.pdf</t>
  </si>
  <si>
    <t>7-AG-154-BA</t>
  </si>
  <si>
    <t>7AG154_CANHONEIO_CGEL_1_200_8.500_2003-07-04.pdf</t>
  </si>
  <si>
    <t>7-AG-155-BA</t>
  </si>
  <si>
    <t>7AG155_RECONCAVO_CANHONEIO_1_200_2006-10-20 (2).pdf</t>
  </si>
  <si>
    <t>7AG155_RECONCAVO_CANHONEIO_1_200_2006-10-20.pdf</t>
  </si>
  <si>
    <t>7AG155_RECONCAVO_PDCL_1_200_2006-10-20 (2).pdf</t>
  </si>
  <si>
    <t>7AG155_RECONCAVO_PDCL_1_200_2006-10-20.pdf</t>
  </si>
  <si>
    <t>7-AG-156-BA</t>
  </si>
  <si>
    <t>7AG156_(ILEGIVEL) (1).pdf</t>
  </si>
  <si>
    <t>7AG156_(ILEGIVEL) (2).pdf</t>
  </si>
  <si>
    <t>7-AG-157-BA</t>
  </si>
  <si>
    <t>7AG157_CONTROLE_DE_CANHONEIO_1974-04-25.pdf</t>
  </si>
  <si>
    <t>7-AG-158-BA</t>
  </si>
  <si>
    <t>7AG158_CASING_COLLAR_LOG_AND_PERFORATING_RECORD_200_1978-03-05.pdf</t>
  </si>
  <si>
    <t>7-AG-161-BA</t>
  </si>
  <si>
    <t>7AG161_RECONCAVO_1_200_2010-03-06.pdf</t>
  </si>
  <si>
    <t>7-AG-164-BA</t>
  </si>
  <si>
    <t>7AG164_PERFORATING_DEPTH_CONTROL_1_8.625_1981-02-01.pdf</t>
  </si>
  <si>
    <t>7-AG-165-BA</t>
  </si>
  <si>
    <t>7AG165_CANHONEIO_CGEL_1_200_1998-03-20.pdf</t>
  </si>
  <si>
    <t>7AG165_CONTROLE_DE_PROFUNDIDADE_1_200_7.875_1995-12-20.pdf</t>
  </si>
  <si>
    <t>7AG165_CONTROLE_DE_PROFUNDIDADE_3_200_7.875_1995-12-12.pdf</t>
  </si>
  <si>
    <t>7-AG-170-BA</t>
  </si>
  <si>
    <t>7AG170_CASING_COLLAR_LOG_AND_PERFOTRATING_RECORD_1_200_1976-12-26.pdf</t>
  </si>
  <si>
    <t>7-AG-171-BA</t>
  </si>
  <si>
    <t>7AG171_CASING_COLLAR_LOG_AND_PERFOTRATING_RECORD_1_200_1977-04-16.pdf</t>
  </si>
  <si>
    <t>7-AG-173-BA</t>
  </si>
  <si>
    <t>7AG173_REGISTRO_DE_CANHONEIO_1_200_12.250_1990-09-21.pdf</t>
  </si>
  <si>
    <t>7-AG-174-BA</t>
  </si>
  <si>
    <t>7AG174_(ILEGIVEL) (1).pdf</t>
  </si>
  <si>
    <t>7AG174_(ILEGIVEL) (2).pdf</t>
  </si>
  <si>
    <t>7AG174_ASSENTAMENTO_DE_BPP_1_200_8.500_2000-09-16.pdf</t>
  </si>
  <si>
    <t>7AG174_CANHONEIO_1_200_8.500_2007-11-07 (2).pdf</t>
  </si>
  <si>
    <t>7AG174_CANHONEIO_1_200_8.500_2007-11-07.pdf</t>
  </si>
  <si>
    <t>7AG174_RECONCAVO_BPR_1_200_8.625_2019-02-21.pdf</t>
  </si>
  <si>
    <t>7AG174_RECONCAVO_BPR_1_200_8.625_2019-02-22 (2).pdf</t>
  </si>
  <si>
    <t>7AG174_RECONCAVO_BPR_1_200_8.625_2019-02-22.pdf</t>
  </si>
  <si>
    <t>7AG174_RECONCAVO_CANHONEIO_1_200_8.625_2019-02-18.pdf</t>
  </si>
  <si>
    <t>7-AG-188-BA</t>
  </si>
  <si>
    <t>7AG188_SQUEEZE_1_200_8.500_1999-09-08.pdf</t>
  </si>
  <si>
    <t>7-AG-189-BA</t>
  </si>
  <si>
    <t>7AG189_BPP_1_200_8.500_2000-07-07.pdf</t>
  </si>
  <si>
    <t>7-AG-190-BA</t>
  </si>
  <si>
    <t>7AG190_(ILEGIVEL).pdf</t>
  </si>
  <si>
    <t>7-AG-192-BA</t>
  </si>
  <si>
    <t>7AG192_CANHONEIO_CGEL_200_8.500_1997-08-03 (2).pdf</t>
  </si>
  <si>
    <t>7AG192_CANHONEIO_CGEL_200_8.500_1997-08-03.pdf</t>
  </si>
  <si>
    <t>7-AG-193-BA</t>
  </si>
  <si>
    <t>200_1998-02-13.pdf</t>
  </si>
  <si>
    <t>7AG193_(ILEGIVEL) (2).pdf</t>
  </si>
  <si>
    <t>7AG193_(ILEGIVEL).pdf</t>
  </si>
  <si>
    <t>7AG193_FLOWMETER_1_200_8.500_2004-05-21.pdf</t>
  </si>
  <si>
    <t>7AG193_FLOWMETER_1_200_8.500_2004-12-14.pdf</t>
  </si>
  <si>
    <t>7AG193_PERFIL_DE_FLUXO_1_200_2010-11-08.pdf</t>
  </si>
  <si>
    <t>7AG193_RECONCAVO_CANHONEIO_1_200_7.875_2004-03-14 (2).pdf</t>
  </si>
  <si>
    <t>7AG193_RECONCAVO_CANHONEIO_1_200_7.875_2004-03-14.pdf</t>
  </si>
  <si>
    <t>7-AG-194-BA</t>
  </si>
  <si>
    <t>7AG194_(ILEGIVEL).pdf</t>
  </si>
  <si>
    <t>7AG194_RECONCAVO_FLOWMETER_1_200_2005-12-18.pdf</t>
  </si>
  <si>
    <t>7AG194_SQUEEZE_1_200_8.500_2003-12-12.pdf</t>
  </si>
  <si>
    <t>7-AG-196-BA</t>
  </si>
  <si>
    <t>7AG196_CORR_CCL_P_CGEL_1_200_8.500-1999-09-02 (2).pdf</t>
  </si>
  <si>
    <t>7AG196_CORR_CCL_P_CGEL_1_200_8.500-1999-09-02.pdf</t>
  </si>
  <si>
    <t>7AG196_CORR_CCL_P_CGE_1_200_8.500_1999-09-02.pdf</t>
  </si>
  <si>
    <t>7-AG-197-BA</t>
  </si>
  <si>
    <t>7AG197_CANHONEIO_CGEL_1_200_9.625_2003-09-26 (2).pdf</t>
  </si>
  <si>
    <t>7AG197_CANHONEIO_CGEL_1_200_9.625_2003-09-26.pdf</t>
  </si>
  <si>
    <t>7AG197_GR_CCL_1_200_9.625_2003-09-26 (2).pdf</t>
  </si>
  <si>
    <t>7AG197_GR_CCL_1_200_9.625_2003-09-26 (3).pdf</t>
  </si>
  <si>
    <t>7AG197_GR_CCL_1_200_9.625_2003-09-26.pdf</t>
  </si>
  <si>
    <t>7-AG-198-BA</t>
  </si>
  <si>
    <t>7AG198_(ILEGIVEL) (2).pdf</t>
  </si>
  <si>
    <t>7AG198_(ILEGIVEL).pdf</t>
  </si>
  <si>
    <t>7AG198_CANHONEIO_CONVENCIONAL_1_200_2012-12-04 (2).pdf</t>
  </si>
  <si>
    <t>7AG198_CANHONEIO_CONVENCIONAL_1_200_2012-12-04.pdf</t>
  </si>
  <si>
    <t>7-AG-199-BA</t>
  </si>
  <si>
    <t>7AG199_CASING_COLLAR_LOG_AND_PERFOARTING_RECORD_1_9.625_1973-11-03 (2).pdf</t>
  </si>
  <si>
    <t>7AG199_CASING_COLLAR_LOG_AND_PERFOARTING_RECORD_1_9.625_1973-11-03.pdf</t>
  </si>
  <si>
    <t>7AG199_CGEL_1_200_9.620_2001-12-10 (2).pdf</t>
  </si>
  <si>
    <t>7AG199_CGEL_1_200_9.620_2001-12-10 (3).pdf</t>
  </si>
  <si>
    <t>7AG199_CGEL_1_200_9.620_2001-12-10.pdf</t>
  </si>
  <si>
    <t>7AG199_PERFORATING_CASING_COLLAR_LOG_1_1982-09-02.pdf</t>
  </si>
  <si>
    <t>7-AG-403P-BA</t>
  </si>
  <si>
    <t>7AG403P_HSD_CANHONEIO_1_200_4.750_2007-02-05 (2).pdf</t>
  </si>
  <si>
    <t>7AG403P_HSD_CANHONEIO_1_200_4.750_2007-02-05.pdf</t>
  </si>
  <si>
    <t>7-AG-84-BA</t>
  </si>
  <si>
    <t>7AG84_(ILEGIVEL) (1).pdf</t>
  </si>
  <si>
    <t>7AG84_(ILEGIVEL) (2).pdf</t>
  </si>
  <si>
    <t>7AG84_CANHONEIO_CGEL_1_8.000_1999-06-21 (2).pdf</t>
  </si>
  <si>
    <t>7AG84_CANHONEIO_CGEL_1_8.000_1999-06-21.pdf</t>
  </si>
  <si>
    <t>7AG84_RECONCAVO_FLOWMETER_1_200_10.750_2008-04-28.pdf</t>
  </si>
  <si>
    <t>7-AG-85-BA</t>
  </si>
  <si>
    <t>7AG85_PERFIL_DE_LUVAS_CANHONEIO_EXTRA_SDP_1_200_2014-09-21 (2).pdf</t>
  </si>
  <si>
    <t>7AG85_PERFIL_DE_LUVAS_CANHONEIO_EXTRA_SDP_1_200_2014-09-21.pdf</t>
  </si>
  <si>
    <t>7-AG-86-BA</t>
  </si>
  <si>
    <t>7AG86_CONTROLE_DE_CANHONEIO_1_1975-03-13 (2).pdf</t>
  </si>
  <si>
    <t>7AG86_CONTROLE_DE_CANHONEIO_1_1975-03-13.pdf</t>
  </si>
  <si>
    <t>7AG86_PERFIL_DE_FLUXO_1_200_2011-01-20.pdf</t>
  </si>
  <si>
    <t>7-AG-91-BA</t>
  </si>
  <si>
    <t>7AG91_(ILEGIVEL) (1).pdf</t>
  </si>
  <si>
    <t>7AG91_(ILEGIVEL) (2).pdf</t>
  </si>
  <si>
    <t>7AG91_CASING_COLLAR_LOG_AND_PERFORATING_RECORD_1_200_1974-12-20.pdf</t>
  </si>
  <si>
    <t>7AG91_CONTROLE_DE_CANHONEIO_1_1975-09-30.pdf</t>
  </si>
  <si>
    <t>7-AG-96-BA</t>
  </si>
  <si>
    <t>7AG96_CANHONEIO_CGEL_2_200_8.500_2003-09-07 (2).pdf</t>
  </si>
  <si>
    <t>7AG96_CANHONEIO_CGEL_2_200_8.500_2003-09-07.pdf</t>
  </si>
  <si>
    <t>7AG96_GR_CCL_1_200_8.500_2003-09-07 (2).pdf</t>
  </si>
  <si>
    <t>7AG96_GR_CCL_1_200_8.500_2003-09-07.pdf</t>
  </si>
  <si>
    <t>7-AG-99-BA</t>
  </si>
  <si>
    <t>7AG99_CONTROLE_DE_CANHONEIO_1_1975-05-28.pdf</t>
  </si>
  <si>
    <t>7AG99_GR_CORRELA€ÇO_TCP_2_200_7.875_1998-02-14 (2).pdf</t>
  </si>
  <si>
    <t>7AG99_GR_CORRELA€ÇO_TCP_2_200_7.875_1998-02-14.pdf</t>
  </si>
  <si>
    <t>7-DJ-704-BA</t>
  </si>
  <si>
    <t>7DJ704_CASING_COLLAR_LOG_AND_PERFORATING_RECORD_2.12.250_1982-07-26.pdf</t>
  </si>
  <si>
    <t>7DJ704_INDUCTION-ELECTRICAL_LOG_1.12.250_1982-06-11.pdf</t>
  </si>
  <si>
    <t>7DJ704_PERFORATING_DEPTH_CONTROL_1_12.250_1982-07-25.pdf</t>
  </si>
  <si>
    <t>7-DJ-705-BA</t>
  </si>
  <si>
    <t>7DJ705_CASING_COLLAR_LOG_AND_PERFORATING_RECORD_1_12.250_1982-08-08.pdf</t>
  </si>
  <si>
    <t>7DJ705_CASING_COLLAR_LOG_AND_PERFORATING_RECORD_2_1982-08-12.pdf</t>
  </si>
  <si>
    <t>7-DJ-828-BA</t>
  </si>
  <si>
    <t>7DJ828_RECONCAVO_CBL-MSG-GR-CCL_1_200_8.750_2009-03-16.pdf</t>
  </si>
  <si>
    <t>8-DJ-748-BA</t>
  </si>
  <si>
    <t>8DJ748_CASING_COLLAR_LOG_AND_PERFORATING_RECORD_1_12.250_1983-03-27.pdf</t>
  </si>
  <si>
    <t>8-DJ-860-BA</t>
  </si>
  <si>
    <t>8DJ860_RECONCAVO_CANHONEIO_1_200_8.500_2012-08-05.pdf</t>
  </si>
  <si>
    <t>8-DJ-862-BA</t>
  </si>
  <si>
    <t>8DJ862_RECONCAVO_CBL-MSG-GR-CCL_1_200_8.500_2012-08-11.pdf</t>
  </si>
  <si>
    <t>8-DJ-863-BA</t>
  </si>
  <si>
    <t>8DJ863_RECONCAVO_CANHONEIO_1_200_8.500_2012-09-01.pdf</t>
  </si>
  <si>
    <t>8DJ863_RECONCAVO_CBL-MSG-GR-CCL_1_200_8.500_2012-08-31.pdf</t>
  </si>
  <si>
    <t>8-DJ-864D-BA</t>
  </si>
  <si>
    <t>8DJ864D_RECONCAVO_CANHONEIO_1_200_8.500_2012-08-10.pdf</t>
  </si>
  <si>
    <t>8DJ864D_RECONCAVO_CBL-MSG-GR-CCL_1_200_8.500_2012-08-10.pdf</t>
  </si>
  <si>
    <t>9-DJ-816P-BA</t>
  </si>
  <si>
    <t>9DJ816P_RECONCAVO_GR-CCL_1_200_6.125_2009-07-03.pdf</t>
  </si>
  <si>
    <t>AG-154-BA</t>
  </si>
  <si>
    <t>AG154_FIELD_PRINT_MICROLOG_CALIPER_1_200_9.625_1961-01-05.pdf</t>
  </si>
  <si>
    <t>AG-155-BA</t>
  </si>
  <si>
    <t>AG155_GAMMA_RAY_NEUTRON_1961-08-02.pdf</t>
  </si>
  <si>
    <t>AG155_MICRO-PERFIL_1_200_9.625_1961-02-14.pdf</t>
  </si>
  <si>
    <t>AG-159-BA</t>
  </si>
  <si>
    <t>AG159_MICRO-PERFIL_1_200_8.625_1961-03-07 (2).pdf</t>
  </si>
  <si>
    <t>AG159_MICRO-PERFIL_1_200_8.625_1961-03-07.pdf</t>
  </si>
  <si>
    <t>AG-160-BA</t>
  </si>
  <si>
    <t>AG160_MICRO-PERFIL_1_200_8.625_1961-03-19.pdf</t>
  </si>
  <si>
    <t>AG-161-BA</t>
  </si>
  <si>
    <t>AG161_FIELD_PRINT_INDUCTION-RESISTIVITY-LOG_2_200_8.625_1961-04-06 (2).pdf</t>
  </si>
  <si>
    <t>AG161_FIELD_PRINT_INDUCTION-RESISTIVITY-LOG_2_200_8.625_1961-04-06.pdf</t>
  </si>
  <si>
    <t>AG161_FIELD_PRINT_INDUCTION-RESISTIVITY_1_200_8.625_1961-03-27.pdf</t>
  </si>
  <si>
    <t>AG-162-BA</t>
  </si>
  <si>
    <t>AG162_FIELD_PRINT_MICRO-CALIPER_LOG_1_200_8.625_1961-04-07 (2).pdf</t>
  </si>
  <si>
    <t>AG162_FIELD_PRINT_MICRO-CALIPER_LOG_1_200_8.625_1961-04-07.pdf</t>
  </si>
  <si>
    <t>AG-164-BA</t>
  </si>
  <si>
    <t>AG164_FIELD_PRINT_MICRO-PERFIL_1_200_8.625_1961-04-18.pdf</t>
  </si>
  <si>
    <t>AG-167-BA</t>
  </si>
  <si>
    <t>AG167_CONTROLE_DE_CANHONEIO_1_1974-11-08.pdf</t>
  </si>
  <si>
    <t>AG167_FIELD_PRINT_MICRO-CALIPER_LOG_1_200_7.875_1961-05-03.pdf</t>
  </si>
  <si>
    <t>AG-168-BA</t>
  </si>
  <si>
    <t>AG168_FIELD_PRINT_MICROLOG-CALIPER_1_7.875_1961-05-18 (2).pdf</t>
  </si>
  <si>
    <t>AG168_FIELD_PRINT_MICROLOG-CALIPER_1_7.875_1961-05-18.pdf</t>
  </si>
  <si>
    <t>AG168_FIELD_PRINT_MICROLOG_CALIPER_1_1961-05-18.pdf</t>
  </si>
  <si>
    <t>AG168__FIELD_PRINT_INDUCTION-ELECTRIC_LOG_1_7.875_1961-05-18.pdf</t>
  </si>
  <si>
    <t>AG-170-BA</t>
  </si>
  <si>
    <t>AG170_CASING_COLLAR_LOG_AND_PERFORATING_RECORD_1_1962-12-14.pdf</t>
  </si>
  <si>
    <t>AG170_CASING_COLLAR_LOG_AND_PERFORATING_RECORD_1_200_8.625_1961-06-24.pdf</t>
  </si>
  <si>
    <t>AG170_CASING_COLLAR_LOG_AND_PERFORATING_RECORD_2_8.625_1961-06-24.pdf</t>
  </si>
  <si>
    <t>AG170_FIELD_PRINT_MICRO_PERFIL_1_200_8.625_1961-06-14.pdf</t>
  </si>
  <si>
    <t>AG-171-BA</t>
  </si>
  <si>
    <t>AG171_CASING_COLLAR_LOG_AND_PERFORATING_RECORD_1_200_8.625_2960-06-24.pdf</t>
  </si>
  <si>
    <t>AG-174-BA</t>
  </si>
  <si>
    <t>AG174_FIELD_PRINT_MICROLOG_1_200_8.625_1961-07-23.pdf</t>
  </si>
  <si>
    <t>AG-188-BA</t>
  </si>
  <si>
    <t>AG188_CASING_COLLAR_LOG_AND_PERFORATING_RECORD_1_200_7.875_1962-01-05.pdf</t>
  </si>
  <si>
    <t>AG188_FIELD_PRINT_MICROLOG_1_1000_7.875_1961-12-31.pdf</t>
  </si>
  <si>
    <t>AG-189-BA</t>
  </si>
  <si>
    <t>AG189__MICROLOG_1_200_8.625_1962-01-20.pdf</t>
  </si>
  <si>
    <t>AG-190-BA</t>
  </si>
  <si>
    <t>AG190_CONTROLE_DE_CANHONEIO_1_1971-10-22.pdf</t>
  </si>
  <si>
    <t>AG190_FIELD_PRINT_MICROLOG_1_200_8.625_1962-01-09.pdf</t>
  </si>
  <si>
    <t>AG-191-BA</t>
  </si>
  <si>
    <t>AG191_FIELD_PRINT_INDUCTION-LOG_1_200_8.625_1962-01-21.pdf</t>
  </si>
  <si>
    <t>AG191__MICROLOG_1_8.625_1962-01-21.pdf</t>
  </si>
  <si>
    <t>AG-193-BA</t>
  </si>
  <si>
    <t>AG193_FIELD_PRINT_INDU€AO_1_200_7.875_1962-02-25.pdf</t>
  </si>
  <si>
    <t>AG-198-BA</t>
  </si>
  <si>
    <t>AG198_(ILEGIVEL).pdf</t>
  </si>
  <si>
    <t>AG198_CEMENT_BOND_LOG_1_200_5.500_1962-10-24.pdf</t>
  </si>
  <si>
    <t>AG-200-BA</t>
  </si>
  <si>
    <t>AG200_CASING_COLLAR_LOG_AND_PERFORATING_RECORD_1_200_1965-08-31.pdf</t>
  </si>
  <si>
    <t>AG-86-BA</t>
  </si>
  <si>
    <t>AG86_CONTROLE_DE_CANHONEIO_2_1975-03-11.pdf</t>
  </si>
  <si>
    <t>AG-92-BA</t>
  </si>
  <si>
    <t>AG92_CONTINUOUS_DIPMETER_1_15.000_1959-06-22.pdf</t>
  </si>
  <si>
    <t>INCOMPLETO.pdf</t>
  </si>
  <si>
    <t>CAIXA 07</t>
  </si>
  <si>
    <t>7-AG-245-BA</t>
  </si>
  <si>
    <t>7AG245_CASING_COLLAR_LOG_AND_PERFORATING_RECORD_1_1979-10-30.pdf</t>
  </si>
  <si>
    <t>7-AG-247D-BA</t>
  </si>
  <si>
    <t>7AG247D_(ILEGIVEL) (2).pdf</t>
  </si>
  <si>
    <t>7AG247D_(ILEGIVEL) (3).pdf</t>
  </si>
  <si>
    <t>7AG247D_(ILEGIVEL) (4).pdf</t>
  </si>
  <si>
    <t>7AG247D_(ILEGIVEL).pdf</t>
  </si>
  <si>
    <t>7AG247D_CEMENT_BOND_LOG_1_1974-08-28.pdf</t>
  </si>
  <si>
    <t>7AG247D_RECONCAVO_ASSENTAMENTO_DE_BPP_1_200_2007-04-02.pdf</t>
  </si>
  <si>
    <t>7AG248_CASING_COLLAR_LOG_AND_PERFORATING_RECORD_1_8.625_1974-11-16.pdf</t>
  </si>
  <si>
    <t>7AG248_CASING_COLLAR_LOG_AND_PERFORATING_RECORD_9.875_1975-10-24.pdf</t>
  </si>
  <si>
    <t>7AG248_CONTROLE_DE_CANHONEIO_1_1974-11-20.pdf</t>
  </si>
  <si>
    <t>7AG248_PERFORATING_DEPTH_CONTROL_1_9.875_1982-12-04.pdf</t>
  </si>
  <si>
    <t>7AG248_REGISTRO_DE_CANHONEIO_CGEL_1_9.875_1994-06-21.pdf</t>
  </si>
  <si>
    <t>7-AG-251-BA</t>
  </si>
  <si>
    <t>7AG251_CANHONEIO_1_200_9.625_2000-10-13 (2).pdf</t>
  </si>
  <si>
    <t>7AG251_CANHONEIO_1_200_9.625_2000-10-13.pdf</t>
  </si>
  <si>
    <t>7-AG-253-BA</t>
  </si>
  <si>
    <t>7AG253_PERFORATING_RECORD_1_200_9.875_1985-07-23 (2).pdf</t>
  </si>
  <si>
    <t>7AG253_PERFORATING_RECORD_1_200_9.875_1985-07-23 (3).pdf</t>
  </si>
  <si>
    <t>7AG253_PERFORATING_RECORD_1_200_9.875_1985-07-23.pdf</t>
  </si>
  <si>
    <t>7-AG-255-BA</t>
  </si>
  <si>
    <t>7AG255_RECONCAVO_CANHONEIO_1_200_9.875_2018-12-26 (2).pdf</t>
  </si>
  <si>
    <t>7AG255_RECONCAVO_CANHONEIO_1_200_9.875_2018-12-26.pdf</t>
  </si>
  <si>
    <t>7-AG-256-BA</t>
  </si>
  <si>
    <t>7AG256_CANHONEIO_1_200_2000-12-14.pdf</t>
  </si>
  <si>
    <t>7AG256_CANHONEIO_1_200_9.625_2000-12-17.pdf</t>
  </si>
  <si>
    <t>7AG256_CASING_COLLAR_LOG_AND_PERFORATING_RECORD_10.750_1979-07-12.pdf</t>
  </si>
  <si>
    <t>7AG256_CASING_COLLAR_LOG_AND_PERFORATING_RECORD_1_9.625_1976-03-03.pdf</t>
  </si>
  <si>
    <t>7AG256_CASING_COLLAR_LOG_AND_PERFORATING_RECORD_1_9.625_1976-04-21.pdf</t>
  </si>
  <si>
    <t>7AG256_CASING_COLLAR_LOG_AND_PERFORATING_RECORD_1_9.625_1979-06-21.pdf</t>
  </si>
  <si>
    <t>7AG256_CASING_COLLAR_LOG_AND_PERFORATING_RECORD_1_9.625_1979-07-02.pdf</t>
  </si>
  <si>
    <t>7AG256_CASING_COLLAR_LOG_AND_PERFORATING_RECORD_1_9.625_1979-07-19.pdf</t>
  </si>
  <si>
    <t>7AG256_CASING_COLLAR_LOG_AND_PERFORATING_RECORD_2_9.625_1976-04-25.pdf</t>
  </si>
  <si>
    <t>7AG256_CASING_COLLAR_LOG_AND_PERFORATING_RECORD_9.625_1979-06-27.pdf</t>
  </si>
  <si>
    <t>7-AG-257-BA</t>
  </si>
  <si>
    <t>7AG257_CANHONEIO_1_200_8.500_2000-03-21 (2).pdf</t>
  </si>
  <si>
    <t>7AG257_CANHONEIO_1_200_8.500_2000-03-21.pdf</t>
  </si>
  <si>
    <t>7AG257_CANHONEIO_1_200_8.500_2001-08-09 (2).pdf</t>
  </si>
  <si>
    <t>7AG257_CANHONEIO_1_200_8.500_2001-08-09.pdf</t>
  </si>
  <si>
    <t>7AG257_CASING_COLLAR_LOG_AND_PERFORATING_RECORD_1_9.875_1976-01-13.pdf</t>
  </si>
  <si>
    <t>7AG257_CONTROLE_DE_PROFUNDIDADE_2_200_7.000_1995-08-03.pdf</t>
  </si>
  <si>
    <t>7AG257_REGISTRO_DE_CANHONEIO_1_200_9.875_1990-11-02.pdf</t>
  </si>
  <si>
    <t>7-AG-258-BA</t>
  </si>
  <si>
    <t>7AG258_RECONCAVO_CANHONEIO_1_200_9.875_2010-04-02.pdf</t>
  </si>
  <si>
    <t>7AG258_REGISTRO_DO_BP_1_200_8.500_1991-05-20 (2).pdf</t>
  </si>
  <si>
    <t>7AG258_REGISTRO_DO_BP_1_200_8.500_1991-05-20.pdf</t>
  </si>
  <si>
    <t>7-AG-259-BA</t>
  </si>
  <si>
    <t>7AG259_CASING_COLLAR_LOG_AND_PERFORATING_RECORD_1_200_9.875_1976-01-26.pdf</t>
  </si>
  <si>
    <t>7AG259_RECONCAVO_CANHONEIO_1_200_9.875_2019-01-02 (2).pdf</t>
  </si>
  <si>
    <t>7AG259_RECONCAVO_CANHONEIO_1_200_9.875_2019-01-02.pdf</t>
  </si>
  <si>
    <t>7AG259_RECONCAVO_TERRA_CANHONEIO_CGEL_1_200_2011-11-27 (2).pdf</t>
  </si>
  <si>
    <t>7AG259_RECONCAVO_TERRA_CANHONEIO_CGEL_1_200_2011-11-27.pdf</t>
  </si>
  <si>
    <t>7AG259_REGISTRO_DE_CANHONEIO_1_8.500_1990-08-11 (2).pdf</t>
  </si>
  <si>
    <t>7AG259_REGISTRO_DE_CANHONEIO_1_8.500_1990-08-11.pdf</t>
  </si>
  <si>
    <t>7-AG-260-BA</t>
  </si>
  <si>
    <t>7AG260_(ILEGIVEL) (1).pdf</t>
  </si>
  <si>
    <t>7AG260_(ILEGIVEL) (2).pdf</t>
  </si>
  <si>
    <t>7AG260_CANHONEIO_CGEL_1_200_2006-11-13 (2).pdf</t>
  </si>
  <si>
    <t>7AG260_CANHONEIO_CGEL_1_200_2006-11-13.pdf</t>
  </si>
  <si>
    <t>7AG260_RECONCAVO_CANHONEIO_1_200_2006-06-30 (2).pdf</t>
  </si>
  <si>
    <t>7AG260_RECONCAVO_CANHONEIO_1_200_2006-06-30.pdf</t>
  </si>
  <si>
    <t>7AG260_RECONCAVO_CANHONEIO_1_200_2012-09-04 (2).pdf</t>
  </si>
  <si>
    <t>7AG260_RECONCAVO_CANHONEIO_1_200_2012-09-04.pdf</t>
  </si>
  <si>
    <t>7-AG-261-BA</t>
  </si>
  <si>
    <t>7AG261_CASING_COLLAR_LOG_AND_PERFORATING_RECORD_1_9.625-1976-02-23.pdf</t>
  </si>
  <si>
    <t>7-AG-262-BA</t>
  </si>
  <si>
    <t>7AG262_CANHONEIO_CGEL_1_200_8.500_2000-09-22 (2).pdf</t>
  </si>
  <si>
    <t>7AG262_CANHONEIO_CGEL_1_200_8.500_2000-09-22.pdf</t>
  </si>
  <si>
    <t>7AG262_TDT-P_CCL_200_1995-10-23.pdf</t>
  </si>
  <si>
    <t>7-AG-265-BA</t>
  </si>
  <si>
    <t>7AG265_CANHONEIO_HSD_3_200_8.500_1999-09-01 (2).pdf</t>
  </si>
  <si>
    <t>7AG265_CANHONEIO_HSD_3_200_8.500_1999-09-01.pdf</t>
  </si>
  <si>
    <t>7AG266_CGEL_1_200_8.500_2003-01-10 (2).pdf</t>
  </si>
  <si>
    <t>7AG266_CGEL_1_200_8.500_2003-01-10.pdf</t>
  </si>
  <si>
    <t>7-AG-269-BA</t>
  </si>
  <si>
    <t>7AG269_CANHONEIO_CGEL_1_200_17.500_1997-04-06 (2).pdf</t>
  </si>
  <si>
    <t>7AG269_CANHONEIO_CGEL_1_200_17.500_1997-04-06.pdf</t>
  </si>
  <si>
    <t>7-AG-311-BA</t>
  </si>
  <si>
    <t>7AG311_(ILEGIVEL) (2).pdf</t>
  </si>
  <si>
    <t>7AG311_(ILEGIVEL).pdf</t>
  </si>
  <si>
    <t>7-AG-312-BA</t>
  </si>
  <si>
    <t>7AG312_RECONCAVO_TERRA_CGEL_1_200_8.500_2012-08-28 (2).pdf</t>
  </si>
  <si>
    <t>7AG312_RECONCAVO_TERRA_CGEL_1_200_8.500_2012-08-28.pdf</t>
  </si>
  <si>
    <t>7-AG-313-BA</t>
  </si>
  <si>
    <t>7AG313_ASSENTAMENTO_DE_BPP_1_200_9.500_1989-06-23.pdf</t>
  </si>
  <si>
    <t>7-AG-314-BA</t>
  </si>
  <si>
    <t>7AG314_(ILEGIVEL).pdf</t>
  </si>
  <si>
    <t>7-AG-315-BA</t>
  </si>
  <si>
    <t>7AG315_CANHONEIO_ASSENTAMENTO_TAMPAO_200_2000-08-04.pdf</t>
  </si>
  <si>
    <t>7-AG-322-BA</t>
  </si>
  <si>
    <t>7AG322_(ILEGIVEL) (2).pdf</t>
  </si>
  <si>
    <t>7AG322_(ILEGIVEL) (3).pdf</t>
  </si>
  <si>
    <t>7AG322_(ILEGIVEL) (4).pdf</t>
  </si>
  <si>
    <t>7AG322_(ILEGIVEL) (5).pdf</t>
  </si>
  <si>
    <t>7AG322_(ILEGIVEL) (6).pdf</t>
  </si>
  <si>
    <t>7AG322_(ILEGIVEL) (7).pdf</t>
  </si>
  <si>
    <t>7AG322_(ILEGIVEL).pdf</t>
  </si>
  <si>
    <t>7AG322_BPP_1_200_8.500_1997-07-25.pdf</t>
  </si>
  <si>
    <t>7AG322_CASING_COLLAR_LOG_AND_PERFOARTING_RECORD_1_8.500_1983-06-27.pdf</t>
  </si>
  <si>
    <t>7AG322_CGEL_CANHONEIO_1_200_8.500_1997-07-24.pdf</t>
  </si>
  <si>
    <t>7AG322_PERFOARTING_DEPTH_CONTROL_1_8.500_1983-06-27.pdf</t>
  </si>
  <si>
    <t>7AG322_RECONCAVO_FLOWMETER_1_200_2007-09-15.pdf</t>
  </si>
  <si>
    <t>7AG331A_ISF-GR_1_200_8.500_1986-02-22.pdf</t>
  </si>
  <si>
    <t>7AG331A_LDL-CNL-NGS_1_200_8.500_1986-02-22.pdf</t>
  </si>
  <si>
    <t>7AG331A_LISTINGS_1_8.500_1986-02-22.pdf</t>
  </si>
  <si>
    <t>7AG331A_NGT_CURVES_1_200_8.500_1986-02-22.pdf</t>
  </si>
  <si>
    <t>7-AG-351-BA</t>
  </si>
  <si>
    <t>7AG351_CBL-VDL-GR-CCL_1_200_12.250_1991-11-01.pdf</t>
  </si>
  <si>
    <t>7AG351_PERFOARTING_DEPTH_CONTROL_1_8.500_1991-11-04.pdf</t>
  </si>
  <si>
    <t>7AG351_PERFOARTING_DEPTH_CONTROL_1_8.500_1992-02-19 (2).pdf</t>
  </si>
  <si>
    <t>7AG351_PERFOARTING_DEPTH_CONTROL_1_8.500_1992-02-19.pdf</t>
  </si>
  <si>
    <t>7AG351_REGISTRO_DE_CANHONEIO_1_200_12.250_1991-11-01.pdf</t>
  </si>
  <si>
    <t>7-C-181-BA</t>
  </si>
  <si>
    <t>1C181_CASING_COLLAR_LOG_AND_PERFORATING_RECORD_1_200_8.500_1978-01-29.pdf</t>
  </si>
  <si>
    <t>7-C-198-BA</t>
  </si>
  <si>
    <t>7C198_CANHONEIO_CGEL1_1_200_13.375_2001-09-25.pdf</t>
  </si>
  <si>
    <t>7C198_CORRELA€AO_CCL_P_CG-EL_5_200_1996-08-24.pdf</t>
  </si>
  <si>
    <t>7C198_RECONCAVO_CANHONEIO_1_200_2012-07-04.pdf</t>
  </si>
  <si>
    <t>7-C-199D-BA</t>
  </si>
  <si>
    <t>7C199D_CEMENT_BOND_LOG_1_8.500_1981-08-14.pdf</t>
  </si>
  <si>
    <t>7-C-215-D-BA</t>
  </si>
  <si>
    <t>7C215D_COMPOSITE_1_12.250_1989-01-11.pdf</t>
  </si>
  <si>
    <t>7-DJ-870-BA</t>
  </si>
  <si>
    <t>7DJ870_CBL-VDL-GR-CCL_1_200_2012-09-25.pdf</t>
  </si>
  <si>
    <t>7DJ870_RECONCAVO_TERRA_CGEL_1_200_8.500_2012-09-27.pdf</t>
  </si>
  <si>
    <t>7-DJ-891D-BA</t>
  </si>
  <si>
    <t>7DJ891D_RECONCAVO_DML_1_200_2015-02-06.pdf</t>
  </si>
  <si>
    <t>7DJ891D_RECONCAVO_TERRA_CBL-MSG-GR-CCL_1_200_8.750_2015-02-05.pdf</t>
  </si>
  <si>
    <t>9-AG-245-BA</t>
  </si>
  <si>
    <t>9AG245_CEMENT_BOND_LOG_1_200_9.875_1973-11-01.pdf</t>
  </si>
  <si>
    <t>9AG245_LPLT_PERFILAGEM_COM_PLT_DE_MEMORIA_1_200_7.875_2009-11-17.pdf</t>
  </si>
  <si>
    <t>PDCL</t>
  </si>
  <si>
    <t>PDCL.pdf</t>
  </si>
  <si>
    <t>7-AG-176-BA</t>
  </si>
  <si>
    <t>CAIXA 08</t>
  </si>
  <si>
    <t>7AG176_(ILEGIVEL).pdf</t>
  </si>
  <si>
    <t>7AG176_200_2007-09-23.pdf</t>
  </si>
  <si>
    <t>7AG176_CANHONEIO_1_200_2003-05-01.pdf</t>
  </si>
  <si>
    <t>7AG176_FLOWMETER_1_200_8.500_2006-04-05.pdf</t>
  </si>
  <si>
    <t>7AG176_FLOWMETER_1_200_8.500_2006-04-27.pdf</t>
  </si>
  <si>
    <t>7AG176_FLOWMETER_1_200_8.500_2006-08-05.pdf</t>
  </si>
  <si>
    <t>7AG176_RECONCAVO_FLOWMETER_1_200_2006-12-14 (2).pdf</t>
  </si>
  <si>
    <t>7AG176_RECONCAVO_FLOWMETER_1_200_2006-12-14.pdf</t>
  </si>
  <si>
    <t>7AG176_RECONCAVO_FLOWMETER_1_200_8.500_2008-11-29.pdf</t>
  </si>
  <si>
    <t>7-AG-178-BA</t>
  </si>
  <si>
    <t>7AG178_CANHONEIO_CGEL_1_200_8.500_2000-08-01 (2).pdf</t>
  </si>
  <si>
    <t>7AG178_CANHONEIO_CGEL_1_200_8.500_2000-08-01.pdf</t>
  </si>
  <si>
    <t>7-AG-181-BA</t>
  </si>
  <si>
    <t>7AG181_CANHONEIO_CGEL_1_200_8.625_1998-05-19.pdf</t>
  </si>
  <si>
    <t>7-AG-182-BA</t>
  </si>
  <si>
    <t>7AG182_(ILEGIVEL) (1).pdf</t>
  </si>
  <si>
    <t>7AG182_(ILEGIVEL) (2).pdf</t>
  </si>
  <si>
    <t>7AG182_CASING_COLLAR_LOG_AND_PERFORATING_RECORD_2_8.625_1977-02-14 (2).pdf</t>
  </si>
  <si>
    <t>7AG182_CASING_COLLAR_LOG_AND_PERFORATING_RECORD_2_8.625_1977-02-14.pdf</t>
  </si>
  <si>
    <t>7-AG-186-BA</t>
  </si>
  <si>
    <t>7AG186_CANHONEIO_CGEL_200_8.625_1997-08-31 (2).pdf</t>
  </si>
  <si>
    <t>7AG186_CANHONEIO_CGEL_200_8.625_1997-08-31.pdf</t>
  </si>
  <si>
    <t>7AG186_PDCL_200_8.625_1997-08-31 (2).pdf</t>
  </si>
  <si>
    <t>7AG186_PDCL_200_8.625_1997-08-31.pdf</t>
  </si>
  <si>
    <t>7-AG-187-BA</t>
  </si>
  <si>
    <t>7AG187_REGISTRO_DE_CANHONEIO_CG-EL_2007.875_1992-02-07 (2).pdf</t>
  </si>
  <si>
    <t>7AG187_REGISTRO_DE_CANHONEIO_CG-EL_2007.875_1992-02-07.pdf</t>
  </si>
  <si>
    <t>7AG194_FLOWMETER_1_1000_8.500_2005-08-06.pdf</t>
  </si>
  <si>
    <t>7AG194_PDCL_1_200_8.500_2003-12-12.pdf</t>
  </si>
  <si>
    <t>7AG194_RECONCAVO_FLOWMETER_1_200_2006-12-18.pdf</t>
  </si>
  <si>
    <t>7AG194_RECONCAVO_FLOWMETER_1_200_8.500_2008-04-26 (2).pdf</t>
  </si>
  <si>
    <t>7AG194_RECONCAVO_FLOWMETER_1_200_8.500_2008-04-26.pdf</t>
  </si>
  <si>
    <t>7-AG-21-BA</t>
  </si>
  <si>
    <t>7AG21_CANHONEIO_CGEL_1_200_1997-11-26 (2).pdf</t>
  </si>
  <si>
    <t>7AG21_CANHONEIO_CGEL_1_200_1997-11-26.pdf</t>
  </si>
  <si>
    <t>7AG21_PDCL_1_200_1997-11-26 (2).pdf</t>
  </si>
  <si>
    <t>7AG21_PDCL_1_200_1997-11-26.pdf</t>
  </si>
  <si>
    <t>7-AG-22-BA</t>
  </si>
  <si>
    <t>7AG22_GAMMA_RAY_CCL_1_200_8.500_1999-08-25 (2).pdf</t>
  </si>
  <si>
    <t>7AG22_GAMMA_RAY_CCL_1_200_8.500_1999-08-25 (3).pdf</t>
  </si>
  <si>
    <t>7AG22_GAMMA_RAY_CCL_1_200_8.500_1999-08-25 (4).pdf</t>
  </si>
  <si>
    <t>7AG22_GAMMA_RAY_CCL_1_200_8.500_1999-08-25.pdf</t>
  </si>
  <si>
    <t>7-AG-25-BA</t>
  </si>
  <si>
    <t>7AG25_PHASED_ENERJET_1_200_8.000_1999-11-22.pdf</t>
  </si>
  <si>
    <t>7AG25_PHASED_ENERJET_1_200_8.500_1999-11-24 (2).pdf</t>
  </si>
  <si>
    <t>7AG25_PHASED_ENERJET_1_200_8.500_1999-11-24.pdf</t>
  </si>
  <si>
    <t>7-AG-26-BA</t>
  </si>
  <si>
    <t>7AG26_(ILEGIVEL) (2).pdf</t>
  </si>
  <si>
    <t>7AG26_(ILEGIVEL) (3).pdf</t>
  </si>
  <si>
    <t>7AG26_(ILEGIVEL).pdf</t>
  </si>
  <si>
    <t>7-AG-29-BA</t>
  </si>
  <si>
    <t>7AG29_CANHONEIO_1983-11-14 (2).pdf</t>
  </si>
  <si>
    <t>7AG29_CANHONEIO_1983-11-14.pdf</t>
  </si>
  <si>
    <t>7-AG-30-BA</t>
  </si>
  <si>
    <t>7AG30_CASING_COLLAR_LOG_AND_PERFORATING_RECORD_1_1974-07-04.pdf</t>
  </si>
  <si>
    <t>7AG30_PFC_CONTROLE_DE_CANHONEIO_1_1974-06-21.pdf</t>
  </si>
  <si>
    <t>7-AG-34-BA</t>
  </si>
  <si>
    <t>7AG34_CANHONEIO_CGEL_1_200_10.625_2004-07-31 (2).pdf</t>
  </si>
  <si>
    <t>7AG34_CANHONEIO_CGEL_1_200_10.625_2004-07-31.pdf</t>
  </si>
  <si>
    <t>7-AG-36-BA</t>
  </si>
  <si>
    <t>7AG36_CANHONEIO_CGEL_1_200_1998-04-11 (2).pdf</t>
  </si>
  <si>
    <t>7AG36_CANHONEIO_CGEL_1_200_1998-04-11.pdf</t>
  </si>
  <si>
    <t>7-AG-37-BA</t>
  </si>
  <si>
    <t>7AG37_ASSENTAMENTO_DE_TAMPAO_1_1973-03-05 (2).pdf</t>
  </si>
  <si>
    <t>7AG37_ASSENTAMENTO_DE_TAMPAO_1_1973-03-05 (3).pdf</t>
  </si>
  <si>
    <t>7AG37_ASSENTAMENTO_DE_TAMPAO_1_1973-03-05.pdf</t>
  </si>
  <si>
    <t>7-AG-43-BA</t>
  </si>
  <si>
    <t>7AG43_PERFORATING_DEPTH_CONTROL_1_8.625_1973-08-25.pdf</t>
  </si>
  <si>
    <t>7-AG-44-BA</t>
  </si>
  <si>
    <t>7AG44_CASING_COLLAR_LOG_AND_PERFORATING_RECORD_1_200_1977-02-27.pdf</t>
  </si>
  <si>
    <t>7-AG-47-BA</t>
  </si>
  <si>
    <t>7AG47_(ILEGIVEL) (2).pdf</t>
  </si>
  <si>
    <t>7AG47_(ILEGIVEL).pdf</t>
  </si>
  <si>
    <t>7AG67_FLOWMETER_1_200_8.500_2005-08-19 (2).pdf</t>
  </si>
  <si>
    <t>7AG67_FLOWMETER_1_200_8.500_2005-08-19.pdf</t>
  </si>
  <si>
    <t>7AG67_PERFIL_DE_FLUXO_1_200_2010-11-08.pdf</t>
  </si>
  <si>
    <t>7AG67_PERFIL_DE_FLUXO_1_200_2014-05-04 (2).pdf</t>
  </si>
  <si>
    <t>7AG67_PERFIL_DE_FLUXO_1_200_2014-05-04.pdf</t>
  </si>
  <si>
    <t>7-AG-68-BA</t>
  </si>
  <si>
    <t>7AG68_(ILEGIVEL) (1).pdf</t>
  </si>
  <si>
    <t>7AG68_(ILEGIVEL) (2).pdf</t>
  </si>
  <si>
    <t>7-AG-70-BA</t>
  </si>
  <si>
    <t>7AG70_REGISTRO_DE_ASSENTAMENTO_BPP_200_8.625_1990-09-17 (2).pdf</t>
  </si>
  <si>
    <t>7AG70_REGISTRO_DE_ASSENTAMENTO_BPP_200_8.625_1990-09-17.pdf</t>
  </si>
  <si>
    <t>7AG70_REGISTRO_DE_CANHONEIO_2_200_8.625_1990-09-17 (2).pdf</t>
  </si>
  <si>
    <t>7AG70_REGISTRO_DE_CANHONEIO_2_200_8.625_1990-09-17.pdf</t>
  </si>
  <si>
    <t>7-AG-71-BA</t>
  </si>
  <si>
    <t>7AG71_CONTROLE_DE_CANHONEIO_1_1974-03-18.pdf</t>
  </si>
  <si>
    <t>7AG71_RECONCAVO_CANHONEIO_1_200_2006-11-01 (2).pdf</t>
  </si>
  <si>
    <t>7AG71_RECONCAVO_CANHONEIO_1_200_2006-11-01.pdf</t>
  </si>
  <si>
    <t>7-AG-77-BA</t>
  </si>
  <si>
    <t>7AG77_CASING_COLLAR_LOG_AND_PERFORATING_RECORD_1_7.875_1976-02-27.pdf</t>
  </si>
  <si>
    <t>7AG77_CONTROLE_DE_PROFUNDIDADE_1_200_7.875_1996-02-06.pdf</t>
  </si>
  <si>
    <t>7AG77_RECONCAVO_CANHONEIO_1_200_7.875_2019-02-09 (2).pdf</t>
  </si>
  <si>
    <t>7AG77_RECONCAVO_CANHONEIO_1_200_7.875_2019-02-09.pdf</t>
  </si>
  <si>
    <t>7-AG-78-BA</t>
  </si>
  <si>
    <t>7AG78_CASING_COLLAR_LOG_AND_PERFORATING_RECORD_3_200_1973-11-28 (2).pdf</t>
  </si>
  <si>
    <t>7AG78_CASING_COLLAR_LOG_AND_PERFORATING_RECORD_3_200_1973-11-28.pdf</t>
  </si>
  <si>
    <t>7AG78_CONTROLE_DE_CANHONEIO_1_5.500_1974-09-30.pdf</t>
  </si>
  <si>
    <t>7AG78_PACKER_PERMANENTE_2_200_1990-11-05 (2).pdf</t>
  </si>
  <si>
    <t>7AG78_PACKER_PERMANENTE_2_200_1990-11-05.pdf</t>
  </si>
  <si>
    <t>7-AG-82-BA</t>
  </si>
  <si>
    <t>7AG82_(ILEGIVEL).pdf</t>
  </si>
  <si>
    <t>7AG84_(ILEGIVEL) (3).pdf</t>
  </si>
  <si>
    <t>7AG84_(ILEGIVEL) (4).pdf</t>
  </si>
  <si>
    <t>70-AG-181-BA</t>
  </si>
  <si>
    <t>70AG181_(ILEGIVEL) (1).pdf</t>
  </si>
  <si>
    <t>70AG181_(ILEGIVEL) (2).pdf</t>
  </si>
  <si>
    <t>AG-0084-BA</t>
  </si>
  <si>
    <t>AG0084_PERFIL_DE_FLUXO_1_200_2011-02-13.pdf</t>
  </si>
  <si>
    <t>AG-176-BA</t>
  </si>
  <si>
    <t>AG176_CEMENT_BOND_LOG_1_5.500_1961-11-02.pdf</t>
  </si>
  <si>
    <t>AG176_FIELD_PRINT_MICROLOG_200_8.625_1961-08-01.pdf</t>
  </si>
  <si>
    <t>AG176_FIELD_PRINT_MICROLOG_8.625_1961-08-02.pdf</t>
  </si>
  <si>
    <t>AG-177-BA</t>
  </si>
  <si>
    <t>AG177_FIELD_PRINT_MICROLOG_1_200_8.625_1961-08-21.pdf</t>
  </si>
  <si>
    <t>AG177_GAMMA_RAY_1_200_1963-04-06.pdf</t>
  </si>
  <si>
    <t>AG-179-BA</t>
  </si>
  <si>
    <t>AG179_MICRO-PERFIL_1_200_8.625_1961-09-07.pdf</t>
  </si>
  <si>
    <t>AG-181-BA</t>
  </si>
  <si>
    <t>AG181_FIELD_PRINT_MICROLOG_1_200_8.625_1961-09-23.pdf</t>
  </si>
  <si>
    <t>AG181_PERFIL_ELETRICO-INDU€AO_1_1000_8.625_1961-09-23.pdf</t>
  </si>
  <si>
    <t>AG-182-BA</t>
  </si>
  <si>
    <t>AG182_FIELD_PRINT_INDUCTION-ELECTRICAL_LOG_1_8.625_1961-10-26.pdf</t>
  </si>
  <si>
    <t>AG-183-BA</t>
  </si>
  <si>
    <t>AG183_FIELD_PRINT_INDUCTION_1_7.875_1961-10-25.pdf</t>
  </si>
  <si>
    <t>AG183_FIELD_PRINT_MICROLOG_1_200_7.875_1961-10-25.pdf</t>
  </si>
  <si>
    <t>AG183_FIELD_PRINT_MICROLOG_1_7.875_1961-10-25.pdf</t>
  </si>
  <si>
    <t>AG-184-BA</t>
  </si>
  <si>
    <t>AG184_FIELD_PRINT_INDUCTION_1_200_8.625_1961-11-02.pdf</t>
  </si>
  <si>
    <t>AG-185-BA</t>
  </si>
  <si>
    <t>AG185_MICRO-PERFIL_1_200_7-875_1961-12-01.pdf</t>
  </si>
  <si>
    <t>AG-186-BA</t>
  </si>
  <si>
    <t>AG186_CASING_COLLAR_LOG_AND_PERFORATING_RECORD_1_200_8.625_1977-12-02 (2).pdf</t>
  </si>
  <si>
    <t>AG186_CASING_COLLAR_LOG_AND_PERFORATING_RECORD_1_200_8.625_1977-12-02.pdf</t>
  </si>
  <si>
    <t>AG186_FIELD_PRINT_INDUCTION_1_1000_8.625_1961-12-10 (2).pdf</t>
  </si>
  <si>
    <t>AG186_FIELD_PRINT_INDUCTION_1_1000_8.625_1961-12-10.pdf</t>
  </si>
  <si>
    <t>AG186_FIELD_PRINT_MICROLOG_1_200_8.625_1961-12-10.pdf</t>
  </si>
  <si>
    <t>AG-187-BA</t>
  </si>
  <si>
    <t>AG187_FIELD_PRINT_INDUCTION_1_1000_8.625_1961-12-09.pdf</t>
  </si>
  <si>
    <t>AG-28-BA</t>
  </si>
  <si>
    <t>AG28_PERFIL_DE_RAIOS_GAMMA_NEUTRAO_1_1971-02-24 (2).pdf</t>
  </si>
  <si>
    <t>AG28_PERFIL_DE_RAIOS_GAMMA_NEUTRAO_1_1971-02-24.pdf</t>
  </si>
  <si>
    <t>AG-29-BA</t>
  </si>
  <si>
    <t>AG29_CASING_COLLAR_LOG_AND_PERFORATING_RECORD_1_1973-04-28.pdf</t>
  </si>
  <si>
    <t>AG-70-BA</t>
  </si>
  <si>
    <t>AG70_(ILEGIVEL).pdf</t>
  </si>
  <si>
    <t>AG-78-BA</t>
  </si>
  <si>
    <t>AG78_CONTROLE_DE_CANHONEIO_1_5.500_1974-10-05.pdf</t>
  </si>
  <si>
    <t>1-MG-P-1-BA</t>
  </si>
  <si>
    <t>MIRANGA</t>
  </si>
  <si>
    <t>CAIXA 09</t>
  </si>
  <si>
    <t>1MGP1_CASING_COLLAR_LOG_AND_PERFORATING_RECORD_1_12.250_1982-06-18.pdf</t>
  </si>
  <si>
    <t>1MGP1_CASING_COLLAR_LOG_AND_PERFORATING_RECORD_200_10.250_1979-06-19.pdf</t>
  </si>
  <si>
    <t>1MGP1_CASING_COLLAR_LOG_AND_PERFORATING_RECORD_200_12.250_1979-06-25.pdf</t>
  </si>
  <si>
    <t>1MGP1_CEMENT_BOND_LOG_1_200_12.250_1979-06-19 (2).pdf</t>
  </si>
  <si>
    <t>1MGP1_CEMENT_BOND_LOG_1_200_12.250_1979-06-19.pdf</t>
  </si>
  <si>
    <t>1-MGO-1-BA</t>
  </si>
  <si>
    <t>1MGO1_CANHAO_CGEL_1_200_8.500_2000-12-25.pdf</t>
  </si>
  <si>
    <t>1MGO1_CANHAO_DE_SQUEEZE_1_200_8.500_2000-12-23.pdf</t>
  </si>
  <si>
    <t>1MGO1_CBL-VDL-GR-CCL_1_200_8.500_2000-12-23.pdf</t>
  </si>
  <si>
    <t>1MGO1_COMPOSITE_200_2000-12-15.pdf</t>
  </si>
  <si>
    <t>1-MGP-1-BA</t>
  </si>
  <si>
    <t>1MGP1_BPP_1_200_12.250_1999-07-09.pdf</t>
  </si>
  <si>
    <t>1MGP1_CANHONEIO-HSD_2_200_8.000_1999-07-09.pdf</t>
  </si>
  <si>
    <t>1MGP1_CANHONEIO_CGEL_1_200_9.625_2003-10-10 (2).pdf</t>
  </si>
  <si>
    <t>1MGP1_CANHONEIO_CGEL_1_200_9.625_2003-10-10.pdf</t>
  </si>
  <si>
    <t>3-MGP-19-BA</t>
  </si>
  <si>
    <t>3MGP19_COMPOSITE_LOG_2_200_8.500_1987-03-28 (2).pdf</t>
  </si>
  <si>
    <t>3MGP19_COMPOSITE_LOG_2_200_8.500_1987-03-28.pdf</t>
  </si>
  <si>
    <t>3-MGP-20-BA</t>
  </si>
  <si>
    <t>3MGP20_BPP_1_12.250_1987-06-20.pdf</t>
  </si>
  <si>
    <t>3MGP20_CONTROLE_DE_PROFUNDIDADE_CGEL_1_200_12.250_1995-11-18.pdf</t>
  </si>
  <si>
    <t>3MGP20_CONTROLE_DE_PROFUNDIDADE_CGEL_1_200_12.250_1995-11-20.pdf</t>
  </si>
  <si>
    <t>3MGP20_CONTROLE_DE_PROFUNDIDADE_CGEL_2_200_12.250_1995-11-23.pdf</t>
  </si>
  <si>
    <t>3-MGP-3-BA</t>
  </si>
  <si>
    <t>3MGP3_SQUEEZE_1_8.500_2000-06-25 (2).pdf</t>
  </si>
  <si>
    <t>3MGP3_SQUEEZE_1_8.500_2000-06-25.pdf</t>
  </si>
  <si>
    <t>7-MG-306-BA</t>
  </si>
  <si>
    <t>7MG306_CASING_COLLAR_LOG_AND_PERFORATING_RECORD_1_1982-01-07.pdf</t>
  </si>
  <si>
    <t>7MG306_RECONCAVO_CANHONEIO_1_200_2004-06-11.pdf</t>
  </si>
  <si>
    <t>7-MG-313-BA</t>
  </si>
  <si>
    <t>7MG313_CANHONEIO_CGEL_1_200_9.875_2000-10-04.pdf</t>
  </si>
  <si>
    <t>7-MG-315-BA</t>
  </si>
  <si>
    <t>7MG315_RECONCAVO_CANHONEIO_1_200_2013-11-29 (2).pdf</t>
  </si>
  <si>
    <t>7MG315_RECONCAVO_CANHONEIO_1_200_2013-11-29.pdf</t>
  </si>
  <si>
    <t>7-MG-322-BA</t>
  </si>
  <si>
    <t>7MG322_CG-EL_2_1982-08-29.pdf</t>
  </si>
  <si>
    <t>7-MG-323-BA</t>
  </si>
  <si>
    <t>7MG323_BOND_INDEX_LOG_1_9.500_1982-09-24.pdf</t>
  </si>
  <si>
    <t>7-MG-324A-BA</t>
  </si>
  <si>
    <t>7MG324A_CALIPER_1_200_17.500_1983-03-17.pdf</t>
  </si>
  <si>
    <t>7MG324A_FDC_GR_1_200_12.250_1983-04-29.pdf</t>
  </si>
  <si>
    <t>7MG324A_ISF-BHC-GR_2_200_12.250_1983-04-29.pdf</t>
  </si>
  <si>
    <t>7MG324A_ISF_LINEAL_1_200_17.500_1983-03-17.pdf</t>
  </si>
  <si>
    <t>7MG324A_PDCL_1_200_1996-10-04.pdf</t>
  </si>
  <si>
    <t>7-MG-327-BA</t>
  </si>
  <si>
    <t>7MG327_RECONCAVO_CANHONEIO_1_200_2006-01-20.pdf</t>
  </si>
  <si>
    <t>7MG327_SHOOTING_RECORD_1_9.500_1982-12-21.pdf</t>
  </si>
  <si>
    <t>7-MG-334-BA</t>
  </si>
  <si>
    <t>7MG334_CANHONEIO_1_10.750_1983-06-11.pdf</t>
  </si>
  <si>
    <t>7-MG-339-BA</t>
  </si>
  <si>
    <t>7MG339_CANHONEIO_CGEL_1_200_10.750_1988-01-14.pdf</t>
  </si>
  <si>
    <t>7MG339_CANHONEIO_CGEL_1_200_8.500_2001-12-24 (2).pdf</t>
  </si>
  <si>
    <t>7MG339_CANHONEIO_CGEL_1_200_8.500_2001-12-24.pdf</t>
  </si>
  <si>
    <t>7MG339_CANHONEIO_CGEL_1_200_8.500_2001-12-25 (2).pdf</t>
  </si>
  <si>
    <t>7MG339_CANHONEIO_CGEL_1_200_8.500_2001-12-25.pdf</t>
  </si>
  <si>
    <t>7MG339_CG-EL_2_200_9.500_1990-03-27.pdf</t>
  </si>
  <si>
    <t>7-MG-340-BA</t>
  </si>
  <si>
    <t>7MG340_CANHONEIO_CGEL_1_200_8.000_2000-06-01.pdf</t>
  </si>
  <si>
    <t>7-MG-342-BA</t>
  </si>
  <si>
    <t>7MG342_SQUEEZE_1_200_8.500_1990-08-02.pdf</t>
  </si>
  <si>
    <t>7-MG-349-BA</t>
  </si>
  <si>
    <t>7MG349_CG-EL_1_200_9.500_1988-06-03.pdf</t>
  </si>
  <si>
    <t>7-MG-357-BA</t>
  </si>
  <si>
    <t>7MG357_CBL_VDL_GR_CCL_1_200_8.500_2005-09-28.pdf</t>
  </si>
  <si>
    <t>7-MG-358-BA</t>
  </si>
  <si>
    <t>7MG358_(ILEGIVEL).pdf</t>
  </si>
  <si>
    <t>7-MG-359-BA</t>
  </si>
  <si>
    <t>7MG359_REGISTRO_DE_CANHONEIO_1_200_8.500_1990-09-12.pdf</t>
  </si>
  <si>
    <t>7-MG-367-BA</t>
  </si>
  <si>
    <t>7MG367_ISF-GR_1_200_9.500_1985-04-10.pdf</t>
  </si>
  <si>
    <t>7-MG-377-BA</t>
  </si>
  <si>
    <t>7MG377_RECONCAVO_TERRA_CGEL_1_200_2011-04-11.pdf</t>
  </si>
  <si>
    <t>7-MG-379-BA</t>
  </si>
  <si>
    <t>7MG379_BPP-CANHONEIO_CGEL_2_200_8.500_1998-06-29.pdf</t>
  </si>
  <si>
    <t>7MG379_REGISTRO_DE_CANHONEIO_1_240_1992-06-15.pdf</t>
  </si>
  <si>
    <t>7-MG-383-BA</t>
  </si>
  <si>
    <t>7MG383_CANHONEIO_CGEL_1_200_8.500_2004-06-02.pdf</t>
  </si>
  <si>
    <t>7MG383_REGISTRO_DE_CANHONEIO_E_BPP_1_240_8.500_1991-11-05.pdf</t>
  </si>
  <si>
    <t>7-MG-395-BA</t>
  </si>
  <si>
    <t>7MG395_CANHONEIO_CGEL_1_200_8.500_1999-11-23.pdf</t>
  </si>
  <si>
    <t>7-MG-402-BA</t>
  </si>
  <si>
    <t>7MG402_ASSENATAMENTO_DE_BPP_1_200_2005-12-31 (2).pdf</t>
  </si>
  <si>
    <t>7MG402_ASSENATAMENTO_DE_BPP_1_200_2005-12-31.pdf</t>
  </si>
  <si>
    <t>7MG402_ASSENATAMENTO_DE_BPP_1_240_1992-10-03.pdf</t>
  </si>
  <si>
    <t>7MG402_CANHONEIO_CGEL_1_200_8.500_2000-12-24.pdf</t>
  </si>
  <si>
    <t>7MG402_CANHONEIO_CONVENCIONAL_1_200_2011-06-30 (2).pdf</t>
  </si>
  <si>
    <t>7MG402_CANHONEIO_CONVENCIONAL_1_200_2011-06-30.pdf</t>
  </si>
  <si>
    <t>7MG402_REGISTRO_DE_CANHONEIO_1_240_1992-10-03.pdf</t>
  </si>
  <si>
    <t>7-MG-408-BA</t>
  </si>
  <si>
    <t>7MG408_RECONCAVO_CANOHNEIO_1_200_2008-08-08.pdf</t>
  </si>
  <si>
    <t>7MG408_RECONCAVO_CANOHNEIO_1_200_9.500_2021-10-26 (2).pdf</t>
  </si>
  <si>
    <t>7MG408_RECONCAVO_CANOHNEIO_1_200_9.500_2021-10-26.pdf</t>
  </si>
  <si>
    <t>7-MG-414-BA</t>
  </si>
  <si>
    <t>7MG414_GR-CCL_1_200_2011-06-16.pdf</t>
  </si>
  <si>
    <t>7MG414_PERFIL_GR-CCL_1_200_2011-05-18.pdf</t>
  </si>
  <si>
    <t>7-MGN-0008-BA</t>
  </si>
  <si>
    <t>7MGN8_GR-CCL-RBL-VDL_1_200_2011-04-18.pdf</t>
  </si>
  <si>
    <t>7-MGN-19-BA</t>
  </si>
  <si>
    <t>7MGN19_RECONCAVO_TUBING_PUNCHER_1_200_2019-06-28 (2).pdf</t>
  </si>
  <si>
    <t>7MGN19_RECONCAVO_TUBING_PUNCHER_1_200_2019-06-28.pdf</t>
  </si>
  <si>
    <t>7-MGN-9-BA</t>
  </si>
  <si>
    <t>7MGN9_CASING_COLLAR_LOG_AND_PERFORATING_RECORD_1_9.875_1974-06-26.pdf</t>
  </si>
  <si>
    <t>7-MGP-07-BA</t>
  </si>
  <si>
    <t>7MGP07_BPP_CANHONEIO_CGEL_1_200_8.500_1998-06-22 (2).pdf</t>
  </si>
  <si>
    <t>7MGP07_BPP_CANHONEIO_CGEL_1_200_8.500_1998-06-22.pdf</t>
  </si>
  <si>
    <t>7-MGP-10-BA</t>
  </si>
  <si>
    <t>7MGP10_CANHONEIO_HSD_1_200_10.750_1997-10-16 (2).pdf</t>
  </si>
  <si>
    <t>7MGP10_CANHONEIO_HSD_1_200_10.750_1997-10-16.pdf</t>
  </si>
  <si>
    <t>7-MGP-11-BA</t>
  </si>
  <si>
    <t>7MGP11_PACKER_PERMANENTE_1_200_8.500_2000-06-12 (2).pdf</t>
  </si>
  <si>
    <t>7MGP11_PACKER_PERMANENTE_1_200_8.500_2000-06-12.pdf</t>
  </si>
  <si>
    <t>7MGP11_REGISTRO_DE_CANHONEIO_1_200_9.500_1993-02-02.pdf</t>
  </si>
  <si>
    <t>7-MGP-12-BA</t>
  </si>
  <si>
    <t>7MGP12_SQUEEZE_2_200_8.500_1991-01-26.pdf</t>
  </si>
  <si>
    <t>7-MGP-13-BA</t>
  </si>
  <si>
    <t>7MGP13_CANHONEIO_CGEL_1_200_8.500_1999-09-21 (2).pdf</t>
  </si>
  <si>
    <t>7MGP13_CANHONEIO_CGEL_1_200_8.500_1999-09-21.pdf</t>
  </si>
  <si>
    <t>7MGP13_RECONCAVO_ASSENTAMENTO_DE_BPP_1_200_2006-01-09 (2).pdf</t>
  </si>
  <si>
    <t>7MGP13_RECONCAVO_ASSENTAMENTO_DE_BPP_1_200_2006-01-09.pdf</t>
  </si>
  <si>
    <t>7MGP13_RECONCAVO_CBL-MSG-GR-CCL_1_200_2006-01-09 (2).pdf</t>
  </si>
  <si>
    <t>7MGP13_RECONCAVO_CBL-MSG-GR-CCL_1_200_2006-01-09.pdf</t>
  </si>
  <si>
    <t>7-MGP-14-BA</t>
  </si>
  <si>
    <t>7MGP14_HSD_CEMENT_RETAINER_1_240_1992-10-16.pdf</t>
  </si>
  <si>
    <t>7-MGP-15-BA</t>
  </si>
  <si>
    <t>7MGP15_BPP_1_200_8.500_1999-09-06 (2).pdf</t>
  </si>
  <si>
    <t>7MGP15_BPP_1_200_8.500_1999-09-06.pdf</t>
  </si>
  <si>
    <t>7-MGP-18-BA</t>
  </si>
  <si>
    <t>7MGP18_CANHONEIO_ALTA_PENETRA€AO_1_8.500_2001-03-24 (2).pdf</t>
  </si>
  <si>
    <t>7MGP18_CANHONEIO_ALTA_PENETRA€AO_1_8.500_2001-03-24.pdf</t>
  </si>
  <si>
    <t>7-MGP-28-BA</t>
  </si>
  <si>
    <t>7MGP28_ASSENTAMENTO_BPP_1_200_1998-01-19.pdf</t>
  </si>
  <si>
    <t>7MGP28_BPP_A_CABO_1_200_8.500_1998-01-21.pdf</t>
  </si>
  <si>
    <t>7MGP28_CANHNEIO_CGEL_1_200_8.500_1998-01-21.pdf</t>
  </si>
  <si>
    <t>7MGP28_RECONCAVO_CORRELA€AO_1_200_8.500_2002-10-26.pdf</t>
  </si>
  <si>
    <t>7-MGP-30-BA</t>
  </si>
  <si>
    <t>7MGP30_BPP-CANHONEIO_CGEL_1_200_1997-12-29.pdf</t>
  </si>
  <si>
    <t>7-MGP-32-BA</t>
  </si>
  <si>
    <t>7MGP32_CBL_VDL_GR_CCL_1_200_8.500_1995-12-28.pdf</t>
  </si>
  <si>
    <t>7MGP32_CONTROLE_DE_PROFUNDIDADE_1_200_1995-12-29.pdf</t>
  </si>
  <si>
    <t>7MGP32_CONTROLE_DE_PROFUNDIDADE_1_200_8.500_1995-12-29.pdf</t>
  </si>
  <si>
    <t>7-MGP-33D-BA</t>
  </si>
  <si>
    <t>7MGP33D_BPP-CANHONEIO_2_200_1998-01-07.pdf</t>
  </si>
  <si>
    <t>7MGP33D_CANHONEIO_CGEL_1_200_8.500_1988-01-05.pdf</t>
  </si>
  <si>
    <t>7MGP33D_CANHONEIO_CGEL_1_200_8.500_1998-01-05.pdf</t>
  </si>
  <si>
    <t>7MGP33D_CBL-VDL-GR-CCL_1_200_8.500_1998-01-04 (1).pdf</t>
  </si>
  <si>
    <t>7MGP33D_CBL-VDL-GR-CCL_1_200_8.500_1998-01-04.pdf</t>
  </si>
  <si>
    <t>7-MGP-40D-BA</t>
  </si>
  <si>
    <t>7MGP40D_COMPOSITE_3_200_8.500_2000-07-17.pdf</t>
  </si>
  <si>
    <t>7-MGP-47D-BA</t>
  </si>
  <si>
    <t>7MGP47D_CBL_VDL_GR_CCL_1_200_8.500_2002-11-11.pdf</t>
  </si>
  <si>
    <t>7MGP47D_CGELE_1_200_8.500_2002-11-13.pdf</t>
  </si>
  <si>
    <t>7MGP47D_HSD_1_200_8.500_2002-11-11 (2).pdf</t>
  </si>
  <si>
    <t>7MGP47D_HSD_1_200_8.500_2002-11-11.pdf</t>
  </si>
  <si>
    <t>7-MGP-5-BA</t>
  </si>
  <si>
    <t>7MGP5_CANHONEIO_CGEL_1_200_8.000_1999-05-30 (2).pdf</t>
  </si>
  <si>
    <t>7MGP5_CANHONEIO_CGEL_1_200_8.000_1999-05-30.pdf</t>
  </si>
  <si>
    <t>7-MPG-9-BA</t>
  </si>
  <si>
    <t>7MGP9_CANHONEIO_CGEL_1_200_9.500_1998-12-06.pdf</t>
  </si>
  <si>
    <t>8-MG-308-BA</t>
  </si>
  <si>
    <t>8MG308_CASING_COLLAR_LOG_AND_PERFORATING_RECORD_9.875_1982-01-08.pdf</t>
  </si>
  <si>
    <t>9-MG-311-BA</t>
  </si>
  <si>
    <t>9MG311_CCL_1_1982-03-05.pdf</t>
  </si>
  <si>
    <t>9MG311_RECONCAVO_CCANHONEIO_CGEL_1_200_2011-11-09.pdf</t>
  </si>
  <si>
    <t>9-MG-313-BA</t>
  </si>
  <si>
    <t>9MG313_(ILEGIVEL).pdf</t>
  </si>
  <si>
    <t>9MG313_CASING_COLLAR_LOG_AND_PERFOARTING_RECORD_1_9.875_1982-03-22.pdf</t>
  </si>
  <si>
    <t>9MG313_CONTROLE_DE_CANHONEIO_1_1990-02-20.pdf</t>
  </si>
  <si>
    <t>MGP-1-BA</t>
  </si>
  <si>
    <t>MGP1_(ILEGIVEL).pdf</t>
  </si>
  <si>
    <t>1-FO-1-BA</t>
  </si>
  <si>
    <t>CAIXA 10</t>
  </si>
  <si>
    <t>1FO1_RECONCAVO_CANHONEIO_1_200_2006-10-26 (2).pdf</t>
  </si>
  <si>
    <t>1FO1_RECONCAVO_CANHONEIO_1_200_2006-10-26.pdf</t>
  </si>
  <si>
    <t>3-JA-31-BA</t>
  </si>
  <si>
    <t>3JA31_BPP_1_200_12.250_1998-10-06.pdf</t>
  </si>
  <si>
    <t>3JA31_CGEL_1_200_12.000_1998-10-07.pdf</t>
  </si>
  <si>
    <t>3JA31_GR_CCL_2_200_8.000_1998-10-06.pdf</t>
  </si>
  <si>
    <t>3-JA-35-BA</t>
  </si>
  <si>
    <t>3JA35_CBL-VDL-GR-CCL_1_200_8.500_1988-11-17.pdf</t>
  </si>
  <si>
    <t>3-MGN-4-BA</t>
  </si>
  <si>
    <t>3MGN4_CANHONEIO_CGEL_1_200_8.500_1993-11-25.pdf</t>
  </si>
  <si>
    <t>3MGN4_RECONCAVO_CANHONEIO_1_200_2008-10-28.pdf</t>
  </si>
  <si>
    <t>3-RSP-2-BA</t>
  </si>
  <si>
    <t>3RSP2_COMPENSATED_FORMATION_DENSITY_LOG_1_8.625_1974-06-30.pdf</t>
  </si>
  <si>
    <t>3RSP2_CONTINUOS_DIPMETER_1_8.625_1974-06-30.pdf</t>
  </si>
  <si>
    <t>3RSP2_INDUCTION_ELECTRICAL_LOG_2_200_8.625_1974-06-28.pdf</t>
  </si>
  <si>
    <t>3RSP2_MICROPERFIL_1_200_8.625_1974-06-30.pdf</t>
  </si>
  <si>
    <t>3RSP2_PERFIL_ELETRICO_INDU€AO_1_200_12.250_1974-05-30.pdf</t>
  </si>
  <si>
    <t>3RSP2_PERFIL_SONICO_1_1000_8.625_1974-06-27.pdf</t>
  </si>
  <si>
    <t>3RSP2_PROXIMITY_LOG-MICROLOG_1_8.625_1974-06-30.pdf</t>
  </si>
  <si>
    <t>3-RSP-5-BA</t>
  </si>
  <si>
    <t>3RSP5_CASING_COLLA_LOG_AND_PERFORATING_RECORD_1_200_12.250_1978-03-26 (2).pdf</t>
  </si>
  <si>
    <t>3RSP5_CASING_COLLA_LOG_AND_PERFORATING_RECORD_1_200_12.250_1978-03-26.pdf</t>
  </si>
  <si>
    <t>3RSP5_CASING_COLLA_LOG_AND_PERFORATING_RECORD_1_200_8.625_1978-05-19.pdf</t>
  </si>
  <si>
    <t>3RSP5_CASING_COLLA_LOG_AND_PERFORATING_RECORD_1_200_8.625_1978-05-22.pdf</t>
  </si>
  <si>
    <t>3RSP5_CASING_COLLA_LOG_AND_PERFORATING_RECORD_1_200_8.625_1978-05-30.pdf</t>
  </si>
  <si>
    <t>3RSP5_CASING_COLLA_LOG_AND_PERFORATING_RECORD_1_200_8.625_2008-05-16.pdf</t>
  </si>
  <si>
    <t>3RSP5_CEMENT_BOND_LOG_1_200_8.500_1978-05-16.pdf</t>
  </si>
  <si>
    <t>3RSP5_PERFORATING_DEPTH_CONTROL_1_200_12.250_1978-03-26.pdf</t>
  </si>
  <si>
    <t>3-RSP-6-BA</t>
  </si>
  <si>
    <t>3RSP6_CYBERBOND_1_1985-06-04.pdf</t>
  </si>
  <si>
    <t>3-RSP-7-BA</t>
  </si>
  <si>
    <t>3RSP7_CASING_COLLA_LOG_AND_PERFORATING_RECORD_1_1979-11-21.pdf</t>
  </si>
  <si>
    <t>3RSP7_CASING_COLLA_LOG_AND_PERFORATING_RECORD_1_8.500_1979-11-15.pdf</t>
  </si>
  <si>
    <t>3RSP7_CASING_COLLA_LOG_AND_PERFORATING_RECORD_200_8.500_1979-11-23.pdf</t>
  </si>
  <si>
    <t>3RSP7_COMPENSATED_FORMATION_DENSITY_LOG_2_200_8.500_1979-07-18.pdf</t>
  </si>
  <si>
    <t>3RSP7_PERFORATING_RECORD_1_200_12.250_1985-05-25.pdf</t>
  </si>
  <si>
    <t>6-MG-473-BA</t>
  </si>
  <si>
    <t>6MG473_RECONCAVO_CANHONEIO_3_200_2011-08-09.pdf</t>
  </si>
  <si>
    <t>7-BB-11-BA</t>
  </si>
  <si>
    <t>7BB11_GR-CCL_1_200_8.500_1996-11-07.pdf</t>
  </si>
  <si>
    <t>7-BB-13-BA</t>
  </si>
  <si>
    <t>7BB13_PDCL_1_1983-09-09.pdf</t>
  </si>
  <si>
    <t>7-BB-15-BA</t>
  </si>
  <si>
    <t>7BB15_PDCL_1_200_8.500_1984-09-01 (2).pdf</t>
  </si>
  <si>
    <t>7BB15_PDCL_1_200_8.500_1984-09-01.pdf</t>
  </si>
  <si>
    <t>7-JA-15-BA</t>
  </si>
  <si>
    <t>7JA15_PERFORATING_RECORD_1_9.500_1986-03-01.pdf</t>
  </si>
  <si>
    <t>7-JA-16-BA</t>
  </si>
  <si>
    <t>7JA16_PERFORATING_RECORD_1_200_9.500_1986-08-07.pdf</t>
  </si>
  <si>
    <t>7JA16_SONICO_DIGITAL_2_9.500_1986-08-07.pdf</t>
  </si>
  <si>
    <t>7-JA-18-BA</t>
  </si>
  <si>
    <t>7JA18_CG-EL_1_8.500_1987-10-13.pdf</t>
  </si>
  <si>
    <t>7JA18_CONTROLE_DE_CANHONEIO_1_8.500_1987-10-08.pdf</t>
  </si>
  <si>
    <t>7JA18_GR-CCL_1_200_8.500_1987-10-07.pdf</t>
  </si>
  <si>
    <t>7JA18_REGISTRO_DE_CANHONEIO_2_8.500_1987-10-13.pdf</t>
  </si>
  <si>
    <t>7-JA-20-BA</t>
  </si>
  <si>
    <t>7JA20_INDUCTION_ELECTRICAL_LOG_1_12.250_1987-09-11.pdf</t>
  </si>
  <si>
    <t>7-JA-30-BA</t>
  </si>
  <si>
    <t>7JA30_COMPOSITE_1_200_12.250_1987-10-31.pdf</t>
  </si>
  <si>
    <t>7-JA-32-BA</t>
  </si>
  <si>
    <t>7JA32_ASSENTAMENTO_DE_PACKER_1_200_8.500_1991-10-20.pdf</t>
  </si>
  <si>
    <t>7JA32_CANHONEIO_CGEL_2_200_8.500_1998-06-11.pdf</t>
  </si>
  <si>
    <t>7JA32_CANHONEIO_CGEL_3_200_8.500_1998-06-17.pdf</t>
  </si>
  <si>
    <t>7JA32_REGISTRO_DE_CANHONEIO_1_500_8.500_1991-10-07.pdf</t>
  </si>
  <si>
    <t>7-JA-34-BA</t>
  </si>
  <si>
    <t>7JA34_CANTROLE_DE_PROFUNDIDADE_1_200_8.500_1996-01-10.pdf</t>
  </si>
  <si>
    <t>7-JA-37D-BA</t>
  </si>
  <si>
    <t>7JA37D_CONTROLE_DE_PROFUNDIDADE_1_200_8.500_1996-01-22.pdf</t>
  </si>
  <si>
    <t>7-JA-39D-BA</t>
  </si>
  <si>
    <t>7JA39D_CBL_VDL_GR_CCL_1_200_8.750_2002-04-19.pdf</t>
  </si>
  <si>
    <t>7JA39D_CGEL_200_8.750_2002-04-19.pdf</t>
  </si>
  <si>
    <t>7MG414_REGISTRO_DE_CANHONEIO_1_200_1992-05-11.pdf</t>
  </si>
  <si>
    <t>7MG414_REGISTRO_DE_CANHONEIO_1_200_8.500_1991-07-02.pdf</t>
  </si>
  <si>
    <t>7-MG-421-BA</t>
  </si>
  <si>
    <t>7MG421_GAMMA_RAY-CCL_1_8.500_1988-11-18.pdf</t>
  </si>
  <si>
    <t>7-MG-434-BA</t>
  </si>
  <si>
    <t>7MG434_RECONCAVO_CANHONEIO_1_200_2012-03-01.pdf</t>
  </si>
  <si>
    <t>7-MG-435-BA</t>
  </si>
  <si>
    <t>7MG435_CBL-MSG-TT-GR-CCL_1_1989-08-21.pdf</t>
  </si>
  <si>
    <t>7-MG-452-BA</t>
  </si>
  <si>
    <t>7MG452_RECONCAVO_CGEL_1_200_8.500_2004-01-10.pdf</t>
  </si>
  <si>
    <t>7-MG-457-BA</t>
  </si>
  <si>
    <t>7MG457_RECONCAVO_JET_CUTTER_1_200_2015-12-03.pdf</t>
  </si>
  <si>
    <t>7-MG-467-BA</t>
  </si>
  <si>
    <t>7MG467_CANHONEIO_HSD_1_200_8.500_2004-09-01.pdf</t>
  </si>
  <si>
    <t>7-MG-468-BA</t>
  </si>
  <si>
    <t>7MG468_CANHONEIO_CGEL_1_200_8.500_1999-10-03.pdf</t>
  </si>
  <si>
    <t>7-MG-471D-BA</t>
  </si>
  <si>
    <t>7MG471D_CANHONEIO_HSC_1_200_8.400_2012-04-11.pdf</t>
  </si>
  <si>
    <t>7MG471D_RECONCAVO_HSD_1_200_2012-04-07.pdf</t>
  </si>
  <si>
    <t>7-MG-472-BA</t>
  </si>
  <si>
    <t>7MG472_PERFORATING_&amp;_COLLAR_LOG_1_1993-05-24.pdf</t>
  </si>
  <si>
    <t>7-MG-474-BA</t>
  </si>
  <si>
    <t>7MG474_CANHONEIO_CGEL_1_200_9.500_2002-03-04.pdf</t>
  </si>
  <si>
    <t>7MG474_CANHONEIO_HSC_(ILEGIVEL).pdf</t>
  </si>
  <si>
    <t>7MG474_RECONCAVO_CANHONEIO_DML_1_200_2015-10-21.pdf</t>
  </si>
  <si>
    <t>7MG474_REGISTRO_DE_CANHONEIO_2_200_9.500_1993-10-30.pdf</t>
  </si>
  <si>
    <t>7-MG-491P-BA</t>
  </si>
  <si>
    <t>7MG491P_RECONCAVO_TERRA_COMPOSITE_1_200_6.125_2008-11-27.pdf</t>
  </si>
  <si>
    <t>7-MGP-49D-BA</t>
  </si>
  <si>
    <t>7MGP49D_RECONCAVO_COMPOSITE_2_200_8.500_2002-03-16.pdf</t>
  </si>
  <si>
    <t>7MGP49D_SQUEEZE_200_8.500_2002-03-31 (2).pdf</t>
  </si>
  <si>
    <t>7MGP49D_SQUEEZE_200_8.500_2002-03-31.pdf</t>
  </si>
  <si>
    <t>7-MGP-51D-BA</t>
  </si>
  <si>
    <t>7MGP51D_BPP_1_200_8.500_2002-07-10 (2).pdf</t>
  </si>
  <si>
    <t>7MGP51D_BPP_1_200_8.500_2002-07-10.pdf</t>
  </si>
  <si>
    <t>7-MGP-57D-BA</t>
  </si>
  <si>
    <t>7MGP57D_RECONCAVO_CANHONEIO_1_200_8.500_2003-01-20.pdf</t>
  </si>
  <si>
    <t>7-MGP-63D-BA</t>
  </si>
  <si>
    <t>7MGP63D_RECONCAVO_COMPOSITE_1_200_8.500_2003-08-13 (2).pdf</t>
  </si>
  <si>
    <t>7MGP63D_RECONCAVO_COMPOSITE_1_200_8.500_2003-08-13.pdf</t>
  </si>
  <si>
    <t>7-MGP-69-BA</t>
  </si>
  <si>
    <t>7MGP69_RECONCAVO_CANHONEIO_CGEL_1_8.500_2003-11-30 (2).pdf</t>
  </si>
  <si>
    <t>7MGP69_RECONCAVO_CANHONEIO_CGEL_1_8.500_2003-11-30.pdf</t>
  </si>
  <si>
    <t>7MGP69_RECONCAVO_CBL_VDL_1_200_8.500_2003-09-07.pdf</t>
  </si>
  <si>
    <t>7-MGP-77D-BA</t>
  </si>
  <si>
    <t>7MGP77D_RECONCAVO_ASSENTAMENTO_DE_BPP_1_200_2006-02-16.pdf</t>
  </si>
  <si>
    <t>7MGP77D_RECONCAVO_CANHONEIO_1_200_2006-02-16 (2).pdf</t>
  </si>
  <si>
    <t>7MGP77D_RECONCAVO_CANHONEIO_1_200_2006-02-16.pdf</t>
  </si>
  <si>
    <t>7-MGP-80D-BA</t>
  </si>
  <si>
    <t>7MGP80D_RECONCAVO_CANHONEIO_1_200_2006-09-09.pdf</t>
  </si>
  <si>
    <t>7MGP80D_RECONCAVO_CANHONEIO_1_200_2006-09-14.pdf</t>
  </si>
  <si>
    <t>7MGP80D_RECONCAVO_CBL_MSG_GR_CCL_1_200_2006-09-09.pdf</t>
  </si>
  <si>
    <t>7MGP80D_RECONCAVO_DML_XXIII_1_200_2006-09-27.pdf</t>
  </si>
  <si>
    <t>7-RSP-8-BA</t>
  </si>
  <si>
    <t>7RSP8_CANHONEIO_2_8.500_1983-04-02.pdf</t>
  </si>
  <si>
    <t>7RSP8_CASING_COLLAR_LOG_AND_PERFORATING_RECORD_1_8.500_1983-03-26.pdf</t>
  </si>
  <si>
    <t>7RSP8_CEMENT_BOND_LOG_VARIABLE_DENSITY_1_8.500_1983-03-26.pdf</t>
  </si>
  <si>
    <t>7RSP8_HSD_1_8.500_1988-07-07.pdf</t>
  </si>
  <si>
    <t>7-SUS-10-BA</t>
  </si>
  <si>
    <t>7SUS10_CASING_COLLAR_LOG_AND_PERFOARTING_RECORD_1982-03-26.pdf</t>
  </si>
  <si>
    <t>7SUS10_CASING_COLLAR_LOG_AND_PERFOARTING_RECORD_1982-04-01.pdf</t>
  </si>
  <si>
    <t>7SUS10_CEMENT_BOND_LOG_VARIABLE_DENSITY_1_8.500_1982-03-22.pdf</t>
  </si>
  <si>
    <t>7-SUS-4-BA</t>
  </si>
  <si>
    <t>7SUS4_COMPENSATED_FORMATION_DENSITY_LOG_1_200_9.875_1978-01-02.pdf</t>
  </si>
  <si>
    <t>9-MG-425-BA</t>
  </si>
  <si>
    <t>9MG425_PERFIL_SDBIENDO_200_1989-02-02.pdf</t>
  </si>
  <si>
    <t>9-MG-442-BA</t>
  </si>
  <si>
    <t>9MG442_CBL-MSG-TT-GR-CCL_1_1989-11-25 (2).pdf</t>
  </si>
  <si>
    <t>9MG442_CBL-MSG-TT-GR-CCL_1_1989-11-25.pdf</t>
  </si>
  <si>
    <t>9-MG-445-BA</t>
  </si>
  <si>
    <t>9MG445_COMPOSITE_1_200_9.500_1989-10-25.pdf</t>
  </si>
  <si>
    <t>9-MG-465-BA</t>
  </si>
  <si>
    <t>9MG465_COMPOSITE_1_200_9.500_1992-03-21.pdf</t>
  </si>
  <si>
    <t>9-MG-466-BA</t>
  </si>
  <si>
    <t>9MG466_(ILEGIVEL).pdf</t>
  </si>
  <si>
    <t>JA-5-BA</t>
  </si>
  <si>
    <t>JA5_CASING_COLLAR_LOG_AND_PERFORATING_RECORD_1_200_7.875_1964-07-19.pdf</t>
  </si>
  <si>
    <t>JA5_ELECTRICAL_LOG_2_1000_7.875_1962-06-12.pdf</t>
  </si>
  <si>
    <t>JA5_MICROLOG_1_200_7.875_1962-05-25.pdf</t>
  </si>
  <si>
    <t>JA-6-BA</t>
  </si>
  <si>
    <t>JA6_FIELD_PRINT_1_12.250_1964-12-04.pdf</t>
  </si>
  <si>
    <t>4-FO-11D_BA</t>
  </si>
  <si>
    <t>CAIXA 11</t>
  </si>
  <si>
    <t>4FO11D_RECONCAVO_COMPOSITE_2_200_8.750_2009-11-16.pdf</t>
  </si>
  <si>
    <t>7-JA-22-BA</t>
  </si>
  <si>
    <t>7JA22_BPP_1_8.500_1987-06-01.pdf</t>
  </si>
  <si>
    <t>7JA22_CANHONEIO_CGEL_1_200_8.500_2001-11-25.pdf</t>
  </si>
  <si>
    <t>7JA22_CG-EL_1_8.500_1987-06-01.pdf</t>
  </si>
  <si>
    <t>7JA22_CGEL_1_200_8.500_2001-12-06.pdf</t>
  </si>
  <si>
    <t>7-MG-189-BA</t>
  </si>
  <si>
    <t>7MG189_RECONCAVO_ASSENTAMENTO_PACKER_1_200_2009-11-19 (2).pdf</t>
  </si>
  <si>
    <t>7MG189_RECONCAVO_ASSENTAMENTO_PACKER_1_200_2009-11-19.pdf</t>
  </si>
  <si>
    <t>7-MG-193-BA</t>
  </si>
  <si>
    <t>7MG193_CANHONEIO_CGEL_1_200_8.500_2000-12-02.pdf</t>
  </si>
  <si>
    <t>7-MG-204-BA</t>
  </si>
  <si>
    <t>7MG204_CASING_COLLAR_LOG_AND_PERFORATING_RECORD_1_1984-01-12.pdf</t>
  </si>
  <si>
    <t>7MG204_MINI-PERFIL_1_9.875_1973-08-12.pdf</t>
  </si>
  <si>
    <t>7MG204_PERFIL_ACUSTICO_DE_CIMENTA€ÇO_1_200_3.625_1973-09-21.pdf</t>
  </si>
  <si>
    <t>7MG204_SHQOTING_LOG_1_1984-01-06.pdf</t>
  </si>
  <si>
    <t>7-MG-211-BA</t>
  </si>
  <si>
    <t>7MG211_ASSENTAMENTO_DE_TAMPAO_7_CONTROLE_DE_CANHONEIO_1_1974-01-06.pdf</t>
  </si>
  <si>
    <t>7MG211_REGISTRO_DE_CANHONEIO_CG-EL_1_200_9.875_1991-09-04 (2).pdf</t>
  </si>
  <si>
    <t>7MG211_REGISTRO_DE_CANHONEIO_CG-EL_1_200_9.875_1991-09-04.pdf</t>
  </si>
  <si>
    <t>7-MG-263D-BA</t>
  </si>
  <si>
    <t>7MG263D_CEMENT_BOND_LOG_1_200_9.875_1979-09-18.pdf</t>
  </si>
  <si>
    <t>7-MG-269-BA</t>
  </si>
  <si>
    <t>7MG269_CANHONEI_LOG_1_200_8.500_1994-01-28.pdf</t>
  </si>
  <si>
    <t>7-MG-274-BA</t>
  </si>
  <si>
    <t>7MG274_CASING_COLLAR_LOG_AND_PERFOARTING_RECORD_2_200_9.625_1980-02-26.pdf</t>
  </si>
  <si>
    <t>7-MG-281-BA</t>
  </si>
  <si>
    <t>7MG281_RECONCAVO_BPP_1_200_2012-12-01.pdf</t>
  </si>
  <si>
    <t>7MG281_RECONCAVO_CORRELA€AO_1_200_9.875_2012-11-29.pdf</t>
  </si>
  <si>
    <t>7MG281_RECONCAVO_TERRA_1_200_8.000_2012-12-08.pdf</t>
  </si>
  <si>
    <t>7MG281_RECONCAVO_TERRA_1_200_8.500_2012-12-07.pdf</t>
  </si>
  <si>
    <t>7-MG-293-BA</t>
  </si>
  <si>
    <t>7MG293_CONTROLE_DE_PROFUNDIDADE_CGEL_1_200_9.875_1996-12-06 (2).pdf</t>
  </si>
  <si>
    <t>7MG293_CONTROLE_DE_PROFUNDIDADE_CGEL_1_200_9.875_1996-12-06.pdf</t>
  </si>
  <si>
    <t>7MG293_CONTROLE_DE_PROFUNDIDADE_CGEL_1_200_9.875_1996-12-08 (2).pdf</t>
  </si>
  <si>
    <t>7MG293_CONTROLE_DE_PROFUNDIDADE_CGEL_1_200_9.875_1996-12-08.pdf</t>
  </si>
  <si>
    <t>7MG293_CONTROLE_DE_PROFUNDIDADE_CGEL_1_200_9.875_1996-12-11.pdf</t>
  </si>
  <si>
    <t>7MG293_REGISTRO_DE_CANHONEIO_1_1989-07-12.pdf</t>
  </si>
  <si>
    <t>7MG293_REGISTRO_DE_CANHONEIO_1_200_1992-11-11.pdf</t>
  </si>
  <si>
    <t>7-MG-295-BA</t>
  </si>
  <si>
    <t>7MG295_BPP_&amp;_HSD_1_200_9.875_1998-03-17.pdf</t>
  </si>
  <si>
    <t>7MG295_INDUCTION_ELECTRICAL_LOG_1_9.875_1980-10-06.pdf</t>
  </si>
  <si>
    <t>7MG295_MICRO-ELECTRICAL_LOG_1_9.875_1980-10-06.pdf</t>
  </si>
  <si>
    <t>7MG295_PDCL_1_200_2003-04-25.pdf</t>
  </si>
  <si>
    <t>7MG295_PERFIL_DE_RAIOS_GAMA_GR-CCL_1_200_2014-03-01.pdf</t>
  </si>
  <si>
    <t>7MG295_RECONCAVO_TERRA_1_200_2014-03-06 (2).pdf</t>
  </si>
  <si>
    <t>7MG295_RECONCAVO_TERRA_1_200_2014-03-06 (3).pdf</t>
  </si>
  <si>
    <t>7MG295_RECONCAVO_TERRA_1_200_2014-03-06.pdf</t>
  </si>
  <si>
    <t>7-MG-30-BA</t>
  </si>
  <si>
    <t>7MG30_CASING_COLLAR_LOG_AND_PERFORATING_RECORD_8.625_1984-01-24.pdf</t>
  </si>
  <si>
    <t>7-MG-31-BA</t>
  </si>
  <si>
    <t>7MG31_CONTROLE_DE_CANHONEIO_1_9.625_1972-10-17.pdf</t>
  </si>
  <si>
    <t>7-MG-37-BA</t>
  </si>
  <si>
    <t>7MG37_CANHONEIO_CGEL_1_200_8.500_2000-11-13.pdf</t>
  </si>
  <si>
    <t>7MG37_RECONCAVO_BPP_1_200_8.625_2005-04-10.pdf</t>
  </si>
  <si>
    <t>7MG37_RECONCAVO_CANHONEIO_1_200_8.625_2005-04-10.pdf</t>
  </si>
  <si>
    <t>7MG37_RECONCAVO_PDCL_1_200_8.625_2005-04-10.pdf</t>
  </si>
  <si>
    <t>7-MG-40R-BA</t>
  </si>
  <si>
    <t>7MG40_CGEL_1_200_1983-10-19.pdf</t>
  </si>
  <si>
    <t>7-MG-43-BA</t>
  </si>
  <si>
    <t>7MG43_(ILEGIVEL).pdf</t>
  </si>
  <si>
    <t>7MG43_RECONCAVO_CANHONEIO_CGEL_1_200_2012-05-08.pdf</t>
  </si>
  <si>
    <t>7-MG-47-BA</t>
  </si>
  <si>
    <t>7MG47_CASING_+COLLAR_LOG_AND_PERFORATING_RECORD_8.625_1971-04-27.pdf</t>
  </si>
  <si>
    <t>7MG47_PERFORATING_DEPTH_CONTROL_1_200_8.500_1995-11-28.pdf</t>
  </si>
  <si>
    <t>7-MG-48-BA</t>
  </si>
  <si>
    <t>7MG48_COMPENSATED_NEUTRON_FORMATION_DENSITY_1_8.500_1972-08-07.pdf</t>
  </si>
  <si>
    <t>7-MG-50-BA</t>
  </si>
  <si>
    <t>7MG50_CASING_COLLAR_LOG_AND_PERFORATING_RECORD_1_8.625_1976-01-26.pdf</t>
  </si>
  <si>
    <t>7-MG-51-BA</t>
  </si>
  <si>
    <t>7MG51_CANHONEIO_CGEL_1_200_8.500_2000-01-25 (2).pdf</t>
  </si>
  <si>
    <t>7MG51_CANHONEIO_CGEL_1_200_8.500_2000-01-25.pdf</t>
  </si>
  <si>
    <t>7MG51_CONTROLE_DE_CANHONEIO_1_7.000_1973-07-24.pdf</t>
  </si>
  <si>
    <t>7MG51_GR_CCL_1_200_8.500_2000-01-25 (2).pdf</t>
  </si>
  <si>
    <t>7MG51_GR_CCL_1_200_8.500_2000-01-25.pdf</t>
  </si>
  <si>
    <t>7MG51_PERFOARTING_DEPTH_CONTROL_1_1989-12-14.pdf</t>
  </si>
  <si>
    <t>7MG51_PERFORATING_DEPTH_CONTROL_1_1989-12-14.pdf</t>
  </si>
  <si>
    <t>7-MG-52-BA</t>
  </si>
  <si>
    <t>7MG52_CANHONEIO_CONVENCIONAL_HSC_TPM_1_200_8.400_2011-08-27 (2).pdf</t>
  </si>
  <si>
    <t>7MG52_CANHONEIO_CONVENCIONAL_HSC_TPM_1_200_8.400_2011-08-27.pdf</t>
  </si>
  <si>
    <t>7MG52_CASING_COLLAR_LOG_AND_PERFORATING_RECORD_1_200_8.625_1977-05-14.pdf</t>
  </si>
  <si>
    <t>7MG52_CONTROLE_DE_CANHONEIO_1_1973-02-15.pdf</t>
  </si>
  <si>
    <t>7MG52_PERFORATING_DEPTH_CONTROL_1_1987-05-13.pdf</t>
  </si>
  <si>
    <t>7-MG-53-BA</t>
  </si>
  <si>
    <t>7MG53_CASING_COLLAR_LOG_AND_PERFOARTING_RECORD_3_8.625_1970-12-04.pdf</t>
  </si>
  <si>
    <t>7MG53_RECONCAVO_CANHONEIO_1_200_2006-10-25 (2).pdf</t>
  </si>
  <si>
    <t>7MG53_RECONCAVO_CANHONEIO_1_200_2006-10-25.pdf</t>
  </si>
  <si>
    <t>7MG53_RECONCAVO_PDCL_1_200_2006-10-24 (2).pdf</t>
  </si>
  <si>
    <t>7MG53_RECONCAVO_PDCL_1_200_2006-10-24.pdf</t>
  </si>
  <si>
    <t>7-MG-57-BA</t>
  </si>
  <si>
    <t>7MG57_CANHONEIO_CGEL_1_200_2011-11-24 (2).pdf</t>
  </si>
  <si>
    <t>7MG57_CANHONEIO_CGEL_1_200_2011-11-24.pdf</t>
  </si>
  <si>
    <t>7MG57_RECONCAVO_CANHONEIO_1_200_2010-05-15.pdf</t>
  </si>
  <si>
    <t>7MG57_REGISTRO_DE_CANHONEIO_1_300_8.625_1992-09-28 (2).pdf</t>
  </si>
  <si>
    <t>7MG57_REGISTRO_DE_CANHONEIO_1_300_8.625_1992-09-28.pdf</t>
  </si>
  <si>
    <t>7-MG-59-BA</t>
  </si>
  <si>
    <t>7MG59_CASING_COLLAR_LOG_AND_PERFORATING_RECPORD_1_200_8.500_1973-10-19.pdf</t>
  </si>
  <si>
    <t>7MG59_CONTROLE_DE_CANHONEIO_PFC_2_1972-09-15.pdf</t>
  </si>
  <si>
    <t>7-MG-62-BA</t>
  </si>
  <si>
    <t>7MG62_CANHONEO_1_8.500_1984-12-21.pdf</t>
  </si>
  <si>
    <t>7MG62_CGEL_1_200_8.625_1994-05-11.pdf</t>
  </si>
  <si>
    <t>7-MG-63-BA</t>
  </si>
  <si>
    <t>7MG63_CANHONEIO_CG-EL_1_200_8.500_2007-03-21.pdf</t>
  </si>
  <si>
    <t>7-MG-65-BA</t>
  </si>
  <si>
    <t>7MG65_GR-CCL_CGEL_1_240_1992-10-09 (2).pdf</t>
  </si>
  <si>
    <t>7MG65_GR-CCL_CGEL_1_240_1992-10-09.pdf</t>
  </si>
  <si>
    <t>7-MG-67-BA</t>
  </si>
  <si>
    <t>7MG67_CANHONEIO_1_200_2009-05-27.pdf</t>
  </si>
  <si>
    <t>7-MGP-54D-BA</t>
  </si>
  <si>
    <t>7MGP54D_1_200_6.750_2003-02-18.pdf</t>
  </si>
  <si>
    <t>7-MGP-92D-BA</t>
  </si>
  <si>
    <t>7MGP92D_PERFIL_DE_RAIOS_GAMA-CCL_1_200_2014-05-27.pdf</t>
  </si>
  <si>
    <t>7MGP92D_RECONCAVO_CBL-MSG-GR-CCL_1_200_8.500_2010-11-21.pdf</t>
  </si>
  <si>
    <t>7MGP92D_RECONCAVO_COMPOSITE_2_200_8.750_2009-04-13.pdf</t>
  </si>
  <si>
    <t>7-MPG-97D-BA</t>
  </si>
  <si>
    <t>7MGP97D_RECONCAVO_CBL-MSG-GR-CCL_1_200_8.750_2010-05-16.pdf</t>
  </si>
  <si>
    <t>7MGP97D_RECONCAVO_COMPOSITE_1_200_12.250_2010-03-30.pdf</t>
  </si>
  <si>
    <t>7MGP97D_RECONCAVO_COMPOSITE_2_200_8.500_2010-04-24.pdf</t>
  </si>
  <si>
    <t>8-MG-192-BA</t>
  </si>
  <si>
    <t>8MG192_CONTROLE_DE_CANHONEIO_1_1973-08-05.pdf</t>
  </si>
  <si>
    <t>8-MG-31-BA</t>
  </si>
  <si>
    <t>8MG31_CONTROLE_DE_CANHONEIO_1972-10-22.pdf</t>
  </si>
  <si>
    <t>8MG31_REGISTRO_DE_CANHONEIO_1_8.500_1990-08-29.pdf</t>
  </si>
  <si>
    <t>8-MG-52-BA</t>
  </si>
  <si>
    <t>8MG52_REGISTRO_DE_CANHONEIO_1_12.250_1989-06-29 (2).pdf</t>
  </si>
  <si>
    <t>8MG52_REGISTRO_DE_CANHONEIO_1_12.250_1989-06-29.pdf</t>
  </si>
  <si>
    <t>MG-31-BA</t>
  </si>
  <si>
    <t>MG31_CASING_COLLAR_LOG_AND_PERFORATING_RECORD_9.625_1971-02-19.pdf</t>
  </si>
  <si>
    <t>MG-36-BA</t>
  </si>
  <si>
    <t>MG36_CASING_COLLAR_LOG_AND_PERFORATING_RECORD_1_8.500_1978-06-13.pdf</t>
  </si>
  <si>
    <t>MG-38-BA</t>
  </si>
  <si>
    <t>MG38_CASING_COLLAR_LOG_AND_PERFORATING_RECORD_1_9.625_1971-07-05.pdf</t>
  </si>
  <si>
    <t>MG-51-BA</t>
  </si>
  <si>
    <t>MG51_MICRO-PERFIL_2_200_8.625_1966-08-06.pdf</t>
  </si>
  <si>
    <t>MG-54-BA</t>
  </si>
  <si>
    <t>MG54_SHOOTING_RECORD_1_8.625_1983-03-20.pdf</t>
  </si>
  <si>
    <t>MG-62-BA</t>
  </si>
  <si>
    <t>MG62_CASING_COLLAR_LOG_AND_PERFORATING_RECORD_1_200_8.625_1966-10-21.pdf</t>
  </si>
  <si>
    <t>MG-66-BA</t>
  </si>
  <si>
    <t>MG66_MICRO_PERFIL_1_200_1966-11-09.pdf</t>
  </si>
  <si>
    <t>3-MG-25-BA</t>
  </si>
  <si>
    <t>CAIXA 12</t>
  </si>
  <si>
    <t>3MG25_RECONCAVO_CANHONEIO_1_200_7.000_2012-01-17 (2).pdf</t>
  </si>
  <si>
    <t>3MG25_RECONCAVO_CANHONEIO_1_200_7.000_2012-01-17.pdf</t>
  </si>
  <si>
    <t>3MG25_RECONCAVO_PDCL_1_200_7.000_2012-01-17 (2).pdf</t>
  </si>
  <si>
    <t>3MG25_RECONCAVO_PDCL_1_200_7.000_2012-01-17.pdf</t>
  </si>
  <si>
    <t>7AG86_CANHONEIO_1_200_7.875_1997-09-23.pdf</t>
  </si>
  <si>
    <t>7-MG-146-BA</t>
  </si>
  <si>
    <t>7MG146_CASING_COLLAR_LOG_AND_PERFORATING_RECORD_1979-09-15.pdf</t>
  </si>
  <si>
    <t>7MG146_CASING_COLLAR_LOG_AND_PERFORATING_RECORD_1_9.875_1970-08-01.pdf</t>
  </si>
  <si>
    <t>7-MG-154-BA</t>
  </si>
  <si>
    <t>7MG154_PERFIL_DE_CONTROLE_DE_CANHONEIO_1971-02-14.pdf</t>
  </si>
  <si>
    <t>7-MG-155-BA</t>
  </si>
  <si>
    <t>7MG155_1_200_9.500_2003-09-15 (2).pdf</t>
  </si>
  <si>
    <t>7MG155_1_200_9.500_2003-09-15.pdf</t>
  </si>
  <si>
    <t>7MG155_CANHONEIO_CGEL_1_200_9.500_2003-09-15 (2).pdf</t>
  </si>
  <si>
    <t>7MG155_CANHONEIO_CGEL_1_200_9.500_2003-09-15.pdf</t>
  </si>
  <si>
    <t>7MG155_CASING_COLLAR_LOG_AND_PERFORATING_RECORD_1_9.625_1970-11-15.pdf</t>
  </si>
  <si>
    <t>7-MG-159-BA</t>
  </si>
  <si>
    <t>7MG159_MINI-PERFIL_1_9.625_1970-12-08.pdf</t>
  </si>
  <si>
    <t>7-MG-160-BA</t>
  </si>
  <si>
    <t>7MG160_CASING_COLLAR_LOG_AND_PERFORATING_RECORD_2_9.875_1971-10-30.pdf</t>
  </si>
  <si>
    <t>7-MG-166-BA</t>
  </si>
  <si>
    <t>7MG166_COMPENSATED_NEUTRON_LOG_1_9.875_1974-01-05.pdf</t>
  </si>
  <si>
    <t>7MG166_RECONCAVO_CANHONEIO_1_200_7.000_2011-12-02.pdf</t>
  </si>
  <si>
    <t>7MG166_RECONCAVO_TERRA_CGEL_1_200_8.500_2011-12-01 (2).pdf</t>
  </si>
  <si>
    <t>7MG166_RECONCAVO_TERRA_CGEL_1_200_8.500_2011-12-01.pdf</t>
  </si>
  <si>
    <t>7MG166_RECONCAVO_TERRA_PDCL_1_200_8.500_2011-12-01 (2).pdf</t>
  </si>
  <si>
    <t>7MG166_RECONCAVO_TERRA_PDCL_1_200_8.500_2011-12-01.pdf</t>
  </si>
  <si>
    <t>7-MG-175-BA</t>
  </si>
  <si>
    <t>7MG175_RECONCAVO_CANHONEIO_CGEL_1_200_2009-01-29 (2).pdf</t>
  </si>
  <si>
    <t>7MG175_RECONCAVO_CANHONEIO_CGEL_1_200_2009-01-29.pdf</t>
  </si>
  <si>
    <t>7-MG-176-BA</t>
  </si>
  <si>
    <t>7MG176_RECONCAVO_FLOWMETER_1_200_2009-08-13.pdf</t>
  </si>
  <si>
    <t>7-MG-185-BA</t>
  </si>
  <si>
    <t>7MG185_CANHONEIO_CGEL_1_200_1998-04-25 (2).pdf</t>
  </si>
  <si>
    <t>7MG185_CANHONEIO_CGEL_1_200_1998-04-25.pdf</t>
  </si>
  <si>
    <t>7MG185_CONTROLE_DE_CANHONEIO_1_1973-08-23.pdf</t>
  </si>
  <si>
    <t>7-MG-187-BA</t>
  </si>
  <si>
    <t>7MG187_CASING_COLLAR_LOG_AND_PERFORATING_RECORD_1_1975-04-16.pdf</t>
  </si>
  <si>
    <t>7MG187_CASING_COLLAR_LOG_AND_PERFORATING_RECORD_1_200_1977-02-25.pdf</t>
  </si>
  <si>
    <t>7MG187_CASING_COLLAR_LOG_AND_PERFORATING_RECORD_1_200_1978-09-24 (2).pdf</t>
  </si>
  <si>
    <t>7MG187_CASING_COLLAR_LOG_AND_PERFORATING_RECORD_1_200_1978-09-24.pdf</t>
  </si>
  <si>
    <t>7MG187_CASING_COLLAR_LOG_AND_PERFORATING_RECORD_2_1975-04-12.pdf</t>
  </si>
  <si>
    <t>7MG187_CASING_COLLAR_LOG_AND_PERFORATING_RECORD_8.625_1977-02-18.pdf</t>
  </si>
  <si>
    <t>7MG187_CONTROLE_DE_CANHONEIO_1_1973-06-19.pdf</t>
  </si>
  <si>
    <t>7-MG-20-BA</t>
  </si>
  <si>
    <t>7MG20_RECONCAVO_CANHONEIO_1_200_7.000_2006-05-30 (2).pdf</t>
  </si>
  <si>
    <t>7MG20_RECONCAVO_CANHONEIO_1_200_7.000_2006-05-30.pdf</t>
  </si>
  <si>
    <t>7-MG-218-BA</t>
  </si>
  <si>
    <t>7MG218_CANHONEIO_1_200_1997-04-18.pdf</t>
  </si>
  <si>
    <t>7MG218_CANHONEIO_CGEL_1_200_9.625_1997-04-18.pdf</t>
  </si>
  <si>
    <t>7MG218_CASING_COLLAR_LOG_AND_PERFORATING_RECORD_1_1974-11-12.pdf</t>
  </si>
  <si>
    <t>7MG218_CASING_COLLAR_LOG_AND_PERFORATING_RECORD_1_200_9.625_1978-04-10.pdf</t>
  </si>
  <si>
    <t>7MG218_PERFORATING_CONTROL_9.625_1985-10-10.pdf</t>
  </si>
  <si>
    <t>7-MG-219-BA</t>
  </si>
  <si>
    <t>7MG219_CASING_COLLAR_LOG_AND_PERFORATING_RECORD_1_9.875_1974-11-17.pdf</t>
  </si>
  <si>
    <t>7MG219_CASING_COLLAR_LOG_AND_PERFORATING_RECORD_1_9.875_1975-10-19 (2).pdf</t>
  </si>
  <si>
    <t>7MG219_CASING_COLLAR_LOG_AND_PERFORATING_RECORD_1_9.875_1975-10-19.pdf</t>
  </si>
  <si>
    <t>7MG219_CONTROLE_DE_PROFUNDIDADE_CGEL_1_200_9.875_1997-12-14 (2).pdf</t>
  </si>
  <si>
    <t>7MG219_CONTROLE_DE_PROFUNDIDADE_CGEL_1_200_9.875_1997-12-14.pdf</t>
  </si>
  <si>
    <t>7MG219_REGISTRO_DE_CANHONEIO_1_240_1992-04-26.pdf</t>
  </si>
  <si>
    <t>7-MG-223-BA</t>
  </si>
  <si>
    <t>7MG223_CONTROLE_DE_CANHONEIO_1_1975-02-03.pdf</t>
  </si>
  <si>
    <t>7MG223_PERFIL_ELETRICO_INDU€AO_1_1000_9.875_1974-12-21.pdf</t>
  </si>
  <si>
    <t>7MG223_RECONCAVO_CANHONEIO_1_200_2004-01-23 (2).pdf</t>
  </si>
  <si>
    <t>7MG223_RECONCAVO_CANHONEIO_1_200_2004-01-23.pdf</t>
  </si>
  <si>
    <t>7-MG-224-BA</t>
  </si>
  <si>
    <t>7MG224_CASING_COLLAR_LOG_AND_PERFORATING_RECORD_200_9.875_1978-1978-02-27 (2).pdf</t>
  </si>
  <si>
    <t>7MG224_CASING_COLLAR_LOG_AND_PERFORATING_RECORD_200_9.875_1978-1978-02-27.pdf</t>
  </si>
  <si>
    <t>7-MG-225-BA</t>
  </si>
  <si>
    <t>7MG225_CASING_COLLAR_LOG_AND_PERFORATING_RECORD_1_1975-02-23.pdf</t>
  </si>
  <si>
    <t>7MG225_CCL_1_1975-02-27.pdf</t>
  </si>
  <si>
    <t>7-MG-232-BA</t>
  </si>
  <si>
    <t>7MG232_CANHONEIO_CGEL_1_200_8.500_2000-12-06.pdf</t>
  </si>
  <si>
    <t>7-MG-233-BA</t>
  </si>
  <si>
    <t>7MG233_RECONCAVO_RST_1_200_9.875_2009-05-27.pdf</t>
  </si>
  <si>
    <t>7-MG-239-BA</t>
  </si>
  <si>
    <t>7MG239_CANHONEIO_CGEL_1_200_8.500_2000-12-20 (2).pdf</t>
  </si>
  <si>
    <t>7MG239_CANHONEIO_CGEL_1_200_8.500_2000-12-20.pdf</t>
  </si>
  <si>
    <t>7MG239_CASING_COLLAR_LOG_AND_PERFORATING_RECORD_1_200_9.875_1977-05-10.pdf</t>
  </si>
  <si>
    <t>7-MG-24-BA</t>
  </si>
  <si>
    <t>7MG24_(ILEGIVEL) (1).pdf</t>
  </si>
  <si>
    <t>7MG24_(ILEGIVEL) (2).pdf</t>
  </si>
  <si>
    <t>7MG24_RECONCAVO_CANHONEIO_1_200_7.000_2012-08-13 (2).pdf</t>
  </si>
  <si>
    <t>7MG24_RECONCAVO_CANHONEIO_1_200_7.000_2012-08-13.pdf</t>
  </si>
  <si>
    <t>7MG24_RECONCAVO_PDCL-GR-CCL_1_200_7.000_2012-08-13 (2).pdf</t>
  </si>
  <si>
    <t>7MG24_RECONCAVO_PDCL-GR-CCL_1_200_7.000_2012-08-13.pdf</t>
  </si>
  <si>
    <t>7-MG-247-BA</t>
  </si>
  <si>
    <t>7MG247_CASING_COLLAR_LOG_AND_PERFORATING_RECORD_1_200_9.875_1978-08-03.pdf</t>
  </si>
  <si>
    <t>7-MG-250-BA</t>
  </si>
  <si>
    <t>7MG250_RECONCAVO_GR-CCL_1_200_2013-07-31 (2).pdf</t>
  </si>
  <si>
    <t>7MG250_RECONCAVO_GR-CCL_1_200_2013-07-31.pdf</t>
  </si>
  <si>
    <t>7MG250_REGISTRO_DE_ASSENTAMENTO_1_200_9.875_1990-12-23 (2).pdf</t>
  </si>
  <si>
    <t>7MG250_REGISTRO_DE_ASSENTAMENTO_1_200_9.875_1990-12-23.pdf</t>
  </si>
  <si>
    <t>7MG250_REGISTRO_DE_CANHONEIO_2_200_9.875_1990-12-23 (2).pdf</t>
  </si>
  <si>
    <t>7MG250_REGISTRO_DE_CANHONEIO_2_200_9.875_1990-12-23.pdf</t>
  </si>
  <si>
    <t>7-MG-253-BA</t>
  </si>
  <si>
    <t>7MG253_CASING_COLLAR_LOG_AND_PERFORATING_RECORD_1985-01-24.pdf</t>
  </si>
  <si>
    <t>7-MG-256-BA</t>
  </si>
  <si>
    <t>7MG256_ASSENTAMENTO_DE_BPP_1_200_8.500_1999-11-28 (2).pdf</t>
  </si>
  <si>
    <t>7MG256_ASSENTAMENTO_DE_BPP_1_200_8.500_1999-11-28.pdf</t>
  </si>
  <si>
    <t>7MG256_CANHONEIO_CGEL_1_200_8.500_1999-11-28 (2).pdf</t>
  </si>
  <si>
    <t>7MG256_CANHONEIO_CGEL_1_200_8.500_1999-11-28.pdf</t>
  </si>
  <si>
    <t>7MG256_CASING_COLLAR_LOG_AND_PEFORATING_RECORD_1_200_9.625_1976-03-06.pdf</t>
  </si>
  <si>
    <t>7MG256_MEDIDOR_DO_CABO_1_9.875_1987-06-05.pdf</t>
  </si>
  <si>
    <t>7MG256_PDCL_1_200_8.500_1999-11-28 (2).pdf</t>
  </si>
  <si>
    <t>7MG256_PDCL_1_200_8.500_1999-11-28.pdf</t>
  </si>
  <si>
    <t>7MG256_REGISTRO_DE_CANHONEIO_1_200_12.250_1990-08-19.pdf</t>
  </si>
  <si>
    <t>7MG256_REGISTRO_DE_CANHONEIO_1_200_8.500_1990-08-21.pdf</t>
  </si>
  <si>
    <t>7-MG-258-BA</t>
  </si>
  <si>
    <t>7MG258_INDUCTION_ELECTRICAL_LOG_1_12.250_1979-06-04.pdf</t>
  </si>
  <si>
    <t>7MG258_INDUCTION_ELECTRICAL_LOG_2_8.500_1979-06-13.pdf</t>
  </si>
  <si>
    <t>7MG258_PSGT-GR-CCL_1_200_2006-03-12 (2).pdf</t>
  </si>
  <si>
    <t>7MG258_PSGT-GR-CCL_1_200_2006-03-12.pdf</t>
  </si>
  <si>
    <t>7MG258_RECONCAVO_CANHONEIO_1_200_2006-06-04 (2).pdf</t>
  </si>
  <si>
    <t>7MG258_RECONCAVO_CANHONEIO_1_200_2006-06-04.pdf</t>
  </si>
  <si>
    <t>7MG258_RECONCAVO_DML_1_200_2014-12-05 (2).pdf</t>
  </si>
  <si>
    <t>7MG258_RECONCAVO_DML_1_200_2014-12-05.pdf</t>
  </si>
  <si>
    <t>7-MG-259-BA</t>
  </si>
  <si>
    <t>7MG259_PERFORATING_CONTROL_1985-05-17.pdf</t>
  </si>
  <si>
    <t>7-MG-29-BA</t>
  </si>
  <si>
    <t>7MG29_RECONCAVO_CBL-MSG-GR-CCL_1_200_2012-08-15.pdf</t>
  </si>
  <si>
    <t>7MG29_RECONCAVO_CBL_MSG-GR-CCL_1_200_2012-08-15.pdf</t>
  </si>
  <si>
    <t>7-MGP-16-BA</t>
  </si>
  <si>
    <t>7MGP16_COMPENSATED_DENSITY_COMPENSATED_NEUTRON_LOG_1_1986-12-05.pdf</t>
  </si>
  <si>
    <t>7-MP-29-BA</t>
  </si>
  <si>
    <t>7MP29_(ILEGIVEL) (2).pdf</t>
  </si>
  <si>
    <t>7MP29_(ILEGIVEL).pdf</t>
  </si>
  <si>
    <t>7-QT-226D-BA</t>
  </si>
  <si>
    <t>7TQ226D_RECONCAVO_CANHONEIO_1_200_2015-07-02.pdf</t>
  </si>
  <si>
    <t>8-MG-129-BA</t>
  </si>
  <si>
    <t>8MG129_CANHONEIO_CGEL_200_10.750_1991-09-14 (2).pdf</t>
  </si>
  <si>
    <t>8MG129_CANHONEIO_CGEL_200_10.750_1991-09-14 (3).pdf</t>
  </si>
  <si>
    <t>8MG129_CANHONEIO_CGEL_200_10.750_1991-09-14.pdf</t>
  </si>
  <si>
    <t>8MG129_PDCL_200_10.750_1997-09-14.pdf</t>
  </si>
  <si>
    <t>8-MG-133-BA</t>
  </si>
  <si>
    <t>8MG133_PERFIL_ELETRICO_INDU€ÇO_1_200_8.875_1969-12-09.pdf</t>
  </si>
  <si>
    <t>8-MG-135-BA</t>
  </si>
  <si>
    <t>8MG135_CANHONEIO_CGEL_1_200_9.875_1997-12-23.pdf</t>
  </si>
  <si>
    <t>8-MG-143-BA</t>
  </si>
  <si>
    <t>8MG143_CANHONEIO_1_500_1997-05-17.pdf</t>
  </si>
  <si>
    <t>8MG143_CASING_COLLAR_LOG_AND_PERFORATING_RECORD_2_200_1973-10-20.pdf</t>
  </si>
  <si>
    <t>8-MG-148-BA</t>
  </si>
  <si>
    <t>8MG148_CASING_COLLAR_LOG_AND_PERFORATING_RECORD_1_1975-06-07.pdf</t>
  </si>
  <si>
    <t>8-MG-151-BA</t>
  </si>
  <si>
    <t>8MG151_CASING_COLLAR_LOG_AND_PERFORATING_RECORD_1_9.875_1970-09-29.pdf</t>
  </si>
  <si>
    <t>8-MG-245-BA</t>
  </si>
  <si>
    <t>8MG245_CGEL_1_200_8.500_1996-03-03.pdf</t>
  </si>
  <si>
    <t>9-MG-247-BA</t>
  </si>
  <si>
    <t>9MG247_CASING_COLLAR_LOG_+AND_PERFORATING_RECORD_1_1978-08-08.pdf</t>
  </si>
  <si>
    <t>MG-177-BA</t>
  </si>
  <si>
    <t>MG177_CEMENT_BOND_LOG_1_9.625_1972-02-24.pdf</t>
  </si>
  <si>
    <t>3-MG-13-BA</t>
  </si>
  <si>
    <t>CAIXA 13</t>
  </si>
  <si>
    <t>3MG13_RECONCAVO_CANHONEIO_DML_1_200_2015-11-26 (2).pdf</t>
  </si>
  <si>
    <t>3MG13_RECONCAVO_CANHONEIO_DML_1_200_2015-11-26.pdf</t>
  </si>
  <si>
    <t>3MG13_RECONCAVO_CANHONEIO_HSD_1_200_2015-11-27 (2).pdf</t>
  </si>
  <si>
    <t>3MG13_RECONCAVO_CANHONEIO_HSD_1_200_2015-11-27.pdf</t>
  </si>
  <si>
    <t>7-MG-03-BA</t>
  </si>
  <si>
    <t>7MG03_RECONCAVO_CANHONEIO_1_200_2005-12-12 (2).pdf</t>
  </si>
  <si>
    <t>7MG03_RECONCAVO_CANHONEIO_1_200_2005-12-12.pdf</t>
  </si>
  <si>
    <t>7-MG-04-BA</t>
  </si>
  <si>
    <t>7MG4_REGISTRO_DE_CANHONEIO_1_240_1992-09-17 (2).pdf</t>
  </si>
  <si>
    <t>7MG4_REGISTRO_DE_CANHONEIO_1_240_1992-09-17.pdf</t>
  </si>
  <si>
    <t>7-MG-08-BA</t>
  </si>
  <si>
    <t>7MG08_(ILEGIVEL) (1).pdf</t>
  </si>
  <si>
    <t>7MG08_(ILEGIVEL) (2).pdf</t>
  </si>
  <si>
    <t>7-MG-109-BA</t>
  </si>
  <si>
    <t>7MG109_RECONCAVO_CANHONEIO_1_200_2006-10-26 (2).pdf</t>
  </si>
  <si>
    <t>7MG109_RECONCAVO_CANHONEIO_1_200_2006-10-26.pdf</t>
  </si>
  <si>
    <t>7MG109_RECONCAVO_DML_XXIII_1_200_2006-11-01 (2).pdf</t>
  </si>
  <si>
    <t>7MG109_RECONCAVO_DML_XXIII_1_200_2006-11-01.pdf</t>
  </si>
  <si>
    <t>7MG109_RECONCAVO_PDCL_1_200_2006-10-26 (2).pdf</t>
  </si>
  <si>
    <t>7MG109_RECONCAVO_PDCL_1_200_2006-10-26.pdf</t>
  </si>
  <si>
    <t>7-MG-112-BA</t>
  </si>
  <si>
    <t>7MG112_PDCL_1_200_8.625_1987-07-03.pdf</t>
  </si>
  <si>
    <t>7-MG-113-BA</t>
  </si>
  <si>
    <t>7MG113_(ILEGIVEL) (1).pdf</t>
  </si>
  <si>
    <t>7MG113_(ILEGIVEL) (2).pdf</t>
  </si>
  <si>
    <t>7MG113_RECONCAVO_PDCL_1_200_2007-09-30.pdf</t>
  </si>
  <si>
    <t>7-MG-114-BA</t>
  </si>
  <si>
    <t>7MG114_CONTROLE_DE_CANHONEIO_1_1972-11.pdf</t>
  </si>
  <si>
    <t>7-MG-12-BA</t>
  </si>
  <si>
    <t>7MG12_(ILEGIVEL) (1).pdf</t>
  </si>
  <si>
    <t>7MG12_(ILEGIVEL) (2).pdf</t>
  </si>
  <si>
    <t>7MG12_(ILEGIVEL) (3).pdf</t>
  </si>
  <si>
    <t>7MG12_(ILEGIVEL) (4).pdf</t>
  </si>
  <si>
    <t>7MG12_(ILEGIVEL) (5).pdf</t>
  </si>
  <si>
    <t>7MG12_(ILEGIVEL) (6).pdf</t>
  </si>
  <si>
    <t>7MG12_CASING_COLLAR_LOG_AND_PERFORATING_RECORD_1_9.875_1974-05-22.pdf</t>
  </si>
  <si>
    <t>7-MG-123-BA</t>
  </si>
  <si>
    <t>7MG123_PERFIL_SONICO_1_200_8.625_1968-08-29.pdf</t>
  </si>
  <si>
    <t>7-MG-124-BA</t>
  </si>
  <si>
    <t>7MG124_CASING_COLLAR_LOG_AND_PERFORATING_RECORD_1_200_9.625_1977-07-24.pdf</t>
  </si>
  <si>
    <t>7MG124_RECONCAVO_DML_HSD_1_200_2014-11-25 (2).pdf</t>
  </si>
  <si>
    <t>7MG124_RECONCAVO_DML_HSD_1_200_2014-11-25.pdf</t>
  </si>
  <si>
    <t>7-MG-14-BA</t>
  </si>
  <si>
    <t>7MG14_RECONCAVO_DML_1_200_2014-12-17 (2).pdf</t>
  </si>
  <si>
    <t>7MG14_RECONCAVO_DML_1_200_2014-12-17.pdf</t>
  </si>
  <si>
    <t>7-MG-15-BA</t>
  </si>
  <si>
    <t>7MG15_(ILEGIVEL) (1).pdf</t>
  </si>
  <si>
    <t>7MG15_(ILEGIVEL) (2).pdf</t>
  </si>
  <si>
    <t>7MG15_CASING_COLLAR_LOG_AND_PERFORATING_RECORD_1976-05-19 (2).pdf</t>
  </si>
  <si>
    <t>7MG15_CASING_COLLAR_LOG_AND_PERFORATING_RECORD_1976-05-19 (3).pdf</t>
  </si>
  <si>
    <t>7MG15_CASING_COLLAR_LOG_AND_PERFORATING_RECORD_1976-05-19.pdf</t>
  </si>
  <si>
    <t>7MG15_CASING_COLLAR_LOG_AND_PERFORATING_RECORD_1_200_8.625_1977-09-09 (2).pdf</t>
  </si>
  <si>
    <t>7MG15_CASING_COLLAR_LOG_AND_PERFORATING_RECORD_1_200_8.625_1977-09-09.pdf</t>
  </si>
  <si>
    <t>7-MG-2-BA</t>
  </si>
  <si>
    <t>7MG2_(ILEGIVEL).pdf</t>
  </si>
  <si>
    <t>7MG2_ASSENTAMENTO_DE_TAMPAO_CONTROLE_DE_CANHONEIO_1_1975-10-09.pdf</t>
  </si>
  <si>
    <t>7MG342_ASSENTAMENTO_BPP_1_200_1998-01-28 (2).pdf</t>
  </si>
  <si>
    <t>7MG342_ASSENTAMENTO_BPP_1_200_1998-01-28.pdf</t>
  </si>
  <si>
    <t>7MG342_CANHONEIO_1_200_7.000_1998-01-28 (2).pdf</t>
  </si>
  <si>
    <t>7MG342_CANHONEIO_1_200_7.000_1998-01-28.pdf</t>
  </si>
  <si>
    <t>7-MG-7-BA</t>
  </si>
  <si>
    <t>7MG7_CASING_COLLAR_LOG_AND_PETFORATING_RECORD_1976-04-22.pdf</t>
  </si>
  <si>
    <t>7MG7_CASING_COLLAR_LOG_AND_PETFORATING_RECORD_1976-04-25.pdf</t>
  </si>
  <si>
    <t>7MG7_CASING_COLLAR_LOG_AND_PETFORATING_RECORD_1982-07-07.pdf</t>
  </si>
  <si>
    <t>7MG7_CONTROLE_DE_CANHONEIO_1_1974-04-04.pdf</t>
  </si>
  <si>
    <t>7MG7_RECONCAVO_CANHONEIO_1_200_2004-08-27.pdf</t>
  </si>
  <si>
    <t>7MG7_RECONCAVO_CANHONEIO_1_200_8.500_2004-08-26.pdf</t>
  </si>
  <si>
    <t>7MG7_RECONCAVO_PDCL_1_200_8.500_2004-08-26.pdf</t>
  </si>
  <si>
    <t>7MG7_REGISTRO_DE_ASSENTAMENTO_1_200_9.625_1995-05-11.pdf</t>
  </si>
  <si>
    <t>7-MG-71-BA</t>
  </si>
  <si>
    <t>7MG71_RECONCAVO_BPP_1_200_8.625_2021-08-27.pdf</t>
  </si>
  <si>
    <t>7-MG-74-BA</t>
  </si>
  <si>
    <t>7MG74_RECONCAVO_GAMMA-CCL_1_200_8.500_2014-03-06 (2).pdf</t>
  </si>
  <si>
    <t>7MG74_RECONCAVO_GAMMA-CCL_1_200_8.500_2014-03-06.pdf</t>
  </si>
  <si>
    <t>7-MG-78-BA</t>
  </si>
  <si>
    <t>7MG78_PERFIL_DE_CANHONEIO_1_8.625_1994-02-18 (2).pdf</t>
  </si>
  <si>
    <t>7MG78_PERFIL_DE_CANHONEIO_1_8.625_1994-02-18.pdf</t>
  </si>
  <si>
    <t>7-MG-80R-BA</t>
  </si>
  <si>
    <t>7MG80R_BPP_CANHONEIO_200_8.625_1992-06-19.pdf</t>
  </si>
  <si>
    <t>7-MG-82-BA</t>
  </si>
  <si>
    <t>7MG82_GR_CCL-CANHONEIO_CGEL_1_200_8.500_2002-10-24 (2).pdf</t>
  </si>
  <si>
    <t>7MG82_GR_CCL-CANHONEIO_CGEL_1_200_8.500_2002-10-24.pdf</t>
  </si>
  <si>
    <t>7MG82_INDICADOR_DE_PONTO_LIVRE_1_200_8.000_2002-09-23 (2).pdf</t>
  </si>
  <si>
    <t>7MG82_INDICADOR_DE_PONTO_LIVRE_1_200_8.000_2002-09-23 (3).pdf</t>
  </si>
  <si>
    <t>7MG82_INDICADOR_DE_PONTO_LIVRE_1_200_8.000_2002-09-23.pdf</t>
  </si>
  <si>
    <t>7MG82_JET_CUTTER_1_200_8.000_2002-09-23.pdf</t>
  </si>
  <si>
    <t>7MG82_REGISTRO_DE_CANHONEIO_1_200_8.625_1980-09-09.pdf</t>
  </si>
  <si>
    <t>7-MG-83-BA</t>
  </si>
  <si>
    <t>7MG83_CASING_COLLAR_LOG_AND_PERFORATING_RECORD_1_200_8.625_1978-01-23.pdf</t>
  </si>
  <si>
    <t>7MG83_CASING_COLLAR_LOG_AND_PERFORATING_RECORD_1_8.625_1970-12-29.pdf</t>
  </si>
  <si>
    <t>7MG83_PERFORATING_DEPTH_CONTROL_1_200_8.625_1978-01-23 (2).pdf</t>
  </si>
  <si>
    <t>7MG83_PERFORATING_DEPTH_CONTROL_1_200_8.625_1978-01-23.pdf</t>
  </si>
  <si>
    <t>7-MG-9-BA</t>
  </si>
  <si>
    <t>7MG9_REGISTRO_DE_CANHONEIO_CG-EL_1_200_9.875_1993-11-14 (2).pdf</t>
  </si>
  <si>
    <t>7MG9_REGISTRO_DE_CANHONEIO_CG-EL_1_200_9.875_1993-11-14.pdf</t>
  </si>
  <si>
    <t>7-MG-91-BA</t>
  </si>
  <si>
    <t>7MG91_RECONCAVO_CANHONEIO_1_200_2012-03-29 (2).pdf</t>
  </si>
  <si>
    <t>7MG91_RECONCAVO_CANHONEIO_1_200_2012-03-29.pdf</t>
  </si>
  <si>
    <t>7MG91_RECONCAVO_PDCL_1_200_2012-03-28 (2).pdf</t>
  </si>
  <si>
    <t>7MG91_RECONCAVO_PDCL_1_200_2012-03-28.pdf</t>
  </si>
  <si>
    <t>7-MG-97-BA</t>
  </si>
  <si>
    <t>7MG97_REGISTRO_DE_CANHONEIO_200_1998-07-27.pdf</t>
  </si>
  <si>
    <t>7-MG-99-BA</t>
  </si>
  <si>
    <t>7MG99_RECONCAVO_CANHONEIO_DML_1_200_2015-11-27 (2).pdf</t>
  </si>
  <si>
    <t>7MG99_RECONCAVO_CANHONEIO_DML_1_200_2015-11-27 (3).pdf</t>
  </si>
  <si>
    <t>7MG99_RECONCAVO_CANHONEIO_DML_1_200_2015-11-27.pdf</t>
  </si>
  <si>
    <t>7MGP16_CG-EL_1_8.500_1987-04-21.pdf</t>
  </si>
  <si>
    <t>7MGP16_COMPENSATED_DENSITY_COMPENSATED_NEUTRON_LOG_1_8.500_1986-12-31.pdf</t>
  </si>
  <si>
    <t>7MGP16_INDUCTION_ELECTRICAL_LOG_1_12.250_1986-12-05.pdf</t>
  </si>
  <si>
    <t>7MGP16_INDUCTION_ELECTRICAL_LOG_1_8.500_1986-12-31.pdf</t>
  </si>
  <si>
    <t>8-MG-12-BA</t>
  </si>
  <si>
    <t>8MG12_CASING_COLLAR_LOG_AND_PERFORATING_RECORD_1_200_1977-05-05.pdf</t>
  </si>
  <si>
    <t>8-MG-125-BA</t>
  </si>
  <si>
    <t>8MG125_CANHONEIO_CGEL_1_200_8.500_1997-09-08 (2).pdf</t>
  </si>
  <si>
    <t>8MG125_CANHONEIO_CGEL_1_200_8.500_1997-09-08.pdf</t>
  </si>
  <si>
    <t>8MG125_PDCL_1_200_8.500_1997-09-08 (2).pdf</t>
  </si>
  <si>
    <t>8MG125_PDCL_1_200_8.500_1997-09-08.pdf</t>
  </si>
  <si>
    <t>8-MG-128-BA</t>
  </si>
  <si>
    <t>8MG128_BPP_1_200_12.250_1997-09-21 (2).pdf</t>
  </si>
  <si>
    <t>8MG128_BPP_1_200_12.250_1997-09-21.pdf</t>
  </si>
  <si>
    <t>8MG128_PDCL_1_200_9.875_1997-10-17 (2).pdf</t>
  </si>
  <si>
    <t>8MG128_PDCL_1_200_9.875_1997-10-17.pdf</t>
  </si>
  <si>
    <t>8MG128_PIVOT_GUN_1_200_9.875_1997-10-18 (2).pdf</t>
  </si>
  <si>
    <t>8MG128_PIVOT_GUN_1_200_9.875_1997-10-18 (3).pdf</t>
  </si>
  <si>
    <t>8MG128_PIVOT_GUN_1_200_9.875_1997-10-18.pdf</t>
  </si>
  <si>
    <t>8MG128_RECONCAVO_CANHONEIO_1_200_2006-06-17 (2).pdf</t>
  </si>
  <si>
    <t>8MG128_RECONCAVO_CANHONEIO_1_200_2006-06-17.pdf</t>
  </si>
  <si>
    <t>8MG128_RECONCAVO_GR-CCL_1_200_2006-06-17.pdf</t>
  </si>
  <si>
    <t>8-MG-305-BA</t>
  </si>
  <si>
    <t>8MG305_CANHONEIO_CGEL_1_200_8.000_1999-07-12.pdf</t>
  </si>
  <si>
    <t>8-MG-83-BA</t>
  </si>
  <si>
    <t>8MG83_CONTROLE_DE_CANHONEIO_1_1974-01-05.pdf</t>
  </si>
  <si>
    <t>MG-07-BA</t>
  </si>
  <si>
    <t>MG7_CASING_COLLAR_LOG_AND_PERFORATING_RECORD_1_200_1965-11-11.pdf</t>
  </si>
  <si>
    <t>MG7_CASING_COLLAR_LOG_AND_PERFORATING_RECORD_1_200_9.625_1965-11-03.pdf</t>
  </si>
  <si>
    <t>MG-110-BA</t>
  </si>
  <si>
    <t>MG110_PERFORATING_RECORD_1_8.625_1982-12-31.pdf</t>
  </si>
  <si>
    <t>MG-12-BA</t>
  </si>
  <si>
    <t>MG12_CASING_COLLAR_LOG_AND_PERFORATING_RECORD_3_200_9.625_1966-01-02.pdf</t>
  </si>
  <si>
    <t>MG12_CONTROLE_DE-CANHONEIO_1_1974-11-05.pdf</t>
  </si>
  <si>
    <t>MG-120-BA</t>
  </si>
  <si>
    <t>MG120_(ILEGIVEL).pdf</t>
  </si>
  <si>
    <t>MG-3-BA</t>
  </si>
  <si>
    <t>MG3_CASING_COLLAR_LOG_AND_PERFORATING_RECORD_1_9.625_1984-04-23 (2).pdf</t>
  </si>
  <si>
    <t>MG3_CASING_COLLAR_LOG_AND_PERFORATING_RECORD_1_9.625_1984-04-23.pdf</t>
  </si>
  <si>
    <t>MG-4-BA</t>
  </si>
  <si>
    <t>MG4_CEMENT_BOND_LOG_2_200_8.625_1965-09-11.pdf</t>
  </si>
  <si>
    <t>MG-75-BA</t>
  </si>
  <si>
    <t>MG75_PERFIL_ELETRICO_INDU€AO_1_1000_1966-11-29.pdf</t>
  </si>
  <si>
    <t>MG-83-BA</t>
  </si>
  <si>
    <t>MG83_CANHONEIO_HSD_1_200_8.625_1997-10-14.pdf</t>
  </si>
  <si>
    <t>MG83_CASING_COLLAR_LOG_AND_PERFORATING_RECORD_2_8.625_1971-08-28.pdf</t>
  </si>
  <si>
    <t>MG83_CONTROLE_DE_CANHONEIO_1_1971-09-13 (2).pdf</t>
  </si>
  <si>
    <t>MG83_CONTROLE_DE_CANHONEIO_1_1971-09-13.pdf</t>
  </si>
  <si>
    <t>MG83_PERFORATING_DEPTH_CONTROL_1_200_8.625_1966-12-29.pdf</t>
  </si>
  <si>
    <t>1-MUI-1-BA</t>
  </si>
  <si>
    <t>RECONCAVO</t>
  </si>
  <si>
    <t>CAIXA 14</t>
  </si>
  <si>
    <t>1MUI1_RECONCAVO_3_200_8.500_2022-01-24.pdf</t>
  </si>
  <si>
    <t>1MUI1_RECONCAVO_BPP_3_200_8.500_2022-01-03.pdf</t>
  </si>
  <si>
    <t>1MUI1_RECONCAVO_CANHONEIO_1_200_8.500_2022-01-05.pdf</t>
  </si>
  <si>
    <t>1MUI1_RECONCAVO_CBL-MSG-GR-CCL_1_200_8.500_2022-01-08.pdf</t>
  </si>
  <si>
    <t>1MUI1_RECONCAVO_CBL-MSG-GR-CCL_3_200_8.500_2022-01-03.pdf</t>
  </si>
  <si>
    <t>1MUI1_RECONCAVO_DML_3_200_8.500_2022-01-03.pdf</t>
  </si>
  <si>
    <t>1MUI1_RECONCAVO_JET_CUTTER_1_200_2022-01-28.pdf</t>
  </si>
  <si>
    <t>1MUI1_RECONCAVO_JET_CUTTER_1_200_8.500_2022-01-09.pdf</t>
  </si>
  <si>
    <t>3-CX-12-BA</t>
  </si>
  <si>
    <t>3CX12_CEMENT_EVALUATION_LOG_1_200_8.500_1984-08-02.pdf</t>
  </si>
  <si>
    <t>3-CX-61-BA</t>
  </si>
  <si>
    <t>3CX61-REGISTRO_DE_CANHONEIO_1_200_8.500_1993-11-26.pdf</t>
  </si>
  <si>
    <t>3-CX-62-BA</t>
  </si>
  <si>
    <t>3CX62_REGISTRO_DE_CANHONEIO_E_BPP_1_200_13.375_1991-08-12.pdf</t>
  </si>
  <si>
    <t>3-SC-8-BA</t>
  </si>
  <si>
    <t>3SC8_COMPENSATED_FORMATION_DENSITY_LOG_1_200_8.625_1968-04-09.pdf</t>
  </si>
  <si>
    <t>4-BRSA-1274D-BA</t>
  </si>
  <si>
    <t>4BRSA_RECONCAVO_TERRA_COMPOSITE_1_200_8.750_2014-11-06.pdf</t>
  </si>
  <si>
    <t>4-BRSA-815-BA</t>
  </si>
  <si>
    <t>4BRSA815_RECONCAVO_COMPOSITE_2_200_8.500_2010-04-02.pdf</t>
  </si>
  <si>
    <t>4-CX-1-BA</t>
  </si>
  <si>
    <t>4CX1_CNL-GR-CCL_1_200_12.250_1988-10-18.pdf</t>
  </si>
  <si>
    <t>4CX1_PLT_1_12.250_1988-12-02.pdf</t>
  </si>
  <si>
    <t>4CX1_TEMPERATURA_E_GRADIO_1_8.500_1987-07-02.pdf</t>
  </si>
  <si>
    <t>4-CX-13-BA</t>
  </si>
  <si>
    <t>4CX13_RECONCAVO_BPP_1_200_2015-12-08.pdf</t>
  </si>
  <si>
    <t>4CX13_RECONCAVO_BPP_1_200_2015-12-09.pdf</t>
  </si>
  <si>
    <t>4-GNB-1D-BA</t>
  </si>
  <si>
    <t>4GNB1D_RECONCAVO_CANHONEIO_1_200_8.750_2009-08-11.pdf</t>
  </si>
  <si>
    <t>4GNB1D_RECONCAVO_CBL-MSG-GR-CCL_1_200_8.750_2009-08-10.pdf</t>
  </si>
  <si>
    <t>7-A-11-BA</t>
  </si>
  <si>
    <t>7A11_CANHONEIO_CGEL_1_200_8.500_2004-12-24.pdf</t>
  </si>
  <si>
    <t>7A11_RAIOS_GAMA_1_100_8.500_2004-12-24.pdf</t>
  </si>
  <si>
    <t>7-A-18-BA</t>
  </si>
  <si>
    <t>7A18_CASING_COLLAR_LOG_AND_PERFORATING_RECORD_1_1975-01-16.pdf</t>
  </si>
  <si>
    <t>7A18_CASING_COLLAR_LOG_AND_PERFORATING_RECORD_1_8.625_1975-01-19.pdf</t>
  </si>
  <si>
    <t>7-A-9-BA</t>
  </si>
  <si>
    <t>7A9_(ILEGIVEL).pdf</t>
  </si>
  <si>
    <t>7-C-115-BA</t>
  </si>
  <si>
    <t>7C115_REGISTRO_DE_CANHONEIO_CGEL_200_1992-01-01.pdf</t>
  </si>
  <si>
    <t>7-C-129-BA</t>
  </si>
  <si>
    <t>7C129_RECONCAVO_CBL_1_200_8.625_2021-01-12.pdf</t>
  </si>
  <si>
    <t>7C129_RECONCAVO_DML_10_200_8.625_2021-01-22.pdf</t>
  </si>
  <si>
    <t>7C129_RECONCAVO_DML_1_200_8.625-2021-01-14.pdf</t>
  </si>
  <si>
    <t>7C129_RECONCAVO_DML_1_200_8.625_2021-01-20.pdf</t>
  </si>
  <si>
    <t>7-C-15-BA</t>
  </si>
  <si>
    <t>7C15_CONTROLE_DE_CANHONEIO_1_1987-10-29.pdf</t>
  </si>
  <si>
    <t>7-C-159-BA</t>
  </si>
  <si>
    <t>7C159_GR-CCL_1_200_1998-10-07.pdf</t>
  </si>
  <si>
    <t>7-C-161-BA</t>
  </si>
  <si>
    <t>7C161_CANHONEIO_CGEL_1_200_8.500_2001-08-11.pdf</t>
  </si>
  <si>
    <t>7-C-173D-BA</t>
  </si>
  <si>
    <t>7C173D_CASING_COLLAR_LOG_AND_PERFORATING_RECORD_1_1975-09-08.pdf</t>
  </si>
  <si>
    <t>7-C-180-BA</t>
  </si>
  <si>
    <t>7C180_REGISTRO_DE_CANHONEIO_CGEL_200_8.500_1992-02-20.pdf</t>
  </si>
  <si>
    <t>7-C-24-BA</t>
  </si>
  <si>
    <t>7C24_PERFORATING_DEPTH_CONTROL_1_1980-10-10.pdf</t>
  </si>
  <si>
    <t>7-C-69-BA</t>
  </si>
  <si>
    <t>7C69_RECONCAVO_1_200_8.500_2020-12-23.pdf</t>
  </si>
  <si>
    <t>7C69_RECONCAVO_DML_1_200_8.500_2020-12-26.pdf</t>
  </si>
  <si>
    <t>7-CA-94-BA</t>
  </si>
  <si>
    <t>7CA94_CASING_COLLAR_LOG_AND_PERFORATING_RECORD_1979-11-03.pdf</t>
  </si>
  <si>
    <t>7-CX-11-BA</t>
  </si>
  <si>
    <t>7CX11_RECONCAVO_BPP_1_200_2015-12-07.pdf</t>
  </si>
  <si>
    <t>7CX11_RECONCAVO_CANHONEIO_HSD_1_200_2015-12-08.pdf</t>
  </si>
  <si>
    <t>7-CX-52-BA</t>
  </si>
  <si>
    <t>7CX52_CANHONEIO_CGEL_1_200_8.500_2001-07-01.pdf</t>
  </si>
  <si>
    <t>7CX52_CEMENT_BOND_LOG_1_8.500_1991-12-15.pdf</t>
  </si>
  <si>
    <t>7CX52_PERFORATING_DEPTH_CONTROL_1_1991-12-29.pdf</t>
  </si>
  <si>
    <t>7CX52_PERFORATING_DEPTH_CONTROL_1_8.500_1991-12-15.pdf</t>
  </si>
  <si>
    <t>7-CX-54-BA</t>
  </si>
  <si>
    <t>7CX54_CANHONEIO_1_200_8.500_2003-12-10.pdf</t>
  </si>
  <si>
    <t>7CX54_RECONCAVO_CANHONEIO_4_200_2011-12-27.pdf</t>
  </si>
  <si>
    <t>7-CX-56-BA</t>
  </si>
  <si>
    <t>7CX56_CBL-MSG-TT-GR-CCL_1_1990-04-22.pdf</t>
  </si>
  <si>
    <t>7CX56_CORRELA€AO_PARA_ASSENTAMENTO_DE_TAMPAO_CCL_1_200_8.500_2014-04-01.pdf</t>
  </si>
  <si>
    <t>7CX56_GAMMA_RAY_DE_CORRELA€AO_1_1990-04-22.pdf</t>
  </si>
  <si>
    <t>7-CX-65-BA</t>
  </si>
  <si>
    <t>7CX65_COMPOSITE_1_200_8.500_1990-12-06.pdf</t>
  </si>
  <si>
    <t>7-CX-73-BA</t>
  </si>
  <si>
    <t>7CX73_RECONCAVO_GR-CCL_1_200_2013-08-03.pdf</t>
  </si>
  <si>
    <t>7-CX-77-BA</t>
  </si>
  <si>
    <t>7CX77_CANHONEIO_CGEL_1_200_8.500_1994-07-24.pdf</t>
  </si>
  <si>
    <t>7-CX-79D-BA</t>
  </si>
  <si>
    <t>7CX79D_CANHONEIO_CGEL_2_200_8.500_1995-01-14.pdf</t>
  </si>
  <si>
    <t>7-CX-80D-BA</t>
  </si>
  <si>
    <t>7CX80D_CANHONEIO_CGEL_1_200_8.500_1998-03-07.pdf</t>
  </si>
  <si>
    <t>7CX80D_CONTROLE_DE_PROFUNDIDADE_CGEL_1_200_8.500_1995-12-13.pdf</t>
  </si>
  <si>
    <t>7-CX-81D-BA</t>
  </si>
  <si>
    <t>7CX81D_BPP-CCL_1_200_6.000_1997-12-27.pdf</t>
  </si>
  <si>
    <t>7CX81D_GR-CCL_1_200_8.500_1997-08-07.pdf</t>
  </si>
  <si>
    <t>7-CX-84D-BA</t>
  </si>
  <si>
    <t>7CX84D_CANHONEIO_CGEL_1_200_9.625_2004-08-18.pdf</t>
  </si>
  <si>
    <t>7-DJ-140-BA</t>
  </si>
  <si>
    <t>7DJ140_CASING_COLLAR_LOG_AND_PERFORATING_RECORD_1_1986-10-09.pdf</t>
  </si>
  <si>
    <t>7DJ140_PERFORATING_DEPTH_CONTROL_2_1986-10-09.pdf</t>
  </si>
  <si>
    <t>7-DJ-225-BA</t>
  </si>
  <si>
    <t>7DJ225_COMPENSATED_NEUTRON_FORMATION_DENSITY_1_200_8.500_1981-07-23.pdf</t>
  </si>
  <si>
    <t>7-DJ-292-BA</t>
  </si>
  <si>
    <t>7DJ292_CASING_COLLAR_LOG_AND_PERFORATING_RECORD_1_1975-05-08.pdf</t>
  </si>
  <si>
    <t>7DJ292_CONTROLE_DE_CANHONEIO_1_1972-11-29.pdf</t>
  </si>
  <si>
    <t>7-DJ-335-BA</t>
  </si>
  <si>
    <t>7DJ335_SQUEEZE_2_7.625_1987-06-06.pdf</t>
  </si>
  <si>
    <t>7-DJ-551-BA</t>
  </si>
  <si>
    <t>7DJ551_CONTROLE_DE_PROFUNDIDADE_1_200_7.875_1996-01-07.pdf</t>
  </si>
  <si>
    <t>7DJ551_CONTROLE_DE_PROFUNDIDADE_2_200_7.875_1996-01-12.pdf</t>
  </si>
  <si>
    <t>7DJ551_GR-CCL_1_200_7.875_1996-01-07.pdf</t>
  </si>
  <si>
    <t>7-DJ-683-BA</t>
  </si>
  <si>
    <t>7DJ683_CEMENT_BOND_LOG_1_200_8.500_1977-10-24.pdf</t>
  </si>
  <si>
    <t>7-DJ-70S-BA</t>
  </si>
  <si>
    <t>7DJ70S_(ILEGIVEL).pdf</t>
  </si>
  <si>
    <t>7-DJ-73-BA</t>
  </si>
  <si>
    <t>7DJ73_RECONCAVO_CANHONEIO_1_200_2019-04-27.pdf</t>
  </si>
  <si>
    <t>7DJ73_RECONCAVO_TERRA_TUBING_PUNCHER_1_200_7.625_2019-04-10.pdf</t>
  </si>
  <si>
    <t>7-DJM-250-BA</t>
  </si>
  <si>
    <t>7DJM250_CONTROLE_DE_PROFUNDIDADE_1_200_7.875_1996-01-04.pdf</t>
  </si>
  <si>
    <t>7-GNB-5DP-BA</t>
  </si>
  <si>
    <t>7GNB5DP_RECONCAVO_CANHONEIO_1_200_2009-06-06.pdf</t>
  </si>
  <si>
    <t>7GNB5DP_RECONCAVO_CBL-MSG-GR-CCL_1_200_2009-06-05.pdf</t>
  </si>
  <si>
    <t>7GNB5DP_RECONCAVO_COMPOSITE_1_200_8.750_2009-05-02.pdf</t>
  </si>
  <si>
    <t>7-SDS-07-BA</t>
  </si>
  <si>
    <t>7SDS07_CANHONEIO_CG-EL_HYPERJ_1_8.500_1987-06-07.pdf</t>
  </si>
  <si>
    <t>7SDS07_GR-CCL_1_8.500_1987-06-07.pdf</t>
  </si>
  <si>
    <t>7SDS07_REGIDTRO_DE_CANHONEIO_1_240_1992-10-16.pdf</t>
  </si>
  <si>
    <t>7SDS07_REGISTRO_DE_CANHONEIO_1_240_1992-10-16.pdf</t>
  </si>
  <si>
    <t>7-SDS-13-BA</t>
  </si>
  <si>
    <t>7SDS13_CBL-VDL-GR-CCL_1_200_12.250_1990-05-28.pdf</t>
  </si>
  <si>
    <t>7SDS13_CG-EL_2_200_12.250_1990-05-31.pdf</t>
  </si>
  <si>
    <t>7SDS13_REGISTRO_DE_CANHONEIO_1_12.250_1990-05-28.pdf</t>
  </si>
  <si>
    <t>8-A-17-BA</t>
  </si>
  <si>
    <t>8A17_CASING_GUN-END_LOADED_1_1982-12-31.pdf</t>
  </si>
  <si>
    <t>8-DJ-123-BA</t>
  </si>
  <si>
    <t>8DJ123_CASING_COLLAR_LOG_AND_PERFORATING_RECORD_1_1984-12-28.pdf</t>
  </si>
  <si>
    <t>8-DJ-281-BA</t>
  </si>
  <si>
    <t>8DJ281_ENGINEERED_PRODUCTION_LOGGING_1979-02-27.pdf</t>
  </si>
  <si>
    <t>8-DJ-373-BA</t>
  </si>
  <si>
    <t>8DJ373_CASING_COLLAR_LOG_AND_PERFORATING_RECORD_1_1984-12-16.pdf</t>
  </si>
  <si>
    <t>8DJ373_PERFORATING_DEPTH_CONTROL_1_1984-12-16.pdf</t>
  </si>
  <si>
    <t>8-DJ-509-BA</t>
  </si>
  <si>
    <t>8DJ509_(ILEGIVEL).pdf</t>
  </si>
  <si>
    <t>DJ509_CASING_COLLAR_LOG_AND_PERFORATING_RECORD_1_200_7.875_1965-05-19.pdf</t>
  </si>
  <si>
    <t>9-ME-2DF-BA</t>
  </si>
  <si>
    <t>9ME2DF_CANHONEIO_HSD_1_200_8.625_2003-01-18.pdf</t>
  </si>
  <si>
    <t>9ME2DF_GR_CCL_1_200_8.625_2003-01-17.pdf</t>
  </si>
  <si>
    <t>9ME2DF_GR_CCL_1_200_8.625_2003-01-20.pdf</t>
  </si>
  <si>
    <t>A-17-BA</t>
  </si>
  <si>
    <t>A17_PERFIL_ACUSTICO_DE_CIMENTA€AO_1_1971-09-21.pdf</t>
  </si>
  <si>
    <t>C-116-BA</t>
  </si>
  <si>
    <t>C116_PERFIL_FLOWMETER_1_200_5.500_1998-07-04.pdf</t>
  </si>
  <si>
    <t>C-13-BA</t>
  </si>
  <si>
    <t>C13_GAMMA-RAY_NEUTRON_1_1000_1963-03-31.pdf</t>
  </si>
  <si>
    <t>C-172-BA</t>
  </si>
  <si>
    <t>C172_ENGINEERED_PRODUCTION_LOGGING_1974-11-30.pdf</t>
  </si>
  <si>
    <t>C-81-BA</t>
  </si>
  <si>
    <t>C81_(ILEGIVEL).pdf</t>
  </si>
  <si>
    <t>C-99-BA</t>
  </si>
  <si>
    <t>C99_MICRO_PERFIL_1_200_8.625_1956-12-15.pdf</t>
  </si>
  <si>
    <t>CX-1-BA</t>
  </si>
  <si>
    <t>CX1_GR-CCL_1_200_12.250_1988-10-08.pdf</t>
  </si>
  <si>
    <t>CX1_MICRO-PERFIL_1_200_12.250_1965-10-24.pdf</t>
  </si>
  <si>
    <t>CX1_PERFIL_SONICO_2_200_8.625_1966-02-17.pdf</t>
  </si>
  <si>
    <t>DJ-16-BA</t>
  </si>
  <si>
    <t>DJ16_PERFIL_1_200_1965-11-18.pdf</t>
  </si>
  <si>
    <t>DJ-25-BA</t>
  </si>
  <si>
    <t>DJ25_COMPOSITE_LOG_1_1000_8.500_1950-05-12.pdf</t>
  </si>
  <si>
    <t>DJ-250-BA</t>
  </si>
  <si>
    <t>DJ250_PERFIL_ELETRICO_1_1000_7.875_1960-01-06.pdf</t>
  </si>
  <si>
    <t>DJ-270-BA</t>
  </si>
  <si>
    <t>DJ270_HRT-GR -CCL_1_200_8.625_1995-08-10.pdf</t>
  </si>
  <si>
    <t>DJ270_INDUCTION_LOG_1_7.625_1961-01-26.pdf</t>
  </si>
  <si>
    <t>DJ-281-BA</t>
  </si>
  <si>
    <t>DJ281_FIELD_PRINT_INDUCTION_ELECTRIC_1_8.625.pdf</t>
  </si>
  <si>
    <t>DJ-282-BA</t>
  </si>
  <si>
    <t>DJ282_ELECTRIC_LOG_2_4.750_1961-07-05.pdf</t>
  </si>
  <si>
    <t>DJ-293-BA</t>
  </si>
  <si>
    <t>DJ293_CONTROLE_DE_CANHONEIO_1_1973-01-10.pdf</t>
  </si>
  <si>
    <t>DJ-294-BA</t>
  </si>
  <si>
    <t>DJ294_FILED_PRINT_MICROLOG_CALIPER_1_7.875_1961-10-25.pdf</t>
  </si>
  <si>
    <t>DJ-295-BA</t>
  </si>
  <si>
    <t>DJ295_CONTROLE_DE_CANHONEIO_1_1973-01-05.pdf</t>
  </si>
  <si>
    <t>DJ-333-BA</t>
  </si>
  <si>
    <t>DJ333_CASING_COLLAR_LOG_AND_PERFORATING_RECORD_1_9.625_1982-04-08.pdf</t>
  </si>
  <si>
    <t>DJ333_FIELD_PRINT_CASING_COLLAR_LOG_AND_PERFORATING_RECORD.pdf</t>
  </si>
  <si>
    <t>DJ-344-BA</t>
  </si>
  <si>
    <t>DJ344_GR-CCL_1_200_8.625_1981-07-01.pdf</t>
  </si>
  <si>
    <t>DJ-345-BA</t>
  </si>
  <si>
    <t>DJ345_FIELD_PRINT_ELECTRICAL_LOG_1_1000_8.625_1962-12-08.pdf</t>
  </si>
  <si>
    <t>DJ345_FIELD_PRINT_MICROLOG_1_100_8.625_1962-12-08.pdf</t>
  </si>
  <si>
    <t>DJ-351-BA</t>
  </si>
  <si>
    <t>DJ351_CONTROLE_DE_CANHONEIO_1_8.625_1972-12-20.pdf</t>
  </si>
  <si>
    <t>DJ-377-BA</t>
  </si>
  <si>
    <t>DJ377_ELECTRIC_LOG_1_7.875_1963-04-30.pdf</t>
  </si>
  <si>
    <t>DJ-413-R-BA</t>
  </si>
  <si>
    <t>DJ413R_COMPENSATED_FORMATION_DENSITY_LOG_1_200_7.625_1967-06-15.pdf</t>
  </si>
  <si>
    <t>DJ413R_GR-CCL_1_1980-03-08.pdf</t>
  </si>
  <si>
    <t>DJ-416-BA</t>
  </si>
  <si>
    <t>DJ416_CASING_COLLAR_LOG_AND_PERFORATING_RECORD_1_200_7.875_1965-04-26.pdf</t>
  </si>
  <si>
    <t>DJ-467-BA</t>
  </si>
  <si>
    <t>DJ467_FIELD_PRINT_1_8.875_1964-08-23.pdf</t>
  </si>
  <si>
    <t>DJ-488-BA</t>
  </si>
  <si>
    <t>DJ488_CEMENT_BOND_LOG_1_200_7.875.pdf</t>
  </si>
  <si>
    <t>8DJ509_PACKER_FLOWMETER_1_200_1968-08-29.pdf</t>
  </si>
  <si>
    <t>DJ-509-BA</t>
  </si>
  <si>
    <t>DJ509_MICRO-PERFIL_1_200_7.875_1965-04-04.pdf</t>
  </si>
  <si>
    <t>DJ-511-BA</t>
  </si>
  <si>
    <t>DJ511_MICRO-PERFIL_1_200_7.875_1965-04-18.pdf</t>
  </si>
  <si>
    <t>DJ-516-BA</t>
  </si>
  <si>
    <t>DJ516_CASING_COLLAR_LOG_AND_PERFORATING_RECORD_1_200_7.875_1965-07-12.pdf</t>
  </si>
  <si>
    <t>DJ-527-BA</t>
  </si>
  <si>
    <t>DJ527_MICRO-PERFIL_1_200_7.875_1965-07-30.pdf</t>
  </si>
  <si>
    <t>DJ-580-BA</t>
  </si>
  <si>
    <t>DJ580_CASING_COLLAR_LOG_AND_PERFORATING_RECORD_1_1984-05-23.pdf</t>
  </si>
  <si>
    <t>DJ-606-BA</t>
  </si>
  <si>
    <t>DJ606_CASING_COLLAR_LOG_AND_PERFORATING_RECORD_1_200_7.625_1970-03-30.pdf</t>
  </si>
  <si>
    <t>DJ-81-BA</t>
  </si>
  <si>
    <t>DJ81_CONTROLE_DE_CANHONEIO_1972-01-23.pdf</t>
  </si>
  <si>
    <t>DJ-C2R-BA</t>
  </si>
  <si>
    <t>DJC2R_CEMENT_BOND_LOG_1_200_7.625_1966-01-11.pdf</t>
  </si>
  <si>
    <t>DJC2_FIELD_PRINT_1_7.875_1964-10-05.pdf</t>
  </si>
  <si>
    <t>MUI-4-BA</t>
  </si>
  <si>
    <t>MUI4_FIELD_PRINT_1_8.625_1965-04-16.pdf</t>
  </si>
  <si>
    <t>SCX-2-BA</t>
  </si>
  <si>
    <t>SCX2_FIELD_PRINT_1_1000_7.875_1962-11-11.pdf</t>
  </si>
  <si>
    <t>Retirada</t>
  </si>
  <si>
    <r>
      <rPr>
        <b/>
        <sz val="11"/>
        <color rgb="FF002060"/>
        <rFont val="Calibri"/>
        <family val="2"/>
      </rPr>
      <t>Salvador</t>
    </r>
    <r>
      <rPr>
        <sz val="11"/>
        <color theme="1"/>
        <rFont val="Calibri"/>
        <family val="2"/>
      </rPr>
      <t xml:space="preserve">                                                                                      </t>
    </r>
    <r>
      <rPr>
        <sz val="10"/>
        <color rgb="FF002060"/>
        <rFont val="Calibri"/>
        <family val="2"/>
      </rPr>
      <t xml:space="preserve">Projeto digitalização Perfil de poços  Taquipe                               </t>
    </r>
  </si>
  <si>
    <t>A 29,0 X L 37,0 X P 43,0</t>
  </si>
  <si>
    <t>L 0,11 X C 1,20</t>
  </si>
  <si>
    <t>L 0,11 X C 1,23</t>
  </si>
  <si>
    <t>L 0,11 X C 1,30</t>
  </si>
  <si>
    <t>TATIANA SOUZA FREITAS</t>
  </si>
  <si>
    <t>Via Urbana, 4.260, Magazine Luzia, CIA SUL, Município de Simões Filho, Bahia - CEP: 43.700-000</t>
  </si>
  <si>
    <t xml:space="preserve">Telefone </t>
  </si>
  <si>
    <t>Demandante</t>
  </si>
  <si>
    <t>Service Now</t>
  </si>
  <si>
    <t>Grupo 1</t>
  </si>
  <si>
    <t>Grupo 2</t>
  </si>
  <si>
    <t>Qtd</t>
  </si>
  <si>
    <t>23/12/2023 a 25/01/2024</t>
  </si>
  <si>
    <t>26/01/2024 a 25/02/2024</t>
  </si>
  <si>
    <t>24/02/2024 a 25/03/2024</t>
  </si>
  <si>
    <t>26/03/2024 a 25/04/2024</t>
  </si>
  <si>
    <t>26/04/2024 a 25/05/2024</t>
  </si>
  <si>
    <t>26/05/2024 a 25/06/2024</t>
  </si>
  <si>
    <t>26/06/2024 a 25/07/2024</t>
  </si>
  <si>
    <t>26/07/2024 a 25/08/2024</t>
  </si>
  <si>
    <t>26/08/2024 a 25/09/2024</t>
  </si>
  <si>
    <t>26/09/2024 a 25/10/2024</t>
  </si>
  <si>
    <t>26/10/2024 a 25/11/2024</t>
  </si>
  <si>
    <t>26/11/2024 a 25/12/2024</t>
  </si>
  <si>
    <t>Pesquisa de itens avulsos</t>
  </si>
  <si>
    <t>EDISER - UN - SEAL- Rua Acre n° 2.504, Bairro América, Aracaju/SE, CEP 49.080-010- Galpão S1</t>
  </si>
  <si>
    <t>EDIMAN 1 - Av. Darcy Vargas, n°645, Parque Dez de Novembro, CEP: 69055-035, Manaus-AM - setor de Documentação Técnica</t>
  </si>
  <si>
    <t xml:space="preserve"> EDISER - UN - SEAL- Rua Acre n° 2.504, Bairro América, Aracaju/SE, CEP 49.080-010- Galpão S1</t>
  </si>
  <si>
    <t>Via Urbana, 4.260, Magazine Luzia, CIA SUL, Município de Simões Filho, Bahia - CEP: 43.700-001</t>
  </si>
  <si>
    <t>Via Urbana, 4.260, Magazine Luzia, CIA SUL, Município de Simões Filho, Bahia - CEP: 43.700-002</t>
  </si>
  <si>
    <t>C</t>
  </si>
  <si>
    <t>Emprestimo</t>
  </si>
  <si>
    <t xml:space="preserve"> EDISER Rua Acre nº 2.504, Bairro América, Aracaju/SE, CEP 49.080-010, Galpão S-1, Sala de triagem de documentos</t>
  </si>
  <si>
    <t>EDIRN - Av. Euzébio Rocha, 1000, Cidade da esperança, CEP: 59070-900, NATAL RN - Bloco E sala 4</t>
  </si>
  <si>
    <t>BR 110 - km 378, São Sebastião do Passé, BA, 43850-000, Base Taquipe, prédio A21, Sala Documentação Técnica</t>
  </si>
  <si>
    <t>Campo de Taquipe, S/N , São Sebastião Passe, São Sebastião do Passé, BA CEP: 43850-000</t>
  </si>
  <si>
    <t>KM-AD</t>
  </si>
  <si>
    <t>EDISER - Rua Acre nº 2.504, Bairro América, Aracaju/SE, CEP: 49.080-010 - Galpão S1.</t>
  </si>
  <si>
    <t/>
  </si>
  <si>
    <t>EDIMAN - Av. Darcy Vargas, 645 - Parque Dez de Novembro, Manaus - AM, 69055-035, UN-AM, 2° andar, CPGP</t>
  </si>
  <si>
    <t>C.T. SSEBPASSÉ - BR 110 - km 378, São Sebastião do Passé, BA, 43850-000, Base Taquipe, prédio A21, Sala Documentação Técnica</t>
  </si>
  <si>
    <t>EDISER - Rua Acre nº 2.504, Bairro América, Aracaju/SE, CEP: 49.080-010 - Galpão S1</t>
  </si>
  <si>
    <t xml:space="preserve"> EDIMAN 1 - Av. Darcy Vargas, n°645, Parque Dez de Novembro, CEP: 69055-035, Manaus-AM - setor de Documentação Técnica</t>
  </si>
  <si>
    <t xml:space="preserve">Quantidade Service Now </t>
  </si>
  <si>
    <t>PA ARQUIVOS LTDA</t>
  </si>
  <si>
    <t>34.409.656/0001-84</t>
  </si>
  <si>
    <t>Lote 2</t>
  </si>
  <si>
    <t>SERVIÇO DE GUARDA E GERENCIAMENTO DE
DOCUMENTOS E INFORMAÇÕES DO ACERVO DA PETROBRAS</t>
  </si>
  <si>
    <t>5900.0133214.25.2</t>
  </si>
  <si>
    <t>Materiais</t>
  </si>
  <si>
    <t>RNEST</t>
  </si>
  <si>
    <t>Pesquisa</t>
  </si>
  <si>
    <t>NORMAL</t>
  </si>
  <si>
    <t>D+1</t>
  </si>
  <si>
    <t>A4</t>
  </si>
  <si>
    <t>NÃO INFORMADO</t>
  </si>
  <si>
    <t>PRONTUARIO MEDICO</t>
  </si>
  <si>
    <t>TRCT</t>
  </si>
  <si>
    <t>RH RBO COA CB</t>
  </si>
  <si>
    <t>Endereço PA Arquivos</t>
  </si>
  <si>
    <t>CLPA-Camaçari</t>
  </si>
  <si>
    <t>CAT-ITEM: Catalogação de documentos digitalizados</t>
  </si>
  <si>
    <t>ORG-DOC: Organização de documentos para digitalização</t>
  </si>
  <si>
    <t>SMS SA SAO DENGE-DPI-DLCM-DTEN</t>
  </si>
  <si>
    <t>Rafael Mello Pimentel</t>
  </si>
  <si>
    <t>BA3-3004-D-026</t>
  </si>
  <si>
    <t>Jose Paulo de Jesus Santos</t>
  </si>
  <si>
    <t>G&amp;E/TERM/UTE-TBA</t>
  </si>
  <si>
    <t>0008/2026</t>
  </si>
  <si>
    <t>CSC0788409</t>
  </si>
  <si>
    <t>Caixa PA</t>
  </si>
  <si>
    <t>BA3-3003-I-013</t>
  </si>
  <si>
    <t>CX0012000045921SOS CX00120G70394681SOS CX00120G70402395SOS CX00120G70447636SOS CX00120G70447700SOS CX00120G70508196SOS CX00120G70508204SOS CX00120G100548776SOS CX00120G100548778SOS CX00120G100548781SOS CX00120G100548793SOS CX00120G100548802SOS CX00120G100548805SOS</t>
  </si>
  <si>
    <t>TECNICA</t>
  </si>
  <si>
    <t>SUPRIMENTOS RMF RDR</t>
  </si>
  <si>
    <t>0014/2026</t>
  </si>
  <si>
    <t>EM TRANSFERENCIA</t>
  </si>
  <si>
    <t>CX00120G70413279SOS</t>
  </si>
  <si>
    <t>CSC0811201</t>
  </si>
  <si>
    <t>CX00120G70413266SOS</t>
  </si>
  <si>
    <t>Jose Paulo de Jesus Santos Departamento</t>
  </si>
  <si>
    <t xml:space="preserve"> SMS SA SAO DENGE-DPI-DLCM-DTEN </t>
  </si>
  <si>
    <t>0018/2026</t>
  </si>
  <si>
    <t>0019/2026</t>
  </si>
  <si>
    <t>0020/2026</t>
  </si>
  <si>
    <t>CSC0824264</t>
  </si>
  <si>
    <t>BA3-3010-F-102</t>
  </si>
  <si>
    <t>CX00120G70265450SOS</t>
  </si>
  <si>
    <t>RH</t>
  </si>
  <si>
    <t>0021/2026</t>
  </si>
  <si>
    <t>CSC0829650</t>
  </si>
  <si>
    <t>BA3-3014-G-036</t>
  </si>
  <si>
    <t>CX00120G100543696SOS</t>
  </si>
  <si>
    <t>0022/2026</t>
  </si>
  <si>
    <t>CSC0831386</t>
  </si>
  <si>
    <t>CX00120G70391882SOS</t>
  </si>
  <si>
    <t>0023/2026</t>
  </si>
  <si>
    <t>CSC0783878</t>
  </si>
  <si>
    <t>BA3-3010-A-102</t>
  </si>
  <si>
    <t>CX00120G70439250SOS</t>
  </si>
  <si>
    <t>ADMINISTRATIVA</t>
  </si>
  <si>
    <t>0024/2026</t>
  </si>
  <si>
    <t>CSC0819994</t>
  </si>
  <si>
    <t>BA3-3014-G-031</t>
  </si>
  <si>
    <t>CX00120G100543699SOS</t>
  </si>
  <si>
    <t xml:space="preserve">Jose Paulo de Jesus Santos </t>
  </si>
  <si>
    <t>0025/2026</t>
  </si>
  <si>
    <t>CSC0820439</t>
  </si>
  <si>
    <t>CX00120G100543713SOS</t>
  </si>
  <si>
    <t>0026/2026</t>
  </si>
  <si>
    <t>CSC0808892</t>
  </si>
  <si>
    <t>BA3-3008-G-008</t>
  </si>
  <si>
    <t>CX00120G70265424SOS</t>
  </si>
  <si>
    <t xml:space="preserve">SMS SA SAO STO </t>
  </si>
  <si>
    <t>Thallya Vitoria Souza</t>
  </si>
  <si>
    <t>0027/2026</t>
  </si>
  <si>
    <t>CSC0810976</t>
  </si>
  <si>
    <t>CX00120G70413252SOS</t>
  </si>
  <si>
    <t>0029/2026</t>
  </si>
  <si>
    <t>CSC0820428</t>
  </si>
  <si>
    <t>CB00120G100080574SOS</t>
  </si>
  <si>
    <t>NÃO LOCALIZADO</t>
  </si>
  <si>
    <t>BDCA</t>
  </si>
  <si>
    <t>COMPARTILHADO SC SID</t>
  </si>
  <si>
    <t>Luciano Osorio Francisco Gomes</t>
  </si>
  <si>
    <t>0030/2026</t>
  </si>
  <si>
    <t>POCOS CAMAP-T-AB ECP GCESI</t>
  </si>
  <si>
    <t>CT</t>
  </si>
  <si>
    <t xml:space="preserve">Eliete Campelo da Silva </t>
  </si>
  <si>
    <t>CSC0822968</t>
  </si>
  <si>
    <t>CX00120G70330113SOS CX00120G70320162SOS CX00120G70330107SOS CX00120G70421012SOS CX00120G70476313SOS CX00120G70505524SOS CX00120G70320147SOS</t>
  </si>
  <si>
    <t>CX00120G100548805SOS CX00120G100548793SOS CX00120G100548781SOS CX00120G100548778SOS CX00120G100548776SOS CX00120G70508204SOS CX00120G70508196SOS CX00120G70402395SOS</t>
  </si>
  <si>
    <t>0031/2026</t>
  </si>
  <si>
    <t>CSC0836451</t>
  </si>
  <si>
    <t>0032/2026</t>
  </si>
  <si>
    <t>CSC0826105</t>
  </si>
  <si>
    <t>CX00120G70258508SOS CX00120G70142359SOS CX00120G70142360SOS CX00120G70258489SOS CX00120G70258521SOS CX00120G70258541SOS CX00120G70258542SOS CX00120G70258605SOS CX00120G70431291SOS CX00120G100543174SOS</t>
  </si>
  <si>
    <t>Thais Alves de Sant Anna</t>
  </si>
  <si>
    <t>0033/2026</t>
  </si>
  <si>
    <t>CSC0838929</t>
  </si>
  <si>
    <t>BA3-3010-A-093</t>
  </si>
  <si>
    <t xml:space="preserve">CX00120G100547929SOS CX00120G100547930SOS CX00120G100547929SOS CX00120G100547930SOS </t>
  </si>
  <si>
    <t>SRGE SI-IV RNEST OS</t>
  </si>
  <si>
    <t>Bruno Washington da Silva Santos</t>
  </si>
  <si>
    <t>0034/2026</t>
  </si>
  <si>
    <t>0035/2026</t>
  </si>
  <si>
    <t>CSC0825054</t>
  </si>
  <si>
    <t>CX00120G70265440SOS CX00120G70265448SOS</t>
  </si>
  <si>
    <t>0036/2026</t>
  </si>
  <si>
    <t>CSC0842941</t>
  </si>
  <si>
    <t>BA3-3008-H-104</t>
  </si>
  <si>
    <t>CX00120G70404554SOS</t>
  </si>
  <si>
    <t xml:space="preserve">Thais Alves de Sant Anna </t>
  </si>
  <si>
    <t>0037/2026</t>
  </si>
  <si>
    <t>CSC0819537</t>
  </si>
  <si>
    <t>CX00120G70130846SOS</t>
  </si>
  <si>
    <t>SMS SA GS IRS</t>
  </si>
  <si>
    <t>Tatiane dos Santos</t>
  </si>
  <si>
    <t>0039/2026</t>
  </si>
  <si>
    <t>CSC0848468</t>
  </si>
  <si>
    <t>CX00120G70413297SOS</t>
  </si>
  <si>
    <t>0040/2026</t>
  </si>
  <si>
    <t>CSC0847353</t>
  </si>
  <si>
    <t>CX00120G70179221SOS</t>
  </si>
  <si>
    <t>PRONTUARIO RH</t>
  </si>
  <si>
    <t>SMS SA SAO STO</t>
  </si>
  <si>
    <t xml:space="preserve">Fernanda Mendonça Arruda </t>
  </si>
  <si>
    <t>0041/2026</t>
  </si>
  <si>
    <t>CSC0849777</t>
  </si>
  <si>
    <t xml:space="preserve">Thallya Vitoria Souza </t>
  </si>
  <si>
    <t>MICROFICHA</t>
  </si>
  <si>
    <t>EDIRN</t>
  </si>
  <si>
    <t>24/072026</t>
  </si>
  <si>
    <t>UTE-BAHIA</t>
  </si>
  <si>
    <t>26/06/2026 a 25/07/2026</t>
  </si>
  <si>
    <t>CSC0827133 / CSC0827142 / CSC0827170</t>
  </si>
  <si>
    <t>B</t>
  </si>
  <si>
    <t>Aline Larissa dos Santos Agostinho</t>
  </si>
  <si>
    <t>81 99560-6225</t>
  </si>
  <si>
    <t>RNEST/SMS/SSO</t>
  </si>
  <si>
    <t>CSC0830441 / CSC0830445</t>
  </si>
  <si>
    <t>CSC0846380</t>
  </si>
  <si>
    <t>Nayra Kallyne de Brito Araujo / Malkene</t>
  </si>
  <si>
    <t>(84) 84 999174758 / 84 98894-2932</t>
  </si>
  <si>
    <t>SMS/LMA/GAE&amp;P/AM-RN-CE</t>
  </si>
  <si>
    <t>CSC0847315</t>
  </si>
  <si>
    <t>(84) 98894-2932</t>
  </si>
  <si>
    <t xml:space="preserve"> TAR/PC/REC</t>
  </si>
  <si>
    <t xml:space="preserve"> CSC0847436</t>
  </si>
  <si>
    <t>Adriana Silvana Ferreira / Caetano</t>
  </si>
  <si>
    <t>(71) 98757-1027 / 71 98749-0368</t>
  </si>
  <si>
    <t>CSC0846393</t>
  </si>
  <si>
    <t>Malkene Wytiza Freire de Medeiros Noronha</t>
  </si>
  <si>
    <t>TAR/PC/REC</t>
  </si>
  <si>
    <t>AV. EUZÉBIO ROCHA, 1000, CIDADE DA ESPERANÇA, NATAL-RN, CEP: 59070-900.</t>
  </si>
  <si>
    <t>23/07/2026</t>
  </si>
  <si>
    <t>C.T. SSEBPASSÉ</t>
  </si>
  <si>
    <t>0027/2027</t>
  </si>
  <si>
    <t>CSC0847689</t>
  </si>
  <si>
    <t>Iuri Santana Amadeu</t>
  </si>
  <si>
    <t>COMPARTILHADO/SC/SID</t>
  </si>
  <si>
    <t>Material não recebido pela Petrobras/Cancelado sem aviso</t>
  </si>
  <si>
    <t>Campo de Taquipe, S/N , São Sebastião Passe</t>
  </si>
  <si>
    <t>26/06/2026 à 25/07/2026</t>
  </si>
  <si>
    <t>Caixa 20 kg - Tipo 1</t>
  </si>
  <si>
    <t>Caixa para mídias - Tipo 1</t>
  </si>
  <si>
    <t>Tubo de engenharia</t>
  </si>
  <si>
    <t>Linha de serviço PPU</t>
  </si>
  <si>
    <t>ITEM</t>
  </si>
  <si>
    <t>DESCRIÇÃO</t>
  </si>
  <si>
    <t>Linha de Serviço PPU</t>
  </si>
  <si>
    <t>UNID.</t>
  </si>
  <si>
    <t xml:space="preserve">PREÇO UNITÁRIO </t>
  </si>
  <si>
    <t>Descrição da Linha de Serviço</t>
  </si>
  <si>
    <t>Arquivo de aço 1</t>
  </si>
  <si>
    <t xml:space="preserve"> Armazenamento de caixas para documentos</t>
  </si>
  <si>
    <t>A 0,5 X L 12,5 X P14,0</t>
  </si>
  <si>
    <t>Arquivo de aço 2</t>
  </si>
  <si>
    <t xml:space="preserve"> Armazenamento de caixas para mídias</t>
  </si>
  <si>
    <t>A 0,5 X L 13,0 X P13,0</t>
  </si>
  <si>
    <t>Arquivo de aço 3</t>
  </si>
  <si>
    <t xml:space="preserve"> Armazenamento de tubos</t>
  </si>
  <si>
    <t>A 0,5 X L 14,0 X P 12,5</t>
  </si>
  <si>
    <t>Arquivo de aço 4</t>
  </si>
  <si>
    <t>FC4</t>
  </si>
  <si>
    <t>ARM-MA</t>
  </si>
  <si>
    <t xml:space="preserve"> Armazenamento de mapotecas e arquivos de aço</t>
  </si>
  <si>
    <t>A 0,5 X L 14,0 X P 13,0</t>
  </si>
  <si>
    <t>Arquivo de aço 5</t>
  </si>
  <si>
    <t>FC5</t>
  </si>
  <si>
    <t>ARM-MIC</t>
  </si>
  <si>
    <t xml:space="preserve"> Armazenamento de microformas</t>
  </si>
  <si>
    <t>A 0,5 X L 14,0 X P 14,0</t>
  </si>
  <si>
    <t>Caixa 10 kg (Jumbo)</t>
  </si>
  <si>
    <t>FC6</t>
  </si>
  <si>
    <t>ARM-MID</t>
  </si>
  <si>
    <t xml:space="preserve"> Armazenamento de midias</t>
  </si>
  <si>
    <t>A 08,0 X L 41,0 X P 41,0</t>
  </si>
  <si>
    <t>Caixa 20 Kg</t>
  </si>
  <si>
    <t>FC7</t>
  </si>
  <si>
    <t xml:space="preserve"> Frete normal</t>
  </si>
  <si>
    <t>A 1,0 X L 12,5 X P14,0</t>
  </si>
  <si>
    <t>FC8</t>
  </si>
  <si>
    <t xml:space="preserve"> Frete expresso</t>
  </si>
  <si>
    <t>A 1,0 X L 14,0 X P 13,0</t>
  </si>
  <si>
    <t>Caixa 20 kg - Tipo 2</t>
  </si>
  <si>
    <t>FC9</t>
  </si>
  <si>
    <t>INS-ITEM</t>
  </si>
  <si>
    <t xml:space="preserve"> Quilometragem adicional</t>
  </si>
  <si>
    <t>A 1,0 X L 14,0 X P 19,0</t>
  </si>
  <si>
    <t>Caixa 20 kg (contendo Mídias e Microfilmes)</t>
  </si>
  <si>
    <t>PES-ITEM</t>
  </si>
  <si>
    <t>1.10</t>
  </si>
  <si>
    <t xml:space="preserve"> Pesquisa de itens avulsos</t>
  </si>
  <si>
    <t>A 10,0 X L 10,0 X P 2,5</t>
  </si>
  <si>
    <t>Caixa 5 kg</t>
  </si>
  <si>
    <t>DES-EMB</t>
  </si>
  <si>
    <t xml:space="preserve"> Destruição segura de documentos</t>
  </si>
  <si>
    <t>A 10,0 X L 10,5 X P 4,0</t>
  </si>
  <si>
    <t>Caixa 5kg</t>
  </si>
  <si>
    <t>TRANSF</t>
  </si>
  <si>
    <t>TRANSF: Transferência inicial de acervo documental</t>
  </si>
  <si>
    <t xml:space="preserve"> Transferência inicial de acervo documental</t>
  </si>
  <si>
    <t>A 10,0 X L 15,5 X P 0,3</t>
  </si>
  <si>
    <t>Caixa 7 kg</t>
  </si>
  <si>
    <t>MIGR-UA</t>
  </si>
  <si>
    <t xml:space="preserve">MIGR-UA: Migração de acervo documental para digitalização </t>
  </si>
  <si>
    <t xml:space="preserve"> Migração de acervo documental para digitalização </t>
  </si>
  <si>
    <t>A 10,0 X L 19,0 X P 26,5</t>
  </si>
  <si>
    <t>CAT-EMB</t>
  </si>
  <si>
    <t>CAT-ITEM</t>
  </si>
  <si>
    <t xml:space="preserve"> Catalogação de documentos digitalizados</t>
  </si>
  <si>
    <t>A 10,0 X L 3,0 X P 10,0</t>
  </si>
  <si>
    <t>Caixa para mídias - Tipo 2</t>
  </si>
  <si>
    <t>ORG-DOC</t>
  </si>
  <si>
    <t xml:space="preserve"> Organização de documentos para digitalização</t>
  </si>
  <si>
    <t>A 10,0 X L 4,5 X P 10,0</t>
  </si>
  <si>
    <t>DIG-MI</t>
  </si>
  <si>
    <t xml:space="preserve"> Digitalização de microfilmes</t>
  </si>
  <si>
    <t>A 10,5 X L 15,0 X P 0,3</t>
  </si>
  <si>
    <t>HIG-MI</t>
  </si>
  <si>
    <t>DIG-MF</t>
  </si>
  <si>
    <t xml:space="preserve"> Digitalização de microfichas</t>
  </si>
  <si>
    <t>A 10,5 X L 19,0 X P2,5</t>
  </si>
  <si>
    <t>HIG-MF</t>
  </si>
  <si>
    <t>DIG-DOC</t>
  </si>
  <si>
    <t xml:space="preserve"> Digitalização de documentos</t>
  </si>
  <si>
    <t>A 10,5 X L 41,0 X P 41,0</t>
  </si>
  <si>
    <t>HIG-PER</t>
  </si>
  <si>
    <t>IND-DOC</t>
  </si>
  <si>
    <t xml:space="preserve"> Indexação de documentos</t>
  </si>
  <si>
    <t>A 100,0 X L 140,0 X P 51,0</t>
  </si>
  <si>
    <t>CONV-MID</t>
  </si>
  <si>
    <t xml:space="preserve"> Conversão de mídias</t>
  </si>
  <si>
    <t>A 11,0 X L 15,5 X P 0,3</t>
  </si>
  <si>
    <t>GRV-MID</t>
  </si>
  <si>
    <t xml:space="preserve"> Gravação de mídias</t>
  </si>
  <si>
    <t>A 11,0 X L 33,0 X P 37,0</t>
  </si>
  <si>
    <t>COP-MID</t>
  </si>
  <si>
    <t xml:space="preserve"> Cópia de mídias</t>
  </si>
  <si>
    <t>A 11,0 X L 33,0 X P 41,0</t>
  </si>
  <si>
    <t>COP-VID</t>
  </si>
  <si>
    <t xml:space="preserve">A 12,0 X L 34,0 X P 37,0  </t>
  </si>
  <si>
    <t>A 12,5 X L 14 X P 0,5</t>
  </si>
  <si>
    <t>A 12,5 X L 14,5 X P0,5</t>
  </si>
  <si>
    <t>Fita VHS</t>
  </si>
  <si>
    <t>A 130,0 X L 060,0 X P 72,0</t>
  </si>
  <si>
    <t>A 130,0 X L 060,0 X P 73,0</t>
  </si>
  <si>
    <t>Item documental</t>
  </si>
  <si>
    <t>A 135,0 X L 51,0 X P 105,0</t>
  </si>
  <si>
    <t>Item documental em caixa</t>
  </si>
  <si>
    <t>A 140,0 X L 067,0 X P 72,0</t>
  </si>
  <si>
    <t>Item documental em mapoteca</t>
  </si>
  <si>
    <t>A 15,0 X L 40,0 X P 35,0</t>
  </si>
  <si>
    <t>Item documental em Tubo</t>
  </si>
  <si>
    <t>A 150,0 X L 090,0 X P 76,0</t>
  </si>
  <si>
    <t>Kit de material</t>
  </si>
  <si>
    <t>A 16,5 X L 11,5 X P 0,3</t>
  </si>
  <si>
    <t>Mapoteca</t>
  </si>
  <si>
    <t>A 17,0 X L 20,5 X P 111,5</t>
  </si>
  <si>
    <t>A 170,0 X L 061,0 X P 72,0</t>
  </si>
  <si>
    <t>A 180,0 X L 068,0 X P 72,0</t>
  </si>
  <si>
    <t>Microfilme 16 mm</t>
  </si>
  <si>
    <t>A 21,0 X L 31,0 X P 46,0</t>
  </si>
  <si>
    <t>Microfilme 35 mm</t>
  </si>
  <si>
    <t>A 21,0 X L 41,0 X P 55,0</t>
  </si>
  <si>
    <t>Microforma em arquivo de aço</t>
  </si>
  <si>
    <t>A 21,5 X L 41,0 X P 51,0</t>
  </si>
  <si>
    <t>Microforma em caixa de mídia</t>
  </si>
  <si>
    <t>A 23,0 X L 36,5 X P 48,0</t>
  </si>
  <si>
    <t>A 24,5 X L 14,0 X P 27,0</t>
  </si>
  <si>
    <t>Mídia em arquivo de aço</t>
  </si>
  <si>
    <t>A 25,0 X L 13,5 X P 37,0</t>
  </si>
  <si>
    <t>Mídia em caixa de mídia</t>
  </si>
  <si>
    <t>A 25,0 X L 14,0 X P 36,5</t>
  </si>
  <si>
    <t>Mídia óptica</t>
  </si>
  <si>
    <t>A 25,0 X L 14,0 X P 37,0</t>
  </si>
  <si>
    <t>Mídia óptica (Caixa acrílica)</t>
  </si>
  <si>
    <t>A 25,0 X L 23,5 X P 46,0</t>
  </si>
  <si>
    <t>Mídia óptica (DVD Filme)</t>
  </si>
  <si>
    <t>A 26,0 X L 15,0 X P 37,0</t>
  </si>
  <si>
    <t>Pasta de dossiê</t>
  </si>
  <si>
    <t>A 26,0 X L 39,0 X P 46,5</t>
  </si>
  <si>
    <t>Pasta fichário A/Z</t>
  </si>
  <si>
    <t>A 26,0 X L 39,0 X P 47,0</t>
  </si>
  <si>
    <t>Perfil</t>
  </si>
  <si>
    <t>Transferência inicial</t>
  </si>
  <si>
    <t>A 26,5 X L 37,0 X P 37,0</t>
  </si>
  <si>
    <t>A 26,5 X L 38,0 X P 43,0</t>
  </si>
  <si>
    <t>Tubo para perfil de poço</t>
  </si>
  <si>
    <t>A 26,5 X L 38,0 X P 45,5</t>
  </si>
  <si>
    <t>A 27,0 X L 36,0 X P 47,0</t>
  </si>
  <si>
    <t>A 27,0 X L 36,0 X P 49,0</t>
  </si>
  <si>
    <t>A 27,0 X L 38,0 X P 49,0</t>
  </si>
  <si>
    <t>A 27,5 X L 36,0 X P 49,0</t>
  </si>
  <si>
    <t>A 28,0 X L 37,5 X P 46,0</t>
  </si>
  <si>
    <t>A 28,0 X L 37,5 X P 48,0</t>
  </si>
  <si>
    <t>A 28,0 X L 38,0 X P 46,5</t>
  </si>
  <si>
    <t>A 28,0 X L 38,5 X P 48,0</t>
  </si>
  <si>
    <t>A 28,5 X L 37,0 X P 43,0</t>
  </si>
  <si>
    <t>A 29 X L 40 X P 50</t>
  </si>
  <si>
    <t>A 29 X L 41 X P 37</t>
  </si>
  <si>
    <t>A 29,0 X L 18,0 X P 41,0</t>
  </si>
  <si>
    <t>A 29,0 X L 37,0 X P 41,5</t>
  </si>
  <si>
    <t>A 29,0 X L 37,0 X P 42,5</t>
  </si>
  <si>
    <t>A 29,0 X L 37,5 X P 41,5</t>
  </si>
  <si>
    <t>A 29,0 X L 37,5 X P 46,0</t>
  </si>
  <si>
    <t>A 29,0 X L 38,0 X P 42,0</t>
  </si>
  <si>
    <t>A 29,0 X L 41,0 X P 37,0</t>
  </si>
  <si>
    <t>A 29,0 X L 41,5 X P 47,5</t>
  </si>
  <si>
    <t>A 30,0 X L 09,0 X P 39,5</t>
  </si>
  <si>
    <t>A 30,0 X L 09,0 X P 40,5</t>
  </si>
  <si>
    <t>A 30,0 X L 19,0 X P 39,0</t>
  </si>
  <si>
    <t>A 30,0 X L 20,0 X P 42,0</t>
  </si>
  <si>
    <t>A 30,0 X L 38,5 X P 42,0</t>
  </si>
  <si>
    <t>A 31,0 X L 31,0 X P 47,5</t>
  </si>
  <si>
    <t>A 34,0 X L 37,0 X P 12,0</t>
  </si>
  <si>
    <t xml:space="preserve">A 4,5 X L 10 </t>
  </si>
  <si>
    <t>A 40,5 X L 41,5  X P 10,0</t>
  </si>
  <si>
    <t>A 40,5 X L41,5 X P 10,0</t>
  </si>
  <si>
    <t>L 0,11 X C 1,26</t>
  </si>
  <si>
    <t>L 05,0 X A 35,0</t>
  </si>
  <si>
    <t>L 05,0 X A 36,0</t>
  </si>
  <si>
    <t>L 05,0 X A 47,0</t>
  </si>
  <si>
    <t>L 06,0 X A 45,0</t>
  </si>
  <si>
    <t>L 07,0 X A 64,0</t>
  </si>
  <si>
    <t>L 07,0 X A 66,0</t>
  </si>
  <si>
    <t>L 07,0 X A 88,0</t>
  </si>
  <si>
    <t>L 07,5 X A 54,0</t>
  </si>
  <si>
    <t>L 09,0 X A 70,0</t>
  </si>
  <si>
    <t>L 09,0 X A 93,0</t>
  </si>
  <si>
    <t>L 09,5 X A 94,0</t>
  </si>
  <si>
    <t>L 10 X P 30</t>
  </si>
  <si>
    <t>L 10,0 X A 104,0</t>
  </si>
  <si>
    <t>L 10,0 X A 120,0</t>
  </si>
  <si>
    <t>L 10,0 X A 76,0</t>
  </si>
  <si>
    <t>L 10,0 X A 92,0</t>
  </si>
  <si>
    <t>L 10,0 X P 122,0</t>
  </si>
  <si>
    <t>L 10,0 X P 124,0</t>
  </si>
  <si>
    <t>L 10,0 X P 125,0</t>
  </si>
  <si>
    <t>L 10,0 X P 130,0</t>
  </si>
  <si>
    <t>L 10,0 X P 30,0</t>
  </si>
  <si>
    <t>L 10,5 X P 100,0</t>
  </si>
  <si>
    <t>L 11,0 X P 122,0</t>
  </si>
  <si>
    <t>L 16,0 X A 96,0</t>
  </si>
  <si>
    <t>L 6,0 X P 152,0</t>
  </si>
  <si>
    <t>L 6,0 X P 71,0</t>
  </si>
  <si>
    <t>L 6,0 X P 81,0</t>
  </si>
  <si>
    <t>L 7,0 X P 100,0</t>
  </si>
  <si>
    <t>L 7,0 X P 120,0</t>
  </si>
  <si>
    <t>L 9,0 X P 93,0</t>
  </si>
  <si>
    <t>Ø10,0 P 120,0</t>
  </si>
  <si>
    <t>mês anterior</t>
  </si>
  <si>
    <t>Saída/mês</t>
  </si>
  <si>
    <t>Exp./Mês</t>
  </si>
  <si>
    <t>Novas/mês</t>
  </si>
  <si>
    <t>QUAm = QUAm-1 + QNm - QBm - QDm</t>
  </si>
  <si>
    <t>Formula</t>
  </si>
  <si>
    <t>Editar</t>
  </si>
  <si>
    <t xml:space="preserve">Frete normal </t>
  </si>
  <si>
    <t>Frete expresso</t>
  </si>
  <si>
    <t>Quilometragem adicional</t>
  </si>
  <si>
    <t>Destruição segura de documentos</t>
  </si>
  <si>
    <t>Transferência inicial de acervo documental</t>
  </si>
  <si>
    <t xml:space="preserve">Migração de acervo documental para digitalização </t>
  </si>
  <si>
    <t>Catalogação de documentos digitalizados</t>
  </si>
  <si>
    <t>Organização de documentos para digitalização</t>
  </si>
  <si>
    <t xml:space="preserve">Digitalização de microfilmes </t>
  </si>
  <si>
    <t>Digitalização de microfichas</t>
  </si>
  <si>
    <t xml:space="preserve">Indexação de documentos </t>
  </si>
  <si>
    <t xml:space="preserve">UD </t>
  </si>
  <si>
    <t>Conversão de mídias</t>
  </si>
  <si>
    <t>Gravação de mídias</t>
  </si>
  <si>
    <t>Cópia de mídias</t>
  </si>
  <si>
    <t xml:space="preserve">Armazenamento de caixas para documentos </t>
  </si>
  <si>
    <t>Armazenamento de caixas para mídias</t>
  </si>
  <si>
    <t xml:space="preserve">Armazenamento de tubos                       </t>
  </si>
  <si>
    <t xml:space="preserve">Armazenamento de mapotecas e arquivos de aço </t>
  </si>
  <si>
    <t>Armazenamento de microformas</t>
  </si>
  <si>
    <t>Armazenamento de midias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</si>
</sst>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"/>
    <numFmt numFmtId="166" formatCode="0.000"/>
    <numFmt numFmtId="167" formatCode="#,##0;[Red]#,##0"/>
    <numFmt numFmtId="168" formatCode="&quot;R$&quot;\ #,##0.00"/>
    <numFmt numFmtId="169" formatCode="#,##0.00;[Red]#,##0.00"/>
    <numFmt numFmtId="170" formatCode="#,##0.0000;[Red]#,##0.0000"/>
    <numFmt numFmtId="171" formatCode="0.0"/>
    <numFmt numFmtId="172" formatCode="#,##0.000;[Red]#,##0.000"/>
    <numFmt numFmtId="173" formatCode="_-* #,##0.00_-;\-* #,##0.00_-;_-* &quot;-&quot;??_-;_-@"/>
    <numFmt numFmtId="174" formatCode="d/m/yy\ h:mm"/>
  </numFmts>
  <fonts count="51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Bahnschrift Condensed"/>
      <family val="2"/>
    </font>
    <font>
      <sz val="10"/>
      <color rgb="FFFFFF00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b/>
      <sz val="11"/>
      <color rgb="FF002060"/>
      <name val="Calibri"/>
      <family val="2"/>
    </font>
    <font>
      <sz val="10"/>
      <color rgb="FF00206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8"/>
      <name val="Calibri"/>
      <family val="2"/>
    </font>
    <font>
      <u/>
      <sz val="11"/>
      <color theme="1"/>
      <name val="Calibri"/>
      <family val="2"/>
    </font>
    <font>
      <sz val="8"/>
      <name val="Calibri"/>
      <family val="2"/>
    </font>
    <font>
      <u/>
      <sz val="9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4" tint="-0.499984740745262"/>
      <name val="Calibri"/>
      <family val="2"/>
    </font>
    <font>
      <sz val="10"/>
      <color theme="1"/>
      <name val="Arial"/>
      <family val="2"/>
    </font>
    <font>
      <sz val="8"/>
      <color rgb="FF1C1C1C"/>
      <name val="Arial"/>
      <family val="2"/>
    </font>
    <font>
      <sz val="9"/>
      <color rgb="FF5A4500"/>
      <name val="Arial"/>
      <family val="2"/>
    </font>
    <font>
      <sz val="10"/>
      <color theme="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rgb="FFFFF2CC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indexed="64"/>
      </patternFill>
    </fill>
  </fills>
  <borders count="64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6">
    <xf numFmtId="0" fontId="0" fillId="0" borderId="0"/>
    <xf numFmtId="0" fontId="25" fillId="0" borderId="44"/>
    <xf numFmtId="0" fontId="3" fillId="0" borderId="44"/>
    <xf numFmtId="0" fontId="27" fillId="0" borderId="44"/>
    <xf numFmtId="0" fontId="2" fillId="0" borderId="44"/>
    <xf numFmtId="164" fontId="29" fillId="0" borderId="0" applyFont="0" applyFill="0" applyBorder="0" applyAlignment="0" applyProtection="0"/>
  </cellStyleXfs>
  <cellXfs count="307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vertical="center"/>
    </xf>
    <xf numFmtId="0" fontId="7" fillId="0" borderId="5" xfId="0" applyFont="1" applyBorder="1" applyAlignment="1">
      <alignment horizontal="right" vertical="center"/>
    </xf>
    <xf numFmtId="9" fontId="9" fillId="0" borderId="5" xfId="0" applyNumberFormat="1" applyFont="1" applyBorder="1" applyAlignment="1">
      <alignment horizontal="left" vertical="center"/>
    </xf>
    <xf numFmtId="9" fontId="9" fillId="0" borderId="6" xfId="0" applyNumberFormat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8" xfId="0" applyFont="1" applyBorder="1" applyAlignment="1">
      <alignment vertical="center"/>
    </xf>
    <xf numFmtId="9" fontId="9" fillId="0" borderId="0" xfId="0" applyNumberFormat="1" applyFont="1" applyAlignment="1">
      <alignment horizontal="left" vertical="center"/>
    </xf>
    <xf numFmtId="9" fontId="9" fillId="0" borderId="8" xfId="0" applyNumberFormat="1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7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vertical="center"/>
    </xf>
    <xf numFmtId="0" fontId="7" fillId="2" borderId="18" xfId="0" applyFont="1" applyFill="1" applyBorder="1" applyAlignment="1">
      <alignment vertical="center"/>
    </xf>
    <xf numFmtId="0" fontId="7" fillId="2" borderId="19" xfId="0" applyFont="1" applyFill="1" applyBorder="1" applyAlignment="1">
      <alignment vertical="center"/>
    </xf>
    <xf numFmtId="0" fontId="7" fillId="2" borderId="19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0" borderId="16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right" vertical="center"/>
    </xf>
    <xf numFmtId="165" fontId="13" fillId="0" borderId="22" xfId="0" applyNumberFormat="1" applyFont="1" applyBorder="1" applyAlignment="1">
      <alignment horizontal="right" vertical="center"/>
    </xf>
    <xf numFmtId="0" fontId="11" fillId="0" borderId="0" xfId="0" applyFont="1"/>
    <xf numFmtId="0" fontId="0" fillId="0" borderId="24" xfId="0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13" fillId="0" borderId="25" xfId="0" applyNumberFormat="1" applyFont="1" applyBorder="1" applyAlignment="1">
      <alignment horizontal="center" vertical="center"/>
    </xf>
    <xf numFmtId="165" fontId="13" fillId="0" borderId="25" xfId="0" applyNumberFormat="1" applyFont="1" applyBorder="1" applyAlignment="1">
      <alignment horizontal="right" vertical="center"/>
    </xf>
    <xf numFmtId="165" fontId="13" fillId="0" borderId="24" xfId="0" applyNumberFormat="1" applyFont="1" applyBorder="1" applyAlignment="1">
      <alignment horizontal="right" vertical="center"/>
    </xf>
    <xf numFmtId="0" fontId="13" fillId="0" borderId="16" xfId="0" applyFont="1" applyBorder="1" applyAlignment="1">
      <alignment vertical="center"/>
    </xf>
    <xf numFmtId="166" fontId="13" fillId="0" borderId="20" xfId="0" applyNumberFormat="1" applyFont="1" applyBorder="1" applyAlignment="1">
      <alignment horizontal="center" vertical="center"/>
    </xf>
    <xf numFmtId="165" fontId="13" fillId="0" borderId="20" xfId="0" applyNumberFormat="1" applyFont="1" applyBorder="1" applyAlignment="1">
      <alignment horizontal="right" vertical="center"/>
    </xf>
    <xf numFmtId="165" fontId="13" fillId="0" borderId="16" xfId="0" applyNumberFormat="1" applyFont="1" applyBorder="1" applyAlignment="1">
      <alignment horizontal="right" vertical="center"/>
    </xf>
    <xf numFmtId="0" fontId="13" fillId="0" borderId="22" xfId="0" applyFont="1" applyBorder="1" applyAlignment="1">
      <alignment vertical="center"/>
    </xf>
    <xf numFmtId="0" fontId="0" fillId="0" borderId="15" xfId="0" applyBorder="1" applyAlignment="1">
      <alignment vertical="center"/>
    </xf>
    <xf numFmtId="165" fontId="13" fillId="0" borderId="12" xfId="0" applyNumberFormat="1" applyFont="1" applyBorder="1" applyAlignment="1">
      <alignment horizontal="right" vertical="center"/>
    </xf>
    <xf numFmtId="0" fontId="11" fillId="0" borderId="15" xfId="0" applyFont="1" applyBorder="1" applyAlignment="1">
      <alignment vertical="center"/>
    </xf>
    <xf numFmtId="0" fontId="14" fillId="2" borderId="18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5" fontId="16" fillId="0" borderId="25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168" fontId="0" fillId="0" borderId="0" xfId="0" applyNumberFormat="1" applyAlignment="1">
      <alignment horizontal="center" vertical="center"/>
    </xf>
    <xf numFmtId="0" fontId="7" fillId="0" borderId="12" xfId="0" applyFont="1" applyBorder="1" applyAlignment="1">
      <alignment vertical="center"/>
    </xf>
    <xf numFmtId="165" fontId="7" fillId="0" borderId="12" xfId="0" applyNumberFormat="1" applyFont="1" applyBorder="1" applyAlignment="1">
      <alignment vertical="center"/>
    </xf>
    <xf numFmtId="165" fontId="0" fillId="0" borderId="0" xfId="0" applyNumberFormat="1" applyAlignment="1">
      <alignment horizontal="center" vertical="center"/>
    </xf>
    <xf numFmtId="0" fontId="17" fillId="0" borderId="0" xfId="0" applyFont="1"/>
    <xf numFmtId="0" fontId="7" fillId="0" borderId="0" xfId="0" applyFont="1"/>
    <xf numFmtId="169" fontId="17" fillId="0" borderId="0" xfId="0" applyNumberFormat="1" applyFont="1" applyAlignment="1">
      <alignment horizontal="center"/>
    </xf>
    <xf numFmtId="0" fontId="18" fillId="3" borderId="29" xfId="0" applyFont="1" applyFill="1" applyBorder="1" applyAlignment="1">
      <alignment horizontal="center" vertical="center"/>
    </xf>
    <xf numFmtId="0" fontId="18" fillId="3" borderId="30" xfId="0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center" vertical="center"/>
    </xf>
    <xf numFmtId="0" fontId="18" fillId="3" borderId="32" xfId="0" applyFont="1" applyFill="1" applyBorder="1" applyAlignment="1">
      <alignment horizontal="center" vertical="center"/>
    </xf>
    <xf numFmtId="167" fontId="18" fillId="4" borderId="32" xfId="0" applyNumberFormat="1" applyFont="1" applyFill="1" applyBorder="1" applyAlignment="1">
      <alignment horizontal="center" vertical="center"/>
    </xf>
    <xf numFmtId="170" fontId="18" fillId="4" borderId="32" xfId="0" applyNumberFormat="1" applyFont="1" applyFill="1" applyBorder="1" applyAlignment="1">
      <alignment horizontal="center" vertical="center"/>
    </xf>
    <xf numFmtId="167" fontId="18" fillId="5" borderId="32" xfId="0" applyNumberFormat="1" applyFont="1" applyFill="1" applyBorder="1" applyAlignment="1">
      <alignment horizontal="center" vertical="center"/>
    </xf>
    <xf numFmtId="169" fontId="18" fillId="4" borderId="32" xfId="0" applyNumberFormat="1" applyFont="1" applyFill="1" applyBorder="1" applyAlignment="1">
      <alignment horizontal="center" vertical="center"/>
    </xf>
    <xf numFmtId="167" fontId="18" fillId="3" borderId="32" xfId="0" applyNumberFormat="1" applyFont="1" applyFill="1" applyBorder="1" applyAlignment="1">
      <alignment horizontal="center" vertical="center"/>
    </xf>
    <xf numFmtId="167" fontId="18" fillId="3" borderId="33" xfId="0" applyNumberFormat="1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/>
    </xf>
    <xf numFmtId="167" fontId="17" fillId="0" borderId="33" xfId="0" applyNumberFormat="1" applyFont="1" applyBorder="1" applyAlignment="1">
      <alignment horizontal="center"/>
    </xf>
    <xf numFmtId="172" fontId="17" fillId="0" borderId="33" xfId="0" applyNumberFormat="1" applyFont="1" applyBorder="1" applyAlignment="1">
      <alignment horizontal="center"/>
    </xf>
    <xf numFmtId="169" fontId="17" fillId="0" borderId="33" xfId="0" applyNumberFormat="1" applyFont="1" applyBorder="1" applyAlignment="1">
      <alignment horizontal="center"/>
    </xf>
    <xf numFmtId="173" fontId="17" fillId="0" borderId="33" xfId="0" applyNumberFormat="1" applyFont="1" applyBorder="1" applyAlignment="1">
      <alignment horizontal="center"/>
    </xf>
    <xf numFmtId="22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7" fontId="17" fillId="0" borderId="33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33" xfId="0" applyFont="1" applyBorder="1" applyAlignment="1">
      <alignment vertical="center"/>
    </xf>
    <xf numFmtId="167" fontId="17" fillId="0" borderId="33" xfId="0" applyNumberFormat="1" applyFont="1" applyBorder="1" applyAlignment="1">
      <alignment horizontal="right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19" fillId="0" borderId="0" xfId="0" applyNumberFormat="1" applyFont="1" applyAlignment="1">
      <alignment horizontal="center" vertical="center" wrapText="1"/>
    </xf>
    <xf numFmtId="167" fontId="19" fillId="0" borderId="0" xfId="0" applyNumberFormat="1" applyFont="1" applyAlignment="1">
      <alignment horizontal="center" vertical="center" wrapText="1"/>
    </xf>
    <xf numFmtId="167" fontId="19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7" fillId="0" borderId="33" xfId="0" applyFont="1" applyBorder="1" applyAlignment="1">
      <alignment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33" xfId="0" applyFont="1" applyBorder="1"/>
    <xf numFmtId="0" fontId="22" fillId="6" borderId="44" xfId="0" applyFont="1" applyFill="1" applyBorder="1"/>
    <xf numFmtId="3" fontId="23" fillId="3" borderId="33" xfId="0" applyNumberFormat="1" applyFont="1" applyFill="1" applyBorder="1"/>
    <xf numFmtId="3" fontId="23" fillId="3" borderId="44" xfId="0" applyNumberFormat="1" applyFont="1" applyFill="1" applyBorder="1"/>
    <xf numFmtId="3" fontId="23" fillId="3" borderId="31" xfId="0" applyNumberFormat="1" applyFont="1" applyFill="1" applyBorder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17" fillId="0" borderId="33" xfId="0" applyFont="1" applyBorder="1" applyAlignment="1">
      <alignment horizontal="left"/>
    </xf>
    <xf numFmtId="0" fontId="28" fillId="0" borderId="39" xfId="0" applyFont="1" applyBorder="1" applyAlignment="1">
      <alignment horizontal="center" vertical="center" wrapText="1"/>
    </xf>
    <xf numFmtId="49" fontId="28" fillId="0" borderId="39" xfId="0" applyNumberFormat="1" applyFont="1" applyBorder="1" applyAlignment="1">
      <alignment horizontal="center" vertical="center" wrapText="1"/>
    </xf>
    <xf numFmtId="22" fontId="28" fillId="0" borderId="39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0" xfId="0" applyFont="1"/>
    <xf numFmtId="2" fontId="17" fillId="0" borderId="33" xfId="0" applyNumberFormat="1" applyFont="1" applyBorder="1" applyAlignment="1">
      <alignment vertical="center" wrapText="1"/>
    </xf>
    <xf numFmtId="0" fontId="26" fillId="0" borderId="45" xfId="0" applyFont="1" applyBorder="1" applyAlignment="1">
      <alignment horizontal="left" vertical="top" wrapText="1"/>
    </xf>
    <xf numFmtId="165" fontId="26" fillId="0" borderId="0" xfId="0" applyNumberFormat="1" applyFont="1"/>
    <xf numFmtId="0" fontId="32" fillId="7" borderId="45" xfId="0" applyFont="1" applyFill="1" applyBorder="1" applyAlignment="1">
      <alignment horizontal="center" vertical="center"/>
    </xf>
    <xf numFmtId="2" fontId="33" fillId="8" borderId="45" xfId="0" applyNumberFormat="1" applyFont="1" applyFill="1" applyBorder="1" applyAlignment="1">
      <alignment horizontal="center" vertical="center"/>
    </xf>
    <xf numFmtId="1" fontId="33" fillId="8" borderId="45" xfId="0" applyNumberFormat="1" applyFont="1" applyFill="1" applyBorder="1" applyAlignment="1">
      <alignment horizontal="center" vertical="center"/>
    </xf>
    <xf numFmtId="0" fontId="33" fillId="8" borderId="45" xfId="0" applyFont="1" applyFill="1" applyBorder="1" applyAlignment="1">
      <alignment horizontal="center" vertical="center"/>
    </xf>
    <xf numFmtId="164" fontId="33" fillId="8" borderId="45" xfId="5" applyFont="1" applyFill="1" applyBorder="1" applyAlignment="1">
      <alignment horizontal="center" vertical="center"/>
    </xf>
    <xf numFmtId="0" fontId="34" fillId="9" borderId="45" xfId="0" applyFont="1" applyFill="1" applyBorder="1" applyAlignment="1">
      <alignment horizontal="center" vertical="center"/>
    </xf>
    <xf numFmtId="0" fontId="34" fillId="9" borderId="45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5" xfId="0" applyBorder="1"/>
    <xf numFmtId="0" fontId="0" fillId="0" borderId="45" xfId="0" applyBorder="1" applyAlignment="1">
      <alignment horizontal="center"/>
    </xf>
    <xf numFmtId="2" fontId="0" fillId="0" borderId="45" xfId="5" applyNumberFormat="1" applyFont="1" applyFill="1" applyBorder="1" applyAlignment="1">
      <alignment horizontal="center"/>
    </xf>
    <xf numFmtId="2" fontId="0" fillId="0" borderId="45" xfId="0" applyNumberFormat="1" applyBorder="1"/>
    <xf numFmtId="0" fontId="0" fillId="0" borderId="45" xfId="5" applyNumberFormat="1" applyFont="1" applyBorder="1"/>
    <xf numFmtId="2" fontId="0" fillId="0" borderId="45" xfId="0" applyNumberFormat="1" applyBorder="1" applyAlignment="1">
      <alignment horizontal="center"/>
    </xf>
    <xf numFmtId="0" fontId="0" fillId="10" borderId="45" xfId="0" applyFill="1" applyBorder="1" applyAlignment="1">
      <alignment horizontal="center"/>
    </xf>
    <xf numFmtId="0" fontId="17" fillId="0" borderId="45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174" fontId="28" fillId="0" borderId="39" xfId="0" applyNumberFormat="1" applyFont="1" applyBorder="1" applyAlignment="1">
      <alignment horizontal="center" vertical="center" wrapText="1"/>
    </xf>
    <xf numFmtId="174" fontId="28" fillId="0" borderId="44" xfId="0" applyNumberFormat="1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22" fontId="17" fillId="0" borderId="45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19" fillId="0" borderId="44" xfId="0" applyFont="1" applyBorder="1" applyAlignment="1">
      <alignment horizontal="center" vertical="center"/>
    </xf>
    <xf numFmtId="0" fontId="19" fillId="0" borderId="44" xfId="0" applyFont="1" applyBorder="1" applyAlignment="1">
      <alignment horizontal="left" vertical="center"/>
    </xf>
    <xf numFmtId="0" fontId="19" fillId="0" borderId="4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9" fontId="19" fillId="0" borderId="37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9" fontId="19" fillId="0" borderId="38" xfId="0" applyNumberFormat="1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19" fillId="0" borderId="44" xfId="0" applyFont="1" applyBorder="1" applyAlignment="1">
      <alignment vertical="center"/>
    </xf>
    <xf numFmtId="167" fontId="17" fillId="0" borderId="44" xfId="0" applyNumberFormat="1" applyFont="1" applyBorder="1" applyAlignment="1">
      <alignment horizontal="left" vertical="center" wrapText="1"/>
    </xf>
    <xf numFmtId="0" fontId="17" fillId="0" borderId="49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7" fillId="0" borderId="44" xfId="0" applyFont="1" applyBorder="1" applyAlignment="1">
      <alignment horizontal="center" vertical="center" wrapText="1"/>
    </xf>
    <xf numFmtId="0" fontId="36" fillId="0" borderId="44" xfId="0" applyFont="1" applyBorder="1" applyAlignment="1">
      <alignment horizontal="center" vertical="center" wrapText="1"/>
    </xf>
    <xf numFmtId="22" fontId="35" fillId="0" borderId="44" xfId="0" applyNumberFormat="1" applyFont="1" applyBorder="1" applyAlignment="1">
      <alignment horizontal="center" vertical="center" wrapText="1"/>
    </xf>
    <xf numFmtId="22" fontId="36" fillId="0" borderId="44" xfId="0" applyNumberFormat="1" applyFont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14" fontId="0" fillId="0" borderId="0" xfId="0" applyNumberFormat="1"/>
    <xf numFmtId="0" fontId="26" fillId="0" borderId="0" xfId="0" applyFon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1" fontId="26" fillId="0" borderId="0" xfId="0" applyNumberFormat="1" applyFont="1" applyAlignment="1">
      <alignment horizontal="center"/>
    </xf>
    <xf numFmtId="3" fontId="17" fillId="0" borderId="45" xfId="0" applyNumberFormat="1" applyFont="1" applyBorder="1" applyAlignment="1">
      <alignment horizontal="center" vertical="center" wrapText="1"/>
    </xf>
    <xf numFmtId="0" fontId="13" fillId="10" borderId="16" xfId="0" applyFont="1" applyFill="1" applyBorder="1" applyAlignment="1">
      <alignment horizontal="center" vertical="center"/>
    </xf>
    <xf numFmtId="166" fontId="13" fillId="10" borderId="22" xfId="0" applyNumberFormat="1" applyFont="1" applyFill="1" applyBorder="1" applyAlignment="1">
      <alignment horizontal="center" vertical="center"/>
    </xf>
    <xf numFmtId="166" fontId="13" fillId="10" borderId="24" xfId="0" applyNumberFormat="1" applyFont="1" applyFill="1" applyBorder="1" applyAlignment="1">
      <alignment horizontal="center" vertical="center"/>
    </xf>
    <xf numFmtId="166" fontId="13" fillId="10" borderId="16" xfId="0" applyNumberFormat="1" applyFont="1" applyFill="1" applyBorder="1" applyAlignment="1">
      <alignment horizontal="center" vertical="center"/>
    </xf>
    <xf numFmtId="166" fontId="13" fillId="10" borderId="12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22" fontId="42" fillId="0" borderId="45" xfId="0" applyNumberFormat="1" applyFont="1" applyBorder="1" applyAlignment="1">
      <alignment horizontal="center" vertical="center" wrapText="1"/>
    </xf>
    <xf numFmtId="171" fontId="13" fillId="0" borderId="24" xfId="0" applyNumberFormat="1" applyFont="1" applyBorder="1" applyAlignment="1">
      <alignment horizontal="center" vertical="center"/>
    </xf>
    <xf numFmtId="166" fontId="13" fillId="0" borderId="24" xfId="0" applyNumberFormat="1" applyFont="1" applyBorder="1" applyAlignment="1">
      <alignment horizontal="center" vertical="center"/>
    </xf>
    <xf numFmtId="0" fontId="43" fillId="0" borderId="5" xfId="0" applyFont="1" applyBorder="1" applyAlignment="1">
      <alignment vertical="center"/>
    </xf>
    <xf numFmtId="0" fontId="43" fillId="0" borderId="0" xfId="0" applyFont="1" applyAlignment="1">
      <alignment horizontal="left" vertical="center"/>
    </xf>
    <xf numFmtId="49" fontId="44" fillId="0" borderId="50" xfId="0" applyNumberFormat="1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22" fontId="17" fillId="0" borderId="50" xfId="0" applyNumberFormat="1" applyFont="1" applyBorder="1" applyAlignment="1">
      <alignment horizontal="center" vertical="center" wrapText="1"/>
    </xf>
    <xf numFmtId="0" fontId="17" fillId="0" borderId="50" xfId="0" applyFont="1" applyBorder="1" applyAlignment="1">
      <alignment horizontal="left" vertical="center" wrapText="1"/>
    </xf>
    <xf numFmtId="167" fontId="17" fillId="0" borderId="50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171" fontId="17" fillId="0" borderId="50" xfId="0" applyNumberFormat="1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171" fontId="41" fillId="0" borderId="50" xfId="0" applyNumberFormat="1" applyFont="1" applyBorder="1" applyAlignment="1">
      <alignment horizontal="center" vertical="center"/>
    </xf>
    <xf numFmtId="0" fontId="46" fillId="0" borderId="0" xfId="0" applyFont="1"/>
    <xf numFmtId="0" fontId="17" fillId="0" borderId="52" xfId="0" applyFont="1" applyBorder="1" applyAlignment="1">
      <alignment horizontal="center" vertical="center" wrapText="1"/>
    </xf>
    <xf numFmtId="22" fontId="17" fillId="0" borderId="51" xfId="0" applyNumberFormat="1" applyFont="1" applyBorder="1" applyAlignment="1">
      <alignment horizontal="center" vertical="center" wrapText="1"/>
    </xf>
    <xf numFmtId="22" fontId="17" fillId="0" borderId="53" xfId="0" applyNumberFormat="1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49" fontId="44" fillId="0" borderId="53" xfId="0" applyNumberFormat="1" applyFont="1" applyBorder="1" applyAlignment="1">
      <alignment horizontal="center" vertical="center" wrapText="1"/>
    </xf>
    <xf numFmtId="0" fontId="47" fillId="0" borderId="39" xfId="0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4" fillId="0" borderId="44" xfId="0" applyFont="1" applyBorder="1" applyAlignment="1">
      <alignment horizontal="center" vertical="center"/>
    </xf>
    <xf numFmtId="171" fontId="48" fillId="0" borderId="50" xfId="0" applyNumberFormat="1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/>
    </xf>
    <xf numFmtId="0" fontId="17" fillId="0" borderId="33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/>
    <xf numFmtId="0" fontId="12" fillId="0" borderId="54" xfId="0" applyFont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4" fontId="44" fillId="0" borderId="50" xfId="0" applyNumberFormat="1" applyFont="1" applyBorder="1" applyAlignment="1">
      <alignment horizontal="center" vertical="center" wrapText="1"/>
    </xf>
    <xf numFmtId="0" fontId="49" fillId="0" borderId="45" xfId="0" applyFont="1" applyBorder="1" applyAlignment="1">
      <alignment horizontal="center" vertical="center" wrapText="1"/>
    </xf>
    <xf numFmtId="0" fontId="49" fillId="0" borderId="55" xfId="0" applyFont="1" applyBorder="1" applyAlignment="1">
      <alignment horizontal="center" vertical="center" wrapText="1"/>
    </xf>
    <xf numFmtId="22" fontId="49" fillId="0" borderId="45" xfId="0" applyNumberFormat="1" applyFont="1" applyBorder="1" applyAlignment="1">
      <alignment horizontal="center" vertical="center" wrapText="1"/>
    </xf>
    <xf numFmtId="0" fontId="50" fillId="11" borderId="44" xfId="0" applyFont="1" applyFill="1" applyBorder="1"/>
    <xf numFmtId="0" fontId="1" fillId="0" borderId="0" xfId="0" applyFont="1"/>
    <xf numFmtId="0" fontId="50" fillId="0" borderId="56" xfId="0" applyFont="1" applyBorder="1"/>
    <xf numFmtId="168" fontId="0" fillId="0" borderId="0" xfId="0" applyNumberFormat="1"/>
    <xf numFmtId="0" fontId="1" fillId="0" borderId="56" xfId="0" applyFont="1" applyBorder="1"/>
    <xf numFmtId="2" fontId="1" fillId="0" borderId="0" xfId="0" applyNumberFormat="1" applyFont="1"/>
    <xf numFmtId="2" fontId="0" fillId="0" borderId="0" xfId="0" applyNumberFormat="1"/>
    <xf numFmtId="0" fontId="17" fillId="0" borderId="44" xfId="0" applyFont="1" applyBorder="1" applyAlignment="1">
      <alignment horizontal="left" vertical="center"/>
    </xf>
    <xf numFmtId="0" fontId="0" fillId="0" borderId="57" xfId="0" applyBorder="1"/>
    <xf numFmtId="0" fontId="1" fillId="0" borderId="58" xfId="0" applyFont="1" applyBorder="1"/>
    <xf numFmtId="0" fontId="17" fillId="0" borderId="59" xfId="0" applyFont="1" applyBorder="1"/>
    <xf numFmtId="167" fontId="17" fillId="0" borderId="59" xfId="0" applyNumberFormat="1" applyFont="1" applyBorder="1" applyAlignment="1">
      <alignment horizontal="center"/>
    </xf>
    <xf numFmtId="167" fontId="17" fillId="12" borderId="0" xfId="0" applyNumberFormat="1" applyFont="1" applyFill="1" applyAlignment="1">
      <alignment horizontal="left"/>
    </xf>
    <xf numFmtId="0" fontId="32" fillId="13" borderId="0" xfId="0" applyFont="1" applyFill="1" applyAlignment="1">
      <alignment horizontal="center"/>
    </xf>
    <xf numFmtId="0" fontId="32" fillId="14" borderId="0" xfId="0" applyFont="1" applyFill="1" applyAlignment="1">
      <alignment horizontal="center"/>
    </xf>
    <xf numFmtId="0" fontId="17" fillId="15" borderId="33" xfId="0" applyFont="1" applyFill="1" applyBorder="1" applyAlignment="1">
      <alignment horizontal="center"/>
    </xf>
    <xf numFmtId="171" fontId="17" fillId="15" borderId="33" xfId="0" applyNumberFormat="1" applyFont="1" applyFill="1" applyBorder="1" applyAlignment="1">
      <alignment horizontal="center"/>
    </xf>
    <xf numFmtId="167" fontId="17" fillId="15" borderId="33" xfId="0" applyNumberFormat="1" applyFont="1" applyFill="1" applyBorder="1" applyAlignment="1">
      <alignment horizontal="center"/>
    </xf>
    <xf numFmtId="172" fontId="17" fillId="15" borderId="33" xfId="0" applyNumberFormat="1" applyFont="1" applyFill="1" applyBorder="1" applyAlignment="1">
      <alignment horizontal="right"/>
    </xf>
    <xf numFmtId="0" fontId="17" fillId="0" borderId="59" xfId="0" applyFont="1" applyBorder="1" applyAlignment="1">
      <alignment horizontal="left"/>
    </xf>
    <xf numFmtId="168" fontId="17" fillId="15" borderId="33" xfId="0" applyNumberFormat="1" applyFont="1" applyFill="1" applyBorder="1" applyAlignment="1">
      <alignment horizontal="center"/>
    </xf>
    <xf numFmtId="168" fontId="17" fillId="15" borderId="33" xfId="0" applyNumberFormat="1" applyFont="1" applyFill="1" applyBorder="1" applyAlignment="1">
      <alignment horizontal="right"/>
    </xf>
    <xf numFmtId="0" fontId="26" fillId="0" borderId="60" xfId="0" applyFont="1" applyBorder="1" applyAlignment="1">
      <alignment vertical="center" wrapText="1"/>
    </xf>
    <xf numFmtId="0" fontId="26" fillId="0" borderId="50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50" xfId="0" applyFont="1" applyBorder="1" applyAlignment="1">
      <alignment vertical="center" wrapText="1"/>
    </xf>
    <xf numFmtId="0" fontId="26" fillId="0" borderId="50" xfId="0" applyFont="1" applyBorder="1"/>
    <xf numFmtId="165" fontId="13" fillId="0" borderId="25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63" xfId="0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3" fontId="8" fillId="0" borderId="60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0" xfId="0"/>
    <xf numFmtId="0" fontId="0" fillId="0" borderId="9" xfId="0" applyBorder="1" applyAlignment="1">
      <alignment horizontal="left"/>
    </xf>
    <xf numFmtId="0" fontId="6" fillId="0" borderId="10" xfId="0" applyFont="1" applyBorder="1"/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6" fillId="0" borderId="5" xfId="0" applyFont="1" applyBorder="1"/>
    <xf numFmtId="0" fontId="7" fillId="0" borderId="5" xfId="0" applyFont="1" applyBorder="1" applyAlignment="1">
      <alignment horizontal="right" vertical="center"/>
    </xf>
    <xf numFmtId="0" fontId="7" fillId="0" borderId="13" xfId="0" applyFont="1" applyBorder="1" applyAlignment="1">
      <alignment horizontal="center" vertical="center"/>
    </xf>
    <xf numFmtId="0" fontId="6" fillId="0" borderId="14" xfId="0" applyFont="1" applyBorder="1"/>
    <xf numFmtId="0" fontId="6" fillId="0" borderId="15" xfId="0" applyFont="1" applyBorder="1"/>
    <xf numFmtId="0" fontId="0" fillId="0" borderId="21" xfId="0" applyBorder="1" applyAlignment="1">
      <alignment horizontal="left" vertical="center" wrapText="1"/>
    </xf>
    <xf numFmtId="0" fontId="6" fillId="0" borderId="23" xfId="0" applyFont="1" applyBorder="1"/>
    <xf numFmtId="0" fontId="6" fillId="0" borderId="26" xfId="0" applyFont="1" applyBorder="1"/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26" fillId="0" borderId="50" xfId="0" applyFont="1" applyBorder="1" applyAlignment="1">
      <alignment horizontal="left" vertical="center" wrapText="1"/>
    </xf>
    <xf numFmtId="0" fontId="6" fillId="0" borderId="50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61" xfId="0" applyFont="1" applyBorder="1" applyAlignment="1">
      <alignment horizontal="left"/>
    </xf>
    <xf numFmtId="0" fontId="6" fillId="0" borderId="62" xfId="0" applyFont="1" applyBorder="1" applyAlignment="1">
      <alignment horizontal="left"/>
    </xf>
    <xf numFmtId="0" fontId="6" fillId="0" borderId="52" xfId="0" applyFont="1" applyBorder="1" applyAlignment="1">
      <alignment horizontal="left"/>
    </xf>
    <xf numFmtId="0" fontId="7" fillId="2" borderId="27" xfId="0" applyFont="1" applyFill="1" applyBorder="1" applyAlignment="1">
      <alignment horizontal="left" vertical="center"/>
    </xf>
    <xf numFmtId="0" fontId="6" fillId="0" borderId="28" xfId="0" applyFont="1" applyBorder="1"/>
    <xf numFmtId="0" fontId="26" fillId="0" borderId="50" xfId="0" applyFont="1" applyBorder="1" applyAlignment="1">
      <alignment horizontal="left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6" fillId="0" borderId="19" xfId="0" applyFont="1" applyBorder="1"/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19" fillId="0" borderId="46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6" fillId="0" borderId="43" xfId="0" applyFont="1" applyBorder="1"/>
    <xf numFmtId="0" fontId="21" fillId="0" borderId="40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 wrapText="1"/>
    </xf>
  </cellXfs>
  <cellStyles count="6">
    <cellStyle name="Moeda" xfId="5" builtinId="4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4" xr:uid="{00000000-0005-0000-0000-000005000000}"/>
  </cellStyles>
  <dxfs count="13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1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71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67" formatCode="#,##0;[Red]#,##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67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75" formatCode="d\-m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/>
        <bottom/>
      </border>
    </dxf>
    <dxf>
      <numFmt numFmtId="176" formatCode="m/d/yyyy"/>
    </dxf>
    <dxf>
      <numFmt numFmtId="176" formatCode="m/d/yyyy"/>
    </dxf>
    <dxf>
      <numFmt numFmtId="176" formatCode="m/d/yyyy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7" formatCode="m/d/yyyy\ 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77" formatCode="m/d/yyyy\ 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77" formatCode="m/d/yyyy\ 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77" formatCode="m/d/yyyy\ 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/>
        <bottom/>
      </border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8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168" formatCode="&quot;R$&quot;\ #,##0.00"/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sz val="10"/>
        <family val="2"/>
      </font>
      <numFmt numFmtId="168" formatCode="&quot;R$&quot;\ #,##0.00"/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167" formatCode="#,##0;[Red]#,##0"/>
      <fill>
        <patternFill patternType="solid">
          <fgColor indexed="64"/>
          <bgColor theme="6"/>
        </patternFill>
      </fill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sz val="10"/>
        <family val="2"/>
      </font>
      <numFmt numFmtId="167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sz val="10"/>
        <family val="2"/>
      </font>
      <numFmt numFmtId="167" formatCode="#,##0;[Red]#,##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167" formatCode="#,##0;[Red]#,##0"/>
      <fill>
        <patternFill patternType="solid">
          <fgColor indexed="64"/>
          <bgColor theme="6"/>
        </patternFill>
      </fill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171" formatCode="0.0"/>
      <fill>
        <patternFill patternType="solid">
          <fgColor indexed="64"/>
          <bgColor theme="6"/>
        </patternFill>
      </fill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0" formatCode="General"/>
      <fill>
        <patternFill patternType="solid">
          <fgColor indexed="64"/>
          <bgColor theme="6"/>
        </patternFill>
      </fill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6" defaultTableStyle="TableStyleMedium2" defaultPivotStyle="PivotStyleLight16">
    <tableStyle name="Consolidado-style" pivot="0" count="3" xr9:uid="{00000000-0011-0000-FFFF-FFFF00000000}">
      <tableStyleElement type="headerRow" dxfId="136"/>
      <tableStyleElement type="firstRowStripe" dxfId="135"/>
      <tableStyleElement type="secondRowStripe" dxfId="134"/>
    </tableStyle>
    <tableStyle name="Mapa Geral-style" pivot="0" count="3" xr9:uid="{00000000-0011-0000-FFFF-FFFF01000000}">
      <tableStyleElement type="headerRow" dxfId="133"/>
      <tableStyleElement type="firstRowStripe" dxfId="132"/>
      <tableStyleElement type="secondRowStripe" dxfId="131"/>
    </tableStyle>
    <tableStyle name="Digitalização Click-style" pivot="0" count="3" xr9:uid="{00000000-0011-0000-FFFF-FFFF02000000}">
      <tableStyleElement type="headerRow" dxfId="130"/>
      <tableStyleElement type="firstRowStripe" dxfId="129"/>
      <tableStyleElement type="secondRowStripe" dxfId="128"/>
    </tableStyle>
    <tableStyle name="Atendimentos-style" pivot="0" count="3" xr9:uid="{00000000-0011-0000-FFFF-FFFF03000000}">
      <tableStyleElement type="headerRow" dxfId="127"/>
      <tableStyleElement type="firstRowStripe" dxfId="126"/>
      <tableStyleElement type="secondRowStripe" dxfId="125"/>
    </tableStyle>
    <tableStyle name="Fretes cálculo-style" pivot="0" count="3" xr9:uid="{00000000-0011-0000-FFFF-FFFF04000000}">
      <tableStyleElement type="headerRow" dxfId="124"/>
      <tableStyleElement type="firstRowStripe" dxfId="123"/>
      <tableStyleElement type="secondRowStripe" dxfId="122"/>
    </tableStyle>
    <tableStyle name="Relação de ordens de serviço-style" pivot="0" count="3" xr9:uid="{00000000-0011-0000-FFFF-FFFF05000000}">
      <tableStyleElement type="headerRow" dxfId="121"/>
      <tableStyleElement type="firstRowStripe" dxfId="120"/>
      <tableStyleElement type="secondRowStripe" dxfId="1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doPA" displayName="ConsolidadoPA" ref="A3:S25">
  <autoFilter ref="A3:S25" xr:uid="{00000000-000C-0000-FFFF-FFFF00000000}"/>
  <tableColumns count="19">
    <tableColumn id="1" xr3:uid="{00000000-0010-0000-0000-000001000000}" name="MEDIDAS CONTRATO" dataDxfId="118"/>
    <tableColumn id="2" xr3:uid="{00000000-0010-0000-0000-000002000000}" name="Padrão" dataDxfId="117"/>
    <tableColumn id="3" xr3:uid="{00000000-0010-0000-0000-000003000000}" name="Ø" dataDxfId="116">
      <calculatedColumnFormula>IF(ConsolidadoPA[[#This Row],[MEDIDAS CONTRATO]]="","", IFERROR( VLOOKUP(ConsolidadoPA[[#This Row],[MEDIDAS CONTRATO]],MedidasContrato[[MEDIDAS CONTRATO]:[Ø]],2,0),"N/A"))</calculatedColumnFormula>
    </tableColumn>
    <tableColumn id="4" xr3:uid="{00000000-0010-0000-0000-000004000000}" name="A" dataDxfId="115">
      <calculatedColumnFormula>IF( ConsolidadoPA[[#This Row],[MEDIDAS CONTRATO]] = "", "", IFERROR( VLOOKUP(ConsolidadoPA[[#This Row],[MEDIDAS CONTRATO]],MedidasContrato[],3,0),"N/A"))</calculatedColumnFormula>
    </tableColumn>
    <tableColumn id="5" xr3:uid="{00000000-0010-0000-0000-000005000000}" name="L" dataDxfId="114">
      <calculatedColumnFormula>IF( ConsolidadoPA[[#This Row],[MEDIDAS CONTRATO]] = "", "", IFERROR( VLOOKUP(ConsolidadoPA[[#This Row],[MEDIDAS CONTRATO]],MedidasContrato[],4,0),"N/A"))</calculatedColumnFormula>
    </tableColumn>
    <tableColumn id="6" xr3:uid="{00000000-0010-0000-0000-000006000000}" name="P" dataDxfId="113">
      <calculatedColumnFormula>IF( ConsolidadoPA[[#This Row],[MEDIDAS CONTRATO]] = "", "", IFERROR( VLOOKUP(ConsolidadoPA[[#This Row],[MEDIDAS CONTRATO]],MedidasContrato[],5,0),"N/A"))</calculatedColumnFormula>
    </tableColumn>
    <tableColumn id="7" xr3:uid="{00000000-0010-0000-0000-000007000000}" name="cm³ = V1" dataDxfId="112">
      <calculatedColumnFormula>IFERROR( ConsolidadoPA[[#This Row],[A]]*ConsolidadoPA[[#This Row],[L]]*ConsolidadoPA[[#This Row],[P]], "")</calculatedColumnFormula>
    </tableColumn>
    <tableColumn id="8" xr3:uid="{00000000-0010-0000-0000-000008000000}" name="cm³ = V2" dataDxfId="111"/>
    <tableColumn id="9" xr3:uid="{00000000-0010-0000-0000-000009000000}" name="FC = V1/V2" dataDxfId="110"/>
    <tableColumn id="10" xr3:uid="{00000000-0010-0000-0000-00000A000000}" name="QUAm-1" dataDxfId="109"/>
    <tableColumn id="11" xr3:uid="{00000000-0010-0000-0000-00000B000000}" name="QBm" dataDxfId="108"/>
    <tableColumn id="12" xr3:uid="{00000000-0010-0000-0000-00000C000000}" name="QDm" dataDxfId="107"/>
    <tableColumn id="13" xr3:uid="{00000000-0010-0000-0000-00000D000000}" name="QNm" dataDxfId="106"/>
    <tableColumn id="14" xr3:uid="{00000000-0010-0000-0000-00000E000000}" name="QUAm" dataDxfId="105">
      <calculatedColumnFormula>IF( ConsolidadoPA[[#This Row],[QUAm-1]]="","",Consolidado!$M4+Consolidado!$J4-Consolidado!$L4-Consolidado!$K4)</calculatedColumnFormula>
    </tableColumn>
    <tableColumn id="15" xr3:uid="{00000000-0010-0000-0000-00000F000000}" name="UA" dataDxfId="104">
      <calculatedColumnFormula>IF(ConsolidadoPA[[#This Row],[FC = V1/V2]]="","",ConsolidadoPA[[#This Row],[FC = V1/V2]]*ConsolidadoPA[[#This Row],[QUAm]])</calculatedColumnFormula>
    </tableColumn>
    <tableColumn id="16" xr3:uid="{00000000-0010-0000-0000-000010000000}" name="$ Unitário" dataDxfId="103"/>
    <tableColumn id="17" xr3:uid="{00000000-0010-0000-0000-000011000000}" name="$ Total" dataDxfId="102">
      <calculatedColumnFormula>IF(ConsolidadoPA[[#This Row],[$ Unitário]]="","",Consolidado!$P4*Consolidado!$O4)</calculatedColumnFormula>
    </tableColumn>
    <tableColumn id="18" xr3:uid="{00000000-0010-0000-0000-000012000000}" name="Tabela" dataDxfId="101"/>
    <tableColumn id="19" xr3:uid="{00000000-0010-0000-0000-000013000000}" name="Contrato" dataDxfId="100"/>
  </tableColumns>
  <tableStyleInfo name="Consolidad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577A06-CAD6-4D7D-AF8B-F8040781B7D2}" name="Padrão" displayName="Padrão" ref="A1:A54" totalsRowShown="0" headerRowDxfId="99" dataDxfId="98" tableBorderDxfId="97">
  <autoFilter ref="A1:A54" xr:uid="{03577A06-CAD6-4D7D-AF8B-F8040781B7D2}"/>
  <tableColumns count="1">
    <tableColumn id="1" xr3:uid="{AEA8C750-12FB-458B-A864-F4D244EF5189}" name="Padrão" dataDxfId="96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A90CD8-9418-48E0-8408-719F2971C72E}" name="LinhaPPU" displayName="LinhaPPU" ref="E1:E29" totalsRowShown="0" headerRowDxfId="95">
  <autoFilter ref="E1:E29" xr:uid="{4AA90CD8-9418-48E0-8408-719F2971C72E}"/>
  <tableColumns count="1">
    <tableColumn id="1" xr3:uid="{3F3BB519-C3AA-49CE-99D2-980B3559F72F}" name="Linha de serviço PPU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B18605-2CC0-4CEB-849A-97F71AF40DB9}" name="TabelaPA" displayName="TabelaPA" ref="G1:L24" totalsRowShown="0">
  <autoFilter ref="G1:L24" xr:uid="{E0B18605-2CC0-4CEB-849A-97F71AF40DB9}"/>
  <tableColumns count="6">
    <tableColumn id="1" xr3:uid="{615EC6B2-E7C1-40D6-B1BE-9FCFC9215DF0}" name="ITEM"/>
    <tableColumn id="3" xr3:uid="{D9540881-A08E-46CB-9D4A-A0D978CD5077}" name="DESCRIÇÃO"/>
    <tableColumn id="2" xr3:uid="{4D126D64-966D-49D5-BA29-A1E3377090EB}" name="Linha de Serviço PPU"/>
    <tableColumn id="4" xr3:uid="{9C2CA6B7-4226-407B-83ED-8B0842C8D48B}" name="UNID."/>
    <tableColumn id="6" xr3:uid="{84A6D5FF-5FD3-451E-BBDC-F9ED71D602DB}" name="PREÇO UNITÁRIO " dataDxfId="94"/>
    <tableColumn id="7" xr3:uid="{34BA2167-217E-4538-A538-B507790807C7}" name="Descrição da Linha de Serviço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0B1F2E-F4B0-4D98-BDDD-D2C9156562E1}" name="Tabela" displayName="Tabela" ref="C1:C10" totalsRowShown="0">
  <autoFilter ref="C1:C10" xr:uid="{430B1F2E-F4B0-4D98-BDDD-D2C9156562E1}"/>
  <tableColumns count="1">
    <tableColumn id="1" xr3:uid="{0295D79C-71E4-4E7D-A1E9-8D2221FD3113}" name="Tabela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299BBEE-CF43-4B65-A466-11151591D462}" name="MedidasContrato" displayName="MedidasContrato" ref="N1:R124" totalsRowShown="0" headerRowDxfId="93" dataDxfId="92">
  <autoFilter ref="N1:R124" xr:uid="{D299BBEE-CF43-4B65-A466-11151591D462}"/>
  <sortState xmlns:xlrd2="http://schemas.microsoft.com/office/spreadsheetml/2017/richdata2" ref="N2:R124">
    <sortCondition ref="N1:N124"/>
  </sortState>
  <tableColumns count="5">
    <tableColumn id="1" xr3:uid="{8D13E679-57E2-44A0-BBA3-BC2863ED00E9}" name="MEDIDAS CONTRATO" dataDxfId="91"/>
    <tableColumn id="2" xr3:uid="{6A4E64DE-E108-4442-B779-DA52F8C54373}" name="Ø" dataDxfId="90"/>
    <tableColumn id="3" xr3:uid="{4D9A5848-CE45-492A-9669-FB19A137C2E4}" name="A" dataDxfId="89"/>
    <tableColumn id="4" xr3:uid="{0B2C3214-BB80-4A2A-8827-2F0AEB8465FD}" name="L" dataDxfId="88"/>
    <tableColumn id="5" xr3:uid="{2BCF6FE0-E83D-4698-AE5D-8BD09C8E4C01}" name="P" dataDxfId="87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Z33" headerRowDxfId="86" dataDxfId="85" totalsRowDxfId="84">
  <autoFilter ref="A1:Z33" xr:uid="{00000000-0009-0000-0100-000002000000}"/>
  <tableColumns count="26">
    <tableColumn id="1" xr3:uid="{00000000-0010-0000-0100-000001000000}" name="Nº Da Ordem" dataDxfId="83"/>
    <tableColumn id="4" xr3:uid="{00000000-0010-0000-0100-000004000000}" name="Medição" dataDxfId="82"/>
    <tableColumn id="6" xr3:uid="{00000000-0010-0000-0100-000006000000}" name="Service Now" dataDxfId="81"/>
    <tableColumn id="3" xr3:uid="{00000000-0010-0000-0100-000003000000}" name="Quantidade Service Now " dataDxfId="80"/>
    <tableColumn id="7" xr3:uid="{00000000-0010-0000-0100-000007000000}" name="Unidade de atendimento" dataDxfId="79"/>
    <tableColumn id="10" xr3:uid="{00000000-0010-0000-0100-00000A000000}" name="UF para atendimento" dataDxfId="78"/>
    <tableColumn id="12" xr3:uid="{00000000-0010-0000-0100-00000C000000}" name="Demandante" dataDxfId="77"/>
    <tableColumn id="13" xr3:uid="{00000000-0010-0000-0100-00000D000000}" name="Telefone " dataDxfId="76"/>
    <tableColumn id="15" xr3:uid="{00000000-0010-0000-0100-00000F000000}" name="Gerência" dataDxfId="75"/>
    <tableColumn id="16" xr3:uid="{00000000-0010-0000-0100-000010000000}" name="Data de emissão" dataDxfId="74"/>
    <tableColumn id="17" xr3:uid="{00000000-0010-0000-0100-000011000000}" name="Data máxima de atendimento" dataDxfId="73"/>
    <tableColumn id="18" xr3:uid="{00000000-0010-0000-0100-000012000000}" name="Data de atendimento" dataDxfId="72"/>
    <tableColumn id="40" xr3:uid="{00000000-0010-0000-0100-000028000000}" name="Data de envio da O.S" dataDxfId="71"/>
    <tableColumn id="20" xr3:uid="{00000000-0010-0000-0100-000014000000}" name="Status do Prazo" dataDxfId="70"/>
    <tableColumn id="21" xr3:uid="{00000000-0010-0000-0100-000015000000}" name="Linha de serviço" dataDxfId="69"/>
    <tableColumn id="22" xr3:uid="{00000000-0010-0000-0100-000016000000}" name="Tipo de Solicitação" dataDxfId="68"/>
    <tableColumn id="23" xr3:uid="{00000000-0010-0000-0100-000017000000}" name="Caixa de 20 Kg " dataDxfId="67"/>
    <tableColumn id="24" xr3:uid="{00000000-0010-0000-0100-000018000000}" name="Caixa de Mídia" dataDxfId="66"/>
    <tableColumn id="25" xr3:uid="{00000000-0010-0000-0100-000019000000}" name="Tubo de Engenharia" dataDxfId="65"/>
    <tableColumn id="26" xr3:uid="{00000000-0010-0000-0100-00001A000000}" name="Tubo de perfil de poços" dataDxfId="64"/>
    <tableColumn id="27" xr3:uid="{00000000-0010-0000-0100-00001B000000}" name="Etiqueta de caixa" dataDxfId="63"/>
    <tableColumn id="28" xr3:uid="{00000000-0010-0000-0100-00001C000000}" name="Lacre" dataDxfId="62"/>
    <tableColumn id="34" xr3:uid="{00000000-0010-0000-0100-000022000000}" name="Observações" dataDxfId="61"/>
    <tableColumn id="35" xr3:uid="{00000000-0010-0000-0100-000023000000}" name="Endereço de atendimento" dataDxfId="60"/>
    <tableColumn id="38" xr3:uid="{00000000-0010-0000-0100-000026000000}" name="Grupo" dataDxfId="59"/>
    <tableColumn id="39" xr3:uid="{00000000-0010-0000-0100-000027000000}" name="KM" dataDxfId="58"/>
  </tableColumns>
  <tableStyleInfo name="TableStyleMedium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Z26" headerRowDxfId="57" dataDxfId="56">
  <autoFilter ref="A1:Z26" xr:uid="{00000000-0009-0000-0100-000003000000}"/>
  <tableColumns count="26">
    <tableColumn id="1" xr3:uid="{00000000-0010-0000-0200-000001000000}" name="Nº Da Ordem" dataDxfId="55"/>
    <tableColumn id="2" xr3:uid="{00000000-0010-0000-0200-000002000000}" name="Service Now" dataDxfId="54"/>
    <tableColumn id="3" xr3:uid="{00000000-0010-0000-0200-000003000000}" name="Unidade de atendimento" dataDxfId="53"/>
    <tableColumn id="4" xr3:uid="{00000000-0010-0000-0200-000004000000}" name="Dada abertura da OS" dataDxfId="52"/>
    <tableColumn id="5" xr3:uid="{00000000-0010-0000-0200-000005000000}" name="Tipo do Prazo" dataDxfId="51"/>
    <tableColumn id="6" xr3:uid="{00000000-0010-0000-0200-000006000000}" name="Excedeu volume" dataDxfId="50"/>
    <tableColumn id="7" xr3:uid="{00000000-0010-0000-0200-000007000000}" name="SLA" dataDxfId="49"/>
    <tableColumn id="8" xr3:uid="{00000000-0010-0000-0200-000008000000}" name="Data limite de atendimento" dataDxfId="48"/>
    <tableColumn id="9" xr3:uid="{00000000-0010-0000-0200-000009000000}" name="Data de início do processo" dataDxfId="47"/>
    <tableColumn id="10" xr3:uid="{00000000-0010-0000-0200-00000A000000}" name="Data final do processo" dataDxfId="46"/>
    <tableColumn id="11" xr3:uid="{00000000-0010-0000-0200-00000B000000}" name="Data de entrega das imagens" dataDxfId="45"/>
    <tableColumn id="12" xr3:uid="{00000000-0010-0000-0200-00000C000000}" name="Prazo" dataDxfId="44"/>
    <tableColumn id="13" xr3:uid="{00000000-0010-0000-0200-00000D000000}" name="Caixa PA" dataDxfId="43"/>
    <tableColumn id="14" xr3:uid="{00000000-0010-0000-0200-00000E000000}" name="Caixa Cliente" dataDxfId="42"/>
    <tableColumn id="15" xr3:uid="{00000000-0010-0000-0200-00000F000000}" name="Qtd de documentos" dataDxfId="41"/>
    <tableColumn id="24" xr3:uid="{00000000-0010-0000-0200-000018000000}" name="Qtd de documentos indexados" dataDxfId="40"/>
    <tableColumn id="25" xr3:uid="{00000000-0010-0000-0200-000019000000}" name="Qtd de documentos catalogados" dataDxfId="39"/>
    <tableColumn id="16" xr3:uid="{00000000-0010-0000-0200-000010000000}" name="Qtd de Imagens" dataDxfId="38"/>
    <tableColumn id="26" xr3:uid="{00000000-0010-0000-0200-00001A000000}" name="Quantidade x FC" dataDxfId="37">
      <calculatedColumnFormula>Table_3[[#This Row],[Qtd de Imagens]]*Table_3[[#This Row],[FC]]</calculatedColumnFormula>
    </tableColumn>
    <tableColumn id="17" xr3:uid="{00000000-0010-0000-0200-000011000000}" name="Tipo documental" dataDxfId="36"/>
    <tableColumn id="18" xr3:uid="{00000000-0010-0000-0200-000012000000}" name="Documento" dataDxfId="35"/>
    <tableColumn id="19" xr3:uid="{00000000-0010-0000-0200-000013000000}" name="FC" dataDxfId="34"/>
    <tableColumn id="20" xr3:uid="{00000000-0010-0000-0200-000014000000}" name="Parcionamento" dataDxfId="33"/>
    <tableColumn id="21" xr3:uid="{00000000-0010-0000-0200-000015000000}" name="Qtd parcionamento" dataDxfId="32"/>
    <tableColumn id="22" xr3:uid="{00000000-0010-0000-0200-000016000000}" name="Gerência" dataDxfId="31"/>
    <tableColumn id="23" xr3:uid="{00000000-0010-0000-0200-000017000000}" name="Solicitante" dataDxfId="30"/>
  </tableColumns>
  <tableStyleInfo name="TableStyleMedium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S2">
  <tableColumns count="19">
    <tableColumn id="1" xr3:uid="{00000000-0010-0000-0300-000001000000}" name="OS"/>
    <tableColumn id="2" xr3:uid="{00000000-0010-0000-0300-000002000000}" name="Click"/>
    <tableColumn id="3" xr3:uid="{00000000-0010-0000-0300-000003000000}" name="Unidade de atendimento"/>
    <tableColumn id="4" xr3:uid="{00000000-0010-0000-0300-000004000000}" name="Data da OS"/>
    <tableColumn id="5" xr3:uid="{00000000-0010-0000-0300-000005000000}" name="Data máxima"/>
    <tableColumn id="6" xr3:uid="{00000000-0010-0000-0300-000006000000}" name="Data do atendimento"/>
    <tableColumn id="7" xr3:uid="{00000000-0010-0000-0300-000007000000}" name="Nível de Serviço"/>
    <tableColumn id="8" xr3:uid="{00000000-0010-0000-0300-000008000000}" name="SLA"/>
    <tableColumn id="9" xr3:uid="{00000000-0010-0000-0300-000009000000}" name="Frete a Cobrar"/>
    <tableColumn id="10" xr3:uid="{00000000-0010-0000-0300-00000A000000}" name="Tipo"/>
    <tableColumn id="11" xr3:uid="{00000000-0010-0000-0300-00000B000000}" name="Embalagem"/>
    <tableColumn id="12" xr3:uid="{00000000-0010-0000-0300-00000C000000}" name="Item avulso"/>
    <tableColumn id="13" xr3:uid="{00000000-0010-0000-0300-00000D000000}" name="Cálculo"/>
    <tableColumn id="14" xr3:uid="{00000000-0010-0000-0300-00000E000000}" name="Endereço SOS"/>
    <tableColumn id="15" xr3:uid="{00000000-0010-0000-0300-00000F000000}" name="Endereço Petrobras"/>
    <tableColumn id="16" xr3:uid="{00000000-0010-0000-0300-000010000000}" name="Distância SOS&gt;Petrobras"/>
    <tableColumn id="17" xr3:uid="{00000000-0010-0000-0300-000011000000}" name="Status"/>
    <tableColumn id="18" xr3:uid="{00000000-0010-0000-0300-000012000000}" name="Cobrar excedente"/>
    <tableColumn id="19" xr3:uid="{00000000-0010-0000-0300-000013000000}" name="Link"/>
  </tableColumns>
  <tableStyleInfo name="Atendimento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ela7" displayName="Tabela7" ref="A1:J3" totalsRowShown="0">
  <autoFilter ref="A1:J3" xr:uid="{00000000-0009-0000-0100-000007000000}"/>
  <tableColumns count="10">
    <tableColumn id="1" xr3:uid="{00000000-0010-0000-0400-000001000000}" name="Data da solicitação" dataDxfId="29"/>
    <tableColumn id="2" xr3:uid="{00000000-0010-0000-0400-000002000000}" name="Serviço"/>
    <tableColumn id="3" xr3:uid="{00000000-0010-0000-0400-000003000000}" name="Quantidades"/>
    <tableColumn id="4" xr3:uid="{00000000-0010-0000-0400-000004000000}" name="Endereço Petrobrás"/>
    <tableColumn id="5" xr3:uid="{00000000-0010-0000-0400-000005000000}" name="Endereço SOS Docs"/>
    <tableColumn id="6" xr3:uid="{00000000-0010-0000-0400-000006000000}" name="Cálculo final"/>
    <tableColumn id="7" xr3:uid="{00000000-0010-0000-0400-000007000000}" name="KM do trajeto"/>
    <tableColumn id="8" xr3:uid="{00000000-0010-0000-0400-000008000000}" name="KM excedente"/>
    <tableColumn id="9" xr3:uid="{00000000-0010-0000-0400-000009000000}" name="Tipo"/>
    <tableColumn id="10" xr3:uid="{00000000-0010-0000-0400-00000A000000}" name="UF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ela8" displayName="Tabela8" ref="A1:J28" totalsRowShown="0">
  <autoFilter ref="A1:J28" xr:uid="{00000000-0009-0000-0100-000008000000}"/>
  <tableColumns count="10">
    <tableColumn id="1" xr3:uid="{00000000-0010-0000-0500-000001000000}" name="Data da solicitação" dataDxfId="28"/>
    <tableColumn id="2" xr3:uid="{00000000-0010-0000-0500-000002000000}" name="Serviço"/>
    <tableColumn id="3" xr3:uid="{00000000-0010-0000-0500-000003000000}" name="Quantidades"/>
    <tableColumn id="4" xr3:uid="{00000000-0010-0000-0500-000004000000}" name="Endereço Petrobrás"/>
    <tableColumn id="5" xr3:uid="{00000000-0010-0000-0500-000005000000}" name="Endereço SOS Docs"/>
    <tableColumn id="6" xr3:uid="{00000000-0010-0000-0500-000006000000}" name="Cálculo final"/>
    <tableColumn id="7" xr3:uid="{00000000-0010-0000-0500-000007000000}" name="KM do trajeto"/>
    <tableColumn id="8" xr3:uid="{00000000-0010-0000-0500-000008000000}" name="KM excedente"/>
    <tableColumn id="9" xr3:uid="{00000000-0010-0000-0500-000009000000}" name="Tipo"/>
    <tableColumn id="10" xr3:uid="{00000000-0010-0000-0500-00000A000000}" name="UF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ela9" displayName="Tabela9" ref="A1:J51" totalsRowShown="0">
  <autoFilter ref="A1:J51" xr:uid="{00000000-0009-0000-0100-000009000000}"/>
  <tableColumns count="10">
    <tableColumn id="1" xr3:uid="{00000000-0010-0000-0600-000001000000}" name="Data da solicitação" dataDxfId="27"/>
    <tableColumn id="2" xr3:uid="{00000000-0010-0000-0600-000002000000}" name="Serviço"/>
    <tableColumn id="3" xr3:uid="{00000000-0010-0000-0600-000003000000}" name="Quantidades"/>
    <tableColumn id="4" xr3:uid="{00000000-0010-0000-0600-000004000000}" name="Endereço Petrobrás"/>
    <tableColumn id="5" xr3:uid="{00000000-0010-0000-0600-000005000000}" name="Endereço SOS Docs"/>
    <tableColumn id="6" xr3:uid="{00000000-0010-0000-0600-000006000000}" name="Cálculo final"/>
    <tableColumn id="7" xr3:uid="{00000000-0010-0000-0600-000007000000}" name="KM do trajeto"/>
    <tableColumn id="8" xr3:uid="{00000000-0010-0000-0600-000008000000}" name="KM excedente"/>
    <tableColumn id="9" xr3:uid="{00000000-0010-0000-0600-000009000000}" name="Tipo"/>
    <tableColumn id="10" xr3:uid="{00000000-0010-0000-0600-00000A000000}" name="UF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144238-A8E2-4D7D-8351-330AA6AA3626}" name="Table_5" displayName="Table_5" ref="A1:J12" headerRowDxfId="26" totalsRowDxfId="25">
  <autoFilter ref="A1:J12" xr:uid="{16144238-A8E2-4D7D-8351-330AA6AA3626}"/>
  <tableColumns count="10">
    <tableColumn id="1" xr3:uid="{C0CCBA9F-4DDD-4FBF-A6F6-47F2C77AA2DC}" name="Data da solicitação" dataDxfId="24"/>
    <tableColumn id="2" xr3:uid="{7BD0AF6F-B90D-4890-AB33-2BDC53F7DEF3}" name="Serviço" dataDxfId="23"/>
    <tableColumn id="3" xr3:uid="{73F77EE4-05A6-4ED8-98FC-CC550D4AFA20}" name="Quantidades" dataDxfId="22"/>
    <tableColumn id="4" xr3:uid="{FCE5CC5C-70BB-437D-91E6-1E6F50A79516}" name="Endereço Petrobrás" dataDxfId="21"/>
    <tableColumn id="5" xr3:uid="{45AC72D2-0945-4B06-9EB1-DE421211591D}" name="Endereço PA Arquivos" dataDxfId="20"/>
    <tableColumn id="6" xr3:uid="{0AE956B8-3601-4B91-A1E4-FFDFF0136D46}" name="Cálculo final" dataDxfId="19">
      <calculatedColumnFormula>Table_5[[#This Row],[Quantidades]]/30</calculatedColumnFormula>
    </tableColumn>
    <tableColumn id="7" xr3:uid="{B82B3051-1658-489F-BA19-28BB0253F127}" name="KM do trajeto" dataDxfId="18"/>
    <tableColumn id="8" xr3:uid="{D04F8A24-E8AE-4DD1-ACA0-A9B3B0A2B538}" name="KM excedente" dataDxfId="17">
      <calculatedColumnFormula>Table_5[[#This Row],[KM do trajeto]]-100</calculatedColumnFormula>
    </tableColumn>
    <tableColumn id="9" xr3:uid="{B5FFEBF3-1F2D-41CA-871D-419B4108449D}" name="Tipo" dataDxfId="16"/>
    <tableColumn id="10" xr3:uid="{23ACAEDA-B6D6-4DAA-AA3C-287D1E07FFA4}" name="UF" dataDxfId="15"/>
  </tableColumns>
  <tableStyleInfo name="TableStyleLight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able_6" displayName="Table_6" ref="B3:D6">
  <tableColumns count="3">
    <tableColumn id="1" xr3:uid="{00000000-0010-0000-0800-000001000000}" name="OS"/>
    <tableColumn id="2" xr3:uid="{00000000-0010-0000-0800-000002000000}" name="Click"/>
    <tableColumn id="3" xr3:uid="{00000000-0010-0000-0800-000003000000}" name="Status"/>
  </tableColumns>
  <tableStyleInfo name="Relação de ordens de serviç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7"/>
  </sheetPr>
  <dimension ref="A1:Z995"/>
  <sheetViews>
    <sheetView showGridLines="0" zoomScale="90" zoomScaleNormal="90" workbookViewId="0">
      <selection activeCell="J28" sqref="J28"/>
    </sheetView>
  </sheetViews>
  <sheetFormatPr defaultColWidth="14.44140625" defaultRowHeight="15" customHeight="1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x14ac:dyDescent="0.3">
      <c r="A2" s="1"/>
      <c r="B2" s="267" t="s">
        <v>0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9"/>
      <c r="Q2" s="4"/>
    </row>
    <row r="3" spans="1:26" ht="14.4" x14ac:dyDescent="0.3">
      <c r="B3" s="270" t="s">
        <v>1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9"/>
      <c r="Q3" s="5"/>
      <c r="R3" s="4"/>
    </row>
    <row r="4" spans="1:26" ht="14.4" x14ac:dyDescent="0.3">
      <c r="B4" s="271" t="s">
        <v>2</v>
      </c>
      <c r="C4" s="272"/>
      <c r="D4" s="6" t="s">
        <v>2578</v>
      </c>
      <c r="E4" s="6"/>
      <c r="F4" s="3"/>
      <c r="G4" s="3"/>
      <c r="H4" s="2"/>
      <c r="I4" s="3" t="s">
        <v>3</v>
      </c>
      <c r="J4" s="185" t="s">
        <v>2579</v>
      </c>
      <c r="K4" s="6"/>
      <c r="L4" s="273" t="s">
        <v>4</v>
      </c>
      <c r="M4" s="7" t="s">
        <v>5</v>
      </c>
      <c r="N4" s="8">
        <f>'Mapa Geral'!I41</f>
        <v>0.33333333333333331</v>
      </c>
      <c r="O4" s="9"/>
      <c r="Q4" s="5"/>
      <c r="R4" s="4"/>
    </row>
    <row r="5" spans="1:26" ht="14.4" x14ac:dyDescent="0.3">
      <c r="B5" s="263" t="s">
        <v>6</v>
      </c>
      <c r="C5" s="264"/>
      <c r="D5" s="186">
        <v>4600687006</v>
      </c>
      <c r="E5" s="10"/>
      <c r="F5" s="3"/>
      <c r="G5" s="3"/>
      <c r="H5" s="2"/>
      <c r="I5" s="11" t="s">
        <v>7</v>
      </c>
      <c r="J5" s="10" t="s">
        <v>2580</v>
      </c>
      <c r="K5" s="12"/>
      <c r="L5" s="264"/>
      <c r="M5" s="13" t="s">
        <v>8</v>
      </c>
      <c r="N5" s="10">
        <v>1</v>
      </c>
      <c r="O5" s="14"/>
      <c r="Q5" s="5"/>
      <c r="R5" s="4"/>
    </row>
    <row r="6" spans="1:26" ht="14.4" x14ac:dyDescent="0.3">
      <c r="B6" s="263" t="s">
        <v>9</v>
      </c>
      <c r="C6" s="264"/>
      <c r="D6" s="280" t="s">
        <v>2581</v>
      </c>
      <c r="E6" s="264"/>
      <c r="F6" s="264"/>
      <c r="G6" s="264"/>
      <c r="H6" s="264"/>
      <c r="I6" s="11" t="s">
        <v>10</v>
      </c>
      <c r="J6" s="6" t="s">
        <v>2582</v>
      </c>
      <c r="K6" s="10"/>
      <c r="L6" s="281" t="s">
        <v>11</v>
      </c>
      <c r="M6" s="13" t="s">
        <v>5</v>
      </c>
      <c r="N6" s="15">
        <f>'Mapa Geral'!K41</f>
        <v>0.76</v>
      </c>
      <c r="O6" s="16"/>
      <c r="Q6" s="5"/>
      <c r="R6" s="4"/>
    </row>
    <row r="7" spans="1:26" ht="14.4" x14ac:dyDescent="0.3">
      <c r="B7" s="265"/>
      <c r="C7" s="266"/>
      <c r="D7" s="266"/>
      <c r="E7" s="266"/>
      <c r="F7" s="266"/>
      <c r="G7" s="266"/>
      <c r="H7" s="266"/>
      <c r="I7" s="17" t="s">
        <v>12</v>
      </c>
      <c r="J7" s="18" t="s">
        <v>2737</v>
      </c>
      <c r="K7" s="18"/>
      <c r="L7" s="266"/>
      <c r="M7" s="19" t="s">
        <v>8</v>
      </c>
      <c r="N7" s="20">
        <v>1</v>
      </c>
      <c r="O7" s="21"/>
      <c r="Q7" s="4"/>
      <c r="R7" s="4"/>
    </row>
    <row r="8" spans="1:26" ht="14.4" x14ac:dyDescent="0.3">
      <c r="D8" s="3"/>
      <c r="E8" s="3"/>
      <c r="F8" s="3"/>
      <c r="G8" s="3"/>
      <c r="H8" s="2"/>
      <c r="I8" s="2"/>
      <c r="J8" s="6"/>
      <c r="K8" s="6"/>
      <c r="L8" s="3"/>
      <c r="M8" s="11"/>
      <c r="N8" s="22"/>
      <c r="Q8" s="4"/>
      <c r="R8" s="4"/>
    </row>
    <row r="9" spans="1:26" ht="8.25" customHeight="1" x14ac:dyDescent="0.3">
      <c r="H9" s="23"/>
      <c r="I9" s="4"/>
      <c r="J9" s="6"/>
      <c r="K9" s="6"/>
      <c r="L9" s="6"/>
      <c r="M9" s="6"/>
      <c r="Q9" s="4"/>
      <c r="R9" s="4"/>
    </row>
    <row r="10" spans="1:26" ht="14.4" x14ac:dyDescent="0.3">
      <c r="A10" s="1"/>
      <c r="B10" s="1"/>
      <c r="C10" s="24" t="s">
        <v>13</v>
      </c>
      <c r="D10" s="274" t="s">
        <v>14</v>
      </c>
      <c r="E10" s="275"/>
      <c r="F10" s="275"/>
      <c r="G10" s="275"/>
      <c r="H10" s="276"/>
      <c r="I10" s="25" t="s">
        <v>15</v>
      </c>
      <c r="J10" s="26" t="s">
        <v>16</v>
      </c>
      <c r="K10" s="26" t="s">
        <v>17</v>
      </c>
      <c r="L10" s="26" t="s">
        <v>18</v>
      </c>
      <c r="M10" s="27" t="s">
        <v>19</v>
      </c>
      <c r="N10" s="28" t="s">
        <v>20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1"/>
      <c r="B11" s="1"/>
      <c r="C11" s="29">
        <v>1</v>
      </c>
      <c r="D11" s="30" t="s">
        <v>21</v>
      </c>
      <c r="E11" s="31"/>
      <c r="F11" s="31"/>
      <c r="G11" s="31"/>
      <c r="H11" s="32"/>
      <c r="I11" s="31"/>
      <c r="J11" s="31"/>
      <c r="K11" s="31"/>
      <c r="L11" s="31"/>
      <c r="M11" s="32"/>
      <c r="N11" s="3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34"/>
      <c r="D12" s="250" t="s">
        <v>104</v>
      </c>
      <c r="E12" s="282" t="s">
        <v>2968</v>
      </c>
      <c r="F12" s="283"/>
      <c r="G12" s="283"/>
      <c r="H12" s="283"/>
      <c r="I12" s="35"/>
      <c r="J12" s="36"/>
      <c r="K12" s="175"/>
      <c r="L12" s="37"/>
      <c r="M12" s="38"/>
      <c r="N12" s="277"/>
      <c r="Q12" s="4"/>
    </row>
    <row r="13" spans="1:26" ht="14.4" x14ac:dyDescent="0.3">
      <c r="A13" s="1"/>
      <c r="B13" s="1"/>
      <c r="C13" s="39" t="s">
        <v>23</v>
      </c>
      <c r="D13" s="257" t="s">
        <v>24</v>
      </c>
      <c r="E13" s="257" t="s">
        <v>25</v>
      </c>
      <c r="F13" s="257" t="s">
        <v>26</v>
      </c>
      <c r="G13" s="257" t="s">
        <v>27</v>
      </c>
      <c r="H13" s="258" t="s">
        <v>28</v>
      </c>
      <c r="I13" s="40" t="s">
        <v>29</v>
      </c>
      <c r="J13" s="41">
        <f>SUMIF(ConsolidadoPA[Contrato],D12,ConsolidadoPA[UA])</f>
        <v>108333.57051121769</v>
      </c>
      <c r="K13" s="176">
        <f>J13*$N$5</f>
        <v>108333.57051121769</v>
      </c>
      <c r="L13" s="42">
        <f>IFERROR(VLOOKUP(ARMCXDOC,TabelaPA[[Linha de Serviço PPU]:[PREÇO UNITÁRIO ]],3,FALSE),"N/A")</f>
        <v>0.9</v>
      </c>
      <c r="M13" s="43">
        <f>K13*L13</f>
        <v>97500.213460095925</v>
      </c>
      <c r="N13" s="278"/>
      <c r="P13" s="44"/>
      <c r="Q13" s="4"/>
    </row>
    <row r="14" spans="1:26" ht="14.4" x14ac:dyDescent="0.3">
      <c r="A14" s="1"/>
      <c r="B14" s="1"/>
      <c r="C14" s="45"/>
      <c r="D14" s="259">
        <f>SUMIF(ConsolidadoPA[Contrato],ARMCXDOC,ConsolidadoPA[QUAm-1])</f>
        <v>84801</v>
      </c>
      <c r="E14" s="260">
        <f>SUMIF(ConsolidadoPA[Contrato],D12,ConsolidadoPA[QBm])</f>
        <v>0</v>
      </c>
      <c r="F14" s="260">
        <f>SUMIF(ConsolidadoPA[Contrato],D12,ConsolidadoPA[QDm])</f>
        <v>0</v>
      </c>
      <c r="G14" s="261">
        <f>SUMIF(ConsolidadoPA[Contrato],D12,ConsolidadoPA[QNm])</f>
        <v>17366</v>
      </c>
      <c r="H14" s="262">
        <f>(D14-E14-F14)+G14</f>
        <v>102167</v>
      </c>
      <c r="I14" s="46"/>
      <c r="J14" s="47"/>
      <c r="K14" s="177"/>
      <c r="L14" s="48"/>
      <c r="M14" s="49"/>
      <c r="N14" s="279"/>
      <c r="Q14" s="4"/>
    </row>
    <row r="15" spans="1:26" ht="15" customHeight="1" x14ac:dyDescent="0.3">
      <c r="A15" s="1"/>
      <c r="B15" s="1"/>
      <c r="C15" s="34"/>
      <c r="D15" s="250" t="s">
        <v>112</v>
      </c>
      <c r="E15" s="282" t="s">
        <v>2969</v>
      </c>
      <c r="F15" s="283"/>
      <c r="G15" s="283"/>
      <c r="H15" s="283"/>
      <c r="I15" s="50"/>
      <c r="J15" s="51"/>
      <c r="K15" s="178"/>
      <c r="L15" s="52"/>
      <c r="M15" s="53"/>
      <c r="N15" s="277"/>
      <c r="Q15" s="4"/>
    </row>
    <row r="16" spans="1:26" ht="14.4" x14ac:dyDescent="0.3">
      <c r="A16" s="1"/>
      <c r="B16" s="1"/>
      <c r="C16" s="39" t="s">
        <v>31</v>
      </c>
      <c r="D16" s="257" t="s">
        <v>24</v>
      </c>
      <c r="E16" s="257" t="s">
        <v>25</v>
      </c>
      <c r="F16" s="257" t="s">
        <v>26</v>
      </c>
      <c r="G16" s="257" t="s">
        <v>27</v>
      </c>
      <c r="H16" s="258" t="s">
        <v>28</v>
      </c>
      <c r="I16" s="40" t="s">
        <v>29</v>
      </c>
      <c r="J16" s="41">
        <f>SUMIF(ConsolidadoPA[Contrato],D15,ConsolidadoPA[UA])</f>
        <v>0</v>
      </c>
      <c r="K16" s="176">
        <f>J16*$N$5</f>
        <v>0</v>
      </c>
      <c r="L16" s="42">
        <f>IFERROR(VLOOKUP(ARMCXMID,TabelaPA[[Linha de Serviço PPU]:[PREÇO UNITÁRIO ]],3,FALSE),"N/A")</f>
        <v>0.9</v>
      </c>
      <c r="M16" s="43">
        <f>K16*L16</f>
        <v>0</v>
      </c>
      <c r="N16" s="278"/>
      <c r="Q16" s="4"/>
    </row>
    <row r="17" spans="1:17" ht="14.4" x14ac:dyDescent="0.3">
      <c r="A17" s="1"/>
      <c r="B17" s="1"/>
      <c r="C17" s="45"/>
      <c r="D17" s="259">
        <f>SUMIF(ConsolidadoPA[Contrato],D15,ConsolidadoPA[QUAm-1])</f>
        <v>0</v>
      </c>
      <c r="E17" s="260">
        <f>SUMIF(ConsolidadoPA[Contrato],D15,ConsolidadoPA[QBm])</f>
        <v>0</v>
      </c>
      <c r="F17" s="260">
        <f>SUMIF(ConsolidadoPA[Contrato],D15,ConsolidadoPA[QDm])</f>
        <v>0</v>
      </c>
      <c r="G17" s="261">
        <f>SUMIF(ConsolidadoPA[Contrato],D15,ConsolidadoPA[QNm])</f>
        <v>0</v>
      </c>
      <c r="H17" s="262">
        <f>(D17-E17-F17)+G17</f>
        <v>0</v>
      </c>
      <c r="I17" s="46"/>
      <c r="J17" s="47"/>
      <c r="K17" s="177"/>
      <c r="L17" s="48"/>
      <c r="M17" s="49"/>
      <c r="N17" s="279"/>
      <c r="Q17" s="4"/>
    </row>
    <row r="18" spans="1:17" ht="15" customHeight="1" x14ac:dyDescent="0.3">
      <c r="A18" s="1"/>
      <c r="B18" s="1"/>
      <c r="C18" s="34"/>
      <c r="D18" s="250" t="s">
        <v>115</v>
      </c>
      <c r="E18" s="282" t="s">
        <v>2970</v>
      </c>
      <c r="F18" s="283"/>
      <c r="G18" s="283"/>
      <c r="H18" s="283"/>
      <c r="I18" s="50"/>
      <c r="J18" s="51"/>
      <c r="K18" s="178"/>
      <c r="L18" s="52"/>
      <c r="M18" s="53"/>
      <c r="N18" s="277"/>
      <c r="Q18" s="4"/>
    </row>
    <row r="19" spans="1:17" ht="14.4" x14ac:dyDescent="0.3">
      <c r="A19" s="1"/>
      <c r="B19" s="1"/>
      <c r="C19" s="39" t="s">
        <v>33</v>
      </c>
      <c r="D19" s="257" t="s">
        <v>24</v>
      </c>
      <c r="E19" s="257" t="s">
        <v>25</v>
      </c>
      <c r="F19" s="257" t="s">
        <v>26</v>
      </c>
      <c r="G19" s="257" t="s">
        <v>27</v>
      </c>
      <c r="H19" s="258" t="s">
        <v>28</v>
      </c>
      <c r="I19" s="40" t="s">
        <v>29</v>
      </c>
      <c r="J19" s="41">
        <f>SUMIF(ConsolidadoPA[Contrato],D18,ConsolidadoPA[UA])</f>
        <v>6.6206896551724137</v>
      </c>
      <c r="K19" s="176">
        <f>J19*$N$5</f>
        <v>6.6206896551724137</v>
      </c>
      <c r="L19" s="42">
        <f>IFERROR(VLOOKUP(ARMTB,TabelaPA[[Linha de Serviço PPU]:[PREÇO UNITÁRIO ]],3,FALSE),"N/A")</f>
        <v>0.9</v>
      </c>
      <c r="M19" s="43">
        <f>K19*L19</f>
        <v>5.9586206896551728</v>
      </c>
      <c r="N19" s="278"/>
      <c r="Q19" s="4"/>
    </row>
    <row r="20" spans="1:17" ht="14.4" x14ac:dyDescent="0.3">
      <c r="A20" s="1"/>
      <c r="B20" s="1"/>
      <c r="C20" s="45"/>
      <c r="D20" s="259">
        <f>SUMIF(ConsolidadoPA[Contrato],D18,ConsolidadoPA[QUAm-1])</f>
        <v>0</v>
      </c>
      <c r="E20" s="260">
        <f>SUMIF(ConsolidadoPA[Contrato],D18,ConsolidadoPA[QBm])</f>
        <v>0</v>
      </c>
      <c r="F20" s="260">
        <f>SUMIF(ConsolidadoPA[Contrato],D18,ConsolidadoPA[QDm])</f>
        <v>0</v>
      </c>
      <c r="G20" s="261">
        <f>SUMIF(ConsolidadoPA[Contrato],D18,ConsolidadoPA[QNm])</f>
        <v>2</v>
      </c>
      <c r="H20" s="262">
        <f>(D20-E20-F20)+G20</f>
        <v>2</v>
      </c>
      <c r="I20" s="46"/>
      <c r="J20" s="47"/>
      <c r="K20" s="177"/>
      <c r="L20" s="48"/>
      <c r="M20" s="49"/>
      <c r="N20" s="279"/>
      <c r="Q20" s="4"/>
    </row>
    <row r="21" spans="1:17" ht="15" customHeight="1" x14ac:dyDescent="0.3">
      <c r="A21" s="1"/>
      <c r="B21" s="1"/>
      <c r="C21" s="34"/>
      <c r="D21" s="250" t="s">
        <v>2759</v>
      </c>
      <c r="E21" s="282" t="s">
        <v>2971</v>
      </c>
      <c r="F21" s="283"/>
      <c r="G21" s="283"/>
      <c r="H21" s="283"/>
      <c r="I21" s="50"/>
      <c r="J21" s="51"/>
      <c r="K21" s="178"/>
      <c r="L21" s="52"/>
      <c r="M21" s="53"/>
      <c r="N21" s="277"/>
      <c r="Q21" s="4"/>
    </row>
    <row r="22" spans="1:17" ht="15.75" customHeight="1" x14ac:dyDescent="0.3">
      <c r="A22" s="1"/>
      <c r="B22" s="1"/>
      <c r="C22" s="39" t="s">
        <v>35</v>
      </c>
      <c r="D22" s="257" t="s">
        <v>24</v>
      </c>
      <c r="E22" s="257" t="s">
        <v>25</v>
      </c>
      <c r="F22" s="257" t="s">
        <v>26</v>
      </c>
      <c r="G22" s="257" t="s">
        <v>27</v>
      </c>
      <c r="H22" s="258" t="s">
        <v>28</v>
      </c>
      <c r="I22" s="40" t="s">
        <v>29</v>
      </c>
      <c r="J22" s="41">
        <f>SUMIF(ConsolidadoPA[Contrato],D21,ConsolidadoPA[UA])</f>
        <v>0</v>
      </c>
      <c r="K22" s="176">
        <f>J22*$N$5</f>
        <v>0</v>
      </c>
      <c r="L22" s="42">
        <f>IFERROR(VLOOKUP(ARMMA,TabelaPA[[Linha de Serviço PPU]:[PREÇO UNITÁRIO ]],3,FALSE),"N/A")</f>
        <v>70</v>
      </c>
      <c r="M22" s="43">
        <f>K22*L22</f>
        <v>0</v>
      </c>
      <c r="N22" s="278"/>
      <c r="Q22" s="4"/>
    </row>
    <row r="23" spans="1:17" ht="15.75" customHeight="1" x14ac:dyDescent="0.3">
      <c r="A23" s="1"/>
      <c r="B23" s="1"/>
      <c r="C23" s="45"/>
      <c r="D23" s="259">
        <f>SUMIF(ConsolidadoPA[Contrato],D21,ConsolidadoPA[QUAm-1])</f>
        <v>0</v>
      </c>
      <c r="E23" s="260">
        <f>SUMIF(ConsolidadoPA[Contrato],D21,ConsolidadoPA[QBm])</f>
        <v>0</v>
      </c>
      <c r="F23" s="260">
        <f>SUMIF(ConsolidadoPA[Contrato],D21,ConsolidadoPA[QDm])</f>
        <v>0</v>
      </c>
      <c r="G23" s="261">
        <f>SUMIF(ConsolidadoPA[Contrato],D21,ConsolidadoPA[QNm])</f>
        <v>0</v>
      </c>
      <c r="H23" s="262">
        <f>(D23-E23-F23)+G23</f>
        <v>0</v>
      </c>
      <c r="I23" s="46"/>
      <c r="J23" s="47"/>
      <c r="K23" s="177"/>
      <c r="L23" s="48"/>
      <c r="M23" s="49"/>
      <c r="N23" s="279"/>
      <c r="Q23" s="4"/>
    </row>
    <row r="24" spans="1:17" ht="15" customHeight="1" x14ac:dyDescent="0.3">
      <c r="A24" s="1"/>
      <c r="B24" s="1"/>
      <c r="C24" s="34"/>
      <c r="D24" s="250" t="s">
        <v>2764</v>
      </c>
      <c r="E24" s="282" t="s">
        <v>2972</v>
      </c>
      <c r="F24" s="283"/>
      <c r="G24" s="283"/>
      <c r="H24" s="283"/>
      <c r="I24" s="50"/>
      <c r="J24" s="51"/>
      <c r="K24" s="178"/>
      <c r="L24" s="52"/>
      <c r="M24" s="53"/>
      <c r="N24" s="277"/>
      <c r="Q24" s="4"/>
    </row>
    <row r="25" spans="1:17" ht="15.75" customHeight="1" x14ac:dyDescent="0.3">
      <c r="A25" s="1"/>
      <c r="B25" s="1"/>
      <c r="C25" s="39" t="s">
        <v>37</v>
      </c>
      <c r="D25" s="257" t="s">
        <v>24</v>
      </c>
      <c r="E25" s="257" t="s">
        <v>25</v>
      </c>
      <c r="F25" s="257" t="s">
        <v>26</v>
      </c>
      <c r="G25" s="257" t="s">
        <v>27</v>
      </c>
      <c r="H25" s="258" t="s">
        <v>28</v>
      </c>
      <c r="I25" s="40" t="s">
        <v>29</v>
      </c>
      <c r="J25" s="41">
        <f>SUMIF(ConsolidadoPA[Contrato],D24,ConsolidadoPA[UA])</f>
        <v>0</v>
      </c>
      <c r="K25" s="176">
        <f>J25*$N$5</f>
        <v>0</v>
      </c>
      <c r="L25" s="42">
        <f>IFERROR(VLOOKUP(ARMMIC,TabelaPA[[Linha de Serviço PPU]:[PREÇO UNITÁRIO ]],3,FALSE),"N/A")</f>
        <v>0.1</v>
      </c>
      <c r="M25" s="43">
        <f>K25*L25</f>
        <v>0</v>
      </c>
      <c r="N25" s="278"/>
      <c r="Q25" s="4"/>
    </row>
    <row r="26" spans="1:17" ht="15.75" customHeight="1" x14ac:dyDescent="0.3">
      <c r="A26" s="1"/>
      <c r="B26" s="1"/>
      <c r="C26" s="45"/>
      <c r="D26" s="259">
        <f>SUMIF(ConsolidadoPA[Contrato],D24,ConsolidadoPA[QUAm-1])</f>
        <v>0</v>
      </c>
      <c r="E26" s="260">
        <f>SUMIF(ConsolidadoPA[Contrato],D24,ConsolidadoPA[QBm])</f>
        <v>0</v>
      </c>
      <c r="F26" s="260">
        <f>SUMIF(ConsolidadoPA[Contrato],D24,ConsolidadoPA[QDm])</f>
        <v>0</v>
      </c>
      <c r="G26" s="261">
        <f>SUMIF(ConsolidadoPA[Contrato],D24,ConsolidadoPA[QNm])</f>
        <v>0</v>
      </c>
      <c r="H26" s="262">
        <f>(D26-E26-F26)+G26</f>
        <v>0</v>
      </c>
      <c r="I26" s="46"/>
      <c r="J26" s="47"/>
      <c r="K26" s="177"/>
      <c r="L26" s="48"/>
      <c r="M26" s="49"/>
      <c r="N26" s="279"/>
      <c r="Q26" s="4"/>
    </row>
    <row r="27" spans="1:17" ht="15" customHeight="1" x14ac:dyDescent="0.3">
      <c r="A27" s="1"/>
      <c r="B27" s="1"/>
      <c r="C27" s="34"/>
      <c r="D27" s="250" t="s">
        <v>2769</v>
      </c>
      <c r="E27" s="282" t="s">
        <v>2973</v>
      </c>
      <c r="F27" s="283"/>
      <c r="G27" s="283"/>
      <c r="H27" s="283"/>
      <c r="I27" s="54"/>
      <c r="J27" s="41"/>
      <c r="K27" s="176"/>
      <c r="L27" s="42"/>
      <c r="M27" s="43"/>
      <c r="N27" s="277"/>
      <c r="Q27" s="4"/>
    </row>
    <row r="28" spans="1:17" ht="15.75" customHeight="1" x14ac:dyDescent="0.3">
      <c r="A28" s="1"/>
      <c r="B28" s="1"/>
      <c r="C28" s="39" t="s">
        <v>39</v>
      </c>
      <c r="D28" s="257" t="s">
        <v>24</v>
      </c>
      <c r="E28" s="257" t="s">
        <v>25</v>
      </c>
      <c r="F28" s="257" t="s">
        <v>26</v>
      </c>
      <c r="G28" s="257" t="s">
        <v>27</v>
      </c>
      <c r="H28" s="258" t="s">
        <v>28</v>
      </c>
      <c r="I28" s="40" t="s">
        <v>29</v>
      </c>
      <c r="J28" s="41">
        <f>SUMIF(ConsolidadoPA[Contrato],D27,ConsolidadoPA[UA])</f>
        <v>0</v>
      </c>
      <c r="K28" s="176">
        <f>J28*$N$5</f>
        <v>0</v>
      </c>
      <c r="L28" s="42">
        <f>IFERROR(VLOOKUP(ARMMID,TabelaPA[[Linha de Serviço PPU]:[PREÇO UNITÁRIO ]],3,FALSE),"N/A")</f>
        <v>0.1</v>
      </c>
      <c r="M28" s="43">
        <f>K28*L28</f>
        <v>0</v>
      </c>
      <c r="N28" s="278"/>
      <c r="Q28" s="4"/>
    </row>
    <row r="29" spans="1:17" ht="15.75" customHeight="1" x14ac:dyDescent="0.3">
      <c r="A29" s="1"/>
      <c r="B29" s="1"/>
      <c r="C29" s="45"/>
      <c r="D29" s="259">
        <f>SUMIF(ConsolidadoPA[Contrato],D27,ConsolidadoPA[QUAm-1])</f>
        <v>0</v>
      </c>
      <c r="E29" s="260">
        <f>SUMIF(ConsolidadoPA[Contrato],D27,ConsolidadoPA[QBm])</f>
        <v>0</v>
      </c>
      <c r="F29" s="260">
        <f>SUMIF(ConsolidadoPA[Contrato],D27,ConsolidadoPA[QDm])</f>
        <v>0</v>
      </c>
      <c r="G29" s="261">
        <f>SUMIF(ConsolidadoPA[Contrato],D27,ConsolidadoPA[QNm])</f>
        <v>0</v>
      </c>
      <c r="H29" s="262">
        <f>(D29-E29-F29)+G29</f>
        <v>0</v>
      </c>
      <c r="I29" s="46"/>
      <c r="J29" s="47"/>
      <c r="K29" s="177"/>
      <c r="L29" s="48"/>
      <c r="M29" s="49"/>
      <c r="N29" s="279"/>
      <c r="Q29" s="4"/>
    </row>
    <row r="30" spans="1:17" ht="15" customHeight="1" x14ac:dyDescent="0.3">
      <c r="A30" s="1"/>
      <c r="B30" s="1"/>
      <c r="C30" s="252" t="s">
        <v>40</v>
      </c>
      <c r="D30" s="249" t="s">
        <v>219</v>
      </c>
      <c r="E30" s="284" t="s">
        <v>2953</v>
      </c>
      <c r="F30" s="284"/>
      <c r="G30" s="284"/>
      <c r="H30" s="285"/>
      <c r="I30" s="46" t="s">
        <v>42</v>
      </c>
      <c r="J30" s="183">
        <f>SUMIF(Table_5[Tipo],"FRE-NRM",Table_5[Cálculo final])</f>
        <v>2</v>
      </c>
      <c r="K30" s="177">
        <f>J30*$N$5</f>
        <v>2</v>
      </c>
      <c r="L30" s="256">
        <f>IFERROR(VLOOKUP(D30,TabelaPA[[Linha de Serviço PPU]:[PREÇO UNITÁRIO ]],3,FALSE),"N/A")</f>
        <v>50</v>
      </c>
      <c r="M30" s="49">
        <f t="shared" ref="M30:M36" si="0">K30*L30</f>
        <v>100</v>
      </c>
      <c r="N30" s="55"/>
      <c r="Q30" s="4"/>
    </row>
    <row r="31" spans="1:17" ht="15" customHeight="1" x14ac:dyDescent="0.3">
      <c r="A31" s="1"/>
      <c r="B31" s="1"/>
      <c r="C31" s="253" t="s">
        <v>43</v>
      </c>
      <c r="D31" s="250" t="s">
        <v>223</v>
      </c>
      <c r="E31" s="283" t="s">
        <v>2954</v>
      </c>
      <c r="F31" s="283"/>
      <c r="G31" s="283"/>
      <c r="H31" s="283"/>
      <c r="I31" s="251" t="s">
        <v>42</v>
      </c>
      <c r="J31" s="184">
        <f>SUMIF(Table_5[Tipo],"FRE-EXP",Table_5[Cálculo final])</f>
        <v>0</v>
      </c>
      <c r="K31" s="177">
        <f t="shared" ref="K31:K35" si="1">J31*$N$5</f>
        <v>0</v>
      </c>
      <c r="L31" s="256">
        <f>IFERROR(VLOOKUP(D31,TabelaPA[[Linha de Serviço PPU]:[PREÇO UNITÁRIO ]],3,FALSE),"N/A")</f>
        <v>100</v>
      </c>
      <c r="M31" s="56">
        <f t="shared" si="0"/>
        <v>0</v>
      </c>
      <c r="N31" s="55"/>
      <c r="Q31" s="4"/>
    </row>
    <row r="32" spans="1:17" ht="15" customHeight="1" x14ac:dyDescent="0.3">
      <c r="A32" s="1"/>
      <c r="B32" s="1"/>
      <c r="C32" s="253" t="s">
        <v>45</v>
      </c>
      <c r="D32" s="250" t="s">
        <v>2570</v>
      </c>
      <c r="E32" s="283" t="s">
        <v>2955</v>
      </c>
      <c r="F32" s="283"/>
      <c r="G32" s="283"/>
      <c r="H32" s="283"/>
      <c r="I32" s="251" t="s">
        <v>47</v>
      </c>
      <c r="J32" s="184">
        <f>SUMIF(Table_5[Tipo],"KM-AD",Table_5[KM excedente])</f>
        <v>3208</v>
      </c>
      <c r="K32" s="177">
        <f t="shared" si="1"/>
        <v>3208</v>
      </c>
      <c r="L32" s="256">
        <f>IFERROR(VLOOKUP(D32,TabelaPA[[Linha de Serviço PPU]:[PREÇO UNITÁRIO ]],3,FALSE),"N/A")</f>
        <v>1</v>
      </c>
      <c r="M32" s="56">
        <f t="shared" si="0"/>
        <v>3208</v>
      </c>
      <c r="N32" s="55"/>
      <c r="Q32" s="4"/>
    </row>
    <row r="33" spans="1:17" ht="15" customHeight="1" x14ac:dyDescent="0.3">
      <c r="A33" s="1"/>
      <c r="B33" s="1"/>
      <c r="C33" s="253" t="s">
        <v>2786</v>
      </c>
      <c r="D33" s="250" t="s">
        <v>2785</v>
      </c>
      <c r="E33" s="286" t="s">
        <v>2558</v>
      </c>
      <c r="F33" s="287"/>
      <c r="G33" s="287"/>
      <c r="H33" s="288"/>
      <c r="I33" s="251" t="s">
        <v>48</v>
      </c>
      <c r="J33" s="184">
        <f>'Digitalização Click'!C36</f>
        <v>436</v>
      </c>
      <c r="K33" s="177">
        <f t="shared" si="1"/>
        <v>436</v>
      </c>
      <c r="L33" s="256">
        <f>IFERROR(VLOOKUP(D33,TabelaPA[[Linha de Serviço PPU]:[PREÇO UNITÁRIO ]],3,FALSE),"N/A")</f>
        <v>3</v>
      </c>
      <c r="M33" s="56">
        <f t="shared" si="0"/>
        <v>1308</v>
      </c>
      <c r="N33" s="55"/>
      <c r="Q33" s="4"/>
    </row>
    <row r="34" spans="1:17" ht="15" customHeight="1" x14ac:dyDescent="0.3">
      <c r="A34" s="1"/>
      <c r="B34" s="1"/>
      <c r="C34" s="253" t="s">
        <v>49</v>
      </c>
      <c r="D34" s="250" t="s">
        <v>2790</v>
      </c>
      <c r="E34" s="286" t="s">
        <v>2956</v>
      </c>
      <c r="F34" s="287"/>
      <c r="G34" s="287"/>
      <c r="H34" s="288"/>
      <c r="I34" s="251" t="s">
        <v>48</v>
      </c>
      <c r="J34" s="184">
        <v>0</v>
      </c>
      <c r="K34" s="177">
        <f t="shared" si="1"/>
        <v>0</v>
      </c>
      <c r="L34" s="256">
        <f>IFERROR(VLOOKUP(D34,TabelaPA[[Linha de Serviço PPU]:[PREÇO UNITÁRIO ]],3,FALSE),"N/A")</f>
        <v>3</v>
      </c>
      <c r="M34" s="56">
        <f>K34*L35</f>
        <v>0</v>
      </c>
      <c r="N34" s="57"/>
      <c r="Q34" s="4"/>
    </row>
    <row r="35" spans="1:17" ht="15" customHeight="1" x14ac:dyDescent="0.3">
      <c r="A35" s="1"/>
      <c r="B35" s="1"/>
      <c r="C35" s="253" t="s">
        <v>51</v>
      </c>
      <c r="D35" s="250" t="s">
        <v>2794</v>
      </c>
      <c r="E35" s="286" t="s">
        <v>2957</v>
      </c>
      <c r="F35" s="287"/>
      <c r="G35" s="287"/>
      <c r="H35" s="288"/>
      <c r="I35" s="251" t="s">
        <v>55</v>
      </c>
      <c r="J35" s="184">
        <v>0</v>
      </c>
      <c r="K35" s="177">
        <f t="shared" si="1"/>
        <v>0</v>
      </c>
      <c r="L35" s="256">
        <f>IFERROR(VLOOKUP(D35,TabelaPA[[Linha de Serviço PPU]:[PREÇO UNITÁRIO ]],3,FALSE),"N/A")</f>
        <v>100000</v>
      </c>
      <c r="M35" s="56">
        <v>0</v>
      </c>
      <c r="N35" s="55"/>
      <c r="Q35" s="4"/>
    </row>
    <row r="36" spans="1:17" ht="15" customHeight="1" x14ac:dyDescent="0.3">
      <c r="A36" s="1"/>
      <c r="B36" s="1"/>
      <c r="C36" s="253" t="s">
        <v>54</v>
      </c>
      <c r="D36" s="250" t="s">
        <v>2799</v>
      </c>
      <c r="E36" s="286" t="s">
        <v>2958</v>
      </c>
      <c r="F36" s="287"/>
      <c r="G36" s="287"/>
      <c r="H36" s="288"/>
      <c r="I36" s="251" t="s">
        <v>29</v>
      </c>
      <c r="J36" s="184">
        <v>0</v>
      </c>
      <c r="K36" s="177">
        <f>J36*$N$5</f>
        <v>0</v>
      </c>
      <c r="L36" s="256">
        <f>IFERROR(VLOOKUP(D36,TabelaPA[[Linha de Serviço PPU]:[PREÇO UNITÁRIO ]],3,FALSE),"N/A")</f>
        <v>7.5</v>
      </c>
      <c r="M36" s="56">
        <f t="shared" si="0"/>
        <v>0</v>
      </c>
      <c r="N36" s="55"/>
      <c r="Q36" s="4"/>
    </row>
    <row r="37" spans="1:17" ht="15" customHeight="1" x14ac:dyDescent="0.3">
      <c r="A37" s="1"/>
      <c r="B37" s="1"/>
      <c r="C37" s="29">
        <v>2</v>
      </c>
      <c r="D37" s="289" t="s">
        <v>56</v>
      </c>
      <c r="E37" s="275"/>
      <c r="F37" s="275"/>
      <c r="G37" s="275"/>
      <c r="H37" s="290"/>
      <c r="I37" s="58"/>
      <c r="J37" s="58"/>
      <c r="K37" s="58"/>
      <c r="L37" s="58"/>
      <c r="M37" s="58"/>
      <c r="N37" s="32"/>
      <c r="Q37" s="4"/>
    </row>
    <row r="38" spans="1:17" ht="15" customHeight="1" x14ac:dyDescent="0.3">
      <c r="A38" s="1"/>
      <c r="B38" s="1"/>
      <c r="C38" s="253" t="s">
        <v>57</v>
      </c>
      <c r="D38" s="254" t="s">
        <v>2804</v>
      </c>
      <c r="E38" s="283" t="s">
        <v>2959</v>
      </c>
      <c r="F38" s="283"/>
      <c r="G38" s="283"/>
      <c r="H38" s="283"/>
      <c r="I38" s="251" t="s">
        <v>181</v>
      </c>
      <c r="J38" s="184">
        <v>0</v>
      </c>
      <c r="K38" s="179">
        <f t="shared" ref="K38:K45" si="2">J38*$N$7</f>
        <v>0</v>
      </c>
      <c r="L38" s="256">
        <f>IFERROR(VLOOKUP(D38,TabelaPA[[Linha de Serviço PPU]:[PREÇO UNITÁRIO ]],3,FALSE),"N/A")</f>
        <v>0.2</v>
      </c>
      <c r="M38" s="56">
        <f t="shared" ref="M38:M46" si="3">K38*L38</f>
        <v>0</v>
      </c>
      <c r="N38" s="55"/>
      <c r="Q38" s="4"/>
    </row>
    <row r="39" spans="1:17" ht="15" customHeight="1" x14ac:dyDescent="0.3">
      <c r="A39" s="1"/>
      <c r="B39" s="1"/>
      <c r="C39" s="253" t="s">
        <v>58</v>
      </c>
      <c r="D39" s="255" t="s">
        <v>2808</v>
      </c>
      <c r="E39" s="291" t="s">
        <v>2960</v>
      </c>
      <c r="F39" s="291"/>
      <c r="G39" s="291"/>
      <c r="H39" s="291"/>
      <c r="I39" s="251" t="s">
        <v>29</v>
      </c>
      <c r="J39" s="184">
        <v>0</v>
      </c>
      <c r="K39" s="179">
        <f t="shared" si="2"/>
        <v>0</v>
      </c>
      <c r="L39" s="256">
        <f>IFERROR(VLOOKUP(D39,TabelaPA[[Linha de Serviço PPU]:[PREÇO UNITÁRIO ]],3,FALSE),"N/A")</f>
        <v>10</v>
      </c>
      <c r="M39" s="56">
        <f t="shared" si="3"/>
        <v>0</v>
      </c>
      <c r="N39" s="55"/>
      <c r="Q39" s="4"/>
    </row>
    <row r="40" spans="1:17" ht="15" customHeight="1" x14ac:dyDescent="0.3">
      <c r="A40" s="1"/>
      <c r="B40" s="1"/>
      <c r="C40" s="253" t="s">
        <v>59</v>
      </c>
      <c r="D40" s="254" t="s">
        <v>2811</v>
      </c>
      <c r="E40" s="283" t="s">
        <v>2961</v>
      </c>
      <c r="F40" s="283"/>
      <c r="G40" s="283"/>
      <c r="H40" s="283"/>
      <c r="I40" s="251" t="s">
        <v>67</v>
      </c>
      <c r="J40" s="184">
        <v>0</v>
      </c>
      <c r="K40" s="179">
        <f t="shared" si="2"/>
        <v>0</v>
      </c>
      <c r="L40" s="256">
        <f>IFERROR(VLOOKUP(D40,TabelaPA[[Linha de Serviço PPU]:[PREÇO UNITÁRIO ]],3,FALSE),"N/A")</f>
        <v>0.05</v>
      </c>
      <c r="M40" s="56">
        <f t="shared" si="3"/>
        <v>0</v>
      </c>
      <c r="N40" s="55"/>
      <c r="Q40" s="4"/>
    </row>
    <row r="41" spans="1:17" ht="15" customHeight="1" x14ac:dyDescent="0.3">
      <c r="A41" s="1"/>
      <c r="B41" s="1"/>
      <c r="C41" s="253" t="s">
        <v>60</v>
      </c>
      <c r="D41" s="254" t="s">
        <v>2815</v>
      </c>
      <c r="E41" s="283" t="s">
        <v>2962</v>
      </c>
      <c r="F41" s="283"/>
      <c r="G41" s="283"/>
      <c r="H41" s="283"/>
      <c r="I41" s="251" t="s">
        <v>67</v>
      </c>
      <c r="J41" s="184">
        <f>'Digitalização Click'!C30</f>
        <v>51</v>
      </c>
      <c r="K41" s="179">
        <f t="shared" si="2"/>
        <v>51</v>
      </c>
      <c r="L41" s="256">
        <f>IFERROR(VLOOKUP(D41,TabelaPA[[Linha de Serviço PPU]:[PREÇO UNITÁRIO ]],3,FALSE),"N/A")</f>
        <v>0.05</v>
      </c>
      <c r="M41" s="56">
        <f t="shared" si="3"/>
        <v>2.5500000000000003</v>
      </c>
      <c r="N41" s="55"/>
      <c r="Q41" s="4"/>
    </row>
    <row r="42" spans="1:17" ht="15" customHeight="1" x14ac:dyDescent="0.3">
      <c r="A42" s="1"/>
      <c r="B42" s="1"/>
      <c r="C42" s="253" t="s">
        <v>62</v>
      </c>
      <c r="D42" s="254" t="s">
        <v>2819</v>
      </c>
      <c r="E42" s="283" t="s">
        <v>191</v>
      </c>
      <c r="F42" s="283"/>
      <c r="G42" s="283"/>
      <c r="H42" s="283"/>
      <c r="I42" s="251" t="s">
        <v>67</v>
      </c>
      <c r="J42" s="184">
        <f>'Digitalização Click'!C32</f>
        <v>34544</v>
      </c>
      <c r="K42" s="179">
        <f t="shared" si="2"/>
        <v>34544</v>
      </c>
      <c r="L42" s="256">
        <f>IFERROR(VLOOKUP(D42,TabelaPA[[Linha de Serviço PPU]:[PREÇO UNITÁRIO ]],3,FALSE),"N/A")</f>
        <v>0.11</v>
      </c>
      <c r="M42" s="56">
        <f t="shared" si="3"/>
        <v>3799.84</v>
      </c>
      <c r="N42" s="55"/>
      <c r="Q42" s="4"/>
    </row>
    <row r="43" spans="1:17" ht="15" customHeight="1" x14ac:dyDescent="0.3">
      <c r="A43" s="1"/>
      <c r="B43" s="1"/>
      <c r="C43" s="253" t="s">
        <v>64</v>
      </c>
      <c r="D43" s="254" t="s">
        <v>2823</v>
      </c>
      <c r="E43" s="283" t="s">
        <v>2963</v>
      </c>
      <c r="F43" s="283"/>
      <c r="G43" s="283"/>
      <c r="H43" s="283"/>
      <c r="I43" s="251" t="s">
        <v>2964</v>
      </c>
      <c r="J43" s="184">
        <f>'Digitalização Click'!C31</f>
        <v>436</v>
      </c>
      <c r="K43" s="179">
        <f t="shared" si="2"/>
        <v>436</v>
      </c>
      <c r="L43" s="256">
        <f>IFERROR(VLOOKUP(D43,TabelaPA[[Linha de Serviço PPU]:[PREÇO UNITÁRIO ]],3,FALSE),"N/A")</f>
        <v>0.1</v>
      </c>
      <c r="M43" s="56">
        <f t="shared" si="3"/>
        <v>43.6</v>
      </c>
      <c r="N43" s="55"/>
      <c r="Q43" s="4"/>
    </row>
    <row r="44" spans="1:17" ht="15" customHeight="1" x14ac:dyDescent="0.3">
      <c r="A44" s="1"/>
      <c r="B44" s="1"/>
      <c r="C44" s="253" t="s">
        <v>65</v>
      </c>
      <c r="D44" s="254" t="s">
        <v>2826</v>
      </c>
      <c r="E44" s="283" t="s">
        <v>2965</v>
      </c>
      <c r="F44" s="283"/>
      <c r="G44" s="283"/>
      <c r="H44" s="283"/>
      <c r="I44" s="251" t="s">
        <v>75</v>
      </c>
      <c r="J44" s="184">
        <v>0</v>
      </c>
      <c r="K44" s="179">
        <f t="shared" si="2"/>
        <v>0</v>
      </c>
      <c r="L44" s="256">
        <f>IFERROR(VLOOKUP(D44,TabelaPA[[Linha de Serviço PPU]:[PREÇO UNITÁRIO ]],3,FALSE),"N/A")</f>
        <v>40</v>
      </c>
      <c r="M44" s="56">
        <f t="shared" si="3"/>
        <v>0</v>
      </c>
      <c r="N44" s="55"/>
      <c r="Q44" s="4"/>
    </row>
    <row r="45" spans="1:17" ht="15" customHeight="1" x14ac:dyDescent="0.3">
      <c r="A45" s="1"/>
      <c r="B45" s="1"/>
      <c r="C45" s="253" t="s">
        <v>68</v>
      </c>
      <c r="D45" s="254" t="s">
        <v>2829</v>
      </c>
      <c r="E45" s="283" t="s">
        <v>2966</v>
      </c>
      <c r="F45" s="283"/>
      <c r="G45" s="283"/>
      <c r="H45" s="283"/>
      <c r="I45" s="251" t="s">
        <v>75</v>
      </c>
      <c r="J45" s="184">
        <f>'Digitalização Click'!C30</f>
        <v>51</v>
      </c>
      <c r="K45" s="179">
        <f t="shared" si="2"/>
        <v>51</v>
      </c>
      <c r="L45" s="256">
        <f>IFERROR(VLOOKUP(D45,TabelaPA[[Linha de Serviço PPU]:[PREÇO UNITÁRIO ]],3,FALSE),"N/A")</f>
        <v>40</v>
      </c>
      <c r="M45" s="56">
        <f t="shared" si="3"/>
        <v>2040</v>
      </c>
      <c r="N45" s="55"/>
      <c r="Q45" s="4"/>
    </row>
    <row r="46" spans="1:17" ht="15" customHeight="1" x14ac:dyDescent="0.3">
      <c r="A46" s="1"/>
      <c r="B46" s="1"/>
      <c r="C46" s="253" t="s">
        <v>70</v>
      </c>
      <c r="D46" s="254" t="s">
        <v>2832</v>
      </c>
      <c r="E46" s="283" t="s">
        <v>2967</v>
      </c>
      <c r="F46" s="283"/>
      <c r="G46" s="283"/>
      <c r="H46" s="283"/>
      <c r="I46" s="251" t="s">
        <v>75</v>
      </c>
      <c r="J46" s="184">
        <v>0</v>
      </c>
      <c r="K46" s="179">
        <f>J46*$N$7</f>
        <v>0</v>
      </c>
      <c r="L46" s="256">
        <f>IFERROR(VLOOKUP(D46,TabelaPA[[Linha de Serviço PPU]:[PREÇO UNITÁRIO ]],3,FALSE),"N/A")</f>
        <v>5</v>
      </c>
      <c r="M46" s="56">
        <f t="shared" si="3"/>
        <v>0</v>
      </c>
      <c r="N46" s="55"/>
      <c r="Q46" s="4"/>
    </row>
    <row r="47" spans="1:17" ht="30" customHeight="1" x14ac:dyDescent="0.3">
      <c r="A47" s="1"/>
      <c r="B47" s="1"/>
      <c r="C47" s="292" t="s">
        <v>78</v>
      </c>
      <c r="D47" s="293"/>
      <c r="E47" s="293"/>
      <c r="F47" s="293"/>
      <c r="G47" s="293"/>
      <c r="H47" s="293"/>
      <c r="I47" s="294"/>
      <c r="J47" s="59"/>
      <c r="K47" s="59"/>
      <c r="L47" s="59"/>
      <c r="M47" s="60">
        <f>SUM(M12:M46)</f>
        <v>108008.16208078558</v>
      </c>
      <c r="N47" s="55"/>
      <c r="Q47" s="4"/>
    </row>
    <row r="48" spans="1:17" ht="14.25" customHeight="1" x14ac:dyDescent="0.3">
      <c r="A48" s="1"/>
      <c r="B48" s="1"/>
      <c r="C48" s="295" t="s">
        <v>79</v>
      </c>
      <c r="D48" s="275"/>
      <c r="E48" s="275"/>
      <c r="F48" s="275"/>
      <c r="G48" s="275"/>
      <c r="H48" s="275"/>
      <c r="I48" s="276"/>
      <c r="J48" s="296" t="s">
        <v>80</v>
      </c>
      <c r="K48" s="275"/>
      <c r="L48" s="275"/>
      <c r="M48" s="275"/>
      <c r="N48" s="276"/>
      <c r="Q48" s="4"/>
    </row>
    <row r="49" spans="1:17" ht="45" customHeight="1" x14ac:dyDescent="0.3">
      <c r="A49" s="1"/>
      <c r="B49" s="1"/>
      <c r="C49" s="61"/>
      <c r="D49" s="62"/>
      <c r="E49" s="62"/>
      <c r="F49" s="62"/>
      <c r="G49" s="62"/>
      <c r="H49" s="63"/>
      <c r="I49" s="64"/>
      <c r="J49" s="297" t="s">
        <v>2598</v>
      </c>
      <c r="K49" s="290"/>
      <c r="L49" s="290"/>
      <c r="M49" s="290"/>
      <c r="N49" s="298"/>
      <c r="Q49" s="4"/>
    </row>
    <row r="50" spans="1:17" ht="16.5" customHeight="1" x14ac:dyDescent="0.3">
      <c r="A50" s="1"/>
      <c r="B50" s="1"/>
      <c r="C50" s="299" t="s">
        <v>81</v>
      </c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6"/>
      <c r="Q50" s="4"/>
    </row>
    <row r="51" spans="1:17" ht="60" customHeight="1" x14ac:dyDescent="0.3">
      <c r="A51" s="1"/>
      <c r="B51" s="1"/>
      <c r="C51" s="300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6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65"/>
      <c r="N52" s="3"/>
      <c r="Q52" s="4"/>
    </row>
    <row r="53" spans="1:17" ht="15.75" customHeight="1" x14ac:dyDescent="0.3">
      <c r="A53" s="1"/>
      <c r="B53" s="1"/>
      <c r="C53" s="2"/>
      <c r="D53" s="24" t="s">
        <v>82</v>
      </c>
      <c r="E53" s="24" t="s">
        <v>83</v>
      </c>
      <c r="F53" s="24" t="s">
        <v>84</v>
      </c>
      <c r="G53" s="24" t="s">
        <v>85</v>
      </c>
      <c r="H53" s="24"/>
      <c r="I53" s="24" t="s">
        <v>86</v>
      </c>
      <c r="J53" s="274" t="s">
        <v>87</v>
      </c>
      <c r="K53" s="276"/>
      <c r="L53" s="66"/>
      <c r="M53" s="67"/>
      <c r="N53" s="66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65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68"/>
      <c r="M55" s="65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65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65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65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65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65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65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65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65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65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65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65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65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65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65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65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65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65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65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65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65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65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65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65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65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65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65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65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65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65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65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65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65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65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65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65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65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65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65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65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65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65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65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65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65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E44:H44"/>
    <mergeCell ref="J53:K53"/>
    <mergeCell ref="C47:I47"/>
    <mergeCell ref="C48:I48"/>
    <mergeCell ref="J48:N48"/>
    <mergeCell ref="J49:N49"/>
    <mergeCell ref="C50:N50"/>
    <mergeCell ref="C51:N51"/>
    <mergeCell ref="E45:H45"/>
    <mergeCell ref="E46:H46"/>
    <mergeCell ref="E39:H39"/>
    <mergeCell ref="E40:H40"/>
    <mergeCell ref="E41:H41"/>
    <mergeCell ref="E42:H42"/>
    <mergeCell ref="E43:H43"/>
    <mergeCell ref="E34:H34"/>
    <mergeCell ref="D37:H37"/>
    <mergeCell ref="E35:H35"/>
    <mergeCell ref="E36:H36"/>
    <mergeCell ref="E38:H38"/>
    <mergeCell ref="N18:N20"/>
    <mergeCell ref="E30:H30"/>
    <mergeCell ref="E31:H31"/>
    <mergeCell ref="E32:H32"/>
    <mergeCell ref="E33:H33"/>
    <mergeCell ref="E24:H24"/>
    <mergeCell ref="E27:H27"/>
    <mergeCell ref="N21:N23"/>
    <mergeCell ref="E18:H18"/>
    <mergeCell ref="E21:H21"/>
    <mergeCell ref="N24:N26"/>
    <mergeCell ref="N27:N29"/>
    <mergeCell ref="D10:H10"/>
    <mergeCell ref="N12:N14"/>
    <mergeCell ref="D6:H7"/>
    <mergeCell ref="L6:L7"/>
    <mergeCell ref="N15:N17"/>
    <mergeCell ref="E12:H12"/>
    <mergeCell ref="E15:H15"/>
    <mergeCell ref="B6:C6"/>
    <mergeCell ref="B7:C7"/>
    <mergeCell ref="B2:O2"/>
    <mergeCell ref="B3:O3"/>
    <mergeCell ref="B4:C4"/>
    <mergeCell ref="L4:L5"/>
    <mergeCell ref="B5:C5"/>
  </mergeCells>
  <pageMargins left="0.23622047244094491" right="0.23622047244094491" top="0.74803149606299213" bottom="0.74803149606299213" header="0" footer="0"/>
  <pageSetup paperSize="9" scale="60" orientation="landscape" r:id="rId1"/>
  <headerFooter>
    <oddFooter>&amp;L_x000D_&amp;1#&amp;"Trebuchet MS"&amp;9&amp;K008542 INTERNA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theme="9"/>
  </sheetPr>
  <dimension ref="A1:Z1002"/>
  <sheetViews>
    <sheetView showGridLines="0" tabSelected="1" topLeftCell="C1" zoomScale="145" zoomScaleNormal="145" workbookViewId="0">
      <selection activeCell="J10" sqref="J4:J10"/>
    </sheetView>
  </sheetViews>
  <sheetFormatPr defaultColWidth="14.44140625" defaultRowHeight="15" customHeight="1" x14ac:dyDescent="0.3"/>
  <cols>
    <col min="1" max="1" width="21.88671875" bestFit="1" customWidth="1"/>
    <col min="2" max="2" width="22" bestFit="1" customWidth="1"/>
    <col min="3" max="3" width="6.88671875" bestFit="1" customWidth="1"/>
    <col min="4" max="4" width="6.5546875" bestFit="1" customWidth="1"/>
    <col min="5" max="5" width="6.33203125" bestFit="1" customWidth="1"/>
    <col min="6" max="6" width="6.5546875" bestFit="1" customWidth="1"/>
    <col min="7" max="8" width="12.109375" bestFit="1" customWidth="1"/>
    <col min="9" max="9" width="13.88671875" bestFit="1" customWidth="1"/>
    <col min="10" max="10" width="12" bestFit="1" customWidth="1"/>
    <col min="11" max="11" width="9.33203125" bestFit="1" customWidth="1"/>
    <col min="12" max="13" width="9.44140625" bestFit="1" customWidth="1"/>
    <col min="14" max="14" width="10.44140625" bestFit="1" customWidth="1"/>
    <col min="15" max="15" width="9.88671875" bestFit="1" customWidth="1"/>
    <col min="16" max="16" width="13.6640625" bestFit="1" customWidth="1"/>
    <col min="17" max="17" width="11.33203125" bestFit="1" customWidth="1"/>
    <col min="18" max="18" width="10.88671875" bestFit="1" customWidth="1"/>
    <col min="19" max="19" width="12.44140625" bestFit="1" customWidth="1"/>
    <col min="20" max="26" width="9.109375" customWidth="1"/>
  </cols>
  <sheetData>
    <row r="1" spans="1:26" ht="12.75" customHeight="1" x14ac:dyDescent="0.3">
      <c r="A1" s="70" t="s">
        <v>88</v>
      </c>
      <c r="B1" s="69"/>
      <c r="C1" s="69"/>
      <c r="D1" s="69"/>
      <c r="E1" s="69"/>
      <c r="F1" s="69"/>
      <c r="G1" s="69"/>
      <c r="H1" s="69"/>
      <c r="I1" s="69"/>
      <c r="J1" s="69" t="s">
        <v>2946</v>
      </c>
      <c r="K1" s="69" t="s">
        <v>2947</v>
      </c>
      <c r="L1" s="69" t="s">
        <v>2948</v>
      </c>
      <c r="M1" s="69" t="s">
        <v>2949</v>
      </c>
      <c r="N1" s="239" t="s">
        <v>2950</v>
      </c>
      <c r="O1" s="239"/>
      <c r="P1" s="239"/>
      <c r="Q1" s="239"/>
      <c r="R1" s="69"/>
      <c r="S1" s="69"/>
      <c r="T1" s="69"/>
      <c r="U1" s="69"/>
      <c r="V1" s="69"/>
      <c r="W1" s="69"/>
      <c r="X1" s="69"/>
      <c r="Y1" s="69"/>
      <c r="Z1" s="69"/>
    </row>
    <row r="2" spans="1:26" ht="12.75" customHeight="1" x14ac:dyDescent="0.3">
      <c r="B2" s="69"/>
      <c r="C2" s="240" t="s">
        <v>2951</v>
      </c>
      <c r="D2" s="240" t="s">
        <v>2951</v>
      </c>
      <c r="E2" s="240" t="s">
        <v>2951</v>
      </c>
      <c r="F2" s="240" t="s">
        <v>2951</v>
      </c>
      <c r="G2" s="240" t="s">
        <v>2951</v>
      </c>
      <c r="H2" s="240" t="s">
        <v>2951</v>
      </c>
      <c r="I2" s="71"/>
      <c r="J2" s="241" t="s">
        <v>2952</v>
      </c>
      <c r="K2" s="241" t="s">
        <v>2952</v>
      </c>
      <c r="L2" s="241" t="s">
        <v>2952</v>
      </c>
      <c r="M2" s="241" t="s">
        <v>2952</v>
      </c>
      <c r="N2" s="240" t="s">
        <v>2951</v>
      </c>
      <c r="O2" s="240" t="s">
        <v>2951</v>
      </c>
      <c r="P2" s="240" t="s">
        <v>2951</v>
      </c>
      <c r="Q2" s="240" t="s">
        <v>2951</v>
      </c>
      <c r="R2" s="69"/>
      <c r="S2" s="69"/>
      <c r="T2" s="69"/>
      <c r="U2" s="69"/>
      <c r="V2" s="69"/>
      <c r="W2" s="69"/>
      <c r="X2" s="69"/>
      <c r="Y2" s="69"/>
      <c r="Z2" s="69"/>
    </row>
    <row r="3" spans="1:26" ht="12.75" customHeight="1" x14ac:dyDescent="0.3">
      <c r="A3" s="72" t="s">
        <v>89</v>
      </c>
      <c r="B3" s="73" t="s">
        <v>90</v>
      </c>
      <c r="C3" s="74" t="s">
        <v>91</v>
      </c>
      <c r="D3" s="75" t="s">
        <v>92</v>
      </c>
      <c r="E3" s="75" t="s">
        <v>93</v>
      </c>
      <c r="F3" s="75" t="s">
        <v>94</v>
      </c>
      <c r="G3" s="76" t="s">
        <v>95</v>
      </c>
      <c r="H3" s="76" t="s">
        <v>96</v>
      </c>
      <c r="I3" s="77" t="s">
        <v>97</v>
      </c>
      <c r="J3" s="78" t="s">
        <v>24</v>
      </c>
      <c r="K3" s="78" t="s">
        <v>25</v>
      </c>
      <c r="L3" s="78" t="s">
        <v>26</v>
      </c>
      <c r="M3" s="78" t="s">
        <v>27</v>
      </c>
      <c r="N3" s="78" t="s">
        <v>28</v>
      </c>
      <c r="O3" s="79" t="s">
        <v>29</v>
      </c>
      <c r="P3" s="80" t="s">
        <v>98</v>
      </c>
      <c r="Q3" s="80" t="s">
        <v>99</v>
      </c>
      <c r="R3" s="81" t="s">
        <v>100</v>
      </c>
      <c r="S3" s="80" t="s">
        <v>101</v>
      </c>
      <c r="T3" s="69"/>
      <c r="U3" s="69"/>
      <c r="V3" s="69"/>
      <c r="W3" s="69"/>
      <c r="X3" s="69"/>
      <c r="Y3" s="69"/>
      <c r="Z3" s="69"/>
    </row>
    <row r="4" spans="1:26" ht="12.75" customHeight="1" x14ac:dyDescent="0.3">
      <c r="A4" s="115" t="s">
        <v>102</v>
      </c>
      <c r="B4" s="82" t="s">
        <v>2738</v>
      </c>
      <c r="C4" s="242">
        <f>IF(ConsolidadoPA[[#This Row],[MEDIDAS CONTRATO]]="","", IFERROR( VLOOKUP(ConsolidadoPA[[#This Row],[MEDIDAS CONTRATO]],MedidasContrato[[MEDIDAS CONTRATO]:[Ø]],2,0),"N/A"))</f>
        <v>0</v>
      </c>
      <c r="D4" s="243">
        <f>IF( ConsolidadoPA[[#This Row],[MEDIDAS CONTRATO]] = "", "", IFERROR( VLOOKUP(ConsolidadoPA[[#This Row],[MEDIDAS CONTRATO]],MedidasContrato[],3,0),"N/A"))</f>
        <v>26</v>
      </c>
      <c r="E4" s="243">
        <f>IF( ConsolidadoPA[[#This Row],[MEDIDAS CONTRATO]] = "", "", IFERROR( VLOOKUP(ConsolidadoPA[[#This Row],[MEDIDAS CONTRATO]],MedidasContrato[],4,0),"N/A"))</f>
        <v>39.5</v>
      </c>
      <c r="F4" s="243">
        <f>IF( ConsolidadoPA[[#This Row],[MEDIDAS CONTRATO]] = "", "", IFERROR( VLOOKUP(ConsolidadoPA[[#This Row],[MEDIDAS CONTRATO]],MedidasContrato[],5,0),"N/A"))</f>
        <v>48.5</v>
      </c>
      <c r="G4" s="244">
        <f>IFERROR( ConsolidadoPA[[#This Row],[A]]*ConsolidadoPA[[#This Row],[L]]*ConsolidadoPA[[#This Row],[P]], "")</f>
        <v>49809.5</v>
      </c>
      <c r="H4" s="244">
        <v>43993</v>
      </c>
      <c r="I4" s="84">
        <f>IFERROR( ConsolidadoPA[[#This Row],[cm³ = V1]]/ConsolidadoPA[[#This Row],[cm³ = V2]],"")</f>
        <v>1.1322142158979838</v>
      </c>
      <c r="J4" s="83">
        <v>4</v>
      </c>
      <c r="K4" s="83"/>
      <c r="L4" s="83"/>
      <c r="M4" s="83">
        <v>1</v>
      </c>
      <c r="N4" s="244">
        <f>IF( ConsolidadoPA[[#This Row],[QUAm-1]]="","",Consolidado!$M4+Consolidado!$J4-Consolidado!$L4-Consolidado!$K4)</f>
        <v>5</v>
      </c>
      <c r="O4" s="245">
        <f>IF(ConsolidadoPA[[#This Row],[FC = V1/V2]]="","",ConsolidadoPA[[#This Row],[FC = V1/V2]]*ConsolidadoPA[[#This Row],[QUAm]])</f>
        <v>5.6610710794899184</v>
      </c>
      <c r="P4" s="247">
        <f>IF( ConsolidadoPA[[#This Row],[Contrato]] = "", "", IFERROR( VLOOKUP(ConsolidadoPA[[#This Row],[Contrato]],TabelaPA[[Linha de Serviço PPU]:[PREÇO UNITÁRIO ]],3,0),"Nao Encontrado"))</f>
        <v>0.9</v>
      </c>
      <c r="Q4" s="248">
        <f>IF(ConsolidadoPA[[#This Row],[$ Unitário]]="","",Consolidado!$P4*Consolidado!$O4)</f>
        <v>5.0949639715409267</v>
      </c>
      <c r="R4" s="86" t="s">
        <v>103</v>
      </c>
      <c r="S4" s="86" t="s">
        <v>104</v>
      </c>
      <c r="T4" s="69"/>
      <c r="U4" s="69"/>
      <c r="V4" s="69"/>
      <c r="W4" s="69"/>
      <c r="X4" s="69"/>
      <c r="Y4" s="69"/>
      <c r="Z4" s="69"/>
    </row>
    <row r="5" spans="1:26" ht="12.75" customHeight="1" x14ac:dyDescent="0.3">
      <c r="A5" s="115" t="s">
        <v>105</v>
      </c>
      <c r="B5" s="82" t="s">
        <v>2738</v>
      </c>
      <c r="C5" s="242">
        <f>IF(ConsolidadoPA[[#This Row],[MEDIDAS CONTRATO]]="","", IFERROR( VLOOKUP(ConsolidadoPA[[#This Row],[MEDIDAS CONTRATO]],MedidasContrato[[MEDIDAS CONTRATO]:[Ø]],2,0),"N/A"))</f>
        <v>0</v>
      </c>
      <c r="D5" s="243">
        <f>IF( ConsolidadoPA[[#This Row],[MEDIDAS CONTRATO]] = "", "", IFERROR( VLOOKUP(ConsolidadoPA[[#This Row],[MEDIDAS CONTRATO]],MedidasContrato[],3,0),"N/A"))</f>
        <v>26.5</v>
      </c>
      <c r="E5" s="243">
        <f>IF( ConsolidadoPA[[#This Row],[MEDIDAS CONTRATO]] = "", "", IFERROR( VLOOKUP(ConsolidadoPA[[#This Row],[MEDIDAS CONTRATO]],MedidasContrato[],4,0),"N/A"))</f>
        <v>38.5</v>
      </c>
      <c r="F5" s="243">
        <f>IF( ConsolidadoPA[[#This Row],[MEDIDAS CONTRATO]] = "", "", IFERROR( VLOOKUP(ConsolidadoPA[[#This Row],[MEDIDAS CONTRATO]],MedidasContrato[],5,0),"N/A"))</f>
        <v>46.5</v>
      </c>
      <c r="G5" s="244">
        <f>IFERROR( ConsolidadoPA[[#This Row],[A]]*ConsolidadoPA[[#This Row],[L]]*ConsolidadoPA[[#This Row],[P]], "")</f>
        <v>47441.625</v>
      </c>
      <c r="H5" s="244">
        <v>43993</v>
      </c>
      <c r="I5" s="84">
        <f>IFERROR( ConsolidadoPA[[#This Row],[cm³ = V1]]/ConsolidadoPA[[#This Row],[cm³ = V2]],"")</f>
        <v>1.0783903120951059</v>
      </c>
      <c r="J5" s="83">
        <v>8</v>
      </c>
      <c r="K5" s="83"/>
      <c r="L5" s="83"/>
      <c r="M5" s="83">
        <v>0</v>
      </c>
      <c r="N5" s="244">
        <f>IF( ConsolidadoPA[[#This Row],[QUAm-1]]="","",Consolidado!$M5+Consolidado!$J5-Consolidado!$L5-Consolidado!$K5)</f>
        <v>8</v>
      </c>
      <c r="O5" s="245">
        <f>IF(ConsolidadoPA[[#This Row],[FC = V1/V2]]="","",ConsolidadoPA[[#This Row],[FC = V1/V2]]*ConsolidadoPA[[#This Row],[QUAm]])</f>
        <v>8.6271224967608475</v>
      </c>
      <c r="P5" s="247">
        <f>IF( ConsolidadoPA[[#This Row],[Contrato]] = "", "", IFERROR( VLOOKUP(ConsolidadoPA[[#This Row],[Contrato]],TabelaPA[[Linha de Serviço PPU]:[PREÇO UNITÁRIO ]],3,0),"Nao Encontrado"))</f>
        <v>0.9</v>
      </c>
      <c r="Q5" s="248">
        <f>IF(ConsolidadoPA[[#This Row],[$ Unitário]]="","",Consolidado!$P5*Consolidado!$O5)</f>
        <v>7.7644102470847631</v>
      </c>
      <c r="R5" s="86" t="s">
        <v>103</v>
      </c>
      <c r="S5" s="86" t="s">
        <v>104</v>
      </c>
      <c r="T5" s="69"/>
      <c r="U5" s="69"/>
      <c r="V5" s="69"/>
      <c r="W5" s="69"/>
      <c r="X5" s="69"/>
      <c r="Y5" s="69"/>
      <c r="Z5" s="69"/>
    </row>
    <row r="6" spans="1:26" ht="12.75" customHeight="1" x14ac:dyDescent="0.3">
      <c r="A6" s="115" t="s">
        <v>106</v>
      </c>
      <c r="B6" s="82" t="s">
        <v>2738</v>
      </c>
      <c r="C6" s="242">
        <f>IF(ConsolidadoPA[[#This Row],[MEDIDAS CONTRATO]]="","", IFERROR( VLOOKUP(ConsolidadoPA[[#This Row],[MEDIDAS CONTRATO]],MedidasContrato[[MEDIDAS CONTRATO]:[Ø]],2,0),"N/A"))</f>
        <v>0</v>
      </c>
      <c r="D6" s="243">
        <f>IF( ConsolidadoPA[[#This Row],[MEDIDAS CONTRATO]] = "", "", IFERROR( VLOOKUP(ConsolidadoPA[[#This Row],[MEDIDAS CONTRATO]],MedidasContrato[],3,0),"N/A"))</f>
        <v>26.5</v>
      </c>
      <c r="E6" s="243">
        <f>IF( ConsolidadoPA[[#This Row],[MEDIDAS CONTRATO]] = "", "", IFERROR( VLOOKUP(ConsolidadoPA[[#This Row],[MEDIDAS CONTRATO]],MedidasContrato[],4,0),"N/A"))</f>
        <v>40</v>
      </c>
      <c r="F6" s="243">
        <f>IF( ConsolidadoPA[[#This Row],[MEDIDAS CONTRATO]] = "", "", IFERROR( VLOOKUP(ConsolidadoPA[[#This Row],[MEDIDAS CONTRATO]],MedidasContrato[],5,0),"N/A"))</f>
        <v>49</v>
      </c>
      <c r="G6" s="244">
        <f>IFERROR( ConsolidadoPA[[#This Row],[A]]*ConsolidadoPA[[#This Row],[L]]*ConsolidadoPA[[#This Row],[P]], "")</f>
        <v>51940</v>
      </c>
      <c r="H6" s="244">
        <v>43993</v>
      </c>
      <c r="I6" s="84">
        <f>IFERROR( ConsolidadoPA[[#This Row],[cm³ = V1]]/ConsolidadoPA[[#This Row],[cm³ = V2]],"")</f>
        <v>1.1806423749232833</v>
      </c>
      <c r="J6" s="83">
        <v>17</v>
      </c>
      <c r="K6" s="83"/>
      <c r="L6" s="83"/>
      <c r="M6" s="83">
        <v>3</v>
      </c>
      <c r="N6" s="244">
        <f>IF( ConsolidadoPA[[#This Row],[QUAm-1]]="","",Consolidado!$M6+Consolidado!$J6-Consolidado!$L6-Consolidado!$K6)</f>
        <v>20</v>
      </c>
      <c r="O6" s="245">
        <f>IF(ConsolidadoPA[[#This Row],[FC = V1/V2]]="","",ConsolidadoPA[[#This Row],[FC = V1/V2]]*ConsolidadoPA[[#This Row],[QUAm]])</f>
        <v>23.612847498465666</v>
      </c>
      <c r="P6" s="247">
        <f>IF( ConsolidadoPA[[#This Row],[Contrato]] = "", "", IFERROR( VLOOKUP(ConsolidadoPA[[#This Row],[Contrato]],TabelaPA[[Linha de Serviço PPU]:[PREÇO UNITÁRIO ]],3,0),"Nao Encontrado"))</f>
        <v>0.9</v>
      </c>
      <c r="Q6" s="248">
        <f>IF(ConsolidadoPA[[#This Row],[$ Unitário]]="","",Consolidado!$P6*Consolidado!$O6)</f>
        <v>21.251562748619101</v>
      </c>
      <c r="R6" s="86" t="s">
        <v>103</v>
      </c>
      <c r="S6" s="86" t="s">
        <v>104</v>
      </c>
      <c r="T6" s="69"/>
      <c r="U6" s="69"/>
      <c r="V6" s="69"/>
      <c r="W6" s="69"/>
      <c r="X6" s="69"/>
      <c r="Y6" s="69"/>
      <c r="Z6" s="69"/>
    </row>
    <row r="7" spans="1:26" ht="12.75" customHeight="1" x14ac:dyDescent="0.3">
      <c r="A7" s="115" t="s">
        <v>107</v>
      </c>
      <c r="B7" s="82" t="s">
        <v>2738</v>
      </c>
      <c r="C7" s="242">
        <f>IF(ConsolidadoPA[[#This Row],[MEDIDAS CONTRATO]]="","", IFERROR( VLOOKUP(ConsolidadoPA[[#This Row],[MEDIDAS CONTRATO]],MedidasContrato[[MEDIDAS CONTRATO]:[Ø]],2,0),"N/A"))</f>
        <v>0</v>
      </c>
      <c r="D7" s="243">
        <f>IF( ConsolidadoPA[[#This Row],[MEDIDAS CONTRATO]] = "", "", IFERROR( VLOOKUP(ConsolidadoPA[[#This Row],[MEDIDAS CONTRATO]],MedidasContrato[],3,0),"N/A"))</f>
        <v>28</v>
      </c>
      <c r="E7" s="243">
        <f>IF( ConsolidadoPA[[#This Row],[MEDIDAS CONTRATO]] = "", "", IFERROR( VLOOKUP(ConsolidadoPA[[#This Row],[MEDIDAS CONTRATO]],MedidasContrato[],4,0),"N/A"))</f>
        <v>37.5</v>
      </c>
      <c r="F7" s="243">
        <f>IF( ConsolidadoPA[[#This Row],[MEDIDAS CONTRATO]] = "", "", IFERROR( VLOOKUP(ConsolidadoPA[[#This Row],[MEDIDAS CONTRATO]],MedidasContrato[],5,0),"N/A"))</f>
        <v>47.5</v>
      </c>
      <c r="G7" s="244">
        <f>IFERROR( ConsolidadoPA[[#This Row],[A]]*ConsolidadoPA[[#This Row],[L]]*ConsolidadoPA[[#This Row],[P]], "")</f>
        <v>49875</v>
      </c>
      <c r="H7" s="244">
        <v>43993</v>
      </c>
      <c r="I7" s="84">
        <f>IFERROR( ConsolidadoPA[[#This Row],[cm³ = V1]]/ConsolidadoPA[[#This Row],[cm³ = V2]],"")</f>
        <v>1.1337030891278157</v>
      </c>
      <c r="J7" s="83">
        <v>8084</v>
      </c>
      <c r="K7" s="83"/>
      <c r="L7" s="83"/>
      <c r="M7" s="83">
        <v>3011</v>
      </c>
      <c r="N7" s="244">
        <f>IF( ConsolidadoPA[[#This Row],[QUAm-1]]="","",Consolidado!$M7+Consolidado!$J7-Consolidado!$L7-Consolidado!$K7)</f>
        <v>11095</v>
      </c>
      <c r="O7" s="245">
        <f>IF(ConsolidadoPA[[#This Row],[FC = V1/V2]]="","",ConsolidadoPA[[#This Row],[FC = V1/V2]]*ConsolidadoPA[[#This Row],[QUAm]])</f>
        <v>12578.435773873116</v>
      </c>
      <c r="P7" s="247">
        <f>IF( ConsolidadoPA[[#This Row],[Contrato]] = "", "", IFERROR( VLOOKUP(ConsolidadoPA[[#This Row],[Contrato]],TabelaPA[[Linha de Serviço PPU]:[PREÇO UNITÁRIO ]],3,0),"Nao Encontrado"))</f>
        <v>0.9</v>
      </c>
      <c r="Q7" s="248">
        <f>IF(ConsolidadoPA[[#This Row],[$ Unitário]]="","",Consolidado!$P7*Consolidado!$O7)</f>
        <v>11320.592196485804</v>
      </c>
      <c r="R7" s="86" t="s">
        <v>103</v>
      </c>
      <c r="S7" s="86" t="s">
        <v>104</v>
      </c>
      <c r="T7" s="69"/>
      <c r="U7" s="69"/>
      <c r="V7" s="69"/>
      <c r="W7" s="69"/>
      <c r="X7" s="69"/>
      <c r="Y7" s="69"/>
      <c r="Z7" s="69"/>
    </row>
    <row r="8" spans="1:26" ht="12.75" customHeight="1" x14ac:dyDescent="0.3">
      <c r="A8" s="115" t="s">
        <v>108</v>
      </c>
      <c r="B8" s="82" t="s">
        <v>2738</v>
      </c>
      <c r="C8" s="242">
        <f>IF(ConsolidadoPA[[#This Row],[MEDIDAS CONTRATO]]="","", IFERROR( VLOOKUP(ConsolidadoPA[[#This Row],[MEDIDAS CONTRATO]],MedidasContrato[[MEDIDAS CONTRATO]:[Ø]],2,0),"N/A"))</f>
        <v>0</v>
      </c>
      <c r="D8" s="243">
        <f>IF( ConsolidadoPA[[#This Row],[MEDIDAS CONTRATO]] = "", "", IFERROR( VLOOKUP(ConsolidadoPA[[#This Row],[MEDIDAS CONTRATO]],MedidasContrato[],3,0),"N/A"))</f>
        <v>28</v>
      </c>
      <c r="E8" s="243">
        <f>IF( ConsolidadoPA[[#This Row],[MEDIDAS CONTRATO]] = "", "", IFERROR( VLOOKUP(ConsolidadoPA[[#This Row],[MEDIDAS CONTRATO]],MedidasContrato[],4,0),"N/A"))</f>
        <v>39</v>
      </c>
      <c r="F8" s="243">
        <f>IF( ConsolidadoPA[[#This Row],[MEDIDAS CONTRATO]] = "", "", IFERROR( VLOOKUP(ConsolidadoPA[[#This Row],[MEDIDAS CONTRATO]],MedidasContrato[],5,0),"N/A"))</f>
        <v>46</v>
      </c>
      <c r="G8" s="244">
        <f>IFERROR( ConsolidadoPA[[#This Row],[A]]*ConsolidadoPA[[#This Row],[L]]*ConsolidadoPA[[#This Row],[P]], "")</f>
        <v>50232</v>
      </c>
      <c r="H8" s="244">
        <v>43993</v>
      </c>
      <c r="I8" s="84">
        <f>IFERROR( ConsolidadoPA[[#This Row],[cm³ = V1]]/ConsolidadoPA[[#This Row],[cm³ = V2]],"")</f>
        <v>1.1418180165026255</v>
      </c>
      <c r="J8" s="83">
        <v>1904</v>
      </c>
      <c r="K8" s="83"/>
      <c r="L8" s="83"/>
      <c r="M8" s="83">
        <v>645</v>
      </c>
      <c r="N8" s="244">
        <f>IF( ConsolidadoPA[[#This Row],[QUAm-1]]="","",Consolidado!$M8+Consolidado!$J8-Consolidado!$L8-Consolidado!$K8)</f>
        <v>2549</v>
      </c>
      <c r="O8" s="245">
        <f>IF(ConsolidadoPA[[#This Row],[FC = V1/V2]]="","",ConsolidadoPA[[#This Row],[FC = V1/V2]]*ConsolidadoPA[[#This Row],[QUAm]])</f>
        <v>2910.4941240651924</v>
      </c>
      <c r="P8" s="247">
        <f>IF( ConsolidadoPA[[#This Row],[Contrato]] = "", "", IFERROR( VLOOKUP(ConsolidadoPA[[#This Row],[Contrato]],TabelaPA[[Linha de Serviço PPU]:[PREÇO UNITÁRIO ]],3,0),"Nao Encontrado"))</f>
        <v>0.9</v>
      </c>
      <c r="Q8" s="248">
        <f>IF(ConsolidadoPA[[#This Row],[$ Unitário]]="","",Consolidado!$P8*Consolidado!$O8)</f>
        <v>2619.4447116586734</v>
      </c>
      <c r="R8" s="86" t="s">
        <v>103</v>
      </c>
      <c r="S8" s="86" t="s">
        <v>104</v>
      </c>
      <c r="T8" s="69"/>
      <c r="U8" s="69"/>
      <c r="V8" s="69"/>
      <c r="W8" s="69"/>
      <c r="X8" s="69"/>
      <c r="Y8" s="69"/>
      <c r="Z8" s="69"/>
    </row>
    <row r="9" spans="1:26" ht="12.75" customHeight="1" x14ac:dyDescent="0.3">
      <c r="A9" s="115" t="s">
        <v>2534</v>
      </c>
      <c r="B9" s="82" t="s">
        <v>2738</v>
      </c>
      <c r="C9" s="242">
        <f>IF(ConsolidadoPA[[#This Row],[MEDIDAS CONTRATO]]="","", IFERROR( VLOOKUP(ConsolidadoPA[[#This Row],[MEDIDAS CONTRATO]],MedidasContrato[[MEDIDAS CONTRATO]:[Ø]],2,0),"N/A"))</f>
        <v>0</v>
      </c>
      <c r="D9" s="243">
        <f>IF( ConsolidadoPA[[#This Row],[MEDIDAS CONTRATO]] = "", "", IFERROR( VLOOKUP(ConsolidadoPA[[#This Row],[MEDIDAS CONTRATO]],MedidasContrato[],3,0),"N/A"))</f>
        <v>29</v>
      </c>
      <c r="E9" s="243">
        <f>IF( ConsolidadoPA[[#This Row],[MEDIDAS CONTRATO]] = "", "", IFERROR( VLOOKUP(ConsolidadoPA[[#This Row],[MEDIDAS CONTRATO]],MedidasContrato[],4,0),"N/A"))</f>
        <v>37</v>
      </c>
      <c r="F9" s="243">
        <f>IF( ConsolidadoPA[[#This Row],[MEDIDAS CONTRATO]] = "", "", IFERROR( VLOOKUP(ConsolidadoPA[[#This Row],[MEDIDAS CONTRATO]],MedidasContrato[],5,0),"N/A"))</f>
        <v>43</v>
      </c>
      <c r="G9" s="244">
        <f>IFERROR( ConsolidadoPA[[#This Row],[A]]*ConsolidadoPA[[#This Row],[L]]*ConsolidadoPA[[#This Row],[P]], "")</f>
        <v>46139</v>
      </c>
      <c r="H9" s="244">
        <v>43993</v>
      </c>
      <c r="I9" s="84">
        <f>IFERROR( ConsolidadoPA[[#This Row],[cm³ = V1]]/ConsolidadoPA[[#This Row],[cm³ = V2]],"")</f>
        <v>1.0487804878048781</v>
      </c>
      <c r="J9" s="83">
        <v>74783</v>
      </c>
      <c r="K9" s="83"/>
      <c r="L9" s="83"/>
      <c r="M9" s="83">
        <v>13706</v>
      </c>
      <c r="N9" s="244">
        <f>IF( ConsolidadoPA[[#This Row],[QUAm-1]]="","",Consolidado!$M9+Consolidado!$J9-Consolidado!$L9-Consolidado!$K9)</f>
        <v>88489</v>
      </c>
      <c r="O9" s="245">
        <f>IF(ConsolidadoPA[[#This Row],[FC = V1/V2]]="","",ConsolidadoPA[[#This Row],[FC = V1/V2]]*ConsolidadoPA[[#This Row],[QUAm]])</f>
        <v>92805.536585365859</v>
      </c>
      <c r="P9" s="247">
        <f>IF( ConsolidadoPA[[#This Row],[Contrato]] = "", "", IFERROR( VLOOKUP(ConsolidadoPA[[#This Row],[Contrato]],TabelaPA[[Linha de Serviço PPU]:[PREÇO UNITÁRIO ]],3,0),"Nao Encontrado"))</f>
        <v>0.9</v>
      </c>
      <c r="Q9" s="248">
        <f>IF(ConsolidadoPA[[#This Row],[$ Unitário]]="","",Consolidado!$P9*Consolidado!$O9)</f>
        <v>83524.982926829281</v>
      </c>
      <c r="R9" s="86" t="s">
        <v>103</v>
      </c>
      <c r="S9" s="86" t="s">
        <v>104</v>
      </c>
      <c r="T9" s="69"/>
      <c r="U9" s="69"/>
      <c r="V9" s="69"/>
      <c r="W9" s="69"/>
      <c r="X9" s="69"/>
      <c r="Y9" s="69"/>
      <c r="Z9" s="69"/>
    </row>
    <row r="10" spans="1:26" ht="12.75" customHeight="1" x14ac:dyDescent="0.3">
      <c r="A10" s="115" t="s">
        <v>109</v>
      </c>
      <c r="B10" s="82" t="s">
        <v>2738</v>
      </c>
      <c r="C10" s="242">
        <f>IF(ConsolidadoPA[[#This Row],[MEDIDAS CONTRATO]]="","", IFERROR( VLOOKUP(ConsolidadoPA[[#This Row],[MEDIDAS CONTRATO]],MedidasContrato[[MEDIDAS CONTRATO]:[Ø]],2,0),"N/A"))</f>
        <v>0</v>
      </c>
      <c r="D10" s="243">
        <f>IF( ConsolidadoPA[[#This Row],[MEDIDAS CONTRATO]] = "", "", IFERROR( VLOOKUP(ConsolidadoPA[[#This Row],[MEDIDAS CONTRATO]],MedidasContrato[],3,0),"N/A"))</f>
        <v>29.5</v>
      </c>
      <c r="E10" s="243">
        <f>IF( ConsolidadoPA[[#This Row],[MEDIDAS CONTRATO]] = "", "", IFERROR( VLOOKUP(ConsolidadoPA[[#This Row],[MEDIDAS CONTRATO]],MedidasContrato[],4,0),"N/A"))</f>
        <v>39</v>
      </c>
      <c r="F10" s="243">
        <f>IF( ConsolidadoPA[[#This Row],[MEDIDAS CONTRATO]] = "", "", IFERROR( VLOOKUP(ConsolidadoPA[[#This Row],[MEDIDAS CONTRATO]],MedidasContrato[],5,0),"N/A"))</f>
        <v>46</v>
      </c>
      <c r="G10" s="244">
        <f>IFERROR( ConsolidadoPA[[#This Row],[A]]*ConsolidadoPA[[#This Row],[L]]*ConsolidadoPA[[#This Row],[P]], "")</f>
        <v>52923</v>
      </c>
      <c r="H10" s="244">
        <v>43993</v>
      </c>
      <c r="I10" s="84">
        <f>IFERROR( ConsolidadoPA[[#This Row],[cm³ = V1]]/ConsolidadoPA[[#This Row],[cm³ = V2]],"")</f>
        <v>1.202986838815266</v>
      </c>
      <c r="J10" s="83">
        <v>1</v>
      </c>
      <c r="K10" s="83"/>
      <c r="L10" s="83"/>
      <c r="M10" s="83">
        <v>0</v>
      </c>
      <c r="N10" s="244">
        <f>IF( ConsolidadoPA[[#This Row],[QUAm-1]]="","",Consolidado!$M10+Consolidado!$J10-Consolidado!$L10-Consolidado!$K10)</f>
        <v>1</v>
      </c>
      <c r="O10" s="245">
        <f>IF(ConsolidadoPA[[#This Row],[FC = V1/V2]]="","",ConsolidadoPA[[#This Row],[FC = V1/V2]]*ConsolidadoPA[[#This Row],[QUAm]])</f>
        <v>1.202986838815266</v>
      </c>
      <c r="P10" s="247">
        <f>IF( ConsolidadoPA[[#This Row],[Contrato]] = "", "", IFERROR( VLOOKUP(ConsolidadoPA[[#This Row],[Contrato]],TabelaPA[[Linha de Serviço PPU]:[PREÇO UNITÁRIO ]],3,0),"Nao Encontrado"))</f>
        <v>0.9</v>
      </c>
      <c r="Q10" s="248">
        <f>IF(ConsolidadoPA[[#This Row],[$ Unitário]]="","",Consolidado!$P10*Consolidado!$O10)</f>
        <v>1.0826881549337395</v>
      </c>
      <c r="R10" s="86" t="s">
        <v>103</v>
      </c>
      <c r="S10" s="86" t="s">
        <v>104</v>
      </c>
      <c r="T10" s="69"/>
      <c r="U10" s="69"/>
      <c r="V10" s="69"/>
      <c r="W10" s="69"/>
      <c r="X10" s="69"/>
      <c r="Y10" s="69"/>
      <c r="Z10" s="69"/>
    </row>
    <row r="11" spans="1:26" ht="12.75" customHeight="1" x14ac:dyDescent="0.3">
      <c r="A11" s="115" t="s">
        <v>110</v>
      </c>
      <c r="B11" s="82" t="s">
        <v>2739</v>
      </c>
      <c r="C11" s="242">
        <f>IF(ConsolidadoPA[[#This Row],[MEDIDAS CONTRATO]]="","", IFERROR( VLOOKUP(ConsolidadoPA[[#This Row],[MEDIDAS CONTRATO]],MedidasContrato[[MEDIDAS CONTRATO]:[Ø]],2,0),"N/A"))</f>
        <v>0</v>
      </c>
      <c r="D11" s="243">
        <f>IF( ConsolidadoPA[[#This Row],[MEDIDAS CONTRATO]] = "", "", IFERROR( VLOOKUP(ConsolidadoPA[[#This Row],[MEDIDAS CONTRATO]],MedidasContrato[],3,0),"N/A"))</f>
        <v>12</v>
      </c>
      <c r="E11" s="243">
        <f>IF( ConsolidadoPA[[#This Row],[MEDIDAS CONTRATO]] = "", "", IFERROR( VLOOKUP(ConsolidadoPA[[#This Row],[MEDIDAS CONTRATO]],MedidasContrato[],4,0),"N/A"))</f>
        <v>34</v>
      </c>
      <c r="F11" s="243">
        <f>IF( ConsolidadoPA[[#This Row],[MEDIDAS CONTRATO]] = "", "", IFERROR( VLOOKUP(ConsolidadoPA[[#This Row],[MEDIDAS CONTRATO]],MedidasContrato[],5,0),"N/A"))</f>
        <v>37</v>
      </c>
      <c r="G11" s="244">
        <f>IFERROR( ConsolidadoPA[[#This Row],[A]]*ConsolidadoPA[[#This Row],[L]]*ConsolidadoPA[[#This Row],[P]], "")</f>
        <v>15096</v>
      </c>
      <c r="H11" s="244">
        <v>15096</v>
      </c>
      <c r="I11" s="84">
        <f>IFERROR( ConsolidadoPA[[#This Row],[cm³ = V1]]/ConsolidadoPA[[#This Row],[cm³ = V2]],"")</f>
        <v>1</v>
      </c>
      <c r="J11" s="83">
        <v>0</v>
      </c>
      <c r="K11" s="83"/>
      <c r="L11" s="83"/>
      <c r="M11" s="83"/>
      <c r="N11" s="244">
        <f>IF( ConsolidadoPA[[#This Row],[QUAm-1]]="","",Consolidado!$M11+Consolidado!$J11-Consolidado!$L11-Consolidado!$K11)</f>
        <v>0</v>
      </c>
      <c r="O11" s="245">
        <f>IF(ConsolidadoPA[[#This Row],[FC = V1/V2]]="","",ConsolidadoPA[[#This Row],[FC = V1/V2]]*ConsolidadoPA[[#This Row],[QUAm]])</f>
        <v>0</v>
      </c>
      <c r="P11" s="247">
        <f>IF( ConsolidadoPA[[#This Row],[Contrato]] = "", "", IFERROR( VLOOKUP(ConsolidadoPA[[#This Row],[Contrato]],TabelaPA[[Linha de Serviço PPU]:[PREÇO UNITÁRIO ]],3,0),"Nao Encontrado"))</f>
        <v>0.9</v>
      </c>
      <c r="Q11" s="248">
        <f>IF(ConsolidadoPA[[#This Row],[$ Unitário]]="","",Consolidado!$P11*Consolidado!$O11)</f>
        <v>0</v>
      </c>
      <c r="R11" s="85" t="s">
        <v>111</v>
      </c>
      <c r="S11" s="86" t="s">
        <v>112</v>
      </c>
      <c r="T11" s="69"/>
      <c r="U11" s="69"/>
      <c r="V11" s="69"/>
      <c r="W11" s="69"/>
      <c r="X11" s="69"/>
      <c r="Y11" s="69"/>
      <c r="Z11" s="69"/>
    </row>
    <row r="12" spans="1:26" ht="12.75" customHeight="1" x14ac:dyDescent="0.3">
      <c r="A12" s="115" t="s">
        <v>298</v>
      </c>
      <c r="B12" s="82" t="s">
        <v>2739</v>
      </c>
      <c r="C12" s="242">
        <f>IF(ConsolidadoPA[[#This Row],[MEDIDAS CONTRATO]]="","", IFERROR( VLOOKUP(ConsolidadoPA[[#This Row],[MEDIDAS CONTRATO]],MedidasContrato[[MEDIDAS CONTRATO]:[Ø]],2,0),"N/A"))</f>
        <v>0</v>
      </c>
      <c r="D12" s="243">
        <f>IF( ConsolidadoPA[[#This Row],[MEDIDAS CONTRATO]] = "", "", IFERROR( VLOOKUP(ConsolidadoPA[[#This Row],[MEDIDAS CONTRATO]],MedidasContrato[],3,0),"N/A"))</f>
        <v>11.5</v>
      </c>
      <c r="E12" s="243">
        <f>IF( ConsolidadoPA[[#This Row],[MEDIDAS CONTRATO]] = "", "", IFERROR( VLOOKUP(ConsolidadoPA[[#This Row],[MEDIDAS CONTRATO]],MedidasContrato[],4,0),"N/A"))</f>
        <v>37</v>
      </c>
      <c r="F12" s="243">
        <f>IF( ConsolidadoPA[[#This Row],[MEDIDAS CONTRATO]] = "", "", IFERROR( VLOOKUP(ConsolidadoPA[[#This Row],[MEDIDAS CONTRATO]],MedidasContrato[],5,0),"N/A"))</f>
        <v>33</v>
      </c>
      <c r="G12" s="244">
        <f>IFERROR( ConsolidadoPA[[#This Row],[A]]*ConsolidadoPA[[#This Row],[L]]*ConsolidadoPA[[#This Row],[P]], "")</f>
        <v>14041.5</v>
      </c>
      <c r="H12" s="244">
        <v>15096</v>
      </c>
      <c r="I12" s="84">
        <f>IFERROR( ConsolidadoPA[[#This Row],[cm³ = V1]]/ConsolidadoPA[[#This Row],[cm³ = V2]],"")</f>
        <v>0.93014705882352944</v>
      </c>
      <c r="J12" s="83">
        <v>0</v>
      </c>
      <c r="K12" s="83"/>
      <c r="L12" s="83"/>
      <c r="M12" s="83"/>
      <c r="N12" s="244">
        <f>IF( ConsolidadoPA[[#This Row],[QUAm-1]]="","",Consolidado!$M12+Consolidado!$J12-Consolidado!$L12-Consolidado!$K12)</f>
        <v>0</v>
      </c>
      <c r="O12" s="245">
        <f>IF(ConsolidadoPA[[#This Row],[FC = V1/V2]]="","",ConsolidadoPA[[#This Row],[FC = V1/V2]]*ConsolidadoPA[[#This Row],[QUAm]])</f>
        <v>0</v>
      </c>
      <c r="P12" s="247">
        <f>IF( ConsolidadoPA[[#This Row],[Contrato]] = "", "", IFERROR( VLOOKUP(ConsolidadoPA[[#This Row],[Contrato]],TabelaPA[[Linha de Serviço PPU]:[PREÇO UNITÁRIO ]],3,0),"Nao Encontrado"))</f>
        <v>0.9</v>
      </c>
      <c r="Q12" s="248">
        <f>IF(ConsolidadoPA[[#This Row],[$ Unitário]]="","",Consolidado!$P12*Consolidado!$O12)</f>
        <v>0</v>
      </c>
      <c r="R12" s="85" t="s">
        <v>111</v>
      </c>
      <c r="S12" s="86" t="s">
        <v>112</v>
      </c>
      <c r="T12" s="69"/>
      <c r="U12" s="69"/>
      <c r="V12" s="69"/>
      <c r="W12" s="69"/>
      <c r="X12" s="69"/>
      <c r="Y12" s="69"/>
      <c r="Z12" s="69"/>
    </row>
    <row r="13" spans="1:26" ht="12.75" customHeight="1" x14ac:dyDescent="0.3">
      <c r="A13" s="115" t="s">
        <v>113</v>
      </c>
      <c r="B13" s="82" t="s">
        <v>2740</v>
      </c>
      <c r="C13" s="242">
        <f>IF(ConsolidadoPA[[#This Row],[MEDIDAS CONTRATO]]="","", IFERROR( VLOOKUP(ConsolidadoPA[[#This Row],[MEDIDAS CONTRATO]],MedidasContrato[[MEDIDAS CONTRATO]:[Ø]],2,0),"N/A"))</f>
        <v>0</v>
      </c>
      <c r="D13" s="243">
        <f>IF( ConsolidadoPA[[#This Row],[MEDIDAS CONTRATO]] = "", "", IFERROR( VLOOKUP(ConsolidadoPA[[#This Row],[MEDIDAS CONTRATO]],MedidasContrato[],3,0),"N/A"))</f>
        <v>104</v>
      </c>
      <c r="E13" s="243">
        <f>IF( ConsolidadoPA[[#This Row],[MEDIDAS CONTRATO]] = "", "", IFERROR( VLOOKUP(ConsolidadoPA[[#This Row],[MEDIDAS CONTRATO]],MedidasContrato[],4,0),"N/A"))</f>
        <v>10</v>
      </c>
      <c r="F13" s="243">
        <f>IF( ConsolidadoPA[[#This Row],[MEDIDAS CONTRATO]] = "", "", IFERROR( VLOOKUP(ConsolidadoPA[[#This Row],[MEDIDAS CONTRATO]],MedidasContrato[],5,0),"N/A"))</f>
        <v>30</v>
      </c>
      <c r="G13" s="244">
        <f>IFERROR( ConsolidadoPA[[#This Row],[A]]*ConsolidadoPA[[#This Row],[L]]*ConsolidadoPA[[#This Row],[P]], "")</f>
        <v>31200</v>
      </c>
      <c r="H13" s="244">
        <v>9425</v>
      </c>
      <c r="I13" s="84">
        <f>IFERROR( ConsolidadoPA[[#This Row],[cm³ = V1]]/ConsolidadoPA[[#This Row],[cm³ = V2]],"")</f>
        <v>3.3103448275862069</v>
      </c>
      <c r="J13" s="83">
        <v>0</v>
      </c>
      <c r="K13" s="83"/>
      <c r="L13" s="83"/>
      <c r="M13" s="83">
        <v>2</v>
      </c>
      <c r="N13" s="244">
        <f>IF( ConsolidadoPA[[#This Row],[QUAm-1]]="","",Consolidado!$M13+Consolidado!$J13-Consolidado!$L13-Consolidado!$K13)</f>
        <v>2</v>
      </c>
      <c r="O13" s="245">
        <f>IF(ConsolidadoPA[[#This Row],[FC = V1/V2]]="","",ConsolidadoPA[[#This Row],[FC = V1/V2]]*ConsolidadoPA[[#This Row],[QUAm]])</f>
        <v>6.6206896551724137</v>
      </c>
      <c r="P13" s="247">
        <f>IF( ConsolidadoPA[[#This Row],[Contrato]] = "", "", IFERROR( VLOOKUP(ConsolidadoPA[[#This Row],[Contrato]],TabelaPA[[Linha de Serviço PPU]:[PREÇO UNITÁRIO ]],3,0),"Nao Encontrado"))</f>
        <v>0.9</v>
      </c>
      <c r="Q13" s="248">
        <f>IF(ConsolidadoPA[[#This Row],[$ Unitário]]="","",Consolidado!$P13*Consolidado!$O13)</f>
        <v>5.9586206896551728</v>
      </c>
      <c r="R13" s="85" t="s">
        <v>114</v>
      </c>
      <c r="S13" s="86" t="s">
        <v>115</v>
      </c>
      <c r="T13" s="69"/>
      <c r="U13" s="69"/>
      <c r="V13" s="69"/>
      <c r="W13" s="69"/>
      <c r="X13" s="69"/>
      <c r="Y13" s="69"/>
      <c r="Z13" s="69"/>
    </row>
    <row r="14" spans="1:26" ht="12.75" customHeight="1" x14ac:dyDescent="0.3">
      <c r="A14" s="115" t="s">
        <v>2535</v>
      </c>
      <c r="B14" s="82" t="s">
        <v>2740</v>
      </c>
      <c r="C14" s="242">
        <f>IF(ConsolidadoPA[[#This Row],[MEDIDAS CONTRATO]]="","", IFERROR( VLOOKUP(ConsolidadoPA[[#This Row],[MEDIDAS CONTRATO]],MedidasContrato[[MEDIDAS CONTRATO]:[Ø]],2,0),"N/A"))</f>
        <v>0</v>
      </c>
      <c r="D14" s="243">
        <f>IF( ConsolidadoPA[[#This Row],[MEDIDAS CONTRATO]] = "", "", IFERROR( VLOOKUP(ConsolidadoPA[[#This Row],[MEDIDAS CONTRATO]],MedidasContrato[],3,0),"N/A"))</f>
        <v>0</v>
      </c>
      <c r="E14" s="243">
        <f>IF( ConsolidadoPA[[#This Row],[MEDIDAS CONTRATO]] = "", "", IFERROR( VLOOKUP(ConsolidadoPA[[#This Row],[MEDIDAS CONTRATO]],MedidasContrato[],4,0),"N/A"))</f>
        <v>0.11</v>
      </c>
      <c r="F14" s="243">
        <f>IF( ConsolidadoPA[[#This Row],[MEDIDAS CONTRATO]] = "", "", IFERROR( VLOOKUP(ConsolidadoPA[[#This Row],[MEDIDAS CONTRATO]],MedidasContrato[],5,0),"N/A"))</f>
        <v>1.2</v>
      </c>
      <c r="G14" s="244">
        <f>IFERROR( ConsolidadoPA[[#This Row],[A]]*ConsolidadoPA[[#This Row],[L]]*ConsolidadoPA[[#This Row],[P]], "")</f>
        <v>0</v>
      </c>
      <c r="H14" s="244">
        <v>9425</v>
      </c>
      <c r="I14" s="84">
        <f>IFERROR( ConsolidadoPA[[#This Row],[cm³ = V1]]/ConsolidadoPA[[#This Row],[cm³ = V2]],"")</f>
        <v>0</v>
      </c>
      <c r="J14" s="83">
        <v>0</v>
      </c>
      <c r="K14" s="83"/>
      <c r="L14" s="83"/>
      <c r="M14" s="83"/>
      <c r="N14" s="244">
        <f>IF( ConsolidadoPA[[#This Row],[QUAm-1]]="","",Consolidado!$M14+Consolidado!$J14-Consolidado!$L14-Consolidado!$K14)</f>
        <v>0</v>
      </c>
      <c r="O14" s="245">
        <f>IF(ConsolidadoPA[[#This Row],[FC = V1/V2]]="","",ConsolidadoPA[[#This Row],[FC = V1/V2]]*ConsolidadoPA[[#This Row],[QUAm]])</f>
        <v>0</v>
      </c>
      <c r="P14" s="247">
        <f>IF( ConsolidadoPA[[#This Row],[Contrato]] = "", "", IFERROR( VLOOKUP(ConsolidadoPA[[#This Row],[Contrato]],TabelaPA[[Linha de Serviço PPU]:[PREÇO UNITÁRIO ]],3,0),"Nao Encontrado"))</f>
        <v>0.9</v>
      </c>
      <c r="Q14" s="248">
        <f>IF(ConsolidadoPA[[#This Row],[$ Unitário]]="","",Consolidado!$P14*Consolidado!$O14)</f>
        <v>0</v>
      </c>
      <c r="R14" s="85" t="s">
        <v>114</v>
      </c>
      <c r="S14" s="86" t="s">
        <v>115</v>
      </c>
      <c r="T14" s="69"/>
      <c r="U14" s="69"/>
      <c r="V14" s="69"/>
      <c r="W14" s="69"/>
      <c r="X14" s="69"/>
      <c r="Y14" s="69"/>
      <c r="Z14" s="69"/>
    </row>
    <row r="15" spans="1:26" ht="12.75" customHeight="1" x14ac:dyDescent="0.3">
      <c r="A15" s="115" t="s">
        <v>2536</v>
      </c>
      <c r="B15" s="82" t="s">
        <v>2740</v>
      </c>
      <c r="C15" s="242">
        <f>IF(ConsolidadoPA[[#This Row],[MEDIDAS CONTRATO]]="","", IFERROR( VLOOKUP(ConsolidadoPA[[#This Row],[MEDIDAS CONTRATO]],MedidasContrato[[MEDIDAS CONTRATO]:[Ø]],2,0),"N/A"))</f>
        <v>0</v>
      </c>
      <c r="D15" s="243">
        <f>IF( ConsolidadoPA[[#This Row],[MEDIDAS CONTRATO]] = "", "", IFERROR( VLOOKUP(ConsolidadoPA[[#This Row],[MEDIDAS CONTRATO]],MedidasContrato[],3,0),"N/A"))</f>
        <v>0</v>
      </c>
      <c r="E15" s="243">
        <f>IF( ConsolidadoPA[[#This Row],[MEDIDAS CONTRATO]] = "", "", IFERROR( VLOOKUP(ConsolidadoPA[[#This Row],[MEDIDAS CONTRATO]],MedidasContrato[],4,0),"N/A"))</f>
        <v>0.11</v>
      </c>
      <c r="F15" s="243">
        <f>IF( ConsolidadoPA[[#This Row],[MEDIDAS CONTRATO]] = "", "", IFERROR( VLOOKUP(ConsolidadoPA[[#This Row],[MEDIDAS CONTRATO]],MedidasContrato[],5,0),"N/A"))</f>
        <v>1.23</v>
      </c>
      <c r="G15" s="244">
        <f>IFERROR( ConsolidadoPA[[#This Row],[A]]*ConsolidadoPA[[#This Row],[L]]*ConsolidadoPA[[#This Row],[P]], "")</f>
        <v>0</v>
      </c>
      <c r="H15" s="244">
        <v>9425</v>
      </c>
      <c r="I15" s="84">
        <f>IFERROR( ConsolidadoPA[[#This Row],[cm³ = V1]]/ConsolidadoPA[[#This Row],[cm³ = V2]],"")</f>
        <v>0</v>
      </c>
      <c r="J15" s="83">
        <v>0</v>
      </c>
      <c r="K15" s="83"/>
      <c r="L15" s="83"/>
      <c r="M15" s="83"/>
      <c r="N15" s="244">
        <f>IF( ConsolidadoPA[[#This Row],[QUAm-1]]="","",Consolidado!$M15+Consolidado!$J15-Consolidado!$L15-Consolidado!$K15)</f>
        <v>0</v>
      </c>
      <c r="O15" s="245">
        <f>IF(ConsolidadoPA[[#This Row],[FC = V1/V2]]="","",ConsolidadoPA[[#This Row],[FC = V1/V2]]*ConsolidadoPA[[#This Row],[QUAm]])</f>
        <v>0</v>
      </c>
      <c r="P15" s="247">
        <f>IF( ConsolidadoPA[[#This Row],[Contrato]] = "", "", IFERROR( VLOOKUP(ConsolidadoPA[[#This Row],[Contrato]],TabelaPA[[Linha de Serviço PPU]:[PREÇO UNITÁRIO ]],3,0),"Nao Encontrado"))</f>
        <v>0.9</v>
      </c>
      <c r="Q15" s="248">
        <f>IF(ConsolidadoPA[[#This Row],[$ Unitário]]="","",Consolidado!$P15*Consolidado!$O15)</f>
        <v>0</v>
      </c>
      <c r="R15" s="85" t="s">
        <v>114</v>
      </c>
      <c r="S15" s="86" t="s">
        <v>115</v>
      </c>
      <c r="T15" s="69"/>
      <c r="U15" s="69"/>
      <c r="V15" s="69"/>
      <c r="W15" s="69"/>
      <c r="X15" s="69"/>
      <c r="Y15" s="69"/>
      <c r="Z15" s="69"/>
    </row>
    <row r="16" spans="1:26" ht="12.75" customHeight="1" x14ac:dyDescent="0.3">
      <c r="A16" s="115" t="s">
        <v>2537</v>
      </c>
      <c r="B16" s="82" t="s">
        <v>2740</v>
      </c>
      <c r="C16" s="242">
        <f>IF(ConsolidadoPA[[#This Row],[MEDIDAS CONTRATO]]="","", IFERROR( VLOOKUP(ConsolidadoPA[[#This Row],[MEDIDAS CONTRATO]],MedidasContrato[[MEDIDAS CONTRATO]:[Ø]],2,0),"N/A"))</f>
        <v>0</v>
      </c>
      <c r="D16" s="243">
        <f>IF( ConsolidadoPA[[#This Row],[MEDIDAS CONTRATO]] = "", "", IFERROR( VLOOKUP(ConsolidadoPA[[#This Row],[MEDIDAS CONTRATO]],MedidasContrato[],3,0),"N/A"))</f>
        <v>0</v>
      </c>
      <c r="E16" s="243">
        <f>IF( ConsolidadoPA[[#This Row],[MEDIDAS CONTRATO]] = "", "", IFERROR( VLOOKUP(ConsolidadoPA[[#This Row],[MEDIDAS CONTRATO]],MedidasContrato[],4,0),"N/A"))</f>
        <v>0.11</v>
      </c>
      <c r="F16" s="243">
        <f>IF( ConsolidadoPA[[#This Row],[MEDIDAS CONTRATO]] = "", "", IFERROR( VLOOKUP(ConsolidadoPA[[#This Row],[MEDIDAS CONTRATO]],MedidasContrato[],5,0),"N/A"))</f>
        <v>1.3</v>
      </c>
      <c r="G16" s="244">
        <f>IFERROR( ConsolidadoPA[[#This Row],[A]]*ConsolidadoPA[[#This Row],[L]]*ConsolidadoPA[[#This Row],[P]], "")</f>
        <v>0</v>
      </c>
      <c r="H16" s="244">
        <v>9425</v>
      </c>
      <c r="I16" s="84">
        <f>IFERROR( ConsolidadoPA[[#This Row],[cm³ = V1]]/ConsolidadoPA[[#This Row],[cm³ = V2]],"")</f>
        <v>0</v>
      </c>
      <c r="J16" s="83">
        <v>0</v>
      </c>
      <c r="K16" s="83"/>
      <c r="L16" s="83"/>
      <c r="M16" s="83"/>
      <c r="N16" s="244">
        <f>IF( ConsolidadoPA[[#This Row],[QUAm-1]]="","",Consolidado!$M16+Consolidado!$J16-Consolidado!$L16-Consolidado!$K16)</f>
        <v>0</v>
      </c>
      <c r="O16" s="245">
        <f>IF(ConsolidadoPA[[#This Row],[FC = V1/V2]]="","",ConsolidadoPA[[#This Row],[FC = V1/V2]]*ConsolidadoPA[[#This Row],[QUAm]])</f>
        <v>0</v>
      </c>
      <c r="P16" s="247">
        <f>IF( ConsolidadoPA[[#This Row],[Contrato]] = "", "", IFERROR( VLOOKUP(ConsolidadoPA[[#This Row],[Contrato]],TabelaPA[[Linha de Serviço PPU]:[PREÇO UNITÁRIO ]],3,0),"Nao Encontrado"))</f>
        <v>0.9</v>
      </c>
      <c r="Q16" s="248">
        <f>IF(ConsolidadoPA[[#This Row],[$ Unitário]]="","",Consolidado!$P16*Consolidado!$O16)</f>
        <v>0</v>
      </c>
      <c r="R16" s="85" t="s">
        <v>114</v>
      </c>
      <c r="S16" s="86" t="s">
        <v>115</v>
      </c>
      <c r="T16" s="69"/>
      <c r="U16" s="69"/>
      <c r="V16" s="69"/>
      <c r="W16" s="69"/>
      <c r="X16" s="69"/>
      <c r="Y16" s="69"/>
      <c r="Z16" s="69"/>
    </row>
    <row r="17" spans="1:26" ht="12.75" customHeight="1" x14ac:dyDescent="0.3">
      <c r="A17" s="115" t="s">
        <v>2914</v>
      </c>
      <c r="B17" s="82" t="s">
        <v>2740</v>
      </c>
      <c r="C17" s="242">
        <f>IF(ConsolidadoPA[[#This Row],[MEDIDAS CONTRATO]]="","", IFERROR( VLOOKUP(ConsolidadoPA[[#This Row],[MEDIDAS CONTRATO]],MedidasContrato[[MEDIDAS CONTRATO]:[Ø]],2,0),"N/A"))</f>
        <v>0</v>
      </c>
      <c r="D17" s="243">
        <f>IF( ConsolidadoPA[[#This Row],[MEDIDAS CONTRATO]] = "", "", IFERROR( VLOOKUP(ConsolidadoPA[[#This Row],[MEDIDAS CONTRATO]],MedidasContrato[],3,0),"N/A"))</f>
        <v>0</v>
      </c>
      <c r="E17" s="243">
        <f>IF( ConsolidadoPA[[#This Row],[MEDIDAS CONTRATO]] = "", "", IFERROR( VLOOKUP(ConsolidadoPA[[#This Row],[MEDIDAS CONTRATO]],MedidasContrato[],4,0),"N/A"))</f>
        <v>0.11</v>
      </c>
      <c r="F17" s="243">
        <f>IF( ConsolidadoPA[[#This Row],[MEDIDAS CONTRATO]] = "", "", IFERROR( VLOOKUP(ConsolidadoPA[[#This Row],[MEDIDAS CONTRATO]],MedidasContrato[],5,0),"N/A"))</f>
        <v>1.26</v>
      </c>
      <c r="G17" s="244">
        <f>IFERROR( ConsolidadoPA[[#This Row],[A]]*ConsolidadoPA[[#This Row],[L]]*ConsolidadoPA[[#This Row],[P]], "")</f>
        <v>0</v>
      </c>
      <c r="H17" s="244">
        <v>9425</v>
      </c>
      <c r="I17" s="84">
        <f>IFERROR( ConsolidadoPA[[#This Row],[cm³ = V1]]/ConsolidadoPA[[#This Row],[cm³ = V2]],"")</f>
        <v>0</v>
      </c>
      <c r="J17" s="83">
        <v>0</v>
      </c>
      <c r="K17" s="83"/>
      <c r="L17" s="83"/>
      <c r="M17" s="83"/>
      <c r="N17" s="244">
        <f>IF( ConsolidadoPA[[#This Row],[QUAm-1]]="","",Consolidado!$M17+Consolidado!$J17-Consolidado!$L17-Consolidado!$K17)</f>
        <v>0</v>
      </c>
      <c r="O17" s="245">
        <f>IF(ConsolidadoPA[[#This Row],[FC = V1/V2]]="","",ConsolidadoPA[[#This Row],[FC = V1/V2]]*ConsolidadoPA[[#This Row],[QUAm]])</f>
        <v>0</v>
      </c>
      <c r="P17" s="247">
        <f>IF( ConsolidadoPA[[#This Row],[Contrato]] = "", "", IFERROR( VLOOKUP(ConsolidadoPA[[#This Row],[Contrato]],TabelaPA[[Linha de Serviço PPU]:[PREÇO UNITÁRIO ]],3,0),"Nao Encontrado"))</f>
        <v>0.9</v>
      </c>
      <c r="Q17" s="248">
        <f>IF(ConsolidadoPA[[#This Row],[$ Unitário]]="","",Consolidado!$P17*Consolidado!$O17)</f>
        <v>0</v>
      </c>
      <c r="R17" s="85" t="s">
        <v>114</v>
      </c>
      <c r="S17" s="86" t="s">
        <v>115</v>
      </c>
      <c r="T17" s="69"/>
      <c r="U17" s="69"/>
      <c r="V17" s="69"/>
      <c r="W17" s="69"/>
      <c r="X17" s="69"/>
      <c r="Y17" s="69"/>
      <c r="Z17" s="69"/>
    </row>
    <row r="18" spans="1:26" ht="12.75" customHeight="1" x14ac:dyDescent="0.3">
      <c r="A18" s="246"/>
      <c r="B18" s="237"/>
      <c r="C18" s="242" t="str">
        <f>IF(ConsolidadoPA[[#This Row],[MEDIDAS CONTRATO]]="","", IFERROR( VLOOKUP(ConsolidadoPA[[#This Row],[MEDIDAS CONTRATO]],MedidasContrato[[MEDIDAS CONTRATO]:[Ø]],2,0),"N/A"))</f>
        <v/>
      </c>
      <c r="D18" s="243" t="str">
        <f>IF( ConsolidadoPA[[#This Row],[MEDIDAS CONTRATO]] = "", "", IFERROR( VLOOKUP(ConsolidadoPA[[#This Row],[MEDIDAS CONTRATO]],MedidasContrato[],3,0),"N/A"))</f>
        <v/>
      </c>
      <c r="E18" s="243" t="str">
        <f>IF( ConsolidadoPA[[#This Row],[MEDIDAS CONTRATO]] = "", "", IFERROR( VLOOKUP(ConsolidadoPA[[#This Row],[MEDIDAS CONTRATO]],MedidasContrato[],4,0),"N/A"))</f>
        <v/>
      </c>
      <c r="F18" s="243" t="str">
        <f>IF( ConsolidadoPA[[#This Row],[MEDIDAS CONTRATO]] = "", "", IFERROR( VLOOKUP(ConsolidadoPA[[#This Row],[MEDIDAS CONTRATO]],MedidasContrato[],5,0),"N/A"))</f>
        <v/>
      </c>
      <c r="G18" s="244" t="str">
        <f>IFERROR( ConsolidadoPA[[#This Row],[A]]*ConsolidadoPA[[#This Row],[L]]*ConsolidadoPA[[#This Row],[P]], "")</f>
        <v/>
      </c>
      <c r="H18" s="244"/>
      <c r="I18" s="84" t="str">
        <f>IFERROR( ConsolidadoPA[[#This Row],[cm³ = V1]]/ConsolidadoPA[[#This Row],[cm³ = V2]],"")</f>
        <v/>
      </c>
      <c r="J18" s="238"/>
      <c r="K18" s="237"/>
      <c r="L18" s="237"/>
      <c r="M18" s="238"/>
      <c r="N18" s="244" t="str">
        <f>IF( ConsolidadoPA[[#This Row],[QUAm-1]]="","",Consolidado!$M18+Consolidado!$J18-Consolidado!$L18-Consolidado!$K18)</f>
        <v/>
      </c>
      <c r="O18" s="245" t="str">
        <f>IF(ConsolidadoPA[[#This Row],[FC = V1/V2]]="","",ConsolidadoPA[[#This Row],[FC = V1/V2]]*ConsolidadoPA[[#This Row],[QUAm]])</f>
        <v/>
      </c>
      <c r="P18" s="247" t="str">
        <f>IF( ConsolidadoPA[[#This Row],[Contrato]] = "", "", IFERROR( VLOOKUP(ConsolidadoPA[[#This Row],[Contrato]],TabelaPA[[Linha de Serviço PPU]:[PREÇO UNITÁRIO ]],3,0),"Nao Encontrado"))</f>
        <v/>
      </c>
      <c r="Q18" s="248" t="str">
        <f>IF(ConsolidadoPA[[#This Row],[$ Unitário]]="","",Consolidado!$P18*Consolidado!$O18)</f>
        <v/>
      </c>
      <c r="R18" s="237"/>
      <c r="S18" s="237"/>
      <c r="T18" s="69"/>
      <c r="U18" s="69"/>
      <c r="V18" s="69"/>
      <c r="W18" s="69"/>
      <c r="X18" s="69"/>
      <c r="Y18" s="69"/>
      <c r="Z18" s="69"/>
    </row>
    <row r="19" spans="1:26" ht="12.75" customHeight="1" x14ac:dyDescent="0.3">
      <c r="A19" s="246"/>
      <c r="B19" s="237"/>
      <c r="C19" s="242" t="str">
        <f>IF(ConsolidadoPA[[#This Row],[MEDIDAS CONTRATO]]="","", IFERROR( VLOOKUP(ConsolidadoPA[[#This Row],[MEDIDAS CONTRATO]],MedidasContrato[[MEDIDAS CONTRATO]:[Ø]],2,0),"N/A"))</f>
        <v/>
      </c>
      <c r="D19" s="243" t="str">
        <f>IF( ConsolidadoPA[[#This Row],[MEDIDAS CONTRATO]] = "", "", IFERROR( VLOOKUP(ConsolidadoPA[[#This Row],[MEDIDAS CONTRATO]],MedidasContrato[],3,0),"N/A"))</f>
        <v/>
      </c>
      <c r="E19" s="243" t="str">
        <f>IF( ConsolidadoPA[[#This Row],[MEDIDAS CONTRATO]] = "", "", IFERROR( VLOOKUP(ConsolidadoPA[[#This Row],[MEDIDAS CONTRATO]],MedidasContrato[],4,0),"N/A"))</f>
        <v/>
      </c>
      <c r="F19" s="243" t="str">
        <f>IF( ConsolidadoPA[[#This Row],[MEDIDAS CONTRATO]] = "", "", IFERROR( VLOOKUP(ConsolidadoPA[[#This Row],[MEDIDAS CONTRATO]],MedidasContrato[],5,0),"N/A"))</f>
        <v/>
      </c>
      <c r="G19" s="244" t="str">
        <f>IFERROR( ConsolidadoPA[[#This Row],[A]]*ConsolidadoPA[[#This Row],[L]]*ConsolidadoPA[[#This Row],[P]], "")</f>
        <v/>
      </c>
      <c r="H19" s="244"/>
      <c r="I19" s="84" t="str">
        <f>IFERROR( ConsolidadoPA[[#This Row],[cm³ = V1]]/ConsolidadoPA[[#This Row],[cm³ = V2]],"")</f>
        <v/>
      </c>
      <c r="J19" s="238"/>
      <c r="K19" s="237"/>
      <c r="L19" s="237"/>
      <c r="M19" s="238"/>
      <c r="N19" s="244" t="str">
        <f>IF( ConsolidadoPA[[#This Row],[QUAm-1]]="","",Consolidado!$M19+Consolidado!$J19-Consolidado!$L19-Consolidado!$K19)</f>
        <v/>
      </c>
      <c r="O19" s="245" t="str">
        <f>IF(ConsolidadoPA[[#This Row],[FC = V1/V2]]="","",ConsolidadoPA[[#This Row],[FC = V1/V2]]*ConsolidadoPA[[#This Row],[QUAm]])</f>
        <v/>
      </c>
      <c r="P19" s="247" t="str">
        <f>IF( ConsolidadoPA[[#This Row],[Contrato]] = "", "", IFERROR( VLOOKUP(ConsolidadoPA[[#This Row],[Contrato]],TabelaPA[[Linha de Serviço PPU]:[PREÇO UNITÁRIO ]],3,0),"Nao Encontrado"))</f>
        <v/>
      </c>
      <c r="Q19" s="248" t="str">
        <f>IF(ConsolidadoPA[[#This Row],[$ Unitário]]="","",Consolidado!$P19*Consolidado!$O19)</f>
        <v/>
      </c>
      <c r="R19" s="237"/>
      <c r="S19" s="237"/>
      <c r="T19" s="69"/>
      <c r="U19" s="69"/>
      <c r="V19" s="69"/>
      <c r="W19" s="69"/>
      <c r="X19" s="69"/>
      <c r="Y19" s="69"/>
      <c r="Z19" s="69"/>
    </row>
    <row r="20" spans="1:26" ht="12.75" customHeight="1" x14ac:dyDescent="0.3">
      <c r="A20" s="246"/>
      <c r="B20" s="237"/>
      <c r="C20" s="242" t="str">
        <f>IF(ConsolidadoPA[[#This Row],[MEDIDAS CONTRATO]]="","", IFERROR( VLOOKUP(ConsolidadoPA[[#This Row],[MEDIDAS CONTRATO]],MedidasContrato[[MEDIDAS CONTRATO]:[Ø]],2,0),"N/A"))</f>
        <v/>
      </c>
      <c r="D20" s="243" t="str">
        <f>IF( ConsolidadoPA[[#This Row],[MEDIDAS CONTRATO]] = "", "", IFERROR( VLOOKUP(ConsolidadoPA[[#This Row],[MEDIDAS CONTRATO]],MedidasContrato[],3,0),"N/A"))</f>
        <v/>
      </c>
      <c r="E20" s="243" t="str">
        <f>IF( ConsolidadoPA[[#This Row],[MEDIDAS CONTRATO]] = "", "", IFERROR( VLOOKUP(ConsolidadoPA[[#This Row],[MEDIDAS CONTRATO]],MedidasContrato[],4,0),"N/A"))</f>
        <v/>
      </c>
      <c r="F20" s="243" t="str">
        <f>IF( ConsolidadoPA[[#This Row],[MEDIDAS CONTRATO]] = "", "", IFERROR( VLOOKUP(ConsolidadoPA[[#This Row],[MEDIDAS CONTRATO]],MedidasContrato[],5,0),"N/A"))</f>
        <v/>
      </c>
      <c r="G20" s="244" t="str">
        <f>IFERROR( ConsolidadoPA[[#This Row],[A]]*ConsolidadoPA[[#This Row],[L]]*ConsolidadoPA[[#This Row],[P]], "")</f>
        <v/>
      </c>
      <c r="H20" s="244"/>
      <c r="I20" s="84" t="str">
        <f>IFERROR( ConsolidadoPA[[#This Row],[cm³ = V1]]/ConsolidadoPA[[#This Row],[cm³ = V2]],"")</f>
        <v/>
      </c>
      <c r="J20" s="238"/>
      <c r="K20" s="237"/>
      <c r="L20" s="237"/>
      <c r="M20" s="238"/>
      <c r="N20" s="244" t="str">
        <f>IF( ConsolidadoPA[[#This Row],[QUAm-1]]="","",Consolidado!$M20+Consolidado!$J20-Consolidado!$L20-Consolidado!$K20)</f>
        <v/>
      </c>
      <c r="O20" s="245" t="str">
        <f>IF(ConsolidadoPA[[#This Row],[FC = V1/V2]]="","",ConsolidadoPA[[#This Row],[FC = V1/V2]]*ConsolidadoPA[[#This Row],[QUAm]])</f>
        <v/>
      </c>
      <c r="P20" s="247" t="str">
        <f>IF( ConsolidadoPA[[#This Row],[Contrato]] = "", "", IFERROR( VLOOKUP(ConsolidadoPA[[#This Row],[Contrato]],TabelaPA[[Linha de Serviço PPU]:[PREÇO UNITÁRIO ]],3,0),"Nao Encontrado"))</f>
        <v/>
      </c>
      <c r="Q20" s="248" t="str">
        <f>IF(ConsolidadoPA[[#This Row],[$ Unitário]]="","",Consolidado!$P20*Consolidado!$O20)</f>
        <v/>
      </c>
      <c r="R20" s="237"/>
      <c r="S20" s="237"/>
      <c r="T20" s="69"/>
      <c r="U20" s="69"/>
      <c r="V20" s="69"/>
      <c r="W20" s="69"/>
      <c r="X20" s="69"/>
      <c r="Y20" s="69"/>
      <c r="Z20" s="69"/>
    </row>
    <row r="21" spans="1:26" ht="12.75" customHeight="1" x14ac:dyDescent="0.3">
      <c r="A21" s="246"/>
      <c r="B21" s="237"/>
      <c r="C21" s="242" t="str">
        <f>IF(ConsolidadoPA[[#This Row],[MEDIDAS CONTRATO]]="","", IFERROR( VLOOKUP(ConsolidadoPA[[#This Row],[MEDIDAS CONTRATO]],MedidasContrato[[MEDIDAS CONTRATO]:[Ø]],2,0),"N/A"))</f>
        <v/>
      </c>
      <c r="D21" s="243" t="str">
        <f>IF( ConsolidadoPA[[#This Row],[MEDIDAS CONTRATO]] = "", "", IFERROR( VLOOKUP(ConsolidadoPA[[#This Row],[MEDIDAS CONTRATO]],MedidasContrato[],3,0),"N/A"))</f>
        <v/>
      </c>
      <c r="E21" s="243" t="str">
        <f>IF( ConsolidadoPA[[#This Row],[MEDIDAS CONTRATO]] = "", "", IFERROR( VLOOKUP(ConsolidadoPA[[#This Row],[MEDIDAS CONTRATO]],MedidasContrato[],4,0),"N/A"))</f>
        <v/>
      </c>
      <c r="F21" s="243" t="str">
        <f>IF( ConsolidadoPA[[#This Row],[MEDIDAS CONTRATO]] = "", "", IFERROR( VLOOKUP(ConsolidadoPA[[#This Row],[MEDIDAS CONTRATO]],MedidasContrato[],5,0),"N/A"))</f>
        <v/>
      </c>
      <c r="G21" s="244" t="str">
        <f>IFERROR( ConsolidadoPA[[#This Row],[A]]*ConsolidadoPA[[#This Row],[L]]*ConsolidadoPA[[#This Row],[P]], "")</f>
        <v/>
      </c>
      <c r="H21" s="244"/>
      <c r="I21" s="84" t="str">
        <f>IFERROR( ConsolidadoPA[[#This Row],[cm³ = V1]]/ConsolidadoPA[[#This Row],[cm³ = V2]],"")</f>
        <v/>
      </c>
      <c r="J21" s="238"/>
      <c r="K21" s="237"/>
      <c r="L21" s="237"/>
      <c r="M21" s="238"/>
      <c r="N21" s="244" t="str">
        <f>IF( ConsolidadoPA[[#This Row],[QUAm-1]]="","",Consolidado!$M21+Consolidado!$J21-Consolidado!$L21-Consolidado!$K21)</f>
        <v/>
      </c>
      <c r="O21" s="245" t="str">
        <f>IF(ConsolidadoPA[[#This Row],[FC = V1/V2]]="","",ConsolidadoPA[[#This Row],[FC = V1/V2]]*ConsolidadoPA[[#This Row],[QUAm]])</f>
        <v/>
      </c>
      <c r="P21" s="247" t="str">
        <f>IF( ConsolidadoPA[[#This Row],[Contrato]] = "", "", IFERROR( VLOOKUP(ConsolidadoPA[[#This Row],[Contrato]],TabelaPA[[Linha de Serviço PPU]:[PREÇO UNITÁRIO ]],3,0),"Nao Encontrado"))</f>
        <v/>
      </c>
      <c r="Q21" s="248" t="str">
        <f>IF(ConsolidadoPA[[#This Row],[$ Unitário]]="","",Consolidado!$P21*Consolidado!$O21)</f>
        <v/>
      </c>
      <c r="R21" s="237"/>
      <c r="S21" s="237"/>
      <c r="T21" s="69"/>
      <c r="U21" s="69"/>
      <c r="V21" s="69"/>
      <c r="W21" s="69"/>
      <c r="X21" s="69"/>
      <c r="Y21" s="69"/>
      <c r="Z21" s="69"/>
    </row>
    <row r="22" spans="1:26" ht="12.75" customHeight="1" x14ac:dyDescent="0.3">
      <c r="A22" s="246"/>
      <c r="B22" s="237"/>
      <c r="C22" s="242" t="str">
        <f>IF(ConsolidadoPA[[#This Row],[MEDIDAS CONTRATO]]="","", IFERROR( VLOOKUP(ConsolidadoPA[[#This Row],[MEDIDAS CONTRATO]],MedidasContrato[[MEDIDAS CONTRATO]:[Ø]],2,0),"N/A"))</f>
        <v/>
      </c>
      <c r="D22" s="243" t="str">
        <f>IF( ConsolidadoPA[[#This Row],[MEDIDAS CONTRATO]] = "", "", IFERROR( VLOOKUP(ConsolidadoPA[[#This Row],[MEDIDAS CONTRATO]],MedidasContrato[],3,0),"N/A"))</f>
        <v/>
      </c>
      <c r="E22" s="243" t="str">
        <f>IF( ConsolidadoPA[[#This Row],[MEDIDAS CONTRATO]] = "", "", IFERROR( VLOOKUP(ConsolidadoPA[[#This Row],[MEDIDAS CONTRATO]],MedidasContrato[],4,0),"N/A"))</f>
        <v/>
      </c>
      <c r="F22" s="243" t="str">
        <f>IF( ConsolidadoPA[[#This Row],[MEDIDAS CONTRATO]] = "", "", IFERROR( VLOOKUP(ConsolidadoPA[[#This Row],[MEDIDAS CONTRATO]],MedidasContrato[],5,0),"N/A"))</f>
        <v/>
      </c>
      <c r="G22" s="244" t="str">
        <f>IFERROR( ConsolidadoPA[[#This Row],[A]]*ConsolidadoPA[[#This Row],[L]]*ConsolidadoPA[[#This Row],[P]], "")</f>
        <v/>
      </c>
      <c r="H22" s="244"/>
      <c r="I22" s="84" t="str">
        <f>IFERROR( ConsolidadoPA[[#This Row],[cm³ = V1]]/ConsolidadoPA[[#This Row],[cm³ = V2]],"")</f>
        <v/>
      </c>
      <c r="J22" s="238"/>
      <c r="K22" s="237"/>
      <c r="L22" s="237"/>
      <c r="M22" s="238"/>
      <c r="N22" s="244" t="str">
        <f>IF( ConsolidadoPA[[#This Row],[QUAm-1]]="","",Consolidado!$M22+Consolidado!$J22-Consolidado!$L22-Consolidado!$K22)</f>
        <v/>
      </c>
      <c r="O22" s="245" t="str">
        <f>IF(ConsolidadoPA[[#This Row],[FC = V1/V2]]="","",ConsolidadoPA[[#This Row],[FC = V1/V2]]*ConsolidadoPA[[#This Row],[QUAm]])</f>
        <v/>
      </c>
      <c r="P22" s="247" t="str">
        <f>IF( ConsolidadoPA[[#This Row],[Contrato]] = "", "", IFERROR( VLOOKUP(ConsolidadoPA[[#This Row],[Contrato]],TabelaPA[[Linha de Serviço PPU]:[PREÇO UNITÁRIO ]],3,0),"Nao Encontrado"))</f>
        <v/>
      </c>
      <c r="Q22" s="248" t="str">
        <f>IF(ConsolidadoPA[[#This Row],[$ Unitário]]="","",Consolidado!$P22*Consolidado!$O22)</f>
        <v/>
      </c>
      <c r="R22" s="237"/>
      <c r="S22" s="237"/>
      <c r="T22" s="69"/>
      <c r="U22" s="69"/>
      <c r="V22" s="69"/>
      <c r="W22" s="69"/>
      <c r="X22" s="69"/>
      <c r="Y22" s="69"/>
      <c r="Z22" s="69"/>
    </row>
    <row r="23" spans="1:26" ht="12.75" customHeight="1" x14ac:dyDescent="0.3">
      <c r="A23" s="246"/>
      <c r="B23" s="237"/>
      <c r="C23" s="242" t="str">
        <f>IF(ConsolidadoPA[[#This Row],[MEDIDAS CONTRATO]]="","", IFERROR( VLOOKUP(ConsolidadoPA[[#This Row],[MEDIDAS CONTRATO]],MedidasContrato[[MEDIDAS CONTRATO]:[Ø]],2,0),"N/A"))</f>
        <v/>
      </c>
      <c r="D23" s="243" t="str">
        <f>IF( ConsolidadoPA[[#This Row],[MEDIDAS CONTRATO]] = "", "", IFERROR( VLOOKUP(ConsolidadoPA[[#This Row],[MEDIDAS CONTRATO]],MedidasContrato[],3,0),"N/A"))</f>
        <v/>
      </c>
      <c r="E23" s="243" t="str">
        <f>IF( ConsolidadoPA[[#This Row],[MEDIDAS CONTRATO]] = "", "", IFERROR( VLOOKUP(ConsolidadoPA[[#This Row],[MEDIDAS CONTRATO]],MedidasContrato[],4,0),"N/A"))</f>
        <v/>
      </c>
      <c r="F23" s="243" t="str">
        <f>IF( ConsolidadoPA[[#This Row],[MEDIDAS CONTRATO]] = "", "", IFERROR( VLOOKUP(ConsolidadoPA[[#This Row],[MEDIDAS CONTRATO]],MedidasContrato[],5,0),"N/A"))</f>
        <v/>
      </c>
      <c r="G23" s="244" t="str">
        <f>IFERROR( ConsolidadoPA[[#This Row],[A]]*ConsolidadoPA[[#This Row],[L]]*ConsolidadoPA[[#This Row],[P]], "")</f>
        <v/>
      </c>
      <c r="H23" s="244"/>
      <c r="I23" s="84" t="str">
        <f>IFERROR( ConsolidadoPA[[#This Row],[cm³ = V1]]/ConsolidadoPA[[#This Row],[cm³ = V2]],"")</f>
        <v/>
      </c>
      <c r="J23" s="238"/>
      <c r="K23" s="237"/>
      <c r="L23" s="237"/>
      <c r="M23" s="238"/>
      <c r="N23" s="244" t="str">
        <f>IF( ConsolidadoPA[[#This Row],[QUAm-1]]="","",Consolidado!$M23+Consolidado!$J23-Consolidado!$L23-Consolidado!$K23)</f>
        <v/>
      </c>
      <c r="O23" s="245" t="str">
        <f>IF(ConsolidadoPA[[#This Row],[FC = V1/V2]]="","",ConsolidadoPA[[#This Row],[FC = V1/V2]]*ConsolidadoPA[[#This Row],[QUAm]])</f>
        <v/>
      </c>
      <c r="P23" s="247" t="str">
        <f>IF( ConsolidadoPA[[#This Row],[Contrato]] = "", "", IFERROR( VLOOKUP(ConsolidadoPA[[#This Row],[Contrato]],TabelaPA[[Linha de Serviço PPU]:[PREÇO UNITÁRIO ]],3,0),"Nao Encontrado"))</f>
        <v/>
      </c>
      <c r="Q23" s="248" t="str">
        <f>IF(ConsolidadoPA[[#This Row],[$ Unitário]]="","",Consolidado!$P23*Consolidado!$O23)</f>
        <v/>
      </c>
      <c r="R23" s="237"/>
      <c r="S23" s="237"/>
      <c r="T23" s="69"/>
      <c r="U23" s="69"/>
      <c r="V23" s="69"/>
      <c r="W23" s="69"/>
      <c r="X23" s="69"/>
      <c r="Y23" s="69"/>
      <c r="Z23" s="69"/>
    </row>
    <row r="24" spans="1:26" ht="12.75" customHeight="1" x14ac:dyDescent="0.3">
      <c r="A24" s="246"/>
      <c r="B24" s="237"/>
      <c r="C24" s="242" t="str">
        <f>IF(ConsolidadoPA[[#This Row],[MEDIDAS CONTRATO]]="","", IFERROR( VLOOKUP(ConsolidadoPA[[#This Row],[MEDIDAS CONTRATO]],MedidasContrato[[MEDIDAS CONTRATO]:[Ø]],2,0),"N/A"))</f>
        <v/>
      </c>
      <c r="D24" s="243" t="str">
        <f>IF( ConsolidadoPA[[#This Row],[MEDIDAS CONTRATO]] = "", "", IFERROR( VLOOKUP(ConsolidadoPA[[#This Row],[MEDIDAS CONTRATO]],MedidasContrato[],3,0),"N/A"))</f>
        <v/>
      </c>
      <c r="E24" s="243" t="str">
        <f>IF( ConsolidadoPA[[#This Row],[MEDIDAS CONTRATO]] = "", "", IFERROR( VLOOKUP(ConsolidadoPA[[#This Row],[MEDIDAS CONTRATO]],MedidasContrato[],4,0),"N/A"))</f>
        <v/>
      </c>
      <c r="F24" s="243" t="str">
        <f>IF( ConsolidadoPA[[#This Row],[MEDIDAS CONTRATO]] = "", "", IFERROR( VLOOKUP(ConsolidadoPA[[#This Row],[MEDIDAS CONTRATO]],MedidasContrato[],5,0),"N/A"))</f>
        <v/>
      </c>
      <c r="G24" s="244" t="str">
        <f>IFERROR( ConsolidadoPA[[#This Row],[A]]*ConsolidadoPA[[#This Row],[L]]*ConsolidadoPA[[#This Row],[P]], "")</f>
        <v/>
      </c>
      <c r="H24" s="244"/>
      <c r="I24" s="84" t="str">
        <f>IFERROR( ConsolidadoPA[[#This Row],[cm³ = V1]]/ConsolidadoPA[[#This Row],[cm³ = V2]],"")</f>
        <v/>
      </c>
      <c r="J24" s="238"/>
      <c r="K24" s="237"/>
      <c r="L24" s="237"/>
      <c r="M24" s="238"/>
      <c r="N24" s="244" t="str">
        <f>IF( ConsolidadoPA[[#This Row],[QUAm-1]]="","",Consolidado!$M24+Consolidado!$J24-Consolidado!$L24-Consolidado!$K24)</f>
        <v/>
      </c>
      <c r="O24" s="245" t="str">
        <f>IF(ConsolidadoPA[[#This Row],[FC = V1/V2]]="","",ConsolidadoPA[[#This Row],[FC = V1/V2]]*ConsolidadoPA[[#This Row],[QUAm]])</f>
        <v/>
      </c>
      <c r="P24" s="247" t="str">
        <f>IF( ConsolidadoPA[[#This Row],[Contrato]] = "", "", IFERROR( VLOOKUP(ConsolidadoPA[[#This Row],[Contrato]],TabelaPA[[Linha de Serviço PPU]:[PREÇO UNITÁRIO ]],3,0),"Nao Encontrado"))</f>
        <v/>
      </c>
      <c r="Q24" s="248" t="str">
        <f>IF(ConsolidadoPA[[#This Row],[$ Unitário]]="","",Consolidado!$P24*Consolidado!$O24)</f>
        <v/>
      </c>
      <c r="R24" s="237"/>
      <c r="S24" s="237"/>
      <c r="T24" s="69"/>
      <c r="U24" s="69"/>
      <c r="V24" s="69"/>
      <c r="W24" s="69"/>
      <c r="X24" s="69"/>
      <c r="Y24" s="69"/>
      <c r="Z24" s="69"/>
    </row>
    <row r="25" spans="1:26" ht="12.75" customHeight="1" x14ac:dyDescent="0.3">
      <c r="A25" s="246"/>
      <c r="B25" s="237"/>
      <c r="C25" s="242" t="str">
        <f>IF(ConsolidadoPA[[#This Row],[MEDIDAS CONTRATO]]="","", IFERROR( VLOOKUP(ConsolidadoPA[[#This Row],[MEDIDAS CONTRATO]],MedidasContrato[[MEDIDAS CONTRATO]:[Ø]],2,0),"N/A"))</f>
        <v/>
      </c>
      <c r="D25" s="243" t="str">
        <f>IF( ConsolidadoPA[[#This Row],[MEDIDAS CONTRATO]] = "", "", IFERROR( VLOOKUP(ConsolidadoPA[[#This Row],[MEDIDAS CONTRATO]],MedidasContrato[],3,0),"N/A"))</f>
        <v/>
      </c>
      <c r="E25" s="243" t="str">
        <f>IF( ConsolidadoPA[[#This Row],[MEDIDAS CONTRATO]] = "", "", IFERROR( VLOOKUP(ConsolidadoPA[[#This Row],[MEDIDAS CONTRATO]],MedidasContrato[],4,0),"N/A"))</f>
        <v/>
      </c>
      <c r="F25" s="243" t="str">
        <f>IF( ConsolidadoPA[[#This Row],[MEDIDAS CONTRATO]] = "", "", IFERROR( VLOOKUP(ConsolidadoPA[[#This Row],[MEDIDAS CONTRATO]],MedidasContrato[],5,0),"N/A"))</f>
        <v/>
      </c>
      <c r="G25" s="244" t="str">
        <f>IFERROR( ConsolidadoPA[[#This Row],[A]]*ConsolidadoPA[[#This Row],[L]]*ConsolidadoPA[[#This Row],[P]], "")</f>
        <v/>
      </c>
      <c r="H25" s="244"/>
      <c r="I25" s="84" t="str">
        <f>IFERROR( ConsolidadoPA[[#This Row],[cm³ = V1]]/ConsolidadoPA[[#This Row],[cm³ = V2]],"")</f>
        <v/>
      </c>
      <c r="J25" s="238"/>
      <c r="K25" s="237"/>
      <c r="L25" s="237"/>
      <c r="M25" s="238"/>
      <c r="N25" s="244" t="str">
        <f>IF( ConsolidadoPA[[#This Row],[QUAm-1]]="","",Consolidado!$M25+Consolidado!$J25-Consolidado!$L25-Consolidado!$K25)</f>
        <v/>
      </c>
      <c r="O25" s="245" t="str">
        <f>IF(ConsolidadoPA[[#This Row],[FC = V1/V2]]="","",ConsolidadoPA[[#This Row],[FC = V1/V2]]*ConsolidadoPA[[#This Row],[QUAm]])</f>
        <v/>
      </c>
      <c r="P25" s="247" t="str">
        <f>IF( ConsolidadoPA[[#This Row],[Contrato]] = "", "", IFERROR( VLOOKUP(ConsolidadoPA[[#This Row],[Contrato]],TabelaPA[[Linha de Serviço PPU]:[PREÇO UNITÁRIO ]],3,0),"Nao Encontrado"))</f>
        <v/>
      </c>
      <c r="Q25" s="248" t="str">
        <f>IF(ConsolidadoPA[[#This Row],[$ Unitário]]="","",Consolidado!$P25*Consolidado!$O25)</f>
        <v/>
      </c>
      <c r="R25" s="237"/>
      <c r="S25" s="237"/>
      <c r="T25" s="69"/>
      <c r="U25" s="69"/>
      <c r="V25" s="69"/>
      <c r="W25" s="69"/>
      <c r="X25" s="69"/>
      <c r="Y25" s="69"/>
      <c r="Z25" s="69"/>
    </row>
    <row r="26" spans="1:26" ht="12.75" customHeight="1" x14ac:dyDescent="0.3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12.75" customHeight="1" x14ac:dyDescent="0.3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2.75" customHeight="1" x14ac:dyDescent="0.3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2.75" customHeight="1" x14ac:dyDescent="0.3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2.75" customHeight="1" x14ac:dyDescent="0.3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2.75" customHeight="1" x14ac:dyDescent="0.3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2.75" customHeight="1" x14ac:dyDescent="0.3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2.75" customHeight="1" x14ac:dyDescent="0.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2.75" customHeight="1" x14ac:dyDescent="0.3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2.75" customHeight="1" x14ac:dyDescent="0.3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2.75" customHeight="1" x14ac:dyDescent="0.3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2.75" customHeight="1" x14ac:dyDescent="0.3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2.75" customHeight="1" x14ac:dyDescent="0.3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2.75" customHeight="1" x14ac:dyDescent="0.3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2.75" customHeight="1" x14ac:dyDescent="0.3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2.75" customHeight="1" x14ac:dyDescent="0.3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2.75" customHeight="1" x14ac:dyDescent="0.3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2.75" customHeight="1" x14ac:dyDescent="0.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2.75" customHeight="1" x14ac:dyDescent="0.3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2.75" customHeight="1" x14ac:dyDescent="0.3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2.75" customHeight="1" x14ac:dyDescent="0.3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2.75" customHeight="1" x14ac:dyDescent="0.3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2.75" customHeight="1" x14ac:dyDescent="0.3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2.75" customHeight="1" x14ac:dyDescent="0.3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2.75" customHeight="1" x14ac:dyDescent="0.3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2.75" customHeight="1" x14ac:dyDescent="0.3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2.75" customHeight="1" x14ac:dyDescent="0.3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2.75" customHeight="1" x14ac:dyDescent="0.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2.75" customHeight="1" x14ac:dyDescent="0.3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2.75" customHeight="1" x14ac:dyDescent="0.3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2.75" customHeight="1" x14ac:dyDescent="0.3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2.75" customHeight="1" x14ac:dyDescent="0.3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2.75" customHeight="1" x14ac:dyDescent="0.3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2.75" customHeight="1" x14ac:dyDescent="0.3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2.75" customHeight="1" x14ac:dyDescent="0.3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2.75" customHeight="1" x14ac:dyDescent="0.3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2.75" customHeight="1" x14ac:dyDescent="0.3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2.75" customHeight="1" x14ac:dyDescent="0.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2.75" customHeight="1" x14ac:dyDescent="0.3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2.75" customHeight="1" x14ac:dyDescent="0.3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2.75" customHeight="1" x14ac:dyDescent="0.3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2.75" customHeight="1" x14ac:dyDescent="0.3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2.75" customHeight="1" x14ac:dyDescent="0.3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2.75" customHeight="1" x14ac:dyDescent="0.3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2.75" customHeight="1" x14ac:dyDescent="0.3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2.75" customHeight="1" x14ac:dyDescent="0.3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2.75" customHeight="1" x14ac:dyDescent="0.3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2.75" customHeight="1" x14ac:dyDescent="0.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2.75" customHeight="1" x14ac:dyDescent="0.3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2.75" customHeight="1" x14ac:dyDescent="0.3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2.75" customHeight="1" x14ac:dyDescent="0.3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2.75" customHeight="1" x14ac:dyDescent="0.3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2.75" customHeight="1" x14ac:dyDescent="0.3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2.75" customHeight="1" x14ac:dyDescent="0.3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2.75" customHeight="1" x14ac:dyDescent="0.3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2.75" customHeight="1" x14ac:dyDescent="0.3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2.75" customHeight="1" x14ac:dyDescent="0.3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2.75" customHeight="1" x14ac:dyDescent="0.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2.75" customHeight="1" x14ac:dyDescent="0.3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2.75" customHeight="1" x14ac:dyDescent="0.3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2.75" customHeight="1" x14ac:dyDescent="0.3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2.75" customHeight="1" x14ac:dyDescent="0.3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2.75" customHeight="1" x14ac:dyDescent="0.3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2.75" customHeight="1" x14ac:dyDescent="0.3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2.75" customHeight="1" x14ac:dyDescent="0.3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2.75" customHeight="1" x14ac:dyDescent="0.3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2.75" customHeight="1" x14ac:dyDescent="0.3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2.75" customHeight="1" x14ac:dyDescent="0.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2.75" customHeight="1" x14ac:dyDescent="0.3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2.75" customHeight="1" x14ac:dyDescent="0.3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2.75" customHeight="1" x14ac:dyDescent="0.3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2.75" customHeight="1" x14ac:dyDescent="0.3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2.75" customHeight="1" x14ac:dyDescent="0.3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2.75" customHeight="1" x14ac:dyDescent="0.3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2.75" customHeight="1" x14ac:dyDescent="0.3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2.75" customHeight="1" x14ac:dyDescent="0.3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2.75" customHeight="1" x14ac:dyDescent="0.3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2.75" customHeight="1" x14ac:dyDescent="0.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2.75" customHeigh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2.75" customHeigh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2.75" customHeigh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2.75" customHeigh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2.75" customHeigh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2.75" customHeigh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2.75" customHeigh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2.75" customHeigh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2.75" customHeight="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2.75" customHeight="1" x14ac:dyDescent="0.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2.75" customHeight="1" x14ac:dyDescent="0.3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2.75" customHeight="1" x14ac:dyDescent="0.3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2.75" customHeight="1" x14ac:dyDescent="0.3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2.75" customHeight="1" x14ac:dyDescent="0.3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2.75" customHeight="1" x14ac:dyDescent="0.3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2.75" customHeight="1" x14ac:dyDescent="0.3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2.75" customHeight="1" x14ac:dyDescent="0.3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2.75" customHeight="1" x14ac:dyDescent="0.3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2.75" customHeight="1" x14ac:dyDescent="0.3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2.75" customHeight="1" x14ac:dyDescent="0.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2.75" customHeight="1" x14ac:dyDescent="0.3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2.75" customHeight="1" x14ac:dyDescent="0.3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2.75" customHeight="1" x14ac:dyDescent="0.3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2.75" customHeight="1" x14ac:dyDescent="0.3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2.75" customHeight="1" x14ac:dyDescent="0.3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2.75" customHeight="1" x14ac:dyDescent="0.3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2.75" customHeight="1" x14ac:dyDescent="0.3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2.75" customHeight="1" x14ac:dyDescent="0.3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2.75" customHeight="1" x14ac:dyDescent="0.3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2.75" customHeight="1" x14ac:dyDescent="0.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2.75" customHeight="1" x14ac:dyDescent="0.3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2.75" customHeight="1" x14ac:dyDescent="0.3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2.75" customHeight="1" x14ac:dyDescent="0.3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2.75" customHeight="1" x14ac:dyDescent="0.3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2.75" customHeight="1" x14ac:dyDescent="0.3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2.75" customHeight="1" x14ac:dyDescent="0.3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2.75" customHeight="1" x14ac:dyDescent="0.3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2.75" customHeight="1" x14ac:dyDescent="0.3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2.75" customHeight="1" x14ac:dyDescent="0.3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2.75" customHeight="1" x14ac:dyDescent="0.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2.75" customHeight="1" x14ac:dyDescent="0.3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2.75" customHeight="1" x14ac:dyDescent="0.3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2.75" customHeight="1" x14ac:dyDescent="0.3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2.75" customHeight="1" x14ac:dyDescent="0.3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2.75" customHeight="1" x14ac:dyDescent="0.3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2.75" customHeight="1" x14ac:dyDescent="0.3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2.75" customHeight="1" x14ac:dyDescent="0.3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2.75" customHeight="1" x14ac:dyDescent="0.3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2.75" customHeight="1" x14ac:dyDescent="0.3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2.75" customHeight="1" x14ac:dyDescent="0.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2.75" customHeight="1" x14ac:dyDescent="0.3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2.75" customHeight="1" x14ac:dyDescent="0.3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2.75" customHeight="1" x14ac:dyDescent="0.3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2.75" customHeight="1" x14ac:dyDescent="0.3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2.75" customHeight="1" x14ac:dyDescent="0.3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2.75" customHeight="1" x14ac:dyDescent="0.3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2.75" customHeight="1" x14ac:dyDescent="0.3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2.75" customHeight="1" x14ac:dyDescent="0.3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2.75" customHeight="1" x14ac:dyDescent="0.3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2.75" customHeight="1" x14ac:dyDescent="0.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2.75" customHeight="1" x14ac:dyDescent="0.3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2.75" customHeight="1" x14ac:dyDescent="0.3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2.75" customHeight="1" x14ac:dyDescent="0.3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2.75" customHeight="1" x14ac:dyDescent="0.3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2.75" customHeight="1" x14ac:dyDescent="0.3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2.75" customHeight="1" x14ac:dyDescent="0.3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2.75" customHeight="1" x14ac:dyDescent="0.3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2.75" customHeight="1" x14ac:dyDescent="0.3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2.75" customHeight="1" x14ac:dyDescent="0.3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2.75" customHeight="1" x14ac:dyDescent="0.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2.75" customHeight="1" x14ac:dyDescent="0.3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2.75" customHeight="1" x14ac:dyDescent="0.3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2.75" customHeight="1" x14ac:dyDescent="0.3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2.75" customHeight="1" x14ac:dyDescent="0.3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2.75" customHeight="1" x14ac:dyDescent="0.3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2.75" customHeight="1" x14ac:dyDescent="0.3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2.75" customHeight="1" x14ac:dyDescent="0.3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2.75" customHeight="1" x14ac:dyDescent="0.3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2.75" customHeight="1" x14ac:dyDescent="0.3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2.75" customHeight="1" x14ac:dyDescent="0.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2.75" customHeight="1" x14ac:dyDescent="0.3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2.75" customHeight="1" x14ac:dyDescent="0.3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2.75" customHeight="1" x14ac:dyDescent="0.3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2.75" customHeight="1" x14ac:dyDescent="0.3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2.75" customHeight="1" x14ac:dyDescent="0.3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2.75" customHeight="1" x14ac:dyDescent="0.3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2.75" customHeight="1" x14ac:dyDescent="0.3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2.75" customHeight="1" x14ac:dyDescent="0.3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2.75" customHeight="1" x14ac:dyDescent="0.3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2.75" customHeight="1" x14ac:dyDescent="0.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2.75" customHeight="1" x14ac:dyDescent="0.3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2.75" customHeight="1" x14ac:dyDescent="0.3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2.75" customHeight="1" x14ac:dyDescent="0.3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2.75" customHeight="1" x14ac:dyDescent="0.3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2.75" customHeight="1" x14ac:dyDescent="0.3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2.75" customHeight="1" x14ac:dyDescent="0.3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2.75" customHeight="1" x14ac:dyDescent="0.3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2.75" customHeight="1" x14ac:dyDescent="0.3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2.75" customHeight="1" x14ac:dyDescent="0.3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2.75" customHeight="1" x14ac:dyDescent="0.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2.75" customHeight="1" x14ac:dyDescent="0.3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2.75" customHeight="1" x14ac:dyDescent="0.3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2.75" customHeight="1" x14ac:dyDescent="0.3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2.75" customHeight="1" x14ac:dyDescent="0.3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2.75" customHeight="1" x14ac:dyDescent="0.3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2.75" customHeight="1" x14ac:dyDescent="0.3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2.75" customHeight="1" x14ac:dyDescent="0.3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2.75" customHeight="1" x14ac:dyDescent="0.3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2.75" customHeight="1" x14ac:dyDescent="0.3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2.75" customHeight="1" x14ac:dyDescent="0.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2.75" customHeight="1" x14ac:dyDescent="0.3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2.75" customHeight="1" x14ac:dyDescent="0.3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2.75" customHeight="1" x14ac:dyDescent="0.3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2.75" customHeight="1" x14ac:dyDescent="0.3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2.75" customHeight="1" x14ac:dyDescent="0.3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2.75" customHeight="1" x14ac:dyDescent="0.3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2.75" customHeight="1" x14ac:dyDescent="0.3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2.75" customHeight="1" x14ac:dyDescent="0.3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2.75" customHeight="1" x14ac:dyDescent="0.3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2.75" customHeight="1" x14ac:dyDescent="0.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2.75" customHeight="1" x14ac:dyDescent="0.3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2.75" customHeight="1" x14ac:dyDescent="0.3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2.75" customHeight="1" x14ac:dyDescent="0.3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2.75" customHeight="1" x14ac:dyDescent="0.3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2.75" customHeight="1" x14ac:dyDescent="0.3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2.75" customHeight="1" x14ac:dyDescent="0.3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2.75" customHeight="1" x14ac:dyDescent="0.3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2.75" customHeight="1" x14ac:dyDescent="0.3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2.75" customHeight="1" x14ac:dyDescent="0.3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2.75" customHeight="1" x14ac:dyDescent="0.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2.75" customHeight="1" x14ac:dyDescent="0.3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2.75" customHeight="1" x14ac:dyDescent="0.3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2.75" customHeight="1" x14ac:dyDescent="0.3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2.75" customHeight="1" x14ac:dyDescent="0.3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2.75" customHeight="1" x14ac:dyDescent="0.3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2.75" customHeight="1" x14ac:dyDescent="0.3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2.75" customHeight="1" x14ac:dyDescent="0.3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2.75" customHeight="1" x14ac:dyDescent="0.3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2.75" customHeight="1" x14ac:dyDescent="0.3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2.75" customHeight="1" x14ac:dyDescent="0.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2.75" customHeight="1" x14ac:dyDescent="0.3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2.75" customHeight="1" x14ac:dyDescent="0.3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2.75" customHeight="1" x14ac:dyDescent="0.3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2.75" customHeight="1" x14ac:dyDescent="0.3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2.75" customHeight="1" x14ac:dyDescent="0.3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2.75" customHeight="1" x14ac:dyDescent="0.3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2.75" customHeight="1" x14ac:dyDescent="0.3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2.75" customHeight="1" x14ac:dyDescent="0.3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2.75" customHeight="1" x14ac:dyDescent="0.3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2.75" customHeight="1" x14ac:dyDescent="0.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2.75" customHeight="1" x14ac:dyDescent="0.3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2.75" customHeight="1" x14ac:dyDescent="0.3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2.75" customHeight="1" x14ac:dyDescent="0.3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2.75" customHeight="1" x14ac:dyDescent="0.3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2.75" customHeight="1" x14ac:dyDescent="0.3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2.75" customHeight="1" x14ac:dyDescent="0.3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2.75" customHeight="1" x14ac:dyDescent="0.3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2.75" customHeight="1" x14ac:dyDescent="0.3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2.75" customHeight="1" x14ac:dyDescent="0.3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2.75" customHeight="1" x14ac:dyDescent="0.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2.75" customHeight="1" x14ac:dyDescent="0.3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2.75" customHeight="1" x14ac:dyDescent="0.3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2.75" customHeight="1" x14ac:dyDescent="0.3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2.75" customHeight="1" x14ac:dyDescent="0.3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2.75" customHeight="1" x14ac:dyDescent="0.3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2.75" customHeight="1" x14ac:dyDescent="0.3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2.75" customHeight="1" x14ac:dyDescent="0.3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2.75" customHeight="1" x14ac:dyDescent="0.3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2.75" customHeight="1" x14ac:dyDescent="0.3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2.75" customHeight="1" x14ac:dyDescent="0.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2.75" customHeight="1" x14ac:dyDescent="0.3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2.75" customHeight="1" x14ac:dyDescent="0.3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2.75" customHeight="1" x14ac:dyDescent="0.3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2.75" customHeight="1" x14ac:dyDescent="0.3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2.75" customHeight="1" x14ac:dyDescent="0.3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2.75" customHeight="1" x14ac:dyDescent="0.3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2.75" customHeight="1" x14ac:dyDescent="0.3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2.75" customHeight="1" x14ac:dyDescent="0.3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2.75" customHeight="1" x14ac:dyDescent="0.3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2.75" customHeight="1" x14ac:dyDescent="0.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2.75" customHeight="1" x14ac:dyDescent="0.3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2.75" customHeight="1" x14ac:dyDescent="0.3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2.75" customHeight="1" x14ac:dyDescent="0.3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2.75" customHeight="1" x14ac:dyDescent="0.3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2.75" customHeight="1" x14ac:dyDescent="0.3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2.75" customHeight="1" x14ac:dyDescent="0.3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2.75" customHeight="1" x14ac:dyDescent="0.3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2.75" customHeight="1" x14ac:dyDescent="0.3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2.75" customHeight="1" x14ac:dyDescent="0.3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2.75" customHeight="1" x14ac:dyDescent="0.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2.75" customHeight="1" x14ac:dyDescent="0.3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2.75" customHeight="1" x14ac:dyDescent="0.3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2.75" customHeight="1" x14ac:dyDescent="0.3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2.75" customHeight="1" x14ac:dyDescent="0.3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2.75" customHeight="1" x14ac:dyDescent="0.3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2.75" customHeight="1" x14ac:dyDescent="0.3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2.75" customHeight="1" x14ac:dyDescent="0.3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2.75" customHeight="1" x14ac:dyDescent="0.3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2.75" customHeight="1" x14ac:dyDescent="0.3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2.75" customHeight="1" x14ac:dyDescent="0.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2.75" customHeight="1" x14ac:dyDescent="0.3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2.75" customHeight="1" x14ac:dyDescent="0.3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2.75" customHeight="1" x14ac:dyDescent="0.3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2.75" customHeight="1" x14ac:dyDescent="0.3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2.75" customHeight="1" x14ac:dyDescent="0.3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2.75" customHeight="1" x14ac:dyDescent="0.3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2.75" customHeight="1" x14ac:dyDescent="0.3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2.75" customHeight="1" x14ac:dyDescent="0.3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2.75" customHeight="1" x14ac:dyDescent="0.3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2.75" customHeight="1" x14ac:dyDescent="0.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2.75" customHeight="1" x14ac:dyDescent="0.3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2.75" customHeight="1" x14ac:dyDescent="0.3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2.75" customHeight="1" x14ac:dyDescent="0.3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2.75" customHeight="1" x14ac:dyDescent="0.3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2.75" customHeight="1" x14ac:dyDescent="0.3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2.75" customHeight="1" x14ac:dyDescent="0.3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2.75" customHeight="1" x14ac:dyDescent="0.3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2.75" customHeight="1" x14ac:dyDescent="0.3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2.75" customHeight="1" x14ac:dyDescent="0.3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2.75" customHeight="1" x14ac:dyDescent="0.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2.75" customHeight="1" x14ac:dyDescent="0.3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2.75" customHeight="1" x14ac:dyDescent="0.3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2.75" customHeight="1" x14ac:dyDescent="0.3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2.75" customHeight="1" x14ac:dyDescent="0.3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2.75" customHeight="1" x14ac:dyDescent="0.3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2.75" customHeight="1" x14ac:dyDescent="0.3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2.75" customHeight="1" x14ac:dyDescent="0.3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2.75" customHeight="1" x14ac:dyDescent="0.3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2.75" customHeight="1" x14ac:dyDescent="0.3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2.75" customHeight="1" x14ac:dyDescent="0.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2.75" customHeight="1" x14ac:dyDescent="0.3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2.75" customHeight="1" x14ac:dyDescent="0.3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2.75" customHeight="1" x14ac:dyDescent="0.3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2.75" customHeight="1" x14ac:dyDescent="0.3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2.75" customHeight="1" x14ac:dyDescent="0.3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2.75" customHeight="1" x14ac:dyDescent="0.3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2.75" customHeight="1" x14ac:dyDescent="0.3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2.75" customHeight="1" x14ac:dyDescent="0.3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2.75" customHeight="1" x14ac:dyDescent="0.3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2.75" customHeight="1" x14ac:dyDescent="0.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2.75" customHeight="1" x14ac:dyDescent="0.3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2.75" customHeight="1" x14ac:dyDescent="0.3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2.75" customHeight="1" x14ac:dyDescent="0.3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2.75" customHeight="1" x14ac:dyDescent="0.3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2.75" customHeight="1" x14ac:dyDescent="0.3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2.75" customHeight="1" x14ac:dyDescent="0.3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2.75" customHeight="1" x14ac:dyDescent="0.3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2.75" customHeight="1" x14ac:dyDescent="0.3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2.75" customHeight="1" x14ac:dyDescent="0.3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2.75" customHeight="1" x14ac:dyDescent="0.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2.75" customHeight="1" x14ac:dyDescent="0.3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2.75" customHeight="1" x14ac:dyDescent="0.3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2.75" customHeight="1" x14ac:dyDescent="0.3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2.75" customHeight="1" x14ac:dyDescent="0.3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2.75" customHeight="1" x14ac:dyDescent="0.3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2.75" customHeight="1" x14ac:dyDescent="0.3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2.75" customHeight="1" x14ac:dyDescent="0.3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2.75" customHeight="1" x14ac:dyDescent="0.3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2.75" customHeight="1" x14ac:dyDescent="0.3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2.75" customHeight="1" x14ac:dyDescent="0.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2.75" customHeight="1" x14ac:dyDescent="0.3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2.75" customHeight="1" x14ac:dyDescent="0.3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2.75" customHeight="1" x14ac:dyDescent="0.3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2.75" customHeight="1" x14ac:dyDescent="0.3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2.75" customHeight="1" x14ac:dyDescent="0.3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2.75" customHeight="1" x14ac:dyDescent="0.3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2.75" customHeight="1" x14ac:dyDescent="0.3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2.75" customHeight="1" x14ac:dyDescent="0.3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2.75" customHeight="1" x14ac:dyDescent="0.3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2.75" customHeight="1" x14ac:dyDescent="0.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2.75" customHeight="1" x14ac:dyDescent="0.3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2.75" customHeight="1" x14ac:dyDescent="0.3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2.75" customHeight="1" x14ac:dyDescent="0.3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2.75" customHeight="1" x14ac:dyDescent="0.3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2.75" customHeight="1" x14ac:dyDescent="0.3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2.75" customHeight="1" x14ac:dyDescent="0.3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2.75" customHeight="1" x14ac:dyDescent="0.3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2.75" customHeight="1" x14ac:dyDescent="0.3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2.75" customHeight="1" x14ac:dyDescent="0.3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2.75" customHeight="1" x14ac:dyDescent="0.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2.75" customHeight="1" x14ac:dyDescent="0.3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2.75" customHeight="1" x14ac:dyDescent="0.3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2.75" customHeight="1" x14ac:dyDescent="0.3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2.75" customHeight="1" x14ac:dyDescent="0.3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2.75" customHeight="1" x14ac:dyDescent="0.3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2.75" customHeight="1" x14ac:dyDescent="0.3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2.75" customHeight="1" x14ac:dyDescent="0.3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2.75" customHeight="1" x14ac:dyDescent="0.3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2.75" customHeight="1" x14ac:dyDescent="0.3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2.75" customHeight="1" x14ac:dyDescent="0.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2.75" customHeight="1" x14ac:dyDescent="0.3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2.75" customHeight="1" x14ac:dyDescent="0.3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2.75" customHeight="1" x14ac:dyDescent="0.3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2.75" customHeight="1" x14ac:dyDescent="0.3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2.75" customHeight="1" x14ac:dyDescent="0.3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2.75" customHeight="1" x14ac:dyDescent="0.3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2.75" customHeight="1" x14ac:dyDescent="0.3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2.75" customHeight="1" x14ac:dyDescent="0.3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2.75" customHeight="1" x14ac:dyDescent="0.3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2.75" customHeight="1" x14ac:dyDescent="0.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2.75" customHeight="1" x14ac:dyDescent="0.3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2.75" customHeight="1" x14ac:dyDescent="0.3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2.75" customHeight="1" x14ac:dyDescent="0.3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2.75" customHeight="1" x14ac:dyDescent="0.3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2.75" customHeight="1" x14ac:dyDescent="0.3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2.75" customHeight="1" x14ac:dyDescent="0.3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2.75" customHeight="1" x14ac:dyDescent="0.3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2.75" customHeight="1" x14ac:dyDescent="0.3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2.75" customHeight="1" x14ac:dyDescent="0.3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2.75" customHeight="1" x14ac:dyDescent="0.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2.75" customHeight="1" x14ac:dyDescent="0.3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2.75" customHeight="1" x14ac:dyDescent="0.3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2.75" customHeight="1" x14ac:dyDescent="0.3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2.75" customHeight="1" x14ac:dyDescent="0.3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2.75" customHeight="1" x14ac:dyDescent="0.3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2.75" customHeight="1" x14ac:dyDescent="0.3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2.75" customHeight="1" x14ac:dyDescent="0.3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2.75" customHeight="1" x14ac:dyDescent="0.3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2.75" customHeight="1" x14ac:dyDescent="0.3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2.75" customHeight="1" x14ac:dyDescent="0.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2.75" customHeight="1" x14ac:dyDescent="0.3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2.75" customHeight="1" x14ac:dyDescent="0.3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2.75" customHeight="1" x14ac:dyDescent="0.3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2.75" customHeight="1" x14ac:dyDescent="0.3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2.75" customHeight="1" x14ac:dyDescent="0.3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2.75" customHeight="1" x14ac:dyDescent="0.3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2.75" customHeight="1" x14ac:dyDescent="0.3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2.75" customHeight="1" x14ac:dyDescent="0.3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2.75" customHeight="1" x14ac:dyDescent="0.3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2.75" customHeight="1" x14ac:dyDescent="0.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2.75" customHeight="1" x14ac:dyDescent="0.3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2.75" customHeight="1" x14ac:dyDescent="0.3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2.75" customHeight="1" x14ac:dyDescent="0.3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2.75" customHeight="1" x14ac:dyDescent="0.3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2.75" customHeight="1" x14ac:dyDescent="0.3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2.75" customHeight="1" x14ac:dyDescent="0.3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2.75" customHeight="1" x14ac:dyDescent="0.3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2.75" customHeight="1" x14ac:dyDescent="0.3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2.75" customHeight="1" x14ac:dyDescent="0.3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2.75" customHeight="1" x14ac:dyDescent="0.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2.75" customHeight="1" x14ac:dyDescent="0.3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2.75" customHeight="1" x14ac:dyDescent="0.3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2.75" customHeight="1" x14ac:dyDescent="0.3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2.75" customHeight="1" x14ac:dyDescent="0.3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2.75" customHeight="1" x14ac:dyDescent="0.3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2.75" customHeight="1" x14ac:dyDescent="0.3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2.75" customHeight="1" x14ac:dyDescent="0.3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2.75" customHeight="1" x14ac:dyDescent="0.3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2.75" customHeight="1" x14ac:dyDescent="0.3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2.75" customHeight="1" x14ac:dyDescent="0.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2.75" customHeight="1" x14ac:dyDescent="0.3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2.75" customHeight="1" x14ac:dyDescent="0.3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2.75" customHeight="1" x14ac:dyDescent="0.3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2.75" customHeight="1" x14ac:dyDescent="0.3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2.75" customHeight="1" x14ac:dyDescent="0.3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2.75" customHeight="1" x14ac:dyDescent="0.3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2.75" customHeight="1" x14ac:dyDescent="0.3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2.75" customHeight="1" x14ac:dyDescent="0.3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2.75" customHeight="1" x14ac:dyDescent="0.3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2.75" customHeight="1" x14ac:dyDescent="0.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2.75" customHeight="1" x14ac:dyDescent="0.3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2.75" customHeight="1" x14ac:dyDescent="0.3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2.75" customHeight="1" x14ac:dyDescent="0.3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2.75" customHeight="1" x14ac:dyDescent="0.3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2.75" customHeight="1" x14ac:dyDescent="0.3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2.75" customHeight="1" x14ac:dyDescent="0.3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2.75" customHeight="1" x14ac:dyDescent="0.3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2.75" customHeight="1" x14ac:dyDescent="0.3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2.75" customHeight="1" x14ac:dyDescent="0.3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2.75" customHeight="1" x14ac:dyDescent="0.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2.75" customHeight="1" x14ac:dyDescent="0.3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2.75" customHeight="1" x14ac:dyDescent="0.3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2.75" customHeight="1" x14ac:dyDescent="0.3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2.75" customHeight="1" x14ac:dyDescent="0.3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2.75" customHeight="1" x14ac:dyDescent="0.3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2.75" customHeight="1" x14ac:dyDescent="0.3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2.75" customHeight="1" x14ac:dyDescent="0.3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2.75" customHeight="1" x14ac:dyDescent="0.3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2.75" customHeight="1" x14ac:dyDescent="0.3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2.75" customHeight="1" x14ac:dyDescent="0.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2.75" customHeight="1" x14ac:dyDescent="0.3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2.75" customHeight="1" x14ac:dyDescent="0.3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2.75" customHeight="1" x14ac:dyDescent="0.3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2.75" customHeight="1" x14ac:dyDescent="0.3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2.75" customHeight="1" x14ac:dyDescent="0.3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2.75" customHeight="1" x14ac:dyDescent="0.3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2.75" customHeight="1" x14ac:dyDescent="0.3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2.75" customHeight="1" x14ac:dyDescent="0.3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2.75" customHeight="1" x14ac:dyDescent="0.3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2.75" customHeight="1" x14ac:dyDescent="0.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2.75" customHeight="1" x14ac:dyDescent="0.3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2.75" customHeight="1" x14ac:dyDescent="0.3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2.75" customHeight="1" x14ac:dyDescent="0.3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2.75" customHeight="1" x14ac:dyDescent="0.3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2.75" customHeight="1" x14ac:dyDescent="0.3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2.75" customHeight="1" x14ac:dyDescent="0.3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2.75" customHeight="1" x14ac:dyDescent="0.3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2.75" customHeight="1" x14ac:dyDescent="0.3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2.75" customHeight="1" x14ac:dyDescent="0.3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2.75" customHeight="1" x14ac:dyDescent="0.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2.75" customHeight="1" x14ac:dyDescent="0.3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2.75" customHeight="1" x14ac:dyDescent="0.3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2.75" customHeight="1" x14ac:dyDescent="0.3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2.75" customHeight="1" x14ac:dyDescent="0.3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2.75" customHeight="1" x14ac:dyDescent="0.3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2.75" customHeight="1" x14ac:dyDescent="0.3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2.75" customHeight="1" x14ac:dyDescent="0.3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2.75" customHeight="1" x14ac:dyDescent="0.3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2.75" customHeight="1" x14ac:dyDescent="0.3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2.75" customHeight="1" x14ac:dyDescent="0.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2.75" customHeight="1" x14ac:dyDescent="0.3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2.75" customHeight="1" x14ac:dyDescent="0.3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2.75" customHeight="1" x14ac:dyDescent="0.3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2.75" customHeight="1" x14ac:dyDescent="0.3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2.75" customHeight="1" x14ac:dyDescent="0.3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2.75" customHeight="1" x14ac:dyDescent="0.3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2.75" customHeight="1" x14ac:dyDescent="0.3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2.75" customHeight="1" x14ac:dyDescent="0.3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2.75" customHeight="1" x14ac:dyDescent="0.3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2.75" customHeight="1" x14ac:dyDescent="0.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2.75" customHeight="1" x14ac:dyDescent="0.3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2.75" customHeight="1" x14ac:dyDescent="0.3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2.75" customHeight="1" x14ac:dyDescent="0.3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2.75" customHeight="1" x14ac:dyDescent="0.3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2.75" customHeight="1" x14ac:dyDescent="0.3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2.75" customHeight="1" x14ac:dyDescent="0.3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2.75" customHeight="1" x14ac:dyDescent="0.3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2.75" customHeight="1" x14ac:dyDescent="0.3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2.75" customHeight="1" x14ac:dyDescent="0.3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2.75" customHeight="1" x14ac:dyDescent="0.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2.75" customHeight="1" x14ac:dyDescent="0.3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2.75" customHeight="1" x14ac:dyDescent="0.3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2.75" customHeight="1" x14ac:dyDescent="0.3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2.75" customHeight="1" x14ac:dyDescent="0.3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2.75" customHeight="1" x14ac:dyDescent="0.3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2.75" customHeight="1" x14ac:dyDescent="0.3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2.75" customHeight="1" x14ac:dyDescent="0.3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2.75" customHeight="1" x14ac:dyDescent="0.3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2.75" customHeight="1" x14ac:dyDescent="0.3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2.75" customHeight="1" x14ac:dyDescent="0.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2.75" customHeight="1" x14ac:dyDescent="0.3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2.75" customHeight="1" x14ac:dyDescent="0.3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2.75" customHeight="1" x14ac:dyDescent="0.3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2.75" customHeight="1" x14ac:dyDescent="0.3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2.75" customHeight="1" x14ac:dyDescent="0.3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2.75" customHeight="1" x14ac:dyDescent="0.3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2.75" customHeight="1" x14ac:dyDescent="0.3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2.75" customHeight="1" x14ac:dyDescent="0.3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2.75" customHeight="1" x14ac:dyDescent="0.3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2.75" customHeight="1" x14ac:dyDescent="0.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2.75" customHeight="1" x14ac:dyDescent="0.3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2.75" customHeight="1" x14ac:dyDescent="0.3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2.75" customHeight="1" x14ac:dyDescent="0.3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2.75" customHeight="1" x14ac:dyDescent="0.3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2.75" customHeight="1" x14ac:dyDescent="0.3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2.75" customHeight="1" x14ac:dyDescent="0.3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2.75" customHeight="1" x14ac:dyDescent="0.3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2.75" customHeight="1" x14ac:dyDescent="0.3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2.75" customHeight="1" x14ac:dyDescent="0.3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2.75" customHeight="1" x14ac:dyDescent="0.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2.75" customHeight="1" x14ac:dyDescent="0.3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2.75" customHeight="1" x14ac:dyDescent="0.3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2.75" customHeight="1" x14ac:dyDescent="0.3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2.75" customHeight="1" x14ac:dyDescent="0.3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2.75" customHeight="1" x14ac:dyDescent="0.3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2.75" customHeight="1" x14ac:dyDescent="0.3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2.75" customHeight="1" x14ac:dyDescent="0.3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2.75" customHeight="1" x14ac:dyDescent="0.3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2.75" customHeight="1" x14ac:dyDescent="0.3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2.75" customHeight="1" x14ac:dyDescent="0.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2.75" customHeight="1" x14ac:dyDescent="0.3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2.75" customHeight="1" x14ac:dyDescent="0.3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2.75" customHeight="1" x14ac:dyDescent="0.3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2.75" customHeight="1" x14ac:dyDescent="0.3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2.75" customHeight="1" x14ac:dyDescent="0.3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2.75" customHeight="1" x14ac:dyDescent="0.3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2.75" customHeight="1" x14ac:dyDescent="0.3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2.75" customHeight="1" x14ac:dyDescent="0.3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2.75" customHeight="1" x14ac:dyDescent="0.3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2.75" customHeight="1" x14ac:dyDescent="0.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2.75" customHeight="1" x14ac:dyDescent="0.3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2.75" customHeight="1" x14ac:dyDescent="0.3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2.75" customHeight="1" x14ac:dyDescent="0.3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2.75" customHeight="1" x14ac:dyDescent="0.3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2.75" customHeight="1" x14ac:dyDescent="0.3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2.75" customHeight="1" x14ac:dyDescent="0.3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2.75" customHeight="1" x14ac:dyDescent="0.3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2.75" customHeight="1" x14ac:dyDescent="0.3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2.75" customHeight="1" x14ac:dyDescent="0.3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2.75" customHeight="1" x14ac:dyDescent="0.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2.75" customHeight="1" x14ac:dyDescent="0.3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2.75" customHeight="1" x14ac:dyDescent="0.3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2.75" customHeight="1" x14ac:dyDescent="0.3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2.75" customHeight="1" x14ac:dyDescent="0.3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2.75" customHeight="1" x14ac:dyDescent="0.3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2.75" customHeight="1" x14ac:dyDescent="0.3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2.75" customHeight="1" x14ac:dyDescent="0.3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2.75" customHeight="1" x14ac:dyDescent="0.3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2.75" customHeight="1" x14ac:dyDescent="0.3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2.75" customHeight="1" x14ac:dyDescent="0.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2.75" customHeight="1" x14ac:dyDescent="0.3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2.75" customHeight="1" x14ac:dyDescent="0.3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2.75" customHeight="1" x14ac:dyDescent="0.3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2.75" customHeight="1" x14ac:dyDescent="0.3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2.75" customHeight="1" x14ac:dyDescent="0.3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2.75" customHeight="1" x14ac:dyDescent="0.3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2.75" customHeight="1" x14ac:dyDescent="0.3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2.75" customHeight="1" x14ac:dyDescent="0.3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2.75" customHeight="1" x14ac:dyDescent="0.3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2.75" customHeight="1" x14ac:dyDescent="0.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2.75" customHeight="1" x14ac:dyDescent="0.3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2.75" customHeight="1" x14ac:dyDescent="0.3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2.75" customHeight="1" x14ac:dyDescent="0.3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2.75" customHeight="1" x14ac:dyDescent="0.3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2.75" customHeight="1" x14ac:dyDescent="0.3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2.75" customHeight="1" x14ac:dyDescent="0.3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2.75" customHeight="1" x14ac:dyDescent="0.3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2.75" customHeight="1" x14ac:dyDescent="0.3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2.75" customHeight="1" x14ac:dyDescent="0.3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2.75" customHeight="1" x14ac:dyDescent="0.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2.75" customHeight="1" x14ac:dyDescent="0.3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2.75" customHeight="1" x14ac:dyDescent="0.3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2.75" customHeight="1" x14ac:dyDescent="0.3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2.75" customHeight="1" x14ac:dyDescent="0.3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2.75" customHeight="1" x14ac:dyDescent="0.3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2.75" customHeight="1" x14ac:dyDescent="0.3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2.75" customHeight="1" x14ac:dyDescent="0.3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2.75" customHeight="1" x14ac:dyDescent="0.3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2.75" customHeight="1" x14ac:dyDescent="0.3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2.75" customHeight="1" x14ac:dyDescent="0.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2.75" customHeight="1" x14ac:dyDescent="0.3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2.75" customHeight="1" x14ac:dyDescent="0.3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2.75" customHeight="1" x14ac:dyDescent="0.3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2.75" customHeight="1" x14ac:dyDescent="0.3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2.75" customHeight="1" x14ac:dyDescent="0.3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2.75" customHeight="1" x14ac:dyDescent="0.3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2.75" customHeight="1" x14ac:dyDescent="0.3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2.75" customHeight="1" x14ac:dyDescent="0.3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2.75" customHeight="1" x14ac:dyDescent="0.3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2.75" customHeight="1" x14ac:dyDescent="0.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2.75" customHeight="1" x14ac:dyDescent="0.3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2.75" customHeight="1" x14ac:dyDescent="0.3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2.75" customHeight="1" x14ac:dyDescent="0.3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2.75" customHeight="1" x14ac:dyDescent="0.3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2.75" customHeight="1" x14ac:dyDescent="0.3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2.75" customHeight="1" x14ac:dyDescent="0.3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2.75" customHeight="1" x14ac:dyDescent="0.3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2.75" customHeight="1" x14ac:dyDescent="0.3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2.75" customHeight="1" x14ac:dyDescent="0.3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2.75" customHeight="1" x14ac:dyDescent="0.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2.75" customHeight="1" x14ac:dyDescent="0.3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2.75" customHeight="1" x14ac:dyDescent="0.3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2.75" customHeight="1" x14ac:dyDescent="0.3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2.75" customHeight="1" x14ac:dyDescent="0.3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2.75" customHeight="1" x14ac:dyDescent="0.3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2.75" customHeight="1" x14ac:dyDescent="0.3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2.75" customHeight="1" x14ac:dyDescent="0.3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2.75" customHeight="1" x14ac:dyDescent="0.3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2.75" customHeight="1" x14ac:dyDescent="0.3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2.75" customHeight="1" x14ac:dyDescent="0.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2.75" customHeight="1" x14ac:dyDescent="0.3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2.75" customHeight="1" x14ac:dyDescent="0.3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2.75" customHeight="1" x14ac:dyDescent="0.3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2.75" customHeight="1" x14ac:dyDescent="0.3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2.75" customHeight="1" x14ac:dyDescent="0.3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2.75" customHeight="1" x14ac:dyDescent="0.3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2.75" customHeight="1" x14ac:dyDescent="0.3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2.75" customHeight="1" x14ac:dyDescent="0.3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2.75" customHeight="1" x14ac:dyDescent="0.3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2.75" customHeight="1" x14ac:dyDescent="0.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2.75" customHeight="1" x14ac:dyDescent="0.3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2.75" customHeight="1" x14ac:dyDescent="0.3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2.75" customHeight="1" x14ac:dyDescent="0.3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2.75" customHeight="1" x14ac:dyDescent="0.3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2.75" customHeight="1" x14ac:dyDescent="0.3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2.75" customHeight="1" x14ac:dyDescent="0.3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2.75" customHeight="1" x14ac:dyDescent="0.3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2.75" customHeight="1" x14ac:dyDescent="0.3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2.75" customHeight="1" x14ac:dyDescent="0.3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2.75" customHeight="1" x14ac:dyDescent="0.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2.75" customHeight="1" x14ac:dyDescent="0.3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2.75" customHeight="1" x14ac:dyDescent="0.3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2.75" customHeight="1" x14ac:dyDescent="0.3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2.75" customHeight="1" x14ac:dyDescent="0.3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2.75" customHeight="1" x14ac:dyDescent="0.3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2.75" customHeight="1" x14ac:dyDescent="0.3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2.75" customHeight="1" x14ac:dyDescent="0.3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2.75" customHeight="1" x14ac:dyDescent="0.3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2.75" customHeight="1" x14ac:dyDescent="0.3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2.75" customHeight="1" x14ac:dyDescent="0.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2.75" customHeight="1" x14ac:dyDescent="0.3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2.75" customHeight="1" x14ac:dyDescent="0.3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2.75" customHeight="1" x14ac:dyDescent="0.3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2.75" customHeight="1" x14ac:dyDescent="0.3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2.75" customHeight="1" x14ac:dyDescent="0.3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2.75" customHeight="1" x14ac:dyDescent="0.3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2.75" customHeight="1" x14ac:dyDescent="0.3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2.75" customHeight="1" x14ac:dyDescent="0.3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2.75" customHeight="1" x14ac:dyDescent="0.3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2.75" customHeight="1" x14ac:dyDescent="0.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2.75" customHeight="1" x14ac:dyDescent="0.3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2.75" customHeight="1" x14ac:dyDescent="0.3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2.75" customHeight="1" x14ac:dyDescent="0.3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2.75" customHeight="1" x14ac:dyDescent="0.3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2.75" customHeight="1" x14ac:dyDescent="0.3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2.75" customHeight="1" x14ac:dyDescent="0.3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2.75" customHeight="1" x14ac:dyDescent="0.3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2.75" customHeight="1" x14ac:dyDescent="0.3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2.75" customHeight="1" x14ac:dyDescent="0.3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2.75" customHeight="1" x14ac:dyDescent="0.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2.75" customHeight="1" x14ac:dyDescent="0.3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2.75" customHeight="1" x14ac:dyDescent="0.3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2.75" customHeight="1" x14ac:dyDescent="0.3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2.75" customHeight="1" x14ac:dyDescent="0.3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2.75" customHeight="1" x14ac:dyDescent="0.3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2.75" customHeight="1" x14ac:dyDescent="0.3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2.75" customHeight="1" x14ac:dyDescent="0.3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2.75" customHeight="1" x14ac:dyDescent="0.3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2.75" customHeight="1" x14ac:dyDescent="0.3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2.75" customHeight="1" x14ac:dyDescent="0.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2.75" customHeight="1" x14ac:dyDescent="0.3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2.75" customHeight="1" x14ac:dyDescent="0.3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2.75" customHeight="1" x14ac:dyDescent="0.3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2.75" customHeight="1" x14ac:dyDescent="0.3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2.75" customHeight="1" x14ac:dyDescent="0.3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2.75" customHeight="1" x14ac:dyDescent="0.3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2.75" customHeight="1" x14ac:dyDescent="0.3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2.75" customHeight="1" x14ac:dyDescent="0.3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2.75" customHeight="1" x14ac:dyDescent="0.3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2.75" customHeight="1" x14ac:dyDescent="0.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2.75" customHeight="1" x14ac:dyDescent="0.3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2.75" customHeight="1" x14ac:dyDescent="0.3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2.75" customHeight="1" x14ac:dyDescent="0.3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2.75" customHeight="1" x14ac:dyDescent="0.3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2.75" customHeight="1" x14ac:dyDescent="0.3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2.75" customHeight="1" x14ac:dyDescent="0.3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2.75" customHeight="1" x14ac:dyDescent="0.3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2.75" customHeight="1" x14ac:dyDescent="0.3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2.75" customHeight="1" x14ac:dyDescent="0.3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2.75" customHeight="1" x14ac:dyDescent="0.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2.75" customHeight="1" x14ac:dyDescent="0.3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2.75" customHeight="1" x14ac:dyDescent="0.3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2.75" customHeight="1" x14ac:dyDescent="0.3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2.75" customHeight="1" x14ac:dyDescent="0.3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2.75" customHeight="1" x14ac:dyDescent="0.3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2.75" customHeight="1" x14ac:dyDescent="0.3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2.75" customHeight="1" x14ac:dyDescent="0.3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2.75" customHeight="1" x14ac:dyDescent="0.3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2.75" customHeight="1" x14ac:dyDescent="0.3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2.75" customHeight="1" x14ac:dyDescent="0.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2.75" customHeight="1" x14ac:dyDescent="0.3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2.75" customHeight="1" x14ac:dyDescent="0.3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2.75" customHeight="1" x14ac:dyDescent="0.3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2.75" customHeight="1" x14ac:dyDescent="0.3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2.75" customHeight="1" x14ac:dyDescent="0.3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2.75" customHeight="1" x14ac:dyDescent="0.3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2.75" customHeight="1" x14ac:dyDescent="0.3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2.75" customHeight="1" x14ac:dyDescent="0.3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2.75" customHeight="1" x14ac:dyDescent="0.3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2.75" customHeight="1" x14ac:dyDescent="0.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2.75" customHeight="1" x14ac:dyDescent="0.3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2.75" customHeight="1" x14ac:dyDescent="0.3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2.75" customHeight="1" x14ac:dyDescent="0.3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2.75" customHeight="1" x14ac:dyDescent="0.3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2.75" customHeight="1" x14ac:dyDescent="0.3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2.75" customHeight="1" x14ac:dyDescent="0.3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2.75" customHeight="1" x14ac:dyDescent="0.3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2.75" customHeight="1" x14ac:dyDescent="0.3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2.75" customHeight="1" x14ac:dyDescent="0.3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2.75" customHeight="1" x14ac:dyDescent="0.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2.75" customHeight="1" x14ac:dyDescent="0.3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2.75" customHeight="1" x14ac:dyDescent="0.3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2.75" customHeight="1" x14ac:dyDescent="0.3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2.75" customHeight="1" x14ac:dyDescent="0.3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2.75" customHeight="1" x14ac:dyDescent="0.3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2.75" customHeight="1" x14ac:dyDescent="0.3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2.75" customHeight="1" x14ac:dyDescent="0.3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2.75" customHeight="1" x14ac:dyDescent="0.3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2.75" customHeight="1" x14ac:dyDescent="0.3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2.75" customHeight="1" x14ac:dyDescent="0.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2.75" customHeight="1" x14ac:dyDescent="0.3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2.75" customHeight="1" x14ac:dyDescent="0.3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2.75" customHeight="1" x14ac:dyDescent="0.3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2.75" customHeight="1" x14ac:dyDescent="0.3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2.75" customHeight="1" x14ac:dyDescent="0.3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2.75" customHeight="1" x14ac:dyDescent="0.3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2.75" customHeight="1" x14ac:dyDescent="0.3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2.75" customHeight="1" x14ac:dyDescent="0.3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2.75" customHeight="1" x14ac:dyDescent="0.3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2.75" customHeight="1" x14ac:dyDescent="0.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2.75" customHeight="1" x14ac:dyDescent="0.3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2.75" customHeight="1" x14ac:dyDescent="0.3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2.75" customHeight="1" x14ac:dyDescent="0.3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2.75" customHeight="1" x14ac:dyDescent="0.3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2.75" customHeight="1" x14ac:dyDescent="0.3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2.75" customHeight="1" x14ac:dyDescent="0.3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2.75" customHeight="1" x14ac:dyDescent="0.3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2.75" customHeight="1" x14ac:dyDescent="0.3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2.75" customHeight="1" x14ac:dyDescent="0.3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2.75" customHeight="1" x14ac:dyDescent="0.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2.75" customHeight="1" x14ac:dyDescent="0.3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2.75" customHeight="1" x14ac:dyDescent="0.3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2.75" customHeight="1" x14ac:dyDescent="0.3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2.75" customHeight="1" x14ac:dyDescent="0.3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2.75" customHeight="1" x14ac:dyDescent="0.3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2.75" customHeight="1" x14ac:dyDescent="0.3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2.75" customHeight="1" x14ac:dyDescent="0.3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2.75" customHeight="1" x14ac:dyDescent="0.3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2.75" customHeight="1" x14ac:dyDescent="0.3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2.75" customHeight="1" x14ac:dyDescent="0.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2.75" customHeight="1" x14ac:dyDescent="0.3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2.75" customHeight="1" x14ac:dyDescent="0.3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2.75" customHeight="1" x14ac:dyDescent="0.3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2.75" customHeight="1" x14ac:dyDescent="0.3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2.75" customHeight="1" x14ac:dyDescent="0.3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2.75" customHeight="1" x14ac:dyDescent="0.3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2.75" customHeight="1" x14ac:dyDescent="0.3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2.75" customHeight="1" x14ac:dyDescent="0.3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2.75" customHeight="1" x14ac:dyDescent="0.3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2.75" customHeight="1" x14ac:dyDescent="0.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2.75" customHeight="1" x14ac:dyDescent="0.3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2.75" customHeight="1" x14ac:dyDescent="0.3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2.75" customHeight="1" x14ac:dyDescent="0.3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2.75" customHeight="1" x14ac:dyDescent="0.3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2.75" customHeight="1" x14ac:dyDescent="0.3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2.75" customHeight="1" x14ac:dyDescent="0.3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2.75" customHeight="1" x14ac:dyDescent="0.3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2.75" customHeight="1" x14ac:dyDescent="0.3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2.75" customHeight="1" x14ac:dyDescent="0.3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2.75" customHeight="1" x14ac:dyDescent="0.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2.75" customHeight="1" x14ac:dyDescent="0.3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2.75" customHeight="1" x14ac:dyDescent="0.3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2.75" customHeight="1" x14ac:dyDescent="0.3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2.75" customHeight="1" x14ac:dyDescent="0.3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2.75" customHeight="1" x14ac:dyDescent="0.3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2.75" customHeight="1" x14ac:dyDescent="0.3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2.75" customHeight="1" x14ac:dyDescent="0.3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2.75" customHeight="1" x14ac:dyDescent="0.3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2.75" customHeight="1" x14ac:dyDescent="0.3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2.75" customHeight="1" x14ac:dyDescent="0.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2.75" customHeight="1" x14ac:dyDescent="0.3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2.75" customHeight="1" x14ac:dyDescent="0.3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2.75" customHeight="1" x14ac:dyDescent="0.3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2.75" customHeight="1" x14ac:dyDescent="0.3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2.75" customHeight="1" x14ac:dyDescent="0.3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2.75" customHeight="1" x14ac:dyDescent="0.3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2.75" customHeight="1" x14ac:dyDescent="0.3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2.75" customHeight="1" x14ac:dyDescent="0.3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2.75" customHeight="1" x14ac:dyDescent="0.3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2.75" customHeight="1" x14ac:dyDescent="0.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2.75" customHeight="1" x14ac:dyDescent="0.3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2.75" customHeight="1" x14ac:dyDescent="0.3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2.75" customHeight="1" x14ac:dyDescent="0.3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2.75" customHeight="1" x14ac:dyDescent="0.3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2.75" customHeight="1" x14ac:dyDescent="0.3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2.75" customHeight="1" x14ac:dyDescent="0.3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2.75" customHeight="1" x14ac:dyDescent="0.3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2.75" customHeight="1" x14ac:dyDescent="0.3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2.75" customHeight="1" x14ac:dyDescent="0.3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2.75" customHeight="1" x14ac:dyDescent="0.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2.75" customHeight="1" x14ac:dyDescent="0.3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2.75" customHeight="1" x14ac:dyDescent="0.3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2.75" customHeight="1" x14ac:dyDescent="0.3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2.75" customHeight="1" x14ac:dyDescent="0.3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2.75" customHeight="1" x14ac:dyDescent="0.3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2.75" customHeight="1" x14ac:dyDescent="0.3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2.75" customHeight="1" x14ac:dyDescent="0.3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2.75" customHeight="1" x14ac:dyDescent="0.3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2.75" customHeight="1" x14ac:dyDescent="0.3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2.75" customHeight="1" x14ac:dyDescent="0.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2.75" customHeight="1" x14ac:dyDescent="0.3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2.75" customHeight="1" x14ac:dyDescent="0.3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2.75" customHeight="1" x14ac:dyDescent="0.3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2.75" customHeight="1" x14ac:dyDescent="0.3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2.75" customHeight="1" x14ac:dyDescent="0.3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2.75" customHeight="1" x14ac:dyDescent="0.3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2.75" customHeight="1" x14ac:dyDescent="0.3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2.75" customHeight="1" x14ac:dyDescent="0.3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2.75" customHeight="1" x14ac:dyDescent="0.3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2.75" customHeight="1" x14ac:dyDescent="0.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2.75" customHeight="1" x14ac:dyDescent="0.3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2.75" customHeight="1" x14ac:dyDescent="0.3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2.75" customHeight="1" x14ac:dyDescent="0.3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2.75" customHeight="1" x14ac:dyDescent="0.3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2.75" customHeight="1" x14ac:dyDescent="0.3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2.75" customHeight="1" x14ac:dyDescent="0.3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2.75" customHeight="1" x14ac:dyDescent="0.3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2.75" customHeight="1" x14ac:dyDescent="0.3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2.75" customHeight="1" x14ac:dyDescent="0.3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2.75" customHeight="1" x14ac:dyDescent="0.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2.75" customHeight="1" x14ac:dyDescent="0.3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2.75" customHeight="1" x14ac:dyDescent="0.3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2.75" customHeight="1" x14ac:dyDescent="0.3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2.75" customHeight="1" x14ac:dyDescent="0.3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2.75" customHeight="1" x14ac:dyDescent="0.3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2.75" customHeight="1" x14ac:dyDescent="0.3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2.75" customHeight="1" x14ac:dyDescent="0.3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2.75" customHeight="1" x14ac:dyDescent="0.3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2.75" customHeight="1" x14ac:dyDescent="0.3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2.75" customHeight="1" x14ac:dyDescent="0.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2.75" customHeight="1" x14ac:dyDescent="0.3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2.75" customHeight="1" x14ac:dyDescent="0.3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2.75" customHeight="1" x14ac:dyDescent="0.3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2.75" customHeight="1" x14ac:dyDescent="0.3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2.75" customHeight="1" x14ac:dyDescent="0.3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2.75" customHeight="1" x14ac:dyDescent="0.3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2.75" customHeight="1" x14ac:dyDescent="0.3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2.75" customHeight="1" x14ac:dyDescent="0.3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2.75" customHeight="1" x14ac:dyDescent="0.3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2.75" customHeight="1" x14ac:dyDescent="0.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2.75" customHeight="1" x14ac:dyDescent="0.3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2.75" customHeight="1" x14ac:dyDescent="0.3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2.75" customHeight="1" x14ac:dyDescent="0.3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2.75" customHeight="1" x14ac:dyDescent="0.3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2.75" customHeight="1" x14ac:dyDescent="0.3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2.75" customHeight="1" x14ac:dyDescent="0.3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2.75" customHeight="1" x14ac:dyDescent="0.3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2.75" customHeight="1" x14ac:dyDescent="0.3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2.75" customHeight="1" x14ac:dyDescent="0.3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2.75" customHeight="1" x14ac:dyDescent="0.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2.75" customHeight="1" x14ac:dyDescent="0.3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2.75" customHeight="1" x14ac:dyDescent="0.3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2.75" customHeight="1" x14ac:dyDescent="0.3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2.75" customHeight="1" x14ac:dyDescent="0.3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2.75" customHeight="1" x14ac:dyDescent="0.3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2.75" customHeight="1" x14ac:dyDescent="0.3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2.75" customHeight="1" x14ac:dyDescent="0.3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2.75" customHeight="1" x14ac:dyDescent="0.3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2.75" customHeight="1" x14ac:dyDescent="0.3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2.75" customHeight="1" x14ac:dyDescent="0.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2.75" customHeight="1" x14ac:dyDescent="0.3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2.75" customHeight="1" x14ac:dyDescent="0.3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2.75" customHeight="1" x14ac:dyDescent="0.3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2.75" customHeight="1" x14ac:dyDescent="0.3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2.75" customHeight="1" x14ac:dyDescent="0.3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2.75" customHeight="1" x14ac:dyDescent="0.3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2.75" customHeight="1" x14ac:dyDescent="0.3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2.75" customHeight="1" x14ac:dyDescent="0.3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2.75" customHeight="1" x14ac:dyDescent="0.3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2.75" customHeight="1" x14ac:dyDescent="0.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2.75" customHeight="1" x14ac:dyDescent="0.3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2.75" customHeight="1" x14ac:dyDescent="0.3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2.75" customHeight="1" x14ac:dyDescent="0.3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2.75" customHeight="1" x14ac:dyDescent="0.3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2.75" customHeight="1" x14ac:dyDescent="0.3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2.75" customHeight="1" x14ac:dyDescent="0.3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2.75" customHeight="1" x14ac:dyDescent="0.3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2.75" customHeight="1" x14ac:dyDescent="0.3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2.75" customHeight="1" x14ac:dyDescent="0.3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2.75" customHeight="1" x14ac:dyDescent="0.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2.75" customHeight="1" x14ac:dyDescent="0.3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2.75" customHeight="1" x14ac:dyDescent="0.3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2.75" customHeight="1" x14ac:dyDescent="0.3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2.75" customHeight="1" x14ac:dyDescent="0.3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2.75" customHeight="1" x14ac:dyDescent="0.3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2.75" customHeight="1" x14ac:dyDescent="0.3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2.75" customHeight="1" x14ac:dyDescent="0.3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2.75" customHeight="1" x14ac:dyDescent="0.3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2.75" customHeight="1" x14ac:dyDescent="0.3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2.75" customHeight="1" x14ac:dyDescent="0.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2.75" customHeight="1" x14ac:dyDescent="0.3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2.75" customHeight="1" x14ac:dyDescent="0.3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2.75" customHeight="1" x14ac:dyDescent="0.3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2.75" customHeight="1" x14ac:dyDescent="0.3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2.75" customHeight="1" x14ac:dyDescent="0.3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2.75" customHeight="1" x14ac:dyDescent="0.3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2.75" customHeight="1" x14ac:dyDescent="0.3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2.75" customHeight="1" x14ac:dyDescent="0.3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2.75" customHeight="1" x14ac:dyDescent="0.3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2.75" customHeight="1" x14ac:dyDescent="0.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2.75" customHeight="1" x14ac:dyDescent="0.3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2.75" customHeight="1" x14ac:dyDescent="0.3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2.75" customHeight="1" x14ac:dyDescent="0.3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2.75" customHeight="1" x14ac:dyDescent="0.3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2.75" customHeight="1" x14ac:dyDescent="0.3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2.75" customHeight="1" x14ac:dyDescent="0.3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2.75" customHeight="1" x14ac:dyDescent="0.3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2.75" customHeight="1" x14ac:dyDescent="0.3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2.75" customHeight="1" x14ac:dyDescent="0.3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2.75" customHeight="1" x14ac:dyDescent="0.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2.75" customHeight="1" x14ac:dyDescent="0.3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2.75" customHeight="1" x14ac:dyDescent="0.3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2.75" customHeight="1" x14ac:dyDescent="0.3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2.75" customHeight="1" x14ac:dyDescent="0.3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2.75" customHeight="1" x14ac:dyDescent="0.3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2.75" customHeight="1" x14ac:dyDescent="0.3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2.75" customHeight="1" x14ac:dyDescent="0.3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2.75" customHeight="1" x14ac:dyDescent="0.3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2.75" customHeight="1" x14ac:dyDescent="0.3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2.75" customHeight="1" x14ac:dyDescent="0.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2.75" customHeight="1" x14ac:dyDescent="0.3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2.75" customHeight="1" x14ac:dyDescent="0.3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2.75" customHeight="1" x14ac:dyDescent="0.3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12.75" customHeight="1" x14ac:dyDescent="0.3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12.75" customHeight="1" x14ac:dyDescent="0.3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12.75" customHeight="1" x14ac:dyDescent="0.3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 ht="12.75" customHeight="1" x14ac:dyDescent="0.3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  <row r="1001" spans="1:26" ht="12.75" customHeight="1" x14ac:dyDescent="0.3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</row>
    <row r="1002" spans="1:26" ht="12.75" customHeight="1" x14ac:dyDescent="0.3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</row>
  </sheetData>
  <conditionalFormatting sqref="C4:F25">
    <cfRule type="cellIs" dxfId="14" priority="1" operator="equal">
      <formula>"N/A"</formula>
    </cfRule>
  </conditionalFormatting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90D564-64C9-4526-93F1-8B482DBE18B4}">
          <x14:formula1>
            <xm:f>Tabela!$N$2:$N$124</xm:f>
          </x14:formula1>
          <xm:sqref>A4:A25</xm:sqref>
        </x14:dataValidation>
        <x14:dataValidation type="list" allowBlank="1" showInputMessage="1" showErrorMessage="1" xr:uid="{60C6E876-2736-41FF-8E3C-9FA861BD33A6}">
          <x14:formula1>
            <xm:f>Tabela!$A$2:$A$54</xm:f>
          </x14:formula1>
          <xm:sqref>B4:B25</xm:sqref>
        </x14:dataValidation>
        <x14:dataValidation type="list" allowBlank="1" showInputMessage="1" showErrorMessage="1" xr:uid="{05020AAF-A012-42C2-8431-C04903A31274}">
          <x14:formula1>
            <xm:f>Tabela!$C$2:$C$10</xm:f>
          </x14:formula1>
          <xm:sqref>R4:R25</xm:sqref>
        </x14:dataValidation>
        <x14:dataValidation type="list" allowBlank="1" showInputMessage="1" showErrorMessage="1" xr:uid="{4DF13803-52D8-45E6-B919-E40C86CF10E4}">
          <x14:formula1>
            <xm:f>Tabela!$E$2:$E$29</xm:f>
          </x14:formula1>
          <xm:sqref>S4:S25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D45A-73D5-48CB-8C23-E9353B6BF997}">
  <sheetPr codeName="Planilha12">
    <tabColor rgb="FFFF0000"/>
  </sheetPr>
  <dimension ref="A1:R124"/>
  <sheetViews>
    <sheetView topLeftCell="C1" workbookViewId="0">
      <selection activeCell="G24" sqref="G24:L24"/>
    </sheetView>
  </sheetViews>
  <sheetFormatPr defaultRowHeight="14.4" x14ac:dyDescent="0.3"/>
  <cols>
    <col min="1" max="1" width="41.5546875" customWidth="1"/>
    <col min="2" max="2" width="3.6640625" customWidth="1"/>
    <col min="3" max="3" width="21.77734375" bestFit="1" customWidth="1"/>
    <col min="4" max="4" width="7.88671875" customWidth="1"/>
    <col min="5" max="5" width="21.77734375" customWidth="1"/>
    <col min="6" max="6" width="4.109375" customWidth="1"/>
    <col min="7" max="7" width="7.5546875" bestFit="1" customWidth="1"/>
    <col min="8" max="8" width="52.109375" bestFit="1" customWidth="1"/>
    <col min="9" max="9" width="21.109375" bestFit="1" customWidth="1"/>
    <col min="10" max="10" width="12.109375" bestFit="1" customWidth="1"/>
    <col min="11" max="11" width="18.33203125" bestFit="1" customWidth="1"/>
    <col min="12" max="12" width="43.6640625" bestFit="1" customWidth="1"/>
    <col min="13" max="13" width="3.77734375" customWidth="1"/>
    <col min="14" max="14" width="21.77734375" customWidth="1"/>
    <col min="16" max="16" width="23.6640625" customWidth="1"/>
  </cols>
  <sheetData>
    <row r="1" spans="1:18" ht="15" thickBot="1" x14ac:dyDescent="0.35">
      <c r="A1" s="227" t="s">
        <v>90</v>
      </c>
      <c r="C1" t="s">
        <v>100</v>
      </c>
      <c r="D1" s="228"/>
      <c r="E1" s="228" t="s">
        <v>2741</v>
      </c>
      <c r="G1" t="s">
        <v>2742</v>
      </c>
      <c r="H1" t="s">
        <v>2743</v>
      </c>
      <c r="I1" t="s">
        <v>2744</v>
      </c>
      <c r="J1" t="s">
        <v>2745</v>
      </c>
      <c r="K1" t="s">
        <v>2746</v>
      </c>
      <c r="L1" t="s">
        <v>2747</v>
      </c>
      <c r="N1" s="229" t="s">
        <v>89</v>
      </c>
      <c r="O1" s="4" t="s">
        <v>91</v>
      </c>
      <c r="P1" s="4" t="s">
        <v>92</v>
      </c>
      <c r="Q1" s="4" t="s">
        <v>93</v>
      </c>
      <c r="R1" s="4" t="s">
        <v>94</v>
      </c>
    </row>
    <row r="2" spans="1:18" x14ac:dyDescent="0.3">
      <c r="A2" t="s">
        <v>2748</v>
      </c>
      <c r="C2" t="s">
        <v>103</v>
      </c>
      <c r="E2" t="s">
        <v>104</v>
      </c>
      <c r="G2" t="s">
        <v>23</v>
      </c>
      <c r="H2" t="s">
        <v>22</v>
      </c>
      <c r="I2" t="s">
        <v>104</v>
      </c>
      <c r="J2" t="s">
        <v>29</v>
      </c>
      <c r="K2" s="230">
        <v>0.9</v>
      </c>
      <c r="L2" t="s">
        <v>2749</v>
      </c>
      <c r="N2" s="231" t="s">
        <v>2750</v>
      </c>
      <c r="P2" s="232">
        <v>0.5</v>
      </c>
      <c r="Q2" s="232">
        <v>12.5</v>
      </c>
      <c r="R2" s="233">
        <v>14</v>
      </c>
    </row>
    <row r="3" spans="1:18" x14ac:dyDescent="0.3">
      <c r="A3" t="s">
        <v>2751</v>
      </c>
      <c r="C3" t="s">
        <v>111</v>
      </c>
      <c r="E3" t="s">
        <v>112</v>
      </c>
      <c r="G3" t="s">
        <v>31</v>
      </c>
      <c r="H3" t="s">
        <v>30</v>
      </c>
      <c r="I3" t="s">
        <v>112</v>
      </c>
      <c r="J3" t="s">
        <v>29</v>
      </c>
      <c r="K3" s="230">
        <v>0.9</v>
      </c>
      <c r="L3" t="s">
        <v>2752</v>
      </c>
      <c r="N3" s="228" t="s">
        <v>2753</v>
      </c>
      <c r="P3" s="233">
        <v>0.5</v>
      </c>
      <c r="Q3" s="233">
        <v>13</v>
      </c>
      <c r="R3" s="233">
        <v>13</v>
      </c>
    </row>
    <row r="4" spans="1:18" x14ac:dyDescent="0.3">
      <c r="A4" t="s">
        <v>2754</v>
      </c>
      <c r="C4" t="s">
        <v>114</v>
      </c>
      <c r="E4" t="s">
        <v>115</v>
      </c>
      <c r="G4" t="s">
        <v>33</v>
      </c>
      <c r="H4" t="s">
        <v>32</v>
      </c>
      <c r="I4" t="s">
        <v>115</v>
      </c>
      <c r="J4" t="s">
        <v>29</v>
      </c>
      <c r="K4" s="230">
        <v>0.9</v>
      </c>
      <c r="L4" t="s">
        <v>2755</v>
      </c>
      <c r="N4" s="228" t="s">
        <v>2756</v>
      </c>
      <c r="P4" s="233">
        <v>0.5</v>
      </c>
      <c r="Q4" s="233">
        <v>14</v>
      </c>
      <c r="R4" s="233">
        <v>12.5</v>
      </c>
    </row>
    <row r="5" spans="1:18" x14ac:dyDescent="0.3">
      <c r="A5" t="s">
        <v>2757</v>
      </c>
      <c r="C5" t="s">
        <v>2758</v>
      </c>
      <c r="E5" t="s">
        <v>2759</v>
      </c>
      <c r="G5" t="s">
        <v>35</v>
      </c>
      <c r="H5" t="s">
        <v>34</v>
      </c>
      <c r="I5" t="s">
        <v>2759</v>
      </c>
      <c r="J5" t="s">
        <v>29</v>
      </c>
      <c r="K5" s="230">
        <v>70</v>
      </c>
      <c r="L5" t="s">
        <v>2760</v>
      </c>
      <c r="N5" s="228" t="s">
        <v>2761</v>
      </c>
      <c r="P5" s="233">
        <v>0.5</v>
      </c>
      <c r="Q5" s="233">
        <v>14</v>
      </c>
      <c r="R5" s="233">
        <v>13</v>
      </c>
    </row>
    <row r="6" spans="1:18" x14ac:dyDescent="0.3">
      <c r="A6" t="s">
        <v>2762</v>
      </c>
      <c r="C6" t="s">
        <v>2763</v>
      </c>
      <c r="E6" t="s">
        <v>2764</v>
      </c>
      <c r="G6" t="s">
        <v>37</v>
      </c>
      <c r="H6" t="s">
        <v>36</v>
      </c>
      <c r="I6" t="s">
        <v>2764</v>
      </c>
      <c r="J6" t="s">
        <v>29</v>
      </c>
      <c r="K6" s="230">
        <v>0.1</v>
      </c>
      <c r="L6" t="s">
        <v>2765</v>
      </c>
      <c r="N6" s="228" t="s">
        <v>2766</v>
      </c>
      <c r="P6" s="233">
        <v>0.5</v>
      </c>
      <c r="Q6" s="233">
        <v>14</v>
      </c>
      <c r="R6" s="233">
        <v>14</v>
      </c>
    </row>
    <row r="7" spans="1:18" x14ac:dyDescent="0.3">
      <c r="A7" t="s">
        <v>2767</v>
      </c>
      <c r="C7" t="s">
        <v>2768</v>
      </c>
      <c r="E7" t="s">
        <v>2769</v>
      </c>
      <c r="G7" t="s">
        <v>39</v>
      </c>
      <c r="H7" t="s">
        <v>38</v>
      </c>
      <c r="I7" t="s">
        <v>2769</v>
      </c>
      <c r="J7" t="s">
        <v>29</v>
      </c>
      <c r="K7" s="230">
        <v>0.1</v>
      </c>
      <c r="L7" t="s">
        <v>2770</v>
      </c>
      <c r="N7" s="228" t="s">
        <v>2771</v>
      </c>
      <c r="P7" s="233">
        <v>8</v>
      </c>
      <c r="Q7" s="233">
        <v>41</v>
      </c>
      <c r="R7" s="233">
        <v>41</v>
      </c>
    </row>
    <row r="8" spans="1:18" x14ac:dyDescent="0.3">
      <c r="A8" t="s">
        <v>2772</v>
      </c>
      <c r="C8" s="228" t="s">
        <v>2773</v>
      </c>
      <c r="E8" t="s">
        <v>219</v>
      </c>
      <c r="G8" t="s">
        <v>40</v>
      </c>
      <c r="H8" t="s">
        <v>41</v>
      </c>
      <c r="I8" t="s">
        <v>219</v>
      </c>
      <c r="J8" t="s">
        <v>42</v>
      </c>
      <c r="K8" s="230">
        <v>50</v>
      </c>
      <c r="L8" t="s">
        <v>2774</v>
      </c>
      <c r="N8" s="228" t="s">
        <v>2775</v>
      </c>
      <c r="P8" s="232">
        <v>1</v>
      </c>
      <c r="Q8" s="232">
        <v>12.5</v>
      </c>
      <c r="R8" s="232">
        <v>14</v>
      </c>
    </row>
    <row r="9" spans="1:18" x14ac:dyDescent="0.3">
      <c r="A9" t="s">
        <v>2738</v>
      </c>
      <c r="C9" s="228" t="s">
        <v>2776</v>
      </c>
      <c r="E9" t="s">
        <v>223</v>
      </c>
      <c r="G9" t="s">
        <v>43</v>
      </c>
      <c r="H9" t="s">
        <v>44</v>
      </c>
      <c r="I9" t="s">
        <v>223</v>
      </c>
      <c r="J9" t="s">
        <v>42</v>
      </c>
      <c r="K9" s="230">
        <v>100</v>
      </c>
      <c r="L9" t="s">
        <v>2777</v>
      </c>
      <c r="N9" s="228" t="s">
        <v>2778</v>
      </c>
      <c r="P9" s="233">
        <v>1</v>
      </c>
      <c r="Q9" s="233">
        <v>14</v>
      </c>
      <c r="R9" s="233">
        <v>13</v>
      </c>
    </row>
    <row r="10" spans="1:18" x14ac:dyDescent="0.3">
      <c r="A10" t="s">
        <v>2779</v>
      </c>
      <c r="C10" s="228" t="s">
        <v>2780</v>
      </c>
      <c r="E10" t="s">
        <v>2781</v>
      </c>
      <c r="G10" t="s">
        <v>45</v>
      </c>
      <c r="H10" t="s">
        <v>46</v>
      </c>
      <c r="I10" t="s">
        <v>2570</v>
      </c>
      <c r="J10" t="s">
        <v>47</v>
      </c>
      <c r="K10" s="230">
        <v>1</v>
      </c>
      <c r="L10" t="s">
        <v>2782</v>
      </c>
      <c r="N10" s="228" t="s">
        <v>2783</v>
      </c>
      <c r="P10" s="233">
        <v>1</v>
      </c>
      <c r="Q10" s="233">
        <v>14</v>
      </c>
      <c r="R10" s="233">
        <v>19</v>
      </c>
    </row>
    <row r="11" spans="1:18" x14ac:dyDescent="0.3">
      <c r="A11" s="234" t="s">
        <v>2784</v>
      </c>
      <c r="E11" t="s">
        <v>2785</v>
      </c>
      <c r="G11" t="s">
        <v>2786</v>
      </c>
      <c r="H11" t="s">
        <v>50</v>
      </c>
      <c r="I11" t="s">
        <v>2785</v>
      </c>
      <c r="J11" t="s">
        <v>48</v>
      </c>
      <c r="K11" s="230">
        <v>3</v>
      </c>
      <c r="L11" t="s">
        <v>2787</v>
      </c>
      <c r="N11" s="228" t="s">
        <v>2788</v>
      </c>
      <c r="P11" s="233">
        <v>10</v>
      </c>
      <c r="Q11" s="233">
        <v>10</v>
      </c>
      <c r="R11" s="233">
        <v>2.5</v>
      </c>
    </row>
    <row r="12" spans="1:18" x14ac:dyDescent="0.3">
      <c r="A12" t="s">
        <v>2789</v>
      </c>
      <c r="E12" t="s">
        <v>2790</v>
      </c>
      <c r="G12" t="s">
        <v>49</v>
      </c>
      <c r="H12" t="s">
        <v>52</v>
      </c>
      <c r="I12" t="s">
        <v>2790</v>
      </c>
      <c r="J12" t="s">
        <v>53</v>
      </c>
      <c r="K12" s="230">
        <v>3</v>
      </c>
      <c r="L12" t="s">
        <v>2791</v>
      </c>
      <c r="N12" s="228" t="s">
        <v>2792</v>
      </c>
      <c r="P12" s="233">
        <v>10</v>
      </c>
      <c r="Q12" s="233">
        <v>10.5</v>
      </c>
      <c r="R12" s="233">
        <v>4</v>
      </c>
    </row>
    <row r="13" spans="1:18" x14ac:dyDescent="0.3">
      <c r="A13" t="s">
        <v>2793</v>
      </c>
      <c r="E13" t="s">
        <v>2794</v>
      </c>
      <c r="G13" t="s">
        <v>51</v>
      </c>
      <c r="H13" t="s">
        <v>2795</v>
      </c>
      <c r="I13" t="s">
        <v>2794</v>
      </c>
      <c r="J13" t="s">
        <v>55</v>
      </c>
      <c r="K13" s="230">
        <v>100000</v>
      </c>
      <c r="L13" t="s">
        <v>2796</v>
      </c>
      <c r="N13" s="228" t="s">
        <v>2797</v>
      </c>
      <c r="P13" s="233">
        <v>10</v>
      </c>
      <c r="Q13" s="233">
        <v>15.5</v>
      </c>
      <c r="R13" s="233">
        <v>0.3</v>
      </c>
    </row>
    <row r="14" spans="1:18" x14ac:dyDescent="0.3">
      <c r="A14" t="s">
        <v>2798</v>
      </c>
      <c r="E14" t="s">
        <v>2799</v>
      </c>
      <c r="G14" t="s">
        <v>54</v>
      </c>
      <c r="H14" t="s">
        <v>2800</v>
      </c>
      <c r="I14" t="s">
        <v>2799</v>
      </c>
      <c r="J14" t="s">
        <v>29</v>
      </c>
      <c r="K14" s="230">
        <v>7.5</v>
      </c>
      <c r="L14" t="s">
        <v>2801</v>
      </c>
      <c r="N14" s="228" t="s">
        <v>2802</v>
      </c>
      <c r="P14" s="233">
        <v>10</v>
      </c>
      <c r="Q14" s="233">
        <v>19</v>
      </c>
      <c r="R14" s="233">
        <v>26.5</v>
      </c>
    </row>
    <row r="15" spans="1:18" x14ac:dyDescent="0.3">
      <c r="A15" t="s">
        <v>2739</v>
      </c>
      <c r="E15" t="s">
        <v>2803</v>
      </c>
      <c r="G15" t="s">
        <v>57</v>
      </c>
      <c r="H15" t="s">
        <v>2595</v>
      </c>
      <c r="I15" t="s">
        <v>2804</v>
      </c>
      <c r="J15" t="s">
        <v>181</v>
      </c>
      <c r="K15" s="230">
        <v>0.2</v>
      </c>
      <c r="L15" t="s">
        <v>2805</v>
      </c>
      <c r="N15" s="228" t="s">
        <v>2806</v>
      </c>
      <c r="P15" s="233">
        <v>10</v>
      </c>
      <c r="Q15" s="233">
        <v>3</v>
      </c>
      <c r="R15" s="233">
        <v>10</v>
      </c>
    </row>
    <row r="16" spans="1:18" x14ac:dyDescent="0.3">
      <c r="A16" t="s">
        <v>2807</v>
      </c>
      <c r="E16" t="s">
        <v>2804</v>
      </c>
      <c r="G16" t="s">
        <v>58</v>
      </c>
      <c r="H16" t="s">
        <v>2596</v>
      </c>
      <c r="I16" t="s">
        <v>2808</v>
      </c>
      <c r="J16" t="s">
        <v>29</v>
      </c>
      <c r="K16" s="230">
        <v>10</v>
      </c>
      <c r="L16" t="s">
        <v>2809</v>
      </c>
      <c r="N16" s="228" t="s">
        <v>2810</v>
      </c>
      <c r="P16" s="233">
        <v>10</v>
      </c>
      <c r="Q16" s="233">
        <v>4.5</v>
      </c>
      <c r="R16" s="233">
        <v>10</v>
      </c>
    </row>
    <row r="17" spans="1:18" x14ac:dyDescent="0.3">
      <c r="A17" t="s">
        <v>259</v>
      </c>
      <c r="E17" t="s">
        <v>2808</v>
      </c>
      <c r="G17" t="s">
        <v>59</v>
      </c>
      <c r="H17" t="s">
        <v>66</v>
      </c>
      <c r="I17" t="s">
        <v>2811</v>
      </c>
      <c r="J17" t="s">
        <v>67</v>
      </c>
      <c r="K17" s="230">
        <v>0.05</v>
      </c>
      <c r="L17" t="s">
        <v>2812</v>
      </c>
      <c r="N17" s="228" t="s">
        <v>2813</v>
      </c>
      <c r="P17" s="233">
        <v>10.5</v>
      </c>
      <c r="Q17" s="233">
        <v>15</v>
      </c>
      <c r="R17" s="233">
        <v>0.3</v>
      </c>
    </row>
    <row r="18" spans="1:18" x14ac:dyDescent="0.3">
      <c r="A18" t="s">
        <v>254</v>
      </c>
      <c r="E18" t="s">
        <v>2814</v>
      </c>
      <c r="G18" t="s">
        <v>60</v>
      </c>
      <c r="H18" t="s">
        <v>69</v>
      </c>
      <c r="I18" t="s">
        <v>2815</v>
      </c>
      <c r="J18" t="s">
        <v>67</v>
      </c>
      <c r="K18" s="230">
        <v>0.05</v>
      </c>
      <c r="L18" t="s">
        <v>2816</v>
      </c>
      <c r="N18" s="228" t="s">
        <v>2817</v>
      </c>
      <c r="P18" s="233">
        <v>10.5</v>
      </c>
      <c r="Q18" s="233">
        <v>19</v>
      </c>
      <c r="R18" s="233">
        <v>2.5</v>
      </c>
    </row>
    <row r="19" spans="1:18" x14ac:dyDescent="0.3">
      <c r="A19" t="s">
        <v>256</v>
      </c>
      <c r="E19" t="s">
        <v>2818</v>
      </c>
      <c r="G19" t="s">
        <v>62</v>
      </c>
      <c r="H19" t="s">
        <v>71</v>
      </c>
      <c r="I19" t="s">
        <v>2819</v>
      </c>
      <c r="J19" t="s">
        <v>67</v>
      </c>
      <c r="K19" s="230">
        <v>0.11</v>
      </c>
      <c r="L19" t="s">
        <v>2820</v>
      </c>
      <c r="N19" s="228" t="s">
        <v>2821</v>
      </c>
      <c r="P19" s="233">
        <v>10.5</v>
      </c>
      <c r="Q19" s="233">
        <v>41</v>
      </c>
      <c r="R19" s="233">
        <v>41</v>
      </c>
    </row>
    <row r="20" spans="1:18" x14ac:dyDescent="0.3">
      <c r="A20" t="s">
        <v>249</v>
      </c>
      <c r="E20" t="s">
        <v>2822</v>
      </c>
      <c r="G20" t="s">
        <v>64</v>
      </c>
      <c r="H20" t="s">
        <v>72</v>
      </c>
      <c r="I20" t="s">
        <v>2823</v>
      </c>
      <c r="J20" t="s">
        <v>67</v>
      </c>
      <c r="K20" s="230">
        <v>0.1</v>
      </c>
      <c r="L20" t="s">
        <v>2824</v>
      </c>
      <c r="N20" s="228" t="s">
        <v>2825</v>
      </c>
      <c r="P20" s="233">
        <v>100</v>
      </c>
      <c r="Q20" s="233">
        <v>140</v>
      </c>
      <c r="R20" s="233">
        <v>51</v>
      </c>
    </row>
    <row r="21" spans="1:18" x14ac:dyDescent="0.3">
      <c r="A21" t="s">
        <v>252</v>
      </c>
      <c r="E21" t="s">
        <v>2811</v>
      </c>
      <c r="G21" t="s">
        <v>65</v>
      </c>
      <c r="H21" t="s">
        <v>74</v>
      </c>
      <c r="I21" t="s">
        <v>2826</v>
      </c>
      <c r="J21" t="s">
        <v>75</v>
      </c>
      <c r="K21" s="230">
        <v>40</v>
      </c>
      <c r="L21" t="s">
        <v>2827</v>
      </c>
      <c r="N21" s="228" t="s">
        <v>2828</v>
      </c>
      <c r="P21" s="233">
        <v>11</v>
      </c>
      <c r="Q21" s="233">
        <v>15.5</v>
      </c>
      <c r="R21" s="233">
        <v>0.3</v>
      </c>
    </row>
    <row r="22" spans="1:18" x14ac:dyDescent="0.3">
      <c r="A22" t="s">
        <v>253</v>
      </c>
      <c r="E22" t="s">
        <v>2815</v>
      </c>
      <c r="G22" t="s">
        <v>68</v>
      </c>
      <c r="H22" t="s">
        <v>76</v>
      </c>
      <c r="I22" t="s">
        <v>2829</v>
      </c>
      <c r="J22" t="s">
        <v>75</v>
      </c>
      <c r="K22" s="230">
        <v>40</v>
      </c>
      <c r="L22" t="s">
        <v>2830</v>
      </c>
      <c r="N22" s="228" t="s">
        <v>2831</v>
      </c>
      <c r="P22" s="233">
        <v>11</v>
      </c>
      <c r="Q22" s="233">
        <v>33</v>
      </c>
      <c r="R22" s="233">
        <v>37</v>
      </c>
    </row>
    <row r="23" spans="1:18" x14ac:dyDescent="0.3">
      <c r="A23" t="s">
        <v>250</v>
      </c>
      <c r="E23" t="s">
        <v>2819</v>
      </c>
      <c r="G23" t="s">
        <v>70</v>
      </c>
      <c r="H23" t="s">
        <v>77</v>
      </c>
      <c r="I23" t="s">
        <v>2832</v>
      </c>
      <c r="J23" t="s">
        <v>75</v>
      </c>
      <c r="K23" s="230">
        <v>5</v>
      </c>
      <c r="L23" t="s">
        <v>2833</v>
      </c>
      <c r="N23" s="228" t="s">
        <v>2834</v>
      </c>
      <c r="P23" s="233">
        <v>11</v>
      </c>
      <c r="Q23" s="233">
        <v>33</v>
      </c>
      <c r="R23" s="233">
        <v>41</v>
      </c>
    </row>
    <row r="24" spans="1:18" x14ac:dyDescent="0.3">
      <c r="A24" t="s">
        <v>248</v>
      </c>
      <c r="E24" t="s">
        <v>2823</v>
      </c>
      <c r="K24" s="230"/>
      <c r="N24" s="228" t="s">
        <v>298</v>
      </c>
      <c r="P24" s="233">
        <v>11.5</v>
      </c>
      <c r="Q24" s="233">
        <v>37</v>
      </c>
      <c r="R24" s="233">
        <v>33</v>
      </c>
    </row>
    <row r="25" spans="1:18" x14ac:dyDescent="0.3">
      <c r="A25" t="s">
        <v>247</v>
      </c>
      <c r="E25" t="s">
        <v>2826</v>
      </c>
      <c r="N25" s="228" t="s">
        <v>110</v>
      </c>
      <c r="P25" s="233">
        <v>12</v>
      </c>
      <c r="Q25" s="233">
        <v>34</v>
      </c>
      <c r="R25" s="233">
        <v>37</v>
      </c>
    </row>
    <row r="26" spans="1:18" x14ac:dyDescent="0.3">
      <c r="A26" t="s">
        <v>186</v>
      </c>
      <c r="E26" t="s">
        <v>2829</v>
      </c>
      <c r="N26" s="228" t="s">
        <v>2836</v>
      </c>
      <c r="P26" s="233">
        <v>12</v>
      </c>
      <c r="Q26" s="233">
        <v>34</v>
      </c>
      <c r="R26" s="233">
        <v>37</v>
      </c>
    </row>
    <row r="27" spans="1:18" x14ac:dyDescent="0.3">
      <c r="A27" t="s">
        <v>255</v>
      </c>
      <c r="E27" t="s">
        <v>2832</v>
      </c>
      <c r="N27" s="228" t="s">
        <v>2837</v>
      </c>
      <c r="P27" s="233">
        <v>12.5</v>
      </c>
      <c r="Q27" s="233">
        <v>14</v>
      </c>
      <c r="R27" s="233">
        <v>0.5</v>
      </c>
    </row>
    <row r="28" spans="1:18" x14ac:dyDescent="0.3">
      <c r="A28" t="s">
        <v>53</v>
      </c>
      <c r="E28" t="s">
        <v>2835</v>
      </c>
      <c r="N28" s="228" t="s">
        <v>2838</v>
      </c>
      <c r="P28" s="233">
        <v>12.5</v>
      </c>
      <c r="Q28" s="233">
        <v>14.5</v>
      </c>
      <c r="R28" s="233">
        <v>0.5</v>
      </c>
    </row>
    <row r="29" spans="1:18" x14ac:dyDescent="0.3">
      <c r="A29" t="s">
        <v>2839</v>
      </c>
      <c r="E29" t="s">
        <v>320</v>
      </c>
      <c r="N29" s="228" t="s">
        <v>2840</v>
      </c>
      <c r="P29" s="233">
        <v>130</v>
      </c>
      <c r="Q29" s="233">
        <v>60</v>
      </c>
      <c r="R29" s="233">
        <v>72</v>
      </c>
    </row>
    <row r="30" spans="1:18" x14ac:dyDescent="0.3">
      <c r="A30" t="s">
        <v>202</v>
      </c>
      <c r="N30" s="228" t="s">
        <v>2841</v>
      </c>
      <c r="P30" s="233">
        <v>130</v>
      </c>
      <c r="Q30" s="233">
        <v>60</v>
      </c>
      <c r="R30" s="233">
        <v>73</v>
      </c>
    </row>
    <row r="31" spans="1:18" x14ac:dyDescent="0.3">
      <c r="A31" t="s">
        <v>2842</v>
      </c>
      <c r="N31" s="228" t="s">
        <v>2843</v>
      </c>
      <c r="P31" s="233">
        <v>135</v>
      </c>
      <c r="Q31" s="233">
        <v>51</v>
      </c>
      <c r="R31" s="233">
        <v>105</v>
      </c>
    </row>
    <row r="32" spans="1:18" x14ac:dyDescent="0.3">
      <c r="A32" t="s">
        <v>2844</v>
      </c>
      <c r="N32" s="228" t="s">
        <v>2845</v>
      </c>
      <c r="P32" s="233">
        <v>140</v>
      </c>
      <c r="Q32" s="233">
        <v>67</v>
      </c>
      <c r="R32" s="233">
        <v>72</v>
      </c>
    </row>
    <row r="33" spans="1:18" x14ac:dyDescent="0.3">
      <c r="A33" t="s">
        <v>2846</v>
      </c>
      <c r="N33" s="228" t="s">
        <v>2847</v>
      </c>
      <c r="P33" s="233">
        <v>15</v>
      </c>
      <c r="Q33" s="233">
        <v>40</v>
      </c>
      <c r="R33" s="233">
        <v>35</v>
      </c>
    </row>
    <row r="34" spans="1:18" x14ac:dyDescent="0.3">
      <c r="A34" t="s">
        <v>2848</v>
      </c>
      <c r="N34" s="228" t="s">
        <v>2849</v>
      </c>
      <c r="P34" s="233">
        <v>150</v>
      </c>
      <c r="Q34" s="233">
        <v>90</v>
      </c>
      <c r="R34" s="233">
        <v>76</v>
      </c>
    </row>
    <row r="35" spans="1:18" x14ac:dyDescent="0.3">
      <c r="A35" t="s">
        <v>2850</v>
      </c>
      <c r="N35" s="228" t="s">
        <v>2851</v>
      </c>
      <c r="P35" s="233">
        <v>16.5</v>
      </c>
      <c r="Q35" s="233">
        <v>11.5</v>
      </c>
      <c r="R35" s="233">
        <v>0.3</v>
      </c>
    </row>
    <row r="36" spans="1:18" x14ac:dyDescent="0.3">
      <c r="A36" t="s">
        <v>2852</v>
      </c>
      <c r="N36" s="228" t="s">
        <v>2853</v>
      </c>
      <c r="P36" s="233">
        <v>17</v>
      </c>
      <c r="Q36" s="233">
        <v>20.5</v>
      </c>
      <c r="R36" s="233">
        <v>111.5</v>
      </c>
    </row>
    <row r="37" spans="1:18" x14ac:dyDescent="0.3">
      <c r="A37" t="s">
        <v>63</v>
      </c>
      <c r="N37" s="228" t="s">
        <v>2854</v>
      </c>
      <c r="P37" s="233">
        <v>170</v>
      </c>
      <c r="Q37" s="233">
        <v>61</v>
      </c>
      <c r="R37" s="233">
        <v>72</v>
      </c>
    </row>
    <row r="38" spans="1:18" x14ac:dyDescent="0.3">
      <c r="A38" t="s">
        <v>61</v>
      </c>
      <c r="N38" s="228" t="s">
        <v>2855</v>
      </c>
      <c r="P38" s="233">
        <v>180</v>
      </c>
      <c r="Q38" s="233">
        <v>68</v>
      </c>
      <c r="R38" s="233">
        <v>72</v>
      </c>
    </row>
    <row r="39" spans="1:18" x14ac:dyDescent="0.3">
      <c r="A39" t="s">
        <v>2856</v>
      </c>
      <c r="N39" s="228" t="s">
        <v>2857</v>
      </c>
      <c r="P39" s="233">
        <v>21</v>
      </c>
      <c r="Q39" s="233">
        <v>31</v>
      </c>
      <c r="R39" s="233">
        <v>46</v>
      </c>
    </row>
    <row r="40" spans="1:18" x14ac:dyDescent="0.3">
      <c r="A40" t="s">
        <v>2858</v>
      </c>
      <c r="N40" s="228" t="s">
        <v>2859</v>
      </c>
      <c r="P40" s="233">
        <v>21</v>
      </c>
      <c r="Q40" s="233">
        <v>41</v>
      </c>
      <c r="R40" s="233">
        <v>55</v>
      </c>
    </row>
    <row r="41" spans="1:18" x14ac:dyDescent="0.3">
      <c r="A41" t="s">
        <v>2860</v>
      </c>
      <c r="N41" s="228" t="s">
        <v>2861</v>
      </c>
      <c r="P41" s="233">
        <v>21.5</v>
      </c>
      <c r="Q41" s="233">
        <v>41</v>
      </c>
      <c r="R41" s="233">
        <v>51</v>
      </c>
    </row>
    <row r="42" spans="1:18" x14ac:dyDescent="0.3">
      <c r="A42" t="s">
        <v>2862</v>
      </c>
      <c r="N42" s="228" t="s">
        <v>2863</v>
      </c>
      <c r="P42" s="233">
        <v>23</v>
      </c>
      <c r="Q42" s="233">
        <v>36.5</v>
      </c>
      <c r="R42" s="233">
        <v>48</v>
      </c>
    </row>
    <row r="43" spans="1:18" x14ac:dyDescent="0.3">
      <c r="A43" t="s">
        <v>75</v>
      </c>
      <c r="N43" s="228" t="s">
        <v>2864</v>
      </c>
      <c r="P43" s="233">
        <v>24.5</v>
      </c>
      <c r="Q43" s="233">
        <v>14</v>
      </c>
      <c r="R43" s="233">
        <v>27</v>
      </c>
    </row>
    <row r="44" spans="1:18" x14ac:dyDescent="0.3">
      <c r="A44" t="s">
        <v>2865</v>
      </c>
      <c r="N44" s="228" t="s">
        <v>2866</v>
      </c>
      <c r="P44" s="233">
        <v>25</v>
      </c>
      <c r="Q44" s="233">
        <v>13.5</v>
      </c>
      <c r="R44" s="233">
        <v>37</v>
      </c>
    </row>
    <row r="45" spans="1:18" x14ac:dyDescent="0.3">
      <c r="A45" t="s">
        <v>2867</v>
      </c>
      <c r="N45" s="228" t="s">
        <v>2868</v>
      </c>
      <c r="P45" s="233">
        <v>25</v>
      </c>
      <c r="Q45" s="233">
        <v>14</v>
      </c>
      <c r="R45" s="233">
        <v>36.5</v>
      </c>
    </row>
    <row r="46" spans="1:18" x14ac:dyDescent="0.3">
      <c r="A46" t="s">
        <v>2869</v>
      </c>
      <c r="N46" s="228" t="s">
        <v>2870</v>
      </c>
      <c r="P46" s="233">
        <v>25</v>
      </c>
      <c r="Q46" s="233">
        <v>14</v>
      </c>
      <c r="R46" s="233">
        <v>37</v>
      </c>
    </row>
    <row r="47" spans="1:18" x14ac:dyDescent="0.3">
      <c r="A47" t="s">
        <v>2871</v>
      </c>
      <c r="N47" s="228" t="s">
        <v>2872</v>
      </c>
      <c r="P47" s="233">
        <v>25</v>
      </c>
      <c r="Q47" s="233">
        <v>23.5</v>
      </c>
      <c r="R47" s="233">
        <v>46</v>
      </c>
    </row>
    <row r="48" spans="1:18" x14ac:dyDescent="0.3">
      <c r="A48" t="s">
        <v>2873</v>
      </c>
      <c r="N48" s="228" t="s">
        <v>2874</v>
      </c>
      <c r="P48" s="233">
        <v>26</v>
      </c>
      <c r="Q48" s="233">
        <v>15</v>
      </c>
      <c r="R48" s="233">
        <v>37</v>
      </c>
    </row>
    <row r="49" spans="1:18" x14ac:dyDescent="0.3">
      <c r="A49" t="s">
        <v>2875</v>
      </c>
      <c r="N49" s="228" t="s">
        <v>2876</v>
      </c>
      <c r="P49" s="233">
        <v>26</v>
      </c>
      <c r="Q49" s="233">
        <v>39</v>
      </c>
      <c r="R49" s="233">
        <v>46.5</v>
      </c>
    </row>
    <row r="50" spans="1:18" x14ac:dyDescent="0.3">
      <c r="A50" t="s">
        <v>2877</v>
      </c>
      <c r="N50" s="228" t="s">
        <v>2878</v>
      </c>
      <c r="P50" s="233">
        <v>26</v>
      </c>
      <c r="Q50" s="233">
        <v>39</v>
      </c>
      <c r="R50" s="233">
        <v>47</v>
      </c>
    </row>
    <row r="51" spans="1:18" x14ac:dyDescent="0.3">
      <c r="A51" t="s">
        <v>2879</v>
      </c>
      <c r="N51" s="228" t="s">
        <v>102</v>
      </c>
      <c r="P51" s="233">
        <v>26</v>
      </c>
      <c r="Q51" s="233">
        <v>39.5</v>
      </c>
      <c r="R51" s="233">
        <v>48.5</v>
      </c>
    </row>
    <row r="52" spans="1:18" x14ac:dyDescent="0.3">
      <c r="A52" t="s">
        <v>2880</v>
      </c>
      <c r="N52" s="228" t="s">
        <v>2881</v>
      </c>
      <c r="P52" s="233">
        <v>26.5</v>
      </c>
      <c r="Q52" s="233">
        <v>37</v>
      </c>
      <c r="R52" s="233">
        <v>37</v>
      </c>
    </row>
    <row r="53" spans="1:18" x14ac:dyDescent="0.3">
      <c r="A53" t="s">
        <v>2740</v>
      </c>
      <c r="N53" s="228" t="s">
        <v>2882</v>
      </c>
      <c r="P53" s="233">
        <v>26.5</v>
      </c>
      <c r="Q53" s="233">
        <v>38</v>
      </c>
      <c r="R53" s="233">
        <v>43</v>
      </c>
    </row>
    <row r="54" spans="1:18" x14ac:dyDescent="0.3">
      <c r="A54" s="235" t="s">
        <v>2883</v>
      </c>
      <c r="N54" s="228" t="s">
        <v>2884</v>
      </c>
      <c r="P54" s="233">
        <v>26.5</v>
      </c>
      <c r="Q54" s="233">
        <v>38</v>
      </c>
      <c r="R54" s="233">
        <v>45.5</v>
      </c>
    </row>
    <row r="55" spans="1:18" x14ac:dyDescent="0.3">
      <c r="N55" s="228" t="s">
        <v>105</v>
      </c>
      <c r="P55" s="233">
        <v>26.5</v>
      </c>
      <c r="Q55" s="233">
        <v>38.5</v>
      </c>
      <c r="R55" s="233">
        <v>46.5</v>
      </c>
    </row>
    <row r="56" spans="1:18" x14ac:dyDescent="0.3">
      <c r="N56" s="228" t="s">
        <v>106</v>
      </c>
      <c r="P56" s="233">
        <v>26.5</v>
      </c>
      <c r="Q56" s="233">
        <v>40</v>
      </c>
      <c r="R56" s="233">
        <v>49</v>
      </c>
    </row>
    <row r="57" spans="1:18" x14ac:dyDescent="0.3">
      <c r="N57" s="228" t="s">
        <v>2885</v>
      </c>
      <c r="P57" s="233">
        <v>27</v>
      </c>
      <c r="Q57" s="233">
        <v>36</v>
      </c>
      <c r="R57" s="233">
        <v>47</v>
      </c>
    </row>
    <row r="58" spans="1:18" x14ac:dyDescent="0.3">
      <c r="N58" s="228" t="s">
        <v>2886</v>
      </c>
      <c r="P58" s="233">
        <v>27</v>
      </c>
      <c r="Q58" s="233">
        <v>36</v>
      </c>
      <c r="R58" s="233">
        <v>49</v>
      </c>
    </row>
    <row r="59" spans="1:18" x14ac:dyDescent="0.3">
      <c r="N59" s="228" t="s">
        <v>2887</v>
      </c>
      <c r="P59" s="233">
        <v>27</v>
      </c>
      <c r="Q59" s="233">
        <v>38</v>
      </c>
      <c r="R59" s="233">
        <v>49</v>
      </c>
    </row>
    <row r="60" spans="1:18" x14ac:dyDescent="0.3">
      <c r="N60" s="228" t="s">
        <v>2888</v>
      </c>
      <c r="P60" s="233">
        <v>27.5</v>
      </c>
      <c r="Q60" s="233">
        <v>36</v>
      </c>
      <c r="R60" s="233">
        <v>49</v>
      </c>
    </row>
    <row r="61" spans="1:18" x14ac:dyDescent="0.3">
      <c r="N61" s="228" t="s">
        <v>2889</v>
      </c>
      <c r="P61" s="233">
        <v>28</v>
      </c>
      <c r="Q61" s="233">
        <v>37.5</v>
      </c>
      <c r="R61" s="233">
        <v>46</v>
      </c>
    </row>
    <row r="62" spans="1:18" x14ac:dyDescent="0.3">
      <c r="N62" s="228" t="s">
        <v>107</v>
      </c>
      <c r="P62" s="233">
        <v>28</v>
      </c>
      <c r="Q62" s="233">
        <v>37.5</v>
      </c>
      <c r="R62" s="233">
        <v>47.5</v>
      </c>
    </row>
    <row r="63" spans="1:18" x14ac:dyDescent="0.3">
      <c r="N63" s="228" t="s">
        <v>2890</v>
      </c>
      <c r="P63" s="233">
        <v>28</v>
      </c>
      <c r="Q63" s="233">
        <v>37.5</v>
      </c>
      <c r="R63" s="233">
        <v>48</v>
      </c>
    </row>
    <row r="64" spans="1:18" x14ac:dyDescent="0.3">
      <c r="N64" s="228" t="s">
        <v>2891</v>
      </c>
      <c r="P64" s="233">
        <v>28</v>
      </c>
      <c r="Q64" s="233">
        <v>38</v>
      </c>
      <c r="R64" s="233">
        <v>46.5</v>
      </c>
    </row>
    <row r="65" spans="14:18" x14ac:dyDescent="0.3">
      <c r="N65" s="228" t="s">
        <v>2892</v>
      </c>
      <c r="P65" s="233">
        <v>28</v>
      </c>
      <c r="Q65" s="233">
        <v>38.5</v>
      </c>
      <c r="R65" s="233">
        <v>48</v>
      </c>
    </row>
    <row r="66" spans="14:18" x14ac:dyDescent="0.3">
      <c r="N66" s="228" t="s">
        <v>108</v>
      </c>
      <c r="P66" s="233">
        <v>28</v>
      </c>
      <c r="Q66" s="233">
        <v>39</v>
      </c>
      <c r="R66" s="233">
        <v>46</v>
      </c>
    </row>
    <row r="67" spans="14:18" x14ac:dyDescent="0.3">
      <c r="N67" s="228" t="s">
        <v>2893</v>
      </c>
      <c r="P67" s="233">
        <v>28.5</v>
      </c>
      <c r="Q67" s="233">
        <v>37</v>
      </c>
      <c r="R67" s="233">
        <v>43</v>
      </c>
    </row>
    <row r="68" spans="14:18" x14ac:dyDescent="0.3">
      <c r="N68" s="228" t="s">
        <v>2894</v>
      </c>
      <c r="P68" s="233">
        <v>29</v>
      </c>
      <c r="Q68" s="233">
        <v>40</v>
      </c>
      <c r="R68" s="233">
        <v>50</v>
      </c>
    </row>
    <row r="69" spans="14:18" x14ac:dyDescent="0.3">
      <c r="N69" s="228" t="s">
        <v>2895</v>
      </c>
      <c r="P69" s="233">
        <v>29</v>
      </c>
      <c r="Q69" s="233">
        <v>41</v>
      </c>
      <c r="R69" s="233">
        <v>37</v>
      </c>
    </row>
    <row r="70" spans="14:18" x14ac:dyDescent="0.3">
      <c r="N70" s="228" t="s">
        <v>2896</v>
      </c>
      <c r="P70" s="233">
        <v>29</v>
      </c>
      <c r="Q70" s="233">
        <v>18</v>
      </c>
      <c r="R70" s="233">
        <v>41</v>
      </c>
    </row>
    <row r="71" spans="14:18" x14ac:dyDescent="0.3">
      <c r="N71" s="228" t="s">
        <v>2897</v>
      </c>
      <c r="P71" s="233">
        <v>29</v>
      </c>
      <c r="Q71" s="233">
        <v>37</v>
      </c>
      <c r="R71" s="233">
        <v>41.5</v>
      </c>
    </row>
    <row r="72" spans="14:18" x14ac:dyDescent="0.3">
      <c r="N72" s="228" t="s">
        <v>2898</v>
      </c>
      <c r="P72" s="233">
        <v>29</v>
      </c>
      <c r="Q72" s="233">
        <v>37</v>
      </c>
      <c r="R72" s="233">
        <v>42.5</v>
      </c>
    </row>
    <row r="73" spans="14:18" x14ac:dyDescent="0.3">
      <c r="N73" s="228" t="s">
        <v>2534</v>
      </c>
      <c r="P73" s="233">
        <v>29</v>
      </c>
      <c r="Q73" s="233">
        <v>37</v>
      </c>
      <c r="R73" s="233">
        <v>43</v>
      </c>
    </row>
    <row r="74" spans="14:18" x14ac:dyDescent="0.3">
      <c r="N74" s="228" t="s">
        <v>2899</v>
      </c>
      <c r="P74" s="233">
        <v>29</v>
      </c>
      <c r="Q74" s="233">
        <v>37.5</v>
      </c>
      <c r="R74" s="233">
        <v>41.5</v>
      </c>
    </row>
    <row r="75" spans="14:18" x14ac:dyDescent="0.3">
      <c r="N75" s="228" t="s">
        <v>2900</v>
      </c>
      <c r="P75" s="233">
        <v>29</v>
      </c>
      <c r="Q75" s="233">
        <v>37.5</v>
      </c>
      <c r="R75" s="233">
        <v>46</v>
      </c>
    </row>
    <row r="76" spans="14:18" x14ac:dyDescent="0.3">
      <c r="N76" s="228" t="s">
        <v>2901</v>
      </c>
      <c r="P76" s="233">
        <v>29</v>
      </c>
      <c r="Q76" s="233">
        <v>38</v>
      </c>
      <c r="R76" s="233">
        <v>42</v>
      </c>
    </row>
    <row r="77" spans="14:18" x14ac:dyDescent="0.3">
      <c r="N77" s="228" t="s">
        <v>2902</v>
      </c>
      <c r="P77" s="233">
        <v>29</v>
      </c>
      <c r="Q77" s="233">
        <v>41</v>
      </c>
      <c r="R77" s="233">
        <v>37</v>
      </c>
    </row>
    <row r="78" spans="14:18" x14ac:dyDescent="0.3">
      <c r="N78" s="228" t="s">
        <v>2903</v>
      </c>
      <c r="P78" s="233">
        <v>29</v>
      </c>
      <c r="Q78" s="233">
        <v>41.5</v>
      </c>
      <c r="R78" s="233">
        <v>47.5</v>
      </c>
    </row>
    <row r="79" spans="14:18" x14ac:dyDescent="0.3">
      <c r="N79" s="228" t="s">
        <v>109</v>
      </c>
      <c r="P79" s="233">
        <v>29.5</v>
      </c>
      <c r="Q79" s="233">
        <v>39</v>
      </c>
      <c r="R79" s="233">
        <v>46</v>
      </c>
    </row>
    <row r="80" spans="14:18" x14ac:dyDescent="0.3">
      <c r="N80" s="228" t="s">
        <v>2904</v>
      </c>
      <c r="P80" s="233">
        <v>30</v>
      </c>
      <c r="Q80" s="233">
        <v>9</v>
      </c>
      <c r="R80" s="233">
        <v>39.5</v>
      </c>
    </row>
    <row r="81" spans="14:18" x14ac:dyDescent="0.3">
      <c r="N81" s="228" t="s">
        <v>2905</v>
      </c>
      <c r="P81" s="233">
        <v>30</v>
      </c>
      <c r="Q81" s="233">
        <v>9</v>
      </c>
      <c r="R81" s="233">
        <v>40.5</v>
      </c>
    </row>
    <row r="82" spans="14:18" x14ac:dyDescent="0.3">
      <c r="N82" s="228" t="s">
        <v>2906</v>
      </c>
      <c r="P82" s="233">
        <v>30</v>
      </c>
      <c r="Q82" s="233">
        <v>19</v>
      </c>
      <c r="R82" s="233">
        <v>39</v>
      </c>
    </row>
    <row r="83" spans="14:18" x14ac:dyDescent="0.3">
      <c r="N83" s="228" t="s">
        <v>2907</v>
      </c>
      <c r="P83" s="233">
        <v>30</v>
      </c>
      <c r="Q83" s="233">
        <v>20</v>
      </c>
      <c r="R83" s="233">
        <v>42</v>
      </c>
    </row>
    <row r="84" spans="14:18" x14ac:dyDescent="0.3">
      <c r="N84" s="228" t="s">
        <v>2908</v>
      </c>
      <c r="P84" s="233">
        <v>30</v>
      </c>
      <c r="Q84" s="233">
        <v>38.5</v>
      </c>
      <c r="R84" s="233">
        <v>42</v>
      </c>
    </row>
    <row r="85" spans="14:18" x14ac:dyDescent="0.3">
      <c r="N85" s="228" t="s">
        <v>2909</v>
      </c>
      <c r="P85" s="233">
        <v>31</v>
      </c>
      <c r="Q85" s="233">
        <v>31</v>
      </c>
      <c r="R85" s="233">
        <v>47.5</v>
      </c>
    </row>
    <row r="86" spans="14:18" x14ac:dyDescent="0.3">
      <c r="N86" s="228" t="s">
        <v>2910</v>
      </c>
      <c r="P86" s="233">
        <v>34</v>
      </c>
      <c r="Q86" s="233">
        <v>37</v>
      </c>
      <c r="R86" s="233">
        <v>12</v>
      </c>
    </row>
    <row r="87" spans="14:18" x14ac:dyDescent="0.3">
      <c r="N87" s="228" t="s">
        <v>2911</v>
      </c>
      <c r="P87" s="233">
        <v>4.5</v>
      </c>
      <c r="Q87" s="233">
        <v>10</v>
      </c>
      <c r="R87" s="233"/>
    </row>
    <row r="88" spans="14:18" x14ac:dyDescent="0.3">
      <c r="N88" s="228" t="s">
        <v>2912</v>
      </c>
      <c r="P88" s="233">
        <v>40.5</v>
      </c>
      <c r="Q88" s="233">
        <v>41.5</v>
      </c>
      <c r="R88" s="233">
        <v>10</v>
      </c>
    </row>
    <row r="89" spans="14:18" x14ac:dyDescent="0.3">
      <c r="N89" s="228" t="s">
        <v>2913</v>
      </c>
      <c r="P89" s="233">
        <v>40.5</v>
      </c>
      <c r="Q89" s="233">
        <v>41.5</v>
      </c>
      <c r="R89" s="233">
        <v>10</v>
      </c>
    </row>
    <row r="90" spans="14:18" x14ac:dyDescent="0.3">
      <c r="N90" s="228" t="s">
        <v>2535</v>
      </c>
      <c r="P90" s="233"/>
      <c r="Q90" s="233">
        <v>0.11</v>
      </c>
      <c r="R90" s="233">
        <v>1.2</v>
      </c>
    </row>
    <row r="91" spans="14:18" x14ac:dyDescent="0.3">
      <c r="N91" s="228" t="s">
        <v>2536</v>
      </c>
      <c r="P91" s="233"/>
      <c r="Q91" s="233">
        <v>0.11</v>
      </c>
      <c r="R91" s="233">
        <v>1.23</v>
      </c>
    </row>
    <row r="92" spans="14:18" x14ac:dyDescent="0.3">
      <c r="N92" s="228" t="s">
        <v>2914</v>
      </c>
      <c r="P92" s="233"/>
      <c r="Q92" s="233">
        <v>0.11</v>
      </c>
      <c r="R92" s="233">
        <v>1.26</v>
      </c>
    </row>
    <row r="93" spans="14:18" x14ac:dyDescent="0.3">
      <c r="N93" s="228" t="s">
        <v>2537</v>
      </c>
      <c r="P93" s="233"/>
      <c r="Q93" s="233">
        <v>0.11</v>
      </c>
      <c r="R93" s="233">
        <v>1.3</v>
      </c>
    </row>
    <row r="94" spans="14:18" x14ac:dyDescent="0.3">
      <c r="N94" s="228" t="s">
        <v>2915</v>
      </c>
      <c r="P94" s="233">
        <v>35</v>
      </c>
      <c r="Q94" s="233">
        <v>5</v>
      </c>
      <c r="R94" s="233"/>
    </row>
    <row r="95" spans="14:18" x14ac:dyDescent="0.3">
      <c r="N95" s="228" t="s">
        <v>2916</v>
      </c>
      <c r="P95" s="233">
        <v>36</v>
      </c>
      <c r="Q95" s="233">
        <v>5</v>
      </c>
      <c r="R95" s="233"/>
    </row>
    <row r="96" spans="14:18" x14ac:dyDescent="0.3">
      <c r="N96" s="228" t="s">
        <v>2917</v>
      </c>
      <c r="P96" s="233">
        <v>47</v>
      </c>
      <c r="Q96" s="233">
        <v>5</v>
      </c>
      <c r="R96" s="233"/>
    </row>
    <row r="97" spans="14:18" x14ac:dyDescent="0.3">
      <c r="N97" s="228" t="s">
        <v>2918</v>
      </c>
      <c r="P97" s="233">
        <v>45</v>
      </c>
      <c r="Q97" s="233">
        <v>6</v>
      </c>
      <c r="R97" s="233"/>
    </row>
    <row r="98" spans="14:18" x14ac:dyDescent="0.3">
      <c r="N98" s="228" t="s">
        <v>2919</v>
      </c>
      <c r="P98" s="233">
        <v>64</v>
      </c>
      <c r="Q98" s="233">
        <v>7</v>
      </c>
      <c r="R98" s="233"/>
    </row>
    <row r="99" spans="14:18" x14ac:dyDescent="0.3">
      <c r="N99" s="228" t="s">
        <v>2920</v>
      </c>
      <c r="P99" s="233">
        <v>66</v>
      </c>
      <c r="Q99" s="233">
        <v>7</v>
      </c>
      <c r="R99" s="233"/>
    </row>
    <row r="100" spans="14:18" x14ac:dyDescent="0.3">
      <c r="N100" s="228" t="s">
        <v>2921</v>
      </c>
      <c r="P100" s="233">
        <v>88</v>
      </c>
      <c r="Q100" s="233">
        <v>7</v>
      </c>
      <c r="R100" s="233"/>
    </row>
    <row r="101" spans="14:18" x14ac:dyDescent="0.3">
      <c r="N101" s="228" t="s">
        <v>2922</v>
      </c>
      <c r="P101" s="233">
        <v>54</v>
      </c>
      <c r="Q101" s="233">
        <v>7.5</v>
      </c>
      <c r="R101" s="233"/>
    </row>
    <row r="102" spans="14:18" x14ac:dyDescent="0.3">
      <c r="N102" s="228" t="s">
        <v>2923</v>
      </c>
      <c r="P102" s="233">
        <v>70</v>
      </c>
      <c r="Q102" s="232">
        <v>9</v>
      </c>
      <c r="R102" s="233"/>
    </row>
    <row r="103" spans="14:18" x14ac:dyDescent="0.3">
      <c r="N103" s="228" t="s">
        <v>2924</v>
      </c>
      <c r="P103" s="233">
        <v>93</v>
      </c>
      <c r="Q103" s="233">
        <v>9</v>
      </c>
      <c r="R103" s="233"/>
    </row>
    <row r="104" spans="14:18" x14ac:dyDescent="0.3">
      <c r="N104" s="228" t="s">
        <v>2925</v>
      </c>
      <c r="P104" s="233">
        <v>94</v>
      </c>
      <c r="Q104" s="233">
        <v>9.5</v>
      </c>
      <c r="R104" s="233"/>
    </row>
    <row r="105" spans="14:18" x14ac:dyDescent="0.3">
      <c r="N105" s="228" t="s">
        <v>2926</v>
      </c>
      <c r="P105" s="233">
        <v>104</v>
      </c>
      <c r="Q105" s="232">
        <v>10</v>
      </c>
      <c r="R105" s="233">
        <v>30</v>
      </c>
    </row>
    <row r="106" spans="14:18" x14ac:dyDescent="0.3">
      <c r="N106" s="228" t="s">
        <v>2927</v>
      </c>
      <c r="P106" s="233">
        <v>120</v>
      </c>
      <c r="Q106" s="233">
        <v>10</v>
      </c>
      <c r="R106" s="233"/>
    </row>
    <row r="107" spans="14:18" x14ac:dyDescent="0.3">
      <c r="N107" s="228" t="s">
        <v>2928</v>
      </c>
      <c r="P107" s="233">
        <v>76</v>
      </c>
      <c r="Q107" s="233">
        <v>10</v>
      </c>
      <c r="R107" s="233"/>
    </row>
    <row r="108" spans="14:18" x14ac:dyDescent="0.3">
      <c r="N108" s="228" t="s">
        <v>2929</v>
      </c>
      <c r="P108" s="233">
        <v>92</v>
      </c>
      <c r="Q108" s="233">
        <v>10</v>
      </c>
      <c r="R108" s="233"/>
    </row>
    <row r="109" spans="14:18" x14ac:dyDescent="0.3">
      <c r="N109" s="228" t="s">
        <v>2930</v>
      </c>
      <c r="P109" s="233"/>
      <c r="Q109" s="233">
        <v>10</v>
      </c>
      <c r="R109" s="233"/>
    </row>
    <row r="110" spans="14:18" x14ac:dyDescent="0.3">
      <c r="N110" s="228" t="s">
        <v>2931</v>
      </c>
      <c r="P110" s="233"/>
      <c r="Q110" s="233">
        <v>10</v>
      </c>
      <c r="R110" s="233">
        <v>122</v>
      </c>
    </row>
    <row r="111" spans="14:18" x14ac:dyDescent="0.3">
      <c r="N111" s="228" t="s">
        <v>2932</v>
      </c>
      <c r="P111" s="233"/>
      <c r="Q111" s="233">
        <v>10</v>
      </c>
      <c r="R111" s="233">
        <v>124</v>
      </c>
    </row>
    <row r="112" spans="14:18" x14ac:dyDescent="0.3">
      <c r="N112" s="228" t="s">
        <v>2933</v>
      </c>
      <c r="P112" s="233"/>
      <c r="Q112" s="233">
        <v>10</v>
      </c>
      <c r="R112" s="233">
        <v>125</v>
      </c>
    </row>
    <row r="113" spans="14:18" x14ac:dyDescent="0.3">
      <c r="N113" s="228" t="s">
        <v>2934</v>
      </c>
      <c r="P113" s="233"/>
      <c r="Q113" s="233">
        <v>10</v>
      </c>
      <c r="R113" s="233">
        <v>130</v>
      </c>
    </row>
    <row r="114" spans="14:18" x14ac:dyDescent="0.3">
      <c r="N114" s="228" t="s">
        <v>2935</v>
      </c>
      <c r="P114" s="233"/>
      <c r="Q114" s="233">
        <v>10</v>
      </c>
      <c r="R114" s="233">
        <v>30</v>
      </c>
    </row>
    <row r="115" spans="14:18" x14ac:dyDescent="0.3">
      <c r="N115" s="228" t="s">
        <v>2936</v>
      </c>
      <c r="P115" s="233"/>
      <c r="Q115" s="233">
        <v>10.5</v>
      </c>
      <c r="R115" s="233">
        <v>100</v>
      </c>
    </row>
    <row r="116" spans="14:18" x14ac:dyDescent="0.3">
      <c r="N116" s="228" t="s">
        <v>2937</v>
      </c>
      <c r="P116" s="233"/>
      <c r="Q116" s="233">
        <v>11</v>
      </c>
      <c r="R116" s="233">
        <v>122</v>
      </c>
    </row>
    <row r="117" spans="14:18" x14ac:dyDescent="0.3">
      <c r="N117" s="228" t="s">
        <v>2938</v>
      </c>
      <c r="P117" s="233">
        <v>96</v>
      </c>
      <c r="Q117" s="233">
        <v>16</v>
      </c>
      <c r="R117" s="233"/>
    </row>
    <row r="118" spans="14:18" x14ac:dyDescent="0.3">
      <c r="N118" s="228" t="s">
        <v>2939</v>
      </c>
      <c r="P118" s="233"/>
      <c r="Q118" s="233">
        <v>6</v>
      </c>
      <c r="R118" s="233">
        <v>152</v>
      </c>
    </row>
    <row r="119" spans="14:18" x14ac:dyDescent="0.3">
      <c r="N119" s="228" t="s">
        <v>2940</v>
      </c>
      <c r="P119" s="233"/>
      <c r="Q119" s="233">
        <v>6</v>
      </c>
      <c r="R119" s="233">
        <v>71</v>
      </c>
    </row>
    <row r="120" spans="14:18" x14ac:dyDescent="0.3">
      <c r="N120" s="228" t="s">
        <v>2941</v>
      </c>
      <c r="P120" s="233"/>
      <c r="Q120" s="233">
        <v>6</v>
      </c>
      <c r="R120" s="233">
        <v>81</v>
      </c>
    </row>
    <row r="121" spans="14:18" x14ac:dyDescent="0.3">
      <c r="N121" s="228" t="s">
        <v>2942</v>
      </c>
      <c r="P121" s="233"/>
      <c r="Q121" s="233">
        <v>7</v>
      </c>
      <c r="R121" s="233">
        <v>100</v>
      </c>
    </row>
    <row r="122" spans="14:18" x14ac:dyDescent="0.3">
      <c r="N122" s="228" t="s">
        <v>2943</v>
      </c>
      <c r="P122" s="233"/>
      <c r="Q122" s="233">
        <v>7</v>
      </c>
      <c r="R122" s="233">
        <v>120</v>
      </c>
    </row>
    <row r="123" spans="14:18" x14ac:dyDescent="0.3">
      <c r="N123" s="228" t="s">
        <v>2944</v>
      </c>
      <c r="P123" s="233"/>
      <c r="Q123" s="233">
        <v>9</v>
      </c>
      <c r="R123" s="233">
        <v>93</v>
      </c>
    </row>
    <row r="124" spans="14:18" ht="15" thickBot="1" x14ac:dyDescent="0.35">
      <c r="N124" s="236" t="s">
        <v>2945</v>
      </c>
      <c r="O124">
        <v>10</v>
      </c>
      <c r="P124" s="233"/>
      <c r="Q124" s="233"/>
      <c r="R124" s="233">
        <v>120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O630"/>
  <sheetViews>
    <sheetView showGridLines="0" zoomScale="85" zoomScaleNormal="85" workbookViewId="0">
      <pane xSplit="1" ySplit="1" topLeftCell="J6" activePane="bottomRight" state="frozen"/>
      <selection activeCell="B2" sqref="B2"/>
      <selection pane="topRight" activeCell="B2" sqref="B2"/>
      <selection pane="bottomLeft" activeCell="B2" sqref="B2"/>
      <selection pane="bottomRight" activeCell="R40" sqref="R40"/>
    </sheetView>
  </sheetViews>
  <sheetFormatPr defaultColWidth="14.44140625" defaultRowHeight="15" customHeight="1" x14ac:dyDescent="0.3"/>
  <cols>
    <col min="1" max="1" width="20.44140625" customWidth="1"/>
    <col min="2" max="2" width="25" customWidth="1"/>
    <col min="3" max="3" width="20" style="148" customWidth="1"/>
    <col min="4" max="4" width="19.109375" style="148" customWidth="1"/>
    <col min="5" max="5" width="11.88671875" customWidth="1"/>
    <col min="6" max="6" width="11.5546875" customWidth="1"/>
    <col min="7" max="7" width="35.88671875" style="207" customWidth="1"/>
    <col min="8" max="8" width="16.5546875" customWidth="1"/>
    <col min="9" max="9" width="24" style="3" customWidth="1"/>
    <col min="10" max="10" width="18.44140625" bestFit="1" customWidth="1"/>
    <col min="11" max="11" width="20.6640625" customWidth="1"/>
    <col min="12" max="12" width="24.88671875" customWidth="1"/>
    <col min="13" max="13" width="19" customWidth="1"/>
    <col min="14" max="14" width="11.6640625" style="2" customWidth="1"/>
    <col min="15" max="15" width="12.33203125" customWidth="1"/>
    <col min="16" max="16" width="11.6640625" customWidth="1"/>
    <col min="17" max="17" width="6" customWidth="1"/>
    <col min="18" max="18" width="9.33203125" customWidth="1"/>
    <col min="19" max="19" width="7.44140625" customWidth="1"/>
    <col min="20" max="20" width="5.33203125" customWidth="1"/>
    <col min="21" max="21" width="7.5546875" customWidth="1"/>
    <col min="22" max="22" width="7.88671875" customWidth="1"/>
    <col min="23" max="23" width="19.109375" style="2" customWidth="1"/>
    <col min="24" max="24" width="28.6640625" bestFit="1" customWidth="1"/>
    <col min="25" max="25" width="5.6640625" customWidth="1"/>
    <col min="26" max="26" width="7.5546875" customWidth="1"/>
  </cols>
  <sheetData>
    <row r="1" spans="1:41" ht="53.25" customHeight="1" x14ac:dyDescent="0.3">
      <c r="A1" s="141" t="s">
        <v>116</v>
      </c>
      <c r="B1" s="116" t="s">
        <v>119</v>
      </c>
      <c r="C1" s="116" t="s">
        <v>2542</v>
      </c>
      <c r="D1" s="116" t="s">
        <v>2577</v>
      </c>
      <c r="E1" s="116" t="s">
        <v>122</v>
      </c>
      <c r="F1" s="116" t="s">
        <v>124</v>
      </c>
      <c r="G1" s="204" t="s">
        <v>2541</v>
      </c>
      <c r="H1" s="116" t="s">
        <v>2540</v>
      </c>
      <c r="I1" s="116" t="s">
        <v>125</v>
      </c>
      <c r="J1" s="142" t="s">
        <v>126</v>
      </c>
      <c r="K1" s="142" t="s">
        <v>127</v>
      </c>
      <c r="L1" s="142" t="s">
        <v>128</v>
      </c>
      <c r="M1" s="143" t="s">
        <v>296</v>
      </c>
      <c r="N1" s="116" t="s">
        <v>129</v>
      </c>
      <c r="O1" s="116" t="s">
        <v>130</v>
      </c>
      <c r="P1" s="116" t="s">
        <v>131</v>
      </c>
      <c r="Q1" s="116" t="s">
        <v>132</v>
      </c>
      <c r="R1" s="116" t="s">
        <v>133</v>
      </c>
      <c r="S1" s="116" t="s">
        <v>134</v>
      </c>
      <c r="T1" s="116" t="s">
        <v>135</v>
      </c>
      <c r="U1" s="116" t="s">
        <v>136</v>
      </c>
      <c r="V1" s="116" t="s">
        <v>137</v>
      </c>
      <c r="W1" s="116" t="s">
        <v>20</v>
      </c>
      <c r="X1" s="116" t="s">
        <v>138</v>
      </c>
      <c r="Y1" s="116" t="s">
        <v>139</v>
      </c>
      <c r="Z1" s="144" t="s">
        <v>47</v>
      </c>
      <c r="AA1" s="149"/>
      <c r="AB1" s="149"/>
      <c r="AC1" s="149"/>
      <c r="AD1" s="149"/>
      <c r="AE1" s="149"/>
      <c r="AF1" s="149"/>
      <c r="AG1" s="149"/>
      <c r="AH1" s="149"/>
      <c r="AI1" s="150"/>
      <c r="AJ1" s="150"/>
      <c r="AK1" s="150"/>
      <c r="AL1" s="149"/>
      <c r="AM1" s="149"/>
      <c r="AN1" s="149"/>
      <c r="AO1" s="149"/>
    </row>
    <row r="2" spans="1:41" ht="14.4" x14ac:dyDescent="0.3">
      <c r="A2" s="107" t="s">
        <v>2602</v>
      </c>
      <c r="B2" s="188" t="s">
        <v>2708</v>
      </c>
      <c r="C2" s="211" t="s">
        <v>2603</v>
      </c>
      <c r="D2" s="180">
        <v>3</v>
      </c>
      <c r="E2" s="187"/>
      <c r="F2" s="189" t="s">
        <v>142</v>
      </c>
      <c r="G2" s="140" t="s">
        <v>2589</v>
      </c>
      <c r="H2" s="188"/>
      <c r="I2" s="216" t="s">
        <v>2608</v>
      </c>
      <c r="J2" s="146">
        <v>46163</v>
      </c>
      <c r="K2" s="146">
        <v>46164</v>
      </c>
      <c r="L2" s="146">
        <v>46206</v>
      </c>
      <c r="M2" s="190"/>
      <c r="N2" s="180" t="s">
        <v>187</v>
      </c>
      <c r="O2" s="188" t="s">
        <v>2585</v>
      </c>
      <c r="P2" s="187" t="s">
        <v>145</v>
      </c>
      <c r="Q2" s="188"/>
      <c r="R2" s="188"/>
      <c r="S2" s="188"/>
      <c r="T2" s="188"/>
      <c r="U2" s="188"/>
      <c r="V2" s="188"/>
      <c r="W2" s="188"/>
      <c r="X2" s="140"/>
      <c r="Y2" s="188"/>
      <c r="Z2" s="140"/>
    </row>
    <row r="3" spans="1:41" ht="14.4" x14ac:dyDescent="0.3">
      <c r="A3" s="107" t="s">
        <v>2609</v>
      </c>
      <c r="B3" s="188" t="s">
        <v>2708</v>
      </c>
      <c r="C3" s="211" t="s">
        <v>2589</v>
      </c>
      <c r="D3" s="180">
        <v>159</v>
      </c>
      <c r="E3" s="187"/>
      <c r="F3" s="189" t="s">
        <v>142</v>
      </c>
      <c r="G3" s="140" t="s">
        <v>2589</v>
      </c>
      <c r="H3" s="191"/>
      <c r="I3" s="216" t="s">
        <v>2589</v>
      </c>
      <c r="J3" s="146">
        <v>46189</v>
      </c>
      <c r="K3" s="146">
        <v>46190</v>
      </c>
      <c r="L3" s="146">
        <v>46206</v>
      </c>
      <c r="M3" s="190"/>
      <c r="N3" s="180" t="s">
        <v>236</v>
      </c>
      <c r="O3" s="188" t="s">
        <v>2585</v>
      </c>
      <c r="P3" s="187" t="s">
        <v>145</v>
      </c>
      <c r="Q3" s="188"/>
      <c r="R3" s="188"/>
      <c r="S3" s="188"/>
      <c r="T3" s="188"/>
      <c r="U3" s="188"/>
      <c r="V3" s="188"/>
      <c r="W3" s="188"/>
      <c r="X3" s="140"/>
      <c r="Y3" s="188"/>
      <c r="Z3" s="140"/>
    </row>
    <row r="4" spans="1:41" ht="14.4" x14ac:dyDescent="0.3">
      <c r="A4" s="107" t="s">
        <v>2616</v>
      </c>
      <c r="B4" s="188" t="s">
        <v>2708</v>
      </c>
      <c r="C4" s="211" t="s">
        <v>2589</v>
      </c>
      <c r="D4" s="180">
        <v>11</v>
      </c>
      <c r="E4" s="188"/>
      <c r="F4" s="189" t="s">
        <v>142</v>
      </c>
      <c r="G4" s="140" t="s">
        <v>2589</v>
      </c>
      <c r="H4" s="191"/>
      <c r="I4" s="140" t="s">
        <v>2589</v>
      </c>
      <c r="J4" s="146">
        <v>46199</v>
      </c>
      <c r="K4" s="146">
        <v>46202</v>
      </c>
      <c r="L4" s="146">
        <v>46199</v>
      </c>
      <c r="M4" s="190"/>
      <c r="N4" s="146" t="s">
        <v>236</v>
      </c>
      <c r="O4" s="188" t="s">
        <v>2585</v>
      </c>
      <c r="P4" s="187" t="s">
        <v>145</v>
      </c>
      <c r="Q4" s="188"/>
      <c r="R4" s="188"/>
      <c r="S4" s="188"/>
      <c r="T4" s="188"/>
      <c r="U4" s="188"/>
      <c r="V4" s="188"/>
      <c r="W4" s="188"/>
      <c r="X4" s="140"/>
      <c r="Y4" s="188"/>
      <c r="Z4" s="140"/>
    </row>
    <row r="5" spans="1:41" ht="39" customHeight="1" x14ac:dyDescent="0.3">
      <c r="A5" s="107" t="s">
        <v>2617</v>
      </c>
      <c r="B5" s="188" t="s">
        <v>2708</v>
      </c>
      <c r="C5" s="211" t="s">
        <v>2612</v>
      </c>
      <c r="D5" s="180">
        <v>10</v>
      </c>
      <c r="E5" s="188"/>
      <c r="F5" s="189" t="s">
        <v>142</v>
      </c>
      <c r="G5" s="216" t="s">
        <v>2614</v>
      </c>
      <c r="H5" s="191"/>
      <c r="I5" s="140" t="s">
        <v>2615</v>
      </c>
      <c r="J5" s="146">
        <v>46199</v>
      </c>
      <c r="K5" s="146">
        <v>46202</v>
      </c>
      <c r="L5" s="146">
        <v>46199</v>
      </c>
      <c r="M5" s="190"/>
      <c r="N5" s="180" t="s">
        <v>236</v>
      </c>
      <c r="O5" s="188" t="s">
        <v>2585</v>
      </c>
      <c r="P5" s="187" t="s">
        <v>145</v>
      </c>
      <c r="Q5" s="188"/>
      <c r="R5" s="188"/>
      <c r="S5" s="188"/>
      <c r="T5" s="188"/>
      <c r="U5" s="188"/>
      <c r="V5" s="188"/>
      <c r="W5" s="188"/>
      <c r="X5" s="140"/>
      <c r="Y5" s="188"/>
      <c r="Z5" s="140"/>
    </row>
    <row r="6" spans="1:41" ht="39" customHeight="1" x14ac:dyDescent="0.3">
      <c r="A6" s="107" t="s">
        <v>2618</v>
      </c>
      <c r="B6" s="188" t="s">
        <v>2708</v>
      </c>
      <c r="C6" s="140" t="s">
        <v>2619</v>
      </c>
      <c r="D6" s="180">
        <v>1</v>
      </c>
      <c r="E6" s="188"/>
      <c r="F6" s="189" t="s">
        <v>142</v>
      </c>
      <c r="G6" s="140" t="s">
        <v>2589</v>
      </c>
      <c r="H6" s="188"/>
      <c r="I6" s="211" t="s">
        <v>2592</v>
      </c>
      <c r="J6" s="146">
        <v>46199</v>
      </c>
      <c r="K6" s="146">
        <v>46202</v>
      </c>
      <c r="L6" s="146">
        <v>46202</v>
      </c>
      <c r="M6" s="190"/>
      <c r="N6" s="180" t="s">
        <v>236</v>
      </c>
      <c r="O6" s="188" t="s">
        <v>2585</v>
      </c>
      <c r="P6" s="187" t="s">
        <v>145</v>
      </c>
      <c r="Q6" s="188"/>
      <c r="R6" s="188"/>
      <c r="S6" s="188"/>
      <c r="T6" s="188"/>
      <c r="U6" s="188"/>
      <c r="V6" s="188"/>
      <c r="W6" s="188"/>
      <c r="X6" s="140"/>
      <c r="Y6" s="188"/>
      <c r="Z6" s="140"/>
    </row>
    <row r="7" spans="1:41" ht="39" customHeight="1" x14ac:dyDescent="0.3">
      <c r="A7" s="107" t="s">
        <v>2623</v>
      </c>
      <c r="B7" s="188" t="s">
        <v>2708</v>
      </c>
      <c r="C7" s="211" t="s">
        <v>2624</v>
      </c>
      <c r="D7" s="140">
        <v>10</v>
      </c>
      <c r="E7" s="188"/>
      <c r="F7" s="189" t="s">
        <v>142</v>
      </c>
      <c r="G7" s="140" t="s">
        <v>2600</v>
      </c>
      <c r="H7" s="188"/>
      <c r="I7" s="140" t="s">
        <v>2597</v>
      </c>
      <c r="J7" s="146">
        <v>46199</v>
      </c>
      <c r="K7" s="146">
        <v>46202</v>
      </c>
      <c r="L7" s="146">
        <v>46202</v>
      </c>
      <c r="M7" s="190"/>
      <c r="N7" s="140" t="s">
        <v>236</v>
      </c>
      <c r="O7" s="188" t="s">
        <v>2585</v>
      </c>
      <c r="P7" s="187" t="s">
        <v>145</v>
      </c>
      <c r="Q7" s="188"/>
      <c r="R7" s="188"/>
      <c r="S7" s="188"/>
      <c r="T7" s="188"/>
      <c r="U7" s="188"/>
      <c r="V7" s="188"/>
      <c r="W7" s="188"/>
      <c r="X7" s="140"/>
      <c r="Y7" s="188"/>
      <c r="Z7" s="140"/>
    </row>
    <row r="8" spans="1:41" ht="39" customHeight="1" x14ac:dyDescent="0.3">
      <c r="A8" s="107" t="s">
        <v>2627</v>
      </c>
      <c r="B8" s="188" t="s">
        <v>2708</v>
      </c>
      <c r="C8" s="140" t="s">
        <v>2628</v>
      </c>
      <c r="D8" s="140">
        <v>13</v>
      </c>
      <c r="E8" s="188"/>
      <c r="F8" s="189" t="s">
        <v>142</v>
      </c>
      <c r="G8" s="140" t="s">
        <v>2600</v>
      </c>
      <c r="H8" s="188"/>
      <c r="I8" s="140" t="s">
        <v>2597</v>
      </c>
      <c r="J8" s="146">
        <v>46204</v>
      </c>
      <c r="K8" s="146">
        <v>46206</v>
      </c>
      <c r="L8" s="146">
        <v>46204</v>
      </c>
      <c r="M8" s="190"/>
      <c r="N8" s="140" t="s">
        <v>236</v>
      </c>
      <c r="O8" s="188" t="s">
        <v>2585</v>
      </c>
      <c r="P8" s="187" t="s">
        <v>145</v>
      </c>
      <c r="Q8" s="188"/>
      <c r="R8" s="188"/>
      <c r="S8" s="188"/>
      <c r="T8" s="188"/>
      <c r="U8" s="188"/>
      <c r="V8" s="188"/>
      <c r="W8" s="188"/>
      <c r="X8" s="140"/>
      <c r="Y8" s="188"/>
      <c r="Z8" s="140"/>
    </row>
    <row r="9" spans="1:41" ht="39" customHeight="1" x14ac:dyDescent="0.3">
      <c r="A9" s="107" t="s">
        <v>2630</v>
      </c>
      <c r="B9" s="188" t="s">
        <v>2708</v>
      </c>
      <c r="C9" s="140" t="s">
        <v>2631</v>
      </c>
      <c r="D9" s="140">
        <v>1</v>
      </c>
      <c r="E9" s="188"/>
      <c r="F9" s="189" t="s">
        <v>142</v>
      </c>
      <c r="G9" s="140" t="s">
        <v>2589</v>
      </c>
      <c r="H9" s="188"/>
      <c r="I9" s="140" t="s">
        <v>2589</v>
      </c>
      <c r="J9" s="146">
        <v>46206</v>
      </c>
      <c r="K9" s="146">
        <v>46209</v>
      </c>
      <c r="L9" s="146">
        <v>46206</v>
      </c>
      <c r="M9" s="190"/>
      <c r="N9" s="140" t="s">
        <v>236</v>
      </c>
      <c r="O9" s="188" t="s">
        <v>2585</v>
      </c>
      <c r="P9" s="187" t="s">
        <v>145</v>
      </c>
      <c r="Q9" s="188"/>
      <c r="R9" s="188"/>
      <c r="S9" s="188"/>
      <c r="T9" s="188"/>
      <c r="U9" s="188"/>
      <c r="V9" s="188"/>
      <c r="W9" s="188"/>
      <c r="X9" s="140"/>
      <c r="Y9" s="188"/>
      <c r="Z9" s="140"/>
    </row>
    <row r="10" spans="1:41" ht="27.6" x14ac:dyDescent="0.3">
      <c r="A10" s="107" t="s">
        <v>2635</v>
      </c>
      <c r="B10" s="188" t="s">
        <v>2708</v>
      </c>
      <c r="C10" s="140" t="s">
        <v>2636</v>
      </c>
      <c r="D10" s="140">
        <v>9</v>
      </c>
      <c r="E10" s="188"/>
      <c r="F10" s="189" t="s">
        <v>142</v>
      </c>
      <c r="G10" s="140" t="s">
        <v>2639</v>
      </c>
      <c r="H10" s="188"/>
      <c r="I10" s="140" t="s">
        <v>2597</v>
      </c>
      <c r="J10" s="146">
        <v>46206</v>
      </c>
      <c r="K10" s="146">
        <v>46209</v>
      </c>
      <c r="L10" s="146">
        <v>46209</v>
      </c>
      <c r="M10" s="190"/>
      <c r="N10" s="140" t="s">
        <v>236</v>
      </c>
      <c r="O10" s="188" t="s">
        <v>2585</v>
      </c>
      <c r="P10" s="187" t="s">
        <v>145</v>
      </c>
      <c r="Q10" s="188"/>
      <c r="R10" s="188"/>
      <c r="S10" s="188"/>
      <c r="T10" s="188"/>
      <c r="U10" s="188"/>
      <c r="V10" s="188"/>
      <c r="W10" s="188"/>
      <c r="X10" s="140"/>
      <c r="Y10" s="188"/>
      <c r="Z10" s="140"/>
    </row>
    <row r="11" spans="1:41" ht="27.6" x14ac:dyDescent="0.3">
      <c r="A11" s="107" t="s">
        <v>2640</v>
      </c>
      <c r="B11" s="188" t="s">
        <v>2708</v>
      </c>
      <c r="C11" s="140" t="s">
        <v>2641</v>
      </c>
      <c r="D11" s="181">
        <v>6</v>
      </c>
      <c r="E11" s="199"/>
      <c r="F11" s="189" t="s">
        <v>142</v>
      </c>
      <c r="G11" s="140" t="s">
        <v>2639</v>
      </c>
      <c r="H11" s="188"/>
      <c r="I11" s="140" t="s">
        <v>2597</v>
      </c>
      <c r="J11" s="146">
        <v>46206</v>
      </c>
      <c r="K11" s="146">
        <v>46209</v>
      </c>
      <c r="L11" s="146">
        <v>46223</v>
      </c>
      <c r="M11" s="201"/>
      <c r="N11" s="140" t="s">
        <v>187</v>
      </c>
      <c r="O11" s="188" t="s">
        <v>2585</v>
      </c>
      <c r="P11" s="203" t="s">
        <v>145</v>
      </c>
      <c r="Q11" s="202"/>
      <c r="R11" s="202"/>
      <c r="S11" s="202"/>
      <c r="T11" s="202"/>
      <c r="U11" s="202"/>
      <c r="V11" s="202"/>
      <c r="W11" s="202"/>
      <c r="X11" s="140"/>
      <c r="Y11" s="188"/>
      <c r="Z11" s="140"/>
    </row>
    <row r="12" spans="1:41" ht="14.4" x14ac:dyDescent="0.3">
      <c r="A12" s="107" t="s">
        <v>2643</v>
      </c>
      <c r="B12" s="188" t="s">
        <v>2708</v>
      </c>
      <c r="C12" s="140" t="s">
        <v>2644</v>
      </c>
      <c r="D12" s="180">
        <v>1</v>
      </c>
      <c r="E12" s="188"/>
      <c r="F12" s="189" t="s">
        <v>142</v>
      </c>
      <c r="G12" s="140" t="s">
        <v>2648</v>
      </c>
      <c r="H12" s="188"/>
      <c r="I12" s="140" t="s">
        <v>2647</v>
      </c>
      <c r="J12" s="146">
        <v>46206</v>
      </c>
      <c r="K12" s="146">
        <v>46209</v>
      </c>
      <c r="L12" s="146">
        <v>46220</v>
      </c>
      <c r="M12" s="190"/>
      <c r="N12" s="180" t="s">
        <v>187</v>
      </c>
      <c r="O12" s="188" t="s">
        <v>2585</v>
      </c>
      <c r="P12" s="187" t="s">
        <v>145</v>
      </c>
      <c r="Q12" s="188"/>
      <c r="R12" s="188"/>
      <c r="S12" s="188"/>
      <c r="T12" s="188"/>
      <c r="U12" s="188"/>
      <c r="V12" s="188"/>
      <c r="W12" s="188"/>
      <c r="X12" s="140"/>
      <c r="Y12" s="188"/>
      <c r="Z12" s="140"/>
    </row>
    <row r="13" spans="1:41" ht="27.6" x14ac:dyDescent="0.3">
      <c r="A13" s="107" t="s">
        <v>2649</v>
      </c>
      <c r="B13" s="188" t="s">
        <v>2708</v>
      </c>
      <c r="C13" s="140" t="s">
        <v>2650</v>
      </c>
      <c r="D13" s="180">
        <v>10</v>
      </c>
      <c r="E13" s="188"/>
      <c r="F13" s="189" t="s">
        <v>142</v>
      </c>
      <c r="G13" s="140" t="s">
        <v>2600</v>
      </c>
      <c r="H13" s="140"/>
      <c r="I13" s="220" t="s">
        <v>2597</v>
      </c>
      <c r="J13" s="146">
        <v>46206</v>
      </c>
      <c r="K13" s="146">
        <v>46209</v>
      </c>
      <c r="L13" s="146">
        <v>46221</v>
      </c>
      <c r="M13" s="190"/>
      <c r="N13" s="180" t="s">
        <v>187</v>
      </c>
      <c r="O13" s="188" t="s">
        <v>2585</v>
      </c>
      <c r="P13" s="187" t="s">
        <v>145</v>
      </c>
      <c r="Q13" s="188"/>
      <c r="R13" s="188"/>
      <c r="S13" s="188"/>
      <c r="T13" s="188"/>
      <c r="U13" s="188"/>
      <c r="V13" s="188"/>
      <c r="W13" s="188"/>
      <c r="X13" s="140"/>
      <c r="Y13" s="188"/>
      <c r="Z13" s="140"/>
    </row>
    <row r="14" spans="1:41" ht="14.4" x14ac:dyDescent="0.3">
      <c r="A14" s="107" t="s">
        <v>2652</v>
      </c>
      <c r="B14" s="188" t="s">
        <v>2708</v>
      </c>
      <c r="C14" s="140" t="s">
        <v>2653</v>
      </c>
      <c r="D14" s="180">
        <v>0</v>
      </c>
      <c r="E14" s="188"/>
      <c r="F14" s="189" t="s">
        <v>142</v>
      </c>
      <c r="G14" s="140" t="s">
        <v>2658</v>
      </c>
      <c r="H14" s="188"/>
      <c r="I14" s="220" t="s">
        <v>2657</v>
      </c>
      <c r="J14" s="146">
        <v>46206</v>
      </c>
      <c r="K14" s="146">
        <v>46209</v>
      </c>
      <c r="L14" s="146">
        <v>46206</v>
      </c>
      <c r="M14" s="190"/>
      <c r="N14" s="180" t="s">
        <v>236</v>
      </c>
      <c r="O14" s="188" t="s">
        <v>2585</v>
      </c>
      <c r="P14" s="187" t="s">
        <v>145</v>
      </c>
      <c r="Q14" s="188"/>
      <c r="R14" s="188"/>
      <c r="S14" s="188"/>
      <c r="T14" s="188"/>
      <c r="U14" s="188"/>
      <c r="V14" s="188"/>
      <c r="W14" s="188"/>
      <c r="X14" s="140"/>
      <c r="Y14" s="188"/>
      <c r="Z14" s="140"/>
    </row>
    <row r="15" spans="1:41" ht="27.6" x14ac:dyDescent="0.3">
      <c r="A15" s="107" t="s">
        <v>2659</v>
      </c>
      <c r="B15" s="188" t="s">
        <v>2708</v>
      </c>
      <c r="C15" s="211" t="s">
        <v>2663</v>
      </c>
      <c r="D15" s="180">
        <v>56</v>
      </c>
      <c r="E15" s="188"/>
      <c r="F15" s="189" t="s">
        <v>142</v>
      </c>
      <c r="G15" s="140" t="s">
        <v>2662</v>
      </c>
      <c r="H15" s="188"/>
      <c r="I15" s="220" t="s">
        <v>2660</v>
      </c>
      <c r="J15" s="146">
        <v>46206</v>
      </c>
      <c r="K15" s="146">
        <v>46209</v>
      </c>
      <c r="L15" s="146">
        <v>46219</v>
      </c>
      <c r="M15" s="190"/>
      <c r="N15" s="180" t="s">
        <v>187</v>
      </c>
      <c r="O15" s="188" t="s">
        <v>2585</v>
      </c>
      <c r="P15" s="188" t="s">
        <v>145</v>
      </c>
      <c r="Q15" s="188"/>
      <c r="R15" s="188"/>
      <c r="S15" s="188"/>
      <c r="T15" s="188"/>
      <c r="U15" s="188"/>
      <c r="V15" s="188"/>
      <c r="W15" s="188"/>
      <c r="X15" s="140"/>
      <c r="Y15" s="188"/>
      <c r="Z15" s="140"/>
    </row>
    <row r="16" spans="1:41" ht="14.4" x14ac:dyDescent="0.3">
      <c r="A16" s="107" t="s">
        <v>2666</v>
      </c>
      <c r="B16" s="188" t="s">
        <v>2708</v>
      </c>
      <c r="C16" s="211" t="s">
        <v>2667</v>
      </c>
      <c r="D16" s="180">
        <v>1</v>
      </c>
      <c r="E16" s="188"/>
      <c r="F16" s="189" t="s">
        <v>142</v>
      </c>
      <c r="G16" s="140" t="s">
        <v>2658</v>
      </c>
      <c r="H16" s="188"/>
      <c r="I16" s="220" t="s">
        <v>2657</v>
      </c>
      <c r="J16" s="146">
        <v>46209</v>
      </c>
      <c r="K16" s="146">
        <v>46210</v>
      </c>
      <c r="L16" s="146">
        <v>46210</v>
      </c>
      <c r="M16" s="190"/>
      <c r="N16" s="180" t="s">
        <v>236</v>
      </c>
      <c r="O16" s="188" t="s">
        <v>2585</v>
      </c>
      <c r="P16" s="188" t="s">
        <v>145</v>
      </c>
      <c r="Q16" s="188"/>
      <c r="R16" s="188"/>
      <c r="S16" s="188"/>
      <c r="T16" s="188"/>
      <c r="U16" s="188"/>
      <c r="V16" s="188"/>
      <c r="W16" s="188"/>
      <c r="X16" s="140"/>
      <c r="Y16" s="188"/>
      <c r="Z16" s="140"/>
    </row>
    <row r="17" spans="1:26" ht="14.4" x14ac:dyDescent="0.3">
      <c r="A17" s="107" t="s">
        <v>2668</v>
      </c>
      <c r="B17" s="188" t="s">
        <v>2708</v>
      </c>
      <c r="C17" s="140" t="s">
        <v>2669</v>
      </c>
      <c r="D17" s="180">
        <v>24</v>
      </c>
      <c r="E17" s="188"/>
      <c r="F17" s="189" t="s">
        <v>142</v>
      </c>
      <c r="G17" s="140" t="s">
        <v>2671</v>
      </c>
      <c r="H17" s="188"/>
      <c r="I17" s="220" t="s">
        <v>2608</v>
      </c>
      <c r="J17" s="146">
        <v>46211</v>
      </c>
      <c r="K17" s="146">
        <v>46212</v>
      </c>
      <c r="L17" s="146">
        <v>46216</v>
      </c>
      <c r="M17" s="190"/>
      <c r="N17" s="180" t="s">
        <v>236</v>
      </c>
      <c r="O17" s="188" t="s">
        <v>2585</v>
      </c>
      <c r="P17" s="188" t="s">
        <v>145</v>
      </c>
      <c r="Q17" s="188"/>
      <c r="R17" s="188"/>
      <c r="S17" s="188"/>
      <c r="T17" s="188"/>
      <c r="U17" s="188"/>
      <c r="V17" s="188"/>
      <c r="W17" s="188"/>
      <c r="X17" s="140"/>
      <c r="Y17" s="188"/>
      <c r="Z17" s="140"/>
    </row>
    <row r="18" spans="1:26" ht="14.4" x14ac:dyDescent="0.3">
      <c r="A18" s="107" t="s">
        <v>2672</v>
      </c>
      <c r="B18" s="188" t="s">
        <v>2708</v>
      </c>
      <c r="C18" s="140" t="s">
        <v>2673</v>
      </c>
      <c r="D18" s="180">
        <v>56</v>
      </c>
      <c r="E18" s="210"/>
      <c r="F18" s="189" t="s">
        <v>142</v>
      </c>
      <c r="G18" s="140" t="s">
        <v>2677</v>
      </c>
      <c r="H18" s="210"/>
      <c r="I18" s="220" t="s">
        <v>2676</v>
      </c>
      <c r="J18" s="146">
        <v>46211</v>
      </c>
      <c r="K18" s="146">
        <v>46212</v>
      </c>
      <c r="L18" s="146">
        <v>46216</v>
      </c>
      <c r="M18" s="200"/>
      <c r="N18" s="180" t="s">
        <v>236</v>
      </c>
      <c r="O18" s="188" t="s">
        <v>2585</v>
      </c>
      <c r="P18" s="188" t="s">
        <v>145</v>
      </c>
      <c r="Q18" s="210"/>
      <c r="R18" s="210"/>
      <c r="S18" s="210"/>
      <c r="T18" s="210"/>
      <c r="U18" s="210"/>
      <c r="V18" s="210"/>
      <c r="W18" s="210"/>
      <c r="X18" s="140"/>
      <c r="Y18" s="210"/>
      <c r="Z18" s="140"/>
    </row>
    <row r="19" spans="1:26" ht="21.75" customHeight="1" x14ac:dyDescent="0.3">
      <c r="A19" s="107" t="s">
        <v>2678</v>
      </c>
      <c r="B19" s="188" t="s">
        <v>2708</v>
      </c>
      <c r="C19" s="140" t="s">
        <v>2603</v>
      </c>
      <c r="D19" s="180">
        <v>44</v>
      </c>
      <c r="E19" s="140"/>
      <c r="F19" s="189" t="s">
        <v>142</v>
      </c>
      <c r="G19" s="140" t="s">
        <v>2589</v>
      </c>
      <c r="H19" s="140"/>
      <c r="I19" s="220" t="s">
        <v>2608</v>
      </c>
      <c r="J19" s="146">
        <v>46213</v>
      </c>
      <c r="K19" s="146">
        <v>46216</v>
      </c>
      <c r="L19" s="146">
        <v>46213</v>
      </c>
      <c r="M19" s="146"/>
      <c r="N19" s="180" t="s">
        <v>236</v>
      </c>
      <c r="O19" s="188" t="s">
        <v>2585</v>
      </c>
      <c r="P19" s="188" t="s">
        <v>145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spans="1:26" ht="23.25" customHeight="1" x14ac:dyDescent="0.3">
      <c r="A20" s="107" t="s">
        <v>2678</v>
      </c>
      <c r="B20" s="188" t="s">
        <v>2708</v>
      </c>
      <c r="C20" s="140" t="s">
        <v>2603</v>
      </c>
      <c r="D20" s="180">
        <v>1</v>
      </c>
      <c r="E20" s="140"/>
      <c r="F20" s="189" t="s">
        <v>142</v>
      </c>
      <c r="G20" s="140" t="s">
        <v>2589</v>
      </c>
      <c r="H20" s="140"/>
      <c r="I20" s="220" t="s">
        <v>2608</v>
      </c>
      <c r="J20" s="146">
        <v>46213</v>
      </c>
      <c r="K20" s="146">
        <v>46216</v>
      </c>
      <c r="L20" s="146">
        <v>46213</v>
      </c>
      <c r="M20" s="146"/>
      <c r="N20" s="180" t="s">
        <v>236</v>
      </c>
      <c r="O20" s="188" t="s">
        <v>2585</v>
      </c>
      <c r="P20" s="188" t="s">
        <v>145</v>
      </c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 spans="1:26" ht="57.75" customHeight="1" x14ac:dyDescent="0.3">
      <c r="A21" s="107" t="s">
        <v>2679</v>
      </c>
      <c r="B21" s="188" t="s">
        <v>2708</v>
      </c>
      <c r="C21" s="140" t="s">
        <v>2680</v>
      </c>
      <c r="D21" s="180">
        <v>2</v>
      </c>
      <c r="E21" s="140"/>
      <c r="F21" s="189" t="s">
        <v>142</v>
      </c>
      <c r="G21" s="140" t="s">
        <v>2589</v>
      </c>
      <c r="H21" s="140"/>
      <c r="I21" s="220" t="s">
        <v>2589</v>
      </c>
      <c r="J21" s="146">
        <v>46213</v>
      </c>
      <c r="K21" s="146">
        <v>46216</v>
      </c>
      <c r="L21" s="146">
        <v>46219</v>
      </c>
      <c r="M21" s="146"/>
      <c r="N21" s="180" t="s">
        <v>187</v>
      </c>
      <c r="O21" s="188" t="s">
        <v>2585</v>
      </c>
      <c r="P21" s="188" t="s">
        <v>145</v>
      </c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spans="1:26" ht="14.4" x14ac:dyDescent="0.3">
      <c r="A22" s="107" t="s">
        <v>2682</v>
      </c>
      <c r="B22" s="188" t="s">
        <v>2708</v>
      </c>
      <c r="C22" s="140" t="s">
        <v>2683</v>
      </c>
      <c r="D22" s="180">
        <v>1</v>
      </c>
      <c r="E22" s="140"/>
      <c r="F22" s="189" t="s">
        <v>142</v>
      </c>
      <c r="G22" s="140" t="s">
        <v>2686</v>
      </c>
      <c r="H22" s="140"/>
      <c r="I22" s="220" t="s">
        <v>2608</v>
      </c>
      <c r="J22" s="146">
        <v>46217</v>
      </c>
      <c r="K22" s="146">
        <v>46218</v>
      </c>
      <c r="L22" s="146">
        <v>46217</v>
      </c>
      <c r="M22" s="146"/>
      <c r="N22" s="180" t="s">
        <v>236</v>
      </c>
      <c r="O22" s="188" t="s">
        <v>2585</v>
      </c>
      <c r="P22" s="188" t="s">
        <v>145</v>
      </c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spans="1:26" ht="44.25" customHeight="1" x14ac:dyDescent="0.3">
      <c r="A23" s="107" t="s">
        <v>2687</v>
      </c>
      <c r="B23" s="188" t="s">
        <v>2708</v>
      </c>
      <c r="C23" s="140" t="s">
        <v>2688</v>
      </c>
      <c r="D23" s="180">
        <v>8</v>
      </c>
      <c r="E23" s="140"/>
      <c r="F23" s="189" t="s">
        <v>142</v>
      </c>
      <c r="G23" s="140" t="s">
        <v>2691</v>
      </c>
      <c r="H23" s="140"/>
      <c r="I23" s="219" t="s">
        <v>2690</v>
      </c>
      <c r="J23" s="146">
        <v>46217</v>
      </c>
      <c r="K23" s="146">
        <v>46218</v>
      </c>
      <c r="L23" s="146">
        <v>46218</v>
      </c>
      <c r="M23" s="146"/>
      <c r="N23" s="180" t="s">
        <v>236</v>
      </c>
      <c r="O23" s="188" t="s">
        <v>2585</v>
      </c>
      <c r="P23" s="188" t="s">
        <v>145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spans="1:26" ht="27.6" x14ac:dyDescent="0.3">
      <c r="A24" s="107" t="s">
        <v>2692</v>
      </c>
      <c r="B24" s="188" t="s">
        <v>2708</v>
      </c>
      <c r="C24" s="140" t="s">
        <v>2693</v>
      </c>
      <c r="D24" s="180">
        <v>5</v>
      </c>
      <c r="E24" s="140"/>
      <c r="F24" s="189" t="s">
        <v>142</v>
      </c>
      <c r="G24" s="140" t="s">
        <v>2600</v>
      </c>
      <c r="H24" s="140"/>
      <c r="I24" s="219" t="s">
        <v>2597</v>
      </c>
      <c r="J24" s="146">
        <v>46224</v>
      </c>
      <c r="K24" s="146">
        <v>46225</v>
      </c>
      <c r="L24" s="146">
        <v>46225</v>
      </c>
      <c r="M24" s="146"/>
      <c r="N24" s="180" t="s">
        <v>236</v>
      </c>
      <c r="O24" s="188" t="s">
        <v>2585</v>
      </c>
      <c r="P24" s="188" t="s">
        <v>145</v>
      </c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spans="1:26" ht="14.4" x14ac:dyDescent="0.3">
      <c r="A25" s="107" t="s">
        <v>2695</v>
      </c>
      <c r="B25" s="188" t="s">
        <v>2708</v>
      </c>
      <c r="C25" s="140" t="s">
        <v>2696</v>
      </c>
      <c r="D25" s="180">
        <v>3</v>
      </c>
      <c r="E25" s="140"/>
      <c r="F25" s="189" t="s">
        <v>142</v>
      </c>
      <c r="G25" s="140" t="s">
        <v>2700</v>
      </c>
      <c r="H25" s="140"/>
      <c r="I25" s="219" t="s">
        <v>2699</v>
      </c>
      <c r="J25" s="146">
        <v>46224</v>
      </c>
      <c r="K25" s="146">
        <v>46225</v>
      </c>
      <c r="L25" s="146">
        <v>46225</v>
      </c>
      <c r="M25" s="146"/>
      <c r="N25" s="180" t="s">
        <v>236</v>
      </c>
      <c r="O25" s="188" t="s">
        <v>2585</v>
      </c>
      <c r="P25" s="188" t="s">
        <v>145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spans="1:26" ht="14.4" x14ac:dyDescent="0.3">
      <c r="A26" s="107" t="s">
        <v>2701</v>
      </c>
      <c r="B26" s="188" t="s">
        <v>2708</v>
      </c>
      <c r="C26" s="140" t="s">
        <v>2702</v>
      </c>
      <c r="D26" s="180">
        <v>1</v>
      </c>
      <c r="E26" s="140"/>
      <c r="F26" s="189" t="s">
        <v>142</v>
      </c>
      <c r="G26" s="140" t="s">
        <v>2703</v>
      </c>
      <c r="H26" s="140"/>
      <c r="I26" s="140" t="s">
        <v>2699</v>
      </c>
      <c r="J26" s="146">
        <v>46225</v>
      </c>
      <c r="K26" s="146">
        <v>46226</v>
      </c>
      <c r="L26" s="146">
        <v>46225</v>
      </c>
      <c r="M26" s="146"/>
      <c r="N26" s="180" t="s">
        <v>236</v>
      </c>
      <c r="O26" s="188" t="s">
        <v>2585</v>
      </c>
      <c r="P26" s="188" t="s">
        <v>145</v>
      </c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spans="1:26" ht="41.4" x14ac:dyDescent="0.3">
      <c r="A27" s="163" t="s">
        <v>2635</v>
      </c>
      <c r="B27" s="188" t="s">
        <v>2708</v>
      </c>
      <c r="C27" s="140" t="s">
        <v>2709</v>
      </c>
      <c r="D27" s="192">
        <v>5</v>
      </c>
      <c r="E27" s="188" t="s">
        <v>2584</v>
      </c>
      <c r="F27" s="189" t="s">
        <v>269</v>
      </c>
      <c r="G27" s="205" t="s">
        <v>2711</v>
      </c>
      <c r="H27" s="140" t="s">
        <v>2712</v>
      </c>
      <c r="I27" s="140" t="s">
        <v>2713</v>
      </c>
      <c r="J27" s="146">
        <v>46196</v>
      </c>
      <c r="K27" s="146">
        <v>46203</v>
      </c>
      <c r="L27" s="146">
        <v>46211</v>
      </c>
      <c r="M27" s="146">
        <v>46211</v>
      </c>
      <c r="N27" s="140" t="s">
        <v>187</v>
      </c>
      <c r="O27" s="196" t="s">
        <v>155</v>
      </c>
      <c r="P27" s="188" t="s">
        <v>145</v>
      </c>
      <c r="Q27" s="140"/>
      <c r="R27" s="140"/>
      <c r="S27" s="140"/>
      <c r="T27" s="140"/>
      <c r="U27" s="140"/>
      <c r="V27" s="140"/>
      <c r="W27" s="140"/>
      <c r="X27" s="140"/>
      <c r="Y27" s="140" t="s">
        <v>2710</v>
      </c>
      <c r="Z27" s="140">
        <v>746</v>
      </c>
    </row>
    <row r="28" spans="1:26" ht="27.6" x14ac:dyDescent="0.3">
      <c r="A28" s="163" t="s">
        <v>2643</v>
      </c>
      <c r="B28" s="188" t="s">
        <v>2708</v>
      </c>
      <c r="C28" s="140" t="s">
        <v>2714</v>
      </c>
      <c r="D28" s="192">
        <v>11</v>
      </c>
      <c r="E28" s="188" t="s">
        <v>2584</v>
      </c>
      <c r="F28" s="189" t="s">
        <v>269</v>
      </c>
      <c r="G28" s="205" t="s">
        <v>2711</v>
      </c>
      <c r="H28" s="140" t="s">
        <v>2712</v>
      </c>
      <c r="I28" s="140" t="s">
        <v>2713</v>
      </c>
      <c r="J28" s="146">
        <v>46203</v>
      </c>
      <c r="K28" s="146">
        <v>46205</v>
      </c>
      <c r="L28" s="146">
        <v>46211</v>
      </c>
      <c r="M28" s="146">
        <v>46211</v>
      </c>
      <c r="N28" s="140" t="s">
        <v>187</v>
      </c>
      <c r="O28" s="196" t="s">
        <v>155</v>
      </c>
      <c r="P28" s="188" t="s">
        <v>145</v>
      </c>
      <c r="Q28" s="140"/>
      <c r="R28" s="140"/>
      <c r="S28" s="140"/>
      <c r="T28" s="140"/>
      <c r="U28" s="140"/>
      <c r="V28" s="140"/>
      <c r="W28" s="140"/>
      <c r="X28" s="140"/>
      <c r="Y28" s="140" t="s">
        <v>2710</v>
      </c>
      <c r="Z28" s="140">
        <v>746</v>
      </c>
    </row>
    <row r="29" spans="1:26" ht="27.6" x14ac:dyDescent="0.3">
      <c r="A29" s="163" t="s">
        <v>2649</v>
      </c>
      <c r="B29" s="188" t="s">
        <v>2708</v>
      </c>
      <c r="C29" s="140" t="s">
        <v>2715</v>
      </c>
      <c r="D29" s="192">
        <v>22</v>
      </c>
      <c r="E29" s="188" t="s">
        <v>2705</v>
      </c>
      <c r="F29" s="189" t="s">
        <v>156</v>
      </c>
      <c r="G29" s="205" t="s">
        <v>2716</v>
      </c>
      <c r="H29" s="140" t="s">
        <v>2717</v>
      </c>
      <c r="I29" s="140" t="s">
        <v>2718</v>
      </c>
      <c r="J29" s="146">
        <v>46223</v>
      </c>
      <c r="K29" s="146">
        <v>46226</v>
      </c>
      <c r="L29" s="146">
        <v>46226</v>
      </c>
      <c r="M29" s="146">
        <v>46226</v>
      </c>
      <c r="N29" s="140" t="s">
        <v>236</v>
      </c>
      <c r="O29" s="196" t="s">
        <v>155</v>
      </c>
      <c r="P29" s="188" t="s">
        <v>145</v>
      </c>
      <c r="Q29" s="140"/>
      <c r="R29" s="140"/>
      <c r="S29" s="140"/>
      <c r="T29" s="140"/>
      <c r="U29" s="140"/>
      <c r="V29" s="140"/>
      <c r="W29" s="140"/>
      <c r="X29" s="140"/>
      <c r="Y29" s="140" t="s">
        <v>2564</v>
      </c>
      <c r="Z29" s="140">
        <v>1058</v>
      </c>
    </row>
    <row r="30" spans="1:26" ht="26.4" x14ac:dyDescent="0.3">
      <c r="A30" s="163" t="s">
        <v>2652</v>
      </c>
      <c r="B30" s="188" t="s">
        <v>2708</v>
      </c>
      <c r="C30" s="140" t="s">
        <v>2719</v>
      </c>
      <c r="D30" s="192">
        <v>9</v>
      </c>
      <c r="E30" s="188" t="s">
        <v>2705</v>
      </c>
      <c r="F30" s="189" t="s">
        <v>156</v>
      </c>
      <c r="G30" s="205" t="s">
        <v>2726</v>
      </c>
      <c r="H30" s="140" t="s">
        <v>2720</v>
      </c>
      <c r="I30" s="140" t="s">
        <v>2721</v>
      </c>
      <c r="J30" s="146">
        <v>46223</v>
      </c>
      <c r="K30" s="146">
        <v>46226</v>
      </c>
      <c r="L30" s="146">
        <v>46226</v>
      </c>
      <c r="M30" s="146">
        <v>46227</v>
      </c>
      <c r="N30" s="140" t="s">
        <v>236</v>
      </c>
      <c r="O30" s="196" t="s">
        <v>155</v>
      </c>
      <c r="P30" s="188" t="s">
        <v>145</v>
      </c>
      <c r="Q30" s="140"/>
      <c r="R30" s="140"/>
      <c r="S30" s="140"/>
      <c r="T30" s="140"/>
      <c r="U30" s="140"/>
      <c r="V30" s="140"/>
      <c r="W30" s="140"/>
      <c r="X30" s="140"/>
      <c r="Y30" s="140" t="s">
        <v>2564</v>
      </c>
      <c r="Z30" s="140">
        <v>1058</v>
      </c>
    </row>
    <row r="31" spans="1:26" ht="27.6" x14ac:dyDescent="0.3">
      <c r="A31" s="140" t="s">
        <v>2659</v>
      </c>
      <c r="B31" s="188" t="s">
        <v>2708</v>
      </c>
      <c r="C31" s="140" t="s">
        <v>2722</v>
      </c>
      <c r="D31" s="192">
        <v>1</v>
      </c>
      <c r="E31" s="188" t="s">
        <v>2707</v>
      </c>
      <c r="F31" s="189" t="s">
        <v>142</v>
      </c>
      <c r="G31" s="205" t="s">
        <v>2723</v>
      </c>
      <c r="H31" s="140" t="s">
        <v>2724</v>
      </c>
      <c r="I31" s="140" t="s">
        <v>2601</v>
      </c>
      <c r="J31" s="146">
        <v>46223</v>
      </c>
      <c r="K31" s="146">
        <v>46227</v>
      </c>
      <c r="L31" s="146">
        <v>46227</v>
      </c>
      <c r="M31" s="146">
        <v>46227</v>
      </c>
      <c r="N31" s="140" t="s">
        <v>187</v>
      </c>
      <c r="O31" s="196" t="s">
        <v>155</v>
      </c>
      <c r="P31" s="188" t="s">
        <v>145</v>
      </c>
      <c r="Q31" s="140"/>
      <c r="R31" s="140"/>
      <c r="S31" s="140"/>
      <c r="T31" s="140"/>
      <c r="U31" s="140"/>
      <c r="V31" s="140"/>
      <c r="W31" s="140"/>
      <c r="X31" s="140"/>
      <c r="Y31" s="140" t="s">
        <v>92</v>
      </c>
      <c r="Z31" s="140">
        <v>46</v>
      </c>
    </row>
    <row r="32" spans="1:26" ht="41.4" x14ac:dyDescent="0.3">
      <c r="A32" s="140" t="s">
        <v>2643</v>
      </c>
      <c r="B32" s="188" t="s">
        <v>2708</v>
      </c>
      <c r="C32" s="140" t="s">
        <v>2725</v>
      </c>
      <c r="D32" s="140">
        <v>50</v>
      </c>
      <c r="E32" s="140" t="s">
        <v>2705</v>
      </c>
      <c r="F32" s="140" t="s">
        <v>156</v>
      </c>
      <c r="G32" s="205" t="s">
        <v>2726</v>
      </c>
      <c r="H32" s="140" t="s">
        <v>2720</v>
      </c>
      <c r="I32" s="140" t="s">
        <v>2727</v>
      </c>
      <c r="J32" s="146">
        <v>46220</v>
      </c>
      <c r="K32" s="146">
        <v>46225</v>
      </c>
      <c r="L32" s="146">
        <v>46226</v>
      </c>
      <c r="M32" s="146">
        <v>46226</v>
      </c>
      <c r="N32" s="140" t="s">
        <v>187</v>
      </c>
      <c r="O32" s="140" t="s">
        <v>2583</v>
      </c>
      <c r="P32" s="140" t="s">
        <v>145</v>
      </c>
      <c r="Q32" s="140">
        <v>50</v>
      </c>
      <c r="R32" s="140"/>
      <c r="S32" s="140"/>
      <c r="T32" s="140"/>
      <c r="U32" s="140">
        <v>100</v>
      </c>
      <c r="V32" s="140">
        <v>50</v>
      </c>
      <c r="W32" s="140"/>
      <c r="X32" s="140" t="s">
        <v>2728</v>
      </c>
      <c r="Y32" s="140" t="s">
        <v>2564</v>
      </c>
      <c r="Z32" s="140">
        <v>1058</v>
      </c>
    </row>
    <row r="33" spans="1:26" ht="60" customHeight="1" x14ac:dyDescent="0.3">
      <c r="A33" s="140" t="s">
        <v>2731</v>
      </c>
      <c r="B33" s="188" t="s">
        <v>2708</v>
      </c>
      <c r="C33" s="140" t="s">
        <v>2732</v>
      </c>
      <c r="D33" s="224">
        <v>80</v>
      </c>
      <c r="E33" s="188" t="s">
        <v>2730</v>
      </c>
      <c r="F33" s="220" t="s">
        <v>142</v>
      </c>
      <c r="G33" s="205" t="s">
        <v>2733</v>
      </c>
      <c r="H33" s="225">
        <v>71992764349</v>
      </c>
      <c r="I33" s="140" t="s">
        <v>2734</v>
      </c>
      <c r="J33" s="146">
        <v>46223</v>
      </c>
      <c r="K33" s="226">
        <v>46225</v>
      </c>
      <c r="L33" s="226">
        <v>46225</v>
      </c>
      <c r="M33" s="226"/>
      <c r="N33" s="140" t="s">
        <v>236</v>
      </c>
      <c r="O33" s="140" t="s">
        <v>2583</v>
      </c>
      <c r="P33" s="140" t="s">
        <v>145</v>
      </c>
      <c r="Q33" s="224">
        <v>80</v>
      </c>
      <c r="R33" s="224"/>
      <c r="S33" s="224"/>
      <c r="T33" s="224"/>
      <c r="U33" s="224"/>
      <c r="V33" s="224"/>
      <c r="W33" s="140" t="s">
        <v>2735</v>
      </c>
      <c r="X33" s="140" t="s">
        <v>2736</v>
      </c>
      <c r="Y33" s="140" t="s">
        <v>92</v>
      </c>
      <c r="Z33" s="224">
        <v>44</v>
      </c>
    </row>
    <row r="34" spans="1:26" ht="12" customHeight="1" x14ac:dyDescent="0.3">
      <c r="A34" s="163"/>
      <c r="B34" s="163"/>
      <c r="C34" s="145"/>
      <c r="D34" s="145"/>
      <c r="E34" s="164"/>
      <c r="F34" s="164"/>
      <c r="G34" s="206"/>
      <c r="H34" s="163"/>
      <c r="I34" s="163"/>
      <c r="J34" s="165"/>
      <c r="K34" s="166"/>
      <c r="L34" s="165"/>
      <c r="M34" s="164"/>
      <c r="N34" s="163"/>
      <c r="O34" s="163"/>
      <c r="P34" s="89"/>
      <c r="Q34" s="167"/>
      <c r="R34" s="167"/>
      <c r="S34" s="167"/>
      <c r="T34" s="167"/>
      <c r="U34" s="167"/>
      <c r="V34" s="167"/>
      <c r="W34" s="167"/>
      <c r="X34" s="163"/>
      <c r="Y34" s="164"/>
      <c r="Z34" s="164"/>
    </row>
    <row r="35" spans="1:26" ht="12" customHeight="1" x14ac:dyDescent="0.3">
      <c r="A35" s="89"/>
      <c r="B35" s="89"/>
      <c r="C35" s="88"/>
      <c r="D35" s="88"/>
      <c r="E35" s="89"/>
      <c r="F35" s="89"/>
      <c r="H35" s="89"/>
      <c r="I35" s="147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X35" s="147"/>
      <c r="Y35" s="89"/>
      <c r="Z35" s="89"/>
    </row>
    <row r="36" spans="1:26" ht="12" customHeight="1" x14ac:dyDescent="0.3">
      <c r="A36" s="89"/>
      <c r="B36" s="89"/>
      <c r="C36" s="88"/>
      <c r="D36" s="88"/>
      <c r="E36" s="89"/>
      <c r="F36" s="89"/>
      <c r="H36" s="89"/>
      <c r="I36" s="147"/>
      <c r="J36" s="89"/>
      <c r="K36" s="89"/>
      <c r="L36" s="89"/>
      <c r="M36" s="167"/>
      <c r="N36" s="165"/>
      <c r="O36" s="89"/>
      <c r="P36" s="89"/>
      <c r="Q36" s="89"/>
      <c r="R36" s="89"/>
      <c r="S36" s="89"/>
      <c r="T36" s="89"/>
      <c r="U36" s="89"/>
      <c r="V36" s="89"/>
      <c r="W36" s="89"/>
      <c r="X36" s="147"/>
      <c r="Y36" s="89"/>
      <c r="Z36" s="89"/>
    </row>
    <row r="37" spans="1:26" ht="12" customHeight="1" x14ac:dyDescent="0.3">
      <c r="A37" s="89"/>
      <c r="B37" s="89"/>
      <c r="C37" s="88"/>
      <c r="D37" s="88"/>
      <c r="E37" s="89"/>
      <c r="F37" s="89"/>
      <c r="H37" s="89"/>
      <c r="I37" s="147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147"/>
      <c r="Y37" s="89"/>
      <c r="Z37" s="89"/>
    </row>
    <row r="38" spans="1:26" ht="12" customHeight="1" x14ac:dyDescent="0.3">
      <c r="A38" s="89"/>
      <c r="B38" s="89"/>
      <c r="C38" s="88"/>
      <c r="D38" s="88"/>
      <c r="E38" s="149"/>
      <c r="F38" s="149"/>
      <c r="G38" s="208"/>
      <c r="H38" s="301" t="s">
        <v>2543</v>
      </c>
      <c r="I38" s="302"/>
      <c r="J38" s="301" t="s">
        <v>2544</v>
      </c>
      <c r="K38" s="302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147"/>
      <c r="Y38" s="89"/>
      <c r="Z38" s="89"/>
    </row>
    <row r="39" spans="1:26" ht="12" customHeight="1" x14ac:dyDescent="0.3">
      <c r="A39" s="89"/>
      <c r="B39" s="89"/>
      <c r="C39" s="88"/>
      <c r="D39" s="88"/>
      <c r="F39" s="157"/>
      <c r="G39" s="208" t="s">
        <v>163</v>
      </c>
      <c r="H39" s="151" t="s">
        <v>2545</v>
      </c>
      <c r="I39" s="152" t="s">
        <v>164</v>
      </c>
      <c r="J39" s="151" t="s">
        <v>2545</v>
      </c>
      <c r="K39" s="153" t="s">
        <v>164</v>
      </c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147"/>
      <c r="Y39" s="89"/>
      <c r="Z39" s="89"/>
    </row>
    <row r="40" spans="1:26" ht="12" customHeight="1" x14ac:dyDescent="0.3">
      <c r="A40" s="89"/>
      <c r="B40" s="89"/>
      <c r="C40" s="88"/>
      <c r="D40" s="88"/>
      <c r="F40" s="158"/>
      <c r="G40" s="208" t="s">
        <v>165</v>
      </c>
      <c r="H40" s="151">
        <v>6</v>
      </c>
      <c r="I40" s="154">
        <v>1</v>
      </c>
      <c r="J40" s="151">
        <v>25</v>
      </c>
      <c r="K40" s="154">
        <v>1</v>
      </c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147"/>
      <c r="Y40" s="89"/>
      <c r="Z40" s="89"/>
    </row>
    <row r="41" spans="1:26" ht="12" customHeight="1" x14ac:dyDescent="0.3">
      <c r="A41" s="89"/>
      <c r="B41" s="89"/>
      <c r="C41" s="88"/>
      <c r="D41" s="88"/>
      <c r="F41" s="158"/>
      <c r="G41" s="208" t="s">
        <v>166</v>
      </c>
      <c r="H41" s="151">
        <v>2</v>
      </c>
      <c r="I41" s="154">
        <f>H41/H40</f>
        <v>0.33333333333333331</v>
      </c>
      <c r="J41" s="151">
        <v>19</v>
      </c>
      <c r="K41" s="154">
        <f>J41/J40</f>
        <v>0.76</v>
      </c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147"/>
      <c r="Y41" s="89"/>
      <c r="Z41" s="89"/>
    </row>
    <row r="42" spans="1:26" ht="12" customHeight="1" x14ac:dyDescent="0.3">
      <c r="A42" s="89"/>
      <c r="B42" s="89"/>
      <c r="C42" s="88"/>
      <c r="D42" s="88"/>
      <c r="F42" s="158"/>
      <c r="G42" s="208" t="s">
        <v>167</v>
      </c>
      <c r="H42" s="155">
        <f>H40-H41</f>
        <v>4</v>
      </c>
      <c r="I42" s="156">
        <f>H42/H40</f>
        <v>0.66666666666666663</v>
      </c>
      <c r="J42" s="155">
        <f>J40-J41</f>
        <v>6</v>
      </c>
      <c r="K42" s="154">
        <f>J42/J41</f>
        <v>0.31578947368421051</v>
      </c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147"/>
      <c r="Y42" s="89"/>
    </row>
    <row r="43" spans="1:26" ht="12" customHeight="1" x14ac:dyDescent="0.3">
      <c r="A43" s="89"/>
      <c r="B43" s="89"/>
      <c r="C43" s="88"/>
      <c r="D43" s="88"/>
      <c r="E43" s="89"/>
      <c r="F43" s="89"/>
      <c r="H43" s="89"/>
      <c r="I43" s="147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162"/>
    </row>
    <row r="44" spans="1:26" ht="12" customHeight="1" x14ac:dyDescent="0.3">
      <c r="A44" s="89"/>
      <c r="B44" s="89"/>
      <c r="C44" s="88"/>
      <c r="D44" s="88"/>
      <c r="E44" s="89"/>
      <c r="F44" s="89"/>
      <c r="H44" s="89"/>
      <c r="I44" s="147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147"/>
      <c r="Y44" s="89"/>
      <c r="Z44" s="89"/>
    </row>
    <row r="45" spans="1:26" ht="12" customHeight="1" x14ac:dyDescent="0.3">
      <c r="A45" s="89"/>
      <c r="B45" s="89"/>
      <c r="C45" s="88"/>
      <c r="D45" s="88"/>
      <c r="E45" s="89"/>
      <c r="F45" s="89"/>
      <c r="H45" s="89"/>
      <c r="I45" s="147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147"/>
      <c r="Y45" s="89"/>
      <c r="Z45" s="89"/>
    </row>
    <row r="46" spans="1:26" ht="12" customHeight="1" x14ac:dyDescent="0.3">
      <c r="A46" s="89"/>
      <c r="B46" s="89"/>
      <c r="C46" s="88"/>
      <c r="D46" s="88"/>
      <c r="E46" s="89"/>
      <c r="F46" s="89"/>
      <c r="H46" s="89"/>
      <c r="I46" s="147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147"/>
      <c r="U46" s="89"/>
      <c r="V46" s="89"/>
      <c r="W46"/>
      <c r="Y46" s="89"/>
      <c r="Z46" s="89"/>
    </row>
    <row r="47" spans="1:26" ht="12" customHeight="1" x14ac:dyDescent="0.3">
      <c r="A47" s="89"/>
      <c r="B47" s="89"/>
      <c r="C47" s="88"/>
      <c r="D47" s="88"/>
      <c r="E47" s="89"/>
      <c r="F47" s="89"/>
      <c r="H47" s="89"/>
      <c r="I47" s="147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147"/>
      <c r="X47" s="89"/>
      <c r="Y47" s="89"/>
      <c r="Z47" s="89"/>
    </row>
    <row r="48" spans="1:26" ht="12" customHeight="1" x14ac:dyDescent="0.3">
      <c r="A48" s="89"/>
      <c r="B48" s="89"/>
      <c r="C48" s="88"/>
      <c r="D48" s="88"/>
      <c r="E48" s="89"/>
      <c r="F48" s="89"/>
      <c r="H48" s="89"/>
      <c r="I48" s="147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147"/>
      <c r="X48" s="89"/>
      <c r="Y48" s="89"/>
    </row>
    <row r="49" spans="1:26" ht="12" customHeight="1" x14ac:dyDescent="0.3">
      <c r="A49" s="89"/>
      <c r="B49" s="89"/>
      <c r="C49" s="88"/>
      <c r="D49" s="88"/>
      <c r="E49" s="89"/>
      <c r="F49" s="89"/>
      <c r="H49" s="89"/>
      <c r="I49" s="147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</row>
    <row r="50" spans="1:26" ht="12" customHeight="1" x14ac:dyDescent="0.3">
      <c r="A50" s="89"/>
      <c r="B50" s="89"/>
      <c r="C50" s="88"/>
      <c r="D50" s="88"/>
      <c r="E50" s="89"/>
      <c r="F50" s="89"/>
      <c r="H50" s="89"/>
      <c r="I50" s="147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</row>
    <row r="51" spans="1:26" ht="12" customHeight="1" x14ac:dyDescent="0.3">
      <c r="A51" s="89"/>
      <c r="B51" s="89"/>
      <c r="C51" s="88"/>
      <c r="D51" s="88"/>
      <c r="E51" s="89"/>
      <c r="F51" s="89"/>
      <c r="H51" s="89"/>
      <c r="I51" s="147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147"/>
      <c r="Y51" s="89"/>
      <c r="Z51" s="89"/>
    </row>
    <row r="52" spans="1:26" ht="12" customHeight="1" x14ac:dyDescent="0.3">
      <c r="A52" s="89"/>
      <c r="B52" s="89"/>
      <c r="C52" s="88"/>
      <c r="D52" s="88"/>
      <c r="E52" s="89"/>
      <c r="F52" s="89"/>
      <c r="H52" s="89"/>
      <c r="I52" s="147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147"/>
      <c r="Y52" s="89"/>
      <c r="Z52" s="89"/>
    </row>
    <row r="53" spans="1:26" ht="12" customHeight="1" x14ac:dyDescent="0.3">
      <c r="A53" s="89"/>
      <c r="B53" s="89"/>
      <c r="C53" s="88"/>
      <c r="D53" s="88"/>
      <c r="E53" s="89"/>
      <c r="F53" s="89"/>
      <c r="H53" s="89"/>
      <c r="I53" s="147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147"/>
      <c r="Y53" s="89"/>
      <c r="Z53" s="89"/>
    </row>
    <row r="54" spans="1:26" ht="12" customHeight="1" x14ac:dyDescent="0.3">
      <c r="A54" s="89"/>
      <c r="B54" s="89"/>
      <c r="C54" s="88"/>
      <c r="D54" s="88"/>
      <c r="E54" s="89"/>
      <c r="F54" s="89"/>
      <c r="H54" s="89"/>
      <c r="I54" s="147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147"/>
      <c r="Y54" s="89"/>
      <c r="Z54" s="89"/>
    </row>
    <row r="55" spans="1:26" ht="12" customHeight="1" x14ac:dyDescent="0.3">
      <c r="A55" s="89"/>
      <c r="B55" s="89"/>
      <c r="C55" s="88"/>
      <c r="D55" s="88"/>
      <c r="E55" s="89"/>
      <c r="F55" s="89"/>
      <c r="H55" s="89"/>
      <c r="I55" s="147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147"/>
      <c r="Y55" s="89"/>
      <c r="Z55" s="89"/>
    </row>
    <row r="56" spans="1:26" ht="12" customHeight="1" x14ac:dyDescent="0.3">
      <c r="A56" s="89"/>
      <c r="B56" s="89"/>
      <c r="C56" s="88"/>
      <c r="D56" s="88"/>
      <c r="E56" s="89"/>
      <c r="F56" s="89"/>
      <c r="H56" s="89"/>
      <c r="I56" s="147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147"/>
      <c r="Y56" s="89"/>
      <c r="Z56" s="89"/>
    </row>
    <row r="57" spans="1:26" ht="12" customHeight="1" x14ac:dyDescent="0.3">
      <c r="A57" s="89"/>
      <c r="B57" s="89"/>
      <c r="C57" s="88"/>
      <c r="D57" s="88"/>
      <c r="E57" s="89"/>
      <c r="F57" s="89"/>
      <c r="H57" s="89"/>
      <c r="I57" s="147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147"/>
      <c r="Y57" s="89"/>
      <c r="Z57" s="89"/>
    </row>
    <row r="58" spans="1:26" ht="12" customHeight="1" x14ac:dyDescent="0.3">
      <c r="A58" s="89"/>
      <c r="B58" s="89"/>
      <c r="C58" s="88"/>
      <c r="D58" s="88"/>
      <c r="E58" s="89"/>
      <c r="F58" s="89"/>
      <c r="H58" s="89"/>
      <c r="I58" s="147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147"/>
      <c r="Y58" s="89"/>
      <c r="Z58" s="89"/>
    </row>
    <row r="59" spans="1:26" ht="12" customHeight="1" x14ac:dyDescent="0.3">
      <c r="A59" s="89"/>
      <c r="B59" s="89"/>
      <c r="C59" s="88"/>
      <c r="D59" s="88"/>
      <c r="E59" s="89"/>
      <c r="F59" s="89"/>
      <c r="H59" s="89"/>
      <c r="I59" s="147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147"/>
      <c r="Y59" s="89"/>
      <c r="Z59" s="89"/>
    </row>
    <row r="60" spans="1:26" ht="12" customHeight="1" x14ac:dyDescent="0.3">
      <c r="A60" s="89"/>
      <c r="B60" s="89"/>
      <c r="C60" s="88"/>
      <c r="D60" s="88"/>
      <c r="E60" s="89"/>
      <c r="F60" s="89"/>
      <c r="H60" s="89"/>
      <c r="I60" s="147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147"/>
      <c r="Y60" s="89"/>
      <c r="Z60" s="89"/>
    </row>
    <row r="61" spans="1:26" ht="12" customHeight="1" x14ac:dyDescent="0.3">
      <c r="A61" s="89"/>
      <c r="B61" s="89"/>
      <c r="C61" s="88"/>
      <c r="D61" s="88"/>
      <c r="E61" s="89"/>
      <c r="F61" s="89"/>
      <c r="H61" s="89"/>
      <c r="I61" s="147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147"/>
      <c r="Y61" s="89"/>
      <c r="Z61" s="89"/>
    </row>
    <row r="62" spans="1:26" ht="12" customHeight="1" x14ac:dyDescent="0.3">
      <c r="A62" s="89"/>
      <c r="B62" s="89"/>
      <c r="C62" s="88"/>
      <c r="D62" s="88"/>
      <c r="E62" s="89"/>
      <c r="F62" s="89"/>
      <c r="H62" s="89"/>
      <c r="I62" s="147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147"/>
      <c r="Y62" s="89"/>
      <c r="Z62" s="89"/>
    </row>
    <row r="63" spans="1:26" ht="12" customHeight="1" x14ac:dyDescent="0.3">
      <c r="A63" s="89"/>
      <c r="B63" s="89"/>
      <c r="C63" s="88"/>
      <c r="D63" s="88"/>
      <c r="E63" s="89"/>
      <c r="F63" s="89"/>
      <c r="H63" s="89"/>
      <c r="I63" s="147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147"/>
      <c r="Y63" s="89"/>
      <c r="Z63" s="89"/>
    </row>
    <row r="64" spans="1:26" ht="12" customHeight="1" x14ac:dyDescent="0.3">
      <c r="A64" s="89"/>
      <c r="B64" s="89"/>
      <c r="C64" s="88"/>
      <c r="D64" s="88"/>
      <c r="E64" s="89"/>
      <c r="F64" s="89"/>
      <c r="H64" s="89"/>
      <c r="I64" s="147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147"/>
      <c r="Y64" s="89"/>
      <c r="Z64" s="89"/>
    </row>
    <row r="65" spans="1:26" ht="12" customHeight="1" x14ac:dyDescent="0.3">
      <c r="A65" s="89"/>
      <c r="B65" s="89"/>
      <c r="C65" s="88"/>
      <c r="D65" s="88"/>
      <c r="E65" s="89"/>
      <c r="F65" s="89"/>
      <c r="H65" s="89"/>
      <c r="I65" s="147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147"/>
      <c r="Y65" s="89"/>
      <c r="Z65" s="89"/>
    </row>
    <row r="66" spans="1:26" ht="12" customHeight="1" x14ac:dyDescent="0.3">
      <c r="A66" s="89"/>
      <c r="B66" s="89"/>
      <c r="C66" s="88"/>
      <c r="D66" s="88"/>
      <c r="E66" s="89"/>
      <c r="F66" s="89"/>
      <c r="H66" s="89"/>
      <c r="I66" s="147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147"/>
      <c r="Y66" s="89"/>
      <c r="Z66" s="89"/>
    </row>
    <row r="67" spans="1:26" ht="12" customHeight="1" x14ac:dyDescent="0.3">
      <c r="A67" s="89"/>
      <c r="B67" s="89"/>
      <c r="C67" s="88"/>
      <c r="D67" s="88"/>
      <c r="E67" s="89"/>
      <c r="F67" s="89"/>
      <c r="H67" s="89"/>
      <c r="I67" s="147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147"/>
      <c r="Y67" s="89"/>
      <c r="Z67" s="89"/>
    </row>
    <row r="68" spans="1:26" ht="12" customHeight="1" x14ac:dyDescent="0.3">
      <c r="A68" s="89"/>
      <c r="B68" s="89"/>
      <c r="C68" s="88"/>
      <c r="D68" s="88"/>
      <c r="E68" s="89"/>
      <c r="F68" s="89"/>
      <c r="H68" s="89"/>
      <c r="I68" s="147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147"/>
      <c r="Y68" s="89"/>
      <c r="Z68" s="89"/>
    </row>
    <row r="69" spans="1:26" ht="12" customHeight="1" x14ac:dyDescent="0.3">
      <c r="A69" s="89"/>
      <c r="B69" s="89"/>
      <c r="C69" s="88"/>
      <c r="D69" s="88"/>
      <c r="E69" s="89"/>
      <c r="F69" s="89"/>
      <c r="H69" s="89"/>
      <c r="I69" s="147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147"/>
      <c r="Y69" s="89"/>
      <c r="Z69" s="89"/>
    </row>
    <row r="70" spans="1:26" ht="12" customHeight="1" x14ac:dyDescent="0.3">
      <c r="A70" s="89"/>
      <c r="B70" s="89"/>
      <c r="C70" s="88"/>
      <c r="D70" s="88"/>
      <c r="E70" s="89"/>
      <c r="F70" s="89"/>
      <c r="H70" s="89"/>
      <c r="I70" s="147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147"/>
      <c r="Y70" s="89"/>
      <c r="Z70" s="89"/>
    </row>
    <row r="71" spans="1:26" ht="12" customHeight="1" x14ac:dyDescent="0.3">
      <c r="A71" s="89"/>
      <c r="B71" s="89"/>
      <c r="C71" s="88"/>
      <c r="D71" s="88"/>
      <c r="E71" s="89"/>
      <c r="F71" s="89"/>
      <c r="H71" s="89"/>
      <c r="I71" s="147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147"/>
    </row>
    <row r="72" spans="1:26" ht="12" customHeight="1" x14ac:dyDescent="0.3">
      <c r="A72" s="89"/>
      <c r="B72" s="89"/>
      <c r="C72" s="88"/>
      <c r="D72" s="88"/>
      <c r="E72" s="89"/>
      <c r="F72" s="89"/>
      <c r="H72" s="89"/>
      <c r="I72" s="147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147"/>
    </row>
    <row r="73" spans="1:26" ht="12" customHeight="1" x14ac:dyDescent="0.3">
      <c r="A73" s="89"/>
      <c r="B73" s="89"/>
      <c r="C73" s="88"/>
      <c r="D73" s="88"/>
      <c r="E73" s="89"/>
      <c r="F73" s="89"/>
      <c r="H73" s="89"/>
      <c r="I73" s="147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/>
    </row>
    <row r="74" spans="1:26" ht="12" customHeight="1" x14ac:dyDescent="0.3">
      <c r="A74" s="89"/>
      <c r="B74" s="89"/>
      <c r="C74" s="88"/>
      <c r="D74" s="88"/>
      <c r="E74" s="89"/>
      <c r="F74" s="89"/>
      <c r="H74" s="89"/>
      <c r="I74" s="147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/>
    </row>
    <row r="75" spans="1:26" ht="12" customHeight="1" x14ac:dyDescent="0.3">
      <c r="A75" s="89"/>
      <c r="B75" s="89"/>
      <c r="C75" s="88"/>
      <c r="D75" s="88"/>
      <c r="E75" s="89"/>
      <c r="F75" s="89"/>
      <c r="H75" s="89"/>
      <c r="I75" s="147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147"/>
      <c r="Y75" s="89"/>
      <c r="Z75" s="89"/>
    </row>
    <row r="76" spans="1:26" ht="12" customHeight="1" x14ac:dyDescent="0.3">
      <c r="A76" s="89"/>
      <c r="B76" s="89"/>
      <c r="C76" s="88"/>
      <c r="D76" s="88"/>
      <c r="E76" s="89"/>
      <c r="F76" s="89"/>
      <c r="H76" s="89"/>
      <c r="I76" s="147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147"/>
      <c r="Y76" s="89"/>
      <c r="Z76" s="89"/>
    </row>
    <row r="77" spans="1:26" ht="12" customHeight="1" x14ac:dyDescent="0.3">
      <c r="A77" s="89"/>
      <c r="B77" s="89"/>
      <c r="C77" s="88"/>
      <c r="D77" s="88"/>
      <c r="E77" s="89"/>
      <c r="F77" s="89"/>
      <c r="H77" s="89"/>
      <c r="I77" s="147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147"/>
      <c r="Y77" s="89"/>
      <c r="Z77" s="89"/>
    </row>
    <row r="78" spans="1:26" ht="12" customHeight="1" x14ac:dyDescent="0.3">
      <c r="A78" s="89"/>
      <c r="B78" s="89"/>
      <c r="C78" s="88"/>
      <c r="D78" s="88"/>
      <c r="E78" s="89"/>
      <c r="F78" s="89"/>
      <c r="H78" s="89"/>
      <c r="I78" s="147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147"/>
      <c r="Y78" s="89"/>
      <c r="Z78" s="89"/>
    </row>
    <row r="79" spans="1:26" ht="12" customHeight="1" x14ac:dyDescent="0.3">
      <c r="A79" s="89"/>
      <c r="B79" s="89"/>
      <c r="C79" s="88"/>
      <c r="D79" s="88"/>
      <c r="E79" s="89"/>
      <c r="F79" s="89"/>
      <c r="H79" s="89"/>
      <c r="I79" s="147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147"/>
      <c r="Y79" s="89"/>
      <c r="Z79" s="89"/>
    </row>
    <row r="80" spans="1:26" ht="12" customHeight="1" x14ac:dyDescent="0.3">
      <c r="A80" s="89"/>
      <c r="B80" s="89"/>
      <c r="C80" s="88"/>
      <c r="D80" s="88"/>
      <c r="E80" s="89"/>
      <c r="F80" s="89"/>
      <c r="H80" s="89"/>
      <c r="I80" s="147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147"/>
      <c r="Y80" s="89"/>
      <c r="Z80" s="89"/>
    </row>
    <row r="81" spans="1:26" ht="12" customHeight="1" x14ac:dyDescent="0.3">
      <c r="A81" s="89"/>
      <c r="B81" s="89"/>
      <c r="C81" s="88"/>
      <c r="D81" s="88"/>
      <c r="E81" s="89"/>
      <c r="F81" s="89"/>
      <c r="H81" s="89"/>
      <c r="I81" s="147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147"/>
      <c r="Y81" s="89"/>
      <c r="Z81" s="89"/>
    </row>
    <row r="82" spans="1:26" ht="12" customHeight="1" x14ac:dyDescent="0.3">
      <c r="A82" s="89"/>
      <c r="B82" s="89"/>
      <c r="C82" s="88"/>
      <c r="D82" s="88"/>
      <c r="E82" s="89"/>
      <c r="F82" s="89"/>
      <c r="H82" s="89"/>
      <c r="I82" s="147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147"/>
      <c r="Y82" s="89"/>
      <c r="Z82" s="89"/>
    </row>
    <row r="83" spans="1:26" ht="12" customHeight="1" x14ac:dyDescent="0.3">
      <c r="A83" s="89"/>
      <c r="B83" s="89"/>
      <c r="C83" s="88"/>
      <c r="D83" s="88"/>
      <c r="E83" s="89"/>
      <c r="F83" s="89"/>
      <c r="H83" s="89"/>
      <c r="I83" s="147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147"/>
      <c r="Y83" s="89"/>
      <c r="Z83" s="89"/>
    </row>
    <row r="84" spans="1:26" ht="12" customHeight="1" x14ac:dyDescent="0.3">
      <c r="A84" s="89"/>
      <c r="B84" s="89"/>
      <c r="C84" s="88"/>
      <c r="D84" s="88"/>
      <c r="E84" s="89"/>
      <c r="F84" s="89"/>
      <c r="H84" s="89"/>
      <c r="I84" s="147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147"/>
      <c r="Y84" s="89"/>
      <c r="Z84" s="89"/>
    </row>
    <row r="85" spans="1:26" ht="12" customHeight="1" x14ac:dyDescent="0.3">
      <c r="A85" s="89"/>
      <c r="B85" s="89"/>
      <c r="C85" s="88"/>
      <c r="D85" s="88"/>
      <c r="E85" s="89"/>
      <c r="F85" s="89"/>
      <c r="H85" s="89"/>
      <c r="I85" s="147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147"/>
      <c r="Y85" s="89"/>
      <c r="Z85" s="89"/>
    </row>
    <row r="86" spans="1:26" ht="12" customHeight="1" x14ac:dyDescent="0.3">
      <c r="A86" s="89"/>
      <c r="B86" s="89"/>
      <c r="C86" s="88"/>
      <c r="D86" s="88"/>
      <c r="E86" s="89"/>
      <c r="F86" s="89"/>
      <c r="H86" s="89"/>
      <c r="I86" s="147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147"/>
      <c r="Y86" s="89"/>
      <c r="Z86" s="89"/>
    </row>
    <row r="87" spans="1:26" ht="12" customHeight="1" x14ac:dyDescent="0.3">
      <c r="A87" s="89"/>
      <c r="B87" s="89"/>
      <c r="C87" s="88"/>
      <c r="D87" s="88"/>
      <c r="E87" s="89"/>
      <c r="F87" s="89"/>
      <c r="H87" s="89"/>
      <c r="I87" s="147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147"/>
      <c r="Y87" s="89"/>
      <c r="Z87" s="89"/>
    </row>
    <row r="88" spans="1:26" ht="12" customHeight="1" x14ac:dyDescent="0.3">
      <c r="A88" s="89"/>
      <c r="B88" s="89"/>
      <c r="C88" s="88"/>
      <c r="D88" s="88"/>
      <c r="E88" s="89"/>
      <c r="F88" s="89"/>
      <c r="H88" s="89"/>
      <c r="I88" s="147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147"/>
      <c r="Y88" s="89"/>
      <c r="Z88" s="89"/>
    </row>
    <row r="89" spans="1:26" ht="12" customHeight="1" x14ac:dyDescent="0.3">
      <c r="A89" s="89"/>
      <c r="B89" s="89"/>
      <c r="C89" s="88"/>
      <c r="D89" s="88"/>
      <c r="E89" s="89"/>
      <c r="F89" s="89"/>
      <c r="H89" s="89"/>
      <c r="I89" s="147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147"/>
      <c r="Y89" s="89"/>
      <c r="Z89" s="89"/>
    </row>
    <row r="90" spans="1:26" ht="12" customHeight="1" x14ac:dyDescent="0.3">
      <c r="A90" s="89"/>
      <c r="B90" s="89"/>
      <c r="C90" s="88"/>
      <c r="D90" s="88"/>
      <c r="E90" s="89"/>
      <c r="F90" s="89"/>
      <c r="H90" s="89"/>
      <c r="I90" s="147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147"/>
      <c r="Y90" s="89"/>
      <c r="Z90" s="89"/>
    </row>
    <row r="91" spans="1:26" ht="12" customHeight="1" x14ac:dyDescent="0.3">
      <c r="A91" s="89"/>
      <c r="B91" s="89"/>
      <c r="C91" s="88"/>
      <c r="D91" s="88"/>
      <c r="E91" s="89"/>
      <c r="F91" s="89"/>
      <c r="H91" s="89"/>
      <c r="I91" s="147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147"/>
      <c r="Y91" s="89"/>
      <c r="Z91" s="89"/>
    </row>
    <row r="92" spans="1:26" ht="12" customHeight="1" x14ac:dyDescent="0.3">
      <c r="A92" s="89"/>
      <c r="B92" s="89"/>
      <c r="C92" s="88"/>
      <c r="D92" s="88"/>
      <c r="E92" s="89"/>
      <c r="F92" s="89"/>
      <c r="H92" s="89"/>
      <c r="I92" s="147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147"/>
      <c r="Y92" s="89"/>
      <c r="Z92" s="89"/>
    </row>
    <row r="93" spans="1:26" ht="12" customHeight="1" x14ac:dyDescent="0.3">
      <c r="A93" s="89"/>
      <c r="B93" s="89"/>
      <c r="C93" s="88"/>
      <c r="D93" s="88"/>
      <c r="E93" s="89"/>
      <c r="F93" s="89"/>
      <c r="H93" s="89"/>
      <c r="I93" s="147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147"/>
      <c r="Y93" s="89"/>
      <c r="Z93" s="89"/>
    </row>
    <row r="94" spans="1:26" ht="12" customHeight="1" x14ac:dyDescent="0.3">
      <c r="A94" s="89"/>
      <c r="B94" s="89"/>
      <c r="C94" s="88"/>
      <c r="D94" s="88"/>
      <c r="E94" s="89"/>
      <c r="F94" s="89"/>
      <c r="H94" s="89"/>
      <c r="I94" s="147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147"/>
      <c r="Y94" s="89"/>
      <c r="Z94" s="89"/>
    </row>
    <row r="95" spans="1:26" ht="12" customHeight="1" x14ac:dyDescent="0.3">
      <c r="A95" s="89"/>
      <c r="B95" s="89"/>
      <c r="C95" s="88"/>
      <c r="D95" s="88"/>
      <c r="E95" s="89"/>
      <c r="F95" s="89"/>
      <c r="H95" s="89"/>
      <c r="I95" s="147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147"/>
      <c r="Y95" s="89"/>
      <c r="Z95" s="89"/>
    </row>
    <row r="96" spans="1:26" ht="12" customHeight="1" x14ac:dyDescent="0.3">
      <c r="A96" s="89"/>
      <c r="B96" s="89"/>
      <c r="C96" s="88"/>
      <c r="D96" s="88"/>
      <c r="E96" s="89"/>
      <c r="F96" s="89"/>
      <c r="H96" s="89"/>
      <c r="I96" s="147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147"/>
      <c r="Y96" s="89"/>
      <c r="Z96" s="89"/>
    </row>
    <row r="97" spans="1:26" ht="12" customHeight="1" x14ac:dyDescent="0.3">
      <c r="A97" s="89"/>
      <c r="B97" s="89"/>
      <c r="C97" s="88"/>
      <c r="D97" s="88"/>
      <c r="E97" s="89"/>
      <c r="F97" s="89"/>
      <c r="H97" s="89"/>
      <c r="I97" s="147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147"/>
      <c r="Y97" s="89"/>
      <c r="Z97" s="89"/>
    </row>
    <row r="98" spans="1:26" ht="12" customHeight="1" x14ac:dyDescent="0.3">
      <c r="A98" s="89"/>
      <c r="B98" s="89"/>
      <c r="C98" s="88"/>
      <c r="D98" s="88"/>
      <c r="E98" s="89"/>
      <c r="F98" s="89"/>
      <c r="H98" s="89"/>
      <c r="I98" s="147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147"/>
      <c r="Y98" s="89"/>
      <c r="Z98" s="89"/>
    </row>
    <row r="99" spans="1:26" ht="12" customHeight="1" x14ac:dyDescent="0.3">
      <c r="A99" s="89"/>
      <c r="B99" s="89"/>
      <c r="C99" s="88"/>
      <c r="D99" s="88"/>
      <c r="E99" s="89"/>
      <c r="F99" s="89"/>
      <c r="H99" s="89"/>
      <c r="I99" s="147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147"/>
      <c r="Y99" s="89"/>
      <c r="Z99" s="89"/>
    </row>
    <row r="100" spans="1:26" ht="12" customHeight="1" x14ac:dyDescent="0.3">
      <c r="A100" s="89"/>
      <c r="B100" s="89"/>
      <c r="C100" s="88"/>
      <c r="D100" s="88"/>
      <c r="E100" s="89"/>
      <c r="F100" s="89"/>
      <c r="H100" s="89"/>
      <c r="I100" s="147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147"/>
      <c r="Y100" s="89"/>
      <c r="Z100" s="89"/>
    </row>
    <row r="101" spans="1:26" ht="12" customHeight="1" x14ac:dyDescent="0.3">
      <c r="A101" s="89"/>
      <c r="B101" s="89"/>
      <c r="C101" s="88"/>
      <c r="D101" s="88"/>
      <c r="E101" s="89"/>
      <c r="F101" s="89"/>
      <c r="H101" s="89"/>
      <c r="I101" s="147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147"/>
      <c r="Y101" s="89"/>
      <c r="Z101" s="89"/>
    </row>
    <row r="102" spans="1:26" ht="12" customHeight="1" x14ac:dyDescent="0.3">
      <c r="A102" s="89"/>
      <c r="B102" s="89"/>
      <c r="C102" s="88"/>
      <c r="D102" s="88"/>
      <c r="E102" s="89"/>
      <c r="F102" s="89"/>
      <c r="H102" s="89"/>
      <c r="I102" s="147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147"/>
      <c r="Y102" s="89"/>
      <c r="Z102" s="89"/>
    </row>
    <row r="103" spans="1:26" ht="12" customHeight="1" x14ac:dyDescent="0.3">
      <c r="A103" s="89"/>
      <c r="B103" s="89"/>
      <c r="C103" s="88"/>
      <c r="D103" s="88"/>
      <c r="E103" s="89"/>
      <c r="F103" s="89"/>
      <c r="H103" s="89"/>
      <c r="I103" s="147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147"/>
      <c r="Y103" s="89"/>
      <c r="Z103" s="89"/>
    </row>
    <row r="104" spans="1:26" ht="12" customHeight="1" x14ac:dyDescent="0.3">
      <c r="A104" s="89"/>
      <c r="B104" s="89"/>
      <c r="C104" s="88"/>
      <c r="D104" s="88"/>
      <c r="E104" s="89"/>
      <c r="F104" s="89"/>
      <c r="H104" s="89"/>
      <c r="I104" s="147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147"/>
      <c r="Y104" s="89"/>
      <c r="Z104" s="89"/>
    </row>
    <row r="105" spans="1:26" ht="12" customHeight="1" x14ac:dyDescent="0.3">
      <c r="A105" s="89"/>
      <c r="B105" s="89"/>
      <c r="C105" s="88"/>
      <c r="D105" s="88"/>
      <c r="E105" s="89"/>
      <c r="F105" s="89"/>
      <c r="H105" s="89"/>
      <c r="I105" s="147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147"/>
      <c r="Y105" s="89"/>
      <c r="Z105" s="89"/>
    </row>
    <row r="106" spans="1:26" ht="12" customHeight="1" x14ac:dyDescent="0.3">
      <c r="A106" s="89"/>
      <c r="B106" s="89"/>
      <c r="C106" s="88"/>
      <c r="D106" s="88"/>
      <c r="E106" s="89"/>
      <c r="F106" s="89"/>
      <c r="H106" s="89"/>
      <c r="I106" s="147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147"/>
      <c r="Y106" s="89"/>
      <c r="Z106" s="89"/>
    </row>
    <row r="107" spans="1:26" ht="12" customHeight="1" x14ac:dyDescent="0.3">
      <c r="A107" s="89"/>
      <c r="B107" s="89"/>
      <c r="C107" s="88"/>
      <c r="D107" s="88"/>
      <c r="E107" s="89"/>
      <c r="F107" s="89"/>
      <c r="H107" s="89"/>
      <c r="I107" s="147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147"/>
      <c r="Y107" s="89"/>
      <c r="Z107" s="89"/>
    </row>
    <row r="108" spans="1:26" ht="12" customHeight="1" x14ac:dyDescent="0.3">
      <c r="A108" s="89"/>
      <c r="B108" s="89"/>
      <c r="C108" s="88"/>
      <c r="D108" s="88"/>
      <c r="E108" s="89"/>
      <c r="F108" s="89"/>
      <c r="H108" s="89"/>
      <c r="I108" s="147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147"/>
      <c r="Y108" s="89"/>
      <c r="Z108" s="89"/>
    </row>
    <row r="109" spans="1:26" ht="12" customHeight="1" x14ac:dyDescent="0.3">
      <c r="A109" s="89"/>
      <c r="B109" s="89"/>
      <c r="C109" s="88"/>
      <c r="D109" s="88"/>
      <c r="E109" s="89"/>
      <c r="F109" s="89"/>
      <c r="H109" s="89"/>
      <c r="I109" s="147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147"/>
      <c r="Y109" s="89"/>
      <c r="Z109" s="89"/>
    </row>
    <row r="110" spans="1:26" ht="12" customHeight="1" x14ac:dyDescent="0.3">
      <c r="A110" s="89"/>
      <c r="B110" s="89"/>
      <c r="C110" s="88"/>
      <c r="D110" s="88"/>
      <c r="E110" s="89"/>
      <c r="F110" s="89"/>
      <c r="H110" s="89"/>
      <c r="I110" s="147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147"/>
      <c r="Y110" s="89"/>
      <c r="Z110" s="89"/>
    </row>
    <row r="111" spans="1:26" ht="12" customHeight="1" x14ac:dyDescent="0.3">
      <c r="A111" s="89"/>
      <c r="B111" s="89"/>
      <c r="C111" s="88"/>
      <c r="D111" s="88"/>
      <c r="E111" s="89"/>
      <c r="F111" s="89"/>
      <c r="H111" s="89"/>
      <c r="I111" s="147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147"/>
      <c r="Y111" s="89"/>
      <c r="Z111" s="89"/>
    </row>
    <row r="112" spans="1:26" ht="12" customHeight="1" x14ac:dyDescent="0.3">
      <c r="A112" s="89"/>
      <c r="B112" s="89"/>
      <c r="C112" s="88"/>
      <c r="D112" s="88"/>
      <c r="E112" s="89"/>
      <c r="F112" s="89"/>
      <c r="H112" s="89"/>
      <c r="I112" s="147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147"/>
      <c r="Y112" s="89"/>
      <c r="Z112" s="89"/>
    </row>
    <row r="113" spans="1:26" ht="12" customHeight="1" x14ac:dyDescent="0.3">
      <c r="A113" s="89"/>
      <c r="B113" s="89"/>
      <c r="C113" s="88"/>
      <c r="D113" s="88"/>
      <c r="E113" s="89"/>
      <c r="F113" s="89"/>
      <c r="H113" s="89"/>
      <c r="I113" s="147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147"/>
      <c r="Y113" s="89"/>
      <c r="Z113" s="89"/>
    </row>
    <row r="114" spans="1:26" ht="12" customHeight="1" x14ac:dyDescent="0.3">
      <c r="A114" s="89"/>
      <c r="B114" s="89"/>
      <c r="C114" s="88"/>
      <c r="D114" s="88"/>
      <c r="E114" s="89"/>
      <c r="F114" s="89"/>
      <c r="H114" s="89"/>
      <c r="I114" s="147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147"/>
      <c r="Y114" s="89"/>
      <c r="Z114" s="89"/>
    </row>
    <row r="115" spans="1:26" ht="12" customHeight="1" x14ac:dyDescent="0.3">
      <c r="A115" s="89"/>
      <c r="B115" s="89"/>
      <c r="C115" s="88"/>
      <c r="D115" s="88"/>
      <c r="E115" s="89"/>
      <c r="F115" s="89"/>
      <c r="H115" s="89"/>
      <c r="I115" s="147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147"/>
      <c r="Y115" s="89"/>
      <c r="Z115" s="89"/>
    </row>
    <row r="116" spans="1:26" ht="12" customHeight="1" x14ac:dyDescent="0.3">
      <c r="A116" s="89"/>
      <c r="B116" s="89"/>
      <c r="C116" s="88"/>
      <c r="D116" s="88"/>
      <c r="E116" s="89"/>
      <c r="F116" s="89"/>
      <c r="H116" s="89"/>
      <c r="I116" s="147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147"/>
      <c r="Y116" s="89"/>
      <c r="Z116" s="89"/>
    </row>
    <row r="117" spans="1:26" ht="12" customHeight="1" x14ac:dyDescent="0.3">
      <c r="A117" s="89"/>
      <c r="B117" s="89"/>
      <c r="C117" s="88"/>
      <c r="D117" s="88"/>
      <c r="E117" s="89"/>
      <c r="F117" s="89"/>
      <c r="H117" s="89"/>
      <c r="I117" s="147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147"/>
      <c r="Y117" s="89"/>
      <c r="Z117" s="89"/>
    </row>
    <row r="118" spans="1:26" ht="12" customHeight="1" x14ac:dyDescent="0.3">
      <c r="A118" s="89"/>
      <c r="B118" s="89"/>
      <c r="C118" s="88"/>
      <c r="D118" s="88"/>
      <c r="E118" s="89"/>
      <c r="F118" s="89"/>
      <c r="H118" s="89"/>
      <c r="I118" s="147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147"/>
      <c r="Y118" s="89"/>
      <c r="Z118" s="89"/>
    </row>
    <row r="119" spans="1:26" ht="12" customHeight="1" x14ac:dyDescent="0.3">
      <c r="A119" s="89"/>
      <c r="B119" s="89"/>
      <c r="C119" s="88"/>
      <c r="D119" s="88"/>
      <c r="E119" s="89"/>
      <c r="F119" s="89"/>
      <c r="H119" s="89"/>
      <c r="I119" s="147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147"/>
      <c r="Y119" s="89"/>
      <c r="Z119" s="89"/>
    </row>
    <row r="120" spans="1:26" ht="12" customHeight="1" x14ac:dyDescent="0.3">
      <c r="A120" s="89"/>
      <c r="B120" s="89"/>
      <c r="C120" s="88"/>
      <c r="D120" s="88"/>
      <c r="E120" s="89"/>
      <c r="F120" s="89"/>
      <c r="H120" s="89"/>
      <c r="I120" s="147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147"/>
      <c r="Y120" s="89"/>
      <c r="Z120" s="89"/>
    </row>
    <row r="121" spans="1:26" ht="12" customHeight="1" x14ac:dyDescent="0.3">
      <c r="A121" s="89"/>
      <c r="B121" s="89"/>
      <c r="C121" s="88"/>
      <c r="D121" s="88"/>
      <c r="E121" s="89"/>
      <c r="F121" s="89"/>
      <c r="H121" s="89"/>
      <c r="I121" s="147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147"/>
      <c r="Y121" s="89"/>
      <c r="Z121" s="89"/>
    </row>
    <row r="122" spans="1:26" ht="12" customHeight="1" x14ac:dyDescent="0.3">
      <c r="A122" s="89"/>
      <c r="B122" s="89"/>
      <c r="C122" s="88"/>
      <c r="D122" s="88"/>
      <c r="E122" s="89"/>
      <c r="F122" s="89"/>
      <c r="H122" s="89"/>
      <c r="I122" s="147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147"/>
      <c r="Y122" s="89"/>
      <c r="Z122" s="89"/>
    </row>
    <row r="123" spans="1:26" ht="12" customHeight="1" x14ac:dyDescent="0.3">
      <c r="A123" s="89"/>
      <c r="B123" s="89"/>
      <c r="C123" s="88"/>
      <c r="D123" s="88"/>
      <c r="E123" s="89"/>
      <c r="F123" s="89"/>
      <c r="H123" s="89"/>
      <c r="I123" s="147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147"/>
      <c r="Y123" s="89"/>
      <c r="Z123" s="89"/>
    </row>
    <row r="124" spans="1:26" ht="12" customHeight="1" x14ac:dyDescent="0.3">
      <c r="A124" s="89"/>
      <c r="B124" s="89"/>
      <c r="C124" s="88"/>
      <c r="D124" s="88"/>
      <c r="E124" s="89"/>
      <c r="F124" s="89"/>
      <c r="H124" s="89"/>
      <c r="I124" s="147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147"/>
      <c r="Y124" s="89"/>
      <c r="Z124" s="89"/>
    </row>
    <row r="125" spans="1:26" ht="12" customHeight="1" x14ac:dyDescent="0.3">
      <c r="A125" s="89"/>
      <c r="B125" s="89"/>
      <c r="C125" s="88"/>
      <c r="D125" s="88"/>
      <c r="E125" s="89"/>
      <c r="F125" s="89"/>
      <c r="H125" s="89"/>
      <c r="I125" s="147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147"/>
      <c r="Y125" s="89"/>
      <c r="Z125" s="89"/>
    </row>
    <row r="126" spans="1:26" ht="12" customHeight="1" x14ac:dyDescent="0.3">
      <c r="A126" s="89"/>
      <c r="B126" s="89"/>
      <c r="C126" s="88"/>
      <c r="D126" s="88"/>
      <c r="E126" s="89"/>
      <c r="F126" s="89"/>
      <c r="H126" s="89"/>
      <c r="I126" s="147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147"/>
      <c r="Y126" s="89"/>
      <c r="Z126" s="89"/>
    </row>
    <row r="127" spans="1:26" ht="12" customHeight="1" x14ac:dyDescent="0.3">
      <c r="A127" s="89"/>
      <c r="B127" s="89"/>
      <c r="C127" s="88"/>
      <c r="D127" s="88"/>
      <c r="E127" s="89"/>
      <c r="F127" s="89"/>
      <c r="H127" s="89"/>
      <c r="I127" s="147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147"/>
      <c r="Y127" s="89"/>
      <c r="Z127" s="89"/>
    </row>
    <row r="128" spans="1:26" ht="12" customHeight="1" x14ac:dyDescent="0.3">
      <c r="A128" s="89"/>
      <c r="B128" s="89"/>
      <c r="C128" s="88"/>
      <c r="D128" s="88"/>
      <c r="E128" s="89"/>
      <c r="F128" s="89"/>
      <c r="H128" s="89"/>
      <c r="I128" s="147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147"/>
      <c r="Y128" s="89"/>
      <c r="Z128" s="89"/>
    </row>
    <row r="129" spans="1:26" ht="12" customHeight="1" x14ac:dyDescent="0.3">
      <c r="A129" s="89"/>
      <c r="B129" s="89"/>
      <c r="C129" s="88"/>
      <c r="D129" s="88"/>
      <c r="E129" s="89"/>
      <c r="F129" s="89"/>
      <c r="H129" s="89"/>
      <c r="I129" s="147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147"/>
      <c r="Y129" s="89"/>
      <c r="Z129" s="89"/>
    </row>
    <row r="130" spans="1:26" ht="12" customHeight="1" x14ac:dyDescent="0.3">
      <c r="A130" s="89"/>
      <c r="B130" s="89"/>
      <c r="C130" s="88"/>
      <c r="D130" s="88"/>
      <c r="E130" s="89"/>
      <c r="F130" s="89"/>
      <c r="H130" s="89"/>
      <c r="I130" s="147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147"/>
      <c r="Y130" s="89"/>
      <c r="Z130" s="89"/>
    </row>
    <row r="131" spans="1:26" ht="12" customHeight="1" x14ac:dyDescent="0.3">
      <c r="A131" s="89"/>
      <c r="B131" s="89"/>
      <c r="C131" s="88"/>
      <c r="D131" s="88"/>
      <c r="E131" s="89"/>
      <c r="F131" s="89"/>
      <c r="H131" s="89"/>
      <c r="I131" s="147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147"/>
      <c r="Y131" s="89"/>
      <c r="Z131" s="89"/>
    </row>
    <row r="132" spans="1:26" ht="12" customHeight="1" x14ac:dyDescent="0.3">
      <c r="A132" s="89"/>
      <c r="B132" s="89"/>
      <c r="C132" s="88"/>
      <c r="D132" s="88"/>
      <c r="E132" s="89"/>
      <c r="F132" s="89"/>
      <c r="H132" s="89"/>
      <c r="I132" s="147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147"/>
      <c r="Y132" s="89"/>
      <c r="Z132" s="89"/>
    </row>
    <row r="133" spans="1:26" ht="12" customHeight="1" x14ac:dyDescent="0.3">
      <c r="A133" s="89"/>
      <c r="B133" s="89"/>
      <c r="C133" s="88"/>
      <c r="D133" s="88"/>
      <c r="E133" s="89"/>
      <c r="F133" s="89"/>
      <c r="H133" s="89"/>
      <c r="I133" s="147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147"/>
      <c r="Y133" s="89"/>
      <c r="Z133" s="89"/>
    </row>
    <row r="134" spans="1:26" ht="12" customHeight="1" x14ac:dyDescent="0.3">
      <c r="A134" s="89"/>
      <c r="B134" s="89"/>
      <c r="C134" s="88"/>
      <c r="D134" s="88"/>
      <c r="E134" s="89"/>
      <c r="F134" s="89"/>
      <c r="H134" s="89"/>
      <c r="I134" s="147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147"/>
      <c r="Y134" s="89"/>
      <c r="Z134" s="89"/>
    </row>
    <row r="135" spans="1:26" ht="12" customHeight="1" x14ac:dyDescent="0.3">
      <c r="A135" s="89"/>
      <c r="B135" s="89"/>
      <c r="C135" s="88"/>
      <c r="D135" s="88"/>
      <c r="E135" s="89"/>
      <c r="F135" s="89"/>
      <c r="H135" s="89"/>
      <c r="I135" s="147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147"/>
      <c r="Y135" s="89"/>
      <c r="Z135" s="89"/>
    </row>
    <row r="136" spans="1:26" ht="12" customHeight="1" x14ac:dyDescent="0.3">
      <c r="A136" s="89"/>
      <c r="B136" s="89"/>
      <c r="C136" s="88"/>
      <c r="D136" s="88"/>
      <c r="E136" s="89"/>
      <c r="F136" s="89"/>
      <c r="H136" s="89"/>
      <c r="I136" s="147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147"/>
      <c r="Y136" s="89"/>
      <c r="Z136" s="89"/>
    </row>
    <row r="137" spans="1:26" ht="12" customHeight="1" x14ac:dyDescent="0.3">
      <c r="A137" s="89"/>
      <c r="B137" s="89"/>
      <c r="C137" s="88"/>
      <c r="D137" s="88"/>
      <c r="E137" s="89"/>
      <c r="F137" s="89"/>
      <c r="H137" s="89"/>
      <c r="I137" s="147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147"/>
      <c r="Y137" s="89"/>
      <c r="Z137" s="89"/>
    </row>
    <row r="138" spans="1:26" ht="12" customHeight="1" x14ac:dyDescent="0.3">
      <c r="A138" s="89"/>
      <c r="B138" s="89"/>
      <c r="C138" s="88"/>
      <c r="D138" s="88"/>
      <c r="E138" s="89"/>
      <c r="F138" s="89"/>
      <c r="H138" s="89"/>
      <c r="I138" s="147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147"/>
      <c r="Y138" s="89"/>
      <c r="Z138" s="89"/>
    </row>
    <row r="139" spans="1:26" ht="12" customHeight="1" x14ac:dyDescent="0.3">
      <c r="A139" s="89"/>
      <c r="B139" s="89"/>
      <c r="C139" s="88"/>
      <c r="D139" s="88"/>
      <c r="E139" s="89"/>
      <c r="F139" s="89"/>
      <c r="H139" s="89"/>
      <c r="I139" s="147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147"/>
      <c r="Y139" s="89"/>
      <c r="Z139" s="89"/>
    </row>
    <row r="140" spans="1:26" ht="12" customHeight="1" x14ac:dyDescent="0.3">
      <c r="A140" s="89"/>
      <c r="B140" s="89"/>
      <c r="C140" s="88"/>
      <c r="D140" s="88"/>
      <c r="E140" s="89"/>
      <c r="F140" s="89"/>
      <c r="H140" s="89"/>
      <c r="I140" s="147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147"/>
      <c r="Y140" s="89"/>
      <c r="Z140" s="89"/>
    </row>
    <row r="141" spans="1:26" ht="12" customHeight="1" x14ac:dyDescent="0.3">
      <c r="A141" s="89"/>
      <c r="B141" s="89"/>
      <c r="C141" s="88"/>
      <c r="D141" s="88"/>
      <c r="E141" s="89"/>
      <c r="F141" s="89"/>
      <c r="H141" s="89"/>
      <c r="I141" s="147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147"/>
      <c r="Y141" s="89"/>
      <c r="Z141" s="89"/>
    </row>
    <row r="142" spans="1:26" ht="12" customHeight="1" x14ac:dyDescent="0.3">
      <c r="A142" s="89"/>
      <c r="B142" s="89"/>
      <c r="C142" s="88"/>
      <c r="D142" s="88"/>
      <c r="E142" s="89"/>
      <c r="F142" s="89"/>
      <c r="H142" s="89"/>
      <c r="I142" s="147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147"/>
      <c r="Y142" s="89"/>
      <c r="Z142" s="89"/>
    </row>
    <row r="143" spans="1:26" ht="12" customHeight="1" x14ac:dyDescent="0.3">
      <c r="A143" s="89"/>
      <c r="B143" s="89"/>
      <c r="C143" s="88"/>
      <c r="D143" s="88"/>
      <c r="E143" s="89"/>
      <c r="F143" s="89"/>
      <c r="H143" s="89"/>
      <c r="I143" s="147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147"/>
      <c r="Y143" s="89"/>
      <c r="Z143" s="89"/>
    </row>
    <row r="144" spans="1:26" ht="12" customHeight="1" x14ac:dyDescent="0.3">
      <c r="A144" s="89"/>
      <c r="B144" s="89"/>
      <c r="C144" s="88"/>
      <c r="D144" s="88"/>
      <c r="E144" s="89"/>
      <c r="F144" s="89"/>
      <c r="H144" s="89"/>
      <c r="I144" s="147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147"/>
      <c r="Y144" s="89"/>
      <c r="Z144" s="89"/>
    </row>
    <row r="145" spans="1:26" ht="12" customHeight="1" x14ac:dyDescent="0.3">
      <c r="A145" s="89"/>
      <c r="B145" s="89"/>
      <c r="C145" s="88"/>
      <c r="D145" s="88"/>
      <c r="E145" s="89"/>
      <c r="F145" s="89"/>
      <c r="H145" s="89"/>
      <c r="I145" s="147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147"/>
      <c r="Y145" s="89"/>
      <c r="Z145" s="89"/>
    </row>
    <row r="146" spans="1:26" ht="12" customHeight="1" x14ac:dyDescent="0.3">
      <c r="A146" s="89"/>
      <c r="B146" s="89"/>
      <c r="C146" s="88"/>
      <c r="D146" s="88"/>
      <c r="E146" s="89"/>
      <c r="F146" s="89"/>
      <c r="H146" s="89"/>
      <c r="I146" s="147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147"/>
      <c r="Y146" s="89"/>
      <c r="Z146" s="89"/>
    </row>
    <row r="147" spans="1:26" ht="12" customHeight="1" x14ac:dyDescent="0.3">
      <c r="A147" s="89"/>
      <c r="B147" s="89"/>
      <c r="C147" s="88"/>
      <c r="D147" s="88"/>
      <c r="E147" s="89"/>
      <c r="F147" s="89"/>
      <c r="H147" s="89"/>
      <c r="I147" s="147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147"/>
      <c r="Y147" s="89"/>
      <c r="Z147" s="89"/>
    </row>
    <row r="148" spans="1:26" ht="12" customHeight="1" x14ac:dyDescent="0.3">
      <c r="A148" s="89"/>
      <c r="B148" s="89"/>
      <c r="C148" s="88"/>
      <c r="D148" s="88"/>
      <c r="E148" s="89"/>
      <c r="F148" s="89"/>
      <c r="H148" s="89"/>
      <c r="I148" s="147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147"/>
      <c r="Y148" s="89"/>
      <c r="Z148" s="89"/>
    </row>
    <row r="149" spans="1:26" ht="12" customHeight="1" x14ac:dyDescent="0.3">
      <c r="A149" s="89"/>
      <c r="B149" s="89"/>
      <c r="C149" s="88"/>
      <c r="D149" s="88"/>
      <c r="E149" s="89"/>
      <c r="F149" s="89"/>
      <c r="H149" s="89"/>
      <c r="I149" s="147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147"/>
      <c r="Y149" s="89"/>
      <c r="Z149" s="89"/>
    </row>
    <row r="150" spans="1:26" ht="12" customHeight="1" x14ac:dyDescent="0.3">
      <c r="A150" s="89"/>
      <c r="B150" s="89"/>
      <c r="C150" s="88"/>
      <c r="D150" s="88"/>
      <c r="E150" s="89"/>
      <c r="F150" s="89"/>
      <c r="H150" s="89"/>
      <c r="I150" s="147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147"/>
      <c r="Y150" s="89"/>
      <c r="Z150" s="89"/>
    </row>
    <row r="151" spans="1:26" ht="12" customHeight="1" x14ac:dyDescent="0.3">
      <c r="A151" s="89"/>
      <c r="B151" s="89"/>
      <c r="C151" s="88"/>
      <c r="D151" s="88"/>
      <c r="E151" s="89"/>
      <c r="F151" s="89"/>
      <c r="H151" s="89"/>
      <c r="I151" s="147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147"/>
      <c r="Y151" s="89"/>
      <c r="Z151" s="89"/>
    </row>
    <row r="152" spans="1:26" ht="12" customHeight="1" x14ac:dyDescent="0.3">
      <c r="A152" s="89"/>
      <c r="B152" s="89"/>
      <c r="C152" s="88"/>
      <c r="D152" s="88"/>
      <c r="E152" s="89"/>
      <c r="F152" s="89"/>
      <c r="H152" s="89"/>
      <c r="I152" s="147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147"/>
      <c r="Y152" s="89"/>
      <c r="Z152" s="89"/>
    </row>
    <row r="153" spans="1:26" ht="12" customHeight="1" x14ac:dyDescent="0.3">
      <c r="A153" s="89"/>
      <c r="B153" s="89"/>
      <c r="C153" s="88"/>
      <c r="D153" s="88"/>
      <c r="E153" s="89"/>
      <c r="F153" s="89"/>
      <c r="H153" s="89"/>
      <c r="I153" s="147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147"/>
      <c r="Y153" s="89"/>
      <c r="Z153" s="89"/>
    </row>
    <row r="154" spans="1:26" ht="12" customHeight="1" x14ac:dyDescent="0.3">
      <c r="A154" s="89"/>
      <c r="B154" s="89"/>
      <c r="C154" s="88"/>
      <c r="D154" s="88"/>
      <c r="E154" s="89"/>
      <c r="F154" s="89"/>
      <c r="H154" s="89"/>
      <c r="I154" s="147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147"/>
      <c r="Y154" s="89"/>
      <c r="Z154" s="89"/>
    </row>
    <row r="155" spans="1:26" ht="12" customHeight="1" x14ac:dyDescent="0.3">
      <c r="A155" s="89"/>
      <c r="B155" s="89"/>
      <c r="C155" s="88"/>
      <c r="D155" s="88"/>
      <c r="E155" s="89"/>
      <c r="F155" s="89"/>
      <c r="H155" s="89"/>
      <c r="I155" s="147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147"/>
      <c r="Y155" s="89"/>
      <c r="Z155" s="89"/>
    </row>
    <row r="156" spans="1:26" ht="12" customHeight="1" x14ac:dyDescent="0.3">
      <c r="A156" s="89"/>
      <c r="B156" s="89"/>
      <c r="C156" s="88"/>
      <c r="D156" s="88"/>
      <c r="E156" s="89"/>
      <c r="F156" s="89"/>
      <c r="H156" s="89"/>
      <c r="I156" s="147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147"/>
      <c r="Y156" s="89"/>
      <c r="Z156" s="89"/>
    </row>
    <row r="157" spans="1:26" ht="12" customHeight="1" x14ac:dyDescent="0.3">
      <c r="A157" s="89"/>
      <c r="B157" s="89"/>
      <c r="C157" s="88"/>
      <c r="D157" s="88"/>
      <c r="E157" s="89"/>
      <c r="F157" s="89"/>
      <c r="H157" s="89"/>
      <c r="I157" s="147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147"/>
      <c r="Y157" s="89"/>
      <c r="Z157" s="89"/>
    </row>
    <row r="158" spans="1:26" ht="12" customHeight="1" x14ac:dyDescent="0.3">
      <c r="A158" s="89"/>
      <c r="B158" s="89"/>
      <c r="C158" s="88"/>
      <c r="D158" s="88"/>
      <c r="E158" s="89"/>
      <c r="F158" s="89"/>
      <c r="H158" s="89"/>
      <c r="I158" s="147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147"/>
      <c r="Y158" s="89"/>
      <c r="Z158" s="89"/>
    </row>
    <row r="159" spans="1:26" ht="12" customHeight="1" x14ac:dyDescent="0.3">
      <c r="A159" s="89"/>
      <c r="B159" s="89"/>
      <c r="C159" s="88"/>
      <c r="D159" s="88"/>
      <c r="E159" s="89"/>
      <c r="F159" s="89"/>
      <c r="H159" s="89"/>
      <c r="I159" s="147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147"/>
      <c r="Y159" s="89"/>
      <c r="Z159" s="89"/>
    </row>
    <row r="160" spans="1:26" ht="12" customHeight="1" x14ac:dyDescent="0.3">
      <c r="A160" s="89"/>
      <c r="B160" s="89"/>
      <c r="C160" s="88"/>
      <c r="D160" s="88"/>
      <c r="E160" s="89"/>
      <c r="F160" s="89"/>
      <c r="H160" s="89"/>
      <c r="I160" s="147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147"/>
      <c r="Y160" s="89"/>
      <c r="Z160" s="89"/>
    </row>
    <row r="161" spans="1:26" ht="12" customHeight="1" x14ac:dyDescent="0.3">
      <c r="A161" s="89"/>
      <c r="B161" s="89"/>
      <c r="C161" s="88"/>
      <c r="D161" s="88"/>
      <c r="E161" s="89"/>
      <c r="F161" s="89"/>
      <c r="H161" s="89"/>
      <c r="I161" s="147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147"/>
      <c r="Y161" s="89"/>
      <c r="Z161" s="89"/>
    </row>
    <row r="162" spans="1:26" ht="12" customHeight="1" x14ac:dyDescent="0.3">
      <c r="A162" s="89"/>
      <c r="B162" s="89"/>
      <c r="C162" s="88"/>
      <c r="D162" s="88"/>
      <c r="E162" s="89"/>
      <c r="F162" s="89"/>
      <c r="H162" s="89"/>
      <c r="I162" s="147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147"/>
      <c r="Y162" s="89"/>
      <c r="Z162" s="89"/>
    </row>
    <row r="163" spans="1:26" ht="12" customHeight="1" x14ac:dyDescent="0.3">
      <c r="A163" s="89"/>
      <c r="B163" s="89"/>
      <c r="C163" s="88"/>
      <c r="D163" s="88"/>
      <c r="E163" s="89"/>
      <c r="F163" s="89"/>
      <c r="H163" s="89"/>
      <c r="I163" s="147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147"/>
      <c r="Y163" s="89"/>
      <c r="Z163" s="89"/>
    </row>
    <row r="164" spans="1:26" ht="12" customHeight="1" x14ac:dyDescent="0.3">
      <c r="A164" s="89"/>
      <c r="B164" s="89"/>
      <c r="C164" s="88"/>
      <c r="D164" s="88"/>
      <c r="E164" s="89"/>
      <c r="F164" s="89"/>
      <c r="H164" s="89"/>
      <c r="I164" s="147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147"/>
      <c r="Y164" s="89"/>
      <c r="Z164" s="89"/>
    </row>
    <row r="165" spans="1:26" ht="12" customHeight="1" x14ac:dyDescent="0.3">
      <c r="A165" s="89"/>
      <c r="B165" s="89"/>
      <c r="C165" s="88"/>
      <c r="D165" s="88"/>
      <c r="E165" s="89"/>
      <c r="F165" s="89"/>
      <c r="H165" s="89"/>
      <c r="I165" s="147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147"/>
      <c r="Y165" s="89"/>
      <c r="Z165" s="89"/>
    </row>
    <row r="166" spans="1:26" ht="12" customHeight="1" x14ac:dyDescent="0.3">
      <c r="A166" s="89"/>
      <c r="B166" s="89"/>
      <c r="C166" s="88"/>
      <c r="D166" s="88"/>
      <c r="E166" s="89"/>
      <c r="F166" s="89"/>
      <c r="H166" s="89"/>
      <c r="I166" s="147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147"/>
      <c r="Y166" s="89"/>
      <c r="Z166" s="89"/>
    </row>
    <row r="167" spans="1:26" ht="12" customHeight="1" x14ac:dyDescent="0.3">
      <c r="A167" s="89"/>
      <c r="B167" s="89"/>
      <c r="C167" s="88"/>
      <c r="D167" s="88"/>
      <c r="E167" s="89"/>
      <c r="F167" s="89"/>
      <c r="H167" s="89"/>
      <c r="I167" s="147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147"/>
      <c r="Y167" s="89"/>
      <c r="Z167" s="89"/>
    </row>
    <row r="168" spans="1:26" ht="12" customHeight="1" x14ac:dyDescent="0.3">
      <c r="A168" s="89"/>
      <c r="B168" s="89"/>
      <c r="C168" s="88"/>
      <c r="D168" s="88"/>
      <c r="E168" s="89"/>
      <c r="F168" s="89"/>
      <c r="H168" s="89"/>
      <c r="I168" s="147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147"/>
      <c r="Y168" s="89"/>
      <c r="Z168" s="89"/>
    </row>
    <row r="169" spans="1:26" ht="12" customHeight="1" x14ac:dyDescent="0.3">
      <c r="A169" s="89"/>
      <c r="B169" s="89"/>
      <c r="C169" s="88"/>
      <c r="D169" s="88"/>
      <c r="E169" s="89"/>
      <c r="F169" s="89"/>
      <c r="H169" s="89"/>
      <c r="I169" s="147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147"/>
      <c r="Y169" s="89"/>
      <c r="Z169" s="89"/>
    </row>
    <row r="170" spans="1:26" ht="12" customHeight="1" x14ac:dyDescent="0.3">
      <c r="A170" s="89"/>
      <c r="B170" s="89"/>
      <c r="C170" s="88"/>
      <c r="D170" s="88"/>
      <c r="E170" s="89"/>
      <c r="F170" s="89"/>
      <c r="H170" s="89"/>
      <c r="I170" s="147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147"/>
      <c r="Y170" s="89"/>
      <c r="Z170" s="89"/>
    </row>
    <row r="171" spans="1:26" ht="12" customHeight="1" x14ac:dyDescent="0.3">
      <c r="A171" s="89"/>
      <c r="B171" s="89"/>
      <c r="C171" s="88"/>
      <c r="D171" s="88"/>
      <c r="E171" s="89"/>
      <c r="F171" s="89"/>
      <c r="H171" s="89"/>
      <c r="I171" s="147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147"/>
      <c r="Y171" s="89"/>
      <c r="Z171" s="89"/>
    </row>
    <row r="172" spans="1:26" ht="12" customHeight="1" x14ac:dyDescent="0.3">
      <c r="A172" s="89"/>
      <c r="B172" s="89"/>
      <c r="C172" s="88"/>
      <c r="D172" s="88"/>
      <c r="E172" s="89"/>
      <c r="F172" s="89"/>
      <c r="H172" s="89"/>
      <c r="I172" s="147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147"/>
      <c r="Y172" s="89"/>
      <c r="Z172" s="89"/>
    </row>
    <row r="173" spans="1:26" ht="12" customHeight="1" x14ac:dyDescent="0.3">
      <c r="A173" s="89"/>
      <c r="B173" s="89"/>
      <c r="C173" s="88"/>
      <c r="D173" s="88"/>
      <c r="E173" s="89"/>
      <c r="F173" s="89"/>
      <c r="H173" s="89"/>
      <c r="I173" s="147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147"/>
      <c r="Y173" s="89"/>
      <c r="Z173" s="89"/>
    </row>
    <row r="174" spans="1:26" ht="12" customHeight="1" x14ac:dyDescent="0.3">
      <c r="A174" s="89"/>
      <c r="B174" s="89"/>
      <c r="C174" s="88"/>
      <c r="D174" s="88"/>
      <c r="E174" s="89"/>
      <c r="F174" s="89"/>
      <c r="H174" s="89"/>
      <c r="I174" s="147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147"/>
      <c r="Y174" s="89"/>
      <c r="Z174" s="89"/>
    </row>
    <row r="175" spans="1:26" ht="12" customHeight="1" x14ac:dyDescent="0.3">
      <c r="A175" s="89"/>
      <c r="B175" s="89"/>
      <c r="C175" s="88"/>
      <c r="D175" s="88"/>
      <c r="E175" s="89"/>
      <c r="F175" s="89"/>
      <c r="H175" s="89"/>
      <c r="I175" s="147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147"/>
      <c r="Y175" s="89"/>
      <c r="Z175" s="89"/>
    </row>
    <row r="176" spans="1:26" ht="12" customHeight="1" x14ac:dyDescent="0.3">
      <c r="A176" s="89"/>
      <c r="B176" s="89"/>
      <c r="C176" s="88"/>
      <c r="D176" s="88"/>
      <c r="E176" s="89"/>
      <c r="F176" s="89"/>
      <c r="H176" s="89"/>
      <c r="I176" s="147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147"/>
      <c r="Y176" s="89"/>
      <c r="Z176" s="89"/>
    </row>
    <row r="177" spans="1:26" ht="12" customHeight="1" x14ac:dyDescent="0.3">
      <c r="A177" s="89"/>
      <c r="B177" s="89"/>
      <c r="C177" s="88"/>
      <c r="D177" s="88"/>
      <c r="E177" s="89"/>
      <c r="F177" s="89"/>
      <c r="H177" s="89"/>
      <c r="I177" s="147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147"/>
      <c r="Y177" s="89"/>
      <c r="Z177" s="89"/>
    </row>
    <row r="178" spans="1:26" ht="12" customHeight="1" x14ac:dyDescent="0.3">
      <c r="A178" s="89"/>
      <c r="B178" s="89"/>
      <c r="C178" s="88"/>
      <c r="D178" s="88"/>
      <c r="E178" s="89"/>
      <c r="F178" s="89"/>
      <c r="H178" s="89"/>
      <c r="I178" s="147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147"/>
      <c r="Y178" s="89"/>
      <c r="Z178" s="89"/>
    </row>
    <row r="179" spans="1:26" ht="12" customHeight="1" x14ac:dyDescent="0.3">
      <c r="A179" s="89"/>
      <c r="B179" s="89"/>
      <c r="C179" s="88"/>
      <c r="D179" s="88"/>
      <c r="E179" s="89"/>
      <c r="F179" s="89"/>
      <c r="H179" s="89"/>
      <c r="I179" s="147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147"/>
      <c r="Y179" s="89"/>
      <c r="Z179" s="89"/>
    </row>
    <row r="180" spans="1:26" ht="12" customHeight="1" x14ac:dyDescent="0.3">
      <c r="A180" s="89"/>
      <c r="B180" s="89"/>
      <c r="C180" s="88"/>
      <c r="D180" s="88"/>
      <c r="E180" s="89"/>
      <c r="F180" s="89"/>
      <c r="H180" s="89"/>
      <c r="I180" s="147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147"/>
      <c r="Y180" s="89"/>
      <c r="Z180" s="89"/>
    </row>
    <row r="181" spans="1:26" ht="12" customHeight="1" x14ac:dyDescent="0.3">
      <c r="A181" s="89"/>
      <c r="B181" s="89"/>
      <c r="C181" s="88"/>
      <c r="D181" s="88"/>
      <c r="E181" s="89"/>
      <c r="F181" s="89"/>
      <c r="H181" s="89"/>
      <c r="I181" s="147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147"/>
      <c r="Y181" s="89"/>
      <c r="Z181" s="89"/>
    </row>
    <row r="182" spans="1:26" ht="12" customHeight="1" x14ac:dyDescent="0.3">
      <c r="A182" s="89"/>
      <c r="B182" s="89"/>
      <c r="C182" s="88"/>
      <c r="D182" s="88"/>
      <c r="E182" s="89"/>
      <c r="F182" s="89"/>
      <c r="H182" s="89"/>
      <c r="I182" s="147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147"/>
      <c r="Y182" s="89"/>
      <c r="Z182" s="89"/>
    </row>
    <row r="183" spans="1:26" ht="12" customHeight="1" x14ac:dyDescent="0.3">
      <c r="A183" s="89"/>
      <c r="B183" s="89"/>
      <c r="C183" s="88"/>
      <c r="D183" s="88"/>
      <c r="E183" s="89"/>
      <c r="F183" s="89"/>
      <c r="H183" s="89"/>
      <c r="I183" s="147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147"/>
      <c r="Y183" s="89"/>
      <c r="Z183" s="89"/>
    </row>
    <row r="184" spans="1:26" ht="12" customHeight="1" x14ac:dyDescent="0.3">
      <c r="A184" s="89"/>
      <c r="B184" s="89"/>
      <c r="C184" s="88"/>
      <c r="D184" s="88"/>
      <c r="E184" s="89"/>
      <c r="F184" s="89"/>
      <c r="H184" s="89"/>
      <c r="I184" s="147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147"/>
      <c r="Y184" s="89"/>
      <c r="Z184" s="89"/>
    </row>
    <row r="185" spans="1:26" ht="12" customHeight="1" x14ac:dyDescent="0.3">
      <c r="A185" s="89"/>
      <c r="B185" s="89"/>
      <c r="C185" s="88"/>
      <c r="D185" s="88"/>
      <c r="E185" s="89"/>
      <c r="F185" s="89"/>
      <c r="H185" s="89"/>
      <c r="I185" s="147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147"/>
      <c r="Y185" s="89"/>
      <c r="Z185" s="89"/>
    </row>
    <row r="186" spans="1:26" ht="12" customHeight="1" x14ac:dyDescent="0.3">
      <c r="A186" s="89"/>
      <c r="B186" s="89"/>
      <c r="C186" s="88"/>
      <c r="D186" s="88"/>
      <c r="E186" s="89"/>
      <c r="F186" s="89"/>
      <c r="H186" s="89"/>
      <c r="I186" s="147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147"/>
      <c r="Y186" s="89"/>
      <c r="Z186" s="89"/>
    </row>
    <row r="187" spans="1:26" ht="12" customHeight="1" x14ac:dyDescent="0.3">
      <c r="A187" s="89"/>
      <c r="B187" s="89"/>
      <c r="C187" s="88"/>
      <c r="D187" s="88"/>
      <c r="E187" s="89"/>
      <c r="F187" s="89"/>
      <c r="H187" s="89"/>
      <c r="I187" s="147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147"/>
      <c r="Y187" s="89"/>
      <c r="Z187" s="89"/>
    </row>
    <row r="188" spans="1:26" ht="12" customHeight="1" x14ac:dyDescent="0.3">
      <c r="A188" s="89"/>
      <c r="B188" s="89"/>
      <c r="C188" s="88"/>
      <c r="D188" s="88"/>
      <c r="E188" s="89"/>
      <c r="F188" s="89"/>
      <c r="H188" s="89"/>
      <c r="I188" s="147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147"/>
      <c r="Y188" s="89"/>
      <c r="Z188" s="89"/>
    </row>
    <row r="189" spans="1:26" ht="12" customHeight="1" x14ac:dyDescent="0.3">
      <c r="A189" s="89"/>
      <c r="B189" s="89"/>
      <c r="C189" s="88"/>
      <c r="D189" s="88"/>
      <c r="E189" s="89"/>
      <c r="F189" s="89"/>
      <c r="H189" s="89"/>
      <c r="I189" s="147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147"/>
      <c r="Y189" s="89"/>
      <c r="Z189" s="89"/>
    </row>
    <row r="190" spans="1:26" ht="12" customHeight="1" x14ac:dyDescent="0.3">
      <c r="A190" s="89"/>
      <c r="B190" s="89"/>
      <c r="C190" s="88"/>
      <c r="D190" s="88"/>
      <c r="E190" s="89"/>
      <c r="F190" s="89"/>
      <c r="H190" s="89"/>
      <c r="I190" s="147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147"/>
      <c r="Y190" s="89"/>
      <c r="Z190" s="89"/>
    </row>
    <row r="191" spans="1:26" ht="12" customHeight="1" x14ac:dyDescent="0.3">
      <c r="A191" s="89"/>
      <c r="B191" s="89"/>
      <c r="C191" s="88"/>
      <c r="D191" s="88"/>
      <c r="E191" s="89"/>
      <c r="F191" s="89"/>
      <c r="H191" s="89"/>
      <c r="I191" s="147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147"/>
      <c r="Y191" s="89"/>
      <c r="Z191" s="89"/>
    </row>
    <row r="192" spans="1:26" ht="12" customHeight="1" x14ac:dyDescent="0.3">
      <c r="A192" s="89"/>
      <c r="B192" s="89"/>
      <c r="C192" s="88"/>
      <c r="D192" s="88"/>
      <c r="E192" s="89"/>
      <c r="F192" s="89"/>
      <c r="H192" s="89"/>
      <c r="I192" s="147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147"/>
      <c r="Y192" s="89"/>
      <c r="Z192" s="89"/>
    </row>
    <row r="193" spans="1:26" ht="12" customHeight="1" x14ac:dyDescent="0.3">
      <c r="A193" s="89"/>
      <c r="B193" s="89"/>
      <c r="C193" s="88"/>
      <c r="D193" s="88"/>
      <c r="E193" s="89"/>
      <c r="F193" s="89"/>
      <c r="H193" s="89"/>
      <c r="I193" s="147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147"/>
      <c r="Y193" s="89"/>
      <c r="Z193" s="89"/>
    </row>
    <row r="194" spans="1:26" ht="12" customHeight="1" x14ac:dyDescent="0.3">
      <c r="A194" s="89"/>
      <c r="B194" s="89"/>
      <c r="C194" s="88"/>
      <c r="D194" s="88"/>
      <c r="E194" s="89"/>
      <c r="F194" s="89"/>
      <c r="H194" s="89"/>
      <c r="I194" s="147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147"/>
      <c r="Y194" s="89"/>
      <c r="Z194" s="89"/>
    </row>
    <row r="195" spans="1:26" ht="12" customHeight="1" x14ac:dyDescent="0.3">
      <c r="A195" s="89"/>
      <c r="B195" s="89"/>
      <c r="C195" s="88"/>
      <c r="D195" s="88"/>
      <c r="E195" s="89"/>
      <c r="F195" s="89"/>
      <c r="H195" s="89"/>
      <c r="I195" s="147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147"/>
      <c r="Y195" s="89"/>
      <c r="Z195" s="89"/>
    </row>
    <row r="196" spans="1:26" ht="12" customHeight="1" x14ac:dyDescent="0.3">
      <c r="A196" s="89"/>
      <c r="B196" s="89"/>
      <c r="C196" s="88"/>
      <c r="D196" s="88"/>
      <c r="E196" s="89"/>
      <c r="F196" s="89"/>
      <c r="H196" s="89"/>
      <c r="I196" s="147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147"/>
      <c r="Y196" s="89"/>
      <c r="Z196" s="89"/>
    </row>
    <row r="197" spans="1:26" ht="12" customHeight="1" x14ac:dyDescent="0.3">
      <c r="A197" s="89"/>
      <c r="B197" s="89"/>
      <c r="C197" s="88"/>
      <c r="D197" s="88"/>
      <c r="E197" s="89"/>
      <c r="F197" s="89"/>
      <c r="H197" s="89"/>
      <c r="I197" s="147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147"/>
      <c r="Y197" s="89"/>
      <c r="Z197" s="89"/>
    </row>
    <row r="198" spans="1:26" ht="12" customHeight="1" x14ac:dyDescent="0.3">
      <c r="A198" s="89"/>
      <c r="B198" s="89"/>
      <c r="C198" s="88"/>
      <c r="D198" s="88"/>
      <c r="E198" s="89"/>
      <c r="F198" s="89"/>
      <c r="H198" s="89"/>
      <c r="I198" s="147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147"/>
      <c r="Y198" s="89"/>
      <c r="Z198" s="89"/>
    </row>
    <row r="199" spans="1:26" ht="12" customHeight="1" x14ac:dyDescent="0.3">
      <c r="A199" s="89"/>
      <c r="B199" s="89"/>
      <c r="C199" s="88"/>
      <c r="D199" s="88"/>
      <c r="E199" s="89"/>
      <c r="F199" s="89"/>
      <c r="H199" s="89"/>
      <c r="I199" s="147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147"/>
      <c r="Y199" s="89"/>
      <c r="Z199" s="89"/>
    </row>
    <row r="200" spans="1:26" ht="12" customHeight="1" x14ac:dyDescent="0.3">
      <c r="A200" s="89"/>
      <c r="B200" s="89"/>
      <c r="C200" s="88"/>
      <c r="D200" s="88"/>
      <c r="E200" s="89"/>
      <c r="F200" s="89"/>
      <c r="H200" s="89"/>
      <c r="I200" s="147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147"/>
      <c r="Y200" s="89"/>
      <c r="Z200" s="89"/>
    </row>
    <row r="201" spans="1:26" ht="12" customHeight="1" x14ac:dyDescent="0.3">
      <c r="A201" s="89"/>
      <c r="B201" s="89"/>
      <c r="C201" s="88"/>
      <c r="D201" s="88"/>
      <c r="E201" s="89"/>
      <c r="F201" s="89"/>
      <c r="H201" s="89"/>
      <c r="I201" s="147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147"/>
      <c r="Y201" s="89"/>
      <c r="Z201" s="89"/>
    </row>
    <row r="202" spans="1:26" ht="12" customHeight="1" x14ac:dyDescent="0.3">
      <c r="A202" s="89"/>
      <c r="B202" s="89"/>
      <c r="C202" s="88"/>
      <c r="D202" s="88"/>
      <c r="E202" s="89"/>
      <c r="F202" s="89"/>
      <c r="H202" s="89"/>
      <c r="I202" s="147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147"/>
      <c r="Y202" s="89"/>
      <c r="Z202" s="89"/>
    </row>
    <row r="203" spans="1:26" ht="12" customHeight="1" x14ac:dyDescent="0.3">
      <c r="A203" s="89"/>
      <c r="B203" s="89"/>
      <c r="C203" s="88"/>
      <c r="D203" s="88"/>
      <c r="E203" s="89"/>
      <c r="F203" s="89"/>
      <c r="H203" s="89"/>
      <c r="I203" s="147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147"/>
      <c r="Y203" s="89"/>
      <c r="Z203" s="89"/>
    </row>
    <row r="204" spans="1:26" ht="12" customHeight="1" x14ac:dyDescent="0.3">
      <c r="A204" s="89"/>
      <c r="B204" s="89"/>
      <c r="C204" s="88"/>
      <c r="D204" s="88"/>
      <c r="E204" s="89"/>
      <c r="F204" s="89"/>
      <c r="H204" s="89"/>
      <c r="I204" s="147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147"/>
      <c r="Y204" s="89"/>
      <c r="Z204" s="89"/>
    </row>
    <row r="205" spans="1:26" ht="12" customHeight="1" x14ac:dyDescent="0.3">
      <c r="A205" s="89"/>
      <c r="B205" s="89"/>
      <c r="C205" s="88"/>
      <c r="D205" s="88"/>
      <c r="E205" s="89"/>
      <c r="F205" s="89"/>
      <c r="H205" s="89"/>
      <c r="I205" s="147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147"/>
      <c r="Y205" s="89"/>
      <c r="Z205" s="89"/>
    </row>
    <row r="206" spans="1:26" ht="12" customHeight="1" x14ac:dyDescent="0.3">
      <c r="A206" s="89"/>
      <c r="B206" s="89"/>
      <c r="C206" s="88"/>
      <c r="D206" s="88"/>
      <c r="E206" s="89"/>
      <c r="F206" s="89"/>
      <c r="H206" s="89"/>
      <c r="I206" s="147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147"/>
      <c r="Y206" s="89"/>
      <c r="Z206" s="89"/>
    </row>
    <row r="207" spans="1:26" ht="12" customHeight="1" x14ac:dyDescent="0.3">
      <c r="A207" s="89"/>
      <c r="B207" s="89"/>
      <c r="C207" s="88"/>
      <c r="D207" s="88"/>
      <c r="E207" s="89"/>
      <c r="F207" s="89"/>
      <c r="H207" s="89"/>
      <c r="I207" s="147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147"/>
      <c r="Y207" s="89"/>
      <c r="Z207" s="89"/>
    </row>
    <row r="208" spans="1:26" ht="12" customHeight="1" x14ac:dyDescent="0.3">
      <c r="A208" s="89"/>
      <c r="B208" s="89"/>
      <c r="C208" s="88"/>
      <c r="D208" s="88"/>
      <c r="E208" s="89"/>
      <c r="F208" s="89"/>
      <c r="H208" s="89"/>
      <c r="I208" s="147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147"/>
      <c r="Y208" s="89"/>
      <c r="Z208" s="89"/>
    </row>
    <row r="209" spans="1:26" ht="12" customHeight="1" x14ac:dyDescent="0.3">
      <c r="A209" s="89"/>
      <c r="B209" s="89"/>
      <c r="C209" s="88"/>
      <c r="D209" s="88"/>
      <c r="E209" s="89"/>
      <c r="F209" s="89"/>
      <c r="H209" s="89"/>
      <c r="I209" s="147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147"/>
      <c r="Y209" s="89"/>
      <c r="Z209" s="89"/>
    </row>
    <row r="210" spans="1:26" ht="12" customHeight="1" x14ac:dyDescent="0.3">
      <c r="A210" s="89"/>
      <c r="B210" s="89"/>
      <c r="C210" s="88"/>
      <c r="D210" s="88"/>
      <c r="E210" s="89"/>
      <c r="F210" s="89"/>
      <c r="H210" s="89"/>
      <c r="I210" s="147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147"/>
      <c r="Y210" s="89"/>
      <c r="Z210" s="89"/>
    </row>
    <row r="211" spans="1:26" ht="12" customHeight="1" x14ac:dyDescent="0.3">
      <c r="A211" s="89"/>
      <c r="B211" s="89"/>
      <c r="C211" s="88"/>
      <c r="D211" s="88"/>
      <c r="E211" s="89"/>
      <c r="F211" s="89"/>
      <c r="H211" s="89"/>
      <c r="I211" s="147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147"/>
      <c r="Y211" s="89"/>
      <c r="Z211" s="89"/>
    </row>
    <row r="212" spans="1:26" ht="12" customHeight="1" x14ac:dyDescent="0.3">
      <c r="A212" s="89"/>
      <c r="B212" s="89"/>
      <c r="C212" s="88"/>
      <c r="D212" s="88"/>
      <c r="E212" s="89"/>
      <c r="F212" s="89"/>
      <c r="H212" s="89"/>
      <c r="I212" s="147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147"/>
      <c r="Y212" s="89"/>
      <c r="Z212" s="89"/>
    </row>
    <row r="213" spans="1:26" ht="12" customHeight="1" x14ac:dyDescent="0.3">
      <c r="A213" s="89"/>
      <c r="B213" s="89"/>
      <c r="C213" s="88"/>
      <c r="D213" s="88"/>
      <c r="E213" s="89"/>
      <c r="F213" s="89"/>
      <c r="H213" s="89"/>
      <c r="I213" s="147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147"/>
      <c r="Y213" s="89"/>
      <c r="Z213" s="89"/>
    </row>
    <row r="214" spans="1:26" ht="12" customHeight="1" x14ac:dyDescent="0.3">
      <c r="A214" s="89"/>
      <c r="B214" s="89"/>
      <c r="C214" s="88"/>
      <c r="D214" s="88"/>
      <c r="E214" s="89"/>
      <c r="F214" s="89"/>
      <c r="H214" s="89"/>
      <c r="I214" s="147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147"/>
      <c r="Y214" s="89"/>
      <c r="Z214" s="89"/>
    </row>
    <row r="215" spans="1:26" ht="12" customHeight="1" x14ac:dyDescent="0.3">
      <c r="A215" s="89"/>
      <c r="B215" s="89"/>
      <c r="C215" s="88"/>
      <c r="D215" s="88"/>
      <c r="E215" s="89"/>
      <c r="F215" s="89"/>
      <c r="H215" s="89"/>
      <c r="I215" s="147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147"/>
      <c r="Y215" s="89"/>
      <c r="Z215" s="89"/>
    </row>
    <row r="216" spans="1:26" ht="12" customHeight="1" x14ac:dyDescent="0.3">
      <c r="A216" s="89"/>
      <c r="B216" s="89"/>
      <c r="C216" s="88"/>
      <c r="D216" s="88"/>
      <c r="E216" s="89"/>
      <c r="F216" s="89"/>
      <c r="H216" s="89"/>
      <c r="I216" s="147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147"/>
      <c r="Y216" s="89"/>
      <c r="Z216" s="89"/>
    </row>
    <row r="217" spans="1:26" ht="12" customHeight="1" x14ac:dyDescent="0.3">
      <c r="A217" s="89"/>
      <c r="B217" s="89"/>
      <c r="C217" s="88"/>
      <c r="D217" s="88"/>
      <c r="E217" s="89"/>
      <c r="F217" s="89"/>
      <c r="H217" s="89"/>
      <c r="I217" s="147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147"/>
      <c r="Y217" s="89"/>
      <c r="Z217" s="89"/>
    </row>
    <row r="218" spans="1:26" ht="12" customHeight="1" x14ac:dyDescent="0.3">
      <c r="A218" s="89"/>
      <c r="B218" s="89"/>
      <c r="C218" s="88"/>
      <c r="D218" s="88"/>
      <c r="E218" s="89"/>
      <c r="F218" s="89"/>
      <c r="H218" s="89"/>
      <c r="I218" s="147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147"/>
      <c r="Y218" s="89"/>
      <c r="Z218" s="89"/>
    </row>
    <row r="219" spans="1:26" ht="12" customHeight="1" x14ac:dyDescent="0.3">
      <c r="A219" s="89"/>
      <c r="B219" s="89"/>
      <c r="C219" s="88"/>
      <c r="D219" s="88"/>
      <c r="E219" s="89"/>
      <c r="F219" s="89"/>
      <c r="H219" s="89"/>
      <c r="I219" s="147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147"/>
      <c r="Y219" s="89"/>
      <c r="Z219" s="89"/>
    </row>
    <row r="220" spans="1:26" ht="12" customHeight="1" x14ac:dyDescent="0.3">
      <c r="A220" s="89"/>
      <c r="B220" s="89"/>
      <c r="C220" s="88"/>
      <c r="D220" s="88"/>
      <c r="E220" s="89"/>
      <c r="F220" s="89"/>
      <c r="H220" s="89"/>
      <c r="I220" s="147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147"/>
      <c r="Y220" s="89"/>
      <c r="Z220" s="89"/>
    </row>
    <row r="221" spans="1:26" ht="12" customHeight="1" x14ac:dyDescent="0.3">
      <c r="A221" s="89"/>
      <c r="B221" s="89"/>
      <c r="C221" s="88"/>
      <c r="D221" s="88"/>
      <c r="E221" s="89"/>
      <c r="F221" s="89"/>
      <c r="H221" s="89"/>
      <c r="I221" s="147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147"/>
      <c r="Y221" s="89"/>
      <c r="Z221" s="89"/>
    </row>
    <row r="222" spans="1:26" ht="12" customHeight="1" x14ac:dyDescent="0.3">
      <c r="A222" s="89"/>
      <c r="B222" s="89"/>
      <c r="C222" s="88"/>
      <c r="D222" s="88"/>
      <c r="E222" s="89"/>
      <c r="F222" s="89"/>
      <c r="H222" s="89"/>
      <c r="I222" s="147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147"/>
      <c r="Y222" s="89"/>
      <c r="Z222" s="89"/>
    </row>
    <row r="223" spans="1:26" ht="12" customHeight="1" x14ac:dyDescent="0.3">
      <c r="A223" s="89"/>
      <c r="B223" s="89"/>
      <c r="C223" s="88"/>
      <c r="D223" s="88"/>
      <c r="E223" s="89"/>
      <c r="F223" s="89"/>
      <c r="H223" s="89"/>
      <c r="I223" s="147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147"/>
      <c r="Y223" s="89"/>
      <c r="Z223" s="89"/>
    </row>
    <row r="224" spans="1:26" ht="12" customHeight="1" x14ac:dyDescent="0.3">
      <c r="A224" s="89"/>
      <c r="B224" s="89"/>
      <c r="C224" s="88"/>
      <c r="D224" s="88"/>
      <c r="E224" s="89"/>
      <c r="F224" s="89"/>
      <c r="H224" s="89"/>
      <c r="I224" s="147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147"/>
      <c r="Y224" s="89"/>
      <c r="Z224" s="89"/>
    </row>
    <row r="225" spans="1:26" ht="12" customHeight="1" x14ac:dyDescent="0.3">
      <c r="A225" s="89"/>
      <c r="B225" s="89"/>
      <c r="C225" s="88"/>
      <c r="D225" s="88"/>
      <c r="E225" s="89"/>
      <c r="F225" s="89"/>
      <c r="H225" s="89"/>
      <c r="I225" s="147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147"/>
      <c r="Y225" s="89"/>
      <c r="Z225" s="89"/>
    </row>
    <row r="226" spans="1:26" ht="12" customHeight="1" x14ac:dyDescent="0.3">
      <c r="A226" s="89"/>
      <c r="B226" s="89"/>
      <c r="C226" s="88"/>
      <c r="D226" s="88"/>
      <c r="E226" s="89"/>
      <c r="F226" s="89"/>
      <c r="H226" s="89"/>
      <c r="I226" s="147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147"/>
      <c r="Y226" s="89"/>
      <c r="Z226" s="89"/>
    </row>
    <row r="227" spans="1:26" ht="12" customHeight="1" x14ac:dyDescent="0.3">
      <c r="A227" s="89"/>
      <c r="B227" s="89"/>
      <c r="C227" s="88"/>
      <c r="D227" s="88"/>
      <c r="E227" s="89"/>
      <c r="F227" s="89"/>
      <c r="H227" s="89"/>
      <c r="I227" s="147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147"/>
      <c r="Y227" s="89"/>
      <c r="Z227" s="89"/>
    </row>
    <row r="228" spans="1:26" ht="12" customHeight="1" x14ac:dyDescent="0.3">
      <c r="A228" s="89"/>
      <c r="B228" s="89"/>
      <c r="C228" s="88"/>
      <c r="D228" s="88"/>
      <c r="E228" s="89"/>
      <c r="F228" s="89"/>
      <c r="H228" s="89"/>
      <c r="I228" s="147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147"/>
      <c r="Y228" s="89"/>
      <c r="Z228" s="89"/>
    </row>
    <row r="229" spans="1:26" ht="12" customHeight="1" x14ac:dyDescent="0.3">
      <c r="A229" s="89"/>
      <c r="B229" s="89"/>
      <c r="C229" s="88"/>
      <c r="D229" s="88"/>
      <c r="E229" s="89"/>
      <c r="F229" s="89"/>
      <c r="H229" s="89"/>
      <c r="I229" s="147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147"/>
      <c r="Y229" s="89"/>
      <c r="Z229" s="89"/>
    </row>
    <row r="230" spans="1:26" ht="12" customHeight="1" x14ac:dyDescent="0.3">
      <c r="A230" s="89"/>
      <c r="B230" s="89"/>
      <c r="C230" s="88"/>
      <c r="D230" s="88"/>
      <c r="E230" s="89"/>
      <c r="F230" s="89"/>
      <c r="H230" s="89"/>
      <c r="I230" s="147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147"/>
      <c r="Y230" s="89"/>
      <c r="Z230" s="89"/>
    </row>
    <row r="231" spans="1:26" ht="12" customHeight="1" x14ac:dyDescent="0.3">
      <c r="A231" s="89"/>
      <c r="B231" s="89"/>
      <c r="C231" s="88"/>
      <c r="D231" s="88"/>
      <c r="E231" s="89"/>
      <c r="F231" s="89"/>
      <c r="H231" s="89"/>
      <c r="I231" s="147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147"/>
      <c r="Y231" s="89"/>
      <c r="Z231" s="89"/>
    </row>
    <row r="232" spans="1:26" ht="12" customHeight="1" x14ac:dyDescent="0.3">
      <c r="A232" s="89"/>
      <c r="B232" s="89"/>
      <c r="C232" s="88"/>
      <c r="D232" s="88"/>
      <c r="E232" s="89"/>
      <c r="F232" s="89"/>
      <c r="H232" s="89"/>
      <c r="I232" s="147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147"/>
      <c r="Y232" s="89"/>
      <c r="Z232" s="89"/>
    </row>
    <row r="233" spans="1:26" ht="12" customHeight="1" x14ac:dyDescent="0.3">
      <c r="A233" s="89"/>
      <c r="B233" s="89"/>
      <c r="C233" s="88"/>
      <c r="D233" s="88"/>
      <c r="E233" s="89"/>
      <c r="F233" s="89"/>
      <c r="H233" s="89"/>
      <c r="I233" s="147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147"/>
      <c r="Y233" s="89"/>
      <c r="Z233" s="89"/>
    </row>
    <row r="234" spans="1:26" ht="12" customHeight="1" x14ac:dyDescent="0.3">
      <c r="A234" s="89"/>
      <c r="B234" s="89"/>
      <c r="C234" s="88"/>
      <c r="D234" s="88"/>
      <c r="E234" s="89"/>
      <c r="F234" s="89"/>
      <c r="H234" s="89"/>
      <c r="I234" s="147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147"/>
      <c r="Y234" s="89"/>
      <c r="Z234" s="89"/>
    </row>
    <row r="235" spans="1:26" ht="12" customHeight="1" x14ac:dyDescent="0.3">
      <c r="A235" s="89"/>
      <c r="B235" s="89"/>
      <c r="C235" s="88"/>
      <c r="D235" s="88"/>
      <c r="E235" s="89"/>
      <c r="F235" s="89"/>
      <c r="H235" s="89"/>
      <c r="I235" s="147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147"/>
      <c r="Y235" s="89"/>
      <c r="Z235" s="89"/>
    </row>
    <row r="236" spans="1:26" ht="12" customHeight="1" x14ac:dyDescent="0.3">
      <c r="A236" s="89"/>
      <c r="B236" s="89"/>
      <c r="C236" s="88"/>
      <c r="D236" s="88"/>
      <c r="E236" s="89"/>
      <c r="F236" s="89"/>
      <c r="H236" s="89"/>
      <c r="I236" s="147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147"/>
      <c r="Y236" s="89"/>
      <c r="Z236" s="89"/>
    </row>
    <row r="237" spans="1:26" ht="12" customHeight="1" x14ac:dyDescent="0.3">
      <c r="A237" s="89"/>
      <c r="B237" s="89"/>
      <c r="C237" s="88"/>
      <c r="D237" s="88"/>
      <c r="E237" s="89"/>
      <c r="F237" s="89"/>
      <c r="H237" s="89"/>
      <c r="I237" s="147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147"/>
      <c r="Y237" s="89"/>
      <c r="Z237" s="89"/>
    </row>
    <row r="238" spans="1:26" ht="12" customHeight="1" x14ac:dyDescent="0.3">
      <c r="A238" s="89"/>
      <c r="B238" s="89"/>
      <c r="C238" s="88"/>
      <c r="D238" s="88"/>
      <c r="E238" s="89"/>
      <c r="F238" s="89"/>
      <c r="H238" s="89"/>
      <c r="I238" s="147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147"/>
      <c r="Y238" s="89"/>
      <c r="Z238" s="89"/>
    </row>
    <row r="239" spans="1:26" ht="12" customHeight="1" x14ac:dyDescent="0.3">
      <c r="A239" s="89"/>
      <c r="B239" s="89"/>
      <c r="C239" s="88"/>
      <c r="D239" s="88"/>
      <c r="E239" s="89"/>
      <c r="F239" s="89"/>
      <c r="H239" s="89"/>
      <c r="I239" s="147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147"/>
      <c r="Y239" s="89"/>
      <c r="Z239" s="89"/>
    </row>
    <row r="240" spans="1:26" ht="12" customHeight="1" x14ac:dyDescent="0.3">
      <c r="A240" s="89"/>
      <c r="B240" s="89"/>
      <c r="C240" s="88"/>
      <c r="D240" s="88"/>
      <c r="E240" s="89"/>
      <c r="F240" s="89"/>
      <c r="H240" s="89"/>
      <c r="I240" s="147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147"/>
      <c r="Y240" s="89"/>
      <c r="Z240" s="89"/>
    </row>
    <row r="241" spans="1:26" ht="12" customHeight="1" x14ac:dyDescent="0.3">
      <c r="A241" s="89"/>
      <c r="B241" s="89"/>
      <c r="C241" s="88"/>
      <c r="D241" s="88"/>
      <c r="E241" s="89"/>
      <c r="F241" s="89"/>
      <c r="H241" s="89"/>
      <c r="I241" s="147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147"/>
      <c r="Y241" s="89"/>
      <c r="Z241" s="89"/>
    </row>
    <row r="242" spans="1:26" ht="12" customHeight="1" x14ac:dyDescent="0.3">
      <c r="A242" s="89"/>
      <c r="B242" s="89"/>
      <c r="C242" s="88"/>
      <c r="D242" s="88"/>
      <c r="E242" s="89"/>
      <c r="F242" s="89"/>
      <c r="H242" s="89"/>
      <c r="I242" s="147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147"/>
      <c r="Y242" s="89"/>
      <c r="Z242" s="89"/>
    </row>
    <row r="243" spans="1:26" ht="12" customHeight="1" x14ac:dyDescent="0.3">
      <c r="A243" s="89"/>
      <c r="B243" s="89"/>
      <c r="C243" s="88"/>
      <c r="D243" s="88"/>
      <c r="E243" s="89"/>
      <c r="F243" s="89"/>
      <c r="H243" s="89"/>
      <c r="I243" s="147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147"/>
      <c r="Y243" s="89"/>
      <c r="Z243" s="89"/>
    </row>
    <row r="244" spans="1:26" ht="12" customHeight="1" x14ac:dyDescent="0.3">
      <c r="A244" s="89"/>
      <c r="B244" s="89"/>
      <c r="C244" s="88"/>
      <c r="D244" s="88"/>
      <c r="E244" s="89"/>
      <c r="F244" s="89"/>
      <c r="H244" s="89"/>
      <c r="I244" s="147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147"/>
      <c r="Y244" s="89"/>
      <c r="Z244" s="89"/>
    </row>
    <row r="245" spans="1:26" ht="12" customHeight="1" x14ac:dyDescent="0.3">
      <c r="A245" s="89"/>
      <c r="B245" s="89"/>
      <c r="C245" s="88"/>
      <c r="D245" s="88"/>
      <c r="E245" s="89"/>
      <c r="F245" s="89"/>
      <c r="H245" s="89"/>
      <c r="I245" s="147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147"/>
      <c r="Y245" s="89"/>
      <c r="Z245" s="89"/>
    </row>
    <row r="246" spans="1:26" ht="12" customHeight="1" x14ac:dyDescent="0.3">
      <c r="A246" s="89"/>
      <c r="B246" s="89"/>
      <c r="C246" s="88"/>
      <c r="D246" s="88"/>
      <c r="E246" s="89"/>
      <c r="F246" s="89"/>
      <c r="H246" s="89"/>
      <c r="I246" s="147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147"/>
      <c r="Y246" s="89"/>
      <c r="Z246" s="89"/>
    </row>
    <row r="247" spans="1:26" ht="12" customHeight="1" x14ac:dyDescent="0.3">
      <c r="A247" s="89"/>
      <c r="B247" s="89"/>
      <c r="C247" s="88"/>
      <c r="D247" s="88"/>
      <c r="E247" s="89"/>
      <c r="F247" s="89"/>
      <c r="H247" s="89"/>
      <c r="I247" s="147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147"/>
      <c r="Y247" s="89"/>
      <c r="Z247" s="89"/>
    </row>
    <row r="248" spans="1:26" ht="12" customHeight="1" x14ac:dyDescent="0.3">
      <c r="A248" s="89"/>
      <c r="B248" s="89"/>
      <c r="C248" s="88"/>
      <c r="D248" s="88"/>
      <c r="E248" s="89"/>
      <c r="F248" s="89"/>
      <c r="H248" s="89"/>
      <c r="I248" s="147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147"/>
      <c r="Y248" s="89"/>
      <c r="Z248" s="89"/>
    </row>
    <row r="249" spans="1:26" ht="12" customHeight="1" x14ac:dyDescent="0.3">
      <c r="A249" s="89"/>
      <c r="B249" s="89"/>
      <c r="C249" s="88"/>
      <c r="D249" s="88"/>
      <c r="E249" s="89"/>
      <c r="F249" s="89"/>
      <c r="H249" s="89"/>
      <c r="I249" s="147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147"/>
      <c r="Y249" s="89"/>
      <c r="Z249" s="89"/>
    </row>
    <row r="250" spans="1:26" ht="12" customHeight="1" x14ac:dyDescent="0.3">
      <c r="A250" s="89"/>
      <c r="B250" s="89"/>
      <c r="C250" s="88"/>
      <c r="D250" s="88"/>
      <c r="E250" s="89"/>
      <c r="F250" s="89"/>
      <c r="H250" s="89"/>
      <c r="I250" s="147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147"/>
      <c r="Y250" s="89"/>
      <c r="Z250" s="89"/>
    </row>
    <row r="251" spans="1:26" ht="12" customHeight="1" x14ac:dyDescent="0.3">
      <c r="A251" s="89"/>
      <c r="B251" s="89"/>
      <c r="C251" s="88"/>
      <c r="D251" s="88"/>
      <c r="E251" s="89"/>
      <c r="F251" s="89"/>
      <c r="H251" s="89"/>
      <c r="I251" s="147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147"/>
      <c r="Y251" s="89"/>
      <c r="Z251" s="89"/>
    </row>
    <row r="252" spans="1:26" ht="12" customHeight="1" x14ac:dyDescent="0.3">
      <c r="A252" s="89"/>
      <c r="B252" s="89"/>
      <c r="C252" s="88"/>
      <c r="D252" s="88"/>
      <c r="E252" s="89"/>
      <c r="F252" s="89"/>
      <c r="H252" s="89"/>
      <c r="I252" s="147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147"/>
      <c r="Y252" s="89"/>
      <c r="Z252" s="89"/>
    </row>
    <row r="253" spans="1:26" ht="12" customHeight="1" x14ac:dyDescent="0.3">
      <c r="A253" s="89"/>
      <c r="B253" s="89"/>
      <c r="C253" s="88"/>
      <c r="D253" s="88"/>
      <c r="E253" s="89"/>
      <c r="F253" s="89"/>
      <c r="H253" s="89"/>
      <c r="I253" s="147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147"/>
      <c r="Y253" s="89"/>
      <c r="Z253" s="89"/>
    </row>
    <row r="254" spans="1:26" ht="12" customHeight="1" x14ac:dyDescent="0.3">
      <c r="A254" s="89"/>
      <c r="B254" s="89"/>
      <c r="C254" s="88"/>
      <c r="D254" s="88"/>
      <c r="E254" s="89"/>
      <c r="F254" s="89"/>
      <c r="H254" s="89"/>
      <c r="I254" s="147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147"/>
      <c r="Y254" s="89"/>
      <c r="Z254" s="89"/>
    </row>
    <row r="255" spans="1:26" ht="12" customHeight="1" x14ac:dyDescent="0.3">
      <c r="A255" s="89"/>
      <c r="B255" s="89"/>
      <c r="C255" s="88"/>
      <c r="D255" s="88"/>
      <c r="E255" s="89"/>
      <c r="F255" s="89"/>
      <c r="H255" s="89"/>
      <c r="I255" s="147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147"/>
      <c r="Y255" s="89"/>
      <c r="Z255" s="89"/>
    </row>
    <row r="256" spans="1:26" ht="12" customHeight="1" x14ac:dyDescent="0.3">
      <c r="A256" s="89"/>
      <c r="B256" s="89"/>
      <c r="C256" s="88"/>
      <c r="D256" s="88"/>
      <c r="E256" s="89"/>
      <c r="F256" s="89"/>
      <c r="H256" s="89"/>
      <c r="I256" s="147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147"/>
      <c r="Y256" s="89"/>
      <c r="Z256" s="89"/>
    </row>
    <row r="257" spans="1:26" ht="12" customHeight="1" x14ac:dyDescent="0.3">
      <c r="A257" s="89"/>
      <c r="B257" s="89"/>
      <c r="C257" s="88"/>
      <c r="D257" s="88"/>
      <c r="E257" s="89"/>
      <c r="F257" s="89"/>
      <c r="H257" s="89"/>
      <c r="I257" s="147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147"/>
      <c r="Y257" s="89"/>
      <c r="Z257" s="89"/>
    </row>
    <row r="258" spans="1:26" ht="12" customHeight="1" x14ac:dyDescent="0.3">
      <c r="A258" s="89"/>
      <c r="B258" s="89"/>
      <c r="C258" s="88"/>
      <c r="D258" s="88"/>
      <c r="E258" s="89"/>
      <c r="F258" s="89"/>
      <c r="H258" s="89"/>
      <c r="I258" s="147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147"/>
      <c r="Y258" s="89"/>
      <c r="Z258" s="89"/>
    </row>
    <row r="259" spans="1:26" ht="12" customHeight="1" x14ac:dyDescent="0.3">
      <c r="A259" s="89"/>
      <c r="B259" s="89"/>
      <c r="C259" s="88"/>
      <c r="D259" s="88"/>
      <c r="E259" s="89"/>
      <c r="F259" s="89"/>
      <c r="H259" s="89"/>
      <c r="I259" s="147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147"/>
      <c r="Y259" s="89"/>
      <c r="Z259" s="89"/>
    </row>
    <row r="260" spans="1:26" ht="12" customHeight="1" x14ac:dyDescent="0.3">
      <c r="A260" s="89"/>
      <c r="B260" s="89"/>
      <c r="C260" s="88"/>
      <c r="D260" s="88"/>
      <c r="E260" s="89"/>
      <c r="F260" s="89"/>
      <c r="H260" s="89"/>
      <c r="I260" s="147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147"/>
      <c r="Y260" s="89"/>
      <c r="Z260" s="89"/>
    </row>
    <row r="261" spans="1:26" ht="12" customHeight="1" x14ac:dyDescent="0.3">
      <c r="A261" s="89"/>
      <c r="B261" s="89"/>
      <c r="C261" s="88"/>
      <c r="D261" s="88"/>
      <c r="E261" s="89"/>
      <c r="F261" s="89"/>
      <c r="H261" s="89"/>
      <c r="I261" s="147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147"/>
      <c r="Y261" s="89"/>
      <c r="Z261" s="89"/>
    </row>
    <row r="262" spans="1:26" ht="12" customHeight="1" x14ac:dyDescent="0.3">
      <c r="A262" s="89"/>
      <c r="B262" s="89"/>
      <c r="C262" s="88"/>
      <c r="D262" s="88"/>
      <c r="E262" s="89"/>
      <c r="F262" s="89"/>
      <c r="H262" s="89"/>
      <c r="I262" s="147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147"/>
      <c r="Y262" s="89"/>
      <c r="Z262" s="89"/>
    </row>
    <row r="263" spans="1:26" ht="12" customHeight="1" x14ac:dyDescent="0.3">
      <c r="A263" s="89"/>
      <c r="B263" s="89"/>
      <c r="C263" s="88"/>
      <c r="D263" s="88"/>
      <c r="E263" s="89"/>
      <c r="F263" s="89"/>
      <c r="H263" s="89"/>
      <c r="I263" s="147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147"/>
      <c r="Y263" s="89"/>
      <c r="Z263" s="89"/>
    </row>
    <row r="264" spans="1:26" ht="12" customHeight="1" x14ac:dyDescent="0.3">
      <c r="A264" s="89"/>
      <c r="B264" s="89"/>
      <c r="C264" s="88"/>
      <c r="D264" s="88"/>
      <c r="E264" s="89"/>
      <c r="F264" s="89"/>
      <c r="H264" s="89"/>
      <c r="I264" s="147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147"/>
      <c r="Y264" s="89"/>
      <c r="Z264" s="89"/>
    </row>
    <row r="265" spans="1:26" ht="12" customHeight="1" x14ac:dyDescent="0.3">
      <c r="A265" s="89"/>
      <c r="B265" s="89"/>
      <c r="C265" s="88"/>
      <c r="D265" s="88"/>
      <c r="E265" s="89"/>
      <c r="F265" s="89"/>
      <c r="H265" s="89"/>
      <c r="I265" s="147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147"/>
      <c r="Y265" s="89"/>
      <c r="Z265" s="89"/>
    </row>
    <row r="266" spans="1:26" ht="12" customHeight="1" x14ac:dyDescent="0.3">
      <c r="A266" s="89"/>
      <c r="B266" s="89"/>
      <c r="C266" s="88"/>
      <c r="D266" s="88"/>
      <c r="E266" s="89"/>
      <c r="F266" s="89"/>
      <c r="H266" s="89"/>
      <c r="I266" s="147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147"/>
      <c r="Y266" s="89"/>
      <c r="Z266" s="89"/>
    </row>
    <row r="267" spans="1:26" ht="12" customHeight="1" x14ac:dyDescent="0.3">
      <c r="A267" s="89"/>
      <c r="B267" s="89"/>
      <c r="C267" s="88"/>
      <c r="D267" s="88"/>
      <c r="E267" s="89"/>
      <c r="F267" s="89"/>
      <c r="H267" s="89"/>
      <c r="I267" s="147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147"/>
      <c r="Y267" s="89"/>
      <c r="Z267" s="89"/>
    </row>
    <row r="268" spans="1:26" ht="12" customHeight="1" x14ac:dyDescent="0.3">
      <c r="A268" s="89"/>
      <c r="B268" s="89"/>
      <c r="C268" s="88"/>
      <c r="D268" s="88"/>
      <c r="E268" s="89"/>
      <c r="F268" s="89"/>
      <c r="H268" s="89"/>
      <c r="I268" s="147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147"/>
      <c r="Y268" s="89"/>
      <c r="Z268" s="89"/>
    </row>
    <row r="269" spans="1:26" ht="12" customHeight="1" x14ac:dyDescent="0.3">
      <c r="A269" s="89"/>
      <c r="B269" s="89"/>
      <c r="C269" s="88"/>
      <c r="D269" s="88"/>
      <c r="E269" s="89"/>
      <c r="F269" s="89"/>
      <c r="H269" s="89"/>
      <c r="I269" s="147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147"/>
      <c r="Y269" s="89"/>
      <c r="Z269" s="89"/>
    </row>
    <row r="270" spans="1:26" ht="12" customHeight="1" x14ac:dyDescent="0.3">
      <c r="A270" s="89"/>
      <c r="B270" s="89"/>
      <c r="C270" s="88"/>
      <c r="D270" s="88"/>
      <c r="E270" s="89"/>
      <c r="F270" s="89"/>
      <c r="H270" s="89"/>
      <c r="I270" s="147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147"/>
      <c r="Y270" s="89"/>
      <c r="Z270" s="89"/>
    </row>
    <row r="271" spans="1:26" ht="12" customHeight="1" x14ac:dyDescent="0.3">
      <c r="A271" s="89"/>
      <c r="B271" s="89"/>
      <c r="C271" s="88"/>
      <c r="D271" s="88"/>
      <c r="E271" s="89"/>
      <c r="F271" s="89"/>
      <c r="H271" s="89"/>
      <c r="I271" s="147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147"/>
      <c r="Y271" s="89"/>
      <c r="Z271" s="89"/>
    </row>
    <row r="272" spans="1:26" ht="12" customHeight="1" x14ac:dyDescent="0.3">
      <c r="A272" s="89"/>
      <c r="B272" s="89"/>
      <c r="C272" s="88"/>
      <c r="D272" s="88"/>
      <c r="E272" s="89"/>
      <c r="F272" s="89"/>
      <c r="H272" s="89"/>
      <c r="I272" s="147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147"/>
      <c r="Y272" s="89"/>
      <c r="Z272" s="89"/>
    </row>
    <row r="273" spans="1:26" ht="12" customHeight="1" x14ac:dyDescent="0.3">
      <c r="A273" s="89"/>
      <c r="B273" s="89"/>
      <c r="C273" s="88"/>
      <c r="D273" s="88"/>
      <c r="E273" s="89"/>
      <c r="F273" s="89"/>
      <c r="H273" s="89"/>
      <c r="I273" s="147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147"/>
      <c r="Y273" s="89"/>
      <c r="Z273" s="89"/>
    </row>
    <row r="274" spans="1:26" ht="12" customHeight="1" x14ac:dyDescent="0.3">
      <c r="A274" s="89"/>
      <c r="B274" s="89"/>
      <c r="C274" s="88"/>
      <c r="D274" s="88"/>
      <c r="E274" s="89"/>
      <c r="F274" s="89"/>
      <c r="H274" s="89"/>
      <c r="I274" s="147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147"/>
      <c r="Y274" s="89"/>
      <c r="Z274" s="89"/>
    </row>
    <row r="275" spans="1:26" ht="12" customHeight="1" x14ac:dyDescent="0.3">
      <c r="A275" s="89"/>
      <c r="B275" s="89"/>
      <c r="C275" s="88"/>
      <c r="D275" s="88"/>
      <c r="E275" s="89"/>
      <c r="F275" s="89"/>
      <c r="H275" s="89"/>
      <c r="I275" s="147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147"/>
      <c r="Y275" s="89"/>
      <c r="Z275" s="89"/>
    </row>
    <row r="276" spans="1:26" ht="12" customHeight="1" x14ac:dyDescent="0.3">
      <c r="A276" s="89"/>
      <c r="B276" s="89"/>
      <c r="C276" s="88"/>
      <c r="D276" s="88"/>
      <c r="E276" s="89"/>
      <c r="F276" s="89"/>
      <c r="H276" s="89"/>
      <c r="I276" s="147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147"/>
      <c r="Y276" s="89"/>
      <c r="Z276" s="89"/>
    </row>
    <row r="277" spans="1:26" ht="12" customHeight="1" x14ac:dyDescent="0.3">
      <c r="A277" s="89"/>
      <c r="B277" s="89"/>
      <c r="C277" s="88"/>
      <c r="D277" s="88"/>
      <c r="E277" s="89"/>
      <c r="F277" s="89"/>
      <c r="H277" s="89"/>
      <c r="I277" s="147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147"/>
      <c r="Y277" s="89"/>
      <c r="Z277" s="89"/>
    </row>
    <row r="278" spans="1:26" ht="12" customHeight="1" x14ac:dyDescent="0.3">
      <c r="A278" s="89"/>
      <c r="B278" s="89"/>
      <c r="C278" s="88"/>
      <c r="D278" s="88"/>
      <c r="E278" s="89"/>
      <c r="F278" s="89"/>
      <c r="H278" s="89"/>
      <c r="I278" s="147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147"/>
      <c r="Y278" s="89"/>
      <c r="Z278" s="89"/>
    </row>
    <row r="279" spans="1:26" ht="12" customHeight="1" x14ac:dyDescent="0.3">
      <c r="A279" s="89"/>
      <c r="B279" s="89"/>
      <c r="C279" s="88"/>
      <c r="D279" s="88"/>
      <c r="E279" s="89"/>
      <c r="F279" s="89"/>
      <c r="H279" s="89"/>
      <c r="I279" s="147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147"/>
      <c r="Y279" s="89"/>
      <c r="Z279" s="89"/>
    </row>
    <row r="280" spans="1:26" ht="12" customHeight="1" x14ac:dyDescent="0.3">
      <c r="A280" s="89"/>
      <c r="B280" s="89"/>
      <c r="C280" s="88"/>
      <c r="D280" s="88"/>
      <c r="E280" s="89"/>
      <c r="F280" s="89"/>
      <c r="H280" s="89"/>
      <c r="I280" s="147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147"/>
      <c r="Y280" s="89"/>
      <c r="Z280" s="89"/>
    </row>
    <row r="281" spans="1:26" ht="12" customHeight="1" x14ac:dyDescent="0.3">
      <c r="A281" s="89"/>
      <c r="B281" s="89"/>
      <c r="C281" s="88"/>
      <c r="D281" s="88"/>
      <c r="E281" s="89"/>
      <c r="F281" s="89"/>
      <c r="H281" s="89"/>
      <c r="I281" s="147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147"/>
      <c r="Y281" s="89"/>
      <c r="Z281" s="89"/>
    </row>
    <row r="282" spans="1:26" ht="12" customHeight="1" x14ac:dyDescent="0.3">
      <c r="A282" s="89"/>
      <c r="B282" s="89"/>
      <c r="C282" s="88"/>
      <c r="D282" s="88"/>
      <c r="E282" s="89"/>
      <c r="F282" s="89"/>
      <c r="H282" s="89"/>
      <c r="I282" s="147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147"/>
      <c r="Y282" s="89"/>
      <c r="Z282" s="89"/>
    </row>
    <row r="283" spans="1:26" ht="12" customHeight="1" x14ac:dyDescent="0.3">
      <c r="A283" s="89"/>
      <c r="B283" s="89"/>
      <c r="C283" s="88"/>
      <c r="D283" s="88"/>
      <c r="E283" s="89"/>
      <c r="F283" s="89"/>
      <c r="H283" s="89"/>
      <c r="I283" s="147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147"/>
      <c r="Y283" s="89"/>
      <c r="Z283" s="89"/>
    </row>
    <row r="284" spans="1:26" ht="12" customHeight="1" x14ac:dyDescent="0.3">
      <c r="A284" s="89"/>
      <c r="B284" s="89"/>
      <c r="C284" s="88"/>
      <c r="D284" s="88"/>
      <c r="E284" s="89"/>
      <c r="F284" s="89"/>
      <c r="H284" s="89"/>
      <c r="I284" s="147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147"/>
      <c r="Y284" s="89"/>
      <c r="Z284" s="89"/>
    </row>
    <row r="285" spans="1:26" ht="12" customHeight="1" x14ac:dyDescent="0.3">
      <c r="A285" s="89"/>
      <c r="B285" s="89"/>
      <c r="C285" s="88"/>
      <c r="D285" s="88"/>
      <c r="E285" s="89"/>
      <c r="F285" s="89"/>
      <c r="H285" s="89"/>
      <c r="I285" s="147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147"/>
      <c r="Y285" s="89"/>
      <c r="Z285" s="89"/>
    </row>
    <row r="286" spans="1:26" ht="12" customHeight="1" x14ac:dyDescent="0.3">
      <c r="A286" s="89"/>
      <c r="B286" s="89"/>
      <c r="C286" s="88"/>
      <c r="D286" s="88"/>
      <c r="E286" s="89"/>
      <c r="F286" s="89"/>
      <c r="H286" s="89"/>
      <c r="I286" s="147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147"/>
      <c r="Y286" s="89"/>
      <c r="Z286" s="89"/>
    </row>
    <row r="287" spans="1:26" ht="12" customHeight="1" x14ac:dyDescent="0.3">
      <c r="A287" s="89"/>
      <c r="B287" s="89"/>
      <c r="C287" s="88"/>
      <c r="D287" s="88"/>
      <c r="E287" s="89"/>
      <c r="F287" s="89"/>
      <c r="H287" s="89"/>
      <c r="I287" s="147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147"/>
      <c r="Y287" s="89"/>
      <c r="Z287" s="89"/>
    </row>
    <row r="288" spans="1:26" ht="12" customHeight="1" x14ac:dyDescent="0.3">
      <c r="A288" s="89"/>
      <c r="B288" s="89"/>
      <c r="C288" s="88"/>
      <c r="D288" s="88"/>
      <c r="E288" s="89"/>
      <c r="F288" s="89"/>
      <c r="H288" s="89"/>
      <c r="I288" s="147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147"/>
      <c r="Y288" s="89"/>
      <c r="Z288" s="89"/>
    </row>
    <row r="289" spans="1:26" ht="12" customHeight="1" x14ac:dyDescent="0.3">
      <c r="A289" s="89"/>
      <c r="B289" s="89"/>
      <c r="C289" s="88"/>
      <c r="D289" s="88"/>
      <c r="E289" s="89"/>
      <c r="F289" s="89"/>
      <c r="H289" s="89"/>
      <c r="I289" s="147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147"/>
      <c r="Y289" s="89"/>
      <c r="Z289" s="89"/>
    </row>
    <row r="290" spans="1:26" ht="12" customHeight="1" x14ac:dyDescent="0.3">
      <c r="A290" s="89"/>
      <c r="B290" s="89"/>
      <c r="C290" s="88"/>
      <c r="D290" s="88"/>
      <c r="E290" s="89"/>
      <c r="F290" s="89"/>
      <c r="H290" s="89"/>
      <c r="I290" s="147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147"/>
      <c r="Y290" s="89"/>
      <c r="Z290" s="89"/>
    </row>
    <row r="291" spans="1:26" ht="12" customHeight="1" x14ac:dyDescent="0.3">
      <c r="A291" s="89"/>
      <c r="B291" s="89"/>
      <c r="C291" s="88"/>
      <c r="D291" s="88"/>
      <c r="E291" s="89"/>
      <c r="F291" s="89"/>
      <c r="H291" s="89"/>
      <c r="I291" s="147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147"/>
      <c r="Y291" s="89"/>
      <c r="Z291" s="89"/>
    </row>
    <row r="292" spans="1:26" ht="12" customHeight="1" x14ac:dyDescent="0.3">
      <c r="A292" s="89"/>
      <c r="B292" s="89"/>
      <c r="C292" s="88"/>
      <c r="D292" s="88"/>
      <c r="E292" s="89"/>
      <c r="F292" s="89"/>
      <c r="H292" s="89"/>
      <c r="I292" s="147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147"/>
      <c r="Y292" s="89"/>
      <c r="Z292" s="89"/>
    </row>
    <row r="293" spans="1:26" ht="12" customHeight="1" x14ac:dyDescent="0.3">
      <c r="A293" s="89"/>
      <c r="B293" s="89"/>
      <c r="C293" s="88"/>
      <c r="D293" s="88"/>
      <c r="E293" s="89"/>
      <c r="F293" s="89"/>
      <c r="H293" s="89"/>
      <c r="I293" s="147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147"/>
      <c r="Y293" s="89"/>
      <c r="Z293" s="89"/>
    </row>
    <row r="294" spans="1:26" ht="12" customHeight="1" x14ac:dyDescent="0.3">
      <c r="A294" s="89"/>
      <c r="B294" s="89"/>
      <c r="C294" s="88"/>
      <c r="D294" s="88"/>
      <c r="E294" s="89"/>
      <c r="F294" s="89"/>
      <c r="H294" s="89"/>
      <c r="I294" s="147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147"/>
      <c r="Y294" s="89"/>
      <c r="Z294" s="89"/>
    </row>
    <row r="295" spans="1:26" ht="12" customHeight="1" x14ac:dyDescent="0.3">
      <c r="A295" s="89"/>
      <c r="B295" s="89"/>
      <c r="C295" s="88"/>
      <c r="D295" s="88"/>
      <c r="E295" s="89"/>
      <c r="F295" s="89"/>
      <c r="H295" s="89"/>
      <c r="I295" s="147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147"/>
      <c r="Y295" s="89"/>
      <c r="Z295" s="89"/>
    </row>
    <row r="296" spans="1:26" ht="12" customHeight="1" x14ac:dyDescent="0.3">
      <c r="A296" s="89"/>
      <c r="B296" s="89"/>
      <c r="C296" s="88"/>
      <c r="D296" s="88"/>
      <c r="E296" s="89"/>
      <c r="F296" s="89"/>
      <c r="H296" s="89"/>
      <c r="I296" s="147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147"/>
      <c r="Y296" s="89"/>
      <c r="Z296" s="89"/>
    </row>
    <row r="297" spans="1:26" ht="12" customHeight="1" x14ac:dyDescent="0.3">
      <c r="A297" s="89"/>
      <c r="B297" s="89"/>
      <c r="C297" s="88"/>
      <c r="D297" s="88"/>
      <c r="E297" s="89"/>
      <c r="F297" s="89"/>
      <c r="H297" s="89"/>
      <c r="I297" s="147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147"/>
      <c r="Y297" s="89"/>
      <c r="Z297" s="89"/>
    </row>
    <row r="298" spans="1:26" ht="12" customHeight="1" x14ac:dyDescent="0.3">
      <c r="A298" s="89"/>
      <c r="B298" s="89"/>
      <c r="C298" s="88"/>
      <c r="D298" s="88"/>
      <c r="E298" s="89"/>
      <c r="F298" s="89"/>
      <c r="H298" s="89"/>
      <c r="I298" s="147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147"/>
      <c r="Y298" s="89"/>
      <c r="Z298" s="89"/>
    </row>
    <row r="299" spans="1:26" ht="12" customHeight="1" x14ac:dyDescent="0.3">
      <c r="A299" s="89"/>
      <c r="B299" s="89"/>
      <c r="C299" s="88"/>
      <c r="D299" s="88"/>
      <c r="E299" s="89"/>
      <c r="F299" s="89"/>
      <c r="H299" s="89"/>
      <c r="I299" s="147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147"/>
      <c r="Y299" s="89"/>
      <c r="Z299" s="89"/>
    </row>
    <row r="300" spans="1:26" ht="12" customHeight="1" x14ac:dyDescent="0.3">
      <c r="A300" s="89"/>
      <c r="B300" s="89"/>
      <c r="C300" s="88"/>
      <c r="D300" s="88"/>
      <c r="E300" s="89"/>
      <c r="F300" s="89"/>
      <c r="H300" s="89"/>
      <c r="I300" s="147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147"/>
      <c r="Y300" s="89"/>
      <c r="Z300" s="89"/>
    </row>
    <row r="301" spans="1:26" ht="12" customHeight="1" x14ac:dyDescent="0.3">
      <c r="A301" s="89"/>
      <c r="B301" s="89"/>
      <c r="C301" s="88"/>
      <c r="D301" s="88"/>
      <c r="E301" s="89"/>
      <c r="F301" s="89"/>
      <c r="H301" s="89"/>
      <c r="I301" s="147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147"/>
      <c r="Y301" s="89"/>
      <c r="Z301" s="89"/>
    </row>
    <row r="302" spans="1:26" ht="12" customHeight="1" x14ac:dyDescent="0.3">
      <c r="A302" s="89"/>
      <c r="B302" s="89"/>
      <c r="C302" s="88"/>
      <c r="D302" s="88"/>
      <c r="E302" s="89"/>
      <c r="F302" s="89"/>
      <c r="H302" s="89"/>
      <c r="I302" s="147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147"/>
      <c r="Y302" s="89"/>
      <c r="Z302" s="89"/>
    </row>
    <row r="303" spans="1:26" ht="12" customHeight="1" x14ac:dyDescent="0.3">
      <c r="A303" s="89"/>
      <c r="B303" s="89"/>
      <c r="C303" s="88"/>
      <c r="D303" s="88"/>
      <c r="E303" s="89"/>
      <c r="F303" s="89"/>
      <c r="H303" s="89"/>
      <c r="I303" s="147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147"/>
      <c r="Y303" s="89"/>
      <c r="Z303" s="89"/>
    </row>
    <row r="304" spans="1:26" ht="12" customHeight="1" x14ac:dyDescent="0.3">
      <c r="A304" s="89"/>
      <c r="B304" s="89"/>
      <c r="C304" s="88"/>
      <c r="D304" s="88"/>
      <c r="E304" s="89"/>
      <c r="F304" s="89"/>
      <c r="H304" s="89"/>
      <c r="I304" s="147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147"/>
      <c r="Y304" s="89"/>
      <c r="Z304" s="89"/>
    </row>
    <row r="305" spans="1:26" ht="12" customHeight="1" x14ac:dyDescent="0.3">
      <c r="A305" s="89"/>
      <c r="B305" s="89"/>
      <c r="C305" s="88"/>
      <c r="D305" s="88"/>
      <c r="E305" s="89"/>
      <c r="F305" s="89"/>
      <c r="H305" s="89"/>
      <c r="I305" s="147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147"/>
      <c r="Y305" s="89"/>
      <c r="Z305" s="89"/>
    </row>
    <row r="306" spans="1:26" ht="12" customHeight="1" x14ac:dyDescent="0.3">
      <c r="A306" s="89"/>
      <c r="B306" s="89"/>
      <c r="C306" s="88"/>
      <c r="D306" s="88"/>
      <c r="E306" s="89"/>
      <c r="F306" s="89"/>
      <c r="H306" s="89"/>
      <c r="I306" s="147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147"/>
      <c r="Y306" s="89"/>
      <c r="Z306" s="89"/>
    </row>
    <row r="307" spans="1:26" ht="12" customHeight="1" x14ac:dyDescent="0.3">
      <c r="A307" s="89"/>
      <c r="B307" s="89"/>
      <c r="C307" s="88"/>
      <c r="D307" s="88"/>
      <c r="E307" s="89"/>
      <c r="F307" s="89"/>
      <c r="H307" s="89"/>
      <c r="I307" s="147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147"/>
      <c r="Y307" s="89"/>
      <c r="Z307" s="89"/>
    </row>
    <row r="308" spans="1:26" ht="12" customHeight="1" x14ac:dyDescent="0.3">
      <c r="A308" s="89"/>
      <c r="B308" s="89"/>
      <c r="C308" s="88"/>
      <c r="D308" s="88"/>
      <c r="E308" s="89"/>
      <c r="F308" s="89"/>
      <c r="H308" s="89"/>
      <c r="I308" s="147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147"/>
      <c r="Y308" s="89"/>
      <c r="Z308" s="89"/>
    </row>
    <row r="309" spans="1:26" ht="12" customHeight="1" x14ac:dyDescent="0.3">
      <c r="A309" s="89"/>
      <c r="B309" s="89"/>
      <c r="C309" s="88"/>
      <c r="D309" s="88"/>
      <c r="E309" s="89"/>
      <c r="F309" s="89"/>
      <c r="H309" s="89"/>
      <c r="I309" s="147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147"/>
      <c r="Y309" s="89"/>
      <c r="Z309" s="89"/>
    </row>
    <row r="310" spans="1:26" ht="12" customHeight="1" x14ac:dyDescent="0.3">
      <c r="A310" s="89"/>
      <c r="B310" s="89"/>
      <c r="C310" s="88"/>
      <c r="D310" s="88"/>
      <c r="E310" s="89"/>
      <c r="F310" s="89"/>
      <c r="H310" s="89"/>
      <c r="I310" s="147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147"/>
      <c r="Y310" s="89"/>
      <c r="Z310" s="89"/>
    </row>
    <row r="311" spans="1:26" ht="12" customHeight="1" x14ac:dyDescent="0.3">
      <c r="A311" s="89"/>
      <c r="B311" s="89"/>
      <c r="C311" s="88"/>
      <c r="D311" s="88"/>
      <c r="E311" s="89"/>
      <c r="F311" s="89"/>
      <c r="H311" s="89"/>
      <c r="I311" s="147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147"/>
      <c r="Y311" s="89"/>
      <c r="Z311" s="89"/>
    </row>
    <row r="312" spans="1:26" ht="12" customHeight="1" x14ac:dyDescent="0.3">
      <c r="A312" s="89"/>
      <c r="B312" s="89"/>
      <c r="C312" s="88"/>
      <c r="D312" s="88"/>
      <c r="E312" s="89"/>
      <c r="F312" s="89"/>
      <c r="H312" s="89"/>
      <c r="I312" s="147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147"/>
      <c r="Y312" s="89"/>
      <c r="Z312" s="89"/>
    </row>
    <row r="313" spans="1:26" ht="12" customHeight="1" x14ac:dyDescent="0.3">
      <c r="A313" s="89"/>
      <c r="B313" s="89"/>
      <c r="C313" s="88"/>
      <c r="D313" s="88"/>
      <c r="E313" s="89"/>
      <c r="F313" s="89"/>
      <c r="H313" s="89"/>
      <c r="I313" s="147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147"/>
      <c r="Y313" s="89"/>
      <c r="Z313" s="89"/>
    </row>
    <row r="314" spans="1:26" ht="12" customHeight="1" x14ac:dyDescent="0.3">
      <c r="A314" s="89"/>
      <c r="B314" s="89"/>
      <c r="C314" s="88"/>
      <c r="D314" s="88"/>
      <c r="E314" s="89"/>
      <c r="F314" s="89"/>
      <c r="H314" s="89"/>
      <c r="I314" s="147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147"/>
      <c r="Y314" s="89"/>
      <c r="Z314" s="89"/>
    </row>
    <row r="315" spans="1:26" ht="12" customHeight="1" x14ac:dyDescent="0.3">
      <c r="A315" s="89"/>
      <c r="B315" s="89"/>
      <c r="C315" s="88"/>
      <c r="D315" s="88"/>
      <c r="E315" s="89"/>
      <c r="F315" s="89"/>
      <c r="H315" s="89"/>
      <c r="I315" s="147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147"/>
      <c r="Y315" s="89"/>
      <c r="Z315" s="89"/>
    </row>
    <row r="316" spans="1:26" ht="12" customHeight="1" x14ac:dyDescent="0.3">
      <c r="A316" s="89"/>
      <c r="B316" s="89"/>
      <c r="C316" s="88"/>
      <c r="D316" s="88"/>
      <c r="E316" s="89"/>
      <c r="F316" s="89"/>
      <c r="H316" s="89"/>
      <c r="I316" s="147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147"/>
      <c r="Y316" s="89"/>
      <c r="Z316" s="89"/>
    </row>
    <row r="317" spans="1:26" ht="12" customHeight="1" x14ac:dyDescent="0.3">
      <c r="A317" s="89"/>
      <c r="B317" s="89"/>
      <c r="C317" s="88"/>
      <c r="D317" s="88"/>
      <c r="E317" s="89"/>
      <c r="F317" s="89"/>
      <c r="H317" s="89"/>
      <c r="I317" s="147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147"/>
      <c r="Y317" s="89"/>
      <c r="Z317" s="89"/>
    </row>
    <row r="318" spans="1:26" ht="12" customHeight="1" x14ac:dyDescent="0.3">
      <c r="A318" s="89"/>
      <c r="B318" s="89"/>
      <c r="C318" s="88"/>
      <c r="D318" s="88"/>
      <c r="E318" s="89"/>
      <c r="F318" s="89"/>
      <c r="H318" s="89"/>
      <c r="I318" s="147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147"/>
      <c r="Y318" s="89"/>
      <c r="Z318" s="89"/>
    </row>
    <row r="319" spans="1:26" ht="12" customHeight="1" x14ac:dyDescent="0.3">
      <c r="A319" s="89"/>
      <c r="B319" s="89"/>
      <c r="C319" s="88"/>
      <c r="D319" s="88"/>
      <c r="E319" s="89"/>
      <c r="F319" s="89"/>
      <c r="H319" s="89"/>
      <c r="I319" s="147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147"/>
      <c r="Y319" s="89"/>
      <c r="Z319" s="89"/>
    </row>
    <row r="320" spans="1:26" ht="12" customHeight="1" x14ac:dyDescent="0.3">
      <c r="A320" s="89"/>
      <c r="B320" s="89"/>
      <c r="C320" s="88"/>
      <c r="D320" s="88"/>
      <c r="E320" s="89"/>
      <c r="F320" s="89"/>
      <c r="H320" s="89"/>
      <c r="I320" s="147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147"/>
      <c r="Y320" s="89"/>
      <c r="Z320" s="89"/>
    </row>
    <row r="321" spans="1:26" ht="12" customHeight="1" x14ac:dyDescent="0.3">
      <c r="A321" s="89"/>
      <c r="B321" s="89"/>
      <c r="C321" s="88"/>
      <c r="D321" s="88"/>
      <c r="E321" s="89"/>
      <c r="F321" s="89"/>
      <c r="H321" s="89"/>
      <c r="I321" s="147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147"/>
      <c r="Y321" s="89"/>
      <c r="Z321" s="89"/>
    </row>
    <row r="322" spans="1:26" ht="12" customHeight="1" x14ac:dyDescent="0.3">
      <c r="A322" s="89"/>
      <c r="B322" s="89"/>
      <c r="C322" s="88"/>
      <c r="D322" s="88"/>
      <c r="E322" s="89"/>
      <c r="F322" s="89"/>
      <c r="H322" s="89"/>
      <c r="I322" s="147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147"/>
      <c r="Y322" s="89"/>
      <c r="Z322" s="89"/>
    </row>
    <row r="323" spans="1:26" ht="12" customHeight="1" x14ac:dyDescent="0.3">
      <c r="A323" s="89"/>
      <c r="B323" s="89"/>
      <c r="C323" s="88"/>
      <c r="D323" s="88"/>
      <c r="E323" s="89"/>
      <c r="F323" s="89"/>
      <c r="H323" s="89"/>
      <c r="I323" s="147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147"/>
      <c r="Y323" s="89"/>
      <c r="Z323" s="89"/>
    </row>
    <row r="324" spans="1:26" ht="12" customHeight="1" x14ac:dyDescent="0.3">
      <c r="A324" s="89"/>
      <c r="B324" s="89"/>
      <c r="C324" s="88"/>
      <c r="D324" s="88"/>
      <c r="E324" s="89"/>
      <c r="F324" s="89"/>
      <c r="H324" s="89"/>
      <c r="I324" s="147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147"/>
      <c r="Y324" s="89"/>
      <c r="Z324" s="89"/>
    </row>
    <row r="325" spans="1:26" ht="12" customHeight="1" x14ac:dyDescent="0.3">
      <c r="A325" s="89"/>
      <c r="B325" s="89"/>
      <c r="C325" s="88"/>
      <c r="D325" s="88"/>
      <c r="E325" s="89"/>
      <c r="F325" s="89"/>
      <c r="H325" s="89"/>
      <c r="I325" s="147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147"/>
      <c r="Y325" s="89"/>
      <c r="Z325" s="89"/>
    </row>
    <row r="326" spans="1:26" ht="12" customHeight="1" x14ac:dyDescent="0.3">
      <c r="A326" s="89"/>
      <c r="B326" s="89"/>
      <c r="C326" s="88"/>
      <c r="D326" s="88"/>
      <c r="E326" s="89"/>
      <c r="F326" s="89"/>
      <c r="H326" s="89"/>
      <c r="I326" s="147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147"/>
      <c r="Y326" s="89"/>
      <c r="Z326" s="89"/>
    </row>
    <row r="327" spans="1:26" ht="12" customHeight="1" x14ac:dyDescent="0.3">
      <c r="A327" s="89"/>
      <c r="B327" s="89"/>
      <c r="C327" s="88"/>
      <c r="D327" s="88"/>
      <c r="E327" s="89"/>
      <c r="F327" s="89"/>
      <c r="H327" s="89"/>
      <c r="I327" s="147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147"/>
      <c r="Y327" s="89"/>
      <c r="Z327" s="89"/>
    </row>
    <row r="328" spans="1:26" ht="12" customHeight="1" x14ac:dyDescent="0.3">
      <c r="A328" s="89"/>
      <c r="B328" s="89"/>
      <c r="C328" s="88"/>
      <c r="D328" s="88"/>
      <c r="E328" s="89"/>
      <c r="F328" s="89"/>
      <c r="H328" s="89"/>
      <c r="I328" s="147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147"/>
      <c r="Y328" s="89"/>
      <c r="Z328" s="89"/>
    </row>
    <row r="329" spans="1:26" ht="12" customHeight="1" x14ac:dyDescent="0.3">
      <c r="A329" s="89"/>
      <c r="B329" s="89"/>
      <c r="C329" s="88"/>
      <c r="D329" s="88"/>
      <c r="E329" s="89"/>
      <c r="F329" s="89"/>
      <c r="H329" s="89"/>
      <c r="I329" s="147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147"/>
      <c r="Y329" s="89"/>
      <c r="Z329" s="89"/>
    </row>
    <row r="330" spans="1:26" ht="12" customHeight="1" x14ac:dyDescent="0.3">
      <c r="A330" s="89"/>
      <c r="B330" s="89"/>
      <c r="C330" s="88"/>
      <c r="D330" s="88"/>
      <c r="E330" s="89"/>
      <c r="F330" s="89"/>
      <c r="H330" s="89"/>
      <c r="I330" s="147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147"/>
      <c r="Y330" s="89"/>
      <c r="Z330" s="89"/>
    </row>
    <row r="331" spans="1:26" ht="12" customHeight="1" x14ac:dyDescent="0.3">
      <c r="A331" s="89"/>
      <c r="B331" s="89"/>
      <c r="C331" s="88"/>
      <c r="D331" s="88"/>
      <c r="E331" s="89"/>
      <c r="F331" s="89"/>
      <c r="H331" s="89"/>
      <c r="I331" s="147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147"/>
      <c r="Y331" s="89"/>
      <c r="Z331" s="89"/>
    </row>
    <row r="332" spans="1:26" ht="12" customHeight="1" x14ac:dyDescent="0.3">
      <c r="A332" s="89"/>
      <c r="B332" s="89"/>
      <c r="C332" s="88"/>
      <c r="D332" s="88"/>
      <c r="E332" s="89"/>
      <c r="F332" s="89"/>
      <c r="H332" s="89"/>
      <c r="I332" s="147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147"/>
      <c r="Y332" s="89"/>
      <c r="Z332" s="89"/>
    </row>
    <row r="333" spans="1:26" ht="12" customHeight="1" x14ac:dyDescent="0.3">
      <c r="A333" s="89"/>
      <c r="B333" s="89"/>
      <c r="C333" s="88"/>
      <c r="D333" s="88"/>
      <c r="E333" s="89"/>
      <c r="F333" s="89"/>
      <c r="H333" s="89"/>
      <c r="I333" s="147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147"/>
      <c r="Y333" s="89"/>
      <c r="Z333" s="89"/>
    </row>
    <row r="334" spans="1:26" ht="12" customHeight="1" x14ac:dyDescent="0.3">
      <c r="A334" s="89"/>
      <c r="B334" s="89"/>
      <c r="C334" s="88"/>
      <c r="D334" s="88"/>
      <c r="E334" s="89"/>
      <c r="F334" s="89"/>
      <c r="H334" s="89"/>
      <c r="I334" s="147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147"/>
      <c r="Y334" s="89"/>
      <c r="Z334" s="89"/>
    </row>
    <row r="335" spans="1:26" ht="12" customHeight="1" x14ac:dyDescent="0.3">
      <c r="A335" s="89"/>
      <c r="B335" s="89"/>
      <c r="C335" s="88"/>
      <c r="D335" s="88"/>
      <c r="E335" s="89"/>
      <c r="F335" s="89"/>
      <c r="H335" s="89"/>
      <c r="I335" s="147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147"/>
      <c r="Y335" s="89"/>
      <c r="Z335" s="89"/>
    </row>
    <row r="336" spans="1:26" ht="12" customHeight="1" x14ac:dyDescent="0.3">
      <c r="A336" s="89"/>
      <c r="B336" s="89"/>
      <c r="C336" s="88"/>
      <c r="D336" s="88"/>
      <c r="E336" s="89"/>
      <c r="F336" s="89"/>
      <c r="H336" s="89"/>
      <c r="I336" s="147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147"/>
      <c r="Y336" s="89"/>
      <c r="Z336" s="89"/>
    </row>
    <row r="337" spans="1:26" ht="12" customHeight="1" x14ac:dyDescent="0.3">
      <c r="A337" s="89"/>
      <c r="B337" s="89"/>
      <c r="C337" s="88"/>
      <c r="D337" s="88"/>
      <c r="E337" s="89"/>
      <c r="F337" s="89"/>
      <c r="H337" s="89"/>
      <c r="I337" s="147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147"/>
      <c r="Y337" s="89"/>
      <c r="Z337" s="89"/>
    </row>
    <row r="338" spans="1:26" ht="12" customHeight="1" x14ac:dyDescent="0.3">
      <c r="A338" s="89"/>
      <c r="B338" s="89"/>
      <c r="C338" s="88"/>
      <c r="D338" s="88"/>
      <c r="E338" s="89"/>
      <c r="F338" s="89"/>
      <c r="H338" s="89"/>
      <c r="I338" s="147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147"/>
      <c r="Y338" s="89"/>
      <c r="Z338" s="89"/>
    </row>
    <row r="339" spans="1:26" ht="12" customHeight="1" x14ac:dyDescent="0.3">
      <c r="A339" s="89"/>
      <c r="B339" s="89"/>
      <c r="C339" s="88"/>
      <c r="D339" s="88"/>
      <c r="E339" s="89"/>
      <c r="F339" s="89"/>
      <c r="H339" s="89"/>
      <c r="I339" s="147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147"/>
      <c r="Y339" s="89"/>
      <c r="Z339" s="89"/>
    </row>
    <row r="340" spans="1:26" ht="12" customHeight="1" x14ac:dyDescent="0.3">
      <c r="A340" s="89"/>
      <c r="B340" s="89"/>
      <c r="C340" s="88"/>
      <c r="D340" s="88"/>
      <c r="E340" s="89"/>
      <c r="F340" s="89"/>
      <c r="H340" s="89"/>
      <c r="I340" s="147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147"/>
      <c r="Y340" s="89"/>
      <c r="Z340" s="89"/>
    </row>
    <row r="341" spans="1:26" ht="12" customHeight="1" x14ac:dyDescent="0.3">
      <c r="A341" s="89"/>
      <c r="B341" s="89"/>
      <c r="C341" s="88"/>
      <c r="D341" s="88"/>
      <c r="E341" s="89"/>
      <c r="F341" s="89"/>
      <c r="H341" s="89"/>
      <c r="I341" s="147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147"/>
      <c r="Y341" s="89"/>
      <c r="Z341" s="89"/>
    </row>
    <row r="342" spans="1:26" ht="12" customHeight="1" x14ac:dyDescent="0.3">
      <c r="A342" s="89"/>
      <c r="B342" s="89"/>
      <c r="C342" s="88"/>
      <c r="D342" s="88"/>
      <c r="E342" s="89"/>
      <c r="F342" s="89"/>
      <c r="H342" s="89"/>
      <c r="I342" s="147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147"/>
      <c r="Y342" s="89"/>
      <c r="Z342" s="89"/>
    </row>
    <row r="343" spans="1:26" ht="12" customHeight="1" x14ac:dyDescent="0.3">
      <c r="A343" s="89"/>
      <c r="B343" s="89"/>
      <c r="C343" s="88"/>
      <c r="D343" s="88"/>
      <c r="E343" s="89"/>
      <c r="F343" s="89"/>
      <c r="H343" s="89"/>
      <c r="I343" s="147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147"/>
      <c r="Y343" s="89"/>
      <c r="Z343" s="89"/>
    </row>
    <row r="344" spans="1:26" ht="12" customHeight="1" x14ac:dyDescent="0.3">
      <c r="A344" s="89"/>
      <c r="B344" s="89"/>
      <c r="C344" s="88"/>
      <c r="D344" s="88"/>
      <c r="E344" s="89"/>
      <c r="F344" s="89"/>
      <c r="H344" s="89"/>
      <c r="I344" s="147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147"/>
      <c r="Y344" s="89"/>
      <c r="Z344" s="89"/>
    </row>
    <row r="345" spans="1:26" ht="12" customHeight="1" x14ac:dyDescent="0.3">
      <c r="A345" s="89"/>
      <c r="B345" s="89"/>
      <c r="C345" s="88"/>
      <c r="D345" s="88"/>
      <c r="E345" s="89"/>
      <c r="F345" s="89"/>
      <c r="H345" s="89"/>
      <c r="I345" s="147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147"/>
      <c r="Y345" s="89"/>
      <c r="Z345" s="89"/>
    </row>
    <row r="346" spans="1:26" ht="12" customHeight="1" x14ac:dyDescent="0.3">
      <c r="A346" s="89"/>
      <c r="B346" s="89"/>
      <c r="C346" s="88"/>
      <c r="D346" s="88"/>
      <c r="E346" s="89"/>
      <c r="F346" s="89"/>
      <c r="H346" s="89"/>
      <c r="I346" s="147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147"/>
      <c r="Y346" s="89"/>
      <c r="Z346" s="89"/>
    </row>
    <row r="347" spans="1:26" ht="12" customHeight="1" x14ac:dyDescent="0.3">
      <c r="A347" s="89"/>
      <c r="B347" s="89"/>
      <c r="C347" s="88"/>
      <c r="D347" s="88"/>
      <c r="E347" s="89"/>
      <c r="F347" s="89"/>
      <c r="H347" s="89"/>
      <c r="I347" s="147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147"/>
      <c r="Y347" s="89"/>
      <c r="Z347" s="89"/>
    </row>
    <row r="348" spans="1:26" ht="12" customHeight="1" x14ac:dyDescent="0.3">
      <c r="A348" s="89"/>
      <c r="B348" s="89"/>
      <c r="C348" s="88"/>
      <c r="D348" s="88"/>
      <c r="E348" s="89"/>
      <c r="F348" s="89"/>
      <c r="H348" s="89"/>
      <c r="I348" s="147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147"/>
      <c r="Y348" s="89"/>
      <c r="Z348" s="89"/>
    </row>
    <row r="349" spans="1:26" ht="12" customHeight="1" x14ac:dyDescent="0.3">
      <c r="A349" s="89"/>
      <c r="B349" s="89"/>
      <c r="C349" s="88"/>
      <c r="D349" s="88"/>
      <c r="E349" s="89"/>
      <c r="F349" s="89"/>
      <c r="H349" s="89"/>
      <c r="I349" s="147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147"/>
      <c r="Y349" s="89"/>
      <c r="Z349" s="89"/>
    </row>
    <row r="350" spans="1:26" ht="12" customHeight="1" x14ac:dyDescent="0.3">
      <c r="A350" s="89"/>
      <c r="B350" s="89"/>
      <c r="C350" s="88"/>
      <c r="D350" s="88"/>
      <c r="E350" s="89"/>
      <c r="F350" s="89"/>
      <c r="H350" s="89"/>
      <c r="I350" s="147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147"/>
      <c r="Y350" s="89"/>
      <c r="Z350" s="89"/>
    </row>
    <row r="351" spans="1:26" ht="12" customHeight="1" x14ac:dyDescent="0.3">
      <c r="A351" s="89"/>
      <c r="B351" s="89"/>
      <c r="C351" s="88"/>
      <c r="D351" s="88"/>
      <c r="E351" s="89"/>
      <c r="F351" s="89"/>
      <c r="H351" s="89"/>
      <c r="I351" s="147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147"/>
      <c r="Y351" s="89"/>
      <c r="Z351" s="89"/>
    </row>
    <row r="352" spans="1:26" ht="12" customHeight="1" x14ac:dyDescent="0.3">
      <c r="A352" s="89"/>
      <c r="B352" s="89"/>
      <c r="C352" s="88"/>
      <c r="D352" s="88"/>
      <c r="E352" s="89"/>
      <c r="F352" s="89"/>
      <c r="H352" s="89"/>
      <c r="I352" s="147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147"/>
      <c r="Y352" s="89"/>
      <c r="Z352" s="89"/>
    </row>
    <row r="353" spans="1:26" ht="12" customHeight="1" x14ac:dyDescent="0.3">
      <c r="A353" s="89"/>
      <c r="B353" s="89"/>
      <c r="C353" s="88"/>
      <c r="D353" s="88"/>
      <c r="E353" s="89"/>
      <c r="F353" s="89"/>
      <c r="H353" s="89"/>
      <c r="I353" s="147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147"/>
      <c r="Y353" s="89"/>
      <c r="Z353" s="89"/>
    </row>
    <row r="354" spans="1:26" ht="12" customHeight="1" x14ac:dyDescent="0.3">
      <c r="A354" s="89"/>
      <c r="B354" s="89"/>
      <c r="C354" s="88"/>
      <c r="D354" s="88"/>
      <c r="E354" s="89"/>
      <c r="F354" s="89"/>
      <c r="H354" s="89"/>
      <c r="I354" s="147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147"/>
      <c r="Y354" s="89"/>
      <c r="Z354" s="89"/>
    </row>
    <row r="355" spans="1:26" ht="12" customHeight="1" x14ac:dyDescent="0.3">
      <c r="A355" s="89"/>
      <c r="B355" s="89"/>
      <c r="C355" s="88"/>
      <c r="D355" s="88"/>
      <c r="E355" s="89"/>
      <c r="F355" s="89"/>
      <c r="H355" s="89"/>
      <c r="I355" s="147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147"/>
      <c r="Y355" s="89"/>
      <c r="Z355" s="89"/>
    </row>
    <row r="356" spans="1:26" ht="12" customHeight="1" x14ac:dyDescent="0.3">
      <c r="A356" s="89"/>
      <c r="B356" s="89"/>
      <c r="C356" s="88"/>
      <c r="D356" s="88"/>
      <c r="E356" s="89"/>
      <c r="F356" s="89"/>
      <c r="H356" s="89"/>
      <c r="I356" s="147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147"/>
      <c r="Y356" s="89"/>
      <c r="Z356" s="89"/>
    </row>
    <row r="357" spans="1:26" ht="12" customHeight="1" x14ac:dyDescent="0.3">
      <c r="A357" s="89"/>
      <c r="B357" s="89"/>
      <c r="C357" s="88"/>
      <c r="D357" s="88"/>
      <c r="E357" s="89"/>
      <c r="F357" s="89"/>
      <c r="H357" s="89"/>
      <c r="I357" s="147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147"/>
      <c r="Y357" s="89"/>
      <c r="Z357" s="89"/>
    </row>
    <row r="358" spans="1:26" ht="12" customHeight="1" x14ac:dyDescent="0.3">
      <c r="A358" s="89"/>
      <c r="B358" s="89"/>
      <c r="C358" s="88"/>
      <c r="D358" s="88"/>
      <c r="E358" s="89"/>
      <c r="F358" s="89"/>
      <c r="H358" s="89"/>
      <c r="I358" s="147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147"/>
      <c r="Y358" s="89"/>
      <c r="Z358" s="89"/>
    </row>
    <row r="359" spans="1:26" ht="12" customHeight="1" x14ac:dyDescent="0.3">
      <c r="A359" s="89"/>
      <c r="B359" s="89"/>
      <c r="C359" s="88"/>
      <c r="D359" s="88"/>
      <c r="E359" s="89"/>
      <c r="F359" s="89"/>
      <c r="H359" s="89"/>
      <c r="I359" s="147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147"/>
      <c r="Y359" s="89"/>
      <c r="Z359" s="89"/>
    </row>
    <row r="360" spans="1:26" ht="12" customHeight="1" x14ac:dyDescent="0.3">
      <c r="A360" s="89"/>
      <c r="B360" s="89"/>
      <c r="C360" s="88"/>
      <c r="D360" s="88"/>
      <c r="E360" s="89"/>
      <c r="F360" s="89"/>
      <c r="H360" s="89"/>
      <c r="I360" s="147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147"/>
      <c r="Y360" s="89"/>
      <c r="Z360" s="89"/>
    </row>
    <row r="361" spans="1:26" ht="12" customHeight="1" x14ac:dyDescent="0.3">
      <c r="A361" s="89"/>
      <c r="B361" s="89"/>
      <c r="C361" s="88"/>
      <c r="D361" s="88"/>
      <c r="E361" s="89"/>
      <c r="F361" s="89"/>
      <c r="H361" s="89"/>
      <c r="I361" s="147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147"/>
      <c r="Y361" s="89"/>
      <c r="Z361" s="89"/>
    </row>
    <row r="362" spans="1:26" ht="12" customHeight="1" x14ac:dyDescent="0.3">
      <c r="A362" s="89"/>
      <c r="B362" s="89"/>
      <c r="C362" s="88"/>
      <c r="D362" s="88"/>
      <c r="E362" s="89"/>
      <c r="F362" s="89"/>
      <c r="H362" s="89"/>
      <c r="I362" s="147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147"/>
      <c r="Y362" s="89"/>
      <c r="Z362" s="89"/>
    </row>
    <row r="363" spans="1:26" ht="12" customHeight="1" x14ac:dyDescent="0.3">
      <c r="A363" s="89"/>
      <c r="B363" s="89"/>
      <c r="C363" s="88"/>
      <c r="D363" s="88"/>
      <c r="E363" s="89"/>
      <c r="F363" s="89"/>
      <c r="H363" s="89"/>
      <c r="I363" s="147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147"/>
      <c r="Y363" s="89"/>
      <c r="Z363" s="89"/>
    </row>
    <row r="364" spans="1:26" ht="12" customHeight="1" x14ac:dyDescent="0.3">
      <c r="A364" s="89"/>
      <c r="B364" s="89"/>
      <c r="C364" s="88"/>
      <c r="D364" s="88"/>
      <c r="E364" s="89"/>
      <c r="F364" s="89"/>
      <c r="H364" s="89"/>
      <c r="I364" s="147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147"/>
      <c r="Y364" s="89"/>
      <c r="Z364" s="89"/>
    </row>
    <row r="365" spans="1:26" ht="12" customHeight="1" x14ac:dyDescent="0.3">
      <c r="A365" s="89"/>
      <c r="B365" s="89"/>
      <c r="C365" s="88"/>
      <c r="D365" s="88"/>
      <c r="E365" s="89"/>
      <c r="F365" s="89"/>
      <c r="H365" s="89"/>
      <c r="I365" s="147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147"/>
      <c r="Y365" s="89"/>
      <c r="Z365" s="89"/>
    </row>
    <row r="366" spans="1:26" ht="12" customHeight="1" x14ac:dyDescent="0.3">
      <c r="A366" s="89"/>
      <c r="B366" s="89"/>
      <c r="C366" s="88"/>
      <c r="D366" s="88"/>
      <c r="E366" s="89"/>
      <c r="F366" s="89"/>
      <c r="H366" s="89"/>
      <c r="I366" s="147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147"/>
      <c r="Y366" s="89"/>
      <c r="Z366" s="89"/>
    </row>
    <row r="367" spans="1:26" ht="12" customHeight="1" x14ac:dyDescent="0.3">
      <c r="A367" s="89"/>
      <c r="B367" s="89"/>
      <c r="C367" s="88"/>
      <c r="D367" s="88"/>
      <c r="E367" s="89"/>
      <c r="F367" s="89"/>
      <c r="H367" s="89"/>
      <c r="I367" s="147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147"/>
      <c r="Y367" s="89"/>
      <c r="Z367" s="89"/>
    </row>
    <row r="368" spans="1:26" ht="12" customHeight="1" x14ac:dyDescent="0.3">
      <c r="A368" s="89"/>
      <c r="B368" s="89"/>
      <c r="C368" s="88"/>
      <c r="D368" s="88"/>
      <c r="E368" s="89"/>
      <c r="F368" s="89"/>
      <c r="H368" s="89"/>
      <c r="I368" s="147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147"/>
      <c r="Y368" s="89"/>
      <c r="Z368" s="89"/>
    </row>
    <row r="369" spans="1:26" ht="12" customHeight="1" x14ac:dyDescent="0.3">
      <c r="A369" s="89"/>
      <c r="B369" s="89"/>
      <c r="C369" s="88"/>
      <c r="D369" s="88"/>
      <c r="E369" s="89"/>
      <c r="F369" s="89"/>
      <c r="H369" s="89"/>
      <c r="I369" s="147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147"/>
      <c r="Y369" s="89"/>
      <c r="Z369" s="89"/>
    </row>
    <row r="370" spans="1:26" ht="12" customHeight="1" x14ac:dyDescent="0.3">
      <c r="A370" s="89"/>
      <c r="B370" s="89"/>
      <c r="C370" s="88"/>
      <c r="D370" s="88"/>
      <c r="E370" s="89"/>
      <c r="F370" s="89"/>
      <c r="H370" s="89"/>
      <c r="I370" s="147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147"/>
      <c r="Y370" s="89"/>
      <c r="Z370" s="89"/>
    </row>
    <row r="371" spans="1:26" ht="12" customHeight="1" x14ac:dyDescent="0.3">
      <c r="A371" s="89"/>
      <c r="B371" s="89"/>
      <c r="C371" s="88"/>
      <c r="D371" s="88"/>
      <c r="E371" s="89"/>
      <c r="F371" s="89"/>
      <c r="H371" s="89"/>
      <c r="I371" s="147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147"/>
      <c r="Y371" s="89"/>
      <c r="Z371" s="89"/>
    </row>
    <row r="372" spans="1:26" ht="12" customHeight="1" x14ac:dyDescent="0.3">
      <c r="A372" s="89"/>
      <c r="B372" s="89"/>
      <c r="C372" s="88"/>
      <c r="D372" s="88"/>
      <c r="E372" s="89"/>
      <c r="F372" s="89"/>
      <c r="H372" s="89"/>
      <c r="I372" s="147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147"/>
      <c r="Y372" s="89"/>
      <c r="Z372" s="89"/>
    </row>
    <row r="373" spans="1:26" ht="12" customHeight="1" x14ac:dyDescent="0.3">
      <c r="A373" s="89"/>
      <c r="B373" s="89"/>
      <c r="C373" s="88"/>
      <c r="D373" s="88"/>
      <c r="E373" s="89"/>
      <c r="F373" s="89"/>
      <c r="H373" s="89"/>
      <c r="I373" s="147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147"/>
      <c r="Y373" s="89"/>
      <c r="Z373" s="89"/>
    </row>
    <row r="374" spans="1:26" ht="12" customHeight="1" x14ac:dyDescent="0.3">
      <c r="A374" s="89"/>
      <c r="B374" s="89"/>
      <c r="C374" s="88"/>
      <c r="D374" s="88"/>
      <c r="E374" s="89"/>
      <c r="F374" s="89"/>
      <c r="H374" s="89"/>
      <c r="I374" s="147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147"/>
      <c r="Y374" s="89"/>
      <c r="Z374" s="89"/>
    </row>
    <row r="375" spans="1:26" ht="12" customHeight="1" x14ac:dyDescent="0.3">
      <c r="A375" s="89"/>
      <c r="B375" s="89"/>
      <c r="C375" s="88"/>
      <c r="D375" s="88"/>
      <c r="E375" s="89"/>
      <c r="F375" s="89"/>
      <c r="H375" s="89"/>
      <c r="I375" s="147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147"/>
      <c r="Y375" s="89"/>
      <c r="Z375" s="89"/>
    </row>
    <row r="376" spans="1:26" ht="12" customHeight="1" x14ac:dyDescent="0.3">
      <c r="A376" s="89"/>
      <c r="B376" s="89"/>
      <c r="C376" s="88"/>
      <c r="D376" s="88"/>
      <c r="E376" s="89"/>
      <c r="F376" s="89"/>
      <c r="H376" s="89"/>
      <c r="I376" s="147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147"/>
      <c r="Y376" s="89"/>
      <c r="Z376" s="89"/>
    </row>
    <row r="377" spans="1:26" ht="12" customHeight="1" x14ac:dyDescent="0.3">
      <c r="A377" s="89"/>
      <c r="B377" s="89"/>
      <c r="C377" s="88"/>
      <c r="D377" s="88"/>
      <c r="E377" s="89"/>
      <c r="F377" s="89"/>
      <c r="H377" s="89"/>
      <c r="I377" s="147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147"/>
      <c r="Y377" s="89"/>
      <c r="Z377" s="89"/>
    </row>
    <row r="378" spans="1:26" ht="12" customHeight="1" x14ac:dyDescent="0.3">
      <c r="A378" s="89"/>
      <c r="B378" s="89"/>
      <c r="C378" s="88"/>
      <c r="D378" s="88"/>
      <c r="E378" s="89"/>
      <c r="F378" s="89"/>
      <c r="H378" s="89"/>
      <c r="I378" s="147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147"/>
      <c r="Y378" s="89"/>
      <c r="Z378" s="89"/>
    </row>
    <row r="379" spans="1:26" ht="12" customHeight="1" x14ac:dyDescent="0.3">
      <c r="A379" s="89"/>
      <c r="B379" s="89"/>
      <c r="C379" s="88"/>
      <c r="D379" s="88"/>
      <c r="E379" s="89"/>
      <c r="F379" s="89"/>
      <c r="H379" s="89"/>
      <c r="I379" s="147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147"/>
      <c r="Y379" s="89"/>
      <c r="Z379" s="89"/>
    </row>
    <row r="380" spans="1:26" ht="12" customHeight="1" x14ac:dyDescent="0.3">
      <c r="A380" s="89"/>
      <c r="B380" s="89"/>
      <c r="C380" s="88"/>
      <c r="D380" s="88"/>
      <c r="E380" s="89"/>
      <c r="F380" s="89"/>
      <c r="H380" s="89"/>
      <c r="I380" s="147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147"/>
      <c r="Y380" s="89"/>
      <c r="Z380" s="89"/>
    </row>
    <row r="381" spans="1:26" ht="12" customHeight="1" x14ac:dyDescent="0.3">
      <c r="A381" s="89"/>
      <c r="B381" s="89"/>
      <c r="C381" s="88"/>
      <c r="D381" s="88"/>
      <c r="E381" s="89"/>
      <c r="F381" s="89"/>
      <c r="H381" s="89"/>
      <c r="I381" s="147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147"/>
      <c r="Y381" s="89"/>
      <c r="Z381" s="89"/>
    </row>
    <row r="382" spans="1:26" ht="12" customHeight="1" x14ac:dyDescent="0.3">
      <c r="A382" s="89"/>
      <c r="B382" s="89"/>
      <c r="C382" s="88"/>
      <c r="D382" s="88"/>
      <c r="E382" s="89"/>
      <c r="F382" s="89"/>
      <c r="H382" s="89"/>
      <c r="I382" s="147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147"/>
      <c r="Y382" s="89"/>
      <c r="Z382" s="89"/>
    </row>
    <row r="383" spans="1:26" ht="12" customHeight="1" x14ac:dyDescent="0.3">
      <c r="A383" s="89"/>
      <c r="B383" s="89"/>
      <c r="C383" s="88"/>
      <c r="D383" s="88"/>
      <c r="E383" s="89"/>
      <c r="F383" s="89"/>
      <c r="H383" s="89"/>
      <c r="I383" s="147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147"/>
      <c r="Y383" s="89"/>
      <c r="Z383" s="89"/>
    </row>
    <row r="384" spans="1:26" ht="12" customHeight="1" x14ac:dyDescent="0.3">
      <c r="A384" s="89"/>
      <c r="B384" s="89"/>
      <c r="C384" s="88"/>
      <c r="D384" s="88"/>
      <c r="E384" s="89"/>
      <c r="F384" s="89"/>
      <c r="H384" s="89"/>
      <c r="I384" s="147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147"/>
      <c r="Y384" s="89"/>
      <c r="Z384" s="89"/>
    </row>
    <row r="385" spans="1:26" ht="12" customHeight="1" x14ac:dyDescent="0.3">
      <c r="A385" s="89"/>
      <c r="B385" s="89"/>
      <c r="C385" s="88"/>
      <c r="D385" s="88"/>
      <c r="E385" s="89"/>
      <c r="F385" s="89"/>
      <c r="H385" s="89"/>
      <c r="I385" s="147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147"/>
      <c r="Y385" s="89"/>
      <c r="Z385" s="89"/>
    </row>
    <row r="386" spans="1:26" ht="12" customHeight="1" x14ac:dyDescent="0.3">
      <c r="A386" s="89"/>
      <c r="B386" s="89"/>
      <c r="C386" s="88"/>
      <c r="D386" s="88"/>
      <c r="E386" s="89"/>
      <c r="F386" s="89"/>
      <c r="H386" s="89"/>
      <c r="I386" s="147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147"/>
      <c r="Y386" s="89"/>
      <c r="Z386" s="89"/>
    </row>
    <row r="387" spans="1:26" ht="12" customHeight="1" x14ac:dyDescent="0.3">
      <c r="A387" s="89"/>
      <c r="B387" s="89"/>
      <c r="C387" s="88"/>
      <c r="D387" s="88"/>
      <c r="E387" s="89"/>
      <c r="F387" s="89"/>
      <c r="H387" s="89"/>
      <c r="I387" s="147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147"/>
      <c r="Y387" s="89"/>
      <c r="Z387" s="89"/>
    </row>
    <row r="388" spans="1:26" ht="12" customHeight="1" x14ac:dyDescent="0.3">
      <c r="A388" s="89"/>
      <c r="B388" s="89"/>
      <c r="C388" s="88"/>
      <c r="D388" s="88"/>
      <c r="E388" s="89"/>
      <c r="F388" s="89"/>
      <c r="H388" s="89"/>
      <c r="I388" s="147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147"/>
      <c r="Y388" s="89"/>
      <c r="Z388" s="89"/>
    </row>
    <row r="389" spans="1:26" ht="12" customHeight="1" x14ac:dyDescent="0.3">
      <c r="A389" s="89"/>
      <c r="B389" s="89"/>
      <c r="C389" s="88"/>
      <c r="D389" s="88"/>
      <c r="E389" s="89"/>
      <c r="F389" s="89"/>
      <c r="H389" s="89"/>
      <c r="I389" s="147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147"/>
      <c r="Y389" s="89"/>
      <c r="Z389" s="89"/>
    </row>
    <row r="390" spans="1:26" ht="12" customHeight="1" x14ac:dyDescent="0.3">
      <c r="A390" s="89"/>
      <c r="B390" s="89"/>
      <c r="C390" s="88"/>
      <c r="D390" s="88"/>
      <c r="E390" s="89"/>
      <c r="F390" s="89"/>
      <c r="H390" s="89"/>
      <c r="I390" s="147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147"/>
      <c r="Y390" s="89"/>
      <c r="Z390" s="89"/>
    </row>
    <row r="391" spans="1:26" ht="12" customHeight="1" x14ac:dyDescent="0.3">
      <c r="A391" s="89"/>
      <c r="B391" s="89"/>
      <c r="C391" s="88"/>
      <c r="D391" s="88"/>
      <c r="E391" s="89"/>
      <c r="F391" s="89"/>
      <c r="H391" s="89"/>
      <c r="I391" s="147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147"/>
      <c r="Y391" s="89"/>
      <c r="Z391" s="89"/>
    </row>
    <row r="392" spans="1:26" ht="12" customHeight="1" x14ac:dyDescent="0.3">
      <c r="A392" s="89"/>
      <c r="B392" s="89"/>
      <c r="C392" s="88"/>
      <c r="D392" s="88"/>
      <c r="E392" s="89"/>
      <c r="F392" s="89"/>
      <c r="H392" s="89"/>
      <c r="I392" s="147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147"/>
      <c r="Y392" s="89"/>
      <c r="Z392" s="89"/>
    </row>
    <row r="393" spans="1:26" ht="12" customHeight="1" x14ac:dyDescent="0.3">
      <c r="A393" s="89"/>
      <c r="B393" s="89"/>
      <c r="C393" s="88"/>
      <c r="D393" s="88"/>
      <c r="E393" s="89"/>
      <c r="F393" s="89"/>
      <c r="H393" s="89"/>
      <c r="I393" s="147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147"/>
      <c r="Y393" s="89"/>
      <c r="Z393" s="89"/>
    </row>
    <row r="394" spans="1:26" ht="12" customHeight="1" x14ac:dyDescent="0.3">
      <c r="A394" s="89"/>
      <c r="B394" s="89"/>
      <c r="C394" s="88"/>
      <c r="D394" s="88"/>
      <c r="E394" s="89"/>
      <c r="F394" s="89"/>
      <c r="H394" s="89"/>
      <c r="I394" s="147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147"/>
      <c r="Y394" s="89"/>
      <c r="Z394" s="89"/>
    </row>
    <row r="395" spans="1:26" ht="12" customHeight="1" x14ac:dyDescent="0.3">
      <c r="A395" s="89"/>
      <c r="B395" s="89"/>
      <c r="C395" s="88"/>
      <c r="D395" s="88"/>
      <c r="E395" s="89"/>
      <c r="F395" s="89"/>
      <c r="H395" s="89"/>
      <c r="I395" s="147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147"/>
      <c r="Y395" s="89"/>
      <c r="Z395" s="89"/>
    </row>
    <row r="396" spans="1:26" ht="12" customHeight="1" x14ac:dyDescent="0.3">
      <c r="A396" s="89"/>
      <c r="B396" s="89"/>
      <c r="C396" s="88"/>
      <c r="D396" s="88"/>
      <c r="E396" s="89"/>
      <c r="F396" s="89"/>
      <c r="H396" s="89"/>
      <c r="I396" s="147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147"/>
      <c r="Y396" s="89"/>
      <c r="Z396" s="89"/>
    </row>
    <row r="397" spans="1:26" ht="12" customHeight="1" x14ac:dyDescent="0.3">
      <c r="A397" s="89"/>
      <c r="B397" s="89"/>
      <c r="C397" s="88"/>
      <c r="D397" s="88"/>
      <c r="E397" s="89"/>
      <c r="F397" s="89"/>
      <c r="H397" s="89"/>
      <c r="I397" s="147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147"/>
      <c r="Y397" s="89"/>
      <c r="Z397" s="89"/>
    </row>
    <row r="398" spans="1:26" ht="12" customHeight="1" x14ac:dyDescent="0.3">
      <c r="A398" s="89"/>
      <c r="B398" s="89"/>
      <c r="C398" s="88"/>
      <c r="D398" s="88"/>
      <c r="E398" s="89"/>
      <c r="F398" s="89"/>
      <c r="H398" s="89"/>
      <c r="I398" s="147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147"/>
      <c r="Y398" s="89"/>
      <c r="Z398" s="89"/>
    </row>
    <row r="399" spans="1:26" ht="12" customHeight="1" x14ac:dyDescent="0.3">
      <c r="A399" s="89"/>
      <c r="B399" s="89"/>
      <c r="C399" s="88"/>
      <c r="D399" s="88"/>
      <c r="E399" s="89"/>
      <c r="F399" s="89"/>
      <c r="H399" s="89"/>
      <c r="I399" s="147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147"/>
      <c r="Y399" s="89"/>
      <c r="Z399" s="89"/>
    </row>
    <row r="400" spans="1:26" ht="12" customHeight="1" x14ac:dyDescent="0.3">
      <c r="A400" s="89"/>
      <c r="B400" s="89"/>
      <c r="C400" s="88"/>
      <c r="D400" s="88"/>
      <c r="E400" s="89"/>
      <c r="F400" s="89"/>
      <c r="H400" s="89"/>
      <c r="I400" s="147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147"/>
      <c r="Y400" s="89"/>
      <c r="Z400" s="89"/>
    </row>
    <row r="401" spans="1:26" ht="12" customHeight="1" x14ac:dyDescent="0.3">
      <c r="A401" s="89"/>
      <c r="B401" s="89"/>
      <c r="C401" s="88"/>
      <c r="D401" s="88"/>
      <c r="E401" s="89"/>
      <c r="F401" s="89"/>
      <c r="H401" s="89"/>
      <c r="I401" s="147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147"/>
      <c r="Y401" s="89"/>
      <c r="Z401" s="89"/>
    </row>
    <row r="402" spans="1:26" ht="12" customHeight="1" x14ac:dyDescent="0.3">
      <c r="A402" s="89"/>
      <c r="B402" s="89"/>
      <c r="C402" s="88"/>
      <c r="D402" s="88"/>
      <c r="E402" s="89"/>
      <c r="F402" s="89"/>
      <c r="H402" s="89"/>
      <c r="I402" s="147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147"/>
      <c r="Y402" s="89"/>
      <c r="Z402" s="89"/>
    </row>
    <row r="403" spans="1:26" ht="12" customHeight="1" x14ac:dyDescent="0.3">
      <c r="A403" s="89"/>
      <c r="B403" s="89"/>
      <c r="C403" s="88"/>
      <c r="D403" s="88"/>
      <c r="E403" s="89"/>
      <c r="F403" s="89"/>
      <c r="H403" s="89"/>
      <c r="I403" s="147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147"/>
      <c r="Y403" s="89"/>
      <c r="Z403" s="89"/>
    </row>
    <row r="404" spans="1:26" ht="12" customHeight="1" x14ac:dyDescent="0.3">
      <c r="A404" s="89"/>
      <c r="B404" s="89"/>
      <c r="C404" s="88"/>
      <c r="D404" s="88"/>
      <c r="E404" s="89"/>
      <c r="F404" s="89"/>
      <c r="H404" s="89"/>
      <c r="I404" s="147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147"/>
      <c r="Y404" s="89"/>
      <c r="Z404" s="89"/>
    </row>
    <row r="405" spans="1:26" ht="12" customHeight="1" x14ac:dyDescent="0.3">
      <c r="A405" s="89"/>
      <c r="B405" s="89"/>
      <c r="C405" s="88"/>
      <c r="D405" s="88"/>
      <c r="E405" s="89"/>
      <c r="F405" s="89"/>
      <c r="H405" s="89"/>
      <c r="I405" s="147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147"/>
      <c r="Y405" s="89"/>
      <c r="Z405" s="89"/>
    </row>
    <row r="406" spans="1:26" ht="12" customHeight="1" x14ac:dyDescent="0.3">
      <c r="A406" s="89"/>
      <c r="B406" s="89"/>
      <c r="C406" s="88"/>
      <c r="D406" s="88"/>
      <c r="E406" s="89"/>
      <c r="F406" s="89"/>
      <c r="H406" s="89"/>
      <c r="I406" s="147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147"/>
      <c r="Y406" s="89"/>
      <c r="Z406" s="89"/>
    </row>
    <row r="407" spans="1:26" ht="12" customHeight="1" x14ac:dyDescent="0.3">
      <c r="A407" s="89"/>
      <c r="B407" s="89"/>
      <c r="C407" s="88"/>
      <c r="D407" s="88"/>
      <c r="E407" s="89"/>
      <c r="F407" s="89"/>
      <c r="H407" s="89"/>
      <c r="I407" s="147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147"/>
      <c r="Y407" s="89"/>
      <c r="Z407" s="89"/>
    </row>
    <row r="408" spans="1:26" ht="12" customHeight="1" x14ac:dyDescent="0.3">
      <c r="A408" s="89"/>
      <c r="B408" s="89"/>
      <c r="C408" s="88"/>
      <c r="D408" s="88"/>
      <c r="E408" s="89"/>
      <c r="F408" s="89"/>
      <c r="H408" s="89"/>
      <c r="I408" s="147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147"/>
      <c r="Y408" s="89"/>
      <c r="Z408" s="89"/>
    </row>
    <row r="409" spans="1:26" ht="12" customHeight="1" x14ac:dyDescent="0.3">
      <c r="A409" s="89"/>
      <c r="B409" s="89"/>
      <c r="C409" s="88"/>
      <c r="D409" s="88"/>
      <c r="E409" s="89"/>
      <c r="F409" s="89"/>
      <c r="H409" s="89"/>
      <c r="I409" s="147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147"/>
      <c r="Y409" s="89"/>
      <c r="Z409" s="89"/>
    </row>
    <row r="410" spans="1:26" ht="12" customHeight="1" x14ac:dyDescent="0.3">
      <c r="A410" s="89"/>
      <c r="B410" s="89"/>
      <c r="C410" s="88"/>
      <c r="D410" s="88"/>
      <c r="E410" s="89"/>
      <c r="F410" s="89"/>
      <c r="H410" s="89"/>
      <c r="I410" s="147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147"/>
      <c r="Y410" s="89"/>
      <c r="Z410" s="89"/>
    </row>
    <row r="411" spans="1:26" ht="12" customHeight="1" x14ac:dyDescent="0.3">
      <c r="A411" s="89"/>
      <c r="B411" s="89"/>
      <c r="C411" s="88"/>
      <c r="D411" s="88"/>
      <c r="E411" s="89"/>
      <c r="F411" s="89"/>
      <c r="H411" s="89"/>
      <c r="I411" s="147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147"/>
      <c r="Y411" s="89"/>
      <c r="Z411" s="89"/>
    </row>
    <row r="412" spans="1:26" ht="12" customHeight="1" x14ac:dyDescent="0.3">
      <c r="A412" s="89"/>
      <c r="B412" s="89"/>
      <c r="C412" s="88"/>
      <c r="D412" s="88"/>
      <c r="E412" s="89"/>
      <c r="F412" s="89"/>
      <c r="H412" s="89"/>
      <c r="I412" s="147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147"/>
      <c r="Y412" s="89"/>
      <c r="Z412" s="89"/>
    </row>
    <row r="413" spans="1:26" ht="12" customHeight="1" x14ac:dyDescent="0.3">
      <c r="A413" s="89"/>
      <c r="B413" s="89"/>
      <c r="C413" s="88"/>
      <c r="D413" s="88"/>
      <c r="E413" s="89"/>
      <c r="F413" s="89"/>
      <c r="H413" s="89"/>
      <c r="I413" s="147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147"/>
      <c r="Y413" s="89"/>
      <c r="Z413" s="89"/>
    </row>
    <row r="414" spans="1:26" ht="12" customHeight="1" x14ac:dyDescent="0.3">
      <c r="A414" s="89"/>
      <c r="B414" s="89"/>
      <c r="C414" s="88"/>
      <c r="D414" s="88"/>
      <c r="E414" s="89"/>
      <c r="F414" s="89"/>
      <c r="H414" s="89"/>
      <c r="I414" s="147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147"/>
      <c r="Y414" s="89"/>
      <c r="Z414" s="89"/>
    </row>
    <row r="415" spans="1:26" ht="12" customHeight="1" x14ac:dyDescent="0.3">
      <c r="A415" s="89"/>
      <c r="B415" s="89"/>
      <c r="C415" s="88"/>
      <c r="D415" s="88"/>
      <c r="E415" s="89"/>
      <c r="F415" s="89"/>
      <c r="H415" s="89"/>
      <c r="I415" s="147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147"/>
      <c r="Y415" s="89"/>
      <c r="Z415" s="89"/>
    </row>
    <row r="416" spans="1:26" ht="12" customHeight="1" x14ac:dyDescent="0.3">
      <c r="A416" s="89"/>
      <c r="B416" s="89"/>
      <c r="C416" s="88"/>
      <c r="D416" s="88"/>
      <c r="E416" s="89"/>
      <c r="F416" s="89"/>
      <c r="H416" s="89"/>
      <c r="I416" s="147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147"/>
      <c r="Y416" s="89"/>
      <c r="Z416" s="89"/>
    </row>
    <row r="417" spans="1:26" ht="12" customHeight="1" x14ac:dyDescent="0.3">
      <c r="A417" s="89"/>
      <c r="B417" s="89"/>
      <c r="C417" s="88"/>
      <c r="D417" s="88"/>
      <c r="E417" s="89"/>
      <c r="F417" s="89"/>
      <c r="H417" s="89"/>
      <c r="I417" s="147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147"/>
      <c r="Y417" s="89"/>
      <c r="Z417" s="89"/>
    </row>
    <row r="418" spans="1:26" ht="12" customHeight="1" x14ac:dyDescent="0.3">
      <c r="A418" s="89"/>
      <c r="B418" s="89"/>
      <c r="C418" s="88"/>
      <c r="D418" s="88"/>
      <c r="E418" s="89"/>
      <c r="F418" s="89"/>
      <c r="H418" s="89"/>
      <c r="I418" s="147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147"/>
      <c r="Y418" s="89"/>
      <c r="Z418" s="89"/>
    </row>
    <row r="419" spans="1:26" ht="12" customHeight="1" x14ac:dyDescent="0.3">
      <c r="A419" s="89"/>
      <c r="B419" s="89"/>
      <c r="C419" s="88"/>
      <c r="D419" s="88"/>
      <c r="E419" s="89"/>
      <c r="F419" s="89"/>
      <c r="H419" s="89"/>
      <c r="I419" s="147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147"/>
      <c r="Y419" s="89"/>
      <c r="Z419" s="89"/>
    </row>
    <row r="420" spans="1:26" ht="12" customHeight="1" x14ac:dyDescent="0.3">
      <c r="A420" s="89"/>
      <c r="B420" s="89"/>
      <c r="C420" s="88"/>
      <c r="D420" s="88"/>
      <c r="E420" s="89"/>
      <c r="F420" s="89"/>
      <c r="H420" s="89"/>
      <c r="I420" s="147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147"/>
      <c r="Y420" s="89"/>
      <c r="Z420" s="89"/>
    </row>
    <row r="421" spans="1:26" ht="12" customHeight="1" x14ac:dyDescent="0.3">
      <c r="A421" s="89"/>
      <c r="B421" s="89"/>
      <c r="C421" s="88"/>
      <c r="D421" s="88"/>
      <c r="E421" s="89"/>
      <c r="F421" s="89"/>
      <c r="H421" s="89"/>
      <c r="I421" s="147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147"/>
      <c r="Y421" s="89"/>
      <c r="Z421" s="89"/>
    </row>
    <row r="422" spans="1:26" ht="12" customHeight="1" x14ac:dyDescent="0.3">
      <c r="A422" s="89"/>
      <c r="B422" s="89"/>
      <c r="C422" s="88"/>
      <c r="D422" s="88"/>
      <c r="E422" s="89"/>
      <c r="F422" s="89"/>
      <c r="H422" s="89"/>
      <c r="I422" s="147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147"/>
      <c r="Y422" s="89"/>
      <c r="Z422" s="89"/>
    </row>
    <row r="423" spans="1:26" ht="12" customHeight="1" x14ac:dyDescent="0.3">
      <c r="A423" s="89"/>
      <c r="B423" s="89"/>
      <c r="C423" s="88"/>
      <c r="D423" s="88"/>
      <c r="E423" s="89"/>
      <c r="F423" s="89"/>
      <c r="H423" s="89"/>
      <c r="I423" s="147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147"/>
      <c r="Y423" s="89"/>
      <c r="Z423" s="89"/>
    </row>
    <row r="424" spans="1:26" ht="12" customHeight="1" x14ac:dyDescent="0.3">
      <c r="A424" s="89"/>
      <c r="B424" s="89"/>
      <c r="C424" s="88"/>
      <c r="D424" s="88"/>
      <c r="E424" s="89"/>
      <c r="F424" s="89"/>
      <c r="H424" s="89"/>
      <c r="I424" s="147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147"/>
      <c r="Y424" s="89"/>
      <c r="Z424" s="89"/>
    </row>
    <row r="425" spans="1:26" ht="12" customHeight="1" x14ac:dyDescent="0.3">
      <c r="A425" s="89"/>
      <c r="B425" s="89"/>
      <c r="C425" s="88"/>
      <c r="D425" s="88"/>
      <c r="E425" s="89"/>
      <c r="F425" s="89"/>
      <c r="H425" s="89"/>
      <c r="I425" s="147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147"/>
      <c r="Y425" s="89"/>
      <c r="Z425" s="89"/>
    </row>
    <row r="426" spans="1:26" ht="12" customHeight="1" x14ac:dyDescent="0.3">
      <c r="A426" s="89"/>
      <c r="B426" s="89"/>
      <c r="C426" s="88"/>
      <c r="D426" s="88"/>
      <c r="E426" s="89"/>
      <c r="F426" s="89"/>
      <c r="H426" s="89"/>
      <c r="I426" s="147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147"/>
      <c r="Y426" s="89"/>
      <c r="Z426" s="89"/>
    </row>
    <row r="427" spans="1:26" ht="12" customHeight="1" x14ac:dyDescent="0.3">
      <c r="A427" s="89"/>
      <c r="B427" s="89"/>
      <c r="C427" s="88"/>
      <c r="D427" s="88"/>
      <c r="E427" s="89"/>
      <c r="F427" s="89"/>
      <c r="H427" s="89"/>
      <c r="I427" s="147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147"/>
      <c r="Y427" s="89"/>
      <c r="Z427" s="89"/>
    </row>
    <row r="428" spans="1:26" ht="12" customHeight="1" x14ac:dyDescent="0.3">
      <c r="A428" s="89"/>
      <c r="B428" s="89"/>
      <c r="C428" s="88"/>
      <c r="D428" s="88"/>
      <c r="E428" s="89"/>
      <c r="F428" s="89"/>
      <c r="H428" s="89"/>
      <c r="I428" s="147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147"/>
      <c r="Y428" s="89"/>
      <c r="Z428" s="89"/>
    </row>
    <row r="429" spans="1:26" ht="12" customHeight="1" x14ac:dyDescent="0.3">
      <c r="A429" s="89"/>
      <c r="B429" s="89"/>
      <c r="C429" s="88"/>
      <c r="D429" s="88"/>
      <c r="E429" s="89"/>
      <c r="F429" s="89"/>
      <c r="H429" s="89"/>
      <c r="I429" s="147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147"/>
      <c r="Y429" s="89"/>
      <c r="Z429" s="89"/>
    </row>
    <row r="430" spans="1:26" ht="12" customHeight="1" x14ac:dyDescent="0.3">
      <c r="A430" s="89"/>
      <c r="B430" s="89"/>
      <c r="C430" s="88"/>
      <c r="D430" s="88"/>
      <c r="E430" s="89"/>
      <c r="F430" s="89"/>
      <c r="H430" s="89"/>
      <c r="I430" s="147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147"/>
      <c r="Y430" s="89"/>
      <c r="Z430" s="89"/>
    </row>
    <row r="431" spans="1:26" ht="12" customHeight="1" x14ac:dyDescent="0.3">
      <c r="A431" s="89"/>
      <c r="B431" s="89"/>
      <c r="C431" s="88"/>
      <c r="D431" s="88"/>
      <c r="E431" s="89"/>
      <c r="F431" s="89"/>
      <c r="H431" s="89"/>
      <c r="I431" s="147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147"/>
      <c r="Y431" s="89"/>
      <c r="Z431" s="89"/>
    </row>
    <row r="432" spans="1:26" ht="12" customHeight="1" x14ac:dyDescent="0.3">
      <c r="A432" s="89"/>
      <c r="B432" s="89"/>
      <c r="C432" s="88"/>
      <c r="D432" s="88"/>
      <c r="E432" s="89"/>
      <c r="F432" s="89"/>
      <c r="H432" s="89"/>
      <c r="I432" s="147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147"/>
      <c r="Y432" s="89"/>
      <c r="Z432" s="89"/>
    </row>
    <row r="433" spans="1:26" ht="12" customHeight="1" x14ac:dyDescent="0.3">
      <c r="A433" s="89"/>
      <c r="B433" s="89"/>
      <c r="C433" s="88"/>
      <c r="D433" s="88"/>
      <c r="E433" s="89"/>
      <c r="F433" s="89"/>
      <c r="H433" s="89"/>
      <c r="I433" s="147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147"/>
      <c r="Y433" s="89"/>
      <c r="Z433" s="89"/>
    </row>
    <row r="434" spans="1:26" ht="12" customHeight="1" x14ac:dyDescent="0.3">
      <c r="A434" s="89"/>
      <c r="B434" s="89"/>
      <c r="C434" s="88"/>
      <c r="D434" s="88"/>
      <c r="E434" s="89"/>
      <c r="F434" s="89"/>
      <c r="H434" s="89"/>
      <c r="I434" s="147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147"/>
      <c r="Y434" s="89"/>
      <c r="Z434" s="89"/>
    </row>
    <row r="435" spans="1:26" ht="12" customHeight="1" x14ac:dyDescent="0.3">
      <c r="A435" s="89"/>
      <c r="B435" s="89"/>
      <c r="C435" s="88"/>
      <c r="D435" s="88"/>
      <c r="E435" s="89"/>
      <c r="F435" s="89"/>
      <c r="H435" s="89"/>
      <c r="I435" s="147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147"/>
      <c r="Y435" s="89"/>
      <c r="Z435" s="89"/>
    </row>
    <row r="436" spans="1:26" ht="12" customHeight="1" x14ac:dyDescent="0.3">
      <c r="A436" s="89"/>
      <c r="B436" s="89"/>
      <c r="C436" s="88"/>
      <c r="D436" s="88"/>
      <c r="E436" s="89"/>
      <c r="F436" s="89"/>
      <c r="H436" s="89"/>
      <c r="I436" s="147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147"/>
      <c r="Y436" s="89"/>
      <c r="Z436" s="89"/>
    </row>
    <row r="437" spans="1:26" ht="12" customHeight="1" x14ac:dyDescent="0.3">
      <c r="A437" s="89"/>
      <c r="B437" s="89"/>
      <c r="C437" s="88"/>
      <c r="D437" s="88"/>
      <c r="E437" s="89"/>
      <c r="F437" s="89"/>
      <c r="H437" s="89"/>
      <c r="I437" s="147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147"/>
      <c r="Y437" s="89"/>
      <c r="Z437" s="89"/>
    </row>
    <row r="438" spans="1:26" ht="12" customHeight="1" x14ac:dyDescent="0.3">
      <c r="A438" s="89"/>
      <c r="B438" s="89"/>
      <c r="C438" s="88"/>
      <c r="D438" s="88"/>
      <c r="E438" s="89"/>
      <c r="F438" s="89"/>
      <c r="H438" s="89"/>
      <c r="I438" s="147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147"/>
      <c r="Y438" s="89"/>
      <c r="Z438" s="89"/>
    </row>
    <row r="439" spans="1:26" ht="12" customHeight="1" x14ac:dyDescent="0.3">
      <c r="A439" s="89"/>
      <c r="B439" s="89"/>
      <c r="C439" s="88"/>
      <c r="D439" s="88"/>
      <c r="E439" s="89"/>
      <c r="F439" s="89"/>
      <c r="H439" s="89"/>
      <c r="I439" s="147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147"/>
      <c r="Y439" s="89"/>
      <c r="Z439" s="89"/>
    </row>
    <row r="440" spans="1:26" ht="12" customHeight="1" x14ac:dyDescent="0.3">
      <c r="A440" s="89"/>
      <c r="B440" s="89"/>
      <c r="C440" s="88"/>
      <c r="D440" s="88"/>
      <c r="E440" s="89"/>
      <c r="F440" s="89"/>
      <c r="H440" s="89"/>
      <c r="I440" s="147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147"/>
      <c r="Y440" s="89"/>
      <c r="Z440" s="89"/>
    </row>
    <row r="441" spans="1:26" ht="12" customHeight="1" x14ac:dyDescent="0.3">
      <c r="A441" s="89"/>
      <c r="B441" s="89"/>
      <c r="C441" s="88"/>
      <c r="D441" s="88"/>
      <c r="E441" s="89"/>
      <c r="F441" s="89"/>
      <c r="H441" s="89"/>
      <c r="I441" s="147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147"/>
      <c r="Y441" s="89"/>
      <c r="Z441" s="89"/>
    </row>
    <row r="442" spans="1:26" ht="12" customHeight="1" x14ac:dyDescent="0.3">
      <c r="A442" s="89"/>
      <c r="B442" s="89"/>
      <c r="C442" s="88"/>
      <c r="D442" s="88"/>
      <c r="E442" s="89"/>
      <c r="F442" s="89"/>
      <c r="H442" s="89"/>
      <c r="I442" s="147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147"/>
      <c r="Y442" s="89"/>
      <c r="Z442" s="89"/>
    </row>
    <row r="443" spans="1:26" ht="12" customHeight="1" x14ac:dyDescent="0.3">
      <c r="A443" s="89"/>
      <c r="B443" s="89"/>
      <c r="C443" s="88"/>
      <c r="D443" s="88"/>
      <c r="E443" s="89"/>
      <c r="F443" s="89"/>
      <c r="H443" s="89"/>
      <c r="I443" s="147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147"/>
      <c r="Y443" s="89"/>
      <c r="Z443" s="89"/>
    </row>
    <row r="444" spans="1:26" ht="12" customHeight="1" x14ac:dyDescent="0.3">
      <c r="A444" s="89"/>
      <c r="B444" s="89"/>
      <c r="C444" s="88"/>
      <c r="D444" s="88"/>
      <c r="E444" s="89"/>
      <c r="F444" s="89"/>
      <c r="H444" s="89"/>
      <c r="I444" s="147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147"/>
      <c r="Y444" s="89"/>
      <c r="Z444" s="89"/>
    </row>
    <row r="445" spans="1:26" ht="12" customHeight="1" x14ac:dyDescent="0.3">
      <c r="A445" s="89"/>
      <c r="B445" s="89"/>
      <c r="C445" s="88"/>
      <c r="D445" s="88"/>
      <c r="E445" s="89"/>
      <c r="F445" s="89"/>
      <c r="H445" s="89"/>
      <c r="I445" s="147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147"/>
      <c r="Y445" s="89"/>
      <c r="Z445" s="89"/>
    </row>
    <row r="446" spans="1:26" ht="12" customHeight="1" x14ac:dyDescent="0.3">
      <c r="A446" s="89"/>
      <c r="B446" s="89"/>
      <c r="C446" s="88"/>
      <c r="D446" s="88"/>
      <c r="E446" s="89"/>
      <c r="F446" s="89"/>
      <c r="H446" s="89"/>
      <c r="I446" s="147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147"/>
      <c r="Y446" s="89"/>
      <c r="Z446" s="89"/>
    </row>
    <row r="447" spans="1:26" ht="12" customHeight="1" x14ac:dyDescent="0.3">
      <c r="A447" s="89"/>
      <c r="B447" s="89"/>
      <c r="C447" s="88"/>
      <c r="D447" s="88"/>
      <c r="E447" s="89"/>
      <c r="F447" s="89"/>
      <c r="H447" s="89"/>
      <c r="I447" s="147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147"/>
      <c r="Y447" s="89"/>
      <c r="Z447" s="89"/>
    </row>
    <row r="448" spans="1:26" ht="12" customHeight="1" x14ac:dyDescent="0.3">
      <c r="A448" s="89"/>
      <c r="B448" s="89"/>
      <c r="C448" s="88"/>
      <c r="D448" s="88"/>
      <c r="E448" s="89"/>
      <c r="F448" s="89"/>
      <c r="H448" s="89"/>
      <c r="I448" s="147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147"/>
      <c r="Y448" s="89"/>
      <c r="Z448" s="89"/>
    </row>
    <row r="449" spans="1:26" ht="12" customHeight="1" x14ac:dyDescent="0.3">
      <c r="A449" s="89"/>
      <c r="B449" s="89"/>
      <c r="C449" s="88"/>
      <c r="D449" s="88"/>
      <c r="E449" s="89"/>
      <c r="F449" s="89"/>
      <c r="H449" s="89"/>
      <c r="I449" s="147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147"/>
      <c r="Y449" s="89"/>
      <c r="Z449" s="89"/>
    </row>
    <row r="450" spans="1:26" ht="12" customHeight="1" x14ac:dyDescent="0.3">
      <c r="A450" s="89"/>
      <c r="B450" s="89"/>
      <c r="C450" s="88"/>
      <c r="D450" s="88"/>
      <c r="E450" s="89"/>
      <c r="F450" s="89"/>
      <c r="H450" s="89"/>
      <c r="I450" s="147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147"/>
      <c r="Y450" s="89"/>
      <c r="Z450" s="89"/>
    </row>
    <row r="451" spans="1:26" ht="12" customHeight="1" x14ac:dyDescent="0.3">
      <c r="A451" s="89"/>
      <c r="B451" s="89"/>
      <c r="C451" s="88"/>
      <c r="D451" s="88"/>
      <c r="E451" s="89"/>
      <c r="F451" s="89"/>
      <c r="H451" s="89"/>
      <c r="I451" s="147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147"/>
      <c r="Y451" s="89"/>
      <c r="Z451" s="89"/>
    </row>
    <row r="452" spans="1:26" ht="12" customHeight="1" x14ac:dyDescent="0.3">
      <c r="A452" s="89"/>
      <c r="B452" s="89"/>
      <c r="C452" s="88"/>
      <c r="D452" s="88"/>
      <c r="E452" s="89"/>
      <c r="F452" s="89"/>
      <c r="H452" s="89"/>
      <c r="I452" s="147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147"/>
      <c r="Y452" s="89"/>
      <c r="Z452" s="89"/>
    </row>
    <row r="453" spans="1:26" ht="12" customHeight="1" x14ac:dyDescent="0.3">
      <c r="A453" s="89"/>
      <c r="B453" s="89"/>
      <c r="C453" s="88"/>
      <c r="D453" s="88"/>
      <c r="E453" s="89"/>
      <c r="F453" s="89"/>
      <c r="H453" s="89"/>
      <c r="I453" s="147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147"/>
      <c r="Y453" s="89"/>
      <c r="Z453" s="89"/>
    </row>
    <row r="454" spans="1:26" ht="12" customHeight="1" x14ac:dyDescent="0.3">
      <c r="A454" s="89"/>
      <c r="B454" s="89"/>
      <c r="C454" s="88"/>
      <c r="D454" s="88"/>
      <c r="E454" s="89"/>
      <c r="F454" s="89"/>
      <c r="H454" s="89"/>
      <c r="I454" s="147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147"/>
      <c r="Y454" s="89"/>
      <c r="Z454" s="89"/>
    </row>
    <row r="455" spans="1:26" ht="12" customHeight="1" x14ac:dyDescent="0.3">
      <c r="A455" s="89"/>
      <c r="B455" s="89"/>
      <c r="C455" s="88"/>
      <c r="D455" s="88"/>
      <c r="E455" s="89"/>
      <c r="F455" s="89"/>
      <c r="H455" s="89"/>
      <c r="I455" s="147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147"/>
      <c r="Y455" s="89"/>
      <c r="Z455" s="89"/>
    </row>
    <row r="456" spans="1:26" ht="12" customHeight="1" x14ac:dyDescent="0.3">
      <c r="A456" s="89"/>
      <c r="B456" s="89"/>
      <c r="C456" s="88"/>
      <c r="D456" s="88"/>
      <c r="E456" s="89"/>
      <c r="F456" s="89"/>
      <c r="H456" s="89"/>
      <c r="I456" s="147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147"/>
      <c r="Y456" s="89"/>
      <c r="Z456" s="89"/>
    </row>
    <row r="457" spans="1:26" ht="12" customHeight="1" x14ac:dyDescent="0.3">
      <c r="A457" s="89"/>
      <c r="B457" s="89"/>
      <c r="C457" s="88"/>
      <c r="D457" s="88"/>
      <c r="E457" s="89"/>
      <c r="F457" s="89"/>
      <c r="H457" s="89"/>
      <c r="I457" s="147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147"/>
      <c r="Y457" s="89"/>
      <c r="Z457" s="89"/>
    </row>
    <row r="458" spans="1:26" ht="12" customHeight="1" x14ac:dyDescent="0.3">
      <c r="A458" s="89"/>
      <c r="B458" s="89"/>
      <c r="C458" s="88"/>
      <c r="D458" s="88"/>
      <c r="E458" s="89"/>
      <c r="F458" s="89"/>
      <c r="H458" s="89"/>
      <c r="I458" s="147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147"/>
      <c r="Y458" s="89"/>
      <c r="Z458" s="89"/>
    </row>
    <row r="459" spans="1:26" ht="12" customHeight="1" x14ac:dyDescent="0.3">
      <c r="A459" s="89"/>
      <c r="B459" s="89"/>
      <c r="C459" s="88"/>
      <c r="D459" s="88"/>
      <c r="E459" s="89"/>
      <c r="F459" s="89"/>
      <c r="H459" s="89"/>
      <c r="I459" s="147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147"/>
      <c r="Y459" s="89"/>
      <c r="Z459" s="89"/>
    </row>
    <row r="460" spans="1:26" ht="12" customHeight="1" x14ac:dyDescent="0.3">
      <c r="A460" s="89"/>
      <c r="B460" s="89"/>
      <c r="C460" s="88"/>
      <c r="D460" s="88"/>
      <c r="E460" s="89"/>
      <c r="F460" s="89"/>
      <c r="H460" s="89"/>
      <c r="I460" s="147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147"/>
      <c r="Y460" s="89"/>
      <c r="Z460" s="89"/>
    </row>
    <row r="461" spans="1:26" ht="12" customHeight="1" x14ac:dyDescent="0.3">
      <c r="A461" s="89"/>
      <c r="B461" s="89"/>
      <c r="C461" s="88"/>
      <c r="D461" s="88"/>
      <c r="E461" s="89"/>
      <c r="F461" s="89"/>
      <c r="H461" s="89"/>
      <c r="I461" s="147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147"/>
      <c r="Y461" s="89"/>
      <c r="Z461" s="89"/>
    </row>
    <row r="462" spans="1:26" ht="12" customHeight="1" x14ac:dyDescent="0.3">
      <c r="A462" s="89"/>
      <c r="B462" s="89"/>
      <c r="C462" s="88"/>
      <c r="D462" s="88"/>
      <c r="E462" s="89"/>
      <c r="F462" s="89"/>
      <c r="H462" s="89"/>
      <c r="I462" s="147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147"/>
      <c r="Y462" s="89"/>
      <c r="Z462" s="89"/>
    </row>
    <row r="463" spans="1:26" ht="12" customHeight="1" x14ac:dyDescent="0.3">
      <c r="A463" s="89"/>
      <c r="B463" s="89"/>
      <c r="C463" s="88"/>
      <c r="D463" s="88"/>
      <c r="E463" s="89"/>
      <c r="F463" s="89"/>
      <c r="H463" s="89"/>
      <c r="I463" s="147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147"/>
      <c r="Y463" s="89"/>
      <c r="Z463" s="89"/>
    </row>
    <row r="464" spans="1:26" ht="12" customHeight="1" x14ac:dyDescent="0.3">
      <c r="A464" s="89"/>
      <c r="B464" s="89"/>
      <c r="C464" s="88"/>
      <c r="D464" s="88"/>
      <c r="E464" s="89"/>
      <c r="F464" s="89"/>
      <c r="H464" s="89"/>
      <c r="I464" s="147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147"/>
      <c r="Y464" s="89"/>
      <c r="Z464" s="89"/>
    </row>
    <row r="465" spans="1:26" ht="12" customHeight="1" x14ac:dyDescent="0.3">
      <c r="A465" s="89"/>
      <c r="B465" s="89"/>
      <c r="C465" s="88"/>
      <c r="D465" s="88"/>
      <c r="E465" s="89"/>
      <c r="F465" s="89"/>
      <c r="H465" s="89"/>
      <c r="I465" s="147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147"/>
      <c r="Y465" s="89"/>
      <c r="Z465" s="89"/>
    </row>
    <row r="466" spans="1:26" ht="12" customHeight="1" x14ac:dyDescent="0.3">
      <c r="A466" s="89"/>
      <c r="B466" s="89"/>
      <c r="C466" s="88"/>
      <c r="D466" s="88"/>
      <c r="E466" s="89"/>
      <c r="F466" s="89"/>
      <c r="H466" s="89"/>
      <c r="I466" s="147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147"/>
      <c r="Y466" s="89"/>
      <c r="Z466" s="89"/>
    </row>
    <row r="467" spans="1:26" ht="12" customHeight="1" x14ac:dyDescent="0.3">
      <c r="A467" s="89"/>
      <c r="B467" s="89"/>
      <c r="C467" s="88"/>
      <c r="D467" s="88"/>
      <c r="E467" s="89"/>
      <c r="F467" s="89"/>
      <c r="H467" s="89"/>
      <c r="I467" s="147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147"/>
      <c r="Y467" s="89"/>
      <c r="Z467" s="89"/>
    </row>
    <row r="468" spans="1:26" ht="12" customHeight="1" x14ac:dyDescent="0.3">
      <c r="A468" s="89"/>
      <c r="B468" s="89"/>
      <c r="C468" s="88"/>
      <c r="D468" s="88"/>
      <c r="E468" s="89"/>
      <c r="F468" s="89"/>
      <c r="H468" s="89"/>
      <c r="I468" s="147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147"/>
      <c r="Y468" s="89"/>
      <c r="Z468" s="89"/>
    </row>
    <row r="469" spans="1:26" ht="12" customHeight="1" x14ac:dyDescent="0.3">
      <c r="A469" s="89"/>
      <c r="B469" s="89"/>
      <c r="C469" s="88"/>
      <c r="D469" s="88"/>
      <c r="E469" s="89"/>
      <c r="F469" s="89"/>
      <c r="H469" s="89"/>
      <c r="I469" s="147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147"/>
      <c r="Y469" s="89"/>
      <c r="Z469" s="89"/>
    </row>
    <row r="470" spans="1:26" ht="12" customHeight="1" x14ac:dyDescent="0.3">
      <c r="A470" s="89"/>
      <c r="B470" s="89"/>
      <c r="C470" s="88"/>
      <c r="D470" s="88"/>
      <c r="E470" s="89"/>
      <c r="F470" s="89"/>
      <c r="H470" s="89"/>
      <c r="I470" s="147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147"/>
      <c r="Y470" s="89"/>
      <c r="Z470" s="89"/>
    </row>
    <row r="471" spans="1:26" ht="12" customHeight="1" x14ac:dyDescent="0.3">
      <c r="A471" s="89"/>
      <c r="B471" s="89"/>
      <c r="C471" s="88"/>
      <c r="D471" s="88"/>
      <c r="E471" s="89"/>
      <c r="F471" s="89"/>
      <c r="H471" s="89"/>
      <c r="I471" s="147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147"/>
      <c r="Y471" s="89"/>
      <c r="Z471" s="89"/>
    </row>
    <row r="472" spans="1:26" ht="12" customHeight="1" x14ac:dyDescent="0.3">
      <c r="A472" s="89"/>
      <c r="B472" s="89"/>
      <c r="C472" s="88"/>
      <c r="D472" s="88"/>
      <c r="E472" s="89"/>
      <c r="F472" s="89"/>
      <c r="H472" s="89"/>
      <c r="I472" s="147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147"/>
      <c r="Y472" s="89"/>
      <c r="Z472" s="89"/>
    </row>
    <row r="473" spans="1:26" ht="12" customHeight="1" x14ac:dyDescent="0.3">
      <c r="A473" s="89"/>
      <c r="B473" s="89"/>
      <c r="C473" s="88"/>
      <c r="D473" s="88"/>
      <c r="E473" s="89"/>
      <c r="F473" s="89"/>
      <c r="H473" s="89"/>
      <c r="I473" s="147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147"/>
      <c r="Y473" s="89"/>
      <c r="Z473" s="89"/>
    </row>
    <row r="474" spans="1:26" ht="12" customHeight="1" x14ac:dyDescent="0.3">
      <c r="A474" s="89"/>
      <c r="B474" s="89"/>
      <c r="C474" s="88"/>
      <c r="D474" s="88"/>
      <c r="E474" s="89"/>
      <c r="F474" s="89"/>
      <c r="H474" s="89"/>
      <c r="I474" s="147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147"/>
      <c r="Y474" s="89"/>
      <c r="Z474" s="89"/>
    </row>
    <row r="475" spans="1:26" ht="12" customHeight="1" x14ac:dyDescent="0.3">
      <c r="A475" s="89"/>
      <c r="B475" s="89"/>
      <c r="C475" s="88"/>
      <c r="D475" s="88"/>
      <c r="E475" s="89"/>
      <c r="F475" s="89"/>
      <c r="H475" s="89"/>
      <c r="I475" s="147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147"/>
      <c r="Y475" s="89"/>
      <c r="Z475" s="89"/>
    </row>
    <row r="476" spans="1:26" ht="12" customHeight="1" x14ac:dyDescent="0.3">
      <c r="A476" s="89"/>
      <c r="B476" s="89"/>
      <c r="C476" s="88"/>
      <c r="D476" s="88"/>
      <c r="E476" s="89"/>
      <c r="F476" s="89"/>
      <c r="H476" s="89"/>
      <c r="I476" s="147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147"/>
      <c r="Y476" s="89"/>
      <c r="Z476" s="89"/>
    </row>
    <row r="477" spans="1:26" ht="12" customHeight="1" x14ac:dyDescent="0.3">
      <c r="A477" s="89"/>
      <c r="B477" s="89"/>
      <c r="C477" s="88"/>
      <c r="D477" s="88"/>
      <c r="E477" s="89"/>
      <c r="F477" s="89"/>
      <c r="H477" s="89"/>
      <c r="I477" s="147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147"/>
      <c r="Y477" s="89"/>
      <c r="Z477" s="89"/>
    </row>
    <row r="478" spans="1:26" ht="12" customHeight="1" x14ac:dyDescent="0.3">
      <c r="A478" s="89"/>
      <c r="B478" s="89"/>
      <c r="C478" s="88"/>
      <c r="D478" s="88"/>
      <c r="E478" s="89"/>
      <c r="F478" s="89"/>
      <c r="H478" s="89"/>
      <c r="I478" s="147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147"/>
      <c r="Y478" s="89"/>
      <c r="Z478" s="89"/>
    </row>
    <row r="479" spans="1:26" ht="12" customHeight="1" x14ac:dyDescent="0.3">
      <c r="A479" s="89"/>
      <c r="B479" s="89"/>
      <c r="C479" s="88"/>
      <c r="D479" s="88"/>
      <c r="E479" s="89"/>
      <c r="F479" s="89"/>
      <c r="H479" s="89"/>
      <c r="I479" s="147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147"/>
      <c r="Y479" s="89"/>
      <c r="Z479" s="89"/>
    </row>
    <row r="480" spans="1:26" ht="12" customHeight="1" x14ac:dyDescent="0.3">
      <c r="A480" s="89"/>
      <c r="B480" s="89"/>
      <c r="C480" s="88"/>
      <c r="D480" s="88"/>
      <c r="E480" s="89"/>
      <c r="F480" s="89"/>
      <c r="H480" s="89"/>
      <c r="I480" s="147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147"/>
      <c r="Y480" s="89"/>
      <c r="Z480" s="89"/>
    </row>
    <row r="481" spans="1:26" ht="12" customHeight="1" x14ac:dyDescent="0.3">
      <c r="A481" s="89"/>
      <c r="B481" s="89"/>
      <c r="C481" s="88"/>
      <c r="D481" s="88"/>
      <c r="E481" s="89"/>
      <c r="F481" s="89"/>
      <c r="H481" s="89"/>
      <c r="I481" s="147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147"/>
      <c r="Y481" s="89"/>
      <c r="Z481" s="89"/>
    </row>
    <row r="482" spans="1:26" ht="12" customHeight="1" x14ac:dyDescent="0.3">
      <c r="A482" s="89"/>
      <c r="B482" s="89"/>
      <c r="C482" s="88"/>
      <c r="D482" s="88"/>
      <c r="E482" s="89"/>
      <c r="F482" s="89"/>
      <c r="H482" s="89"/>
      <c r="I482" s="147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147"/>
      <c r="Y482" s="89"/>
      <c r="Z482" s="89"/>
    </row>
    <row r="483" spans="1:26" ht="12" customHeight="1" x14ac:dyDescent="0.3">
      <c r="A483" s="89"/>
      <c r="B483" s="89"/>
      <c r="C483" s="88"/>
      <c r="D483" s="88"/>
      <c r="E483" s="89"/>
      <c r="F483" s="89"/>
      <c r="H483" s="89"/>
      <c r="I483" s="147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147"/>
      <c r="Y483" s="89"/>
      <c r="Z483" s="89"/>
    </row>
    <row r="484" spans="1:26" ht="12" customHeight="1" x14ac:dyDescent="0.3">
      <c r="A484" s="89"/>
      <c r="B484" s="89"/>
      <c r="C484" s="88"/>
      <c r="D484" s="88"/>
      <c r="E484" s="89"/>
      <c r="F484" s="89"/>
      <c r="H484" s="89"/>
      <c r="I484" s="147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147"/>
      <c r="Y484" s="89"/>
      <c r="Z484" s="89"/>
    </row>
    <row r="485" spans="1:26" ht="12" customHeight="1" x14ac:dyDescent="0.3">
      <c r="A485" s="89"/>
      <c r="B485" s="89"/>
      <c r="C485" s="88"/>
      <c r="D485" s="88"/>
      <c r="E485" s="89"/>
      <c r="F485" s="89"/>
      <c r="H485" s="89"/>
      <c r="I485" s="147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147"/>
      <c r="Y485" s="89"/>
      <c r="Z485" s="89"/>
    </row>
    <row r="486" spans="1:26" ht="12" customHeight="1" x14ac:dyDescent="0.3">
      <c r="A486" s="89"/>
      <c r="B486" s="89"/>
      <c r="C486" s="88"/>
      <c r="D486" s="88"/>
      <c r="E486" s="89"/>
      <c r="F486" s="89"/>
      <c r="H486" s="89"/>
      <c r="I486" s="147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147"/>
      <c r="Y486" s="89"/>
      <c r="Z486" s="89"/>
    </row>
    <row r="487" spans="1:26" ht="12" customHeight="1" x14ac:dyDescent="0.3">
      <c r="A487" s="89"/>
      <c r="B487" s="89"/>
      <c r="C487" s="88"/>
      <c r="D487" s="88"/>
      <c r="E487" s="89"/>
      <c r="F487" s="89"/>
      <c r="H487" s="89"/>
      <c r="I487" s="147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147"/>
      <c r="Y487" s="89"/>
      <c r="Z487" s="89"/>
    </row>
    <row r="488" spans="1:26" ht="12" customHeight="1" x14ac:dyDescent="0.3">
      <c r="A488" s="89"/>
      <c r="B488" s="89"/>
      <c r="C488" s="88"/>
      <c r="D488" s="88"/>
      <c r="E488" s="89"/>
      <c r="F488" s="89"/>
      <c r="H488" s="89"/>
      <c r="I488" s="147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147"/>
      <c r="Y488" s="89"/>
      <c r="Z488" s="89"/>
    </row>
    <row r="489" spans="1:26" ht="12" customHeight="1" x14ac:dyDescent="0.3">
      <c r="A489" s="89"/>
      <c r="B489" s="89"/>
      <c r="C489" s="88"/>
      <c r="D489" s="88"/>
      <c r="E489" s="89"/>
      <c r="F489" s="89"/>
      <c r="H489" s="89"/>
      <c r="I489" s="147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147"/>
      <c r="Y489" s="89"/>
      <c r="Z489" s="89"/>
    </row>
    <row r="490" spans="1:26" ht="12" customHeight="1" x14ac:dyDescent="0.3">
      <c r="A490" s="89"/>
      <c r="B490" s="89"/>
      <c r="C490" s="88"/>
      <c r="D490" s="88"/>
      <c r="E490" s="89"/>
      <c r="F490" s="89"/>
      <c r="H490" s="89"/>
      <c r="I490" s="147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147"/>
      <c r="Y490" s="89"/>
      <c r="Z490" s="89"/>
    </row>
    <row r="491" spans="1:26" ht="12" customHeight="1" x14ac:dyDescent="0.3">
      <c r="A491" s="89"/>
      <c r="B491" s="89"/>
      <c r="C491" s="88"/>
      <c r="D491" s="88"/>
      <c r="E491" s="89"/>
      <c r="F491" s="89"/>
      <c r="H491" s="89"/>
      <c r="I491" s="147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147"/>
      <c r="Y491" s="89"/>
      <c r="Z491" s="89"/>
    </row>
    <row r="492" spans="1:26" ht="12" customHeight="1" x14ac:dyDescent="0.3">
      <c r="A492" s="89"/>
      <c r="B492" s="89"/>
      <c r="C492" s="88"/>
      <c r="D492" s="88"/>
      <c r="E492" s="89"/>
      <c r="F492" s="89"/>
      <c r="H492" s="89"/>
      <c r="I492" s="147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147"/>
      <c r="Y492" s="89"/>
      <c r="Z492" s="89"/>
    </row>
    <row r="493" spans="1:26" ht="12" customHeight="1" x14ac:dyDescent="0.3">
      <c r="A493" s="89"/>
      <c r="B493" s="89"/>
      <c r="C493" s="88"/>
      <c r="D493" s="88"/>
      <c r="E493" s="89"/>
      <c r="F493" s="89"/>
      <c r="H493" s="89"/>
      <c r="I493" s="147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147"/>
      <c r="Y493" s="89"/>
      <c r="Z493" s="89"/>
    </row>
    <row r="494" spans="1:26" ht="12" customHeight="1" x14ac:dyDescent="0.3">
      <c r="A494" s="89"/>
      <c r="B494" s="89"/>
      <c r="C494" s="88"/>
      <c r="D494" s="88"/>
      <c r="E494" s="89"/>
      <c r="F494" s="89"/>
      <c r="H494" s="89"/>
      <c r="I494" s="147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147"/>
      <c r="Y494" s="89"/>
      <c r="Z494" s="89"/>
    </row>
    <row r="495" spans="1:26" ht="12" customHeight="1" x14ac:dyDescent="0.3">
      <c r="A495" s="89"/>
      <c r="B495" s="89"/>
      <c r="C495" s="88"/>
      <c r="D495" s="88"/>
      <c r="E495" s="89"/>
      <c r="F495" s="89"/>
      <c r="H495" s="89"/>
      <c r="I495" s="147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147"/>
      <c r="Y495" s="89"/>
      <c r="Z495" s="89"/>
    </row>
    <row r="496" spans="1:26" ht="12" customHeight="1" x14ac:dyDescent="0.3">
      <c r="A496" s="89"/>
      <c r="B496" s="89"/>
      <c r="C496" s="88"/>
      <c r="D496" s="88"/>
      <c r="E496" s="89"/>
      <c r="F496" s="89"/>
      <c r="H496" s="89"/>
      <c r="I496" s="147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147"/>
      <c r="Y496" s="89"/>
      <c r="Z496" s="89"/>
    </row>
    <row r="497" spans="1:26" ht="12" customHeight="1" x14ac:dyDescent="0.3">
      <c r="A497" s="89"/>
      <c r="B497" s="89"/>
      <c r="C497" s="88"/>
      <c r="D497" s="88"/>
      <c r="E497" s="89"/>
      <c r="F497" s="89"/>
      <c r="H497" s="89"/>
      <c r="I497" s="147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147"/>
      <c r="Y497" s="89"/>
      <c r="Z497" s="89"/>
    </row>
    <row r="498" spans="1:26" ht="12" customHeight="1" x14ac:dyDescent="0.3">
      <c r="A498" s="89"/>
      <c r="B498" s="89"/>
      <c r="C498" s="88"/>
      <c r="D498" s="88"/>
      <c r="E498" s="89"/>
      <c r="F498" s="89"/>
      <c r="H498" s="89"/>
      <c r="I498" s="147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147"/>
      <c r="Y498" s="89"/>
      <c r="Z498" s="89"/>
    </row>
    <row r="499" spans="1:26" ht="12" customHeight="1" x14ac:dyDescent="0.3">
      <c r="A499" s="89"/>
      <c r="B499" s="89"/>
      <c r="C499" s="88"/>
      <c r="D499" s="88"/>
      <c r="E499" s="89"/>
      <c r="F499" s="89"/>
      <c r="H499" s="89"/>
      <c r="I499" s="147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147"/>
      <c r="Y499" s="89"/>
      <c r="Z499" s="89"/>
    </row>
    <row r="500" spans="1:26" ht="12" customHeight="1" x14ac:dyDescent="0.3">
      <c r="A500" s="89"/>
      <c r="B500" s="89"/>
      <c r="C500" s="88"/>
      <c r="D500" s="88"/>
      <c r="E500" s="89"/>
      <c r="F500" s="89"/>
      <c r="H500" s="89"/>
      <c r="I500" s="147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147"/>
      <c r="Y500" s="89"/>
      <c r="Z500" s="89"/>
    </row>
    <row r="501" spans="1:26" ht="12" customHeight="1" x14ac:dyDescent="0.3">
      <c r="A501" s="89"/>
      <c r="B501" s="89"/>
      <c r="C501" s="88"/>
      <c r="D501" s="88"/>
      <c r="E501" s="89"/>
      <c r="F501" s="89"/>
      <c r="H501" s="89"/>
      <c r="I501" s="147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147"/>
      <c r="Y501" s="89"/>
      <c r="Z501" s="89"/>
    </row>
    <row r="502" spans="1:26" ht="12" customHeight="1" x14ac:dyDescent="0.3">
      <c r="A502" s="89"/>
      <c r="B502" s="89"/>
      <c r="C502" s="88"/>
      <c r="D502" s="88"/>
      <c r="E502" s="89"/>
      <c r="F502" s="89"/>
      <c r="H502" s="89"/>
      <c r="I502" s="147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147"/>
      <c r="Y502" s="89"/>
      <c r="Z502" s="89"/>
    </row>
    <row r="503" spans="1:26" ht="12" customHeight="1" x14ac:dyDescent="0.3">
      <c r="A503" s="89"/>
      <c r="B503" s="89"/>
      <c r="C503" s="88"/>
      <c r="D503" s="88"/>
      <c r="E503" s="89"/>
      <c r="F503" s="89"/>
      <c r="H503" s="89"/>
      <c r="I503" s="147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147"/>
      <c r="Y503" s="89"/>
      <c r="Z503" s="89"/>
    </row>
    <row r="504" spans="1:26" ht="12" customHeight="1" x14ac:dyDescent="0.3">
      <c r="A504" s="89"/>
      <c r="B504" s="89"/>
      <c r="C504" s="88"/>
      <c r="D504" s="88"/>
      <c r="E504" s="89"/>
      <c r="F504" s="89"/>
      <c r="H504" s="89"/>
      <c r="I504" s="147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147"/>
      <c r="Y504" s="89"/>
      <c r="Z504" s="89"/>
    </row>
    <row r="505" spans="1:26" ht="12" customHeight="1" x14ac:dyDescent="0.3">
      <c r="A505" s="89"/>
      <c r="B505" s="89"/>
      <c r="C505" s="88"/>
      <c r="D505" s="88"/>
      <c r="E505" s="89"/>
      <c r="F505" s="89"/>
      <c r="H505" s="89"/>
      <c r="I505" s="147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147"/>
      <c r="Y505" s="89"/>
      <c r="Z505" s="89"/>
    </row>
    <row r="506" spans="1:26" ht="12" customHeight="1" x14ac:dyDescent="0.3">
      <c r="A506" s="89"/>
      <c r="B506" s="89"/>
      <c r="C506" s="88"/>
      <c r="D506" s="88"/>
      <c r="E506" s="89"/>
      <c r="F506" s="89"/>
      <c r="H506" s="89"/>
      <c r="I506" s="147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147"/>
      <c r="Y506" s="89"/>
      <c r="Z506" s="89"/>
    </row>
    <row r="507" spans="1:26" ht="12" customHeight="1" x14ac:dyDescent="0.3">
      <c r="A507" s="89"/>
      <c r="B507" s="89"/>
      <c r="C507" s="88"/>
      <c r="D507" s="88"/>
      <c r="E507" s="89"/>
      <c r="F507" s="89"/>
      <c r="H507" s="89"/>
      <c r="I507" s="147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147"/>
      <c r="Y507" s="89"/>
      <c r="Z507" s="89"/>
    </row>
    <row r="508" spans="1:26" ht="12" customHeight="1" x14ac:dyDescent="0.3">
      <c r="A508" s="89"/>
      <c r="B508" s="89"/>
      <c r="C508" s="88"/>
      <c r="D508" s="88"/>
      <c r="E508" s="89"/>
      <c r="F508" s="89"/>
      <c r="H508" s="89"/>
      <c r="I508" s="147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147"/>
      <c r="Y508" s="89"/>
      <c r="Z508" s="89"/>
    </row>
    <row r="509" spans="1:26" ht="12" customHeight="1" x14ac:dyDescent="0.3">
      <c r="A509" s="89"/>
      <c r="B509" s="89"/>
      <c r="C509" s="88"/>
      <c r="D509" s="88"/>
      <c r="E509" s="89"/>
      <c r="F509" s="89"/>
      <c r="H509" s="89"/>
      <c r="I509" s="147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147"/>
      <c r="Y509" s="89"/>
      <c r="Z509" s="89"/>
    </row>
    <row r="510" spans="1:26" ht="12" customHeight="1" x14ac:dyDescent="0.3">
      <c r="A510" s="89"/>
      <c r="B510" s="89"/>
      <c r="C510" s="88"/>
      <c r="D510" s="88"/>
      <c r="E510" s="89"/>
      <c r="F510" s="89"/>
      <c r="H510" s="89"/>
      <c r="I510" s="147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147"/>
      <c r="Y510" s="89"/>
      <c r="Z510" s="89"/>
    </row>
    <row r="511" spans="1:26" ht="12" customHeight="1" x14ac:dyDescent="0.3">
      <c r="A511" s="89"/>
      <c r="B511" s="89"/>
      <c r="C511" s="88"/>
      <c r="D511" s="88"/>
      <c r="E511" s="89"/>
      <c r="F511" s="89"/>
      <c r="H511" s="89"/>
      <c r="I511" s="147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147"/>
      <c r="Y511" s="89"/>
      <c r="Z511" s="89"/>
    </row>
    <row r="512" spans="1:26" ht="12" customHeight="1" x14ac:dyDescent="0.3">
      <c r="A512" s="89"/>
      <c r="B512" s="89"/>
      <c r="C512" s="88"/>
      <c r="D512" s="88"/>
      <c r="E512" s="89"/>
      <c r="F512" s="89"/>
      <c r="H512" s="89"/>
      <c r="I512" s="147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147"/>
      <c r="Y512" s="89"/>
      <c r="Z512" s="89"/>
    </row>
    <row r="513" spans="1:26" ht="12" customHeight="1" x14ac:dyDescent="0.3">
      <c r="A513" s="89"/>
      <c r="B513" s="89"/>
      <c r="C513" s="88"/>
      <c r="D513" s="88"/>
      <c r="E513" s="89"/>
      <c r="F513" s="89"/>
      <c r="H513" s="89"/>
      <c r="I513" s="147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147"/>
      <c r="Y513" s="89"/>
      <c r="Z513" s="89"/>
    </row>
    <row r="514" spans="1:26" ht="12" customHeight="1" x14ac:dyDescent="0.3">
      <c r="A514" s="89"/>
      <c r="B514" s="89"/>
      <c r="C514" s="88"/>
      <c r="D514" s="88"/>
      <c r="E514" s="89"/>
      <c r="F514" s="89"/>
      <c r="H514" s="89"/>
      <c r="I514" s="147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147"/>
      <c r="Y514" s="89"/>
      <c r="Z514" s="89"/>
    </row>
    <row r="515" spans="1:26" ht="12" customHeight="1" x14ac:dyDescent="0.3">
      <c r="A515" s="89"/>
      <c r="B515" s="89"/>
      <c r="C515" s="88"/>
      <c r="D515" s="88"/>
      <c r="E515" s="89"/>
      <c r="F515" s="89"/>
      <c r="H515" s="89"/>
      <c r="I515" s="147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147"/>
      <c r="Y515" s="89"/>
      <c r="Z515" s="89"/>
    </row>
    <row r="516" spans="1:26" ht="12" customHeight="1" x14ac:dyDescent="0.3">
      <c r="A516" s="89"/>
      <c r="B516" s="89"/>
      <c r="C516" s="88"/>
      <c r="D516" s="88"/>
      <c r="E516" s="89"/>
      <c r="F516" s="89"/>
      <c r="H516" s="89"/>
      <c r="I516" s="147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147"/>
      <c r="Y516" s="89"/>
      <c r="Z516" s="89"/>
    </row>
    <row r="517" spans="1:26" ht="12" customHeight="1" x14ac:dyDescent="0.3">
      <c r="A517" s="89"/>
      <c r="B517" s="89"/>
      <c r="C517" s="88"/>
      <c r="D517" s="88"/>
      <c r="E517" s="89"/>
      <c r="F517" s="89"/>
      <c r="H517" s="89"/>
      <c r="I517" s="147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147"/>
      <c r="Y517" s="89"/>
      <c r="Z517" s="89"/>
    </row>
    <row r="518" spans="1:26" ht="12" customHeight="1" x14ac:dyDescent="0.3">
      <c r="A518" s="89"/>
      <c r="B518" s="89"/>
      <c r="C518" s="88"/>
      <c r="D518" s="88"/>
      <c r="E518" s="89"/>
      <c r="F518" s="89"/>
      <c r="H518" s="89"/>
      <c r="I518" s="147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147"/>
      <c r="Y518" s="89"/>
      <c r="Z518" s="89"/>
    </row>
    <row r="519" spans="1:26" ht="12" customHeight="1" x14ac:dyDescent="0.3">
      <c r="A519" s="89"/>
      <c r="B519" s="89"/>
      <c r="C519" s="88"/>
      <c r="D519" s="88"/>
      <c r="E519" s="89"/>
      <c r="F519" s="89"/>
      <c r="H519" s="89"/>
      <c r="I519" s="147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147"/>
      <c r="Y519" s="89"/>
      <c r="Z519" s="89"/>
    </row>
    <row r="520" spans="1:26" ht="12" customHeight="1" x14ac:dyDescent="0.3">
      <c r="A520" s="89"/>
      <c r="B520" s="89"/>
      <c r="C520" s="88"/>
      <c r="D520" s="88"/>
      <c r="E520" s="89"/>
      <c r="F520" s="89"/>
      <c r="H520" s="89"/>
      <c r="I520" s="147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147"/>
      <c r="Y520" s="89"/>
      <c r="Z520" s="89"/>
    </row>
    <row r="521" spans="1:26" ht="12" customHeight="1" x14ac:dyDescent="0.3">
      <c r="A521" s="89"/>
      <c r="B521" s="89"/>
      <c r="C521" s="88"/>
      <c r="D521" s="88"/>
      <c r="E521" s="89"/>
      <c r="F521" s="89"/>
      <c r="H521" s="89"/>
      <c r="I521" s="147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147"/>
      <c r="Y521" s="89"/>
      <c r="Z521" s="89"/>
    </row>
    <row r="522" spans="1:26" ht="12" customHeight="1" x14ac:dyDescent="0.3">
      <c r="A522" s="89"/>
      <c r="B522" s="89"/>
      <c r="C522" s="88"/>
      <c r="D522" s="88"/>
      <c r="E522" s="89"/>
      <c r="F522" s="89"/>
      <c r="H522" s="89"/>
      <c r="I522" s="147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147"/>
      <c r="Y522" s="89"/>
      <c r="Z522" s="89"/>
    </row>
    <row r="523" spans="1:26" ht="12" customHeight="1" x14ac:dyDescent="0.3">
      <c r="A523" s="89"/>
      <c r="B523" s="89"/>
      <c r="C523" s="88"/>
      <c r="D523" s="88"/>
      <c r="E523" s="89"/>
      <c r="F523" s="89"/>
      <c r="H523" s="89"/>
      <c r="I523" s="147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147"/>
      <c r="Y523" s="89"/>
      <c r="Z523" s="89"/>
    </row>
    <row r="524" spans="1:26" ht="12" customHeight="1" x14ac:dyDescent="0.3">
      <c r="A524" s="89"/>
      <c r="B524" s="89"/>
      <c r="C524" s="88"/>
      <c r="D524" s="88"/>
      <c r="E524" s="89"/>
      <c r="F524" s="89"/>
      <c r="H524" s="89"/>
      <c r="I524" s="147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147"/>
      <c r="Y524" s="89"/>
      <c r="Z524" s="89"/>
    </row>
    <row r="525" spans="1:26" ht="12" customHeight="1" x14ac:dyDescent="0.3">
      <c r="A525" s="89"/>
      <c r="B525" s="89"/>
      <c r="C525" s="88"/>
      <c r="D525" s="88"/>
      <c r="E525" s="89"/>
      <c r="F525" s="89"/>
      <c r="H525" s="89"/>
      <c r="I525" s="147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147"/>
      <c r="Y525" s="89"/>
      <c r="Z525" s="89"/>
    </row>
    <row r="526" spans="1:26" ht="12" customHeight="1" x14ac:dyDescent="0.3">
      <c r="A526" s="89"/>
      <c r="B526" s="89"/>
      <c r="C526" s="88"/>
      <c r="D526" s="88"/>
      <c r="E526" s="89"/>
      <c r="F526" s="89"/>
      <c r="H526" s="89"/>
      <c r="I526" s="147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147"/>
      <c r="Y526" s="89"/>
      <c r="Z526" s="89"/>
    </row>
    <row r="527" spans="1:26" ht="12" customHeight="1" x14ac:dyDescent="0.3">
      <c r="A527" s="89"/>
      <c r="B527" s="89"/>
      <c r="C527" s="88"/>
      <c r="D527" s="88"/>
      <c r="E527" s="89"/>
      <c r="F527" s="89"/>
      <c r="H527" s="89"/>
      <c r="I527" s="147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147"/>
      <c r="Y527" s="89"/>
      <c r="Z527" s="89"/>
    </row>
    <row r="528" spans="1:26" ht="12" customHeight="1" x14ac:dyDescent="0.3">
      <c r="A528" s="89"/>
      <c r="B528" s="89"/>
      <c r="C528" s="88"/>
      <c r="D528" s="88"/>
      <c r="E528" s="89"/>
      <c r="F528" s="89"/>
      <c r="H528" s="89"/>
      <c r="I528" s="147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147"/>
      <c r="Y528" s="89"/>
      <c r="Z528" s="89"/>
    </row>
    <row r="529" spans="1:26" ht="12" customHeight="1" x14ac:dyDescent="0.3">
      <c r="A529" s="89"/>
      <c r="B529" s="89"/>
      <c r="C529" s="88"/>
      <c r="D529" s="88"/>
      <c r="E529" s="89"/>
      <c r="F529" s="89"/>
      <c r="H529" s="89"/>
      <c r="I529" s="147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147"/>
      <c r="Y529" s="89"/>
      <c r="Z529" s="89"/>
    </row>
    <row r="530" spans="1:26" ht="12" customHeight="1" x14ac:dyDescent="0.3">
      <c r="A530" s="89"/>
      <c r="B530" s="89"/>
      <c r="C530" s="88"/>
      <c r="D530" s="88"/>
      <c r="E530" s="89"/>
      <c r="F530" s="89"/>
      <c r="H530" s="89"/>
      <c r="I530" s="147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147"/>
      <c r="Y530" s="89"/>
      <c r="Z530" s="89"/>
    </row>
    <row r="531" spans="1:26" ht="12" customHeight="1" x14ac:dyDescent="0.3">
      <c r="A531" s="89"/>
      <c r="B531" s="89"/>
      <c r="C531" s="88"/>
      <c r="D531" s="88"/>
      <c r="E531" s="89"/>
      <c r="F531" s="89"/>
      <c r="H531" s="89"/>
      <c r="I531" s="147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147"/>
      <c r="Y531" s="89"/>
      <c r="Z531" s="89"/>
    </row>
    <row r="532" spans="1:26" ht="12" customHeight="1" x14ac:dyDescent="0.3">
      <c r="A532" s="89"/>
      <c r="B532" s="89"/>
      <c r="C532" s="88"/>
      <c r="D532" s="88"/>
      <c r="E532" s="89"/>
      <c r="F532" s="89"/>
      <c r="H532" s="89"/>
      <c r="I532" s="147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147"/>
      <c r="Y532" s="89"/>
      <c r="Z532" s="89"/>
    </row>
    <row r="533" spans="1:26" ht="12" customHeight="1" x14ac:dyDescent="0.3">
      <c r="A533" s="89"/>
      <c r="B533" s="89"/>
      <c r="C533" s="88"/>
      <c r="D533" s="88"/>
      <c r="E533" s="89"/>
      <c r="F533" s="89"/>
      <c r="H533" s="89"/>
      <c r="I533" s="147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147"/>
      <c r="Y533" s="89"/>
      <c r="Z533" s="89"/>
    </row>
    <row r="534" spans="1:26" ht="12" customHeight="1" x14ac:dyDescent="0.3">
      <c r="A534" s="89"/>
      <c r="B534" s="89"/>
      <c r="C534" s="88"/>
      <c r="D534" s="88"/>
      <c r="E534" s="89"/>
      <c r="F534" s="89"/>
      <c r="H534" s="89"/>
      <c r="I534" s="147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147"/>
      <c r="Y534" s="89"/>
      <c r="Z534" s="89"/>
    </row>
    <row r="535" spans="1:26" ht="12" customHeight="1" x14ac:dyDescent="0.3">
      <c r="A535" s="89"/>
      <c r="B535" s="89"/>
      <c r="C535" s="88"/>
      <c r="D535" s="88"/>
      <c r="E535" s="89"/>
      <c r="F535" s="89"/>
      <c r="H535" s="89"/>
      <c r="I535" s="147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147"/>
      <c r="Y535" s="89"/>
      <c r="Z535" s="89"/>
    </row>
    <row r="536" spans="1:26" ht="12" customHeight="1" x14ac:dyDescent="0.3">
      <c r="A536" s="89"/>
      <c r="B536" s="89"/>
      <c r="C536" s="88"/>
      <c r="D536" s="88"/>
      <c r="E536" s="89"/>
      <c r="F536" s="89"/>
      <c r="H536" s="89"/>
      <c r="I536" s="147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147"/>
      <c r="Y536" s="89"/>
      <c r="Z536" s="89"/>
    </row>
    <row r="537" spans="1:26" ht="12" customHeight="1" x14ac:dyDescent="0.3">
      <c r="A537" s="89"/>
      <c r="B537" s="89"/>
      <c r="C537" s="88"/>
      <c r="D537" s="88"/>
      <c r="E537" s="89"/>
      <c r="F537" s="89"/>
      <c r="H537" s="89"/>
      <c r="I537" s="147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147"/>
      <c r="Y537" s="89"/>
      <c r="Z537" s="89"/>
    </row>
    <row r="538" spans="1:26" ht="12" customHeight="1" x14ac:dyDescent="0.3">
      <c r="A538" s="89"/>
      <c r="B538" s="89"/>
      <c r="C538" s="88"/>
      <c r="D538" s="88"/>
      <c r="E538" s="89"/>
      <c r="F538" s="89"/>
      <c r="H538" s="89"/>
      <c r="I538" s="147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147"/>
      <c r="Y538" s="89"/>
      <c r="Z538" s="89"/>
    </row>
    <row r="539" spans="1:26" ht="12" customHeight="1" x14ac:dyDescent="0.3">
      <c r="A539" s="89"/>
      <c r="B539" s="89"/>
      <c r="C539" s="88"/>
      <c r="D539" s="88"/>
      <c r="E539" s="89"/>
      <c r="F539" s="89"/>
      <c r="H539" s="89"/>
      <c r="I539" s="147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147"/>
      <c r="Y539" s="89"/>
      <c r="Z539" s="89"/>
    </row>
    <row r="540" spans="1:26" ht="12" customHeight="1" x14ac:dyDescent="0.3">
      <c r="A540" s="89"/>
      <c r="B540" s="89"/>
      <c r="C540" s="88"/>
      <c r="D540" s="88"/>
      <c r="E540" s="89"/>
      <c r="F540" s="89"/>
      <c r="H540" s="89"/>
      <c r="I540" s="147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147"/>
      <c r="Y540" s="89"/>
      <c r="Z540" s="89"/>
    </row>
    <row r="541" spans="1:26" ht="12" customHeight="1" x14ac:dyDescent="0.3">
      <c r="A541" s="89"/>
      <c r="B541" s="89"/>
      <c r="C541" s="88"/>
      <c r="D541" s="88"/>
      <c r="E541" s="89"/>
      <c r="F541" s="89"/>
      <c r="H541" s="89"/>
      <c r="I541" s="147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147"/>
      <c r="Y541" s="89"/>
      <c r="Z541" s="89"/>
    </row>
    <row r="542" spans="1:26" ht="12" customHeight="1" x14ac:dyDescent="0.3">
      <c r="A542" s="89"/>
      <c r="B542" s="89"/>
      <c r="C542" s="88"/>
      <c r="D542" s="88"/>
      <c r="E542" s="89"/>
      <c r="F542" s="89"/>
      <c r="H542" s="89"/>
      <c r="I542" s="147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147"/>
      <c r="Y542" s="89"/>
      <c r="Z542" s="89"/>
    </row>
    <row r="543" spans="1:26" ht="12" customHeight="1" x14ac:dyDescent="0.3">
      <c r="A543" s="89"/>
      <c r="B543" s="89"/>
      <c r="C543" s="88"/>
      <c r="D543" s="88"/>
      <c r="E543" s="89"/>
      <c r="F543" s="89"/>
      <c r="H543" s="89"/>
      <c r="I543" s="147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147"/>
      <c r="Y543" s="89"/>
      <c r="Z543" s="89"/>
    </row>
    <row r="544" spans="1:26" ht="12" customHeight="1" x14ac:dyDescent="0.3">
      <c r="A544" s="89"/>
      <c r="B544" s="89"/>
      <c r="C544" s="88"/>
      <c r="D544" s="88"/>
      <c r="E544" s="89"/>
      <c r="F544" s="89"/>
      <c r="H544" s="89"/>
      <c r="I544" s="147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147"/>
      <c r="Y544" s="89"/>
      <c r="Z544" s="89"/>
    </row>
    <row r="545" spans="1:26" ht="12" customHeight="1" x14ac:dyDescent="0.3">
      <c r="A545" s="89"/>
      <c r="B545" s="89"/>
      <c r="C545" s="88"/>
      <c r="D545" s="88"/>
      <c r="E545" s="89"/>
      <c r="F545" s="89"/>
      <c r="H545" s="89"/>
      <c r="I545" s="147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147"/>
      <c r="Y545" s="89"/>
      <c r="Z545" s="89"/>
    </row>
    <row r="546" spans="1:26" ht="12" customHeight="1" x14ac:dyDescent="0.3">
      <c r="A546" s="89"/>
      <c r="B546" s="89"/>
      <c r="C546" s="88"/>
      <c r="D546" s="88"/>
      <c r="E546" s="89"/>
      <c r="F546" s="89"/>
      <c r="H546" s="89"/>
      <c r="I546" s="147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147"/>
      <c r="Y546" s="89"/>
      <c r="Z546" s="89"/>
    </row>
    <row r="547" spans="1:26" ht="12" customHeight="1" x14ac:dyDescent="0.3">
      <c r="A547" s="89"/>
      <c r="B547" s="89"/>
      <c r="C547" s="88"/>
      <c r="D547" s="88"/>
      <c r="E547" s="89"/>
      <c r="F547" s="89"/>
      <c r="H547" s="89"/>
      <c r="I547" s="147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147"/>
      <c r="Y547" s="89"/>
      <c r="Z547" s="89"/>
    </row>
    <row r="548" spans="1:26" ht="12" customHeight="1" x14ac:dyDescent="0.3">
      <c r="A548" s="89"/>
      <c r="B548" s="89"/>
      <c r="C548" s="88"/>
      <c r="D548" s="88"/>
      <c r="E548" s="89"/>
      <c r="F548" s="89"/>
      <c r="H548" s="89"/>
      <c r="I548" s="147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147"/>
      <c r="Y548" s="89"/>
      <c r="Z548" s="89"/>
    </row>
    <row r="549" spans="1:26" ht="12" customHeight="1" x14ac:dyDescent="0.3">
      <c r="A549" s="89"/>
      <c r="B549" s="89"/>
      <c r="C549" s="88"/>
      <c r="D549" s="88"/>
      <c r="E549" s="89"/>
      <c r="F549" s="89"/>
      <c r="H549" s="89"/>
      <c r="I549" s="147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147"/>
      <c r="Y549" s="89"/>
      <c r="Z549" s="89"/>
    </row>
    <row r="550" spans="1:26" ht="12" customHeight="1" x14ac:dyDescent="0.3">
      <c r="A550" s="89"/>
      <c r="B550" s="89"/>
      <c r="C550" s="88"/>
      <c r="D550" s="88"/>
      <c r="E550" s="89"/>
      <c r="F550" s="89"/>
      <c r="H550" s="89"/>
      <c r="I550" s="147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147"/>
      <c r="Y550" s="89"/>
      <c r="Z550" s="89"/>
    </row>
    <row r="551" spans="1:26" ht="12" customHeight="1" x14ac:dyDescent="0.3">
      <c r="A551" s="89"/>
      <c r="B551" s="89"/>
      <c r="C551" s="88"/>
      <c r="D551" s="88"/>
      <c r="E551" s="89"/>
      <c r="F551" s="89"/>
      <c r="H551" s="89"/>
      <c r="I551" s="147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147"/>
      <c r="Y551" s="89"/>
      <c r="Z551" s="89"/>
    </row>
    <row r="552" spans="1:26" ht="12" customHeight="1" x14ac:dyDescent="0.3">
      <c r="A552" s="89"/>
      <c r="B552" s="89"/>
      <c r="C552" s="88"/>
      <c r="D552" s="88"/>
      <c r="E552" s="89"/>
      <c r="F552" s="89"/>
      <c r="H552" s="89"/>
      <c r="I552" s="147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147"/>
      <c r="Y552" s="89"/>
      <c r="Z552" s="89"/>
    </row>
    <row r="553" spans="1:26" ht="12" customHeight="1" x14ac:dyDescent="0.3">
      <c r="A553" s="89"/>
      <c r="B553" s="89"/>
      <c r="C553" s="88"/>
      <c r="D553" s="88"/>
      <c r="E553" s="89"/>
      <c r="F553" s="89"/>
      <c r="H553" s="89"/>
      <c r="I553" s="147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147"/>
      <c r="Y553" s="89"/>
      <c r="Z553" s="89"/>
    </row>
    <row r="554" spans="1:26" ht="12" customHeight="1" x14ac:dyDescent="0.3">
      <c r="A554" s="89"/>
      <c r="B554" s="89"/>
      <c r="C554" s="88"/>
      <c r="D554" s="88"/>
      <c r="E554" s="89"/>
      <c r="F554" s="89"/>
      <c r="H554" s="89"/>
      <c r="I554" s="147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147"/>
      <c r="Y554" s="89"/>
      <c r="Z554" s="89"/>
    </row>
    <row r="555" spans="1:26" ht="12" customHeight="1" x14ac:dyDescent="0.3">
      <c r="A555" s="89"/>
      <c r="B555" s="89"/>
      <c r="C555" s="88"/>
      <c r="D555" s="88"/>
      <c r="E555" s="89"/>
      <c r="F555" s="89"/>
      <c r="H555" s="89"/>
      <c r="I555" s="147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147"/>
      <c r="Y555" s="89"/>
      <c r="Z555" s="89"/>
    </row>
    <row r="556" spans="1:26" ht="12" customHeight="1" x14ac:dyDescent="0.3">
      <c r="A556" s="89"/>
      <c r="B556" s="89"/>
      <c r="C556" s="88"/>
      <c r="D556" s="88"/>
      <c r="E556" s="89"/>
      <c r="F556" s="89"/>
      <c r="H556" s="89"/>
      <c r="I556" s="147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147"/>
      <c r="Y556" s="89"/>
      <c r="Z556" s="89"/>
    </row>
    <row r="557" spans="1:26" ht="12" customHeight="1" x14ac:dyDescent="0.3">
      <c r="A557" s="89"/>
      <c r="B557" s="89"/>
      <c r="C557" s="88"/>
      <c r="D557" s="88"/>
      <c r="E557" s="89"/>
      <c r="F557" s="89"/>
      <c r="H557" s="89"/>
      <c r="I557" s="147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147"/>
      <c r="Y557" s="89"/>
      <c r="Z557" s="89"/>
    </row>
    <row r="558" spans="1:26" ht="12" customHeight="1" x14ac:dyDescent="0.3">
      <c r="A558" s="89"/>
      <c r="B558" s="89"/>
      <c r="C558" s="88"/>
      <c r="D558" s="88"/>
      <c r="E558" s="89"/>
      <c r="F558" s="89"/>
      <c r="H558" s="89"/>
      <c r="I558" s="147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147"/>
      <c r="Y558" s="89"/>
      <c r="Z558" s="89"/>
    </row>
    <row r="559" spans="1:26" ht="12" customHeight="1" x14ac:dyDescent="0.3">
      <c r="A559" s="89"/>
      <c r="B559" s="89"/>
      <c r="C559" s="88"/>
      <c r="D559" s="88"/>
      <c r="E559" s="89"/>
      <c r="F559" s="89"/>
      <c r="H559" s="89"/>
      <c r="I559" s="147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147"/>
      <c r="Y559" s="89"/>
      <c r="Z559" s="89"/>
    </row>
    <row r="560" spans="1:26" ht="12" customHeight="1" x14ac:dyDescent="0.3">
      <c r="A560" s="89"/>
      <c r="B560" s="89"/>
      <c r="C560" s="88"/>
      <c r="D560" s="88"/>
      <c r="E560" s="89"/>
      <c r="F560" s="89"/>
      <c r="H560" s="89"/>
      <c r="I560" s="147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147"/>
      <c r="Y560" s="89"/>
      <c r="Z560" s="89"/>
    </row>
    <row r="561" spans="1:26" ht="12" customHeight="1" x14ac:dyDescent="0.3">
      <c r="A561" s="89"/>
      <c r="B561" s="89"/>
      <c r="C561" s="88"/>
      <c r="D561" s="88"/>
      <c r="E561" s="89"/>
      <c r="F561" s="89"/>
      <c r="H561" s="89"/>
      <c r="I561" s="147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147"/>
      <c r="Y561" s="89"/>
      <c r="Z561" s="89"/>
    </row>
    <row r="562" spans="1:26" ht="12" customHeight="1" x14ac:dyDescent="0.3">
      <c r="A562" s="89"/>
      <c r="B562" s="89"/>
      <c r="C562" s="88"/>
      <c r="D562" s="88"/>
      <c r="E562" s="89"/>
      <c r="F562" s="89"/>
      <c r="H562" s="89"/>
      <c r="I562" s="147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147"/>
      <c r="Y562" s="89"/>
      <c r="Z562" s="89"/>
    </row>
    <row r="563" spans="1:26" ht="12" customHeight="1" x14ac:dyDescent="0.3">
      <c r="A563" s="89"/>
      <c r="B563" s="89"/>
      <c r="C563" s="88"/>
      <c r="D563" s="88"/>
      <c r="E563" s="89"/>
      <c r="F563" s="89"/>
      <c r="H563" s="89"/>
      <c r="I563" s="147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147"/>
      <c r="Y563" s="89"/>
      <c r="Z563" s="89"/>
    </row>
    <row r="564" spans="1:26" ht="12" customHeight="1" x14ac:dyDescent="0.3">
      <c r="A564" s="89"/>
      <c r="B564" s="89"/>
      <c r="C564" s="88"/>
      <c r="D564" s="88"/>
      <c r="E564" s="89"/>
      <c r="F564" s="89"/>
      <c r="H564" s="89"/>
      <c r="I564" s="147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147"/>
      <c r="Y564" s="89"/>
      <c r="Z564" s="89"/>
    </row>
    <row r="565" spans="1:26" ht="12" customHeight="1" x14ac:dyDescent="0.3">
      <c r="A565" s="89"/>
      <c r="B565" s="89"/>
      <c r="C565" s="88"/>
      <c r="D565" s="88"/>
      <c r="E565" s="89"/>
      <c r="F565" s="89"/>
      <c r="H565" s="89"/>
      <c r="I565" s="147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147"/>
      <c r="Y565" s="89"/>
      <c r="Z565" s="89"/>
    </row>
    <row r="566" spans="1:26" ht="12" customHeight="1" x14ac:dyDescent="0.3">
      <c r="A566" s="89"/>
      <c r="B566" s="89"/>
      <c r="C566" s="88"/>
      <c r="D566" s="88"/>
      <c r="E566" s="89"/>
      <c r="F566" s="89"/>
      <c r="H566" s="89"/>
      <c r="I566" s="147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147"/>
      <c r="Y566" s="89"/>
      <c r="Z566" s="89"/>
    </row>
    <row r="567" spans="1:26" ht="12" customHeight="1" x14ac:dyDescent="0.3">
      <c r="A567" s="89"/>
      <c r="B567" s="89"/>
      <c r="C567" s="88"/>
      <c r="D567" s="88"/>
      <c r="E567" s="89"/>
      <c r="F567" s="89"/>
      <c r="H567" s="89"/>
      <c r="I567" s="147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147"/>
      <c r="Y567" s="89"/>
      <c r="Z567" s="89"/>
    </row>
    <row r="568" spans="1:26" ht="12" customHeight="1" x14ac:dyDescent="0.3">
      <c r="A568" s="89"/>
      <c r="B568" s="89"/>
      <c r="C568" s="88"/>
      <c r="D568" s="88"/>
      <c r="E568" s="89"/>
      <c r="F568" s="89"/>
      <c r="H568" s="89"/>
      <c r="I568" s="147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147"/>
      <c r="Y568" s="89"/>
      <c r="Z568" s="89"/>
    </row>
    <row r="569" spans="1:26" ht="12" customHeight="1" x14ac:dyDescent="0.3">
      <c r="A569" s="89"/>
      <c r="B569" s="89"/>
      <c r="C569" s="88"/>
      <c r="D569" s="88"/>
      <c r="E569" s="89"/>
      <c r="F569" s="89"/>
      <c r="H569" s="89"/>
      <c r="I569" s="147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147"/>
      <c r="Y569" s="89"/>
      <c r="Z569" s="89"/>
    </row>
    <row r="570" spans="1:26" ht="12" customHeight="1" x14ac:dyDescent="0.3">
      <c r="A570" s="89"/>
      <c r="B570" s="89"/>
      <c r="C570" s="88"/>
      <c r="D570" s="88"/>
      <c r="E570" s="89"/>
      <c r="F570" s="89"/>
      <c r="H570" s="89"/>
      <c r="I570" s="147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147"/>
      <c r="Y570" s="89"/>
      <c r="Z570" s="89"/>
    </row>
    <row r="571" spans="1:26" ht="12" customHeight="1" x14ac:dyDescent="0.3">
      <c r="A571" s="89"/>
      <c r="B571" s="89"/>
      <c r="C571" s="88"/>
      <c r="D571" s="88"/>
      <c r="E571" s="89"/>
      <c r="F571" s="89"/>
      <c r="H571" s="89"/>
      <c r="I571" s="147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147"/>
      <c r="Y571" s="89"/>
      <c r="Z571" s="89"/>
    </row>
    <row r="572" spans="1:26" ht="12" customHeight="1" x14ac:dyDescent="0.3">
      <c r="A572" s="89"/>
      <c r="B572" s="89"/>
      <c r="C572" s="88"/>
      <c r="D572" s="88"/>
      <c r="E572" s="89"/>
      <c r="F572" s="89"/>
      <c r="H572" s="89"/>
      <c r="I572" s="147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147"/>
      <c r="Y572" s="89"/>
      <c r="Z572" s="89"/>
    </row>
    <row r="573" spans="1:26" ht="12" customHeight="1" x14ac:dyDescent="0.3">
      <c r="A573" s="89"/>
      <c r="B573" s="89"/>
      <c r="C573" s="88"/>
      <c r="D573" s="88"/>
      <c r="E573" s="89"/>
      <c r="F573" s="89"/>
      <c r="H573" s="89"/>
      <c r="I573" s="147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147"/>
      <c r="Y573" s="89"/>
      <c r="Z573" s="89"/>
    </row>
    <row r="574" spans="1:26" ht="12" customHeight="1" x14ac:dyDescent="0.3">
      <c r="A574" s="89"/>
      <c r="B574" s="89"/>
      <c r="C574" s="88"/>
      <c r="D574" s="88"/>
      <c r="E574" s="89"/>
      <c r="F574" s="89"/>
      <c r="H574" s="89"/>
      <c r="I574" s="147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147"/>
      <c r="Y574" s="89"/>
      <c r="Z574" s="89"/>
    </row>
    <row r="575" spans="1:26" ht="12" customHeight="1" x14ac:dyDescent="0.3">
      <c r="A575" s="89"/>
      <c r="B575" s="89"/>
      <c r="C575" s="88"/>
      <c r="D575" s="88"/>
      <c r="E575" s="89"/>
      <c r="F575" s="89"/>
      <c r="H575" s="89"/>
      <c r="I575" s="147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147"/>
      <c r="Y575" s="89"/>
      <c r="Z575" s="89"/>
    </row>
    <row r="576" spans="1:26" ht="12" customHeight="1" x14ac:dyDescent="0.3">
      <c r="A576" s="89"/>
      <c r="B576" s="89"/>
      <c r="C576" s="88"/>
      <c r="D576" s="88"/>
      <c r="E576" s="89"/>
      <c r="F576" s="89"/>
      <c r="H576" s="89"/>
      <c r="I576" s="147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147"/>
      <c r="Y576" s="89"/>
      <c r="Z576" s="89"/>
    </row>
    <row r="577" spans="1:26" ht="12" customHeight="1" x14ac:dyDescent="0.3">
      <c r="A577" s="89"/>
      <c r="B577" s="89"/>
      <c r="C577" s="88"/>
      <c r="D577" s="88"/>
      <c r="E577" s="89"/>
      <c r="F577" s="89"/>
      <c r="H577" s="89"/>
      <c r="I577" s="147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147"/>
      <c r="Y577" s="89"/>
      <c r="Z577" s="89"/>
    </row>
    <row r="578" spans="1:26" ht="12" customHeight="1" x14ac:dyDescent="0.3">
      <c r="A578" s="89"/>
      <c r="B578" s="89"/>
      <c r="C578" s="88"/>
      <c r="D578" s="88"/>
      <c r="E578" s="89"/>
      <c r="F578" s="89"/>
      <c r="H578" s="89"/>
      <c r="I578" s="147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147"/>
      <c r="Y578" s="89"/>
      <c r="Z578" s="89"/>
    </row>
    <row r="579" spans="1:26" ht="12" customHeight="1" x14ac:dyDescent="0.3">
      <c r="A579" s="89"/>
      <c r="B579" s="89"/>
      <c r="C579" s="88"/>
      <c r="D579" s="88"/>
      <c r="E579" s="89"/>
      <c r="F579" s="89"/>
      <c r="H579" s="89"/>
      <c r="I579" s="147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147"/>
      <c r="Y579" s="89"/>
      <c r="Z579" s="89"/>
    </row>
    <row r="580" spans="1:26" ht="12" customHeight="1" x14ac:dyDescent="0.3">
      <c r="A580" s="89"/>
      <c r="B580" s="89"/>
      <c r="C580" s="88"/>
      <c r="D580" s="88"/>
      <c r="E580" s="89"/>
      <c r="F580" s="89"/>
      <c r="H580" s="89"/>
      <c r="I580" s="147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147"/>
      <c r="Y580" s="89"/>
      <c r="Z580" s="89"/>
    </row>
    <row r="581" spans="1:26" ht="12" customHeight="1" x14ac:dyDescent="0.3">
      <c r="A581" s="89"/>
      <c r="B581" s="89"/>
      <c r="C581" s="88"/>
      <c r="D581" s="88"/>
      <c r="E581" s="89"/>
      <c r="F581" s="89"/>
      <c r="H581" s="89"/>
      <c r="I581" s="147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147"/>
      <c r="Y581" s="89"/>
      <c r="Z581" s="89"/>
    </row>
    <row r="582" spans="1:26" ht="12" customHeight="1" x14ac:dyDescent="0.3">
      <c r="A582" s="89"/>
      <c r="B582" s="89"/>
      <c r="C582" s="88"/>
      <c r="D582" s="88"/>
      <c r="E582" s="89"/>
      <c r="F582" s="89"/>
      <c r="H582" s="89"/>
      <c r="I582" s="147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147"/>
      <c r="Y582" s="89"/>
      <c r="Z582" s="89"/>
    </row>
    <row r="583" spans="1:26" ht="12" customHeight="1" x14ac:dyDescent="0.3">
      <c r="A583" s="89"/>
      <c r="B583" s="89"/>
      <c r="C583" s="88"/>
      <c r="D583" s="88"/>
      <c r="E583" s="89"/>
      <c r="F583" s="89"/>
      <c r="H583" s="89"/>
      <c r="I583" s="147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147"/>
      <c r="Y583" s="89"/>
      <c r="Z583" s="89"/>
    </row>
    <row r="584" spans="1:26" ht="12" customHeight="1" x14ac:dyDescent="0.3">
      <c r="A584" s="89"/>
      <c r="B584" s="89"/>
      <c r="C584" s="88"/>
      <c r="D584" s="88"/>
      <c r="E584" s="89"/>
      <c r="F584" s="89"/>
      <c r="H584" s="89"/>
      <c r="I584" s="147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147"/>
      <c r="Y584" s="89"/>
      <c r="Z584" s="89"/>
    </row>
    <row r="585" spans="1:26" ht="12" customHeight="1" x14ac:dyDescent="0.3">
      <c r="A585" s="89"/>
      <c r="B585" s="89"/>
      <c r="C585" s="88"/>
      <c r="D585" s="88"/>
      <c r="E585" s="89"/>
      <c r="F585" s="89"/>
      <c r="H585" s="89"/>
      <c r="I585" s="147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147"/>
      <c r="Y585" s="89"/>
      <c r="Z585" s="89"/>
    </row>
    <row r="586" spans="1:26" ht="12" customHeight="1" x14ac:dyDescent="0.3">
      <c r="A586" s="89"/>
      <c r="B586" s="89"/>
      <c r="C586" s="88"/>
      <c r="D586" s="88"/>
      <c r="E586" s="89"/>
      <c r="F586" s="89"/>
      <c r="H586" s="89"/>
      <c r="I586" s="147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147"/>
      <c r="Y586" s="89"/>
      <c r="Z586" s="89"/>
    </row>
    <row r="587" spans="1:26" ht="12" customHeight="1" x14ac:dyDescent="0.3">
      <c r="A587" s="89"/>
      <c r="B587" s="89"/>
      <c r="C587" s="88"/>
      <c r="D587" s="88"/>
      <c r="E587" s="89"/>
      <c r="F587" s="89"/>
      <c r="H587" s="89"/>
      <c r="I587" s="147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147"/>
      <c r="Y587" s="89"/>
      <c r="Z587" s="89"/>
    </row>
    <row r="588" spans="1:26" ht="12" customHeight="1" x14ac:dyDescent="0.3">
      <c r="A588" s="89"/>
      <c r="B588" s="89"/>
      <c r="C588" s="88"/>
      <c r="D588" s="88"/>
      <c r="E588" s="89"/>
      <c r="F588" s="89"/>
      <c r="H588" s="89"/>
      <c r="I588" s="147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147"/>
      <c r="Y588" s="89"/>
      <c r="Z588" s="89"/>
    </row>
    <row r="589" spans="1:26" ht="12" customHeight="1" x14ac:dyDescent="0.3">
      <c r="A589" s="89"/>
      <c r="B589" s="89"/>
      <c r="C589" s="88"/>
      <c r="D589" s="88"/>
      <c r="E589" s="89"/>
      <c r="F589" s="89"/>
      <c r="H589" s="89"/>
      <c r="I589" s="147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147"/>
      <c r="Y589" s="89"/>
      <c r="Z589" s="89"/>
    </row>
    <row r="590" spans="1:26" ht="12" customHeight="1" x14ac:dyDescent="0.3">
      <c r="A590" s="89"/>
      <c r="B590" s="89"/>
      <c r="C590" s="88"/>
      <c r="D590" s="88"/>
      <c r="E590" s="89"/>
      <c r="F590" s="89"/>
      <c r="H590" s="89"/>
      <c r="I590" s="147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147"/>
      <c r="Y590" s="89"/>
      <c r="Z590" s="89"/>
    </row>
    <row r="591" spans="1:26" ht="12" customHeight="1" x14ac:dyDescent="0.3">
      <c r="A591" s="89"/>
      <c r="B591" s="89"/>
      <c r="C591" s="88"/>
      <c r="D591" s="88"/>
      <c r="E591" s="89"/>
      <c r="F591" s="89"/>
      <c r="H591" s="89"/>
      <c r="I591" s="147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147"/>
      <c r="Y591" s="89"/>
      <c r="Z591" s="89"/>
    </row>
    <row r="592" spans="1:26" ht="12" customHeight="1" x14ac:dyDescent="0.3">
      <c r="A592" s="89"/>
      <c r="B592" s="89"/>
      <c r="C592" s="88"/>
      <c r="D592" s="88"/>
      <c r="E592" s="89"/>
      <c r="F592" s="89"/>
      <c r="H592" s="89"/>
      <c r="I592" s="147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147"/>
      <c r="Y592" s="89"/>
      <c r="Z592" s="89"/>
    </row>
    <row r="593" spans="1:26" ht="12" customHeight="1" x14ac:dyDescent="0.3">
      <c r="A593" s="89"/>
      <c r="B593" s="89"/>
      <c r="C593" s="88"/>
      <c r="D593" s="88"/>
      <c r="E593" s="89"/>
      <c r="F593" s="89"/>
      <c r="H593" s="89"/>
      <c r="I593" s="147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147"/>
      <c r="Y593" s="89"/>
      <c r="Z593" s="89"/>
    </row>
    <row r="594" spans="1:26" ht="12" customHeight="1" x14ac:dyDescent="0.3">
      <c r="A594" s="89"/>
      <c r="B594" s="89"/>
      <c r="C594" s="88"/>
      <c r="D594" s="88"/>
      <c r="E594" s="89"/>
      <c r="F594" s="89"/>
      <c r="H594" s="89"/>
      <c r="I594" s="147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147"/>
      <c r="Y594" s="89"/>
      <c r="Z594" s="89"/>
    </row>
    <row r="595" spans="1:26" ht="12" customHeight="1" x14ac:dyDescent="0.3">
      <c r="A595" s="89"/>
      <c r="B595" s="89"/>
      <c r="C595" s="88"/>
      <c r="D595" s="88"/>
      <c r="E595" s="89"/>
      <c r="F595" s="89"/>
      <c r="H595" s="89"/>
      <c r="I595" s="147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147"/>
      <c r="Y595" s="89"/>
      <c r="Z595" s="89"/>
    </row>
    <row r="596" spans="1:26" ht="12" customHeight="1" x14ac:dyDescent="0.3">
      <c r="A596" s="89"/>
      <c r="B596" s="89"/>
      <c r="C596" s="88"/>
      <c r="D596" s="88"/>
      <c r="E596" s="89"/>
      <c r="F596" s="89"/>
      <c r="H596" s="89"/>
      <c r="I596" s="147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147"/>
      <c r="Y596" s="89"/>
      <c r="Z596" s="89"/>
    </row>
    <row r="597" spans="1:26" ht="12" customHeight="1" x14ac:dyDescent="0.3">
      <c r="A597" s="89"/>
      <c r="B597" s="89"/>
      <c r="C597" s="88"/>
      <c r="D597" s="88"/>
      <c r="E597" s="89"/>
      <c r="F597" s="89"/>
      <c r="H597" s="89"/>
      <c r="I597" s="147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147"/>
      <c r="Y597" s="89"/>
      <c r="Z597" s="89"/>
    </row>
    <row r="598" spans="1:26" ht="12" customHeight="1" x14ac:dyDescent="0.3">
      <c r="A598" s="89"/>
      <c r="B598" s="89"/>
      <c r="C598" s="88"/>
      <c r="D598" s="88"/>
      <c r="E598" s="89"/>
      <c r="F598" s="89"/>
      <c r="H598" s="89"/>
      <c r="I598" s="147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147"/>
      <c r="Y598" s="89"/>
      <c r="Z598" s="89"/>
    </row>
    <row r="599" spans="1:26" ht="12" customHeight="1" x14ac:dyDescent="0.3">
      <c r="A599" s="89"/>
      <c r="B599" s="89"/>
      <c r="C599" s="88"/>
      <c r="D599" s="88"/>
      <c r="E599" s="89"/>
      <c r="F599" s="89"/>
      <c r="H599" s="89"/>
      <c r="I599" s="147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147"/>
      <c r="Y599" s="89"/>
      <c r="Z599" s="89"/>
    </row>
    <row r="600" spans="1:26" ht="12" customHeight="1" x14ac:dyDescent="0.3">
      <c r="A600" s="89"/>
      <c r="B600" s="89"/>
      <c r="C600" s="88"/>
      <c r="D600" s="88"/>
      <c r="E600" s="89"/>
      <c r="F600" s="89"/>
      <c r="H600" s="89"/>
      <c r="I600" s="147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147"/>
      <c r="Y600" s="89"/>
      <c r="Z600" s="89"/>
    </row>
    <row r="601" spans="1:26" ht="12" customHeight="1" x14ac:dyDescent="0.3">
      <c r="A601" s="89"/>
      <c r="B601" s="89"/>
      <c r="C601" s="88"/>
      <c r="D601" s="88"/>
      <c r="E601" s="89"/>
      <c r="F601" s="89"/>
      <c r="H601" s="89"/>
      <c r="I601" s="147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147"/>
      <c r="Y601" s="89"/>
      <c r="Z601" s="89"/>
    </row>
    <row r="602" spans="1:26" ht="12" customHeight="1" x14ac:dyDescent="0.3">
      <c r="A602" s="89"/>
      <c r="B602" s="89"/>
      <c r="C602" s="88"/>
      <c r="D602" s="88"/>
      <c r="E602" s="89"/>
      <c r="F602" s="89"/>
      <c r="H602" s="89"/>
      <c r="I602" s="147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147"/>
      <c r="Y602" s="89"/>
      <c r="Z602" s="89"/>
    </row>
    <row r="603" spans="1:26" ht="12" customHeight="1" x14ac:dyDescent="0.3">
      <c r="A603" s="89"/>
      <c r="B603" s="89"/>
      <c r="C603" s="88"/>
      <c r="D603" s="88"/>
      <c r="E603" s="89"/>
      <c r="F603" s="89"/>
      <c r="H603" s="89"/>
      <c r="I603" s="147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147"/>
      <c r="Y603" s="89"/>
      <c r="Z603" s="89"/>
    </row>
    <row r="604" spans="1:26" ht="12" customHeight="1" x14ac:dyDescent="0.3">
      <c r="A604" s="89"/>
      <c r="B604" s="89"/>
      <c r="C604" s="88"/>
      <c r="D604" s="88"/>
      <c r="E604" s="89"/>
      <c r="F604" s="89"/>
      <c r="H604" s="89"/>
      <c r="I604" s="147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147"/>
      <c r="Y604" s="89"/>
      <c r="Z604" s="89"/>
    </row>
    <row r="605" spans="1:26" ht="12" customHeight="1" x14ac:dyDescent="0.3">
      <c r="A605" s="89"/>
      <c r="B605" s="89"/>
      <c r="C605" s="88"/>
      <c r="D605" s="88"/>
      <c r="E605" s="89"/>
      <c r="F605" s="89"/>
      <c r="H605" s="89"/>
      <c r="I605" s="147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147"/>
      <c r="Y605" s="89"/>
      <c r="Z605" s="89"/>
    </row>
    <row r="606" spans="1:26" ht="15" customHeight="1" x14ac:dyDescent="0.3">
      <c r="A606" s="89"/>
      <c r="B606" s="89"/>
      <c r="C606" s="88"/>
      <c r="D606" s="88"/>
      <c r="E606" s="89"/>
      <c r="F606" s="89"/>
      <c r="H606" s="89"/>
      <c r="I606" s="147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147"/>
      <c r="Y606" s="89"/>
      <c r="Z606" s="89"/>
    </row>
    <row r="607" spans="1:26" ht="15" customHeight="1" x14ac:dyDescent="0.3">
      <c r="A607" s="89"/>
      <c r="B607" s="89"/>
      <c r="C607" s="88"/>
      <c r="D607" s="88"/>
      <c r="E607" s="89"/>
      <c r="F607" s="89"/>
      <c r="H607" s="89"/>
      <c r="I607" s="147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147"/>
      <c r="Y607" s="89"/>
      <c r="Z607" s="89"/>
    </row>
    <row r="608" spans="1:26" ht="15" customHeight="1" x14ac:dyDescent="0.3">
      <c r="A608" s="89"/>
      <c r="B608" s="89"/>
      <c r="C608" s="88"/>
      <c r="D608" s="88"/>
      <c r="E608" s="89"/>
      <c r="F608" s="89"/>
      <c r="H608" s="89"/>
      <c r="I608" s="147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147"/>
      <c r="Y608" s="89"/>
      <c r="Z608" s="89"/>
    </row>
    <row r="609" spans="1:26" ht="15" customHeight="1" x14ac:dyDescent="0.3">
      <c r="A609" s="89"/>
      <c r="B609" s="89"/>
      <c r="C609" s="88"/>
      <c r="D609" s="88"/>
      <c r="E609" s="89"/>
      <c r="F609" s="89"/>
      <c r="H609" s="89"/>
      <c r="I609" s="147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147"/>
      <c r="Y609" s="89"/>
      <c r="Z609" s="89"/>
    </row>
    <row r="610" spans="1:26" ht="15" customHeight="1" x14ac:dyDescent="0.3">
      <c r="A610" s="89"/>
      <c r="B610" s="89"/>
      <c r="C610" s="88"/>
      <c r="D610" s="88"/>
      <c r="E610" s="89"/>
      <c r="F610" s="89"/>
      <c r="H610" s="89"/>
      <c r="I610" s="147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147"/>
      <c r="Y610" s="89"/>
      <c r="Z610" s="89"/>
    </row>
    <row r="611" spans="1:26" ht="15" customHeight="1" x14ac:dyDescent="0.3">
      <c r="A611" s="89"/>
      <c r="B611" s="89"/>
      <c r="C611" s="88"/>
      <c r="D611" s="88"/>
      <c r="E611" s="89"/>
      <c r="F611" s="89"/>
      <c r="H611" s="89"/>
      <c r="I611" s="147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147"/>
      <c r="Y611" s="89"/>
      <c r="Z611" s="89"/>
    </row>
    <row r="612" spans="1:26" ht="15" customHeight="1" x14ac:dyDescent="0.3">
      <c r="A612" s="89"/>
      <c r="B612" s="89"/>
      <c r="C612" s="88"/>
      <c r="D612" s="88"/>
      <c r="E612" s="89"/>
      <c r="F612" s="89"/>
      <c r="H612" s="89"/>
      <c r="I612" s="147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147"/>
      <c r="Y612" s="89"/>
      <c r="Z612" s="89"/>
    </row>
    <row r="613" spans="1:26" ht="15" customHeight="1" x14ac:dyDescent="0.3">
      <c r="A613" s="89"/>
      <c r="B613" s="89"/>
      <c r="C613" s="88"/>
      <c r="D613" s="88"/>
      <c r="E613" s="89"/>
      <c r="F613" s="89"/>
      <c r="H613" s="89"/>
      <c r="I613" s="147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147"/>
      <c r="Y613" s="89"/>
      <c r="Z613" s="89"/>
    </row>
    <row r="614" spans="1:26" ht="15" customHeight="1" x14ac:dyDescent="0.3">
      <c r="A614" s="89"/>
      <c r="B614" s="89"/>
      <c r="C614" s="88"/>
      <c r="D614" s="88"/>
      <c r="E614" s="89"/>
      <c r="F614" s="89"/>
      <c r="H614" s="89"/>
      <c r="I614" s="147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147"/>
      <c r="Y614" s="89"/>
      <c r="Z614" s="89"/>
    </row>
    <row r="615" spans="1:26" ht="15" customHeight="1" x14ac:dyDescent="0.3">
      <c r="A615" s="89"/>
      <c r="B615" s="89"/>
      <c r="C615" s="88"/>
      <c r="D615" s="88"/>
      <c r="E615" s="89"/>
      <c r="F615" s="89"/>
      <c r="H615" s="89"/>
      <c r="I615" s="147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147"/>
      <c r="Y615" s="89"/>
      <c r="Z615" s="89"/>
    </row>
    <row r="616" spans="1:26" ht="15" customHeight="1" x14ac:dyDescent="0.3">
      <c r="A616" s="89"/>
      <c r="B616" s="89"/>
      <c r="C616" s="88"/>
      <c r="D616" s="88"/>
      <c r="E616" s="89"/>
      <c r="F616" s="89"/>
      <c r="H616" s="89"/>
      <c r="I616" s="147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147"/>
      <c r="Y616" s="89"/>
      <c r="Z616" s="89"/>
    </row>
    <row r="617" spans="1:26" ht="15" customHeight="1" x14ac:dyDescent="0.3">
      <c r="A617" s="89"/>
      <c r="B617" s="89"/>
      <c r="C617" s="88"/>
      <c r="D617" s="88"/>
      <c r="E617" s="89"/>
      <c r="F617" s="89"/>
      <c r="H617" s="89"/>
      <c r="I617" s="147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147"/>
      <c r="Y617" s="89"/>
      <c r="Z617" s="89"/>
    </row>
    <row r="618" spans="1:26" ht="15" customHeight="1" x14ac:dyDescent="0.3">
      <c r="A618" s="89"/>
      <c r="B618" s="89"/>
      <c r="C618" s="88"/>
      <c r="D618" s="88"/>
      <c r="E618" s="89"/>
      <c r="F618" s="89"/>
      <c r="H618" s="89"/>
      <c r="I618" s="147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147"/>
      <c r="Y618" s="89"/>
      <c r="Z618" s="89"/>
    </row>
    <row r="619" spans="1:26" ht="15" customHeight="1" x14ac:dyDescent="0.3">
      <c r="A619" s="89"/>
      <c r="B619" s="89"/>
      <c r="C619" s="88"/>
      <c r="D619" s="88"/>
      <c r="E619" s="89"/>
      <c r="F619" s="89"/>
      <c r="H619" s="89"/>
      <c r="I619" s="147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147"/>
      <c r="Y619" s="89"/>
      <c r="Z619" s="89"/>
    </row>
    <row r="620" spans="1:26" ht="15" customHeight="1" x14ac:dyDescent="0.3">
      <c r="A620" s="89"/>
      <c r="B620" s="89"/>
      <c r="C620" s="88"/>
      <c r="D620" s="88"/>
      <c r="E620" s="89"/>
      <c r="F620" s="89"/>
      <c r="H620" s="89"/>
      <c r="I620" s="147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147"/>
      <c r="Y620" s="89"/>
      <c r="Z620" s="89"/>
    </row>
    <row r="621" spans="1:26" ht="15" customHeight="1" x14ac:dyDescent="0.3">
      <c r="A621" s="89"/>
      <c r="B621" s="89"/>
      <c r="C621" s="88"/>
      <c r="D621" s="88"/>
      <c r="E621" s="89"/>
      <c r="F621" s="89"/>
      <c r="H621" s="89"/>
      <c r="I621" s="147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147"/>
      <c r="Y621" s="89"/>
      <c r="Z621" s="89"/>
    </row>
    <row r="622" spans="1:26" ht="15" customHeight="1" x14ac:dyDescent="0.3">
      <c r="A622" s="89"/>
      <c r="B622" s="89"/>
      <c r="C622" s="88"/>
      <c r="D622" s="88"/>
      <c r="E622" s="89"/>
      <c r="F622" s="89"/>
      <c r="H622" s="89"/>
      <c r="I622" s="147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147"/>
      <c r="Y622" s="89"/>
      <c r="Z622" s="89"/>
    </row>
    <row r="623" spans="1:26" ht="15" customHeight="1" x14ac:dyDescent="0.3">
      <c r="A623" s="89"/>
      <c r="B623" s="89"/>
      <c r="C623" s="88"/>
      <c r="D623" s="88"/>
      <c r="E623" s="89"/>
      <c r="F623" s="89"/>
      <c r="H623" s="89"/>
      <c r="I623" s="147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147"/>
      <c r="Y623" s="89"/>
      <c r="Z623" s="89"/>
    </row>
    <row r="624" spans="1:26" ht="15" customHeight="1" x14ac:dyDescent="0.3">
      <c r="A624" s="89"/>
      <c r="B624" s="89"/>
      <c r="C624" s="88"/>
      <c r="D624" s="88"/>
      <c r="E624" s="89"/>
      <c r="F624" s="89"/>
      <c r="H624" s="89"/>
      <c r="I624" s="147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147"/>
      <c r="Y624" s="89"/>
      <c r="Z624" s="89"/>
    </row>
    <row r="625" spans="1:26" ht="15" customHeight="1" x14ac:dyDescent="0.3">
      <c r="A625" s="89"/>
      <c r="B625" s="89"/>
      <c r="C625" s="88"/>
      <c r="D625" s="88"/>
      <c r="E625" s="89"/>
      <c r="F625" s="89"/>
      <c r="H625" s="89"/>
      <c r="I625" s="147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147"/>
      <c r="Y625" s="89"/>
      <c r="Z625" s="89"/>
    </row>
    <row r="626" spans="1:26" ht="15" customHeight="1" x14ac:dyDescent="0.3">
      <c r="A626" s="89"/>
      <c r="B626" s="89"/>
      <c r="C626" s="88"/>
      <c r="D626" s="88"/>
      <c r="E626" s="89"/>
      <c r="F626" s="89"/>
      <c r="H626" s="89"/>
      <c r="I626" s="147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147"/>
      <c r="Y626" s="89"/>
      <c r="Z626" s="89"/>
    </row>
    <row r="627" spans="1:26" ht="15" customHeight="1" x14ac:dyDescent="0.3">
      <c r="A627" s="89"/>
      <c r="B627" s="89"/>
      <c r="C627" s="88"/>
      <c r="D627" s="88"/>
      <c r="E627" s="89"/>
      <c r="F627" s="89"/>
      <c r="H627" s="89"/>
      <c r="I627" s="147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147"/>
      <c r="Y627" s="89"/>
      <c r="Z627" s="89"/>
    </row>
    <row r="628" spans="1:26" ht="15" customHeight="1" x14ac:dyDescent="0.3">
      <c r="A628" s="89"/>
      <c r="B628" s="89"/>
      <c r="C628" s="88"/>
      <c r="D628" s="88"/>
      <c r="E628" s="89"/>
      <c r="F628" s="89"/>
      <c r="H628" s="89"/>
      <c r="I628" s="147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147"/>
      <c r="Y628" s="89"/>
      <c r="Z628" s="89"/>
    </row>
    <row r="629" spans="1:26" ht="15" customHeight="1" x14ac:dyDescent="0.3">
      <c r="A629" s="89"/>
      <c r="B629" s="89"/>
      <c r="C629" s="88"/>
      <c r="D629" s="88"/>
      <c r="E629" s="89"/>
      <c r="F629" s="89"/>
      <c r="H629" s="89"/>
      <c r="I629" s="147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147"/>
      <c r="Y629" s="89"/>
      <c r="Z629" s="89"/>
    </row>
    <row r="630" spans="1:26" ht="15" customHeight="1" x14ac:dyDescent="0.3">
      <c r="A630" s="89"/>
      <c r="B630" s="89"/>
      <c r="C630" s="88"/>
      <c r="D630" s="88"/>
      <c r="E630" s="89"/>
      <c r="F630" s="89"/>
      <c r="H630" s="89"/>
      <c r="I630" s="147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147"/>
      <c r="Y630" s="89"/>
      <c r="Z630" s="89"/>
    </row>
  </sheetData>
  <mergeCells count="2">
    <mergeCell ref="H38:I38"/>
    <mergeCell ref="J38:K38"/>
  </mergeCells>
  <phoneticPr fontId="37" type="noConversion"/>
  <conditionalFormatting sqref="A31">
    <cfRule type="duplicateValues" dxfId="13" priority="49"/>
    <cfRule type="duplicateValues" dxfId="12" priority="50"/>
    <cfRule type="duplicateValues" dxfId="11" priority="51"/>
  </conditionalFormatting>
  <conditionalFormatting sqref="A32:A33">
    <cfRule type="duplicateValues" dxfId="10" priority="46"/>
    <cfRule type="duplicateValues" dxfId="9" priority="47"/>
    <cfRule type="duplicateValues" dxfId="8" priority="48"/>
  </conditionalFormatting>
  <conditionalFormatting sqref="A34:A1048576 A1">
    <cfRule type="duplicateValues" dxfId="7" priority="802"/>
  </conditionalFormatting>
  <conditionalFormatting sqref="C8:C14 C17:C25">
    <cfRule type="duplicateValues" dxfId="6" priority="1"/>
    <cfRule type="duplicateValues" dxfId="5" priority="2"/>
    <cfRule type="duplicateValues" dxfId="4" priority="3"/>
  </conditionalFormatting>
  <conditionalFormatting sqref="G39:G42 F38">
    <cfRule type="duplicateValues" dxfId="3" priority="801"/>
  </conditionalFormatting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Base!$N$3:$N$10</xm:f>
          </x14:formula1>
          <xm:sqref>F1</xm:sqref>
        </x14:dataValidation>
        <x14:dataValidation type="list" allowBlank="1" showErrorMessage="1" xr:uid="{00000000-0002-0000-0200-000001000000}">
          <x14:formula1>
            <xm:f>Base!$N$3:$N$4</xm:f>
          </x14:formula1>
          <xm:sqref>E34</xm:sqref>
        </x14:dataValidation>
        <x14:dataValidation type="list" allowBlank="1" showErrorMessage="1" xr:uid="{00000000-0002-0000-0200-000004000000}">
          <x14:formula1>
            <xm:f>Combos!$B$3:$B$9</xm:f>
          </x14:formula1>
          <xm:sqref>O34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AC1004"/>
  <sheetViews>
    <sheetView showGridLines="0" topLeftCell="B9" zoomScale="90" zoomScaleNormal="90" workbookViewId="0">
      <selection activeCell="F2" sqref="F2"/>
    </sheetView>
  </sheetViews>
  <sheetFormatPr defaultColWidth="14.44140625" defaultRowHeight="15" customHeight="1" x14ac:dyDescent="0.3"/>
  <cols>
    <col min="1" max="1" width="12" customWidth="1"/>
    <col min="2" max="2" width="15.44140625" style="2" customWidth="1"/>
    <col min="3" max="3" width="10.6640625" customWidth="1"/>
    <col min="4" max="4" width="16.33203125" customWidth="1"/>
    <col min="5" max="5" width="10.44140625" customWidth="1"/>
    <col min="6" max="6" width="9.33203125" customWidth="1"/>
    <col min="7" max="7" width="5.44140625" customWidth="1"/>
    <col min="8" max="8" width="16.5546875" bestFit="1" customWidth="1"/>
    <col min="9" max="9" width="10.88671875" customWidth="1"/>
    <col min="10" max="10" width="11.33203125" customWidth="1"/>
    <col min="11" max="11" width="18.109375" customWidth="1"/>
    <col min="12" max="12" width="11" customWidth="1"/>
    <col min="13" max="13" width="24.44140625" style="2" customWidth="1"/>
    <col min="14" max="14" width="22.33203125" style="4" bestFit="1" customWidth="1"/>
    <col min="15" max="17" width="23.5546875" bestFit="1" customWidth="1"/>
    <col min="18" max="18" width="18" bestFit="1" customWidth="1"/>
    <col min="19" max="19" width="16.6640625" bestFit="1" customWidth="1"/>
    <col min="20" max="20" width="19.88671875" customWidth="1"/>
    <col min="21" max="21" width="22.44140625" style="170" customWidth="1"/>
    <col min="22" max="22" width="7.33203125" customWidth="1"/>
    <col min="23" max="23" width="13.88671875" bestFit="1" customWidth="1"/>
    <col min="24" max="24" width="13.6640625" customWidth="1"/>
    <col min="25" max="25" width="30.109375" style="2" customWidth="1"/>
    <col min="26" max="26" width="24.44140625" customWidth="1"/>
    <col min="27" max="29" width="8.6640625" customWidth="1"/>
  </cols>
  <sheetData>
    <row r="1" spans="1:29" s="121" customFormat="1" ht="53.25" customHeight="1" x14ac:dyDescent="0.3">
      <c r="A1" s="116" t="s">
        <v>116</v>
      </c>
      <c r="B1" s="116" t="s">
        <v>2542</v>
      </c>
      <c r="C1" s="116" t="s">
        <v>122</v>
      </c>
      <c r="D1" s="116" t="s">
        <v>168</v>
      </c>
      <c r="E1" s="116" t="s">
        <v>169</v>
      </c>
      <c r="F1" s="116" t="s">
        <v>170</v>
      </c>
      <c r="G1" s="117" t="s">
        <v>171</v>
      </c>
      <c r="H1" s="116" t="s">
        <v>172</v>
      </c>
      <c r="I1" s="116" t="s">
        <v>173</v>
      </c>
      <c r="J1" s="116" t="s">
        <v>174</v>
      </c>
      <c r="K1" s="118" t="s">
        <v>175</v>
      </c>
      <c r="L1" s="116" t="s">
        <v>176</v>
      </c>
      <c r="M1" s="116" t="s">
        <v>2604</v>
      </c>
      <c r="N1" s="116" t="s">
        <v>177</v>
      </c>
      <c r="O1" s="116" t="s">
        <v>178</v>
      </c>
      <c r="P1" s="116" t="s">
        <v>287</v>
      </c>
      <c r="Q1" s="116" t="s">
        <v>288</v>
      </c>
      <c r="R1" s="116" t="s">
        <v>179</v>
      </c>
      <c r="S1" s="116" t="s">
        <v>289</v>
      </c>
      <c r="T1" s="116" t="s">
        <v>180</v>
      </c>
      <c r="U1" s="221" t="s">
        <v>181</v>
      </c>
      <c r="V1" s="119" t="s">
        <v>182</v>
      </c>
      <c r="W1" s="119" t="s">
        <v>183</v>
      </c>
      <c r="X1" s="119" t="s">
        <v>184</v>
      </c>
      <c r="Y1" s="119" t="s">
        <v>125</v>
      </c>
      <c r="Z1" s="120" t="s">
        <v>120</v>
      </c>
      <c r="AA1" s="119"/>
      <c r="AB1" s="119"/>
      <c r="AC1" s="119"/>
    </row>
    <row r="2" spans="1:29" s="2" customFormat="1" ht="159" customHeight="1" x14ac:dyDescent="0.3">
      <c r="A2" s="107" t="s">
        <v>2602</v>
      </c>
      <c r="B2" s="211" t="s">
        <v>2603</v>
      </c>
      <c r="C2" s="140" t="s">
        <v>142</v>
      </c>
      <c r="D2" s="146">
        <v>46163</v>
      </c>
      <c r="E2" s="180" t="s">
        <v>2586</v>
      </c>
      <c r="F2" s="180" t="s">
        <v>187</v>
      </c>
      <c r="G2" s="180" t="s">
        <v>2587</v>
      </c>
      <c r="H2" s="146">
        <v>46164</v>
      </c>
      <c r="I2" s="146"/>
      <c r="J2" s="146"/>
      <c r="K2" s="146">
        <v>46206</v>
      </c>
      <c r="L2" s="180" t="s">
        <v>187</v>
      </c>
      <c r="M2" s="212" t="s">
        <v>2605</v>
      </c>
      <c r="N2" s="213" t="s">
        <v>2606</v>
      </c>
      <c r="O2" s="180">
        <v>3</v>
      </c>
      <c r="P2" s="140">
        <v>3</v>
      </c>
      <c r="Q2" s="140">
        <v>3</v>
      </c>
      <c r="R2" s="180">
        <v>486</v>
      </c>
      <c r="S2" s="174">
        <f>Table_3[[#This Row],[Qtd de Imagens]]*Table_3[[#This Row],[FC]]</f>
        <v>486</v>
      </c>
      <c r="T2" s="180" t="s">
        <v>2607</v>
      </c>
      <c r="U2" s="180" t="s">
        <v>2588</v>
      </c>
      <c r="V2" s="180">
        <v>1</v>
      </c>
      <c r="W2" s="180" t="s">
        <v>187</v>
      </c>
      <c r="X2" s="180">
        <v>0</v>
      </c>
      <c r="Y2" s="216" t="s">
        <v>2608</v>
      </c>
      <c r="Z2" s="140" t="s">
        <v>2589</v>
      </c>
      <c r="AA2" s="89"/>
      <c r="AB2" s="89"/>
      <c r="AC2" s="89"/>
    </row>
    <row r="3" spans="1:29" ht="107.25" customHeight="1" x14ac:dyDescent="0.3">
      <c r="A3" s="107" t="s">
        <v>2609</v>
      </c>
      <c r="B3" s="211" t="s">
        <v>2589</v>
      </c>
      <c r="C3" s="140" t="s">
        <v>142</v>
      </c>
      <c r="D3" s="146">
        <v>46189</v>
      </c>
      <c r="E3" s="180" t="s">
        <v>2586</v>
      </c>
      <c r="F3" s="180" t="s">
        <v>236</v>
      </c>
      <c r="G3" s="180" t="s">
        <v>2587</v>
      </c>
      <c r="H3" s="146">
        <v>46190</v>
      </c>
      <c r="I3" s="146"/>
      <c r="J3" s="146"/>
      <c r="K3" s="146">
        <v>46206</v>
      </c>
      <c r="L3" s="180" t="s">
        <v>236</v>
      </c>
      <c r="M3" s="212" t="s">
        <v>2610</v>
      </c>
      <c r="N3" s="213" t="s">
        <v>2665</v>
      </c>
      <c r="O3" s="180">
        <v>159</v>
      </c>
      <c r="P3" s="140">
        <v>159</v>
      </c>
      <c r="Q3" s="140">
        <v>159</v>
      </c>
      <c r="R3" s="180">
        <v>13909</v>
      </c>
      <c r="S3" s="174">
        <f>Table_3[[#This Row],[Qtd de Imagens]]*Table_3[[#This Row],[FC]]</f>
        <v>13909</v>
      </c>
      <c r="T3" s="180" t="s">
        <v>2607</v>
      </c>
      <c r="U3" s="180" t="s">
        <v>2588</v>
      </c>
      <c r="V3" s="180">
        <v>1</v>
      </c>
      <c r="W3" s="180" t="s">
        <v>187</v>
      </c>
      <c r="X3" s="180">
        <v>0</v>
      </c>
      <c r="Y3" s="216" t="s">
        <v>2589</v>
      </c>
      <c r="Z3" s="140" t="s">
        <v>2589</v>
      </c>
      <c r="AA3" s="89"/>
      <c r="AB3" s="89"/>
      <c r="AC3" s="89"/>
    </row>
    <row r="4" spans="1:29" ht="14.4" x14ac:dyDescent="0.3">
      <c r="A4" s="107" t="s">
        <v>2616</v>
      </c>
      <c r="B4" s="211" t="s">
        <v>2589</v>
      </c>
      <c r="C4" s="140" t="s">
        <v>142</v>
      </c>
      <c r="D4" s="146">
        <v>46199</v>
      </c>
      <c r="E4" s="180" t="s">
        <v>2586</v>
      </c>
      <c r="F4" s="180" t="s">
        <v>187</v>
      </c>
      <c r="G4" s="180" t="s">
        <v>2587</v>
      </c>
      <c r="H4" s="146">
        <v>46202</v>
      </c>
      <c r="I4" s="146"/>
      <c r="J4" s="146"/>
      <c r="K4" s="146">
        <v>46199</v>
      </c>
      <c r="L4" s="146" t="s">
        <v>236</v>
      </c>
      <c r="M4" s="140" t="s">
        <v>2610</v>
      </c>
      <c r="N4" s="212" t="s">
        <v>2611</v>
      </c>
      <c r="O4" s="180">
        <v>11</v>
      </c>
      <c r="P4" s="140">
        <v>11</v>
      </c>
      <c r="Q4" s="140">
        <v>11</v>
      </c>
      <c r="R4" s="180">
        <v>709</v>
      </c>
      <c r="S4" s="174">
        <f>Table_3[[#This Row],[Qtd de Imagens]]*Table_3[[#This Row],[FC]]</f>
        <v>709</v>
      </c>
      <c r="T4" s="180" t="s">
        <v>2590</v>
      </c>
      <c r="U4" s="180" t="s">
        <v>2588</v>
      </c>
      <c r="V4" s="180">
        <v>1</v>
      </c>
      <c r="W4" s="180" t="s">
        <v>187</v>
      </c>
      <c r="X4" s="180">
        <v>0</v>
      </c>
      <c r="Y4" s="140" t="s">
        <v>2589</v>
      </c>
      <c r="Z4" s="140" t="s">
        <v>2589</v>
      </c>
      <c r="AA4" s="89"/>
      <c r="AB4" s="89"/>
      <c r="AC4" s="89"/>
    </row>
    <row r="5" spans="1:29" ht="27.6" x14ac:dyDescent="0.3">
      <c r="A5" s="107" t="s">
        <v>2617</v>
      </c>
      <c r="B5" s="198" t="s">
        <v>2612</v>
      </c>
      <c r="C5" s="140" t="s">
        <v>142</v>
      </c>
      <c r="D5" s="146">
        <v>46199</v>
      </c>
      <c r="E5" s="180" t="s">
        <v>2586</v>
      </c>
      <c r="F5" s="180" t="s">
        <v>236</v>
      </c>
      <c r="G5" s="180" t="s">
        <v>2587</v>
      </c>
      <c r="H5" s="146">
        <v>46202</v>
      </c>
      <c r="I5" s="146"/>
      <c r="J5" s="146"/>
      <c r="K5" s="146">
        <v>46199</v>
      </c>
      <c r="L5" s="180" t="s">
        <v>236</v>
      </c>
      <c r="M5" s="140" t="s">
        <v>2610</v>
      </c>
      <c r="N5" s="140" t="s">
        <v>2613</v>
      </c>
      <c r="O5" s="180">
        <v>10</v>
      </c>
      <c r="P5" s="140">
        <v>10</v>
      </c>
      <c r="Q5" s="140">
        <v>10</v>
      </c>
      <c r="R5" s="180">
        <v>760</v>
      </c>
      <c r="S5" s="174">
        <f>Table_3[[#This Row],[Qtd de Imagens]]*Table_3[[#This Row],[FC]]</f>
        <v>760</v>
      </c>
      <c r="T5" s="180" t="s">
        <v>2590</v>
      </c>
      <c r="U5" s="180" t="s">
        <v>2588</v>
      </c>
      <c r="V5" s="180">
        <v>1</v>
      </c>
      <c r="W5" s="180" t="s">
        <v>187</v>
      </c>
      <c r="X5" s="180">
        <v>0</v>
      </c>
      <c r="Y5" s="140" t="s">
        <v>2615</v>
      </c>
      <c r="Z5" s="216" t="s">
        <v>2614</v>
      </c>
      <c r="AA5" s="89"/>
      <c r="AB5" s="89"/>
      <c r="AC5" s="89"/>
    </row>
    <row r="6" spans="1:29" ht="15.75" customHeight="1" x14ac:dyDescent="0.3">
      <c r="A6" s="107" t="s">
        <v>2618</v>
      </c>
      <c r="B6" s="140" t="s">
        <v>2619</v>
      </c>
      <c r="C6" s="140" t="s">
        <v>142</v>
      </c>
      <c r="D6" s="146">
        <v>46199</v>
      </c>
      <c r="E6" s="180" t="s">
        <v>2586</v>
      </c>
      <c r="F6" s="180" t="s">
        <v>187</v>
      </c>
      <c r="G6" s="180" t="s">
        <v>2587</v>
      </c>
      <c r="H6" s="146">
        <v>46202</v>
      </c>
      <c r="I6" s="182"/>
      <c r="J6" s="182"/>
      <c r="K6" s="146">
        <v>46202</v>
      </c>
      <c r="L6" s="180" t="s">
        <v>236</v>
      </c>
      <c r="M6" s="140" t="s">
        <v>2620</v>
      </c>
      <c r="N6" s="140" t="s">
        <v>2621</v>
      </c>
      <c r="O6" s="180">
        <v>1</v>
      </c>
      <c r="P6" s="140">
        <v>1</v>
      </c>
      <c r="Q6" s="140">
        <v>1</v>
      </c>
      <c r="R6" s="180">
        <v>7</v>
      </c>
      <c r="S6" s="174">
        <f>Table_3[[#This Row],[Qtd de Imagens]]*Table_3[[#This Row],[FC]]</f>
        <v>7</v>
      </c>
      <c r="T6" s="180" t="s">
        <v>2622</v>
      </c>
      <c r="U6" s="180" t="s">
        <v>2588</v>
      </c>
      <c r="V6" s="180">
        <v>1</v>
      </c>
      <c r="W6" s="180" t="s">
        <v>187</v>
      </c>
      <c r="X6" s="180">
        <v>0</v>
      </c>
      <c r="Y6" s="214" t="s">
        <v>2592</v>
      </c>
      <c r="Z6" s="140" t="s">
        <v>2589</v>
      </c>
      <c r="AA6" s="89"/>
      <c r="AB6" s="89"/>
      <c r="AC6" s="89"/>
    </row>
    <row r="7" spans="1:29" s="218" customFormat="1" ht="13.8" x14ac:dyDescent="0.3">
      <c r="A7" s="107" t="s">
        <v>2623</v>
      </c>
      <c r="B7" s="198" t="s">
        <v>2624</v>
      </c>
      <c r="C7" s="140" t="s">
        <v>142</v>
      </c>
      <c r="D7" s="146">
        <v>46199</v>
      </c>
      <c r="E7" s="181" t="s">
        <v>2586</v>
      </c>
      <c r="F7" s="140" t="s">
        <v>187</v>
      </c>
      <c r="G7" s="140" t="s">
        <v>2587</v>
      </c>
      <c r="H7" s="146">
        <v>46202</v>
      </c>
      <c r="I7" s="146"/>
      <c r="J7" s="146"/>
      <c r="K7" s="146">
        <v>46202</v>
      </c>
      <c r="L7" s="140" t="s">
        <v>236</v>
      </c>
      <c r="M7" s="140" t="s">
        <v>2625</v>
      </c>
      <c r="N7" s="140" t="s">
        <v>2626</v>
      </c>
      <c r="O7" s="140">
        <v>10</v>
      </c>
      <c r="P7" s="160">
        <v>10</v>
      </c>
      <c r="Q7" s="160">
        <v>10</v>
      </c>
      <c r="R7" s="140">
        <v>692</v>
      </c>
      <c r="S7" s="174">
        <f>Table_3[[#This Row],[Qtd de Imagens]]*Table_3[[#This Row],[FC]]</f>
        <v>692</v>
      </c>
      <c r="T7" s="140" t="s">
        <v>2590</v>
      </c>
      <c r="U7" s="180" t="s">
        <v>2588</v>
      </c>
      <c r="V7" s="180">
        <v>1</v>
      </c>
      <c r="W7" s="140" t="s">
        <v>187</v>
      </c>
      <c r="X7" s="140">
        <v>0</v>
      </c>
      <c r="Y7" s="140" t="s">
        <v>2597</v>
      </c>
      <c r="Z7" s="140" t="s">
        <v>2600</v>
      </c>
      <c r="AA7" s="217"/>
      <c r="AB7" s="217"/>
      <c r="AC7" s="217"/>
    </row>
    <row r="8" spans="1:29" s="218" customFormat="1" ht="13.8" x14ac:dyDescent="0.3">
      <c r="A8" s="107" t="s">
        <v>2627</v>
      </c>
      <c r="B8" s="140" t="s">
        <v>2628</v>
      </c>
      <c r="C8" s="140" t="s">
        <v>142</v>
      </c>
      <c r="D8" s="146">
        <v>46204</v>
      </c>
      <c r="E8" s="181" t="s">
        <v>2586</v>
      </c>
      <c r="F8" s="140" t="s">
        <v>187</v>
      </c>
      <c r="G8" s="140" t="s">
        <v>2587</v>
      </c>
      <c r="H8" s="146">
        <v>46206</v>
      </c>
      <c r="I8" s="146"/>
      <c r="J8" s="146"/>
      <c r="K8" s="146">
        <v>46204</v>
      </c>
      <c r="L8" s="140" t="s">
        <v>236</v>
      </c>
      <c r="M8" s="140" t="s">
        <v>2610</v>
      </c>
      <c r="N8" s="140" t="s">
        <v>2629</v>
      </c>
      <c r="O8" s="140">
        <v>13</v>
      </c>
      <c r="P8" s="160">
        <v>13</v>
      </c>
      <c r="Q8" s="160">
        <v>13</v>
      </c>
      <c r="R8" s="140">
        <v>1040</v>
      </c>
      <c r="S8" s="174">
        <f>Table_3[[#This Row],[Qtd de Imagens]]*Table_3[[#This Row],[FC]]</f>
        <v>1040</v>
      </c>
      <c r="T8" s="140" t="s">
        <v>2590</v>
      </c>
      <c r="U8" s="180" t="s">
        <v>2588</v>
      </c>
      <c r="V8" s="180">
        <v>1</v>
      </c>
      <c r="W8" s="140" t="s">
        <v>187</v>
      </c>
      <c r="X8" s="140">
        <v>0</v>
      </c>
      <c r="Y8" s="140" t="s">
        <v>2597</v>
      </c>
      <c r="Z8" s="140" t="s">
        <v>2600</v>
      </c>
      <c r="AA8" s="217"/>
      <c r="AB8" s="217"/>
      <c r="AC8" s="217"/>
    </row>
    <row r="9" spans="1:29" s="218" customFormat="1" ht="13.8" x14ac:dyDescent="0.3">
      <c r="A9" s="107" t="s">
        <v>2630</v>
      </c>
      <c r="B9" s="140" t="s">
        <v>2631</v>
      </c>
      <c r="C9" s="140" t="s">
        <v>142</v>
      </c>
      <c r="D9" s="146">
        <v>46206</v>
      </c>
      <c r="E9" s="181" t="s">
        <v>2586</v>
      </c>
      <c r="F9" s="140" t="s">
        <v>187</v>
      </c>
      <c r="G9" s="140" t="s">
        <v>2587</v>
      </c>
      <c r="H9" s="146">
        <v>46209</v>
      </c>
      <c r="I9" s="146"/>
      <c r="J9" s="146"/>
      <c r="K9" s="146">
        <v>46206</v>
      </c>
      <c r="L9" s="140" t="s">
        <v>236</v>
      </c>
      <c r="M9" s="140" t="s">
        <v>2632</v>
      </c>
      <c r="N9" s="140" t="s">
        <v>2633</v>
      </c>
      <c r="O9" s="140">
        <v>1</v>
      </c>
      <c r="P9" s="160">
        <v>1</v>
      </c>
      <c r="Q9" s="160">
        <v>1</v>
      </c>
      <c r="R9" s="140">
        <v>20</v>
      </c>
      <c r="S9" s="174">
        <f>Table_3[[#This Row],[Qtd de Imagens]]*Table_3[[#This Row],[FC]]</f>
        <v>20</v>
      </c>
      <c r="T9" s="140" t="s">
        <v>2634</v>
      </c>
      <c r="U9" s="180" t="s">
        <v>2588</v>
      </c>
      <c r="V9" s="180">
        <v>1</v>
      </c>
      <c r="W9" s="140" t="s">
        <v>187</v>
      </c>
      <c r="X9" s="140">
        <v>0</v>
      </c>
      <c r="Y9" s="140" t="s">
        <v>2589</v>
      </c>
      <c r="Z9" s="140" t="s">
        <v>2589</v>
      </c>
      <c r="AA9" s="217"/>
      <c r="AB9" s="217"/>
      <c r="AC9" s="217"/>
    </row>
    <row r="10" spans="1:29" s="170" customFormat="1" ht="27" customHeight="1" x14ac:dyDescent="0.3">
      <c r="A10" s="107" t="s">
        <v>2635</v>
      </c>
      <c r="B10" s="140" t="s">
        <v>2636</v>
      </c>
      <c r="C10" s="140" t="s">
        <v>142</v>
      </c>
      <c r="D10" s="146">
        <v>46206</v>
      </c>
      <c r="E10" s="181" t="s">
        <v>2586</v>
      </c>
      <c r="F10" s="140" t="s">
        <v>187</v>
      </c>
      <c r="G10" s="140" t="s">
        <v>2587</v>
      </c>
      <c r="H10" s="146">
        <v>46209</v>
      </c>
      <c r="I10" s="146"/>
      <c r="J10" s="146"/>
      <c r="K10" s="146">
        <v>46209</v>
      </c>
      <c r="L10" s="140" t="s">
        <v>236</v>
      </c>
      <c r="M10" s="140" t="s">
        <v>2637</v>
      </c>
      <c r="N10" s="140" t="s">
        <v>2638</v>
      </c>
      <c r="O10" s="140">
        <v>9</v>
      </c>
      <c r="P10" s="140">
        <v>9</v>
      </c>
      <c r="Q10" s="140">
        <v>9</v>
      </c>
      <c r="R10" s="140">
        <v>922</v>
      </c>
      <c r="S10" s="174">
        <f>Table_3[[#This Row],[Qtd de Imagens]]*Table_3[[#This Row],[FC]]</f>
        <v>922</v>
      </c>
      <c r="T10" s="140" t="s">
        <v>2590</v>
      </c>
      <c r="U10" s="180" t="s">
        <v>2588</v>
      </c>
      <c r="V10" s="180">
        <v>1</v>
      </c>
      <c r="W10" s="140" t="s">
        <v>187</v>
      </c>
      <c r="X10" s="140">
        <v>0</v>
      </c>
      <c r="Y10" s="140" t="s">
        <v>2597</v>
      </c>
      <c r="Z10" s="140" t="s">
        <v>2639</v>
      </c>
    </row>
    <row r="11" spans="1:29" s="170" customFormat="1" ht="25.5" customHeight="1" x14ac:dyDescent="0.3">
      <c r="A11" s="107" t="s">
        <v>2640</v>
      </c>
      <c r="B11" s="140" t="s">
        <v>2641</v>
      </c>
      <c r="C11" s="140" t="s">
        <v>142</v>
      </c>
      <c r="D11" s="146">
        <v>46206</v>
      </c>
      <c r="E11" s="181" t="s">
        <v>2586</v>
      </c>
      <c r="F11" s="140" t="s">
        <v>187</v>
      </c>
      <c r="G11" s="140" t="s">
        <v>2587</v>
      </c>
      <c r="H11" s="146">
        <v>46209</v>
      </c>
      <c r="I11" s="146"/>
      <c r="J11" s="146"/>
      <c r="K11" s="146">
        <v>46223</v>
      </c>
      <c r="L11" s="140" t="s">
        <v>187</v>
      </c>
      <c r="M11" s="140" t="s">
        <v>2610</v>
      </c>
      <c r="N11" s="140" t="s">
        <v>2642</v>
      </c>
      <c r="O11" s="181">
        <v>6</v>
      </c>
      <c r="P11" s="160">
        <v>6</v>
      </c>
      <c r="Q11" s="160">
        <v>6</v>
      </c>
      <c r="R11" s="140">
        <v>591</v>
      </c>
      <c r="S11" s="174">
        <f>Table_3[[#This Row],[Qtd de Imagens]]*Table_3[[#This Row],[FC]]</f>
        <v>591</v>
      </c>
      <c r="T11" s="140" t="s">
        <v>2590</v>
      </c>
      <c r="U11" s="180" t="s">
        <v>2588</v>
      </c>
      <c r="V11" s="180">
        <v>1</v>
      </c>
      <c r="W11" s="140" t="s">
        <v>187</v>
      </c>
      <c r="X11" s="140">
        <v>0</v>
      </c>
      <c r="Y11" s="140" t="s">
        <v>2597</v>
      </c>
      <c r="Z11" s="140" t="s">
        <v>2639</v>
      </c>
      <c r="AA11" s="89"/>
      <c r="AB11" s="89"/>
      <c r="AC11" s="89"/>
    </row>
    <row r="12" spans="1:29" s="170" customFormat="1" ht="14.4" x14ac:dyDescent="0.3">
      <c r="A12" s="107" t="s">
        <v>2643</v>
      </c>
      <c r="B12" s="140" t="s">
        <v>2644</v>
      </c>
      <c r="C12" s="140" t="s">
        <v>142</v>
      </c>
      <c r="D12" s="146">
        <v>46206</v>
      </c>
      <c r="E12" s="181" t="s">
        <v>2586</v>
      </c>
      <c r="F12" s="140" t="s">
        <v>187</v>
      </c>
      <c r="G12" s="140" t="s">
        <v>2587</v>
      </c>
      <c r="H12" s="146">
        <v>46209</v>
      </c>
      <c r="I12" s="146"/>
      <c r="J12" s="146"/>
      <c r="K12" s="146">
        <v>46220</v>
      </c>
      <c r="L12" s="180" t="s">
        <v>187</v>
      </c>
      <c r="M12" s="140" t="s">
        <v>2645</v>
      </c>
      <c r="N12" s="180" t="s">
        <v>2646</v>
      </c>
      <c r="O12" s="180">
        <v>1</v>
      </c>
      <c r="P12" s="140">
        <v>1</v>
      </c>
      <c r="Q12" s="140">
        <v>1</v>
      </c>
      <c r="R12" s="140">
        <v>1</v>
      </c>
      <c r="S12" s="174">
        <f>Table_3[[#This Row],[Qtd de Imagens]]*Table_3[[#This Row],[FC]]</f>
        <v>1</v>
      </c>
      <c r="T12" s="140" t="s">
        <v>2590</v>
      </c>
      <c r="U12" s="180" t="s">
        <v>2588</v>
      </c>
      <c r="V12" s="180">
        <v>1</v>
      </c>
      <c r="W12" s="140" t="s">
        <v>187</v>
      </c>
      <c r="X12" s="140">
        <v>0</v>
      </c>
      <c r="Y12" s="140" t="s">
        <v>2647</v>
      </c>
      <c r="Z12" s="140" t="s">
        <v>2648</v>
      </c>
      <c r="AA12" s="89"/>
      <c r="AB12" s="89"/>
      <c r="AC12" s="89"/>
    </row>
    <row r="13" spans="1:29" s="170" customFormat="1" ht="30" customHeight="1" x14ac:dyDescent="0.3">
      <c r="A13" s="107" t="s">
        <v>2649</v>
      </c>
      <c r="B13" s="140" t="s">
        <v>2650</v>
      </c>
      <c r="C13" s="140" t="s">
        <v>142</v>
      </c>
      <c r="D13" s="146">
        <v>46206</v>
      </c>
      <c r="E13" s="181" t="s">
        <v>2586</v>
      </c>
      <c r="F13" s="140" t="s">
        <v>187</v>
      </c>
      <c r="G13" s="140" t="s">
        <v>2587</v>
      </c>
      <c r="H13" s="146">
        <v>46209</v>
      </c>
      <c r="I13" s="146"/>
      <c r="J13" s="146"/>
      <c r="K13" s="146">
        <v>46221</v>
      </c>
      <c r="L13" s="180" t="s">
        <v>187</v>
      </c>
      <c r="M13" s="140" t="s">
        <v>2610</v>
      </c>
      <c r="N13" s="180" t="s">
        <v>2651</v>
      </c>
      <c r="O13" s="180">
        <v>10</v>
      </c>
      <c r="P13" s="160">
        <v>10</v>
      </c>
      <c r="Q13" s="160">
        <v>10</v>
      </c>
      <c r="R13" s="140">
        <v>796</v>
      </c>
      <c r="S13" s="174">
        <f>Table_3[[#This Row],[Qtd de Imagens]]*Table_3[[#This Row],[FC]]</f>
        <v>796</v>
      </c>
      <c r="T13" s="140" t="s">
        <v>2590</v>
      </c>
      <c r="U13" s="180" t="s">
        <v>2588</v>
      </c>
      <c r="V13" s="180">
        <v>1</v>
      </c>
      <c r="W13" s="140" t="s">
        <v>187</v>
      </c>
      <c r="X13" s="140">
        <v>0</v>
      </c>
      <c r="Y13" s="220" t="s">
        <v>2597</v>
      </c>
      <c r="Z13" s="140" t="s">
        <v>2600</v>
      </c>
      <c r="AA13" s="89"/>
      <c r="AB13" s="89"/>
      <c r="AC13" s="89"/>
    </row>
    <row r="14" spans="1:29" s="170" customFormat="1" ht="27.6" x14ac:dyDescent="0.3">
      <c r="A14" s="107" t="s">
        <v>2652</v>
      </c>
      <c r="B14" s="140" t="s">
        <v>2653</v>
      </c>
      <c r="C14" s="140" t="s">
        <v>142</v>
      </c>
      <c r="D14" s="146">
        <v>46206</v>
      </c>
      <c r="E14" s="181" t="s">
        <v>2586</v>
      </c>
      <c r="F14" s="140" t="s">
        <v>187</v>
      </c>
      <c r="G14" s="140" t="s">
        <v>2587</v>
      </c>
      <c r="H14" s="146">
        <v>46209</v>
      </c>
      <c r="I14" s="146"/>
      <c r="J14" s="146"/>
      <c r="K14" s="146">
        <v>46206</v>
      </c>
      <c r="L14" s="180" t="s">
        <v>236</v>
      </c>
      <c r="M14" s="140" t="s">
        <v>2610</v>
      </c>
      <c r="N14" s="180" t="s">
        <v>2654</v>
      </c>
      <c r="O14" s="180">
        <v>0</v>
      </c>
      <c r="P14" s="180">
        <v>0</v>
      </c>
      <c r="Q14" s="180">
        <v>0</v>
      </c>
      <c r="R14" s="180">
        <v>0</v>
      </c>
      <c r="S14" s="174">
        <f>Table_3[[#This Row],[Qtd de Imagens]]*Table_3[[#This Row],[FC]]</f>
        <v>0</v>
      </c>
      <c r="T14" s="140" t="s">
        <v>2656</v>
      </c>
      <c r="U14" s="180" t="s">
        <v>2588</v>
      </c>
      <c r="V14" s="180">
        <v>1</v>
      </c>
      <c r="W14" s="140" t="s">
        <v>2655</v>
      </c>
      <c r="X14" s="140">
        <v>0</v>
      </c>
      <c r="Y14" s="220" t="s">
        <v>2657</v>
      </c>
      <c r="Z14" s="140" t="s">
        <v>2658</v>
      </c>
      <c r="AA14" s="89"/>
      <c r="AB14" s="89"/>
      <c r="AC14" s="89"/>
    </row>
    <row r="15" spans="1:29" s="170" customFormat="1" ht="96.6" x14ac:dyDescent="0.3">
      <c r="A15" s="107" t="s">
        <v>2659</v>
      </c>
      <c r="B15" s="211" t="s">
        <v>2663</v>
      </c>
      <c r="C15" s="140" t="s">
        <v>142</v>
      </c>
      <c r="D15" s="146">
        <v>46206</v>
      </c>
      <c r="E15" s="181" t="s">
        <v>2586</v>
      </c>
      <c r="F15" s="140" t="s">
        <v>236</v>
      </c>
      <c r="G15" s="140" t="s">
        <v>2587</v>
      </c>
      <c r="H15" s="146">
        <v>46209</v>
      </c>
      <c r="I15" s="146"/>
      <c r="J15" s="146"/>
      <c r="K15" s="146">
        <v>46219</v>
      </c>
      <c r="L15" s="180" t="s">
        <v>187</v>
      </c>
      <c r="M15" s="140" t="s">
        <v>2610</v>
      </c>
      <c r="N15" s="140" t="s">
        <v>2664</v>
      </c>
      <c r="O15" s="180">
        <v>56</v>
      </c>
      <c r="P15" s="160">
        <v>56</v>
      </c>
      <c r="Q15" s="160">
        <v>56</v>
      </c>
      <c r="R15" s="140">
        <v>4338</v>
      </c>
      <c r="S15" s="174">
        <f>Table_3[[#This Row],[Qtd de Imagens]]*Table_3[[#This Row],[FC]]</f>
        <v>4338</v>
      </c>
      <c r="T15" s="140" t="s">
        <v>2661</v>
      </c>
      <c r="U15" s="180" t="s">
        <v>2588</v>
      </c>
      <c r="V15" s="180">
        <v>1</v>
      </c>
      <c r="W15" s="140" t="s">
        <v>187</v>
      </c>
      <c r="X15" s="140">
        <v>0</v>
      </c>
      <c r="Y15" s="220" t="s">
        <v>2660</v>
      </c>
      <c r="Z15" s="140" t="s">
        <v>2662</v>
      </c>
      <c r="AA15" s="89"/>
      <c r="AB15" s="89"/>
      <c r="AC15" s="89"/>
    </row>
    <row r="16" spans="1:29" s="170" customFormat="1" ht="27.6" x14ac:dyDescent="0.3">
      <c r="A16" s="107" t="s">
        <v>2666</v>
      </c>
      <c r="B16" s="211" t="s">
        <v>2667</v>
      </c>
      <c r="C16" s="140" t="s">
        <v>142</v>
      </c>
      <c r="D16" s="146">
        <v>46209</v>
      </c>
      <c r="E16" s="181" t="s">
        <v>2586</v>
      </c>
      <c r="F16" s="140" t="s">
        <v>187</v>
      </c>
      <c r="G16" s="140" t="s">
        <v>2587</v>
      </c>
      <c r="H16" s="146">
        <v>46210</v>
      </c>
      <c r="I16" s="146"/>
      <c r="J16" s="146"/>
      <c r="K16" s="146">
        <v>46210</v>
      </c>
      <c r="L16" s="180" t="s">
        <v>236</v>
      </c>
      <c r="M16" s="212" t="s">
        <v>2610</v>
      </c>
      <c r="N16" s="180" t="s">
        <v>2654</v>
      </c>
      <c r="O16" s="180">
        <v>1</v>
      </c>
      <c r="P16" s="160">
        <v>1</v>
      </c>
      <c r="Q16" s="160">
        <v>1</v>
      </c>
      <c r="R16" s="140">
        <v>51</v>
      </c>
      <c r="S16" s="174">
        <f>Table_3[[#This Row],[Qtd de Imagens]]*Table_3[[#This Row],[FC]]</f>
        <v>51</v>
      </c>
      <c r="T16" s="140" t="s">
        <v>2607</v>
      </c>
      <c r="U16" s="180" t="s">
        <v>2704</v>
      </c>
      <c r="V16" s="180">
        <v>1</v>
      </c>
      <c r="W16" s="140" t="s">
        <v>187</v>
      </c>
      <c r="X16" s="140">
        <v>0</v>
      </c>
      <c r="Y16" s="220" t="s">
        <v>2657</v>
      </c>
      <c r="Z16" s="140" t="s">
        <v>2658</v>
      </c>
      <c r="AA16" s="89"/>
      <c r="AB16" s="89"/>
      <c r="AC16" s="89"/>
    </row>
    <row r="17" spans="1:29" s="170" customFormat="1" ht="138" x14ac:dyDescent="0.3">
      <c r="A17" s="107" t="s">
        <v>2668</v>
      </c>
      <c r="B17" s="140" t="s">
        <v>2669</v>
      </c>
      <c r="C17" s="140" t="s">
        <v>142</v>
      </c>
      <c r="D17" s="146">
        <v>46211</v>
      </c>
      <c r="E17" s="181" t="s">
        <v>2586</v>
      </c>
      <c r="F17" s="140" t="s">
        <v>236</v>
      </c>
      <c r="G17" s="140" t="s">
        <v>2587</v>
      </c>
      <c r="H17" s="146">
        <v>46212</v>
      </c>
      <c r="I17" s="146"/>
      <c r="J17" s="146"/>
      <c r="K17" s="146">
        <v>46216</v>
      </c>
      <c r="L17" s="180" t="s">
        <v>236</v>
      </c>
      <c r="M17" s="140" t="s">
        <v>2610</v>
      </c>
      <c r="N17" s="140" t="s">
        <v>2670</v>
      </c>
      <c r="O17" s="180">
        <v>24</v>
      </c>
      <c r="P17" s="160">
        <v>24</v>
      </c>
      <c r="Q17" s="160">
        <v>24</v>
      </c>
      <c r="R17" s="140">
        <v>1456</v>
      </c>
      <c r="S17" s="174">
        <f>Table_3[[#This Row],[Qtd de Imagens]]*Table_3[[#This Row],[FC]]</f>
        <v>1456</v>
      </c>
      <c r="T17" s="140" t="s">
        <v>2661</v>
      </c>
      <c r="U17" s="180" t="s">
        <v>2588</v>
      </c>
      <c r="V17" s="180">
        <v>1</v>
      </c>
      <c r="W17" s="140" t="s">
        <v>187</v>
      </c>
      <c r="X17" s="140">
        <v>0</v>
      </c>
      <c r="Y17" s="220" t="s">
        <v>2608</v>
      </c>
      <c r="Z17" s="140" t="s">
        <v>2671</v>
      </c>
      <c r="AA17" s="89"/>
      <c r="AB17" s="89"/>
      <c r="AC17" s="89"/>
    </row>
    <row r="18" spans="1:29" s="170" customFormat="1" ht="55.2" x14ac:dyDescent="0.3">
      <c r="A18" s="107" t="s">
        <v>2672</v>
      </c>
      <c r="B18" s="140" t="s">
        <v>2673</v>
      </c>
      <c r="C18" s="140" t="s">
        <v>142</v>
      </c>
      <c r="D18" s="146">
        <v>46211</v>
      </c>
      <c r="E18" s="181" t="s">
        <v>2586</v>
      </c>
      <c r="F18" s="140" t="s">
        <v>236</v>
      </c>
      <c r="G18" s="140" t="s">
        <v>2587</v>
      </c>
      <c r="H18" s="146">
        <v>46212</v>
      </c>
      <c r="I18" s="146"/>
      <c r="J18" s="146"/>
      <c r="K18" s="146">
        <v>46216</v>
      </c>
      <c r="L18" s="180" t="s">
        <v>236</v>
      </c>
      <c r="M18" s="140" t="s">
        <v>2674</v>
      </c>
      <c r="N18" s="140" t="s">
        <v>2675</v>
      </c>
      <c r="O18" s="180">
        <v>56</v>
      </c>
      <c r="P18" s="160">
        <v>56</v>
      </c>
      <c r="Q18" s="160">
        <v>56</v>
      </c>
      <c r="R18" s="140">
        <v>4325</v>
      </c>
      <c r="S18" s="174">
        <f>Table_3[[#This Row],[Qtd de Imagens]]*Table_3[[#This Row],[FC]]</f>
        <v>4325</v>
      </c>
      <c r="T18" s="140" t="s">
        <v>2607</v>
      </c>
      <c r="U18" s="180" t="s">
        <v>2588</v>
      </c>
      <c r="V18" s="180">
        <v>1</v>
      </c>
      <c r="W18" s="140" t="s">
        <v>187</v>
      </c>
      <c r="X18" s="140">
        <v>0</v>
      </c>
      <c r="Y18" s="220" t="s">
        <v>2676</v>
      </c>
      <c r="Z18" s="140" t="s">
        <v>2677</v>
      </c>
      <c r="AA18" s="89"/>
      <c r="AB18" s="89"/>
      <c r="AC18" s="89"/>
    </row>
    <row r="19" spans="1:29" s="170" customFormat="1" ht="179.4" x14ac:dyDescent="0.3">
      <c r="A19" s="107" t="s">
        <v>2678</v>
      </c>
      <c r="B19" s="140" t="s">
        <v>2603</v>
      </c>
      <c r="C19" s="140" t="s">
        <v>142</v>
      </c>
      <c r="D19" s="146">
        <v>46213</v>
      </c>
      <c r="E19" s="181" t="s">
        <v>2586</v>
      </c>
      <c r="F19" s="140" t="s">
        <v>236</v>
      </c>
      <c r="G19" s="140" t="s">
        <v>2587</v>
      </c>
      <c r="H19" s="146">
        <v>46216</v>
      </c>
      <c r="I19" s="146"/>
      <c r="J19" s="146"/>
      <c r="K19" s="146">
        <v>46213</v>
      </c>
      <c r="L19" s="180" t="s">
        <v>236</v>
      </c>
      <c r="M19" s="140" t="s">
        <v>2610</v>
      </c>
      <c r="N19" s="140" t="s">
        <v>2606</v>
      </c>
      <c r="O19" s="180">
        <v>44</v>
      </c>
      <c r="P19" s="160">
        <v>44</v>
      </c>
      <c r="Q19" s="160">
        <v>44</v>
      </c>
      <c r="R19" s="140">
        <v>3061</v>
      </c>
      <c r="S19" s="174">
        <f>Table_3[[#This Row],[Qtd de Imagens]]*Table_3[[#This Row],[FC]]</f>
        <v>3061</v>
      </c>
      <c r="T19" s="140" t="s">
        <v>2661</v>
      </c>
      <c r="U19" s="180" t="s">
        <v>2588</v>
      </c>
      <c r="V19" s="180">
        <v>1</v>
      </c>
      <c r="W19" s="140" t="s">
        <v>187</v>
      </c>
      <c r="X19" s="140">
        <v>0</v>
      </c>
      <c r="Y19" s="220" t="s">
        <v>2608</v>
      </c>
      <c r="Z19" s="140" t="s">
        <v>2589</v>
      </c>
      <c r="AA19" s="89"/>
      <c r="AB19" s="89"/>
      <c r="AC19" s="89"/>
    </row>
    <row r="20" spans="1:29" s="170" customFormat="1" ht="179.4" x14ac:dyDescent="0.3">
      <c r="A20" s="107" t="s">
        <v>2678</v>
      </c>
      <c r="B20" s="140" t="s">
        <v>2603</v>
      </c>
      <c r="C20" s="140" t="s">
        <v>142</v>
      </c>
      <c r="D20" s="146">
        <v>46213</v>
      </c>
      <c r="E20" s="181" t="s">
        <v>2586</v>
      </c>
      <c r="F20" s="140" t="s">
        <v>236</v>
      </c>
      <c r="G20" s="140" t="s">
        <v>2587</v>
      </c>
      <c r="H20" s="146">
        <v>46216</v>
      </c>
      <c r="I20" s="146"/>
      <c r="J20" s="146"/>
      <c r="K20" s="146">
        <v>46213</v>
      </c>
      <c r="L20" s="180" t="s">
        <v>236</v>
      </c>
      <c r="M20" s="140" t="s">
        <v>2610</v>
      </c>
      <c r="N20" s="140" t="s">
        <v>2606</v>
      </c>
      <c r="O20" s="180">
        <v>1</v>
      </c>
      <c r="P20" s="160">
        <v>1</v>
      </c>
      <c r="Q20" s="160">
        <v>1</v>
      </c>
      <c r="R20" s="140">
        <v>8</v>
      </c>
      <c r="S20" s="174">
        <f>Table_3[[#This Row],[Qtd de Imagens]]*Table_3[[#This Row],[FC]]</f>
        <v>16</v>
      </c>
      <c r="T20" s="140" t="s">
        <v>2661</v>
      </c>
      <c r="U20" s="180" t="s">
        <v>2588</v>
      </c>
      <c r="V20" s="180">
        <v>2</v>
      </c>
      <c r="W20" s="140" t="s">
        <v>187</v>
      </c>
      <c r="X20" s="140">
        <v>0</v>
      </c>
      <c r="Y20" s="220" t="s">
        <v>2608</v>
      </c>
      <c r="Z20" s="140" t="s">
        <v>2589</v>
      </c>
      <c r="AA20" s="89"/>
      <c r="AB20" s="89"/>
      <c r="AC20" s="89"/>
    </row>
    <row r="21" spans="1:29" s="170" customFormat="1" ht="27.6" x14ac:dyDescent="0.3">
      <c r="A21" s="107" t="s">
        <v>2679</v>
      </c>
      <c r="B21" s="140" t="s">
        <v>2680</v>
      </c>
      <c r="C21" s="140" t="s">
        <v>142</v>
      </c>
      <c r="D21" s="146">
        <v>46213</v>
      </c>
      <c r="E21" s="181" t="s">
        <v>2586</v>
      </c>
      <c r="F21" s="140" t="s">
        <v>187</v>
      </c>
      <c r="G21" s="140" t="s">
        <v>2587</v>
      </c>
      <c r="H21" s="146">
        <v>46216</v>
      </c>
      <c r="I21" s="146"/>
      <c r="J21" s="146"/>
      <c r="K21" s="146">
        <v>46219</v>
      </c>
      <c r="L21" s="180" t="s">
        <v>187</v>
      </c>
      <c r="M21" s="140" t="s">
        <v>2599</v>
      </c>
      <c r="N21" s="140" t="s">
        <v>2681</v>
      </c>
      <c r="O21" s="180">
        <v>2</v>
      </c>
      <c r="P21" s="160">
        <v>2</v>
      </c>
      <c r="Q21" s="160">
        <v>2</v>
      </c>
      <c r="R21" s="140">
        <v>6</v>
      </c>
      <c r="S21" s="174">
        <f>Table_3[[#This Row],[Qtd de Imagens]]*Table_3[[#This Row],[FC]]</f>
        <v>6</v>
      </c>
      <c r="T21" s="140" t="s">
        <v>2591</v>
      </c>
      <c r="U21" s="180" t="s">
        <v>2588</v>
      </c>
      <c r="V21" s="180">
        <v>1</v>
      </c>
      <c r="W21" s="140" t="s">
        <v>187</v>
      </c>
      <c r="X21" s="140">
        <v>0</v>
      </c>
      <c r="Y21" s="220" t="s">
        <v>2589</v>
      </c>
      <c r="Z21" s="140" t="s">
        <v>2589</v>
      </c>
      <c r="AA21" s="89"/>
      <c r="AB21" s="89"/>
      <c r="AC21" s="89"/>
    </row>
    <row r="22" spans="1:29" s="170" customFormat="1" ht="14.4" x14ac:dyDescent="0.3">
      <c r="A22" s="107" t="s">
        <v>2682</v>
      </c>
      <c r="B22" s="140" t="s">
        <v>2683</v>
      </c>
      <c r="C22" s="140" t="s">
        <v>142</v>
      </c>
      <c r="D22" s="146">
        <v>46217</v>
      </c>
      <c r="E22" s="181" t="s">
        <v>2586</v>
      </c>
      <c r="F22" s="140" t="s">
        <v>187</v>
      </c>
      <c r="G22" s="140" t="s">
        <v>2587</v>
      </c>
      <c r="H22" s="146">
        <v>46218</v>
      </c>
      <c r="I22" s="146"/>
      <c r="J22" s="146"/>
      <c r="K22" s="146">
        <v>46217</v>
      </c>
      <c r="L22" s="180" t="s">
        <v>236</v>
      </c>
      <c r="M22" s="140" t="s">
        <v>2684</v>
      </c>
      <c r="N22" s="180" t="s">
        <v>2685</v>
      </c>
      <c r="O22" s="180">
        <v>1</v>
      </c>
      <c r="P22" s="160">
        <v>1</v>
      </c>
      <c r="Q22" s="160">
        <v>1</v>
      </c>
      <c r="R22" s="140">
        <v>10</v>
      </c>
      <c r="S22" s="174">
        <f>Table_3[[#This Row],[Qtd de Imagens]]*Table_3[[#This Row],[FC]]</f>
        <v>10</v>
      </c>
      <c r="T22" s="140" t="s">
        <v>2661</v>
      </c>
      <c r="U22" s="180" t="s">
        <v>2588</v>
      </c>
      <c r="V22" s="180">
        <v>1</v>
      </c>
      <c r="W22" s="140" t="s">
        <v>187</v>
      </c>
      <c r="X22" s="140">
        <v>0</v>
      </c>
      <c r="Y22" s="220" t="s">
        <v>2608</v>
      </c>
      <c r="Z22" s="140" t="s">
        <v>2686</v>
      </c>
      <c r="AA22" s="89"/>
      <c r="AB22" s="89"/>
      <c r="AC22" s="89"/>
    </row>
    <row r="23" spans="1:29" s="170" customFormat="1" ht="14.4" x14ac:dyDescent="0.3">
      <c r="A23" s="107" t="s">
        <v>2687</v>
      </c>
      <c r="B23" s="140" t="s">
        <v>2688</v>
      </c>
      <c r="C23" s="140" t="s">
        <v>142</v>
      </c>
      <c r="D23" s="146">
        <v>46217</v>
      </c>
      <c r="E23" s="181" t="s">
        <v>2586</v>
      </c>
      <c r="F23" s="140" t="s">
        <v>187</v>
      </c>
      <c r="G23" s="168" t="s">
        <v>2587</v>
      </c>
      <c r="H23" s="146">
        <v>46218</v>
      </c>
      <c r="I23" s="146"/>
      <c r="J23" s="146"/>
      <c r="K23" s="146">
        <v>46218</v>
      </c>
      <c r="L23" s="180" t="s">
        <v>236</v>
      </c>
      <c r="M23" s="168" t="s">
        <v>2610</v>
      </c>
      <c r="N23" s="180" t="s">
        <v>2689</v>
      </c>
      <c r="O23" s="180">
        <v>8</v>
      </c>
      <c r="P23" s="160">
        <v>8</v>
      </c>
      <c r="Q23" s="160">
        <v>8</v>
      </c>
      <c r="R23" s="168">
        <v>836</v>
      </c>
      <c r="S23" s="174">
        <f>Table_3[[#This Row],[Qtd de Imagens]]*Table_3[[#This Row],[FC]]</f>
        <v>836</v>
      </c>
      <c r="T23" s="140" t="s">
        <v>2622</v>
      </c>
      <c r="U23" s="180" t="s">
        <v>2588</v>
      </c>
      <c r="V23" s="180">
        <v>1</v>
      </c>
      <c r="W23" s="168" t="s">
        <v>187</v>
      </c>
      <c r="X23" s="168">
        <v>0</v>
      </c>
      <c r="Y23" s="220" t="s">
        <v>2690</v>
      </c>
      <c r="Z23" s="140" t="s">
        <v>2691</v>
      </c>
      <c r="AA23" s="89"/>
      <c r="AB23" s="89"/>
      <c r="AC23" s="89"/>
    </row>
    <row r="24" spans="1:29" s="170" customFormat="1" ht="24" customHeight="1" x14ac:dyDescent="0.3">
      <c r="A24" s="107" t="s">
        <v>2692</v>
      </c>
      <c r="B24" s="140" t="s">
        <v>2693</v>
      </c>
      <c r="C24" s="140" t="s">
        <v>142</v>
      </c>
      <c r="D24" s="146">
        <v>46224</v>
      </c>
      <c r="E24" s="181" t="s">
        <v>2586</v>
      </c>
      <c r="F24" s="140" t="s">
        <v>187</v>
      </c>
      <c r="G24" s="168" t="s">
        <v>2587</v>
      </c>
      <c r="H24" s="146">
        <v>46225</v>
      </c>
      <c r="I24" s="146"/>
      <c r="J24" s="146"/>
      <c r="K24" s="146">
        <v>46225</v>
      </c>
      <c r="L24" s="180" t="s">
        <v>236</v>
      </c>
      <c r="M24" s="168" t="s">
        <v>2610</v>
      </c>
      <c r="N24" s="180" t="s">
        <v>2694</v>
      </c>
      <c r="O24" s="180">
        <v>5</v>
      </c>
      <c r="P24" s="160">
        <v>5</v>
      </c>
      <c r="Q24" s="160">
        <v>5</v>
      </c>
      <c r="R24" s="168">
        <v>329</v>
      </c>
      <c r="S24" s="174">
        <f>Table_3[[#This Row],[Qtd de Imagens]]*Table_3[[#This Row],[FC]]</f>
        <v>329</v>
      </c>
      <c r="T24" s="140" t="s">
        <v>2590</v>
      </c>
      <c r="U24" s="180" t="s">
        <v>2588</v>
      </c>
      <c r="V24" s="180">
        <v>1</v>
      </c>
      <c r="W24" s="168" t="s">
        <v>187</v>
      </c>
      <c r="X24" s="168">
        <v>0</v>
      </c>
      <c r="Y24" s="220" t="s">
        <v>2597</v>
      </c>
      <c r="Z24" s="140" t="s">
        <v>2600</v>
      </c>
      <c r="AA24" s="89"/>
      <c r="AB24" s="89"/>
      <c r="AC24" s="89"/>
    </row>
    <row r="25" spans="1:29" s="170" customFormat="1" ht="14.4" x14ac:dyDescent="0.3">
      <c r="A25" s="107" t="s">
        <v>2695</v>
      </c>
      <c r="B25" s="140" t="s">
        <v>2696</v>
      </c>
      <c r="C25" s="140" t="s">
        <v>142</v>
      </c>
      <c r="D25" s="146">
        <v>46224</v>
      </c>
      <c r="E25" s="181" t="s">
        <v>2586</v>
      </c>
      <c r="F25" s="140" t="s">
        <v>187</v>
      </c>
      <c r="G25" s="168" t="s">
        <v>2587</v>
      </c>
      <c r="H25" s="146">
        <v>46225</v>
      </c>
      <c r="I25" s="146"/>
      <c r="J25" s="146"/>
      <c r="K25" s="146">
        <v>46225</v>
      </c>
      <c r="L25" s="180" t="s">
        <v>236</v>
      </c>
      <c r="M25" s="168" t="s">
        <v>2610</v>
      </c>
      <c r="N25" s="180" t="s">
        <v>2697</v>
      </c>
      <c r="O25" s="180">
        <v>3</v>
      </c>
      <c r="P25" s="160">
        <v>3</v>
      </c>
      <c r="Q25" s="160">
        <v>3</v>
      </c>
      <c r="R25" s="168">
        <v>233</v>
      </c>
      <c r="S25" s="174">
        <f>Table_3[[#This Row],[Qtd de Imagens]]*Table_3[[#This Row],[FC]]</f>
        <v>233</v>
      </c>
      <c r="T25" s="140" t="s">
        <v>2698</v>
      </c>
      <c r="U25" s="180" t="s">
        <v>2588</v>
      </c>
      <c r="V25" s="180">
        <v>1</v>
      </c>
      <c r="W25" s="168" t="s">
        <v>187</v>
      </c>
      <c r="X25" s="168">
        <v>0</v>
      </c>
      <c r="Y25" s="220" t="s">
        <v>2699</v>
      </c>
      <c r="Z25" s="140" t="s">
        <v>2700</v>
      </c>
      <c r="AA25" s="89"/>
      <c r="AB25" s="89"/>
      <c r="AC25" s="89"/>
    </row>
    <row r="26" spans="1:29" s="170" customFormat="1" ht="14.4" x14ac:dyDescent="0.3">
      <c r="A26" s="107" t="s">
        <v>2701</v>
      </c>
      <c r="B26" s="140" t="s">
        <v>2702</v>
      </c>
      <c r="C26" s="140" t="s">
        <v>142</v>
      </c>
      <c r="D26" s="146">
        <v>46225</v>
      </c>
      <c r="E26" s="181" t="s">
        <v>2586</v>
      </c>
      <c r="F26" s="180" t="s">
        <v>187</v>
      </c>
      <c r="G26" s="140" t="s">
        <v>2587</v>
      </c>
      <c r="H26" s="146">
        <v>46226</v>
      </c>
      <c r="I26" s="146"/>
      <c r="J26" s="146"/>
      <c r="K26" s="146">
        <v>46225</v>
      </c>
      <c r="L26" s="180" t="s">
        <v>236</v>
      </c>
      <c r="M26" s="140" t="s">
        <v>2645</v>
      </c>
      <c r="N26" s="180" t="s">
        <v>2646</v>
      </c>
      <c r="O26" s="180">
        <v>1</v>
      </c>
      <c r="P26" s="140">
        <v>1</v>
      </c>
      <c r="Q26" s="140">
        <v>1</v>
      </c>
      <c r="R26" s="180">
        <v>1</v>
      </c>
      <c r="S26" s="174">
        <f>Table_3[[#This Row],[Qtd de Imagens]]*Table_3[[#This Row],[FC]]</f>
        <v>1</v>
      </c>
      <c r="T26" s="180" t="s">
        <v>2590</v>
      </c>
      <c r="U26" s="180" t="s">
        <v>2588</v>
      </c>
      <c r="V26" s="180">
        <v>1</v>
      </c>
      <c r="W26" s="168" t="s">
        <v>187</v>
      </c>
      <c r="X26" s="168">
        <v>0</v>
      </c>
      <c r="Y26" s="140" t="s">
        <v>2699</v>
      </c>
      <c r="Z26" s="140" t="s">
        <v>2703</v>
      </c>
      <c r="AA26" s="89"/>
      <c r="AB26" s="89"/>
      <c r="AC26" s="89"/>
    </row>
    <row r="27" spans="1:29" ht="15.75" customHeight="1" x14ac:dyDescent="0.3">
      <c r="A27" s="2"/>
      <c r="C27" s="2"/>
      <c r="D27" s="89"/>
      <c r="E27" s="89"/>
      <c r="F27" s="89"/>
      <c r="G27" s="89"/>
      <c r="H27" s="89"/>
      <c r="I27" s="90"/>
      <c r="J27" s="2"/>
      <c r="K27" s="2"/>
      <c r="L27" s="90"/>
      <c r="M27" s="90"/>
      <c r="N27" s="2"/>
      <c r="O27" s="2"/>
      <c r="P27" s="2"/>
      <c r="Q27" s="2"/>
      <c r="R27" s="2"/>
      <c r="S27" s="2"/>
      <c r="T27" s="2"/>
      <c r="U27" s="222"/>
      <c r="V27" s="89"/>
      <c r="W27" s="89"/>
      <c r="X27" s="89"/>
      <c r="Y27" s="89"/>
      <c r="Z27" s="89"/>
      <c r="AA27" s="89"/>
      <c r="AB27" s="89"/>
      <c r="AC27" s="89"/>
    </row>
    <row r="28" spans="1:29" ht="15.75" customHeight="1" x14ac:dyDescent="0.3">
      <c r="A28" s="2"/>
      <c r="C28" s="2"/>
      <c r="D28" s="2"/>
      <c r="E28" s="2"/>
      <c r="F28" s="2"/>
      <c r="G28" s="2"/>
      <c r="H28" s="2"/>
      <c r="I28" s="90"/>
      <c r="J28" s="2"/>
      <c r="K28" s="2"/>
      <c r="L28" s="90"/>
      <c r="M28" s="90"/>
      <c r="N28" s="2"/>
      <c r="O28" s="2"/>
      <c r="P28" s="2"/>
      <c r="Q28" s="2"/>
      <c r="R28" s="2"/>
      <c r="S28" s="2"/>
      <c r="T28" s="2"/>
      <c r="U28" s="222"/>
      <c r="V28" s="89"/>
      <c r="W28" s="89"/>
      <c r="X28" s="89"/>
      <c r="Y28" s="89"/>
      <c r="Z28" s="89"/>
      <c r="AA28" s="89"/>
      <c r="AB28" s="89"/>
      <c r="AC28" s="89"/>
    </row>
    <row r="29" spans="1:29" ht="14.4" x14ac:dyDescent="0.3">
      <c r="A29" s="303" t="s">
        <v>188</v>
      </c>
      <c r="B29" s="304"/>
      <c r="C29" s="91" t="s">
        <v>142</v>
      </c>
      <c r="D29" s="89"/>
      <c r="E29" s="89"/>
      <c r="F29" s="2"/>
      <c r="G29" s="92"/>
      <c r="H29" s="2"/>
      <c r="I29" s="2"/>
      <c r="J29" s="2"/>
      <c r="K29" s="90"/>
      <c r="L29" s="2"/>
      <c r="N29" s="2"/>
      <c r="O29" s="2"/>
      <c r="P29" s="2"/>
      <c r="Q29" s="2"/>
      <c r="R29" s="2"/>
      <c r="S29" s="2"/>
      <c r="T29" s="2"/>
      <c r="U29" s="222"/>
      <c r="V29" s="2"/>
      <c r="W29" s="2"/>
      <c r="X29" s="2"/>
      <c r="Y29" s="89"/>
      <c r="Z29" s="89"/>
      <c r="AA29" s="89"/>
      <c r="AB29" s="89"/>
      <c r="AC29" s="89"/>
    </row>
    <row r="30" spans="1:29" ht="14.4" x14ac:dyDescent="0.3">
      <c r="A30" s="93" t="s">
        <v>190</v>
      </c>
      <c r="B30" s="215"/>
      <c r="C30" s="94">
        <f>SUMIF(U2:U26,"microficha",S2:S26)</f>
        <v>51</v>
      </c>
      <c r="D30" s="89"/>
      <c r="E30" s="89"/>
      <c r="F30" s="2"/>
      <c r="G30" s="92"/>
      <c r="H30" s="2"/>
      <c r="I30" s="2"/>
      <c r="J30" s="2"/>
      <c r="K30" s="90"/>
      <c r="L30" s="2"/>
      <c r="N30" s="2"/>
      <c r="O30" s="2"/>
      <c r="P30" s="2"/>
      <c r="Q30" s="2"/>
      <c r="R30" s="2"/>
      <c r="S30" s="2"/>
      <c r="T30" s="2"/>
      <c r="U30" s="222"/>
      <c r="V30" s="2"/>
      <c r="W30" s="2"/>
      <c r="X30" s="2"/>
      <c r="Y30" s="89"/>
      <c r="Z30" s="89"/>
      <c r="AA30" s="89"/>
      <c r="AB30" s="89"/>
      <c r="AC30" s="89"/>
    </row>
    <row r="31" spans="1:29" ht="14.4" x14ac:dyDescent="0.3">
      <c r="A31" s="93" t="s">
        <v>284</v>
      </c>
      <c r="B31" s="215"/>
      <c r="C31" s="94">
        <f>SUM(O2:O26)</f>
        <v>436</v>
      </c>
      <c r="D31" s="89"/>
      <c r="E31" s="89"/>
      <c r="F31" s="2"/>
      <c r="G31" s="92"/>
      <c r="H31" s="2"/>
      <c r="I31" s="2"/>
      <c r="J31" s="2"/>
      <c r="K31" s="90"/>
      <c r="L31" s="2"/>
      <c r="M31" s="161"/>
      <c r="N31" s="2"/>
      <c r="O31" s="2"/>
      <c r="P31" s="2"/>
      <c r="Q31" s="2"/>
      <c r="R31" s="2"/>
      <c r="S31" s="2"/>
      <c r="T31" s="2"/>
      <c r="U31" s="222"/>
      <c r="V31" s="2"/>
      <c r="W31" s="2"/>
      <c r="X31" s="2"/>
      <c r="Y31" s="89"/>
      <c r="Z31" s="89"/>
      <c r="AA31" s="89"/>
      <c r="AB31" s="89"/>
      <c r="AC31" s="89"/>
    </row>
    <row r="32" spans="1:29" ht="14.4" x14ac:dyDescent="0.3">
      <c r="A32" s="93" t="s">
        <v>191</v>
      </c>
      <c r="B32" s="215"/>
      <c r="C32" s="94">
        <f>SUM(S2:S26)-C30-C34-C335</f>
        <v>34544</v>
      </c>
      <c r="D32" s="89"/>
      <c r="E32" s="89"/>
      <c r="F32" s="2"/>
      <c r="G32" s="92"/>
      <c r="H32" s="2"/>
      <c r="I32" s="2"/>
      <c r="J32" s="2"/>
      <c r="K32" s="90"/>
      <c r="L32" s="2"/>
      <c r="N32" s="2"/>
      <c r="O32" s="2"/>
      <c r="P32" s="2"/>
      <c r="Q32" s="2"/>
      <c r="R32" s="2"/>
      <c r="S32" s="2"/>
      <c r="T32" s="2"/>
      <c r="U32" s="222"/>
      <c r="V32" s="2"/>
      <c r="W32" s="2"/>
      <c r="X32" s="2"/>
      <c r="Y32" s="89"/>
      <c r="Z32" s="89"/>
      <c r="AA32" s="89"/>
      <c r="AB32" s="89"/>
      <c r="AC32" s="89"/>
    </row>
    <row r="33" spans="1:29" ht="14.4" x14ac:dyDescent="0.3">
      <c r="A33" s="93" t="s">
        <v>294</v>
      </c>
      <c r="B33" s="215"/>
      <c r="C33" s="94">
        <v>0</v>
      </c>
      <c r="D33" s="89"/>
      <c r="E33" s="89"/>
      <c r="F33" s="2"/>
      <c r="G33" s="92"/>
      <c r="H33" s="2"/>
      <c r="I33" s="2"/>
      <c r="J33" s="2"/>
      <c r="K33" s="90"/>
      <c r="L33" s="2"/>
      <c r="N33" s="2"/>
      <c r="O33" s="2"/>
      <c r="P33" s="2"/>
      <c r="Q33" s="2"/>
      <c r="R33" s="2"/>
      <c r="S33" s="2"/>
      <c r="T33" s="2"/>
      <c r="U33" s="222"/>
      <c r="V33" s="2"/>
      <c r="W33" s="2"/>
      <c r="X33" s="2"/>
      <c r="Y33" s="89"/>
      <c r="Z33" s="89"/>
      <c r="AA33" s="89"/>
      <c r="AB33" s="89"/>
      <c r="AC33" s="89"/>
    </row>
    <row r="34" spans="1:29" ht="15.75" customHeight="1" x14ac:dyDescent="0.3">
      <c r="A34" s="93" t="s">
        <v>192</v>
      </c>
      <c r="B34" s="215"/>
      <c r="C34" s="94">
        <v>0</v>
      </c>
      <c r="D34" s="305" t="s">
        <v>193</v>
      </c>
      <c r="E34" s="264"/>
      <c r="F34" s="89"/>
      <c r="G34" s="89"/>
      <c r="H34" s="2"/>
      <c r="I34" s="2"/>
      <c r="J34" s="2"/>
      <c r="K34" s="90"/>
      <c r="L34" s="2"/>
      <c r="N34" s="2"/>
      <c r="O34" s="2"/>
      <c r="P34" s="2"/>
      <c r="Q34" s="2"/>
      <c r="R34" s="2"/>
      <c r="S34" s="2"/>
      <c r="T34" s="2"/>
      <c r="U34" s="222"/>
      <c r="V34" s="2"/>
      <c r="W34" s="2"/>
      <c r="X34" s="2"/>
      <c r="Y34" s="89"/>
      <c r="Z34" s="89"/>
      <c r="AA34" s="89"/>
      <c r="AB34" s="89"/>
      <c r="AC34" s="89"/>
    </row>
    <row r="35" spans="1:29" ht="15.75" customHeight="1" x14ac:dyDescent="0.3">
      <c r="A35" s="93" t="s">
        <v>194</v>
      </c>
      <c r="B35" s="215"/>
      <c r="C35" s="94">
        <v>0</v>
      </c>
      <c r="D35" s="305" t="s">
        <v>193</v>
      </c>
      <c r="E35" s="264"/>
      <c r="F35" s="89"/>
      <c r="G35" s="89"/>
      <c r="H35" s="2"/>
      <c r="I35" s="2"/>
      <c r="J35" s="2"/>
      <c r="K35" s="90"/>
      <c r="L35" s="2"/>
      <c r="N35" s="2"/>
      <c r="O35" s="2"/>
      <c r="P35" s="2"/>
      <c r="Q35" s="2"/>
      <c r="R35" s="2"/>
      <c r="S35" s="2"/>
      <c r="T35" s="2"/>
      <c r="U35" s="222"/>
      <c r="V35" s="2"/>
      <c r="W35" s="2"/>
      <c r="X35" s="2"/>
      <c r="Y35" s="89"/>
      <c r="Z35" s="89"/>
      <c r="AA35" s="89"/>
      <c r="AB35" s="89"/>
      <c r="AC35" s="89"/>
    </row>
    <row r="36" spans="1:29" ht="15.75" customHeight="1" x14ac:dyDescent="0.3">
      <c r="A36" s="93" t="s">
        <v>2558</v>
      </c>
      <c r="B36" s="91"/>
      <c r="C36" s="93">
        <f>SUM(Table_3[Qtd de documentos])</f>
        <v>436</v>
      </c>
      <c r="D36" s="89"/>
      <c r="E36" s="2"/>
      <c r="F36" s="2"/>
      <c r="G36" s="92"/>
      <c r="H36" s="2"/>
      <c r="I36" s="2"/>
      <c r="J36" s="2"/>
      <c r="K36" s="90"/>
      <c r="L36" s="2"/>
      <c r="N36" s="2"/>
      <c r="O36" s="2"/>
      <c r="P36" s="2"/>
      <c r="Q36" s="2"/>
      <c r="R36" s="2"/>
      <c r="S36" s="2"/>
      <c r="T36" s="2"/>
      <c r="U36" s="222"/>
      <c r="V36" s="2"/>
      <c r="W36" s="2"/>
      <c r="X36" s="2"/>
      <c r="Y36" s="89"/>
      <c r="Z36" s="89"/>
      <c r="AA36" s="89"/>
      <c r="AB36" s="89"/>
      <c r="AC36" s="89"/>
    </row>
    <row r="37" spans="1:29" ht="15.75" customHeight="1" x14ac:dyDescent="0.3">
      <c r="A37" s="2"/>
      <c r="C37" s="2"/>
      <c r="D37" s="2"/>
      <c r="E37" s="2"/>
      <c r="F37" s="2"/>
      <c r="G37" s="92"/>
      <c r="H37" s="2"/>
      <c r="I37" s="2"/>
      <c r="J37" s="2"/>
      <c r="K37" s="90"/>
      <c r="L37" s="2"/>
      <c r="N37" s="2"/>
      <c r="O37" s="2"/>
      <c r="P37" s="2"/>
      <c r="Q37" s="2"/>
      <c r="R37" s="2"/>
      <c r="S37" s="2"/>
      <c r="T37" s="2"/>
      <c r="U37" s="222"/>
      <c r="V37" s="2"/>
      <c r="W37" s="2"/>
      <c r="X37" s="2"/>
      <c r="Y37" s="89"/>
      <c r="Z37" s="89"/>
      <c r="AA37" s="89"/>
      <c r="AB37" s="89"/>
      <c r="AC37" s="89"/>
    </row>
    <row r="38" spans="1:29" ht="15.75" customHeight="1" x14ac:dyDescent="0.3">
      <c r="A38" s="2"/>
      <c r="C38" s="2"/>
      <c r="D38" s="2"/>
      <c r="E38" s="2"/>
      <c r="F38" s="2"/>
      <c r="G38" s="92"/>
      <c r="H38" s="2"/>
      <c r="I38" s="2"/>
      <c r="J38" s="2"/>
      <c r="K38" s="90"/>
      <c r="L38" s="2"/>
      <c r="N38" s="2"/>
      <c r="O38" s="2"/>
      <c r="P38" s="2"/>
      <c r="Q38" s="2"/>
      <c r="R38" s="2"/>
      <c r="S38" s="2"/>
      <c r="T38" s="2"/>
      <c r="U38" s="222"/>
      <c r="V38" s="2"/>
      <c r="W38" s="2"/>
      <c r="X38" s="2"/>
      <c r="Y38" s="89"/>
      <c r="Z38" s="89"/>
      <c r="AA38" s="89"/>
      <c r="AB38" s="89"/>
      <c r="AC38" s="89"/>
    </row>
    <row r="39" spans="1:29" ht="15.75" customHeight="1" x14ac:dyDescent="0.3">
      <c r="A39" s="2"/>
      <c r="C39" s="2"/>
      <c r="D39" s="2"/>
      <c r="E39" s="2"/>
      <c r="F39" s="2"/>
      <c r="G39" s="92"/>
      <c r="H39" s="2"/>
      <c r="I39" s="2"/>
      <c r="J39" s="2"/>
      <c r="K39" s="90"/>
      <c r="L39" s="2"/>
      <c r="N39" s="2"/>
      <c r="O39" s="2"/>
      <c r="P39" s="2"/>
      <c r="Q39" s="2"/>
      <c r="R39" s="2"/>
      <c r="S39" s="2"/>
      <c r="T39" s="2"/>
      <c r="U39" s="222"/>
      <c r="V39" s="2"/>
      <c r="W39" s="2"/>
      <c r="X39" s="2"/>
      <c r="Y39" s="89"/>
      <c r="Z39" s="89"/>
      <c r="AA39" s="89"/>
      <c r="AB39" s="89"/>
      <c r="AC39" s="89"/>
    </row>
    <row r="40" spans="1:29" ht="15.75" customHeight="1" x14ac:dyDescent="0.3">
      <c r="A40" s="2"/>
      <c r="C40" s="2"/>
      <c r="D40" s="2"/>
      <c r="E40" s="2"/>
      <c r="F40" s="2"/>
      <c r="G40" s="92"/>
      <c r="H40" s="2"/>
      <c r="I40" s="2"/>
      <c r="J40" s="2"/>
      <c r="K40" s="90"/>
      <c r="L40" s="2"/>
      <c r="N40" s="2"/>
      <c r="O40" s="2"/>
      <c r="P40" s="2"/>
      <c r="Q40" s="2"/>
      <c r="R40" s="2"/>
      <c r="S40" s="2"/>
      <c r="T40" s="2"/>
      <c r="U40" s="222"/>
      <c r="V40" s="2"/>
      <c r="W40" s="2"/>
      <c r="X40" s="2"/>
      <c r="Y40" s="89"/>
      <c r="Z40" s="89"/>
      <c r="AA40" s="89"/>
      <c r="AB40" s="89"/>
      <c r="AC40" s="89"/>
    </row>
    <row r="41" spans="1:29" ht="15.75" customHeight="1" x14ac:dyDescent="0.3">
      <c r="A41" s="2"/>
      <c r="C41" s="2"/>
      <c r="D41" s="2"/>
      <c r="E41" s="2"/>
      <c r="F41" s="2"/>
      <c r="G41" s="92"/>
      <c r="H41" s="2"/>
      <c r="I41" s="2"/>
      <c r="J41" s="2"/>
      <c r="K41" s="90"/>
      <c r="L41" s="2"/>
      <c r="N41" s="2"/>
      <c r="O41" s="2"/>
      <c r="P41" s="2"/>
      <c r="Q41" s="2"/>
      <c r="R41" s="2"/>
      <c r="S41" s="2"/>
      <c r="T41" s="2"/>
      <c r="U41" s="222"/>
      <c r="V41" s="2"/>
      <c r="W41" s="2"/>
      <c r="X41" s="2"/>
      <c r="Y41" s="89"/>
      <c r="Z41" s="89"/>
      <c r="AA41" s="89"/>
      <c r="AB41" s="89"/>
      <c r="AC41" s="89"/>
    </row>
    <row r="42" spans="1:29" ht="15.75" customHeight="1" x14ac:dyDescent="0.3">
      <c r="A42" s="2"/>
      <c r="C42" s="2"/>
      <c r="D42" s="2"/>
      <c r="E42" s="2"/>
      <c r="F42" s="2"/>
      <c r="G42" s="92"/>
      <c r="H42" s="2"/>
      <c r="I42" s="2"/>
      <c r="J42" s="2"/>
      <c r="K42" s="90"/>
      <c r="L42" s="2"/>
      <c r="N42" s="2"/>
      <c r="O42" s="2"/>
      <c r="P42" s="2"/>
      <c r="Q42" s="2"/>
      <c r="R42" s="2"/>
      <c r="S42" s="2"/>
      <c r="T42" s="2"/>
      <c r="U42" s="222"/>
      <c r="V42" s="2"/>
      <c r="W42" s="2"/>
      <c r="X42" s="2"/>
      <c r="Y42" s="89"/>
      <c r="Z42" s="89"/>
      <c r="AA42" s="89"/>
      <c r="AB42" s="89"/>
      <c r="AC42" s="89"/>
    </row>
    <row r="43" spans="1:29" ht="15.75" customHeight="1" x14ac:dyDescent="0.3">
      <c r="A43" s="2"/>
      <c r="C43" s="2"/>
      <c r="D43" s="2"/>
      <c r="E43" s="2"/>
      <c r="F43" s="2"/>
      <c r="G43" s="92"/>
      <c r="H43" s="2"/>
      <c r="I43" s="2"/>
      <c r="J43" s="2"/>
      <c r="K43" s="90"/>
      <c r="L43" s="2"/>
      <c r="N43" s="2"/>
      <c r="O43" s="2"/>
      <c r="P43" s="2"/>
      <c r="Q43" s="2"/>
      <c r="R43" s="2"/>
      <c r="S43" s="2"/>
      <c r="T43" s="2"/>
      <c r="U43" s="222"/>
      <c r="V43" s="2"/>
      <c r="W43" s="2"/>
      <c r="X43" s="2"/>
      <c r="Y43" s="89"/>
      <c r="Z43" s="89"/>
      <c r="AA43" s="89"/>
      <c r="AB43" s="89"/>
      <c r="AC43" s="89"/>
    </row>
    <row r="44" spans="1:29" ht="15.75" customHeight="1" x14ac:dyDescent="0.3">
      <c r="A44" s="2"/>
      <c r="C44" s="2"/>
      <c r="D44" s="2"/>
      <c r="E44" s="2"/>
      <c r="F44" s="2"/>
      <c r="G44" s="92"/>
      <c r="H44" s="2"/>
      <c r="I44" s="2"/>
      <c r="J44" s="2"/>
      <c r="K44" s="90"/>
      <c r="L44" s="2"/>
      <c r="N44" s="2"/>
      <c r="O44" s="2"/>
      <c r="P44" s="2"/>
      <c r="Q44" s="2"/>
      <c r="R44" s="2"/>
      <c r="S44" s="2"/>
      <c r="T44" s="2"/>
      <c r="U44" s="222"/>
      <c r="V44" s="2"/>
      <c r="W44" s="2"/>
      <c r="X44" s="2"/>
      <c r="Y44" s="89"/>
      <c r="Z44" s="89"/>
      <c r="AA44" s="89"/>
      <c r="AB44" s="89"/>
      <c r="AC44" s="89"/>
    </row>
    <row r="45" spans="1:29" ht="15.75" customHeight="1" x14ac:dyDescent="0.3">
      <c r="A45" s="2"/>
      <c r="C45" s="2"/>
      <c r="D45" s="2"/>
      <c r="E45" s="2"/>
      <c r="F45" s="2"/>
      <c r="G45" s="92"/>
      <c r="H45" s="2"/>
      <c r="I45" s="2"/>
      <c r="J45" s="2"/>
      <c r="K45" s="90"/>
      <c r="L45" s="2"/>
      <c r="N45" s="2"/>
      <c r="O45" s="2"/>
      <c r="P45" s="2"/>
      <c r="Q45" s="2"/>
      <c r="R45" s="2"/>
      <c r="S45" s="2"/>
      <c r="T45" s="2"/>
      <c r="U45" s="222"/>
      <c r="V45" s="2"/>
      <c r="W45" s="2"/>
      <c r="X45" s="2"/>
      <c r="Y45" s="89"/>
      <c r="Z45" s="89"/>
      <c r="AA45" s="89"/>
      <c r="AB45" s="89"/>
      <c r="AC45" s="89"/>
    </row>
    <row r="46" spans="1:29" ht="15.75" customHeight="1" x14ac:dyDescent="0.3">
      <c r="A46" s="2"/>
      <c r="C46" s="2"/>
      <c r="D46" s="2"/>
      <c r="E46" s="2"/>
      <c r="F46" s="2"/>
      <c r="G46" s="92"/>
      <c r="H46" s="2"/>
      <c r="I46" s="2"/>
      <c r="J46" s="2"/>
      <c r="K46" s="90"/>
      <c r="L46" s="2"/>
      <c r="N46" s="2"/>
      <c r="O46" s="2"/>
      <c r="P46" s="2"/>
      <c r="Q46" s="2"/>
      <c r="R46" s="2"/>
      <c r="S46" s="2"/>
      <c r="T46" s="2"/>
      <c r="U46" s="222"/>
      <c r="V46" s="2"/>
      <c r="W46" s="2"/>
      <c r="X46" s="2"/>
      <c r="Y46" s="89"/>
      <c r="Z46" s="89"/>
      <c r="AA46" s="89"/>
      <c r="AB46" s="89"/>
      <c r="AC46" s="89"/>
    </row>
    <row r="47" spans="1:29" ht="15.75" customHeight="1" x14ac:dyDescent="0.3">
      <c r="A47" s="2"/>
      <c r="C47" s="2"/>
      <c r="D47" s="2"/>
      <c r="E47" s="2"/>
      <c r="F47" s="2"/>
      <c r="G47" s="92"/>
      <c r="H47" s="2"/>
      <c r="I47" s="2"/>
      <c r="J47" s="2"/>
      <c r="K47" s="90"/>
      <c r="L47" s="2"/>
      <c r="N47" s="2"/>
      <c r="O47" s="2"/>
      <c r="P47" s="2"/>
      <c r="Q47" s="2"/>
      <c r="R47" s="2"/>
      <c r="S47" s="2"/>
      <c r="T47" s="2"/>
      <c r="U47" s="222"/>
      <c r="V47" s="2"/>
      <c r="W47" s="2"/>
      <c r="X47" s="2"/>
      <c r="Y47" s="89"/>
      <c r="Z47" s="89"/>
      <c r="AA47" s="89"/>
      <c r="AB47" s="89"/>
      <c r="AC47" s="89"/>
    </row>
    <row r="48" spans="1:29" ht="15.75" customHeight="1" x14ac:dyDescent="0.3">
      <c r="A48" s="2"/>
      <c r="C48" s="2"/>
      <c r="D48" s="2"/>
      <c r="E48" s="2"/>
      <c r="F48" s="2"/>
      <c r="G48" s="92"/>
      <c r="H48" s="2"/>
      <c r="I48" s="2"/>
      <c r="J48" s="2"/>
      <c r="K48" s="90"/>
      <c r="L48" s="2"/>
      <c r="N48" s="2"/>
      <c r="O48" s="2"/>
      <c r="P48" s="2"/>
      <c r="Q48" s="2"/>
      <c r="R48" s="2"/>
      <c r="S48" s="2"/>
      <c r="T48" s="2"/>
      <c r="U48" s="222"/>
      <c r="V48" s="2"/>
      <c r="W48" s="2"/>
      <c r="X48" s="2"/>
      <c r="Y48" s="89"/>
      <c r="Z48" s="89"/>
      <c r="AA48" s="89"/>
      <c r="AB48" s="89"/>
      <c r="AC48" s="89"/>
    </row>
    <row r="49" spans="1:29" ht="15.75" customHeight="1" x14ac:dyDescent="0.3">
      <c r="A49" s="2"/>
      <c r="C49" s="2"/>
      <c r="D49" s="2"/>
      <c r="E49" s="2"/>
      <c r="F49" s="2"/>
      <c r="G49" s="92"/>
      <c r="H49" s="2"/>
      <c r="I49" s="2"/>
      <c r="J49" s="2"/>
      <c r="K49" s="90"/>
      <c r="L49" s="2"/>
      <c r="N49" s="2"/>
      <c r="O49" s="2"/>
      <c r="P49" s="2"/>
      <c r="Q49" s="2"/>
      <c r="R49" s="2"/>
      <c r="S49" s="2"/>
      <c r="T49" s="2"/>
      <c r="U49" s="222"/>
      <c r="V49" s="2"/>
      <c r="W49" s="2"/>
      <c r="X49" s="2"/>
      <c r="Y49" s="89"/>
      <c r="Z49" s="89"/>
      <c r="AA49" s="89"/>
      <c r="AB49" s="89"/>
      <c r="AC49" s="89"/>
    </row>
    <row r="50" spans="1:29" ht="15.75" customHeight="1" x14ac:dyDescent="0.3">
      <c r="A50" s="2"/>
      <c r="C50" s="2"/>
      <c r="D50" s="2"/>
      <c r="E50" s="2"/>
      <c r="F50" s="2"/>
      <c r="G50" s="92"/>
      <c r="H50" s="2"/>
      <c r="I50" s="2"/>
      <c r="J50" s="2"/>
      <c r="K50" s="90"/>
      <c r="L50" s="2"/>
      <c r="N50" s="2"/>
      <c r="O50" s="2"/>
      <c r="P50" s="2"/>
      <c r="Q50" s="2"/>
      <c r="R50" s="2"/>
      <c r="S50" s="2"/>
      <c r="T50" s="2"/>
      <c r="U50" s="222"/>
      <c r="V50" s="2"/>
      <c r="W50" s="2"/>
      <c r="X50" s="2"/>
      <c r="Y50" s="89"/>
      <c r="Z50" s="89"/>
      <c r="AA50" s="89"/>
      <c r="AB50" s="89"/>
      <c r="AC50" s="89"/>
    </row>
    <row r="51" spans="1:29" ht="15.75" customHeight="1" x14ac:dyDescent="0.3">
      <c r="A51" s="2"/>
      <c r="C51" s="2"/>
      <c r="D51" s="2"/>
      <c r="E51" s="2"/>
      <c r="F51" s="2"/>
      <c r="G51" s="92"/>
      <c r="H51" s="2"/>
      <c r="I51" s="2"/>
      <c r="J51" s="2"/>
      <c r="K51" s="90"/>
      <c r="L51" s="2"/>
      <c r="N51" s="2"/>
      <c r="O51" s="2"/>
      <c r="P51" s="2"/>
      <c r="Q51" s="2"/>
      <c r="R51" s="2"/>
      <c r="S51" s="2"/>
      <c r="T51" s="2"/>
      <c r="U51" s="222"/>
      <c r="V51" s="2"/>
      <c r="W51" s="2"/>
      <c r="X51" s="2"/>
      <c r="Y51" s="89"/>
      <c r="Z51" s="89"/>
      <c r="AA51" s="89"/>
      <c r="AB51" s="89"/>
      <c r="AC51" s="89"/>
    </row>
    <row r="52" spans="1:29" ht="15.75" customHeight="1" x14ac:dyDescent="0.3">
      <c r="A52" s="2"/>
      <c r="C52" s="2"/>
      <c r="D52" s="2"/>
      <c r="E52" s="2"/>
      <c r="F52" s="2"/>
      <c r="G52" s="92"/>
      <c r="H52" s="2"/>
      <c r="I52" s="2"/>
      <c r="J52" s="2"/>
      <c r="K52" s="90"/>
      <c r="L52" s="2"/>
      <c r="N52" s="2"/>
      <c r="O52" s="2"/>
      <c r="P52" s="2"/>
      <c r="Q52" s="2"/>
      <c r="R52" s="2"/>
      <c r="S52" s="2"/>
      <c r="T52" s="2"/>
      <c r="U52" s="222"/>
      <c r="V52" s="2"/>
      <c r="W52" s="2"/>
      <c r="X52" s="2"/>
      <c r="Y52" s="89"/>
      <c r="Z52" s="89"/>
      <c r="AA52" s="89"/>
      <c r="AB52" s="89"/>
      <c r="AC52" s="89"/>
    </row>
    <row r="53" spans="1:29" ht="15.75" customHeight="1" x14ac:dyDescent="0.3">
      <c r="A53" s="2"/>
      <c r="C53" s="2"/>
      <c r="D53" s="2"/>
      <c r="E53" s="2"/>
      <c r="F53" s="2"/>
      <c r="G53" s="92"/>
      <c r="H53" s="2"/>
      <c r="I53" s="2"/>
      <c r="J53" s="2"/>
      <c r="K53" s="90"/>
      <c r="L53" s="2"/>
      <c r="N53" s="2"/>
      <c r="O53" s="2"/>
      <c r="P53" s="2"/>
      <c r="Q53" s="2"/>
      <c r="R53" s="2"/>
      <c r="S53" s="2"/>
      <c r="T53" s="2"/>
      <c r="U53" s="222"/>
      <c r="V53" s="2"/>
      <c r="W53" s="2"/>
      <c r="X53" s="2"/>
      <c r="Y53" s="89"/>
      <c r="Z53" s="89"/>
      <c r="AA53" s="89"/>
      <c r="AB53" s="89"/>
      <c r="AC53" s="89"/>
    </row>
    <row r="54" spans="1:29" ht="15.75" customHeight="1" x14ac:dyDescent="0.3">
      <c r="A54" s="2"/>
      <c r="C54" s="2"/>
      <c r="D54" s="2"/>
      <c r="E54" s="2"/>
      <c r="F54" s="2"/>
      <c r="G54" s="92"/>
      <c r="H54" s="2"/>
      <c r="I54" s="2"/>
      <c r="J54" s="2"/>
      <c r="K54" s="90"/>
      <c r="L54" s="2"/>
      <c r="N54" s="2"/>
      <c r="O54" s="2"/>
      <c r="P54" s="2"/>
      <c r="Q54" s="2"/>
      <c r="R54" s="2"/>
      <c r="S54" s="2"/>
      <c r="T54" s="2"/>
      <c r="U54" s="222"/>
      <c r="V54" s="2"/>
      <c r="W54" s="2"/>
      <c r="X54" s="2"/>
      <c r="Y54" s="89"/>
      <c r="Z54" s="89"/>
      <c r="AA54" s="89"/>
      <c r="AB54" s="89"/>
      <c r="AC54" s="89"/>
    </row>
    <row r="55" spans="1:29" ht="15.75" customHeight="1" x14ac:dyDescent="0.3">
      <c r="A55" s="2"/>
      <c r="C55" s="2"/>
      <c r="D55" s="2"/>
      <c r="E55" s="2"/>
      <c r="F55" s="2"/>
      <c r="G55" s="92"/>
      <c r="H55" s="2"/>
      <c r="I55" s="2"/>
      <c r="J55" s="2"/>
      <c r="K55" s="90"/>
      <c r="L55" s="2"/>
      <c r="N55" s="2"/>
      <c r="O55" s="2"/>
      <c r="P55" s="2"/>
      <c r="Q55" s="2"/>
      <c r="R55" s="2"/>
      <c r="S55" s="2"/>
      <c r="T55" s="2"/>
      <c r="U55" s="222"/>
      <c r="V55" s="2"/>
      <c r="W55" s="2"/>
      <c r="X55" s="2"/>
      <c r="Y55" s="89"/>
      <c r="Z55" s="89"/>
      <c r="AA55" s="89"/>
      <c r="AB55" s="89"/>
      <c r="AC55" s="89"/>
    </row>
    <row r="56" spans="1:29" ht="15.75" customHeight="1" x14ac:dyDescent="0.3">
      <c r="A56" s="2"/>
      <c r="C56" s="2"/>
      <c r="D56" s="2"/>
      <c r="E56" s="2"/>
      <c r="F56" s="2"/>
      <c r="G56" s="92"/>
      <c r="H56" s="2"/>
      <c r="I56" s="2"/>
      <c r="J56" s="2"/>
      <c r="K56" s="90"/>
      <c r="L56" s="2"/>
      <c r="N56" s="2"/>
      <c r="O56" s="2"/>
      <c r="P56" s="2"/>
      <c r="Q56" s="2"/>
      <c r="R56" s="2"/>
      <c r="S56" s="2"/>
      <c r="T56" s="2"/>
      <c r="U56" s="222"/>
      <c r="V56" s="2"/>
      <c r="W56" s="2"/>
      <c r="X56" s="2"/>
      <c r="Y56" s="89"/>
      <c r="Z56" s="89"/>
      <c r="AA56" s="89"/>
      <c r="AB56" s="89"/>
      <c r="AC56" s="89"/>
    </row>
    <row r="57" spans="1:29" ht="15.75" customHeight="1" x14ac:dyDescent="0.3">
      <c r="A57" s="2"/>
      <c r="C57" s="2"/>
      <c r="D57" s="2"/>
      <c r="E57" s="2"/>
      <c r="F57" s="2"/>
      <c r="G57" s="92"/>
      <c r="H57" s="2"/>
      <c r="I57" s="2"/>
      <c r="J57" s="2"/>
      <c r="K57" s="90"/>
      <c r="L57" s="2"/>
      <c r="N57" s="2"/>
      <c r="O57" s="2"/>
      <c r="P57" s="2"/>
      <c r="Q57" s="2"/>
      <c r="R57" s="2"/>
      <c r="S57" s="2"/>
      <c r="T57" s="2"/>
      <c r="U57" s="222"/>
      <c r="V57" s="2"/>
      <c r="W57" s="2"/>
      <c r="X57" s="2"/>
      <c r="Y57" s="89"/>
      <c r="Z57" s="89"/>
      <c r="AA57" s="89"/>
      <c r="AB57" s="89"/>
      <c r="AC57" s="89"/>
    </row>
    <row r="58" spans="1:29" ht="15.75" customHeight="1" x14ac:dyDescent="0.3">
      <c r="A58" s="2"/>
      <c r="C58" s="2"/>
      <c r="D58" s="2"/>
      <c r="E58" s="2"/>
      <c r="F58" s="2"/>
      <c r="G58" s="92"/>
      <c r="H58" s="2"/>
      <c r="I58" s="2"/>
      <c r="J58" s="2"/>
      <c r="K58" s="90"/>
      <c r="L58" s="2"/>
      <c r="N58" s="2"/>
      <c r="O58" s="2"/>
      <c r="P58" s="2"/>
      <c r="Q58" s="2"/>
      <c r="R58" s="2"/>
      <c r="S58" s="2"/>
      <c r="T58" s="2"/>
      <c r="U58" s="222"/>
      <c r="V58" s="2"/>
      <c r="W58" s="2"/>
      <c r="X58" s="2"/>
      <c r="Y58" s="89"/>
      <c r="Z58" s="89"/>
      <c r="AA58" s="89"/>
      <c r="AB58" s="89"/>
      <c r="AC58" s="89"/>
    </row>
    <row r="59" spans="1:29" ht="15.75" customHeight="1" x14ac:dyDescent="0.3">
      <c r="A59" s="2"/>
      <c r="C59" s="2"/>
      <c r="D59" s="2"/>
      <c r="E59" s="2"/>
      <c r="F59" s="2"/>
      <c r="G59" s="92"/>
      <c r="H59" s="2"/>
      <c r="I59" s="2"/>
      <c r="J59" s="2"/>
      <c r="K59" s="90"/>
      <c r="L59" s="2"/>
      <c r="N59" s="2"/>
      <c r="O59" s="2"/>
      <c r="P59" s="2"/>
      <c r="Q59" s="2"/>
      <c r="R59" s="2"/>
      <c r="S59" s="2"/>
      <c r="T59" s="2"/>
      <c r="U59" s="222"/>
      <c r="V59" s="2"/>
      <c r="W59" s="2"/>
      <c r="X59" s="2"/>
      <c r="Y59" s="89"/>
      <c r="Z59" s="89"/>
      <c r="AA59" s="89"/>
      <c r="AB59" s="89"/>
      <c r="AC59" s="89"/>
    </row>
    <row r="60" spans="1:29" ht="15.75" customHeight="1" x14ac:dyDescent="0.3">
      <c r="A60" s="2"/>
      <c r="C60" s="2"/>
      <c r="D60" s="2"/>
      <c r="E60" s="2"/>
      <c r="F60" s="2"/>
      <c r="G60" s="92"/>
      <c r="H60" s="2"/>
      <c r="I60" s="2"/>
      <c r="J60" s="2"/>
      <c r="K60" s="90"/>
      <c r="L60" s="2"/>
      <c r="N60" s="2"/>
      <c r="O60" s="2"/>
      <c r="P60" s="2"/>
      <c r="Q60" s="2"/>
      <c r="R60" s="2"/>
      <c r="S60" s="2"/>
      <c r="T60" s="2"/>
      <c r="U60" s="222"/>
      <c r="V60" s="2"/>
      <c r="W60" s="2"/>
      <c r="X60" s="2"/>
      <c r="Y60" s="89"/>
      <c r="Z60" s="89"/>
      <c r="AA60" s="89"/>
      <c r="AB60" s="89"/>
      <c r="AC60" s="89"/>
    </row>
    <row r="61" spans="1:29" ht="15.75" customHeight="1" x14ac:dyDescent="0.3">
      <c r="A61" s="2"/>
      <c r="C61" s="2"/>
      <c r="D61" s="2"/>
      <c r="E61" s="2"/>
      <c r="F61" s="2"/>
      <c r="G61" s="92"/>
      <c r="H61" s="2"/>
      <c r="I61" s="2"/>
      <c r="J61" s="2"/>
      <c r="K61" s="90"/>
      <c r="L61" s="2"/>
      <c r="N61" s="2"/>
      <c r="O61" s="2"/>
      <c r="P61" s="2"/>
      <c r="Q61" s="2"/>
      <c r="R61" s="2"/>
      <c r="S61" s="2"/>
      <c r="T61" s="2"/>
      <c r="U61" s="222"/>
      <c r="V61" s="2"/>
      <c r="W61" s="2"/>
      <c r="X61" s="2"/>
      <c r="Y61" s="89"/>
      <c r="Z61" s="89"/>
      <c r="AA61" s="89"/>
      <c r="AB61" s="89"/>
      <c r="AC61" s="89"/>
    </row>
    <row r="62" spans="1:29" ht="15.75" customHeight="1" x14ac:dyDescent="0.3">
      <c r="A62" s="2"/>
      <c r="C62" s="2"/>
      <c r="D62" s="2"/>
      <c r="E62" s="2"/>
      <c r="F62" s="2"/>
      <c r="G62" s="92"/>
      <c r="H62" s="2"/>
      <c r="I62" s="2"/>
      <c r="J62" s="2"/>
      <c r="K62" s="90"/>
      <c r="L62" s="2"/>
      <c r="N62" s="2"/>
      <c r="O62" s="2"/>
      <c r="P62" s="2"/>
      <c r="Q62" s="2"/>
      <c r="R62" s="2"/>
      <c r="S62" s="2"/>
      <c r="T62" s="2"/>
      <c r="U62" s="222"/>
      <c r="V62" s="2"/>
      <c r="W62" s="2"/>
      <c r="X62" s="2"/>
      <c r="Y62" s="89"/>
      <c r="Z62" s="89"/>
      <c r="AA62" s="89"/>
      <c r="AB62" s="89"/>
      <c r="AC62" s="89"/>
    </row>
    <row r="63" spans="1:29" ht="15.75" customHeight="1" x14ac:dyDescent="0.3">
      <c r="A63" s="2"/>
      <c r="C63" s="2"/>
      <c r="D63" s="2"/>
      <c r="E63" s="2"/>
      <c r="F63" s="2"/>
      <c r="G63" s="92"/>
      <c r="H63" s="2"/>
      <c r="I63" s="2"/>
      <c r="J63" s="2"/>
      <c r="K63" s="90"/>
      <c r="L63" s="2"/>
      <c r="N63" s="2"/>
      <c r="O63" s="2"/>
      <c r="P63" s="2"/>
      <c r="Q63" s="2"/>
      <c r="R63" s="2"/>
      <c r="S63" s="2"/>
      <c r="T63" s="2"/>
      <c r="U63" s="222"/>
      <c r="V63" s="2"/>
      <c r="W63" s="2"/>
      <c r="X63" s="2"/>
      <c r="Y63" s="89"/>
      <c r="Z63" s="89"/>
      <c r="AA63" s="89"/>
      <c r="AB63" s="89"/>
      <c r="AC63" s="89"/>
    </row>
    <row r="64" spans="1:29" ht="15.75" customHeight="1" x14ac:dyDescent="0.3">
      <c r="A64" s="2"/>
      <c r="C64" s="2"/>
      <c r="D64" s="2"/>
      <c r="E64" s="2"/>
      <c r="F64" s="2"/>
      <c r="G64" s="92"/>
      <c r="H64" s="2"/>
      <c r="I64" s="2"/>
      <c r="J64" s="2"/>
      <c r="K64" s="90"/>
      <c r="L64" s="2"/>
      <c r="N64" s="2"/>
      <c r="O64" s="2"/>
      <c r="P64" s="2"/>
      <c r="Q64" s="2"/>
      <c r="R64" s="2"/>
      <c r="S64" s="2"/>
      <c r="T64" s="2"/>
      <c r="U64" s="222"/>
      <c r="V64" s="2"/>
      <c r="W64" s="2"/>
      <c r="X64" s="2"/>
      <c r="Y64" s="89"/>
      <c r="Z64" s="89"/>
      <c r="AA64" s="89"/>
      <c r="AB64" s="89"/>
      <c r="AC64" s="89"/>
    </row>
    <row r="65" spans="1:29" ht="15.75" customHeight="1" x14ac:dyDescent="0.3">
      <c r="A65" s="2"/>
      <c r="C65" s="2"/>
      <c r="D65" s="2"/>
      <c r="E65" s="2"/>
      <c r="F65" s="2"/>
      <c r="G65" s="92"/>
      <c r="H65" s="2"/>
      <c r="I65" s="2"/>
      <c r="J65" s="2"/>
      <c r="K65" s="90"/>
      <c r="L65" s="2"/>
      <c r="N65" s="2"/>
      <c r="O65" s="2"/>
      <c r="P65" s="2"/>
      <c r="Q65" s="2"/>
      <c r="R65" s="2"/>
      <c r="S65" s="2"/>
      <c r="T65" s="2"/>
      <c r="U65" s="222"/>
      <c r="V65" s="2"/>
      <c r="W65" s="2"/>
      <c r="X65" s="2"/>
      <c r="Y65" s="89"/>
      <c r="Z65" s="89"/>
      <c r="AA65" s="89"/>
      <c r="AB65" s="89"/>
      <c r="AC65" s="89"/>
    </row>
    <row r="66" spans="1:29" ht="15.75" customHeight="1" x14ac:dyDescent="0.3">
      <c r="A66" s="2"/>
      <c r="C66" s="2"/>
      <c r="D66" s="2"/>
      <c r="E66" s="2"/>
      <c r="F66" s="2"/>
      <c r="G66" s="92"/>
      <c r="H66" s="2"/>
      <c r="I66" s="2"/>
      <c r="J66" s="2"/>
      <c r="K66" s="90"/>
      <c r="L66" s="2"/>
      <c r="N66" s="2"/>
      <c r="O66" s="2"/>
      <c r="P66" s="2"/>
      <c r="Q66" s="2"/>
      <c r="R66" s="2"/>
      <c r="S66" s="2"/>
      <c r="T66" s="2"/>
      <c r="U66" s="222"/>
      <c r="V66" s="2"/>
      <c r="W66" s="2"/>
      <c r="X66" s="2"/>
      <c r="Y66" s="89"/>
      <c r="Z66" s="89"/>
      <c r="AA66" s="89"/>
      <c r="AB66" s="89"/>
      <c r="AC66" s="89"/>
    </row>
    <row r="67" spans="1:29" ht="15.75" customHeight="1" x14ac:dyDescent="0.3">
      <c r="A67" s="2"/>
      <c r="C67" s="2"/>
      <c r="D67" s="2"/>
      <c r="E67" s="2"/>
      <c r="F67" s="2"/>
      <c r="G67" s="92"/>
      <c r="H67" s="2"/>
      <c r="I67" s="2"/>
      <c r="J67" s="2"/>
      <c r="K67" s="90"/>
      <c r="L67" s="2"/>
      <c r="N67" s="2"/>
      <c r="O67" s="2"/>
      <c r="P67" s="2"/>
      <c r="Q67" s="2"/>
      <c r="R67" s="2"/>
      <c r="S67" s="2"/>
      <c r="T67" s="2"/>
      <c r="U67" s="222"/>
      <c r="V67" s="2"/>
      <c r="W67" s="2"/>
      <c r="X67" s="2"/>
      <c r="Y67" s="89"/>
      <c r="Z67" s="89"/>
      <c r="AA67" s="89"/>
      <c r="AB67" s="89"/>
      <c r="AC67" s="89"/>
    </row>
    <row r="68" spans="1:29" ht="15.75" customHeight="1" x14ac:dyDescent="0.3">
      <c r="A68" s="2"/>
      <c r="C68" s="2"/>
      <c r="D68" s="2"/>
      <c r="E68" s="2"/>
      <c r="F68" s="2"/>
      <c r="G68" s="92"/>
      <c r="H68" s="2"/>
      <c r="I68" s="2"/>
      <c r="J68" s="2"/>
      <c r="K68" s="90"/>
      <c r="L68" s="2"/>
      <c r="N68" s="2"/>
      <c r="O68" s="2"/>
      <c r="P68" s="2"/>
      <c r="Q68" s="2"/>
      <c r="R68" s="2"/>
      <c r="S68" s="2"/>
      <c r="T68" s="2"/>
      <c r="U68" s="222"/>
      <c r="V68" s="2"/>
      <c r="W68" s="2"/>
      <c r="X68" s="2"/>
      <c r="Y68" s="89"/>
      <c r="Z68" s="89"/>
      <c r="AA68" s="89"/>
      <c r="AB68" s="89"/>
      <c r="AC68" s="89"/>
    </row>
    <row r="69" spans="1:29" ht="15.75" customHeight="1" x14ac:dyDescent="0.3">
      <c r="A69" s="2"/>
      <c r="C69" s="2"/>
      <c r="D69" s="2"/>
      <c r="E69" s="2"/>
      <c r="F69" s="2"/>
      <c r="G69" s="92"/>
      <c r="H69" s="2"/>
      <c r="I69" s="2"/>
      <c r="J69" s="2"/>
      <c r="K69" s="90"/>
      <c r="L69" s="2"/>
      <c r="N69" s="2"/>
      <c r="O69" s="2"/>
      <c r="P69" s="2"/>
      <c r="Q69" s="2"/>
      <c r="R69" s="2"/>
      <c r="S69" s="2"/>
      <c r="T69" s="2"/>
      <c r="U69" s="222"/>
      <c r="V69" s="2"/>
      <c r="W69" s="2"/>
      <c r="X69" s="2"/>
      <c r="Y69" s="89"/>
      <c r="Z69" s="89"/>
      <c r="AA69" s="89"/>
      <c r="AB69" s="89"/>
      <c r="AC69" s="89"/>
    </row>
    <row r="70" spans="1:29" ht="15.75" customHeight="1" x14ac:dyDescent="0.3">
      <c r="A70" s="2"/>
      <c r="C70" s="2"/>
      <c r="D70" s="2"/>
      <c r="E70" s="2"/>
      <c r="F70" s="2"/>
      <c r="G70" s="92"/>
      <c r="H70" s="2"/>
      <c r="I70" s="2"/>
      <c r="J70" s="2"/>
      <c r="K70" s="90"/>
      <c r="L70" s="2"/>
      <c r="N70" s="2"/>
      <c r="O70" s="2"/>
      <c r="P70" s="2"/>
      <c r="Q70" s="2"/>
      <c r="R70" s="2"/>
      <c r="S70" s="2"/>
      <c r="T70" s="2"/>
      <c r="U70" s="222"/>
      <c r="V70" s="2"/>
      <c r="W70" s="2"/>
      <c r="X70" s="2"/>
      <c r="Y70" s="89"/>
      <c r="Z70" s="89"/>
      <c r="AA70" s="89"/>
      <c r="AB70" s="89"/>
      <c r="AC70" s="89"/>
    </row>
    <row r="71" spans="1:29" ht="15.75" customHeight="1" x14ac:dyDescent="0.3">
      <c r="A71" s="2"/>
      <c r="C71" s="2"/>
      <c r="D71" s="2"/>
      <c r="E71" s="2"/>
      <c r="F71" s="2"/>
      <c r="G71" s="92"/>
      <c r="H71" s="2"/>
      <c r="I71" s="2"/>
      <c r="J71" s="2"/>
      <c r="K71" s="90"/>
      <c r="L71" s="2"/>
      <c r="N71" s="2"/>
      <c r="O71" s="2"/>
      <c r="P71" s="2"/>
      <c r="Q71" s="2"/>
      <c r="R71" s="2"/>
      <c r="S71" s="2"/>
      <c r="T71" s="2"/>
      <c r="U71" s="222"/>
      <c r="V71" s="2"/>
      <c r="W71" s="2"/>
      <c r="X71" s="2"/>
      <c r="Y71" s="89"/>
      <c r="Z71" s="89"/>
      <c r="AA71" s="89"/>
      <c r="AB71" s="89"/>
      <c r="AC71" s="89"/>
    </row>
    <row r="72" spans="1:29" ht="15.75" customHeight="1" x14ac:dyDescent="0.3">
      <c r="A72" s="2"/>
      <c r="C72" s="2"/>
      <c r="D72" s="2"/>
      <c r="E72" s="2"/>
      <c r="F72" s="2"/>
      <c r="G72" s="92"/>
      <c r="H72" s="2"/>
      <c r="I72" s="2"/>
      <c r="J72" s="2"/>
      <c r="K72" s="90"/>
      <c r="L72" s="2"/>
      <c r="N72" s="2"/>
      <c r="O72" s="2"/>
      <c r="P72" s="2"/>
      <c r="Q72" s="2"/>
      <c r="R72" s="2"/>
      <c r="S72" s="2"/>
      <c r="T72" s="2"/>
      <c r="U72" s="222"/>
      <c r="V72" s="2"/>
      <c r="W72" s="2"/>
      <c r="X72" s="2"/>
      <c r="Y72" s="89"/>
      <c r="Z72" s="89"/>
      <c r="AA72" s="89"/>
      <c r="AB72" s="89"/>
      <c r="AC72" s="89"/>
    </row>
    <row r="73" spans="1:29" ht="15.75" customHeight="1" x14ac:dyDescent="0.3">
      <c r="A73" s="2"/>
      <c r="C73" s="2"/>
      <c r="D73" s="2"/>
      <c r="E73" s="2"/>
      <c r="F73" s="2"/>
      <c r="G73" s="92"/>
      <c r="H73" s="2"/>
      <c r="I73" s="2"/>
      <c r="J73" s="2"/>
      <c r="K73" s="90"/>
      <c r="L73" s="2"/>
      <c r="N73" s="2"/>
      <c r="O73" s="2"/>
      <c r="P73" s="2"/>
      <c r="Q73" s="2"/>
      <c r="R73" s="2"/>
      <c r="S73" s="2"/>
      <c r="T73" s="2"/>
      <c r="U73" s="222"/>
      <c r="V73" s="2"/>
      <c r="W73" s="2"/>
      <c r="X73" s="2"/>
      <c r="Y73" s="89"/>
      <c r="Z73" s="89"/>
      <c r="AA73" s="89"/>
      <c r="AB73" s="89"/>
      <c r="AC73" s="89"/>
    </row>
    <row r="74" spans="1:29" ht="15.75" customHeight="1" x14ac:dyDescent="0.3">
      <c r="A74" s="2"/>
      <c r="C74" s="2"/>
      <c r="D74" s="2"/>
      <c r="E74" s="2"/>
      <c r="F74" s="2"/>
      <c r="G74" s="92"/>
      <c r="H74" s="2"/>
      <c r="I74" s="2"/>
      <c r="J74" s="2"/>
      <c r="K74" s="90"/>
      <c r="L74" s="2"/>
      <c r="N74" s="2"/>
      <c r="O74" s="2"/>
      <c r="P74" s="2"/>
      <c r="Q74" s="2"/>
      <c r="R74" s="2"/>
      <c r="S74" s="2"/>
      <c r="T74" s="2"/>
      <c r="U74" s="222"/>
      <c r="V74" s="2"/>
      <c r="W74" s="2"/>
      <c r="X74" s="2"/>
      <c r="Y74" s="89"/>
      <c r="Z74" s="89"/>
      <c r="AA74" s="89"/>
      <c r="AB74" s="89"/>
      <c r="AC74" s="89"/>
    </row>
    <row r="75" spans="1:29" ht="15.75" customHeight="1" x14ac:dyDescent="0.3">
      <c r="A75" s="2"/>
      <c r="C75" s="2"/>
      <c r="D75" s="2"/>
      <c r="E75" s="2"/>
      <c r="F75" s="2"/>
      <c r="G75" s="92"/>
      <c r="H75" s="2"/>
      <c r="I75" s="2"/>
      <c r="J75" s="2"/>
      <c r="K75" s="90"/>
      <c r="L75" s="2"/>
      <c r="N75" s="2"/>
      <c r="O75" s="2"/>
      <c r="P75" s="2"/>
      <c r="Q75" s="2"/>
      <c r="R75" s="2"/>
      <c r="S75" s="2"/>
      <c r="T75" s="2"/>
      <c r="U75" s="222"/>
      <c r="V75" s="2"/>
      <c r="W75" s="2"/>
      <c r="X75" s="2"/>
      <c r="Y75" s="89"/>
      <c r="Z75" s="89"/>
      <c r="AA75" s="89"/>
      <c r="AB75" s="89"/>
      <c r="AC75" s="89"/>
    </row>
    <row r="76" spans="1:29" ht="15.75" customHeight="1" x14ac:dyDescent="0.3">
      <c r="A76" s="2"/>
      <c r="C76" s="2"/>
      <c r="D76" s="2"/>
      <c r="E76" s="2"/>
      <c r="F76" s="2"/>
      <c r="G76" s="92"/>
      <c r="H76" s="2"/>
      <c r="I76" s="2"/>
      <c r="J76" s="2"/>
      <c r="K76" s="90"/>
      <c r="L76" s="2"/>
      <c r="N76" s="2"/>
      <c r="O76" s="2"/>
      <c r="P76" s="2"/>
      <c r="Q76" s="2"/>
      <c r="R76" s="2"/>
      <c r="S76" s="2"/>
      <c r="T76" s="2"/>
      <c r="U76" s="222"/>
      <c r="V76" s="2"/>
      <c r="W76" s="2"/>
      <c r="X76" s="2"/>
      <c r="Y76" s="89"/>
      <c r="Z76" s="89"/>
      <c r="AA76" s="89"/>
      <c r="AB76" s="89"/>
      <c r="AC76" s="89"/>
    </row>
    <row r="77" spans="1:29" ht="15.75" customHeight="1" x14ac:dyDescent="0.3">
      <c r="A77" s="2"/>
      <c r="C77" s="2"/>
      <c r="D77" s="2"/>
      <c r="E77" s="2"/>
      <c r="F77" s="2"/>
      <c r="G77" s="92"/>
      <c r="H77" s="2"/>
      <c r="I77" s="2"/>
      <c r="J77" s="2"/>
      <c r="K77" s="90"/>
      <c r="L77" s="2"/>
      <c r="N77" s="2"/>
      <c r="O77" s="2"/>
      <c r="P77" s="2"/>
      <c r="Q77" s="2"/>
      <c r="R77" s="2"/>
      <c r="S77" s="2"/>
      <c r="T77" s="2"/>
      <c r="U77" s="222"/>
      <c r="V77" s="2"/>
      <c r="W77" s="2"/>
      <c r="X77" s="2"/>
      <c r="Y77" s="89"/>
      <c r="Z77" s="89"/>
      <c r="AA77" s="89"/>
      <c r="AB77" s="89"/>
      <c r="AC77" s="89"/>
    </row>
    <row r="78" spans="1:29" ht="15.75" customHeight="1" x14ac:dyDescent="0.3">
      <c r="A78" s="2"/>
      <c r="C78" s="2"/>
      <c r="D78" s="2"/>
      <c r="E78" s="2"/>
      <c r="F78" s="2"/>
      <c r="G78" s="92"/>
      <c r="H78" s="2"/>
      <c r="I78" s="2"/>
      <c r="J78" s="2"/>
      <c r="K78" s="90"/>
      <c r="L78" s="2"/>
      <c r="N78" s="2"/>
      <c r="O78" s="2"/>
      <c r="P78" s="2"/>
      <c r="Q78" s="2"/>
      <c r="R78" s="2"/>
      <c r="S78" s="2"/>
      <c r="T78" s="2"/>
      <c r="U78" s="222"/>
      <c r="V78" s="2"/>
      <c r="W78" s="2"/>
      <c r="X78" s="2"/>
      <c r="Y78" s="89"/>
      <c r="Z78" s="89"/>
      <c r="AA78" s="89"/>
      <c r="AB78" s="89"/>
      <c r="AC78" s="89"/>
    </row>
    <row r="79" spans="1:29" ht="15.75" customHeight="1" x14ac:dyDescent="0.3">
      <c r="A79" s="2"/>
      <c r="C79" s="2"/>
      <c r="D79" s="2"/>
      <c r="E79" s="2"/>
      <c r="F79" s="2"/>
      <c r="G79" s="92"/>
      <c r="H79" s="2"/>
      <c r="I79" s="2"/>
      <c r="J79" s="2"/>
      <c r="K79" s="90"/>
      <c r="L79" s="2"/>
      <c r="N79" s="2"/>
      <c r="O79" s="2"/>
      <c r="P79" s="2"/>
      <c r="Q79" s="2"/>
      <c r="R79" s="2"/>
      <c r="S79" s="2"/>
      <c r="T79" s="2"/>
      <c r="U79" s="222"/>
      <c r="V79" s="2"/>
      <c r="W79" s="2"/>
      <c r="X79" s="2"/>
      <c r="Y79" s="89"/>
      <c r="Z79" s="89"/>
      <c r="AA79" s="89"/>
      <c r="AB79" s="89"/>
      <c r="AC79" s="89"/>
    </row>
    <row r="80" spans="1:29" ht="15.75" customHeight="1" x14ac:dyDescent="0.3">
      <c r="A80" s="2"/>
      <c r="C80" s="2"/>
      <c r="D80" s="2"/>
      <c r="E80" s="2"/>
      <c r="F80" s="2"/>
      <c r="G80" s="92"/>
      <c r="H80" s="2"/>
      <c r="I80" s="2"/>
      <c r="J80" s="2"/>
      <c r="K80" s="90"/>
      <c r="L80" s="2"/>
      <c r="N80" s="2"/>
      <c r="O80" s="2"/>
      <c r="P80" s="2"/>
      <c r="Q80" s="2"/>
      <c r="R80" s="2"/>
      <c r="S80" s="2"/>
      <c r="T80" s="2"/>
      <c r="U80" s="222"/>
      <c r="V80" s="2"/>
      <c r="W80" s="2"/>
      <c r="X80" s="2"/>
      <c r="Y80" s="89"/>
      <c r="Z80" s="89"/>
      <c r="AA80" s="89"/>
      <c r="AB80" s="89"/>
      <c r="AC80" s="89"/>
    </row>
    <row r="81" spans="1:29" ht="15.75" customHeight="1" x14ac:dyDescent="0.3">
      <c r="A81" s="2"/>
      <c r="C81" s="2"/>
      <c r="D81" s="2"/>
      <c r="E81" s="2"/>
      <c r="F81" s="2"/>
      <c r="G81" s="92"/>
      <c r="H81" s="2"/>
      <c r="I81" s="2"/>
      <c r="J81" s="2"/>
      <c r="K81" s="90"/>
      <c r="L81" s="2"/>
      <c r="N81" s="2"/>
      <c r="O81" s="2"/>
      <c r="P81" s="2"/>
      <c r="Q81" s="2"/>
      <c r="R81" s="2"/>
      <c r="S81" s="2"/>
      <c r="T81" s="2"/>
      <c r="U81" s="222"/>
      <c r="V81" s="2"/>
      <c r="W81" s="2"/>
      <c r="X81" s="2"/>
      <c r="Y81" s="89"/>
      <c r="Z81" s="89"/>
      <c r="AA81" s="89"/>
      <c r="AB81" s="89"/>
      <c r="AC81" s="89"/>
    </row>
    <row r="82" spans="1:29" ht="15.75" customHeight="1" x14ac:dyDescent="0.3">
      <c r="A82" s="2"/>
      <c r="C82" s="2"/>
      <c r="D82" s="2"/>
      <c r="E82" s="2"/>
      <c r="F82" s="2"/>
      <c r="G82" s="92"/>
      <c r="H82" s="2"/>
      <c r="I82" s="2"/>
      <c r="J82" s="2"/>
      <c r="K82" s="90"/>
      <c r="L82" s="2"/>
      <c r="N82" s="2"/>
      <c r="O82" s="2"/>
      <c r="P82" s="2"/>
      <c r="Q82" s="2"/>
      <c r="R82" s="2"/>
      <c r="S82" s="2"/>
      <c r="T82" s="2"/>
      <c r="U82" s="222"/>
      <c r="V82" s="2"/>
      <c r="W82" s="2"/>
      <c r="X82" s="2"/>
      <c r="Y82" s="89"/>
      <c r="Z82" s="89"/>
      <c r="AA82" s="89"/>
      <c r="AB82" s="89"/>
      <c r="AC82" s="89"/>
    </row>
    <row r="83" spans="1:29" ht="15.75" customHeight="1" x14ac:dyDescent="0.3">
      <c r="A83" s="2"/>
      <c r="C83" s="2"/>
      <c r="D83" s="2"/>
      <c r="E83" s="2"/>
      <c r="F83" s="2"/>
      <c r="G83" s="92"/>
      <c r="H83" s="2"/>
      <c r="I83" s="2"/>
      <c r="J83" s="2"/>
      <c r="K83" s="90"/>
      <c r="L83" s="2"/>
      <c r="N83" s="2"/>
      <c r="O83" s="2"/>
      <c r="P83" s="2"/>
      <c r="Q83" s="2"/>
      <c r="R83" s="2"/>
      <c r="S83" s="2"/>
      <c r="T83" s="2"/>
      <c r="U83" s="222"/>
      <c r="V83" s="2"/>
      <c r="W83" s="2"/>
      <c r="X83" s="2"/>
      <c r="Y83" s="89"/>
      <c r="Z83" s="89"/>
      <c r="AA83" s="89"/>
      <c r="AB83" s="89"/>
      <c r="AC83" s="89"/>
    </row>
    <row r="84" spans="1:29" ht="15.75" customHeight="1" x14ac:dyDescent="0.3">
      <c r="A84" s="2"/>
      <c r="C84" s="2"/>
      <c r="D84" s="2"/>
      <c r="E84" s="2"/>
      <c r="F84" s="2"/>
      <c r="G84" s="92"/>
      <c r="H84" s="2"/>
      <c r="I84" s="2"/>
      <c r="J84" s="2"/>
      <c r="K84" s="90"/>
      <c r="L84" s="2"/>
      <c r="N84" s="2"/>
      <c r="O84" s="2"/>
      <c r="P84" s="2"/>
      <c r="Q84" s="2"/>
      <c r="R84" s="2"/>
      <c r="S84" s="2"/>
      <c r="T84" s="2"/>
      <c r="U84" s="222"/>
      <c r="V84" s="2"/>
      <c r="W84" s="2"/>
      <c r="X84" s="2"/>
      <c r="Y84" s="89"/>
      <c r="Z84" s="89"/>
      <c r="AA84" s="89"/>
      <c r="AB84" s="89"/>
      <c r="AC84" s="89"/>
    </row>
    <row r="85" spans="1:29" ht="15.75" customHeight="1" x14ac:dyDescent="0.3">
      <c r="A85" s="2"/>
      <c r="C85" s="2"/>
      <c r="D85" s="2"/>
      <c r="E85" s="2"/>
      <c r="F85" s="2"/>
      <c r="G85" s="92"/>
      <c r="H85" s="2"/>
      <c r="I85" s="2"/>
      <c r="J85" s="2"/>
      <c r="K85" s="90"/>
      <c r="L85" s="2"/>
      <c r="N85" s="2"/>
      <c r="O85" s="2"/>
      <c r="P85" s="2"/>
      <c r="Q85" s="2"/>
      <c r="R85" s="2"/>
      <c r="S85" s="2"/>
      <c r="T85" s="2"/>
      <c r="U85" s="222"/>
      <c r="V85" s="2"/>
      <c r="W85" s="2"/>
      <c r="X85" s="2"/>
      <c r="Y85" s="89"/>
      <c r="Z85" s="89"/>
      <c r="AA85" s="89"/>
      <c r="AB85" s="89"/>
      <c r="AC85" s="89"/>
    </row>
    <row r="86" spans="1:29" ht="15.75" customHeight="1" x14ac:dyDescent="0.3">
      <c r="A86" s="2"/>
      <c r="C86" s="2"/>
      <c r="D86" s="2"/>
      <c r="E86" s="2"/>
      <c r="F86" s="2"/>
      <c r="G86" s="92"/>
      <c r="H86" s="2"/>
      <c r="I86" s="2"/>
      <c r="J86" s="2"/>
      <c r="K86" s="90"/>
      <c r="L86" s="2"/>
      <c r="N86" s="2"/>
      <c r="O86" s="2"/>
      <c r="P86" s="2"/>
      <c r="Q86" s="2"/>
      <c r="R86" s="2"/>
      <c r="S86" s="2"/>
      <c r="T86" s="2"/>
      <c r="U86" s="222"/>
      <c r="V86" s="2"/>
      <c r="W86" s="2"/>
      <c r="X86" s="2"/>
      <c r="Y86" s="89"/>
      <c r="Z86" s="89"/>
      <c r="AA86" s="89"/>
      <c r="AB86" s="89"/>
      <c r="AC86" s="89"/>
    </row>
    <row r="87" spans="1:29" ht="15.75" customHeight="1" x14ac:dyDescent="0.3">
      <c r="A87" s="2"/>
      <c r="C87" s="2"/>
      <c r="D87" s="2"/>
      <c r="E87" s="2"/>
      <c r="F87" s="2"/>
      <c r="G87" s="92"/>
      <c r="H87" s="2"/>
      <c r="I87" s="2"/>
      <c r="J87" s="2"/>
      <c r="K87" s="90"/>
      <c r="L87" s="2"/>
      <c r="N87" s="2"/>
      <c r="O87" s="2"/>
      <c r="P87" s="2"/>
      <c r="Q87" s="2"/>
      <c r="R87" s="2"/>
      <c r="S87" s="2"/>
      <c r="T87" s="2"/>
      <c r="U87" s="222"/>
      <c r="V87" s="2"/>
      <c r="W87" s="2"/>
      <c r="X87" s="2"/>
      <c r="Y87" s="89"/>
      <c r="Z87" s="89"/>
      <c r="AA87" s="89"/>
      <c r="AB87" s="89"/>
      <c r="AC87" s="89"/>
    </row>
    <row r="88" spans="1:29" ht="15.75" customHeight="1" x14ac:dyDescent="0.3">
      <c r="A88" s="2"/>
      <c r="C88" s="2"/>
      <c r="D88" s="2"/>
      <c r="E88" s="2"/>
      <c r="F88" s="2"/>
      <c r="G88" s="92"/>
      <c r="H88" s="2"/>
      <c r="I88" s="2"/>
      <c r="J88" s="2"/>
      <c r="K88" s="90"/>
      <c r="L88" s="2"/>
      <c r="N88" s="2"/>
      <c r="O88" s="2"/>
      <c r="P88" s="2"/>
      <c r="Q88" s="2"/>
      <c r="R88" s="2"/>
      <c r="S88" s="2"/>
      <c r="T88" s="2"/>
      <c r="U88" s="222"/>
      <c r="V88" s="2"/>
      <c r="W88" s="2"/>
      <c r="X88" s="2"/>
      <c r="Y88" s="89"/>
      <c r="Z88" s="89"/>
      <c r="AA88" s="89"/>
      <c r="AB88" s="89"/>
      <c r="AC88" s="89"/>
    </row>
    <row r="89" spans="1:29" ht="15.75" customHeight="1" x14ac:dyDescent="0.3">
      <c r="A89" s="2"/>
      <c r="C89" s="2"/>
      <c r="D89" s="2"/>
      <c r="E89" s="2"/>
      <c r="F89" s="2"/>
      <c r="G89" s="92"/>
      <c r="H89" s="2"/>
      <c r="I89" s="2"/>
      <c r="J89" s="2"/>
      <c r="K89" s="90"/>
      <c r="L89" s="2"/>
      <c r="N89" s="2"/>
      <c r="O89" s="2"/>
      <c r="P89" s="2"/>
      <c r="Q89" s="2"/>
      <c r="R89" s="2"/>
      <c r="S89" s="2"/>
      <c r="T89" s="2"/>
      <c r="U89" s="222"/>
      <c r="V89" s="2"/>
      <c r="W89" s="2"/>
      <c r="X89" s="2"/>
      <c r="Y89" s="89"/>
      <c r="Z89" s="89"/>
      <c r="AA89" s="89"/>
      <c r="AB89" s="89"/>
      <c r="AC89" s="89"/>
    </row>
    <row r="90" spans="1:29" ht="15.75" customHeight="1" x14ac:dyDescent="0.3">
      <c r="A90" s="2"/>
      <c r="C90" s="2"/>
      <c r="D90" s="2"/>
      <c r="E90" s="2"/>
      <c r="F90" s="2"/>
      <c r="G90" s="92"/>
      <c r="H90" s="2"/>
      <c r="I90" s="2"/>
      <c r="J90" s="2"/>
      <c r="K90" s="90"/>
      <c r="L90" s="2"/>
      <c r="N90" s="2"/>
      <c r="O90" s="2"/>
      <c r="P90" s="2"/>
      <c r="Q90" s="2"/>
      <c r="R90" s="2"/>
      <c r="S90" s="2"/>
      <c r="T90" s="2"/>
      <c r="U90" s="222"/>
      <c r="V90" s="2"/>
      <c r="W90" s="2"/>
      <c r="X90" s="2"/>
      <c r="Y90" s="89"/>
      <c r="Z90" s="89"/>
      <c r="AA90" s="89"/>
      <c r="AB90" s="89"/>
      <c r="AC90" s="89"/>
    </row>
    <row r="91" spans="1:29" ht="15.75" customHeight="1" x14ac:dyDescent="0.3">
      <c r="A91" s="2"/>
      <c r="C91" s="2"/>
      <c r="D91" s="2"/>
      <c r="E91" s="2"/>
      <c r="F91" s="2"/>
      <c r="G91" s="92"/>
      <c r="H91" s="2"/>
      <c r="I91" s="2"/>
      <c r="J91" s="2"/>
      <c r="K91" s="90"/>
      <c r="L91" s="2"/>
      <c r="N91" s="2"/>
      <c r="O91" s="2"/>
      <c r="P91" s="2"/>
      <c r="Q91" s="2"/>
      <c r="R91" s="2"/>
      <c r="S91" s="2"/>
      <c r="T91" s="2"/>
      <c r="U91" s="222"/>
      <c r="V91" s="2"/>
      <c r="W91" s="2"/>
      <c r="X91" s="2"/>
      <c r="Y91" s="89"/>
      <c r="Z91" s="89"/>
      <c r="AA91" s="89"/>
      <c r="AB91" s="89"/>
      <c r="AC91" s="89"/>
    </row>
    <row r="92" spans="1:29" ht="15.75" customHeight="1" x14ac:dyDescent="0.3">
      <c r="A92" s="2"/>
      <c r="C92" s="2"/>
      <c r="D92" s="2"/>
      <c r="E92" s="2"/>
      <c r="F92" s="2"/>
      <c r="G92" s="92"/>
      <c r="H92" s="2"/>
      <c r="I92" s="2"/>
      <c r="J92" s="2"/>
      <c r="K92" s="90"/>
      <c r="L92" s="2"/>
      <c r="N92" s="2"/>
      <c r="O92" s="2"/>
      <c r="P92" s="2"/>
      <c r="Q92" s="2"/>
      <c r="R92" s="2"/>
      <c r="S92" s="2"/>
      <c r="T92" s="2"/>
      <c r="U92" s="222"/>
      <c r="V92" s="2"/>
      <c r="W92" s="2"/>
      <c r="X92" s="2"/>
      <c r="Y92" s="89"/>
      <c r="Z92" s="89"/>
      <c r="AA92" s="2"/>
      <c r="AB92" s="2"/>
      <c r="AC92" s="2"/>
    </row>
    <row r="93" spans="1:29" ht="15.75" customHeight="1" x14ac:dyDescent="0.3">
      <c r="A93" s="2"/>
      <c r="C93" s="2"/>
      <c r="D93" s="2"/>
      <c r="E93" s="2"/>
      <c r="F93" s="2"/>
      <c r="G93" s="92"/>
      <c r="H93" s="2"/>
      <c r="I93" s="2"/>
      <c r="J93" s="2"/>
      <c r="K93" s="90"/>
      <c r="L93" s="2"/>
      <c r="N93" s="2"/>
      <c r="O93" s="2"/>
      <c r="P93" s="2"/>
      <c r="Q93" s="2"/>
      <c r="R93" s="2"/>
      <c r="S93" s="2"/>
      <c r="T93" s="2"/>
      <c r="U93" s="222"/>
      <c r="V93" s="2"/>
      <c r="W93" s="2"/>
      <c r="X93" s="2"/>
      <c r="Y93" s="89"/>
      <c r="Z93" s="89"/>
      <c r="AA93" s="2"/>
      <c r="AB93" s="2"/>
      <c r="AC93" s="2"/>
    </row>
    <row r="94" spans="1:29" ht="15.75" customHeight="1" x14ac:dyDescent="0.3">
      <c r="A94" s="2"/>
      <c r="C94" s="2"/>
      <c r="D94" s="2"/>
      <c r="E94" s="2"/>
      <c r="F94" s="2"/>
      <c r="G94" s="92"/>
      <c r="H94" s="2"/>
      <c r="I94" s="2"/>
      <c r="J94" s="2"/>
      <c r="K94" s="90"/>
      <c r="L94" s="2"/>
      <c r="N94" s="2"/>
      <c r="O94" s="2"/>
      <c r="P94" s="2"/>
      <c r="Q94" s="2"/>
      <c r="R94" s="2"/>
      <c r="S94" s="2"/>
      <c r="T94" s="2"/>
      <c r="U94" s="222"/>
      <c r="V94" s="2"/>
      <c r="W94" s="2"/>
      <c r="X94" s="2"/>
      <c r="Y94" s="89"/>
      <c r="Z94" s="89"/>
      <c r="AA94" s="2"/>
      <c r="AB94" s="2"/>
      <c r="AC94" s="2"/>
    </row>
    <row r="95" spans="1:29" ht="15.75" customHeight="1" x14ac:dyDescent="0.3">
      <c r="A95" s="2"/>
      <c r="C95" s="2"/>
      <c r="D95" s="2"/>
      <c r="E95" s="2"/>
      <c r="F95" s="2"/>
      <c r="G95" s="92"/>
      <c r="H95" s="2"/>
      <c r="I95" s="2"/>
      <c r="J95" s="2"/>
      <c r="K95" s="90"/>
      <c r="L95" s="2"/>
      <c r="N95" s="2"/>
      <c r="O95" s="2"/>
      <c r="P95" s="2"/>
      <c r="Q95" s="2"/>
      <c r="R95" s="2"/>
      <c r="S95" s="2"/>
      <c r="T95" s="2"/>
      <c r="U95" s="222"/>
      <c r="V95" s="2"/>
      <c r="W95" s="2"/>
      <c r="X95" s="2"/>
      <c r="Z95" s="2"/>
      <c r="AA95" s="2"/>
      <c r="AB95" s="2"/>
      <c r="AC95" s="2"/>
    </row>
    <row r="96" spans="1:29" ht="15.75" customHeight="1" x14ac:dyDescent="0.3">
      <c r="A96" s="2"/>
      <c r="C96" s="2"/>
      <c r="D96" s="2"/>
      <c r="E96" s="2"/>
      <c r="F96" s="2"/>
      <c r="G96" s="92"/>
      <c r="H96" s="2"/>
      <c r="I96" s="2"/>
      <c r="J96" s="2"/>
      <c r="K96" s="90"/>
      <c r="L96" s="2"/>
      <c r="N96" s="2"/>
      <c r="O96" s="2"/>
      <c r="P96" s="2"/>
      <c r="Q96" s="2"/>
      <c r="R96" s="2"/>
      <c r="S96" s="2"/>
      <c r="T96" s="2"/>
      <c r="U96" s="222"/>
      <c r="V96" s="2"/>
      <c r="W96" s="2"/>
      <c r="X96" s="2"/>
      <c r="Z96" s="2"/>
      <c r="AA96" s="2"/>
      <c r="AB96" s="2"/>
      <c r="AC96" s="2"/>
    </row>
    <row r="97" spans="1:29" ht="15.75" customHeight="1" x14ac:dyDescent="0.3">
      <c r="A97" s="2"/>
      <c r="C97" s="2"/>
      <c r="D97" s="2"/>
      <c r="E97" s="2"/>
      <c r="F97" s="2"/>
      <c r="G97" s="92"/>
      <c r="H97" s="2"/>
      <c r="I97" s="2"/>
      <c r="J97" s="2"/>
      <c r="K97" s="90"/>
      <c r="L97" s="2"/>
      <c r="N97" s="2"/>
      <c r="O97" s="2"/>
      <c r="P97" s="2"/>
      <c r="Q97" s="2"/>
      <c r="R97" s="2"/>
      <c r="S97" s="2"/>
      <c r="T97" s="2"/>
      <c r="U97" s="222"/>
      <c r="V97" s="2"/>
      <c r="W97" s="2"/>
      <c r="X97" s="2"/>
      <c r="Z97" s="2"/>
      <c r="AA97" s="2"/>
      <c r="AB97" s="2"/>
      <c r="AC97" s="2"/>
    </row>
    <row r="98" spans="1:29" ht="15.75" customHeight="1" x14ac:dyDescent="0.3">
      <c r="A98" s="2"/>
      <c r="C98" s="2"/>
      <c r="D98" s="2"/>
      <c r="E98" s="2"/>
      <c r="F98" s="2"/>
      <c r="G98" s="92"/>
      <c r="H98" s="2"/>
      <c r="I98" s="2"/>
      <c r="J98" s="2"/>
      <c r="K98" s="90"/>
      <c r="L98" s="2"/>
      <c r="N98" s="2"/>
      <c r="O98" s="2"/>
      <c r="P98" s="2"/>
      <c r="Q98" s="2"/>
      <c r="R98" s="2"/>
      <c r="S98" s="2"/>
      <c r="T98" s="2"/>
      <c r="U98" s="222"/>
      <c r="V98" s="2"/>
      <c r="W98" s="2"/>
      <c r="X98" s="2"/>
      <c r="Z98" s="2"/>
      <c r="AA98" s="2"/>
      <c r="AB98" s="2"/>
      <c r="AC98" s="2"/>
    </row>
    <row r="99" spans="1:29" ht="15.75" customHeight="1" x14ac:dyDescent="0.3">
      <c r="A99" s="2"/>
      <c r="C99" s="2"/>
      <c r="D99" s="2"/>
      <c r="E99" s="2"/>
      <c r="F99" s="2"/>
      <c r="G99" s="92"/>
      <c r="H99" s="2"/>
      <c r="I99" s="2"/>
      <c r="J99" s="2"/>
      <c r="K99" s="90"/>
      <c r="L99" s="2"/>
      <c r="N99" s="2"/>
      <c r="O99" s="2"/>
      <c r="P99" s="2"/>
      <c r="Q99" s="2"/>
      <c r="R99" s="2"/>
      <c r="S99" s="2"/>
      <c r="T99" s="2"/>
      <c r="U99" s="222"/>
      <c r="V99" s="2"/>
      <c r="W99" s="2"/>
      <c r="X99" s="2"/>
      <c r="Z99" s="2"/>
      <c r="AA99" s="2"/>
      <c r="AB99" s="2"/>
      <c r="AC99" s="2"/>
    </row>
    <row r="100" spans="1:29" ht="15.75" customHeight="1" x14ac:dyDescent="0.3">
      <c r="A100" s="2"/>
      <c r="C100" s="2"/>
      <c r="D100" s="2"/>
      <c r="E100" s="2"/>
      <c r="F100" s="2"/>
      <c r="G100" s="92"/>
      <c r="H100" s="2"/>
      <c r="I100" s="2"/>
      <c r="J100" s="2"/>
      <c r="K100" s="90"/>
      <c r="L100" s="2"/>
      <c r="N100" s="2"/>
      <c r="O100" s="2"/>
      <c r="P100" s="2"/>
      <c r="Q100" s="2"/>
      <c r="R100" s="2"/>
      <c r="S100" s="2"/>
      <c r="T100" s="2"/>
      <c r="U100" s="222"/>
      <c r="V100" s="2"/>
      <c r="W100" s="2"/>
      <c r="X100" s="2"/>
      <c r="Z100" s="2"/>
      <c r="AA100" s="2"/>
      <c r="AB100" s="2"/>
      <c r="AC100" s="2"/>
    </row>
    <row r="101" spans="1:29" ht="15.75" customHeight="1" x14ac:dyDescent="0.3">
      <c r="A101" s="2"/>
      <c r="C101" s="2"/>
      <c r="D101" s="2"/>
      <c r="E101" s="2"/>
      <c r="F101" s="2"/>
      <c r="G101" s="92"/>
      <c r="H101" s="2"/>
      <c r="I101" s="2"/>
      <c r="J101" s="2"/>
      <c r="K101" s="90"/>
      <c r="L101" s="2"/>
      <c r="N101" s="2"/>
      <c r="O101" s="2"/>
      <c r="P101" s="2"/>
      <c r="Q101" s="2"/>
      <c r="R101" s="2"/>
      <c r="S101" s="2"/>
      <c r="T101" s="2"/>
      <c r="U101" s="222"/>
      <c r="V101" s="2"/>
      <c r="W101" s="2"/>
      <c r="X101" s="2"/>
      <c r="Z101" s="2"/>
      <c r="AA101" s="2"/>
      <c r="AB101" s="2"/>
      <c r="AC101" s="2"/>
    </row>
    <row r="102" spans="1:29" ht="15.75" customHeight="1" x14ac:dyDescent="0.3">
      <c r="A102" s="2"/>
      <c r="C102" s="2"/>
      <c r="D102" s="2"/>
      <c r="E102" s="2"/>
      <c r="F102" s="2"/>
      <c r="G102" s="92"/>
      <c r="H102" s="2"/>
      <c r="I102" s="2"/>
      <c r="J102" s="2"/>
      <c r="K102" s="90"/>
      <c r="L102" s="2"/>
      <c r="N102" s="2"/>
      <c r="O102" s="2"/>
      <c r="P102" s="2"/>
      <c r="Q102" s="2"/>
      <c r="R102" s="2"/>
      <c r="S102" s="2"/>
      <c r="T102" s="2"/>
      <c r="U102" s="222"/>
      <c r="V102" s="2"/>
      <c r="W102" s="2"/>
      <c r="X102" s="2"/>
      <c r="Z102" s="2"/>
      <c r="AA102" s="2"/>
      <c r="AB102" s="2"/>
      <c r="AC102" s="2"/>
    </row>
    <row r="103" spans="1:29" ht="15.75" customHeight="1" x14ac:dyDescent="0.3">
      <c r="A103" s="2"/>
      <c r="C103" s="2"/>
      <c r="D103" s="2"/>
      <c r="E103" s="2"/>
      <c r="F103" s="2"/>
      <c r="G103" s="92"/>
      <c r="H103" s="2"/>
      <c r="I103" s="2"/>
      <c r="J103" s="2"/>
      <c r="K103" s="90"/>
      <c r="L103" s="2"/>
      <c r="N103" s="2"/>
      <c r="O103" s="2"/>
      <c r="P103" s="2"/>
      <c r="Q103" s="2"/>
      <c r="R103" s="2"/>
      <c r="S103" s="2"/>
      <c r="T103" s="2"/>
      <c r="U103" s="222"/>
      <c r="V103" s="2"/>
      <c r="W103" s="2"/>
      <c r="X103" s="2"/>
      <c r="Z103" s="2"/>
      <c r="AA103" s="2"/>
      <c r="AB103" s="2"/>
      <c r="AC103" s="2"/>
    </row>
    <row r="104" spans="1:29" ht="15.75" customHeight="1" x14ac:dyDescent="0.3">
      <c r="A104" s="2"/>
      <c r="C104" s="2"/>
      <c r="D104" s="2"/>
      <c r="E104" s="2"/>
      <c r="F104" s="2"/>
      <c r="G104" s="92"/>
      <c r="H104" s="2"/>
      <c r="I104" s="2"/>
      <c r="J104" s="2"/>
      <c r="K104" s="90"/>
      <c r="L104" s="2"/>
      <c r="N104" s="2"/>
      <c r="O104" s="2"/>
      <c r="P104" s="2"/>
      <c r="Q104" s="2"/>
      <c r="R104" s="2"/>
      <c r="S104" s="2"/>
      <c r="T104" s="2"/>
      <c r="U104" s="222"/>
      <c r="V104" s="2"/>
      <c r="W104" s="2"/>
      <c r="X104" s="2"/>
      <c r="Z104" s="2"/>
      <c r="AA104" s="2"/>
      <c r="AB104" s="2"/>
      <c r="AC104" s="2"/>
    </row>
    <row r="105" spans="1:29" ht="15.75" customHeight="1" x14ac:dyDescent="0.3">
      <c r="A105" s="2"/>
      <c r="C105" s="2"/>
      <c r="D105" s="2"/>
      <c r="E105" s="2"/>
      <c r="F105" s="2"/>
      <c r="G105" s="92"/>
      <c r="H105" s="2"/>
      <c r="I105" s="2"/>
      <c r="J105" s="2"/>
      <c r="K105" s="90"/>
      <c r="L105" s="2"/>
      <c r="N105" s="2"/>
      <c r="O105" s="2"/>
      <c r="P105" s="2"/>
      <c r="Q105" s="2"/>
      <c r="R105" s="2"/>
      <c r="S105" s="2"/>
      <c r="T105" s="2"/>
      <c r="U105" s="222"/>
      <c r="V105" s="2"/>
      <c r="W105" s="2"/>
      <c r="X105" s="2"/>
      <c r="Z105" s="2"/>
      <c r="AA105" s="2"/>
      <c r="AB105" s="2"/>
      <c r="AC105" s="2"/>
    </row>
    <row r="106" spans="1:29" ht="15.75" customHeight="1" x14ac:dyDescent="0.3">
      <c r="A106" s="2"/>
      <c r="C106" s="2"/>
      <c r="D106" s="2"/>
      <c r="E106" s="2"/>
      <c r="F106" s="2"/>
      <c r="G106" s="92"/>
      <c r="H106" s="2"/>
      <c r="I106" s="2"/>
      <c r="J106" s="2"/>
      <c r="K106" s="90"/>
      <c r="L106" s="2"/>
      <c r="N106" s="2"/>
      <c r="O106" s="2"/>
      <c r="P106" s="2"/>
      <c r="Q106" s="2"/>
      <c r="R106" s="2"/>
      <c r="S106" s="2"/>
      <c r="T106" s="2"/>
      <c r="U106" s="222"/>
      <c r="V106" s="2"/>
      <c r="W106" s="2"/>
      <c r="X106" s="2"/>
      <c r="Z106" s="2"/>
      <c r="AA106" s="2"/>
      <c r="AB106" s="2"/>
      <c r="AC106" s="2"/>
    </row>
    <row r="107" spans="1:29" ht="15.75" customHeight="1" x14ac:dyDescent="0.3">
      <c r="A107" s="2"/>
      <c r="C107" s="2"/>
      <c r="D107" s="2"/>
      <c r="E107" s="2"/>
      <c r="F107" s="2"/>
      <c r="G107" s="92"/>
      <c r="H107" s="2"/>
      <c r="I107" s="2"/>
      <c r="J107" s="2"/>
      <c r="K107" s="90"/>
      <c r="L107" s="2"/>
      <c r="N107" s="2"/>
      <c r="O107" s="2"/>
      <c r="P107" s="2"/>
      <c r="Q107" s="2"/>
      <c r="R107" s="2"/>
      <c r="S107" s="2"/>
      <c r="T107" s="2"/>
      <c r="U107" s="222"/>
      <c r="V107" s="2"/>
      <c r="W107" s="2"/>
      <c r="X107" s="2"/>
      <c r="Z107" s="2"/>
      <c r="AA107" s="2"/>
      <c r="AB107" s="2"/>
      <c r="AC107" s="2"/>
    </row>
    <row r="108" spans="1:29" ht="15.75" customHeight="1" x14ac:dyDescent="0.3">
      <c r="A108" s="2"/>
      <c r="C108" s="2"/>
      <c r="D108" s="2"/>
      <c r="E108" s="2"/>
      <c r="F108" s="2"/>
      <c r="G108" s="92"/>
      <c r="H108" s="2"/>
      <c r="I108" s="2"/>
      <c r="J108" s="2"/>
      <c r="K108" s="90"/>
      <c r="L108" s="2"/>
      <c r="N108" s="2"/>
      <c r="O108" s="2"/>
      <c r="P108" s="2"/>
      <c r="Q108" s="2"/>
      <c r="R108" s="2"/>
      <c r="S108" s="2"/>
      <c r="T108" s="2"/>
      <c r="U108" s="222"/>
      <c r="V108" s="2"/>
      <c r="W108" s="2"/>
      <c r="X108" s="2"/>
      <c r="Z108" s="2"/>
      <c r="AA108" s="2"/>
      <c r="AB108" s="2"/>
      <c r="AC108" s="2"/>
    </row>
    <row r="109" spans="1:29" ht="15.75" customHeight="1" x14ac:dyDescent="0.3">
      <c r="A109" s="2"/>
      <c r="C109" s="2"/>
      <c r="D109" s="2"/>
      <c r="E109" s="2"/>
      <c r="F109" s="2"/>
      <c r="G109" s="92"/>
      <c r="H109" s="2"/>
      <c r="I109" s="2"/>
      <c r="J109" s="2"/>
      <c r="K109" s="90"/>
      <c r="L109" s="2"/>
      <c r="N109" s="2"/>
      <c r="O109" s="2"/>
      <c r="P109" s="2"/>
      <c r="Q109" s="2"/>
      <c r="R109" s="2"/>
      <c r="S109" s="2"/>
      <c r="T109" s="2"/>
      <c r="U109" s="222"/>
      <c r="V109" s="2"/>
      <c r="W109" s="2"/>
      <c r="X109" s="2"/>
      <c r="Z109" s="2"/>
      <c r="AA109" s="2"/>
      <c r="AB109" s="2"/>
      <c r="AC109" s="2"/>
    </row>
    <row r="110" spans="1:29" ht="15.75" customHeight="1" x14ac:dyDescent="0.3">
      <c r="A110" s="2"/>
      <c r="C110" s="2"/>
      <c r="D110" s="2"/>
      <c r="E110" s="2"/>
      <c r="F110" s="2"/>
      <c r="G110" s="92"/>
      <c r="H110" s="2"/>
      <c r="I110" s="2"/>
      <c r="J110" s="2"/>
      <c r="K110" s="90"/>
      <c r="L110" s="2"/>
      <c r="N110" s="2"/>
      <c r="O110" s="2"/>
      <c r="P110" s="2"/>
      <c r="Q110" s="2"/>
      <c r="R110" s="2"/>
      <c r="S110" s="2"/>
      <c r="T110" s="2"/>
      <c r="U110" s="222"/>
      <c r="V110" s="2"/>
      <c r="W110" s="2"/>
      <c r="X110" s="2"/>
      <c r="Z110" s="2"/>
      <c r="AA110" s="2"/>
      <c r="AB110" s="2"/>
      <c r="AC110" s="2"/>
    </row>
    <row r="111" spans="1:29" ht="15.75" customHeight="1" x14ac:dyDescent="0.3">
      <c r="A111" s="2"/>
      <c r="C111" s="2"/>
      <c r="D111" s="2"/>
      <c r="E111" s="2"/>
      <c r="F111" s="2"/>
      <c r="G111" s="92"/>
      <c r="H111" s="2"/>
      <c r="I111" s="2"/>
      <c r="J111" s="2"/>
      <c r="K111" s="90"/>
      <c r="L111" s="2"/>
      <c r="N111" s="2"/>
      <c r="O111" s="2"/>
      <c r="P111" s="2"/>
      <c r="Q111" s="2"/>
      <c r="R111" s="2"/>
      <c r="S111" s="2"/>
      <c r="T111" s="2"/>
      <c r="U111" s="222"/>
      <c r="V111" s="2"/>
      <c r="W111" s="2"/>
      <c r="X111" s="2"/>
      <c r="Z111" s="2"/>
      <c r="AA111" s="2"/>
      <c r="AB111" s="2"/>
      <c r="AC111" s="2"/>
    </row>
    <row r="112" spans="1:29" ht="15.75" customHeight="1" x14ac:dyDescent="0.3">
      <c r="A112" s="2"/>
      <c r="C112" s="2"/>
      <c r="D112" s="2"/>
      <c r="E112" s="2"/>
      <c r="F112" s="2"/>
      <c r="G112" s="92"/>
      <c r="H112" s="2"/>
      <c r="I112" s="2"/>
      <c r="J112" s="2"/>
      <c r="K112" s="90"/>
      <c r="L112" s="2"/>
      <c r="N112" s="2"/>
      <c r="O112" s="2"/>
      <c r="P112" s="2"/>
      <c r="Q112" s="2"/>
      <c r="R112" s="2"/>
      <c r="S112" s="2"/>
      <c r="T112" s="2"/>
      <c r="U112" s="222"/>
      <c r="V112" s="2"/>
      <c r="W112" s="2"/>
      <c r="X112" s="2"/>
      <c r="Z112" s="2"/>
      <c r="AA112" s="2"/>
      <c r="AB112" s="2"/>
      <c r="AC112" s="2"/>
    </row>
    <row r="113" spans="1:29" ht="15.75" customHeight="1" x14ac:dyDescent="0.3">
      <c r="A113" s="2"/>
      <c r="C113" s="2"/>
      <c r="D113" s="2"/>
      <c r="E113" s="2"/>
      <c r="F113" s="2"/>
      <c r="G113" s="92"/>
      <c r="H113" s="2"/>
      <c r="I113" s="2"/>
      <c r="J113" s="2"/>
      <c r="K113" s="90"/>
      <c r="L113" s="2"/>
      <c r="N113" s="2"/>
      <c r="O113" s="2"/>
      <c r="P113" s="2"/>
      <c r="Q113" s="2"/>
      <c r="R113" s="2"/>
      <c r="S113" s="2"/>
      <c r="T113" s="2"/>
      <c r="U113" s="222"/>
      <c r="V113" s="2"/>
      <c r="W113" s="2"/>
      <c r="X113" s="2"/>
      <c r="Z113" s="2"/>
      <c r="AA113" s="2"/>
      <c r="AB113" s="2"/>
      <c r="AC113" s="2"/>
    </row>
    <row r="114" spans="1:29" ht="15.75" customHeight="1" x14ac:dyDescent="0.3">
      <c r="A114" s="2"/>
      <c r="C114" s="2"/>
      <c r="D114" s="2"/>
      <c r="E114" s="2"/>
      <c r="F114" s="2"/>
      <c r="G114" s="92"/>
      <c r="H114" s="2"/>
      <c r="I114" s="2"/>
      <c r="J114" s="2"/>
      <c r="K114" s="90"/>
      <c r="L114" s="2"/>
      <c r="N114" s="2"/>
      <c r="O114" s="2"/>
      <c r="P114" s="2"/>
      <c r="Q114" s="2"/>
      <c r="R114" s="2"/>
      <c r="S114" s="2"/>
      <c r="T114" s="2"/>
      <c r="U114" s="222"/>
      <c r="V114" s="2"/>
      <c r="W114" s="2"/>
      <c r="X114" s="2"/>
      <c r="Z114" s="2"/>
      <c r="AA114" s="2"/>
      <c r="AB114" s="2"/>
      <c r="AC114" s="2"/>
    </row>
    <row r="115" spans="1:29" ht="15.75" customHeight="1" x14ac:dyDescent="0.3">
      <c r="A115" s="2"/>
      <c r="C115" s="2"/>
      <c r="D115" s="2"/>
      <c r="E115" s="2"/>
      <c r="F115" s="2"/>
      <c r="G115" s="92"/>
      <c r="H115" s="2"/>
      <c r="I115" s="2"/>
      <c r="J115" s="2"/>
      <c r="K115" s="90"/>
      <c r="L115" s="2"/>
      <c r="N115" s="2"/>
      <c r="O115" s="2"/>
      <c r="P115" s="2"/>
      <c r="Q115" s="2"/>
      <c r="R115" s="2"/>
      <c r="S115" s="2"/>
      <c r="T115" s="2"/>
      <c r="U115" s="222"/>
      <c r="V115" s="2"/>
      <c r="W115" s="2"/>
      <c r="X115" s="2"/>
      <c r="Z115" s="2"/>
      <c r="AA115" s="2"/>
      <c r="AB115" s="2"/>
      <c r="AC115" s="2"/>
    </row>
    <row r="116" spans="1:29" ht="15.75" customHeight="1" x14ac:dyDescent="0.3">
      <c r="A116" s="2"/>
      <c r="C116" s="2"/>
      <c r="D116" s="2"/>
      <c r="E116" s="2"/>
      <c r="F116" s="2"/>
      <c r="G116" s="92"/>
      <c r="H116" s="2"/>
      <c r="I116" s="2"/>
      <c r="J116" s="2"/>
      <c r="K116" s="90"/>
      <c r="L116" s="2"/>
      <c r="N116" s="2"/>
      <c r="O116" s="2"/>
      <c r="P116" s="2"/>
      <c r="Q116" s="2"/>
      <c r="R116" s="2"/>
      <c r="S116" s="2"/>
      <c r="T116" s="2"/>
      <c r="U116" s="222"/>
      <c r="V116" s="2"/>
      <c r="W116" s="2"/>
      <c r="X116" s="2"/>
      <c r="Z116" s="2"/>
      <c r="AA116" s="2"/>
      <c r="AB116" s="2"/>
      <c r="AC116" s="2"/>
    </row>
    <row r="117" spans="1:29" ht="15.75" customHeight="1" x14ac:dyDescent="0.3">
      <c r="A117" s="2"/>
      <c r="C117" s="2"/>
      <c r="D117" s="2"/>
      <c r="E117" s="2"/>
      <c r="F117" s="2"/>
      <c r="G117" s="92"/>
      <c r="H117" s="2"/>
      <c r="I117" s="2"/>
      <c r="J117" s="2"/>
      <c r="K117" s="90"/>
      <c r="L117" s="2"/>
      <c r="N117" s="2"/>
      <c r="O117" s="2"/>
      <c r="P117" s="2"/>
      <c r="Q117" s="2"/>
      <c r="R117" s="2"/>
      <c r="S117" s="2"/>
      <c r="T117" s="2"/>
      <c r="U117" s="222"/>
      <c r="V117" s="2"/>
      <c r="W117" s="2"/>
      <c r="X117" s="2"/>
      <c r="Z117" s="2"/>
      <c r="AA117" s="2"/>
      <c r="AB117" s="2"/>
      <c r="AC117" s="2"/>
    </row>
    <row r="118" spans="1:29" ht="15.75" customHeight="1" x14ac:dyDescent="0.3">
      <c r="A118" s="2"/>
      <c r="C118" s="2"/>
      <c r="D118" s="2"/>
      <c r="E118" s="2"/>
      <c r="F118" s="2"/>
      <c r="G118" s="92"/>
      <c r="H118" s="2"/>
      <c r="I118" s="2"/>
      <c r="J118" s="2"/>
      <c r="K118" s="90"/>
      <c r="L118" s="2"/>
      <c r="N118" s="2"/>
      <c r="O118" s="2"/>
      <c r="P118" s="2"/>
      <c r="Q118" s="2"/>
      <c r="R118" s="2"/>
      <c r="S118" s="2"/>
      <c r="T118" s="2"/>
      <c r="U118" s="222"/>
      <c r="V118" s="2"/>
      <c r="W118" s="2"/>
      <c r="X118" s="2"/>
      <c r="Z118" s="2"/>
      <c r="AA118" s="2"/>
      <c r="AB118" s="2"/>
      <c r="AC118" s="2"/>
    </row>
    <row r="119" spans="1:29" ht="15.75" customHeight="1" x14ac:dyDescent="0.3">
      <c r="A119" s="2"/>
      <c r="C119" s="2"/>
      <c r="D119" s="2"/>
      <c r="E119" s="2"/>
      <c r="F119" s="2"/>
      <c r="G119" s="92"/>
      <c r="H119" s="2"/>
      <c r="I119" s="2"/>
      <c r="J119" s="2"/>
      <c r="K119" s="90"/>
      <c r="L119" s="2"/>
      <c r="N119" s="2"/>
      <c r="O119" s="2"/>
      <c r="P119" s="2"/>
      <c r="Q119" s="2"/>
      <c r="R119" s="2"/>
      <c r="S119" s="2"/>
      <c r="T119" s="2"/>
      <c r="U119" s="222"/>
      <c r="V119" s="2"/>
      <c r="W119" s="2"/>
      <c r="X119" s="2"/>
      <c r="Z119" s="2"/>
      <c r="AA119" s="2"/>
      <c r="AB119" s="2"/>
      <c r="AC119" s="2"/>
    </row>
    <row r="120" spans="1:29" ht="15.75" customHeight="1" x14ac:dyDescent="0.3">
      <c r="A120" s="2"/>
      <c r="C120" s="2"/>
      <c r="D120" s="2"/>
      <c r="E120" s="2"/>
      <c r="F120" s="2"/>
      <c r="G120" s="92"/>
      <c r="H120" s="2"/>
      <c r="I120" s="2"/>
      <c r="J120" s="2"/>
      <c r="K120" s="90"/>
      <c r="L120" s="2"/>
      <c r="N120" s="2"/>
      <c r="O120" s="2"/>
      <c r="P120" s="2"/>
      <c r="Q120" s="2"/>
      <c r="R120" s="2"/>
      <c r="S120" s="2"/>
      <c r="T120" s="2"/>
      <c r="U120" s="222"/>
      <c r="V120" s="2"/>
      <c r="W120" s="2"/>
      <c r="X120" s="2"/>
      <c r="Z120" s="2"/>
      <c r="AA120" s="2"/>
      <c r="AB120" s="2"/>
      <c r="AC120" s="2"/>
    </row>
    <row r="121" spans="1:29" ht="15.75" customHeight="1" x14ac:dyDescent="0.3">
      <c r="A121" s="2"/>
      <c r="C121" s="2"/>
      <c r="D121" s="2"/>
      <c r="E121" s="2"/>
      <c r="F121" s="2"/>
      <c r="G121" s="92"/>
      <c r="H121" s="2"/>
      <c r="I121" s="2"/>
      <c r="J121" s="2"/>
      <c r="K121" s="90"/>
      <c r="L121" s="2"/>
      <c r="N121" s="2"/>
      <c r="O121" s="2"/>
      <c r="P121" s="2"/>
      <c r="Q121" s="2"/>
      <c r="R121" s="2"/>
      <c r="S121" s="2"/>
      <c r="T121" s="2"/>
      <c r="U121" s="222"/>
      <c r="V121" s="2"/>
      <c r="W121" s="2"/>
      <c r="X121" s="2"/>
      <c r="Z121" s="2"/>
      <c r="AA121" s="2"/>
      <c r="AB121" s="2"/>
      <c r="AC121" s="2"/>
    </row>
    <row r="122" spans="1:29" ht="15.75" customHeight="1" x14ac:dyDescent="0.3">
      <c r="A122" s="2"/>
      <c r="C122" s="2"/>
      <c r="D122" s="2"/>
      <c r="E122" s="2"/>
      <c r="F122" s="2"/>
      <c r="G122" s="92"/>
      <c r="H122" s="2"/>
      <c r="I122" s="2"/>
      <c r="J122" s="2"/>
      <c r="K122" s="90"/>
      <c r="L122" s="2"/>
      <c r="N122" s="2"/>
      <c r="O122" s="2"/>
      <c r="P122" s="2"/>
      <c r="Q122" s="2"/>
      <c r="R122" s="2"/>
      <c r="S122" s="2"/>
      <c r="T122" s="2"/>
      <c r="U122" s="222"/>
      <c r="V122" s="2"/>
      <c r="W122" s="2"/>
      <c r="X122" s="2"/>
      <c r="Z122" s="2"/>
      <c r="AA122" s="2"/>
      <c r="AB122" s="2"/>
      <c r="AC122" s="2"/>
    </row>
    <row r="123" spans="1:29" ht="15.75" customHeight="1" x14ac:dyDescent="0.3">
      <c r="A123" s="2"/>
      <c r="C123" s="2"/>
      <c r="D123" s="2"/>
      <c r="E123" s="2"/>
      <c r="F123" s="2"/>
      <c r="G123" s="92"/>
      <c r="H123" s="2"/>
      <c r="I123" s="2"/>
      <c r="J123" s="2"/>
      <c r="K123" s="90"/>
      <c r="L123" s="2"/>
      <c r="N123" s="2"/>
      <c r="O123" s="2"/>
      <c r="P123" s="2"/>
      <c r="Q123" s="2"/>
      <c r="R123" s="2"/>
      <c r="S123" s="2"/>
      <c r="T123" s="2"/>
      <c r="U123" s="222"/>
      <c r="V123" s="2"/>
      <c r="W123" s="2"/>
      <c r="X123" s="2"/>
      <c r="Z123" s="2"/>
      <c r="AA123" s="2"/>
      <c r="AB123" s="2"/>
      <c r="AC123" s="2"/>
    </row>
    <row r="124" spans="1:29" ht="15.75" customHeight="1" x14ac:dyDescent="0.3">
      <c r="A124" s="2"/>
      <c r="C124" s="2"/>
      <c r="D124" s="2"/>
      <c r="E124" s="2"/>
      <c r="F124" s="2"/>
      <c r="G124" s="92"/>
      <c r="H124" s="2"/>
      <c r="I124" s="2"/>
      <c r="J124" s="2"/>
      <c r="K124" s="90"/>
      <c r="L124" s="2"/>
      <c r="N124" s="2"/>
      <c r="O124" s="2"/>
      <c r="P124" s="2"/>
      <c r="Q124" s="2"/>
      <c r="R124" s="2"/>
      <c r="S124" s="2"/>
      <c r="T124" s="2"/>
      <c r="U124" s="222"/>
      <c r="V124" s="2"/>
      <c r="W124" s="2"/>
      <c r="X124" s="2"/>
      <c r="Z124" s="2"/>
      <c r="AA124" s="2"/>
      <c r="AB124" s="2"/>
      <c r="AC124" s="2"/>
    </row>
    <row r="125" spans="1:29" ht="15.75" customHeight="1" x14ac:dyDescent="0.3">
      <c r="A125" s="2"/>
      <c r="C125" s="2"/>
      <c r="D125" s="2"/>
      <c r="E125" s="2"/>
      <c r="F125" s="2"/>
      <c r="G125" s="92"/>
      <c r="H125" s="2"/>
      <c r="I125" s="2"/>
      <c r="J125" s="2"/>
      <c r="K125" s="90"/>
      <c r="L125" s="2"/>
      <c r="N125" s="2"/>
      <c r="O125" s="2"/>
      <c r="P125" s="2"/>
      <c r="Q125" s="2"/>
      <c r="R125" s="2"/>
      <c r="S125" s="2"/>
      <c r="T125" s="2"/>
      <c r="U125" s="222"/>
      <c r="V125" s="2"/>
      <c r="W125" s="2"/>
      <c r="X125" s="2"/>
      <c r="Z125" s="2"/>
      <c r="AA125" s="2"/>
      <c r="AB125" s="2"/>
      <c r="AC125" s="2"/>
    </row>
    <row r="126" spans="1:29" ht="15.75" customHeight="1" x14ac:dyDescent="0.3">
      <c r="A126" s="2"/>
      <c r="C126" s="2"/>
      <c r="D126" s="2"/>
      <c r="E126" s="2"/>
      <c r="F126" s="2"/>
      <c r="G126" s="92"/>
      <c r="H126" s="2"/>
      <c r="I126" s="2"/>
      <c r="J126" s="2"/>
      <c r="K126" s="90"/>
      <c r="L126" s="2"/>
      <c r="N126" s="2"/>
      <c r="O126" s="2"/>
      <c r="P126" s="2"/>
      <c r="Q126" s="2"/>
      <c r="R126" s="2"/>
      <c r="S126" s="2"/>
      <c r="T126" s="2"/>
      <c r="U126" s="222"/>
      <c r="V126" s="2"/>
      <c r="W126" s="2"/>
      <c r="X126" s="2"/>
      <c r="Z126" s="2"/>
      <c r="AA126" s="2"/>
      <c r="AB126" s="2"/>
      <c r="AC126" s="2"/>
    </row>
    <row r="127" spans="1:29" ht="15.75" customHeight="1" x14ac:dyDescent="0.3">
      <c r="A127" s="2"/>
      <c r="C127" s="2"/>
      <c r="D127" s="2"/>
      <c r="E127" s="2"/>
      <c r="F127" s="2"/>
      <c r="G127" s="92"/>
      <c r="H127" s="2"/>
      <c r="I127" s="2"/>
      <c r="J127" s="2"/>
      <c r="K127" s="90"/>
      <c r="L127" s="2"/>
      <c r="N127" s="2"/>
      <c r="O127" s="2"/>
      <c r="P127" s="2"/>
      <c r="Q127" s="2"/>
      <c r="R127" s="2"/>
      <c r="S127" s="2"/>
      <c r="T127" s="2"/>
      <c r="U127" s="222"/>
      <c r="V127" s="2"/>
      <c r="W127" s="2"/>
      <c r="X127" s="2"/>
      <c r="Z127" s="2"/>
      <c r="AA127" s="2"/>
      <c r="AB127" s="2"/>
      <c r="AC127" s="2"/>
    </row>
    <row r="128" spans="1:29" ht="15.75" customHeight="1" x14ac:dyDescent="0.3">
      <c r="A128" s="2"/>
      <c r="C128" s="2"/>
      <c r="D128" s="2"/>
      <c r="E128" s="2"/>
      <c r="F128" s="2"/>
      <c r="G128" s="92"/>
      <c r="H128" s="2"/>
      <c r="I128" s="2"/>
      <c r="J128" s="2"/>
      <c r="K128" s="90"/>
      <c r="L128" s="2"/>
      <c r="N128" s="2"/>
      <c r="O128" s="2"/>
      <c r="P128" s="2"/>
      <c r="Q128" s="2"/>
      <c r="R128" s="2"/>
      <c r="S128" s="2"/>
      <c r="T128" s="2"/>
      <c r="U128" s="222"/>
      <c r="V128" s="2"/>
      <c r="W128" s="2"/>
      <c r="X128" s="2"/>
      <c r="Z128" s="2"/>
      <c r="AA128" s="2"/>
      <c r="AB128" s="2"/>
      <c r="AC128" s="2"/>
    </row>
    <row r="129" spans="1:29" ht="15.75" customHeight="1" x14ac:dyDescent="0.3">
      <c r="A129" s="2"/>
      <c r="C129" s="2"/>
      <c r="D129" s="2"/>
      <c r="E129" s="2"/>
      <c r="F129" s="2"/>
      <c r="G129" s="92"/>
      <c r="H129" s="2"/>
      <c r="I129" s="2"/>
      <c r="J129" s="2"/>
      <c r="K129" s="90"/>
      <c r="L129" s="2"/>
      <c r="N129" s="2"/>
      <c r="O129" s="2"/>
      <c r="P129" s="2"/>
      <c r="Q129" s="2"/>
      <c r="R129" s="2"/>
      <c r="S129" s="2"/>
      <c r="T129" s="2"/>
      <c r="U129" s="222"/>
      <c r="V129" s="2"/>
      <c r="W129" s="2"/>
      <c r="X129" s="2"/>
      <c r="Z129" s="2"/>
      <c r="AA129" s="2"/>
      <c r="AB129" s="2"/>
      <c r="AC129" s="2"/>
    </row>
    <row r="130" spans="1:29" ht="15.75" customHeight="1" x14ac:dyDescent="0.3">
      <c r="A130" s="2"/>
      <c r="C130" s="2"/>
      <c r="D130" s="2"/>
      <c r="E130" s="2"/>
      <c r="F130" s="2"/>
      <c r="G130" s="92"/>
      <c r="H130" s="2"/>
      <c r="I130" s="2"/>
      <c r="J130" s="2"/>
      <c r="K130" s="90"/>
      <c r="L130" s="2"/>
      <c r="N130" s="2"/>
      <c r="O130" s="2"/>
      <c r="P130" s="2"/>
      <c r="Q130" s="2"/>
      <c r="R130" s="2"/>
      <c r="S130" s="2"/>
      <c r="T130" s="2"/>
      <c r="U130" s="222"/>
      <c r="V130" s="2"/>
      <c r="W130" s="2"/>
      <c r="X130" s="2"/>
      <c r="Z130" s="2"/>
      <c r="AA130" s="2"/>
      <c r="AB130" s="2"/>
      <c r="AC130" s="2"/>
    </row>
    <row r="131" spans="1:29" ht="15.75" customHeight="1" x14ac:dyDescent="0.3">
      <c r="A131" s="2"/>
      <c r="C131" s="2"/>
      <c r="D131" s="2"/>
      <c r="E131" s="2"/>
      <c r="F131" s="2"/>
      <c r="G131" s="92"/>
      <c r="H131" s="2"/>
      <c r="I131" s="2"/>
      <c r="J131" s="2"/>
      <c r="K131" s="90"/>
      <c r="L131" s="2"/>
      <c r="N131" s="2"/>
      <c r="O131" s="2"/>
      <c r="P131" s="2"/>
      <c r="Q131" s="2"/>
      <c r="R131" s="2"/>
      <c r="S131" s="2"/>
      <c r="T131" s="2"/>
      <c r="U131" s="222"/>
      <c r="V131" s="2"/>
      <c r="W131" s="2"/>
      <c r="X131" s="2"/>
      <c r="Z131" s="2"/>
      <c r="AA131" s="2"/>
      <c r="AB131" s="2"/>
      <c r="AC131" s="2"/>
    </row>
    <row r="132" spans="1:29" ht="15.75" customHeight="1" x14ac:dyDescent="0.3">
      <c r="A132" s="2"/>
      <c r="C132" s="2"/>
      <c r="D132" s="2"/>
      <c r="E132" s="2"/>
      <c r="F132" s="2"/>
      <c r="G132" s="92"/>
      <c r="H132" s="2"/>
      <c r="I132" s="2"/>
      <c r="J132" s="2"/>
      <c r="K132" s="90"/>
      <c r="L132" s="2"/>
      <c r="N132" s="2"/>
      <c r="O132" s="2"/>
      <c r="P132" s="2"/>
      <c r="Q132" s="2"/>
      <c r="R132" s="2"/>
      <c r="S132" s="2"/>
      <c r="T132" s="2"/>
      <c r="U132" s="222"/>
      <c r="V132" s="2"/>
      <c r="W132" s="2"/>
      <c r="X132" s="2"/>
      <c r="Z132" s="2"/>
      <c r="AA132" s="2"/>
      <c r="AB132" s="2"/>
      <c r="AC132" s="2"/>
    </row>
    <row r="133" spans="1:29" ht="15.75" customHeight="1" x14ac:dyDescent="0.3">
      <c r="A133" s="2"/>
      <c r="C133" s="2"/>
      <c r="D133" s="2"/>
      <c r="E133" s="2"/>
      <c r="F133" s="2"/>
      <c r="G133" s="92"/>
      <c r="H133" s="2"/>
      <c r="I133" s="2"/>
      <c r="J133" s="2"/>
      <c r="K133" s="90"/>
      <c r="L133" s="2"/>
      <c r="N133" s="2"/>
      <c r="O133" s="2"/>
      <c r="P133" s="2"/>
      <c r="Q133" s="2"/>
      <c r="R133" s="2"/>
      <c r="S133" s="2"/>
      <c r="T133" s="2"/>
      <c r="U133" s="222"/>
      <c r="V133" s="2"/>
      <c r="W133" s="2"/>
      <c r="X133" s="2"/>
      <c r="Z133" s="2"/>
      <c r="AA133" s="2"/>
      <c r="AB133" s="2"/>
      <c r="AC133" s="2"/>
    </row>
    <row r="134" spans="1:29" ht="15.75" customHeight="1" x14ac:dyDescent="0.3">
      <c r="A134" s="2"/>
      <c r="C134" s="2"/>
      <c r="D134" s="2"/>
      <c r="E134" s="2"/>
      <c r="F134" s="2"/>
      <c r="G134" s="92"/>
      <c r="H134" s="2"/>
      <c r="I134" s="2"/>
      <c r="J134" s="2"/>
      <c r="K134" s="90"/>
      <c r="L134" s="2"/>
      <c r="N134" s="2"/>
      <c r="O134" s="2"/>
      <c r="P134" s="2"/>
      <c r="Q134" s="2"/>
      <c r="R134" s="2"/>
      <c r="S134" s="2"/>
      <c r="T134" s="2"/>
      <c r="U134" s="222"/>
      <c r="V134" s="2"/>
      <c r="W134" s="2"/>
      <c r="X134" s="2"/>
      <c r="Z134" s="2"/>
      <c r="AA134" s="2"/>
      <c r="AB134" s="2"/>
      <c r="AC134" s="2"/>
    </row>
    <row r="135" spans="1:29" ht="15.75" customHeight="1" x14ac:dyDescent="0.3">
      <c r="A135" s="2"/>
      <c r="C135" s="2"/>
      <c r="D135" s="2"/>
      <c r="E135" s="2"/>
      <c r="F135" s="2"/>
      <c r="G135" s="92"/>
      <c r="H135" s="2"/>
      <c r="I135" s="2"/>
      <c r="J135" s="2"/>
      <c r="K135" s="90"/>
      <c r="L135" s="2"/>
      <c r="N135" s="2"/>
      <c r="O135" s="2"/>
      <c r="P135" s="2"/>
      <c r="Q135" s="2"/>
      <c r="R135" s="2"/>
      <c r="S135" s="2"/>
      <c r="T135" s="2"/>
      <c r="U135" s="222"/>
      <c r="V135" s="2"/>
      <c r="W135" s="2"/>
      <c r="X135" s="2"/>
      <c r="Z135" s="2"/>
      <c r="AA135" s="2"/>
      <c r="AB135" s="2"/>
      <c r="AC135" s="2"/>
    </row>
    <row r="136" spans="1:29" ht="15.75" customHeight="1" x14ac:dyDescent="0.3">
      <c r="A136" s="2"/>
      <c r="C136" s="2"/>
      <c r="D136" s="2"/>
      <c r="E136" s="2"/>
      <c r="F136" s="2"/>
      <c r="G136" s="92"/>
      <c r="H136" s="2"/>
      <c r="I136" s="2"/>
      <c r="J136" s="2"/>
      <c r="K136" s="90"/>
      <c r="L136" s="2"/>
      <c r="N136" s="2"/>
      <c r="O136" s="2"/>
      <c r="P136" s="2"/>
      <c r="Q136" s="2"/>
      <c r="R136" s="2"/>
      <c r="S136" s="2"/>
      <c r="T136" s="2"/>
      <c r="U136" s="222"/>
      <c r="V136" s="2"/>
      <c r="W136" s="2"/>
      <c r="X136" s="2"/>
      <c r="Z136" s="2"/>
      <c r="AA136" s="2"/>
      <c r="AB136" s="2"/>
      <c r="AC136" s="2"/>
    </row>
    <row r="137" spans="1:29" ht="15.75" customHeight="1" x14ac:dyDescent="0.3">
      <c r="A137" s="2"/>
      <c r="C137" s="2"/>
      <c r="D137" s="2"/>
      <c r="E137" s="2"/>
      <c r="F137" s="2"/>
      <c r="G137" s="92"/>
      <c r="H137" s="2"/>
      <c r="I137" s="2"/>
      <c r="J137" s="2"/>
      <c r="K137" s="90"/>
      <c r="L137" s="2"/>
      <c r="N137" s="2"/>
      <c r="O137" s="2"/>
      <c r="P137" s="2"/>
      <c r="Q137" s="2"/>
      <c r="R137" s="2"/>
      <c r="S137" s="2"/>
      <c r="T137" s="2"/>
      <c r="U137" s="222"/>
      <c r="V137" s="2"/>
      <c r="W137" s="2"/>
      <c r="X137" s="2"/>
      <c r="Z137" s="2"/>
      <c r="AA137" s="2"/>
      <c r="AB137" s="2"/>
      <c r="AC137" s="2"/>
    </row>
    <row r="138" spans="1:29" ht="15.75" customHeight="1" x14ac:dyDescent="0.3">
      <c r="A138" s="2"/>
      <c r="C138" s="2"/>
      <c r="D138" s="2"/>
      <c r="E138" s="2"/>
      <c r="F138" s="2"/>
      <c r="G138" s="92"/>
      <c r="H138" s="2"/>
      <c r="I138" s="2"/>
      <c r="J138" s="2"/>
      <c r="K138" s="90"/>
      <c r="L138" s="2"/>
      <c r="N138" s="2"/>
      <c r="O138" s="2"/>
      <c r="P138" s="2"/>
      <c r="Q138" s="2"/>
      <c r="R138" s="2"/>
      <c r="S138" s="2"/>
      <c r="T138" s="2"/>
      <c r="U138" s="222"/>
      <c r="V138" s="2"/>
      <c r="W138" s="2"/>
      <c r="X138" s="2"/>
      <c r="Z138" s="2"/>
      <c r="AA138" s="2"/>
      <c r="AB138" s="2"/>
      <c r="AC138" s="2"/>
    </row>
    <row r="139" spans="1:29" ht="15.75" customHeight="1" x14ac:dyDescent="0.3">
      <c r="A139" s="2"/>
      <c r="C139" s="2"/>
      <c r="D139" s="2"/>
      <c r="E139" s="2"/>
      <c r="F139" s="2"/>
      <c r="G139" s="92"/>
      <c r="H139" s="2"/>
      <c r="I139" s="2"/>
      <c r="J139" s="2"/>
      <c r="K139" s="90"/>
      <c r="L139" s="2"/>
      <c r="N139" s="2"/>
      <c r="O139" s="2"/>
      <c r="P139" s="2"/>
      <c r="Q139" s="2"/>
      <c r="R139" s="2"/>
      <c r="S139" s="2"/>
      <c r="T139" s="2"/>
      <c r="U139" s="222"/>
      <c r="V139" s="2"/>
      <c r="W139" s="2"/>
      <c r="X139" s="2"/>
      <c r="Z139" s="2"/>
      <c r="AA139" s="2"/>
      <c r="AB139" s="2"/>
      <c r="AC139" s="2"/>
    </row>
    <row r="140" spans="1:29" ht="15.75" customHeight="1" x14ac:dyDescent="0.3">
      <c r="A140" s="2"/>
      <c r="C140" s="2"/>
      <c r="D140" s="2"/>
      <c r="E140" s="2"/>
      <c r="F140" s="2"/>
      <c r="G140" s="92"/>
      <c r="H140" s="2"/>
      <c r="I140" s="2"/>
      <c r="J140" s="2"/>
      <c r="K140" s="90"/>
      <c r="L140" s="2"/>
      <c r="N140" s="2"/>
      <c r="O140" s="2"/>
      <c r="P140" s="2"/>
      <c r="Q140" s="2"/>
      <c r="R140" s="2"/>
      <c r="S140" s="2"/>
      <c r="T140" s="2"/>
      <c r="U140" s="222"/>
      <c r="V140" s="2"/>
      <c r="W140" s="2"/>
      <c r="X140" s="2"/>
      <c r="Z140" s="2"/>
      <c r="AA140" s="2"/>
      <c r="AB140" s="2"/>
      <c r="AC140" s="2"/>
    </row>
    <row r="141" spans="1:29" ht="15.75" customHeight="1" x14ac:dyDescent="0.3">
      <c r="A141" s="2"/>
      <c r="C141" s="2"/>
      <c r="D141" s="2"/>
      <c r="E141" s="2"/>
      <c r="F141" s="2"/>
      <c r="G141" s="92"/>
      <c r="H141" s="2"/>
      <c r="I141" s="2"/>
      <c r="J141" s="2"/>
      <c r="K141" s="90"/>
      <c r="L141" s="2"/>
      <c r="N141" s="2"/>
      <c r="O141" s="2"/>
      <c r="P141" s="2"/>
      <c r="Q141" s="2"/>
      <c r="R141" s="2"/>
      <c r="S141" s="2"/>
      <c r="T141" s="2"/>
      <c r="U141" s="222"/>
      <c r="V141" s="2"/>
      <c r="W141" s="2"/>
      <c r="X141" s="2"/>
      <c r="Z141" s="2"/>
      <c r="AA141" s="2"/>
      <c r="AB141" s="2"/>
      <c r="AC141" s="2"/>
    </row>
    <row r="142" spans="1:29" ht="15.75" customHeight="1" x14ac:dyDescent="0.3">
      <c r="A142" s="2"/>
      <c r="C142" s="2"/>
      <c r="D142" s="2"/>
      <c r="E142" s="2"/>
      <c r="F142" s="2"/>
      <c r="G142" s="92"/>
      <c r="H142" s="2"/>
      <c r="I142" s="2"/>
      <c r="J142" s="2"/>
      <c r="K142" s="90"/>
      <c r="L142" s="2"/>
      <c r="N142" s="2"/>
      <c r="O142" s="2"/>
      <c r="P142" s="2"/>
      <c r="Q142" s="2"/>
      <c r="R142" s="2"/>
      <c r="S142" s="2"/>
      <c r="T142" s="2"/>
      <c r="U142" s="222"/>
      <c r="V142" s="2"/>
      <c r="W142" s="2"/>
      <c r="X142" s="2"/>
      <c r="Z142" s="2"/>
      <c r="AA142" s="2"/>
      <c r="AB142" s="2"/>
      <c r="AC142" s="2"/>
    </row>
    <row r="143" spans="1:29" ht="15.75" customHeight="1" x14ac:dyDescent="0.3">
      <c r="A143" s="2"/>
      <c r="C143" s="2"/>
      <c r="D143" s="2"/>
      <c r="E143" s="2"/>
      <c r="F143" s="2"/>
      <c r="G143" s="92"/>
      <c r="H143" s="2"/>
      <c r="I143" s="2"/>
      <c r="J143" s="2"/>
      <c r="K143" s="90"/>
      <c r="L143" s="2"/>
      <c r="N143" s="2"/>
      <c r="O143" s="2"/>
      <c r="P143" s="2"/>
      <c r="Q143" s="2"/>
      <c r="R143" s="2"/>
      <c r="S143" s="2"/>
      <c r="T143" s="2"/>
      <c r="U143" s="222"/>
      <c r="V143" s="2"/>
      <c r="W143" s="2"/>
      <c r="X143" s="2"/>
      <c r="Z143" s="2"/>
      <c r="AA143" s="2"/>
      <c r="AB143" s="2"/>
      <c r="AC143" s="2"/>
    </row>
    <row r="144" spans="1:29" ht="15.75" customHeight="1" x14ac:dyDescent="0.3">
      <c r="A144" s="2"/>
      <c r="C144" s="2"/>
      <c r="D144" s="2"/>
      <c r="E144" s="2"/>
      <c r="F144" s="2"/>
      <c r="G144" s="92"/>
      <c r="H144" s="2"/>
      <c r="I144" s="2"/>
      <c r="J144" s="2"/>
      <c r="K144" s="90"/>
      <c r="L144" s="2"/>
      <c r="N144" s="2"/>
      <c r="O144" s="2"/>
      <c r="P144" s="2"/>
      <c r="Q144" s="2"/>
      <c r="R144" s="2"/>
      <c r="S144" s="2"/>
      <c r="T144" s="2"/>
      <c r="U144" s="222"/>
      <c r="V144" s="2"/>
      <c r="W144" s="2"/>
      <c r="X144" s="2"/>
      <c r="Z144" s="2"/>
      <c r="AA144" s="2"/>
      <c r="AB144" s="2"/>
      <c r="AC144" s="2"/>
    </row>
    <row r="145" spans="1:29" ht="15.75" customHeight="1" x14ac:dyDescent="0.3">
      <c r="A145" s="2"/>
      <c r="C145" s="2"/>
      <c r="D145" s="2"/>
      <c r="E145" s="2"/>
      <c r="F145" s="2"/>
      <c r="G145" s="92"/>
      <c r="H145" s="2"/>
      <c r="I145" s="2"/>
      <c r="J145" s="2"/>
      <c r="K145" s="90"/>
      <c r="L145" s="2"/>
      <c r="N145" s="2"/>
      <c r="O145" s="2"/>
      <c r="P145" s="2"/>
      <c r="Q145" s="2"/>
      <c r="R145" s="2"/>
      <c r="S145" s="2"/>
      <c r="T145" s="2"/>
      <c r="U145" s="222"/>
      <c r="V145" s="2"/>
      <c r="W145" s="2"/>
      <c r="X145" s="2"/>
      <c r="Z145" s="2"/>
      <c r="AA145" s="2"/>
      <c r="AB145" s="2"/>
      <c r="AC145" s="2"/>
    </row>
    <row r="146" spans="1:29" ht="15.75" customHeight="1" x14ac:dyDescent="0.3">
      <c r="A146" s="2"/>
      <c r="C146" s="2"/>
      <c r="D146" s="2"/>
      <c r="E146" s="2"/>
      <c r="F146" s="2"/>
      <c r="G146" s="92"/>
      <c r="H146" s="2"/>
      <c r="I146" s="2"/>
      <c r="J146" s="2"/>
      <c r="K146" s="90"/>
      <c r="L146" s="2"/>
      <c r="N146" s="2"/>
      <c r="O146" s="2"/>
      <c r="P146" s="2"/>
      <c r="Q146" s="2"/>
      <c r="R146" s="2"/>
      <c r="S146" s="2"/>
      <c r="T146" s="2"/>
      <c r="U146" s="222"/>
      <c r="V146" s="2"/>
      <c r="W146" s="2"/>
      <c r="X146" s="2"/>
      <c r="Z146" s="2"/>
      <c r="AA146" s="2"/>
      <c r="AB146" s="2"/>
      <c r="AC146" s="2"/>
    </row>
    <row r="147" spans="1:29" ht="15.75" customHeight="1" x14ac:dyDescent="0.3">
      <c r="A147" s="2"/>
      <c r="C147" s="2"/>
      <c r="D147" s="2"/>
      <c r="E147" s="2"/>
      <c r="F147" s="2"/>
      <c r="G147" s="92"/>
      <c r="H147" s="2"/>
      <c r="I147" s="2"/>
      <c r="J147" s="2"/>
      <c r="K147" s="90"/>
      <c r="L147" s="2"/>
      <c r="N147" s="2"/>
      <c r="O147" s="2"/>
      <c r="P147" s="2"/>
      <c r="Q147" s="2"/>
      <c r="R147" s="2"/>
      <c r="S147" s="2"/>
      <c r="T147" s="2"/>
      <c r="U147" s="222"/>
      <c r="V147" s="2"/>
      <c r="W147" s="2"/>
      <c r="X147" s="2"/>
      <c r="Z147" s="2"/>
      <c r="AA147" s="2"/>
      <c r="AB147" s="2"/>
      <c r="AC147" s="2"/>
    </row>
    <row r="148" spans="1:29" ht="15.75" customHeight="1" x14ac:dyDescent="0.3">
      <c r="A148" s="2"/>
      <c r="C148" s="2"/>
      <c r="D148" s="2"/>
      <c r="E148" s="2"/>
      <c r="F148" s="2"/>
      <c r="G148" s="92"/>
      <c r="H148" s="2"/>
      <c r="I148" s="2"/>
      <c r="J148" s="2"/>
      <c r="K148" s="90"/>
      <c r="L148" s="2"/>
      <c r="N148" s="2"/>
      <c r="O148" s="2"/>
      <c r="P148" s="2"/>
      <c r="Q148" s="2"/>
      <c r="R148" s="2"/>
      <c r="S148" s="2"/>
      <c r="T148" s="2"/>
      <c r="U148" s="222"/>
      <c r="V148" s="2"/>
      <c r="W148" s="2"/>
      <c r="X148" s="2"/>
      <c r="Z148" s="2"/>
      <c r="AA148" s="2"/>
      <c r="AB148" s="2"/>
      <c r="AC148" s="2"/>
    </row>
    <row r="149" spans="1:29" ht="15.75" customHeight="1" x14ac:dyDescent="0.3">
      <c r="A149" s="2"/>
      <c r="C149" s="2"/>
      <c r="D149" s="2"/>
      <c r="E149" s="2"/>
      <c r="F149" s="2"/>
      <c r="G149" s="92"/>
      <c r="H149" s="2"/>
      <c r="I149" s="2"/>
      <c r="J149" s="2"/>
      <c r="K149" s="90"/>
      <c r="L149" s="2"/>
      <c r="N149" s="2"/>
      <c r="O149" s="2"/>
      <c r="P149" s="2"/>
      <c r="Q149" s="2"/>
      <c r="R149" s="2"/>
      <c r="S149" s="2"/>
      <c r="T149" s="2"/>
      <c r="U149" s="222"/>
      <c r="V149" s="2"/>
      <c r="W149" s="2"/>
      <c r="X149" s="2"/>
      <c r="Z149" s="2"/>
      <c r="AA149" s="2"/>
      <c r="AB149" s="2"/>
      <c r="AC149" s="2"/>
    </row>
    <row r="150" spans="1:29" ht="15.75" customHeight="1" x14ac:dyDescent="0.3">
      <c r="A150" s="2"/>
      <c r="C150" s="2"/>
      <c r="D150" s="2"/>
      <c r="E150" s="2"/>
      <c r="F150" s="2"/>
      <c r="G150" s="92"/>
      <c r="H150" s="2"/>
      <c r="I150" s="2"/>
      <c r="J150" s="2"/>
      <c r="K150" s="90"/>
      <c r="L150" s="2"/>
      <c r="N150" s="2"/>
      <c r="O150" s="2"/>
      <c r="P150" s="2"/>
      <c r="Q150" s="2"/>
      <c r="R150" s="2"/>
      <c r="S150" s="2"/>
      <c r="T150" s="2"/>
      <c r="U150" s="222"/>
      <c r="V150" s="2"/>
      <c r="W150" s="2"/>
      <c r="X150" s="2"/>
      <c r="Z150" s="2"/>
      <c r="AA150" s="2"/>
      <c r="AB150" s="2"/>
      <c r="AC150" s="2"/>
    </row>
    <row r="151" spans="1:29" ht="15.75" customHeight="1" x14ac:dyDescent="0.3">
      <c r="A151" s="2"/>
      <c r="C151" s="2"/>
      <c r="D151" s="2"/>
      <c r="E151" s="2"/>
      <c r="F151" s="2"/>
      <c r="G151" s="92"/>
      <c r="H151" s="2"/>
      <c r="I151" s="2"/>
      <c r="J151" s="2"/>
      <c r="K151" s="90"/>
      <c r="L151" s="2"/>
      <c r="N151" s="2"/>
      <c r="O151" s="2"/>
      <c r="P151" s="2"/>
      <c r="Q151" s="2"/>
      <c r="R151" s="2"/>
      <c r="S151" s="2"/>
      <c r="T151" s="2"/>
      <c r="U151" s="222"/>
      <c r="V151" s="2"/>
      <c r="W151" s="2"/>
      <c r="X151" s="2"/>
      <c r="Z151" s="2"/>
      <c r="AA151" s="2"/>
      <c r="AB151" s="2"/>
      <c r="AC151" s="2"/>
    </row>
    <row r="152" spans="1:29" ht="15.75" customHeight="1" x14ac:dyDescent="0.3">
      <c r="A152" s="2"/>
      <c r="C152" s="2"/>
      <c r="D152" s="2"/>
      <c r="E152" s="2"/>
      <c r="F152" s="2"/>
      <c r="G152" s="92"/>
      <c r="H152" s="2"/>
      <c r="I152" s="2"/>
      <c r="J152" s="2"/>
      <c r="K152" s="90"/>
      <c r="L152" s="2"/>
      <c r="N152" s="2"/>
      <c r="O152" s="2"/>
      <c r="P152" s="2"/>
      <c r="Q152" s="2"/>
      <c r="R152" s="2"/>
      <c r="S152" s="2"/>
      <c r="T152" s="2"/>
      <c r="U152" s="222"/>
      <c r="V152" s="2"/>
      <c r="W152" s="2"/>
      <c r="X152" s="2"/>
      <c r="Z152" s="2"/>
      <c r="AA152" s="2"/>
      <c r="AB152" s="2"/>
      <c r="AC152" s="2"/>
    </row>
    <row r="153" spans="1:29" ht="15.75" customHeight="1" x14ac:dyDescent="0.3">
      <c r="A153" s="2"/>
      <c r="C153" s="2"/>
      <c r="D153" s="2"/>
      <c r="E153" s="2"/>
      <c r="F153" s="2"/>
      <c r="G153" s="92"/>
      <c r="H153" s="2"/>
      <c r="I153" s="2"/>
      <c r="J153" s="2"/>
      <c r="K153" s="90"/>
      <c r="L153" s="2"/>
      <c r="N153" s="2"/>
      <c r="O153" s="2"/>
      <c r="P153" s="2"/>
      <c r="Q153" s="2"/>
      <c r="R153" s="2"/>
      <c r="S153" s="2"/>
      <c r="T153" s="2"/>
      <c r="U153" s="222"/>
      <c r="V153" s="2"/>
      <c r="W153" s="2"/>
      <c r="X153" s="2"/>
      <c r="Z153" s="2"/>
      <c r="AA153" s="2"/>
      <c r="AB153" s="2"/>
      <c r="AC153" s="2"/>
    </row>
    <row r="154" spans="1:29" ht="15.75" customHeight="1" x14ac:dyDescent="0.3">
      <c r="A154" s="2"/>
      <c r="C154" s="2"/>
      <c r="D154" s="2"/>
      <c r="E154" s="2"/>
      <c r="F154" s="2"/>
      <c r="G154" s="92"/>
      <c r="H154" s="2"/>
      <c r="I154" s="2"/>
      <c r="J154" s="2"/>
      <c r="K154" s="90"/>
      <c r="L154" s="2"/>
      <c r="N154" s="2"/>
      <c r="O154" s="2"/>
      <c r="P154" s="2"/>
      <c r="Q154" s="2"/>
      <c r="R154" s="2"/>
      <c r="S154" s="2"/>
      <c r="T154" s="2"/>
      <c r="U154" s="222"/>
      <c r="V154" s="2"/>
      <c r="W154" s="2"/>
      <c r="X154" s="2"/>
      <c r="Z154" s="2"/>
      <c r="AA154" s="2"/>
      <c r="AB154" s="2"/>
      <c r="AC154" s="2"/>
    </row>
    <row r="155" spans="1:29" ht="15.75" customHeight="1" x14ac:dyDescent="0.3">
      <c r="A155" s="2"/>
      <c r="C155" s="2"/>
      <c r="D155" s="2"/>
      <c r="E155" s="2"/>
      <c r="F155" s="2"/>
      <c r="G155" s="92"/>
      <c r="H155" s="2"/>
      <c r="I155" s="2"/>
      <c r="J155" s="2"/>
      <c r="K155" s="90"/>
      <c r="L155" s="2"/>
      <c r="N155" s="2"/>
      <c r="O155" s="2"/>
      <c r="P155" s="2"/>
      <c r="Q155" s="2"/>
      <c r="R155" s="2"/>
      <c r="S155" s="2"/>
      <c r="T155" s="2"/>
      <c r="U155" s="222"/>
      <c r="V155" s="2"/>
      <c r="W155" s="2"/>
      <c r="X155" s="2"/>
      <c r="Z155" s="2"/>
      <c r="AA155" s="2"/>
      <c r="AB155" s="2"/>
      <c r="AC155" s="2"/>
    </row>
    <row r="156" spans="1:29" ht="15.75" customHeight="1" x14ac:dyDescent="0.3">
      <c r="A156" s="2"/>
      <c r="C156" s="2"/>
      <c r="D156" s="2"/>
      <c r="E156" s="2"/>
      <c r="F156" s="2"/>
      <c r="G156" s="92"/>
      <c r="H156" s="2"/>
      <c r="I156" s="2"/>
      <c r="J156" s="2"/>
      <c r="K156" s="90"/>
      <c r="L156" s="2"/>
      <c r="N156" s="2"/>
      <c r="O156" s="2"/>
      <c r="P156" s="2"/>
      <c r="Q156" s="2"/>
      <c r="R156" s="2"/>
      <c r="S156" s="2"/>
      <c r="T156" s="2"/>
      <c r="U156" s="222"/>
      <c r="V156" s="2"/>
      <c r="W156" s="2"/>
      <c r="X156" s="2"/>
      <c r="Z156" s="2"/>
      <c r="AA156" s="2"/>
      <c r="AB156" s="2"/>
      <c r="AC156" s="2"/>
    </row>
    <row r="157" spans="1:29" ht="15.75" customHeight="1" x14ac:dyDescent="0.3">
      <c r="A157" s="2"/>
      <c r="C157" s="2"/>
      <c r="D157" s="2"/>
      <c r="E157" s="2"/>
      <c r="F157" s="2"/>
      <c r="G157" s="92"/>
      <c r="H157" s="2"/>
      <c r="I157" s="2"/>
      <c r="J157" s="2"/>
      <c r="K157" s="90"/>
      <c r="L157" s="2"/>
      <c r="N157" s="2"/>
      <c r="O157" s="2"/>
      <c r="P157" s="2"/>
      <c r="Q157" s="2"/>
      <c r="R157" s="2"/>
      <c r="S157" s="2"/>
      <c r="T157" s="2"/>
      <c r="U157" s="222"/>
      <c r="V157" s="2"/>
      <c r="W157" s="2"/>
      <c r="X157" s="2"/>
      <c r="Z157" s="2"/>
      <c r="AA157" s="2"/>
      <c r="AB157" s="2"/>
      <c r="AC157" s="2"/>
    </row>
    <row r="158" spans="1:29" ht="15.75" customHeight="1" x14ac:dyDescent="0.3">
      <c r="A158" s="2"/>
      <c r="C158" s="2"/>
      <c r="D158" s="2"/>
      <c r="E158" s="2"/>
      <c r="F158" s="2"/>
      <c r="G158" s="92"/>
      <c r="H158" s="2"/>
      <c r="I158" s="2"/>
      <c r="J158" s="2"/>
      <c r="K158" s="90"/>
      <c r="L158" s="2"/>
      <c r="N158" s="2"/>
      <c r="O158" s="2"/>
      <c r="P158" s="2"/>
      <c r="Q158" s="2"/>
      <c r="R158" s="2"/>
      <c r="S158" s="2"/>
      <c r="T158" s="2"/>
      <c r="U158" s="222"/>
      <c r="V158" s="2"/>
      <c r="W158" s="2"/>
      <c r="X158" s="2"/>
      <c r="Z158" s="2"/>
      <c r="AA158" s="2"/>
      <c r="AB158" s="2"/>
      <c r="AC158" s="2"/>
    </row>
    <row r="159" spans="1:29" ht="15.75" customHeight="1" x14ac:dyDescent="0.3">
      <c r="A159" s="2"/>
      <c r="C159" s="2"/>
      <c r="D159" s="2"/>
      <c r="E159" s="2"/>
      <c r="F159" s="2"/>
      <c r="G159" s="92"/>
      <c r="H159" s="2"/>
      <c r="I159" s="2"/>
      <c r="J159" s="2"/>
      <c r="K159" s="90"/>
      <c r="L159" s="2"/>
      <c r="N159" s="2"/>
      <c r="O159" s="2"/>
      <c r="P159" s="2"/>
      <c r="Q159" s="2"/>
      <c r="R159" s="2"/>
      <c r="S159" s="2"/>
      <c r="T159" s="2"/>
      <c r="U159" s="222"/>
      <c r="V159" s="2"/>
      <c r="W159" s="2"/>
      <c r="X159" s="2"/>
      <c r="Z159" s="2"/>
      <c r="AA159" s="2"/>
      <c r="AB159" s="2"/>
      <c r="AC159" s="2"/>
    </row>
    <row r="160" spans="1:29" ht="15.75" customHeight="1" x14ac:dyDescent="0.3">
      <c r="A160" s="2"/>
      <c r="C160" s="2"/>
      <c r="D160" s="2"/>
      <c r="E160" s="2"/>
      <c r="F160" s="2"/>
      <c r="G160" s="92"/>
      <c r="H160" s="2"/>
      <c r="I160" s="2"/>
      <c r="J160" s="2"/>
      <c r="K160" s="90"/>
      <c r="L160" s="2"/>
      <c r="N160" s="2"/>
      <c r="O160" s="2"/>
      <c r="P160" s="2"/>
      <c r="Q160" s="2"/>
      <c r="R160" s="2"/>
      <c r="S160" s="2"/>
      <c r="T160" s="2"/>
      <c r="U160" s="222"/>
      <c r="V160" s="2"/>
      <c r="W160" s="2"/>
      <c r="X160" s="2"/>
      <c r="Z160" s="2"/>
      <c r="AA160" s="2"/>
      <c r="AB160" s="2"/>
      <c r="AC160" s="2"/>
    </row>
    <row r="161" spans="1:29" ht="15.75" customHeight="1" x14ac:dyDescent="0.3">
      <c r="A161" s="2"/>
      <c r="C161" s="2"/>
      <c r="D161" s="2"/>
      <c r="E161" s="2"/>
      <c r="F161" s="2"/>
      <c r="G161" s="92"/>
      <c r="H161" s="2"/>
      <c r="I161" s="2"/>
      <c r="J161" s="2"/>
      <c r="K161" s="90"/>
      <c r="L161" s="2"/>
      <c r="N161" s="2"/>
      <c r="O161" s="2"/>
      <c r="P161" s="2"/>
      <c r="Q161" s="2"/>
      <c r="R161" s="2"/>
      <c r="S161" s="2"/>
      <c r="T161" s="2"/>
      <c r="U161" s="222"/>
      <c r="V161" s="2"/>
      <c r="W161" s="2"/>
      <c r="X161" s="2"/>
      <c r="Z161" s="2"/>
      <c r="AA161" s="2"/>
      <c r="AB161" s="2"/>
      <c r="AC161" s="2"/>
    </row>
    <row r="162" spans="1:29" ht="15.75" customHeight="1" x14ac:dyDescent="0.3">
      <c r="A162" s="2"/>
      <c r="C162" s="2"/>
      <c r="D162" s="2"/>
      <c r="E162" s="2"/>
      <c r="F162" s="2"/>
      <c r="G162" s="92"/>
      <c r="H162" s="2"/>
      <c r="I162" s="2"/>
      <c r="J162" s="2"/>
      <c r="K162" s="90"/>
      <c r="L162" s="2"/>
      <c r="N162" s="2"/>
      <c r="O162" s="2"/>
      <c r="P162" s="2"/>
      <c r="Q162" s="2"/>
      <c r="R162" s="2"/>
      <c r="S162" s="2"/>
      <c r="T162" s="2"/>
      <c r="U162" s="222"/>
      <c r="V162" s="2"/>
      <c r="W162" s="2"/>
      <c r="X162" s="2"/>
      <c r="Z162" s="2"/>
      <c r="AA162" s="2"/>
      <c r="AB162" s="2"/>
      <c r="AC162" s="2"/>
    </row>
    <row r="163" spans="1:29" ht="15.75" customHeight="1" x14ac:dyDescent="0.3">
      <c r="A163" s="2"/>
      <c r="C163" s="2"/>
      <c r="D163" s="2"/>
      <c r="E163" s="2"/>
      <c r="F163" s="2"/>
      <c r="G163" s="92"/>
      <c r="H163" s="2"/>
      <c r="I163" s="2"/>
      <c r="J163" s="2"/>
      <c r="K163" s="90"/>
      <c r="L163" s="2"/>
      <c r="N163" s="2"/>
      <c r="O163" s="2"/>
      <c r="P163" s="2"/>
      <c r="Q163" s="2"/>
      <c r="R163" s="2"/>
      <c r="S163" s="2"/>
      <c r="T163" s="2"/>
      <c r="U163" s="222"/>
      <c r="V163" s="2"/>
      <c r="W163" s="2"/>
      <c r="X163" s="2"/>
      <c r="Z163" s="2"/>
      <c r="AA163" s="2"/>
      <c r="AB163" s="2"/>
      <c r="AC163" s="2"/>
    </row>
    <row r="164" spans="1:29" ht="15.75" customHeight="1" x14ac:dyDescent="0.3">
      <c r="A164" s="2"/>
      <c r="C164" s="2"/>
      <c r="D164" s="2"/>
      <c r="E164" s="2"/>
      <c r="F164" s="2"/>
      <c r="G164" s="92"/>
      <c r="H164" s="2"/>
      <c r="I164" s="2"/>
      <c r="J164" s="2"/>
      <c r="K164" s="90"/>
      <c r="L164" s="2"/>
      <c r="N164" s="2"/>
      <c r="O164" s="2"/>
      <c r="P164" s="2"/>
      <c r="Q164" s="2"/>
      <c r="R164" s="2"/>
      <c r="S164" s="2"/>
      <c r="T164" s="2"/>
      <c r="U164" s="222"/>
      <c r="V164" s="2"/>
      <c r="W164" s="2"/>
      <c r="X164" s="2"/>
      <c r="Z164" s="2"/>
      <c r="AA164" s="2"/>
      <c r="AB164" s="2"/>
      <c r="AC164" s="2"/>
    </row>
    <row r="165" spans="1:29" ht="15.75" customHeight="1" x14ac:dyDescent="0.3">
      <c r="A165" s="2"/>
      <c r="C165" s="2"/>
      <c r="D165" s="2"/>
      <c r="E165" s="2"/>
      <c r="F165" s="2"/>
      <c r="G165" s="92"/>
      <c r="H165" s="2"/>
      <c r="I165" s="2"/>
      <c r="J165" s="2"/>
      <c r="K165" s="90"/>
      <c r="L165" s="2"/>
      <c r="N165" s="2"/>
      <c r="O165" s="2"/>
      <c r="P165" s="2"/>
      <c r="Q165" s="2"/>
      <c r="R165" s="2"/>
      <c r="S165" s="2"/>
      <c r="T165" s="2"/>
      <c r="U165" s="222"/>
      <c r="V165" s="2"/>
      <c r="W165" s="2"/>
      <c r="X165" s="2"/>
      <c r="Z165" s="2"/>
      <c r="AA165" s="2"/>
      <c r="AB165" s="2"/>
      <c r="AC165" s="2"/>
    </row>
    <row r="166" spans="1:29" ht="15.75" customHeight="1" x14ac:dyDescent="0.3">
      <c r="A166" s="2"/>
      <c r="C166" s="2"/>
      <c r="D166" s="2"/>
      <c r="E166" s="2"/>
      <c r="F166" s="2"/>
      <c r="G166" s="92"/>
      <c r="H166" s="2"/>
      <c r="I166" s="2"/>
      <c r="J166" s="2"/>
      <c r="K166" s="90"/>
      <c r="L166" s="2"/>
      <c r="N166" s="2"/>
      <c r="O166" s="2"/>
      <c r="P166" s="2"/>
      <c r="Q166" s="2"/>
      <c r="R166" s="2"/>
      <c r="S166" s="2"/>
      <c r="T166" s="2"/>
      <c r="U166" s="222"/>
      <c r="V166" s="2"/>
      <c r="W166" s="2"/>
      <c r="X166" s="2"/>
      <c r="Z166" s="2"/>
      <c r="AA166" s="2"/>
      <c r="AB166" s="2"/>
      <c r="AC166" s="2"/>
    </row>
    <row r="167" spans="1:29" ht="15.75" customHeight="1" x14ac:dyDescent="0.3">
      <c r="A167" s="2"/>
      <c r="C167" s="2"/>
      <c r="D167" s="2"/>
      <c r="E167" s="2"/>
      <c r="F167" s="2"/>
      <c r="G167" s="92"/>
      <c r="H167" s="2"/>
      <c r="I167" s="2"/>
      <c r="J167" s="2"/>
      <c r="K167" s="90"/>
      <c r="L167" s="2"/>
      <c r="N167" s="2"/>
      <c r="O167" s="2"/>
      <c r="P167" s="2"/>
      <c r="Q167" s="2"/>
      <c r="R167" s="2"/>
      <c r="S167" s="2"/>
      <c r="T167" s="2"/>
      <c r="U167" s="222"/>
      <c r="V167" s="2"/>
      <c r="W167" s="2"/>
      <c r="X167" s="2"/>
      <c r="Z167" s="2"/>
      <c r="AA167" s="2"/>
      <c r="AB167" s="2"/>
      <c r="AC167" s="2"/>
    </row>
    <row r="168" spans="1:29" ht="15.75" customHeight="1" x14ac:dyDescent="0.3">
      <c r="A168" s="2"/>
      <c r="C168" s="2"/>
      <c r="D168" s="2"/>
      <c r="E168" s="2"/>
      <c r="F168" s="2"/>
      <c r="G168" s="92"/>
      <c r="H168" s="2"/>
      <c r="I168" s="2"/>
      <c r="J168" s="2"/>
      <c r="K168" s="90"/>
      <c r="L168" s="2"/>
      <c r="N168" s="2"/>
      <c r="O168" s="2"/>
      <c r="P168" s="2"/>
      <c r="Q168" s="2"/>
      <c r="R168" s="2"/>
      <c r="S168" s="2"/>
      <c r="T168" s="2"/>
      <c r="U168" s="222"/>
      <c r="V168" s="2"/>
      <c r="W168" s="2"/>
      <c r="X168" s="2"/>
      <c r="Z168" s="2"/>
      <c r="AA168" s="2"/>
      <c r="AB168" s="2"/>
      <c r="AC168" s="2"/>
    </row>
    <row r="169" spans="1:29" ht="15.75" customHeight="1" x14ac:dyDescent="0.3">
      <c r="A169" s="2"/>
      <c r="C169" s="2"/>
      <c r="D169" s="2"/>
      <c r="E169" s="2"/>
      <c r="F169" s="2"/>
      <c r="G169" s="92"/>
      <c r="H169" s="2"/>
      <c r="I169" s="2"/>
      <c r="J169" s="2"/>
      <c r="K169" s="90"/>
      <c r="L169" s="2"/>
      <c r="N169" s="2"/>
      <c r="O169" s="2"/>
      <c r="P169" s="2"/>
      <c r="Q169" s="2"/>
      <c r="R169" s="2"/>
      <c r="S169" s="2"/>
      <c r="T169" s="2"/>
      <c r="U169" s="222"/>
      <c r="V169" s="2"/>
      <c r="W169" s="2"/>
      <c r="X169" s="2"/>
      <c r="Z169" s="2"/>
      <c r="AA169" s="2"/>
      <c r="AB169" s="2"/>
      <c r="AC169" s="2"/>
    </row>
    <row r="170" spans="1:29" ht="15.75" customHeight="1" x14ac:dyDescent="0.3">
      <c r="A170" s="2"/>
      <c r="C170" s="2"/>
      <c r="D170" s="2"/>
      <c r="E170" s="2"/>
      <c r="F170" s="2"/>
      <c r="G170" s="92"/>
      <c r="H170" s="2"/>
      <c r="I170" s="2"/>
      <c r="J170" s="2"/>
      <c r="K170" s="90"/>
      <c r="L170" s="2"/>
      <c r="N170" s="2"/>
      <c r="O170" s="2"/>
      <c r="P170" s="2"/>
      <c r="Q170" s="2"/>
      <c r="R170" s="2"/>
      <c r="S170" s="2"/>
      <c r="T170" s="2"/>
      <c r="U170" s="222"/>
      <c r="V170" s="2"/>
      <c r="W170" s="2"/>
      <c r="X170" s="2"/>
      <c r="Z170" s="2"/>
      <c r="AA170" s="2"/>
      <c r="AB170" s="2"/>
      <c r="AC170" s="2"/>
    </row>
    <row r="171" spans="1:29" ht="15.75" customHeight="1" x14ac:dyDescent="0.3">
      <c r="A171" s="2"/>
      <c r="C171" s="2"/>
      <c r="D171" s="2"/>
      <c r="E171" s="2"/>
      <c r="F171" s="2"/>
      <c r="G171" s="92"/>
      <c r="H171" s="2"/>
      <c r="I171" s="2"/>
      <c r="J171" s="2"/>
      <c r="K171" s="90"/>
      <c r="L171" s="2"/>
      <c r="N171" s="2"/>
      <c r="O171" s="2"/>
      <c r="P171" s="2"/>
      <c r="Q171" s="2"/>
      <c r="R171" s="2"/>
      <c r="S171" s="2"/>
      <c r="T171" s="2"/>
      <c r="U171" s="222"/>
      <c r="V171" s="2"/>
      <c r="W171" s="2"/>
      <c r="X171" s="2"/>
      <c r="Z171" s="2"/>
      <c r="AA171" s="2"/>
      <c r="AB171" s="2"/>
      <c r="AC171" s="2"/>
    </row>
    <row r="172" spans="1:29" ht="15.75" customHeight="1" x14ac:dyDescent="0.3">
      <c r="A172" s="2"/>
      <c r="C172" s="2"/>
      <c r="D172" s="2"/>
      <c r="E172" s="2"/>
      <c r="F172" s="2"/>
      <c r="G172" s="92"/>
      <c r="H172" s="2"/>
      <c r="I172" s="2"/>
      <c r="J172" s="2"/>
      <c r="K172" s="90"/>
      <c r="L172" s="2"/>
      <c r="N172" s="2"/>
      <c r="O172" s="2"/>
      <c r="P172" s="2"/>
      <c r="Q172" s="2"/>
      <c r="R172" s="2"/>
      <c r="S172" s="2"/>
      <c r="T172" s="2"/>
      <c r="U172" s="222"/>
      <c r="V172" s="2"/>
      <c r="W172" s="2"/>
      <c r="X172" s="2"/>
      <c r="Z172" s="2"/>
      <c r="AA172" s="2"/>
      <c r="AB172" s="2"/>
      <c r="AC172" s="2"/>
    </row>
    <row r="173" spans="1:29" ht="15.75" customHeight="1" x14ac:dyDescent="0.3">
      <c r="A173" s="2"/>
      <c r="C173" s="2"/>
      <c r="D173" s="2"/>
      <c r="E173" s="2"/>
      <c r="F173" s="2"/>
      <c r="G173" s="92"/>
      <c r="H173" s="2"/>
      <c r="I173" s="2"/>
      <c r="J173" s="2"/>
      <c r="K173" s="90"/>
      <c r="L173" s="2"/>
      <c r="N173" s="2"/>
      <c r="O173" s="2"/>
      <c r="P173" s="2"/>
      <c r="Q173" s="2"/>
      <c r="R173" s="2"/>
      <c r="S173" s="2"/>
      <c r="T173" s="2"/>
      <c r="U173" s="222"/>
      <c r="V173" s="2"/>
      <c r="W173" s="2"/>
      <c r="X173" s="2"/>
      <c r="Z173" s="2"/>
      <c r="AA173" s="2"/>
      <c r="AB173" s="2"/>
      <c r="AC173" s="2"/>
    </row>
    <row r="174" spans="1:29" ht="15.75" customHeight="1" x14ac:dyDescent="0.3">
      <c r="A174" s="2"/>
      <c r="C174" s="2"/>
      <c r="D174" s="2"/>
      <c r="E174" s="2"/>
      <c r="F174" s="2"/>
      <c r="G174" s="92"/>
      <c r="H174" s="2"/>
      <c r="I174" s="2"/>
      <c r="J174" s="2"/>
      <c r="K174" s="90"/>
      <c r="L174" s="2"/>
      <c r="N174" s="2"/>
      <c r="O174" s="2"/>
      <c r="P174" s="2"/>
      <c r="Q174" s="2"/>
      <c r="R174" s="2"/>
      <c r="S174" s="2"/>
      <c r="T174" s="2"/>
      <c r="U174" s="222"/>
      <c r="V174" s="2"/>
      <c r="W174" s="2"/>
      <c r="X174" s="2"/>
      <c r="Z174" s="2"/>
      <c r="AA174" s="2"/>
      <c r="AB174" s="2"/>
      <c r="AC174" s="2"/>
    </row>
    <row r="175" spans="1:29" ht="15.75" customHeight="1" x14ac:dyDescent="0.3">
      <c r="A175" s="2"/>
      <c r="C175" s="2"/>
      <c r="D175" s="2"/>
      <c r="E175" s="2"/>
      <c r="F175" s="2"/>
      <c r="G175" s="92"/>
      <c r="H175" s="2"/>
      <c r="I175" s="2"/>
      <c r="J175" s="2"/>
      <c r="K175" s="90"/>
      <c r="L175" s="2"/>
      <c r="N175" s="2"/>
      <c r="O175" s="2"/>
      <c r="P175" s="2"/>
      <c r="Q175" s="2"/>
      <c r="R175" s="2"/>
      <c r="S175" s="2"/>
      <c r="T175" s="2"/>
      <c r="U175" s="222"/>
      <c r="V175" s="2"/>
      <c r="W175" s="2"/>
      <c r="X175" s="2"/>
      <c r="Z175" s="2"/>
      <c r="AA175" s="2"/>
      <c r="AB175" s="2"/>
      <c r="AC175" s="2"/>
    </row>
    <row r="176" spans="1:29" ht="15.75" customHeight="1" x14ac:dyDescent="0.3">
      <c r="A176" s="2"/>
      <c r="C176" s="2"/>
      <c r="D176" s="2"/>
      <c r="E176" s="2"/>
      <c r="F176" s="2"/>
      <c r="G176" s="92"/>
      <c r="H176" s="2"/>
      <c r="I176" s="2"/>
      <c r="J176" s="2"/>
      <c r="K176" s="90"/>
      <c r="L176" s="2"/>
      <c r="N176" s="2"/>
      <c r="O176" s="2"/>
      <c r="P176" s="2"/>
      <c r="Q176" s="2"/>
      <c r="R176" s="2"/>
      <c r="S176" s="2"/>
      <c r="T176" s="2"/>
      <c r="U176" s="222"/>
      <c r="V176" s="2"/>
      <c r="W176" s="2"/>
      <c r="X176" s="2"/>
      <c r="Z176" s="2"/>
      <c r="AA176" s="2"/>
      <c r="AB176" s="2"/>
      <c r="AC176" s="2"/>
    </row>
    <row r="177" spans="1:29" ht="15.75" customHeight="1" x14ac:dyDescent="0.3">
      <c r="A177" s="2"/>
      <c r="C177" s="2"/>
      <c r="D177" s="2"/>
      <c r="E177" s="2"/>
      <c r="F177" s="2"/>
      <c r="G177" s="92"/>
      <c r="H177" s="2"/>
      <c r="I177" s="2"/>
      <c r="J177" s="2"/>
      <c r="K177" s="90"/>
      <c r="L177" s="2"/>
      <c r="N177" s="2"/>
      <c r="O177" s="2"/>
      <c r="P177" s="2"/>
      <c r="Q177" s="2"/>
      <c r="R177" s="2"/>
      <c r="S177" s="2"/>
      <c r="T177" s="2"/>
      <c r="U177" s="222"/>
      <c r="V177" s="2"/>
      <c r="W177" s="2"/>
      <c r="X177" s="2"/>
      <c r="Z177" s="2"/>
      <c r="AA177" s="2"/>
      <c r="AB177" s="2"/>
      <c r="AC177" s="2"/>
    </row>
    <row r="178" spans="1:29" ht="15.75" customHeight="1" x14ac:dyDescent="0.3">
      <c r="A178" s="2"/>
      <c r="C178" s="2"/>
      <c r="D178" s="2"/>
      <c r="E178" s="2"/>
      <c r="F178" s="2"/>
      <c r="G178" s="92"/>
      <c r="H178" s="2"/>
      <c r="I178" s="2"/>
      <c r="J178" s="2"/>
      <c r="K178" s="90"/>
      <c r="L178" s="2"/>
      <c r="N178" s="2"/>
      <c r="O178" s="2"/>
      <c r="P178" s="2"/>
      <c r="Q178" s="2"/>
      <c r="R178" s="2"/>
      <c r="S178" s="2"/>
      <c r="T178" s="2"/>
      <c r="U178" s="222"/>
      <c r="V178" s="2"/>
      <c r="W178" s="2"/>
      <c r="X178" s="2"/>
      <c r="Z178" s="2"/>
      <c r="AA178" s="2"/>
      <c r="AB178" s="2"/>
      <c r="AC178" s="2"/>
    </row>
    <row r="179" spans="1:29" ht="15.75" customHeight="1" x14ac:dyDescent="0.3">
      <c r="A179" s="2"/>
      <c r="C179" s="2"/>
      <c r="D179" s="2"/>
      <c r="E179" s="2"/>
      <c r="F179" s="2"/>
      <c r="G179" s="92"/>
      <c r="H179" s="2"/>
      <c r="I179" s="2"/>
      <c r="J179" s="2"/>
      <c r="K179" s="90"/>
      <c r="L179" s="2"/>
      <c r="N179" s="2"/>
      <c r="O179" s="2"/>
      <c r="P179" s="2"/>
      <c r="Q179" s="2"/>
      <c r="R179" s="2"/>
      <c r="S179" s="2"/>
      <c r="T179" s="2"/>
      <c r="U179" s="222"/>
      <c r="V179" s="2"/>
      <c r="W179" s="2"/>
      <c r="X179" s="2"/>
      <c r="Z179" s="2"/>
      <c r="AA179" s="2"/>
      <c r="AB179" s="2"/>
      <c r="AC179" s="2"/>
    </row>
    <row r="180" spans="1:29" ht="15.75" customHeight="1" x14ac:dyDescent="0.3">
      <c r="A180" s="2"/>
      <c r="C180" s="2"/>
      <c r="D180" s="2"/>
      <c r="E180" s="2"/>
      <c r="F180" s="2"/>
      <c r="G180" s="92"/>
      <c r="H180" s="2"/>
      <c r="I180" s="2"/>
      <c r="J180" s="2"/>
      <c r="K180" s="90"/>
      <c r="L180" s="2"/>
      <c r="N180" s="2"/>
      <c r="O180" s="2"/>
      <c r="P180" s="2"/>
      <c r="Q180" s="2"/>
      <c r="R180" s="2"/>
      <c r="S180" s="2"/>
      <c r="T180" s="2"/>
      <c r="U180" s="222"/>
      <c r="V180" s="2"/>
      <c r="W180" s="2"/>
      <c r="X180" s="2"/>
      <c r="Z180" s="2"/>
      <c r="AA180" s="2"/>
      <c r="AB180" s="2"/>
      <c r="AC180" s="2"/>
    </row>
    <row r="181" spans="1:29" ht="15.75" customHeight="1" x14ac:dyDescent="0.3">
      <c r="A181" s="2"/>
      <c r="C181" s="2"/>
      <c r="D181" s="2"/>
      <c r="E181" s="2"/>
      <c r="F181" s="2"/>
      <c r="G181" s="92"/>
      <c r="H181" s="2"/>
      <c r="I181" s="2"/>
      <c r="J181" s="2"/>
      <c r="K181" s="90"/>
      <c r="L181" s="2"/>
      <c r="N181" s="2"/>
      <c r="O181" s="2"/>
      <c r="P181" s="2"/>
      <c r="Q181" s="2"/>
      <c r="R181" s="2"/>
      <c r="S181" s="2"/>
      <c r="T181" s="2"/>
      <c r="U181" s="222"/>
      <c r="V181" s="2"/>
      <c r="W181" s="2"/>
      <c r="X181" s="2"/>
      <c r="Z181" s="2"/>
      <c r="AA181" s="2"/>
      <c r="AB181" s="2"/>
      <c r="AC181" s="2"/>
    </row>
    <row r="182" spans="1:29" ht="15.75" customHeight="1" x14ac:dyDescent="0.3">
      <c r="A182" s="2"/>
      <c r="C182" s="2"/>
      <c r="D182" s="2"/>
      <c r="E182" s="2"/>
      <c r="F182" s="2"/>
      <c r="G182" s="92"/>
      <c r="H182" s="2"/>
      <c r="I182" s="2"/>
      <c r="J182" s="2"/>
      <c r="K182" s="90"/>
      <c r="L182" s="2"/>
      <c r="N182" s="2"/>
      <c r="O182" s="2"/>
      <c r="P182" s="2"/>
      <c r="Q182" s="2"/>
      <c r="R182" s="2"/>
      <c r="S182" s="2"/>
      <c r="T182" s="2"/>
      <c r="U182" s="222"/>
      <c r="V182" s="2"/>
      <c r="W182" s="2"/>
      <c r="X182" s="2"/>
      <c r="Z182" s="2"/>
      <c r="AA182" s="2"/>
      <c r="AB182" s="2"/>
      <c r="AC182" s="2"/>
    </row>
    <row r="183" spans="1:29" ht="15.75" customHeight="1" x14ac:dyDescent="0.3">
      <c r="A183" s="2"/>
      <c r="C183" s="2"/>
      <c r="D183" s="2"/>
      <c r="E183" s="2"/>
      <c r="F183" s="2"/>
      <c r="G183" s="92"/>
      <c r="H183" s="2"/>
      <c r="I183" s="2"/>
      <c r="J183" s="2"/>
      <c r="K183" s="90"/>
      <c r="L183" s="2"/>
      <c r="N183" s="2"/>
      <c r="O183" s="2"/>
      <c r="P183" s="2"/>
      <c r="Q183" s="2"/>
      <c r="R183" s="2"/>
      <c r="S183" s="2"/>
      <c r="T183" s="2"/>
      <c r="U183" s="222"/>
      <c r="V183" s="2"/>
      <c r="W183" s="2"/>
      <c r="X183" s="2"/>
      <c r="Z183" s="2"/>
      <c r="AA183" s="2"/>
      <c r="AB183" s="2"/>
      <c r="AC183" s="2"/>
    </row>
    <row r="184" spans="1:29" ht="15.75" customHeight="1" x14ac:dyDescent="0.3">
      <c r="A184" s="2"/>
      <c r="C184" s="2"/>
      <c r="D184" s="2"/>
      <c r="E184" s="2"/>
      <c r="F184" s="2"/>
      <c r="G184" s="92"/>
      <c r="H184" s="2"/>
      <c r="I184" s="2"/>
      <c r="J184" s="2"/>
      <c r="K184" s="90"/>
      <c r="L184" s="2"/>
      <c r="N184" s="2"/>
      <c r="O184" s="2"/>
      <c r="P184" s="2"/>
      <c r="Q184" s="2"/>
      <c r="R184" s="2"/>
      <c r="S184" s="2"/>
      <c r="T184" s="2"/>
      <c r="U184" s="222"/>
      <c r="V184" s="2"/>
      <c r="W184" s="2"/>
      <c r="X184" s="2"/>
      <c r="Z184" s="2"/>
      <c r="AA184" s="2"/>
      <c r="AB184" s="2"/>
      <c r="AC184" s="2"/>
    </row>
    <row r="185" spans="1:29" ht="15.75" customHeight="1" x14ac:dyDescent="0.3">
      <c r="A185" s="2"/>
      <c r="C185" s="2"/>
      <c r="D185" s="2"/>
      <c r="E185" s="2"/>
      <c r="F185" s="2"/>
      <c r="G185" s="92"/>
      <c r="H185" s="2"/>
      <c r="I185" s="2"/>
      <c r="J185" s="2"/>
      <c r="K185" s="90"/>
      <c r="L185" s="2"/>
      <c r="N185" s="2"/>
      <c r="O185" s="2"/>
      <c r="P185" s="2"/>
      <c r="Q185" s="2"/>
      <c r="R185" s="2"/>
      <c r="S185" s="2"/>
      <c r="T185" s="2"/>
      <c r="U185" s="222"/>
      <c r="V185" s="2"/>
      <c r="W185" s="2"/>
      <c r="X185" s="2"/>
      <c r="Z185" s="2"/>
      <c r="AA185" s="2"/>
      <c r="AB185" s="2"/>
      <c r="AC185" s="2"/>
    </row>
    <row r="186" spans="1:29" ht="15.75" customHeight="1" x14ac:dyDescent="0.3">
      <c r="A186" s="2"/>
      <c r="C186" s="2"/>
      <c r="D186" s="2"/>
      <c r="E186" s="2"/>
      <c r="F186" s="2"/>
      <c r="G186" s="92"/>
      <c r="H186" s="2"/>
      <c r="I186" s="2"/>
      <c r="J186" s="2"/>
      <c r="K186" s="90"/>
      <c r="L186" s="2"/>
      <c r="N186" s="2"/>
      <c r="O186" s="2"/>
      <c r="P186" s="2"/>
      <c r="Q186" s="2"/>
      <c r="R186" s="2"/>
      <c r="S186" s="2"/>
      <c r="T186" s="2"/>
      <c r="U186" s="222"/>
      <c r="V186" s="2"/>
      <c r="W186" s="2"/>
      <c r="X186" s="2"/>
      <c r="Z186" s="2"/>
      <c r="AA186" s="2"/>
      <c r="AB186" s="2"/>
      <c r="AC186" s="2"/>
    </row>
    <row r="187" spans="1:29" ht="15.75" customHeight="1" x14ac:dyDescent="0.3">
      <c r="A187" s="2"/>
      <c r="C187" s="2"/>
      <c r="D187" s="2"/>
      <c r="E187" s="2"/>
      <c r="F187" s="2"/>
      <c r="G187" s="92"/>
      <c r="H187" s="2"/>
      <c r="I187" s="2"/>
      <c r="J187" s="2"/>
      <c r="K187" s="90"/>
      <c r="L187" s="2"/>
      <c r="N187" s="2"/>
      <c r="O187" s="2"/>
      <c r="P187" s="2"/>
      <c r="Q187" s="2"/>
      <c r="R187" s="2"/>
      <c r="S187" s="2"/>
      <c r="T187" s="2"/>
      <c r="U187" s="222"/>
      <c r="V187" s="2"/>
      <c r="W187" s="2"/>
      <c r="X187" s="2"/>
      <c r="Z187" s="2"/>
      <c r="AA187" s="2"/>
      <c r="AB187" s="2"/>
      <c r="AC187" s="2"/>
    </row>
    <row r="188" spans="1:29" ht="15.75" customHeight="1" x14ac:dyDescent="0.3">
      <c r="A188" s="2"/>
      <c r="C188" s="2"/>
      <c r="D188" s="2"/>
      <c r="E188" s="2"/>
      <c r="F188" s="2"/>
      <c r="G188" s="92"/>
      <c r="H188" s="2"/>
      <c r="I188" s="2"/>
      <c r="J188" s="2"/>
      <c r="K188" s="90"/>
      <c r="L188" s="2"/>
      <c r="N188" s="2"/>
      <c r="O188" s="2"/>
      <c r="P188" s="2"/>
      <c r="Q188" s="2"/>
      <c r="R188" s="2"/>
      <c r="S188" s="2"/>
      <c r="T188" s="2"/>
      <c r="U188" s="222"/>
      <c r="V188" s="2"/>
      <c r="W188" s="2"/>
      <c r="X188" s="2"/>
      <c r="Z188" s="2"/>
      <c r="AA188" s="2"/>
      <c r="AB188" s="2"/>
      <c r="AC188" s="2"/>
    </row>
    <row r="189" spans="1:29" ht="15.75" customHeight="1" x14ac:dyDescent="0.3">
      <c r="A189" s="2"/>
      <c r="C189" s="2"/>
      <c r="D189" s="2"/>
      <c r="E189" s="2"/>
      <c r="F189" s="2"/>
      <c r="G189" s="92"/>
      <c r="H189" s="2"/>
      <c r="I189" s="2"/>
      <c r="J189" s="2"/>
      <c r="K189" s="90"/>
      <c r="L189" s="2"/>
      <c r="N189" s="2"/>
      <c r="O189" s="2"/>
      <c r="P189" s="2"/>
      <c r="Q189" s="2"/>
      <c r="R189" s="2"/>
      <c r="S189" s="2"/>
      <c r="T189" s="2"/>
      <c r="U189" s="222"/>
      <c r="V189" s="2"/>
      <c r="W189" s="2"/>
      <c r="X189" s="2"/>
      <c r="Z189" s="2"/>
      <c r="AA189" s="2"/>
      <c r="AB189" s="2"/>
      <c r="AC189" s="2"/>
    </row>
    <row r="190" spans="1:29" ht="15.75" customHeight="1" x14ac:dyDescent="0.3">
      <c r="A190" s="2"/>
      <c r="C190" s="2"/>
      <c r="D190" s="2"/>
      <c r="E190" s="2"/>
      <c r="F190" s="2"/>
      <c r="G190" s="92"/>
      <c r="H190" s="2"/>
      <c r="I190" s="2"/>
      <c r="J190" s="2"/>
      <c r="K190" s="90"/>
      <c r="L190" s="2"/>
      <c r="N190" s="2"/>
      <c r="O190" s="2"/>
      <c r="P190" s="2"/>
      <c r="Q190" s="2"/>
      <c r="R190" s="2"/>
      <c r="S190" s="2"/>
      <c r="T190" s="2"/>
      <c r="U190" s="222"/>
      <c r="V190" s="2"/>
      <c r="W190" s="2"/>
      <c r="X190" s="2"/>
      <c r="Z190" s="2"/>
      <c r="AA190" s="2"/>
      <c r="AB190" s="2"/>
      <c r="AC190" s="2"/>
    </row>
    <row r="191" spans="1:29" ht="15.75" customHeight="1" x14ac:dyDescent="0.3">
      <c r="A191" s="2"/>
      <c r="C191" s="2"/>
      <c r="D191" s="2"/>
      <c r="E191" s="2"/>
      <c r="F191" s="2"/>
      <c r="G191" s="92"/>
      <c r="H191" s="2"/>
      <c r="I191" s="2"/>
      <c r="J191" s="2"/>
      <c r="K191" s="90"/>
      <c r="L191" s="2"/>
      <c r="N191" s="2"/>
      <c r="O191" s="2"/>
      <c r="P191" s="2"/>
      <c r="Q191" s="2"/>
      <c r="R191" s="2"/>
      <c r="S191" s="2"/>
      <c r="T191" s="2"/>
      <c r="U191" s="222"/>
      <c r="V191" s="2"/>
      <c r="W191" s="2"/>
      <c r="X191" s="2"/>
      <c r="Z191" s="2"/>
      <c r="AA191" s="2"/>
      <c r="AB191" s="2"/>
      <c r="AC191" s="2"/>
    </row>
    <row r="192" spans="1:29" ht="15.75" customHeight="1" x14ac:dyDescent="0.3">
      <c r="A192" s="2"/>
      <c r="C192" s="2"/>
      <c r="D192" s="2"/>
      <c r="E192" s="2"/>
      <c r="F192" s="2"/>
      <c r="G192" s="92"/>
      <c r="H192" s="2"/>
      <c r="I192" s="2"/>
      <c r="J192" s="2"/>
      <c r="K192" s="90"/>
      <c r="L192" s="2"/>
      <c r="N192" s="2"/>
      <c r="O192" s="2"/>
      <c r="P192" s="2"/>
      <c r="Q192" s="2"/>
      <c r="R192" s="2"/>
      <c r="S192" s="2"/>
      <c r="T192" s="2"/>
      <c r="U192" s="222"/>
      <c r="V192" s="2"/>
      <c r="W192" s="2"/>
      <c r="X192" s="2"/>
      <c r="Z192" s="2"/>
      <c r="AA192" s="2"/>
      <c r="AB192" s="2"/>
      <c r="AC192" s="2"/>
    </row>
    <row r="193" spans="1:29" ht="15.75" customHeight="1" x14ac:dyDescent="0.3">
      <c r="A193" s="2"/>
      <c r="C193" s="2"/>
      <c r="D193" s="2"/>
      <c r="E193" s="2"/>
      <c r="F193" s="2"/>
      <c r="G193" s="92"/>
      <c r="H193" s="2"/>
      <c r="I193" s="2"/>
      <c r="J193" s="2"/>
      <c r="K193" s="90"/>
      <c r="L193" s="2"/>
      <c r="N193" s="2"/>
      <c r="O193" s="2"/>
      <c r="P193" s="2"/>
      <c r="Q193" s="2"/>
      <c r="R193" s="2"/>
      <c r="S193" s="2"/>
      <c r="T193" s="2"/>
      <c r="U193" s="222"/>
      <c r="V193" s="2"/>
      <c r="W193" s="2"/>
      <c r="X193" s="2"/>
      <c r="Z193" s="2"/>
      <c r="AA193" s="2"/>
      <c r="AB193" s="2"/>
      <c r="AC193" s="2"/>
    </row>
    <row r="194" spans="1:29" ht="15.75" customHeight="1" x14ac:dyDescent="0.3">
      <c r="A194" s="2"/>
      <c r="C194" s="2"/>
      <c r="D194" s="2"/>
      <c r="E194" s="2"/>
      <c r="F194" s="2"/>
      <c r="G194" s="92"/>
      <c r="H194" s="2"/>
      <c r="I194" s="2"/>
      <c r="J194" s="2"/>
      <c r="K194" s="90"/>
      <c r="L194" s="2"/>
      <c r="N194" s="2"/>
      <c r="O194" s="2"/>
      <c r="P194" s="2"/>
      <c r="Q194" s="2"/>
      <c r="R194" s="2"/>
      <c r="S194" s="2"/>
      <c r="T194" s="2"/>
      <c r="U194" s="222"/>
      <c r="V194" s="2"/>
      <c r="W194" s="2"/>
      <c r="X194" s="2"/>
      <c r="Z194" s="2"/>
      <c r="AA194" s="2"/>
      <c r="AB194" s="2"/>
      <c r="AC194" s="2"/>
    </row>
    <row r="195" spans="1:29" ht="15.75" customHeight="1" x14ac:dyDescent="0.3">
      <c r="A195" s="2"/>
      <c r="C195" s="2"/>
      <c r="D195" s="2"/>
      <c r="E195" s="2"/>
      <c r="F195" s="2"/>
      <c r="G195" s="92"/>
      <c r="H195" s="2"/>
      <c r="I195" s="2"/>
      <c r="J195" s="2"/>
      <c r="K195" s="90"/>
      <c r="L195" s="2"/>
      <c r="N195" s="2"/>
      <c r="O195" s="2"/>
      <c r="P195" s="2"/>
      <c r="Q195" s="2"/>
      <c r="R195" s="2"/>
      <c r="S195" s="2"/>
      <c r="T195" s="2"/>
      <c r="U195" s="222"/>
      <c r="V195" s="2"/>
      <c r="W195" s="2"/>
      <c r="X195" s="2"/>
      <c r="Z195" s="2"/>
      <c r="AA195" s="2"/>
      <c r="AB195" s="2"/>
      <c r="AC195" s="2"/>
    </row>
    <row r="196" spans="1:29" ht="15.75" customHeight="1" x14ac:dyDescent="0.3">
      <c r="A196" s="2"/>
      <c r="C196" s="2"/>
      <c r="D196" s="2"/>
      <c r="E196" s="2"/>
      <c r="F196" s="2"/>
      <c r="G196" s="92"/>
      <c r="H196" s="2"/>
      <c r="I196" s="2"/>
      <c r="J196" s="2"/>
      <c r="K196" s="90"/>
      <c r="L196" s="2"/>
      <c r="N196" s="2"/>
      <c r="O196" s="2"/>
      <c r="P196" s="2"/>
      <c r="Q196" s="2"/>
      <c r="R196" s="2"/>
      <c r="S196" s="2"/>
      <c r="T196" s="2"/>
      <c r="U196" s="222"/>
      <c r="V196" s="2"/>
      <c r="W196" s="2"/>
      <c r="X196" s="2"/>
      <c r="Z196" s="2"/>
      <c r="AA196" s="2"/>
      <c r="AB196" s="2"/>
      <c r="AC196" s="2"/>
    </row>
    <row r="197" spans="1:29" ht="15.75" customHeight="1" x14ac:dyDescent="0.3">
      <c r="A197" s="2"/>
      <c r="C197" s="2"/>
      <c r="D197" s="2"/>
      <c r="E197" s="2"/>
      <c r="F197" s="2"/>
      <c r="G197" s="92"/>
      <c r="H197" s="2"/>
      <c r="I197" s="2"/>
      <c r="J197" s="2"/>
      <c r="K197" s="90"/>
      <c r="L197" s="2"/>
      <c r="N197" s="2"/>
      <c r="O197" s="2"/>
      <c r="P197" s="2"/>
      <c r="Q197" s="2"/>
      <c r="R197" s="2"/>
      <c r="S197" s="2"/>
      <c r="T197" s="2"/>
      <c r="U197" s="222"/>
      <c r="V197" s="2"/>
      <c r="W197" s="2"/>
      <c r="X197" s="2"/>
      <c r="Z197" s="2"/>
      <c r="AA197" s="2"/>
      <c r="AB197" s="2"/>
      <c r="AC197" s="2"/>
    </row>
    <row r="198" spans="1:29" ht="15.75" customHeight="1" x14ac:dyDescent="0.3">
      <c r="A198" s="2"/>
      <c r="C198" s="2"/>
      <c r="D198" s="2"/>
      <c r="E198" s="2"/>
      <c r="F198" s="2"/>
      <c r="G198" s="92"/>
      <c r="H198" s="2"/>
      <c r="I198" s="2"/>
      <c r="J198" s="2"/>
      <c r="K198" s="90"/>
      <c r="L198" s="2"/>
      <c r="N198" s="2"/>
      <c r="O198" s="2"/>
      <c r="P198" s="2"/>
      <c r="Q198" s="2"/>
      <c r="R198" s="2"/>
      <c r="S198" s="2"/>
      <c r="T198" s="2"/>
      <c r="U198" s="222"/>
      <c r="V198" s="2"/>
      <c r="W198" s="2"/>
      <c r="X198" s="2"/>
      <c r="Z198" s="2"/>
      <c r="AA198" s="2"/>
      <c r="AB198" s="2"/>
      <c r="AC198" s="2"/>
    </row>
    <row r="199" spans="1:29" ht="15.75" customHeight="1" x14ac:dyDescent="0.3">
      <c r="A199" s="2"/>
      <c r="C199" s="2"/>
      <c r="D199" s="2"/>
      <c r="E199" s="2"/>
      <c r="F199" s="2"/>
      <c r="G199" s="92"/>
      <c r="H199" s="2"/>
      <c r="I199" s="2"/>
      <c r="J199" s="2"/>
      <c r="K199" s="90"/>
      <c r="L199" s="2"/>
      <c r="N199" s="2"/>
      <c r="O199" s="2"/>
      <c r="P199" s="2"/>
      <c r="Q199" s="2"/>
      <c r="R199" s="2"/>
      <c r="S199" s="2"/>
      <c r="T199" s="2"/>
      <c r="U199" s="222"/>
      <c r="V199" s="2"/>
      <c r="W199" s="2"/>
      <c r="X199" s="2"/>
      <c r="Z199" s="2"/>
      <c r="AA199" s="2"/>
      <c r="AB199" s="2"/>
      <c r="AC199" s="2"/>
    </row>
    <row r="200" spans="1:29" ht="15.75" customHeight="1" x14ac:dyDescent="0.3">
      <c r="A200" s="2"/>
      <c r="C200" s="2"/>
      <c r="D200" s="2"/>
      <c r="E200" s="2"/>
      <c r="F200" s="2"/>
      <c r="G200" s="92"/>
      <c r="H200" s="2"/>
      <c r="I200" s="2"/>
      <c r="J200" s="2"/>
      <c r="K200" s="90"/>
      <c r="L200" s="2"/>
      <c r="N200" s="2"/>
      <c r="O200" s="2"/>
      <c r="P200" s="2"/>
      <c r="Q200" s="2"/>
      <c r="R200" s="2"/>
      <c r="S200" s="2"/>
      <c r="T200" s="2"/>
      <c r="U200" s="222"/>
      <c r="V200" s="2"/>
      <c r="W200" s="2"/>
      <c r="X200" s="2"/>
      <c r="Z200" s="2"/>
      <c r="AA200" s="2"/>
      <c r="AB200" s="2"/>
      <c r="AC200" s="2"/>
    </row>
    <row r="201" spans="1:29" ht="15.75" customHeight="1" x14ac:dyDescent="0.3">
      <c r="A201" s="2"/>
      <c r="C201" s="2"/>
      <c r="D201" s="2"/>
      <c r="E201" s="2"/>
      <c r="F201" s="2"/>
      <c r="G201" s="92"/>
      <c r="H201" s="2"/>
      <c r="I201" s="2"/>
      <c r="J201" s="2"/>
      <c r="K201" s="90"/>
      <c r="L201" s="2"/>
      <c r="N201" s="2"/>
      <c r="O201" s="2"/>
      <c r="P201" s="2"/>
      <c r="Q201" s="2"/>
      <c r="R201" s="2"/>
      <c r="S201" s="2"/>
      <c r="T201" s="2"/>
      <c r="U201" s="222"/>
      <c r="V201" s="2"/>
      <c r="W201" s="2"/>
      <c r="X201" s="2"/>
      <c r="Z201" s="2"/>
      <c r="AA201" s="2"/>
      <c r="AB201" s="2"/>
      <c r="AC201" s="2"/>
    </row>
    <row r="202" spans="1:29" ht="15.75" customHeight="1" x14ac:dyDescent="0.3">
      <c r="A202" s="2"/>
      <c r="C202" s="2"/>
      <c r="D202" s="2"/>
      <c r="E202" s="2"/>
      <c r="F202" s="2"/>
      <c r="G202" s="92"/>
      <c r="H202" s="2"/>
      <c r="I202" s="2"/>
      <c r="J202" s="2"/>
      <c r="K202" s="90"/>
      <c r="L202" s="2"/>
      <c r="N202" s="2"/>
      <c r="O202" s="2"/>
      <c r="P202" s="2"/>
      <c r="Q202" s="2"/>
      <c r="R202" s="2"/>
      <c r="S202" s="2"/>
      <c r="T202" s="2"/>
      <c r="U202" s="222"/>
      <c r="V202" s="2"/>
      <c r="W202" s="2"/>
      <c r="X202" s="2"/>
      <c r="Z202" s="2"/>
      <c r="AA202" s="2"/>
      <c r="AB202" s="2"/>
      <c r="AC202" s="2"/>
    </row>
    <row r="203" spans="1:29" ht="15.75" customHeight="1" x14ac:dyDescent="0.3">
      <c r="A203" s="2"/>
      <c r="C203" s="2"/>
      <c r="D203" s="2"/>
      <c r="E203" s="2"/>
      <c r="F203" s="2"/>
      <c r="G203" s="92"/>
      <c r="H203" s="2"/>
      <c r="I203" s="2"/>
      <c r="J203" s="2"/>
      <c r="K203" s="90"/>
      <c r="L203" s="2"/>
      <c r="N203" s="2"/>
      <c r="O203" s="2"/>
      <c r="P203" s="2"/>
      <c r="Q203" s="2"/>
      <c r="R203" s="2"/>
      <c r="S203" s="2"/>
      <c r="T203" s="2"/>
      <c r="U203" s="222"/>
      <c r="V203" s="2"/>
      <c r="W203" s="2"/>
      <c r="X203" s="2"/>
      <c r="Z203" s="2"/>
      <c r="AA203" s="2"/>
      <c r="AB203" s="2"/>
      <c r="AC203" s="2"/>
    </row>
    <row r="204" spans="1:29" ht="15.75" customHeight="1" x14ac:dyDescent="0.3">
      <c r="A204" s="2"/>
      <c r="C204" s="2"/>
      <c r="D204" s="2"/>
      <c r="E204" s="2"/>
      <c r="F204" s="2"/>
      <c r="G204" s="92"/>
      <c r="H204" s="2"/>
      <c r="I204" s="2"/>
      <c r="J204" s="2"/>
      <c r="K204" s="90"/>
      <c r="L204" s="2"/>
      <c r="N204" s="2"/>
      <c r="O204" s="2"/>
      <c r="P204" s="2"/>
      <c r="Q204" s="2"/>
      <c r="R204" s="2"/>
      <c r="S204" s="2"/>
      <c r="T204" s="2"/>
      <c r="U204" s="222"/>
      <c r="V204" s="2"/>
      <c r="W204" s="2"/>
      <c r="X204" s="2"/>
      <c r="Z204" s="2"/>
      <c r="AA204" s="2"/>
      <c r="AB204" s="2"/>
      <c r="AC204" s="2"/>
    </row>
    <row r="205" spans="1:29" ht="15.75" customHeight="1" x14ac:dyDescent="0.3">
      <c r="A205" s="2"/>
      <c r="C205" s="2"/>
      <c r="D205" s="2"/>
      <c r="E205" s="2"/>
      <c r="F205" s="2"/>
      <c r="G205" s="92"/>
      <c r="H205" s="2"/>
      <c r="I205" s="2"/>
      <c r="J205" s="2"/>
      <c r="K205" s="90"/>
      <c r="L205" s="2"/>
      <c r="N205" s="2"/>
      <c r="O205" s="2"/>
      <c r="P205" s="2"/>
      <c r="Q205" s="2"/>
      <c r="R205" s="2"/>
      <c r="S205" s="2"/>
      <c r="T205" s="2"/>
      <c r="U205" s="222"/>
      <c r="V205" s="2"/>
      <c r="W205" s="2"/>
      <c r="X205" s="2"/>
      <c r="Z205" s="2"/>
      <c r="AA205" s="2"/>
      <c r="AB205" s="2"/>
      <c r="AC205" s="2"/>
    </row>
    <row r="206" spans="1:29" ht="15.75" customHeight="1" x14ac:dyDescent="0.3">
      <c r="A206" s="2"/>
      <c r="C206" s="2"/>
      <c r="D206" s="2"/>
      <c r="E206" s="2"/>
      <c r="F206" s="2"/>
      <c r="G206" s="92"/>
      <c r="H206" s="2"/>
      <c r="I206" s="2"/>
      <c r="J206" s="2"/>
      <c r="K206" s="90"/>
      <c r="L206" s="2"/>
      <c r="N206" s="2"/>
      <c r="O206" s="2"/>
      <c r="P206" s="2"/>
      <c r="Q206" s="2"/>
      <c r="R206" s="2"/>
      <c r="S206" s="2"/>
      <c r="T206" s="2"/>
      <c r="U206" s="222"/>
      <c r="V206" s="2"/>
      <c r="W206" s="2"/>
      <c r="X206" s="2"/>
      <c r="Z206" s="2"/>
      <c r="AA206" s="2"/>
      <c r="AB206" s="2"/>
      <c r="AC206" s="2"/>
    </row>
    <row r="207" spans="1:29" ht="15.75" customHeight="1" x14ac:dyDescent="0.3">
      <c r="A207" s="2"/>
      <c r="C207" s="2"/>
      <c r="D207" s="2"/>
      <c r="E207" s="2"/>
      <c r="F207" s="2"/>
      <c r="G207" s="92"/>
      <c r="H207" s="2"/>
      <c r="I207" s="2"/>
      <c r="J207" s="2"/>
      <c r="K207" s="90"/>
      <c r="L207" s="2"/>
      <c r="N207" s="2"/>
      <c r="O207" s="2"/>
      <c r="P207" s="2"/>
      <c r="Q207" s="2"/>
      <c r="R207" s="2"/>
      <c r="S207" s="2"/>
      <c r="T207" s="2"/>
      <c r="U207" s="222"/>
      <c r="V207" s="2"/>
      <c r="W207" s="2"/>
      <c r="X207" s="2"/>
      <c r="Z207" s="2"/>
      <c r="AA207" s="2"/>
      <c r="AB207" s="2"/>
      <c r="AC207" s="2"/>
    </row>
    <row r="208" spans="1:29" ht="15.75" customHeight="1" x14ac:dyDescent="0.3">
      <c r="A208" s="2"/>
      <c r="C208" s="2"/>
      <c r="D208" s="2"/>
      <c r="E208" s="2"/>
      <c r="F208" s="2"/>
      <c r="G208" s="92"/>
      <c r="H208" s="2"/>
      <c r="I208" s="2"/>
      <c r="J208" s="2"/>
      <c r="K208" s="90"/>
      <c r="L208" s="2"/>
      <c r="N208" s="2"/>
      <c r="O208" s="2"/>
      <c r="P208" s="2"/>
      <c r="Q208" s="2"/>
      <c r="R208" s="2"/>
      <c r="S208" s="2"/>
      <c r="T208" s="2"/>
      <c r="U208" s="222"/>
      <c r="V208" s="2"/>
      <c r="W208" s="2"/>
      <c r="X208" s="2"/>
      <c r="Z208" s="2"/>
      <c r="AA208" s="2"/>
      <c r="AB208" s="2"/>
      <c r="AC208" s="2"/>
    </row>
    <row r="209" spans="1:29" ht="15.75" customHeight="1" x14ac:dyDescent="0.3">
      <c r="A209" s="2"/>
      <c r="C209" s="2"/>
      <c r="D209" s="2"/>
      <c r="E209" s="2"/>
      <c r="F209" s="2"/>
      <c r="G209" s="92"/>
      <c r="H209" s="2"/>
      <c r="I209" s="2"/>
      <c r="J209" s="2"/>
      <c r="K209" s="90"/>
      <c r="L209" s="2"/>
      <c r="N209" s="2"/>
      <c r="O209" s="2"/>
      <c r="P209" s="2"/>
      <c r="Q209" s="2"/>
      <c r="R209" s="2"/>
      <c r="S209" s="2"/>
      <c r="T209" s="2"/>
      <c r="U209" s="222"/>
      <c r="V209" s="2"/>
      <c r="W209" s="2"/>
      <c r="X209" s="2"/>
      <c r="Z209" s="2"/>
      <c r="AA209" s="2"/>
      <c r="AB209" s="2"/>
      <c r="AC209" s="2"/>
    </row>
    <row r="210" spans="1:29" ht="15.75" customHeight="1" x14ac:dyDescent="0.3">
      <c r="A210" s="2"/>
      <c r="C210" s="2"/>
      <c r="D210" s="2"/>
      <c r="E210" s="2"/>
      <c r="F210" s="2"/>
      <c r="G210" s="92"/>
      <c r="H210" s="2"/>
      <c r="I210" s="2"/>
      <c r="J210" s="2"/>
      <c r="K210" s="90"/>
      <c r="L210" s="2"/>
      <c r="N210" s="2"/>
      <c r="O210" s="2"/>
      <c r="P210" s="2"/>
      <c r="Q210" s="2"/>
      <c r="R210" s="2"/>
      <c r="S210" s="2"/>
      <c r="T210" s="2"/>
      <c r="U210" s="222"/>
      <c r="V210" s="2"/>
      <c r="W210" s="2"/>
      <c r="X210" s="2"/>
      <c r="Z210" s="2"/>
      <c r="AA210" s="2"/>
      <c r="AB210" s="2"/>
      <c r="AC210" s="2"/>
    </row>
    <row r="211" spans="1:29" ht="15.75" customHeight="1" x14ac:dyDescent="0.3">
      <c r="A211" s="2"/>
      <c r="C211" s="2"/>
      <c r="D211" s="2"/>
      <c r="E211" s="2"/>
      <c r="F211" s="2"/>
      <c r="G211" s="92"/>
      <c r="H211" s="2"/>
      <c r="I211" s="2"/>
      <c r="J211" s="2"/>
      <c r="K211" s="90"/>
      <c r="L211" s="2"/>
      <c r="N211" s="2"/>
      <c r="O211" s="2"/>
      <c r="P211" s="2"/>
      <c r="Q211" s="2"/>
      <c r="R211" s="2"/>
      <c r="S211" s="2"/>
      <c r="T211" s="2"/>
      <c r="U211" s="222"/>
      <c r="V211" s="2"/>
      <c r="W211" s="2"/>
      <c r="X211" s="2"/>
      <c r="Z211" s="2"/>
      <c r="AA211" s="2"/>
      <c r="AB211" s="2"/>
      <c r="AC211" s="2"/>
    </row>
    <row r="212" spans="1:29" ht="15.75" customHeight="1" x14ac:dyDescent="0.3">
      <c r="A212" s="2"/>
      <c r="C212" s="2"/>
      <c r="D212" s="2"/>
      <c r="E212" s="2"/>
      <c r="F212" s="2"/>
      <c r="G212" s="92"/>
      <c r="H212" s="2"/>
      <c r="I212" s="2"/>
      <c r="J212" s="2"/>
      <c r="K212" s="90"/>
      <c r="L212" s="2"/>
      <c r="N212" s="2"/>
      <c r="O212" s="2"/>
      <c r="P212" s="2"/>
      <c r="Q212" s="2"/>
      <c r="R212" s="2"/>
      <c r="S212" s="2"/>
      <c r="T212" s="2"/>
      <c r="U212" s="222"/>
      <c r="V212" s="2"/>
      <c r="W212" s="2"/>
      <c r="X212" s="2"/>
      <c r="Z212" s="2"/>
      <c r="AA212" s="2"/>
      <c r="AB212" s="2"/>
      <c r="AC212" s="2"/>
    </row>
    <row r="213" spans="1:29" ht="15.75" customHeight="1" x14ac:dyDescent="0.3">
      <c r="A213" s="2"/>
      <c r="C213" s="2"/>
      <c r="D213" s="2"/>
      <c r="E213" s="2"/>
      <c r="F213" s="2"/>
      <c r="G213" s="92"/>
      <c r="H213" s="2"/>
      <c r="I213" s="2"/>
      <c r="J213" s="2"/>
      <c r="K213" s="90"/>
      <c r="L213" s="2"/>
      <c r="N213" s="2"/>
      <c r="O213" s="2"/>
      <c r="P213" s="2"/>
      <c r="Q213" s="2"/>
      <c r="R213" s="2"/>
      <c r="S213" s="2"/>
      <c r="T213" s="2"/>
      <c r="U213" s="222"/>
      <c r="V213" s="2"/>
      <c r="W213" s="2"/>
      <c r="X213" s="2"/>
      <c r="Z213" s="2"/>
      <c r="AA213" s="2"/>
      <c r="AB213" s="2"/>
      <c r="AC213" s="2"/>
    </row>
    <row r="214" spans="1:29" ht="15.75" customHeight="1" x14ac:dyDescent="0.3">
      <c r="A214" s="2"/>
      <c r="C214" s="2"/>
      <c r="D214" s="2"/>
      <c r="E214" s="2"/>
      <c r="F214" s="2"/>
      <c r="G214" s="92"/>
      <c r="H214" s="2"/>
      <c r="I214" s="2"/>
      <c r="J214" s="2"/>
      <c r="K214" s="90"/>
      <c r="L214" s="2"/>
      <c r="N214" s="2"/>
      <c r="O214" s="2"/>
      <c r="P214" s="2"/>
      <c r="Q214" s="2"/>
      <c r="R214" s="2"/>
      <c r="S214" s="2"/>
      <c r="T214" s="2"/>
      <c r="U214" s="222"/>
      <c r="V214" s="2"/>
      <c r="W214" s="2"/>
      <c r="X214" s="2"/>
      <c r="Z214" s="2"/>
      <c r="AA214" s="2"/>
      <c r="AB214" s="2"/>
      <c r="AC214" s="2"/>
    </row>
    <row r="215" spans="1:29" ht="15.75" customHeight="1" x14ac:dyDescent="0.3">
      <c r="A215" s="2"/>
      <c r="C215" s="2"/>
      <c r="D215" s="2"/>
      <c r="E215" s="2"/>
      <c r="F215" s="2"/>
      <c r="G215" s="92"/>
      <c r="H215" s="2"/>
      <c r="I215" s="2"/>
      <c r="J215" s="2"/>
      <c r="K215" s="90"/>
      <c r="L215" s="2"/>
      <c r="N215" s="2"/>
      <c r="O215" s="2"/>
      <c r="P215" s="2"/>
      <c r="Q215" s="2"/>
      <c r="R215" s="2"/>
      <c r="S215" s="2"/>
      <c r="T215" s="2"/>
      <c r="U215" s="222"/>
      <c r="V215" s="2"/>
      <c r="W215" s="2"/>
      <c r="X215" s="2"/>
      <c r="Z215" s="2"/>
      <c r="AA215" s="2"/>
      <c r="AB215" s="2"/>
      <c r="AC215" s="2"/>
    </row>
    <row r="216" spans="1:29" ht="15.75" customHeight="1" x14ac:dyDescent="0.3">
      <c r="A216" s="2"/>
      <c r="C216" s="2"/>
      <c r="D216" s="2"/>
      <c r="E216" s="2"/>
      <c r="F216" s="2"/>
      <c r="G216" s="92"/>
      <c r="H216" s="2"/>
      <c r="I216" s="2"/>
      <c r="J216" s="2"/>
      <c r="K216" s="90"/>
      <c r="L216" s="2"/>
      <c r="N216" s="2"/>
      <c r="O216" s="2"/>
      <c r="P216" s="2"/>
      <c r="Q216" s="2"/>
      <c r="R216" s="2"/>
      <c r="S216" s="2"/>
      <c r="T216" s="2"/>
      <c r="U216" s="222"/>
      <c r="V216" s="2"/>
      <c r="W216" s="2"/>
      <c r="X216" s="2"/>
      <c r="Z216" s="2"/>
      <c r="AA216" s="2"/>
      <c r="AB216" s="2"/>
      <c r="AC216" s="2"/>
    </row>
    <row r="217" spans="1:29" ht="15.75" customHeight="1" x14ac:dyDescent="0.3">
      <c r="A217" s="2"/>
      <c r="C217" s="2"/>
      <c r="D217" s="2"/>
      <c r="E217" s="2"/>
      <c r="F217" s="2"/>
      <c r="G217" s="92"/>
      <c r="H217" s="2"/>
      <c r="I217" s="2"/>
      <c r="J217" s="2"/>
      <c r="K217" s="90"/>
      <c r="L217" s="2"/>
      <c r="N217" s="2"/>
      <c r="O217" s="2"/>
      <c r="P217" s="2"/>
      <c r="Q217" s="2"/>
      <c r="R217" s="2"/>
      <c r="S217" s="2"/>
      <c r="T217" s="2"/>
      <c r="U217" s="222"/>
      <c r="V217" s="2"/>
      <c r="W217" s="2"/>
      <c r="X217" s="2"/>
      <c r="Z217" s="2"/>
      <c r="AA217" s="2"/>
      <c r="AB217" s="2"/>
      <c r="AC217" s="2"/>
    </row>
    <row r="218" spans="1:29" ht="15.75" customHeight="1" x14ac:dyDescent="0.3">
      <c r="A218" s="2"/>
      <c r="C218" s="2"/>
      <c r="D218" s="2"/>
      <c r="E218" s="2"/>
      <c r="F218" s="2"/>
      <c r="G218" s="92"/>
      <c r="H218" s="2"/>
      <c r="I218" s="2"/>
      <c r="J218" s="2"/>
      <c r="K218" s="90"/>
      <c r="L218" s="2"/>
      <c r="N218" s="2"/>
      <c r="O218" s="2"/>
      <c r="P218" s="2"/>
      <c r="Q218" s="2"/>
      <c r="R218" s="2"/>
      <c r="S218" s="2"/>
      <c r="T218" s="2"/>
      <c r="U218" s="222"/>
      <c r="V218" s="2"/>
      <c r="W218" s="2"/>
      <c r="X218" s="2"/>
      <c r="Z218" s="2"/>
      <c r="AA218" s="2"/>
      <c r="AB218" s="2"/>
      <c r="AC218" s="2"/>
    </row>
    <row r="219" spans="1:29" ht="15.75" customHeight="1" x14ac:dyDescent="0.3">
      <c r="A219" s="2"/>
      <c r="C219" s="2"/>
      <c r="D219" s="2"/>
      <c r="E219" s="2"/>
      <c r="F219" s="2"/>
      <c r="G219" s="92"/>
      <c r="H219" s="2"/>
      <c r="I219" s="2"/>
      <c r="J219" s="2"/>
      <c r="K219" s="90"/>
      <c r="L219" s="2"/>
      <c r="N219" s="2"/>
      <c r="O219" s="2"/>
      <c r="P219" s="2"/>
      <c r="Q219" s="2"/>
      <c r="R219" s="2"/>
      <c r="S219" s="2"/>
      <c r="T219" s="2"/>
      <c r="U219" s="222"/>
      <c r="V219" s="2"/>
      <c r="W219" s="2"/>
      <c r="X219" s="2"/>
      <c r="Z219" s="2"/>
      <c r="AA219" s="2"/>
      <c r="AB219" s="2"/>
      <c r="AC219" s="2"/>
    </row>
    <row r="220" spans="1:29" ht="15.75" customHeight="1" x14ac:dyDescent="0.3">
      <c r="A220" s="2"/>
      <c r="C220" s="2"/>
      <c r="D220" s="2"/>
      <c r="E220" s="2"/>
      <c r="F220" s="2"/>
      <c r="G220" s="92"/>
      <c r="H220" s="2"/>
      <c r="I220" s="2"/>
      <c r="J220" s="2"/>
      <c r="K220" s="90"/>
      <c r="L220" s="2"/>
      <c r="N220" s="2"/>
      <c r="O220" s="2"/>
      <c r="P220" s="2"/>
      <c r="Q220" s="2"/>
      <c r="R220" s="2"/>
      <c r="S220" s="2"/>
      <c r="T220" s="2"/>
      <c r="U220" s="222"/>
      <c r="V220" s="2"/>
      <c r="W220" s="2"/>
      <c r="X220" s="2"/>
      <c r="Z220" s="2"/>
      <c r="AA220" s="2"/>
      <c r="AB220" s="2"/>
      <c r="AC220" s="2"/>
    </row>
    <row r="221" spans="1:29" ht="15.75" customHeight="1" x14ac:dyDescent="0.3">
      <c r="A221" s="2"/>
      <c r="C221" s="2"/>
      <c r="D221" s="2"/>
      <c r="E221" s="2"/>
      <c r="F221" s="2"/>
      <c r="G221" s="92"/>
      <c r="H221" s="2"/>
      <c r="I221" s="2"/>
      <c r="J221" s="2"/>
      <c r="K221" s="90"/>
      <c r="L221" s="2"/>
      <c r="N221" s="2"/>
      <c r="O221" s="2"/>
      <c r="P221" s="2"/>
      <c r="Q221" s="2"/>
      <c r="R221" s="2"/>
      <c r="S221" s="2"/>
      <c r="T221" s="2"/>
      <c r="U221" s="222"/>
      <c r="V221" s="2"/>
      <c r="W221" s="2"/>
      <c r="X221" s="2"/>
      <c r="Z221" s="2"/>
      <c r="AA221" s="2"/>
      <c r="AB221" s="2"/>
      <c r="AC221" s="2"/>
    </row>
    <row r="222" spans="1:29" ht="15.75" customHeight="1" x14ac:dyDescent="0.3">
      <c r="A222" s="2"/>
      <c r="C222" s="2"/>
      <c r="D222" s="2"/>
      <c r="E222" s="2"/>
      <c r="F222" s="2"/>
      <c r="G222" s="92"/>
      <c r="H222" s="2"/>
      <c r="I222" s="2"/>
      <c r="J222" s="2"/>
      <c r="K222" s="90"/>
      <c r="L222" s="2"/>
      <c r="N222" s="2"/>
      <c r="O222" s="2"/>
      <c r="P222" s="2"/>
      <c r="Q222" s="2"/>
      <c r="R222" s="2"/>
      <c r="S222" s="2"/>
      <c r="T222" s="2"/>
      <c r="U222" s="222"/>
      <c r="V222" s="2"/>
      <c r="W222" s="2"/>
      <c r="X222" s="2"/>
      <c r="Z222" s="2"/>
      <c r="AA222" s="2"/>
      <c r="AB222" s="2"/>
      <c r="AC222" s="2"/>
    </row>
    <row r="223" spans="1:29" ht="15.75" customHeight="1" x14ac:dyDescent="0.3">
      <c r="A223" s="2"/>
      <c r="C223" s="2"/>
      <c r="D223" s="2"/>
      <c r="E223" s="2"/>
      <c r="F223" s="2"/>
      <c r="G223" s="92"/>
      <c r="H223" s="2"/>
      <c r="I223" s="2"/>
      <c r="J223" s="2"/>
      <c r="K223" s="90"/>
      <c r="L223" s="2"/>
      <c r="N223" s="2"/>
      <c r="O223" s="2"/>
      <c r="P223" s="2"/>
      <c r="Q223" s="2"/>
      <c r="R223" s="2"/>
      <c r="S223" s="2"/>
      <c r="T223" s="2"/>
      <c r="U223" s="222"/>
      <c r="V223" s="2"/>
      <c r="W223" s="2"/>
      <c r="X223" s="2"/>
      <c r="Z223" s="2"/>
      <c r="AA223" s="2"/>
      <c r="AB223" s="2"/>
      <c r="AC223" s="2"/>
    </row>
    <row r="224" spans="1:29" ht="15.75" customHeight="1" x14ac:dyDescent="0.3">
      <c r="A224" s="2"/>
      <c r="C224" s="2"/>
      <c r="D224" s="2"/>
      <c r="E224" s="2"/>
      <c r="F224" s="2"/>
      <c r="G224" s="92"/>
      <c r="H224" s="2"/>
      <c r="I224" s="2"/>
      <c r="J224" s="2"/>
      <c r="K224" s="90"/>
      <c r="L224" s="2"/>
      <c r="N224" s="2"/>
      <c r="O224" s="2"/>
      <c r="P224" s="2"/>
      <c r="Q224" s="2"/>
      <c r="R224" s="2"/>
      <c r="S224" s="2"/>
      <c r="T224" s="2"/>
      <c r="U224" s="222"/>
      <c r="V224" s="2"/>
      <c r="W224" s="2"/>
      <c r="X224" s="2"/>
      <c r="Z224" s="2"/>
      <c r="AA224" s="2"/>
      <c r="AB224" s="2"/>
      <c r="AC224" s="2"/>
    </row>
    <row r="225" spans="1:29" ht="15.75" customHeight="1" x14ac:dyDescent="0.3">
      <c r="A225" s="2"/>
      <c r="C225" s="2"/>
      <c r="D225" s="2"/>
      <c r="E225" s="2"/>
      <c r="F225" s="2"/>
      <c r="G225" s="92"/>
      <c r="H225" s="2"/>
      <c r="I225" s="2"/>
      <c r="J225" s="2"/>
      <c r="K225" s="90"/>
      <c r="L225" s="2"/>
      <c r="N225" s="2"/>
      <c r="O225" s="2"/>
      <c r="P225" s="2"/>
      <c r="Q225" s="2"/>
      <c r="R225" s="2"/>
      <c r="S225" s="2"/>
      <c r="T225" s="2"/>
      <c r="U225" s="222"/>
      <c r="V225" s="2"/>
      <c r="W225" s="2"/>
      <c r="X225" s="2"/>
      <c r="Z225" s="2"/>
      <c r="AA225" s="2"/>
      <c r="AB225" s="2"/>
      <c r="AC225" s="2"/>
    </row>
    <row r="226" spans="1:29" ht="15.75" customHeight="1" x14ac:dyDescent="0.3">
      <c r="A226" s="2"/>
      <c r="C226" s="2"/>
      <c r="D226" s="2"/>
      <c r="E226" s="2"/>
      <c r="F226" s="2"/>
      <c r="G226" s="92"/>
      <c r="H226" s="2"/>
      <c r="I226" s="2"/>
      <c r="J226" s="2"/>
      <c r="K226" s="90"/>
      <c r="L226" s="2"/>
      <c r="N226" s="2"/>
      <c r="O226" s="2"/>
      <c r="P226" s="2"/>
      <c r="Q226" s="2"/>
      <c r="R226" s="2"/>
      <c r="S226" s="2"/>
      <c r="T226" s="2"/>
      <c r="U226" s="222"/>
      <c r="V226" s="2"/>
      <c r="W226" s="2"/>
      <c r="X226" s="2"/>
      <c r="Z226" s="2"/>
      <c r="AA226" s="2"/>
      <c r="AB226" s="2"/>
      <c r="AC226" s="2"/>
    </row>
    <row r="227" spans="1:29" ht="15.75" customHeight="1" x14ac:dyDescent="0.3">
      <c r="A227" s="2"/>
      <c r="C227" s="2"/>
      <c r="D227" s="2"/>
      <c r="E227" s="2"/>
      <c r="F227" s="2"/>
      <c r="G227" s="92"/>
      <c r="H227" s="2"/>
      <c r="I227" s="2"/>
      <c r="J227" s="2"/>
      <c r="K227" s="90"/>
      <c r="L227" s="2"/>
      <c r="N227" s="2"/>
      <c r="O227" s="2"/>
      <c r="P227" s="2"/>
      <c r="Q227" s="2"/>
      <c r="R227" s="2"/>
      <c r="S227" s="2"/>
      <c r="T227" s="2"/>
      <c r="U227" s="222"/>
      <c r="V227" s="2"/>
      <c r="W227" s="2"/>
      <c r="X227" s="2"/>
      <c r="Z227" s="2"/>
      <c r="AA227" s="2"/>
      <c r="AB227" s="2"/>
      <c r="AC227" s="2"/>
    </row>
    <row r="228" spans="1:29" ht="15.75" customHeight="1" x14ac:dyDescent="0.3">
      <c r="A228" s="2"/>
      <c r="C228" s="2"/>
      <c r="D228" s="2"/>
      <c r="E228" s="2"/>
      <c r="F228" s="2"/>
      <c r="G228" s="92"/>
      <c r="H228" s="2"/>
      <c r="I228" s="2"/>
      <c r="J228" s="2"/>
      <c r="K228" s="90"/>
      <c r="L228" s="2"/>
      <c r="N228" s="2"/>
      <c r="O228" s="2"/>
      <c r="P228" s="2"/>
      <c r="Q228" s="2"/>
      <c r="R228" s="2"/>
      <c r="S228" s="2"/>
      <c r="T228" s="2"/>
      <c r="U228" s="222"/>
      <c r="V228" s="2"/>
      <c r="W228" s="2"/>
      <c r="X228" s="2"/>
      <c r="Z228" s="2"/>
      <c r="AA228" s="2"/>
      <c r="AB228" s="2"/>
      <c r="AC228" s="2"/>
    </row>
    <row r="229" spans="1:29" ht="15.75" customHeight="1" x14ac:dyDescent="0.3">
      <c r="A229" s="2"/>
      <c r="C229" s="2"/>
      <c r="D229" s="2"/>
      <c r="E229" s="2"/>
      <c r="F229" s="2"/>
      <c r="G229" s="92"/>
      <c r="H229" s="2"/>
      <c r="I229" s="2"/>
      <c r="J229" s="2"/>
      <c r="K229" s="90"/>
      <c r="L229" s="2"/>
      <c r="N229" s="2"/>
      <c r="O229" s="2"/>
      <c r="P229" s="2"/>
      <c r="Q229" s="2"/>
      <c r="R229" s="2"/>
      <c r="S229" s="2"/>
      <c r="T229" s="2"/>
      <c r="U229" s="222"/>
      <c r="V229" s="2"/>
      <c r="W229" s="2"/>
      <c r="X229" s="2"/>
      <c r="Z229" s="2"/>
      <c r="AA229" s="2"/>
      <c r="AB229" s="2"/>
      <c r="AC229" s="2"/>
    </row>
    <row r="230" spans="1:29" ht="15.75" customHeight="1" x14ac:dyDescent="0.3">
      <c r="A230" s="2"/>
      <c r="C230" s="2"/>
      <c r="D230" s="2"/>
      <c r="E230" s="2"/>
      <c r="F230" s="2"/>
      <c r="G230" s="92"/>
      <c r="H230" s="2"/>
      <c r="I230" s="2"/>
      <c r="J230" s="2"/>
      <c r="K230" s="90"/>
      <c r="L230" s="2"/>
      <c r="N230" s="2"/>
      <c r="O230" s="2"/>
      <c r="P230" s="2"/>
      <c r="Q230" s="2"/>
      <c r="R230" s="2"/>
      <c r="S230" s="2"/>
      <c r="T230" s="2"/>
      <c r="U230" s="222"/>
      <c r="V230" s="2"/>
      <c r="W230" s="2"/>
      <c r="X230" s="2"/>
      <c r="Z230" s="2"/>
      <c r="AA230" s="2"/>
      <c r="AB230" s="2"/>
      <c r="AC230" s="2"/>
    </row>
    <row r="231" spans="1:29" ht="15.75" customHeight="1" x14ac:dyDescent="0.3">
      <c r="A231" s="2"/>
      <c r="C231" s="2"/>
      <c r="D231" s="2"/>
      <c r="E231" s="2"/>
      <c r="F231" s="2"/>
      <c r="G231" s="92"/>
      <c r="H231" s="2"/>
      <c r="I231" s="2"/>
      <c r="J231" s="2"/>
      <c r="K231" s="90"/>
      <c r="L231" s="2"/>
      <c r="N231" s="2"/>
      <c r="O231" s="2"/>
      <c r="P231" s="2"/>
      <c r="Q231" s="2"/>
      <c r="R231" s="2"/>
      <c r="S231" s="2"/>
      <c r="T231" s="2"/>
      <c r="U231" s="222"/>
      <c r="V231" s="2"/>
      <c r="W231" s="2"/>
      <c r="X231" s="2"/>
      <c r="Z231" s="2"/>
      <c r="AA231" s="2"/>
      <c r="AB231" s="2"/>
      <c r="AC231" s="2"/>
    </row>
    <row r="232" spans="1:29" ht="15.75" customHeight="1" x14ac:dyDescent="0.3">
      <c r="A232" s="2"/>
      <c r="C232" s="2"/>
      <c r="D232" s="2"/>
      <c r="E232" s="2"/>
      <c r="F232" s="2"/>
      <c r="G232" s="92"/>
      <c r="H232" s="2"/>
      <c r="I232" s="2"/>
      <c r="J232" s="2"/>
      <c r="K232" s="90"/>
      <c r="L232" s="2"/>
      <c r="N232" s="2"/>
      <c r="O232" s="2"/>
      <c r="P232" s="2"/>
      <c r="Q232" s="2"/>
      <c r="R232" s="2"/>
      <c r="S232" s="2"/>
      <c r="T232" s="2"/>
      <c r="U232" s="222"/>
      <c r="V232" s="2"/>
      <c r="W232" s="2"/>
      <c r="X232" s="2"/>
      <c r="Z232" s="2"/>
      <c r="AA232" s="2"/>
      <c r="AB232" s="2"/>
      <c r="AC232" s="2"/>
    </row>
    <row r="233" spans="1:29" ht="15.75" customHeight="1" x14ac:dyDescent="0.3">
      <c r="A233" s="2"/>
      <c r="C233" s="2"/>
      <c r="D233" s="2"/>
      <c r="E233" s="2"/>
      <c r="F233" s="2"/>
      <c r="G233" s="92"/>
      <c r="H233" s="2"/>
      <c r="I233" s="2"/>
      <c r="J233" s="2"/>
      <c r="K233" s="90"/>
      <c r="L233" s="2"/>
      <c r="N233" s="2"/>
      <c r="O233" s="2"/>
      <c r="P233" s="2"/>
      <c r="Q233" s="2"/>
      <c r="R233" s="2"/>
      <c r="S233" s="2"/>
      <c r="T233" s="2"/>
      <c r="U233" s="222"/>
      <c r="V233" s="2"/>
      <c r="W233" s="2"/>
      <c r="X233" s="2"/>
      <c r="Z233" s="2"/>
      <c r="AA233" s="2"/>
      <c r="AB233" s="2"/>
      <c r="AC233" s="2"/>
    </row>
    <row r="234" spans="1:29" ht="15.75" customHeight="1" x14ac:dyDescent="0.3">
      <c r="A234" s="2"/>
      <c r="C234" s="2"/>
      <c r="D234" s="2"/>
      <c r="E234" s="2"/>
      <c r="F234" s="2"/>
      <c r="G234" s="92"/>
      <c r="H234" s="2"/>
      <c r="I234" s="2"/>
      <c r="J234" s="2"/>
      <c r="K234" s="90"/>
      <c r="L234" s="2"/>
      <c r="N234" s="2"/>
      <c r="O234" s="2"/>
      <c r="P234" s="2"/>
      <c r="Q234" s="2"/>
      <c r="R234" s="2"/>
      <c r="S234" s="2"/>
      <c r="T234" s="2"/>
      <c r="U234" s="222"/>
      <c r="V234" s="2"/>
      <c r="W234" s="2"/>
      <c r="X234" s="2"/>
      <c r="Z234" s="2"/>
      <c r="AA234" s="2"/>
      <c r="AB234" s="2"/>
      <c r="AC234" s="2"/>
    </row>
    <row r="235" spans="1:29" ht="15.75" customHeight="1" x14ac:dyDescent="0.3">
      <c r="A235" s="2"/>
      <c r="C235" s="2"/>
      <c r="D235" s="2"/>
      <c r="E235" s="2"/>
      <c r="F235" s="2"/>
      <c r="G235" s="92"/>
      <c r="H235" s="2"/>
      <c r="I235" s="2"/>
      <c r="J235" s="2"/>
      <c r="K235" s="90"/>
      <c r="L235" s="2"/>
      <c r="N235" s="2"/>
      <c r="O235" s="2"/>
      <c r="P235" s="2"/>
      <c r="Q235" s="2"/>
      <c r="R235" s="2"/>
      <c r="S235" s="2"/>
      <c r="T235" s="2"/>
      <c r="U235" s="222"/>
      <c r="V235" s="2"/>
      <c r="W235" s="2"/>
      <c r="X235" s="2"/>
      <c r="Z235" s="2"/>
      <c r="AA235" s="2"/>
      <c r="AB235" s="2"/>
      <c r="AC235" s="2"/>
    </row>
    <row r="236" spans="1:29" ht="15.75" customHeight="1" x14ac:dyDescent="0.3">
      <c r="A236" s="2"/>
      <c r="C236" s="2"/>
      <c r="D236" s="2"/>
      <c r="E236" s="2"/>
      <c r="F236" s="2"/>
      <c r="G236" s="92"/>
      <c r="H236" s="2"/>
      <c r="I236" s="2"/>
      <c r="J236" s="2"/>
      <c r="K236" s="90"/>
      <c r="L236" s="2"/>
      <c r="N236" s="2"/>
      <c r="O236" s="2"/>
      <c r="P236" s="2"/>
      <c r="Q236" s="2"/>
      <c r="R236" s="2"/>
      <c r="S236" s="2"/>
      <c r="T236" s="2"/>
      <c r="U236" s="222"/>
      <c r="V236" s="2"/>
      <c r="W236" s="2"/>
      <c r="X236" s="2"/>
      <c r="Z236" s="2"/>
      <c r="AA236" s="2"/>
      <c r="AB236" s="2"/>
      <c r="AC236" s="2"/>
    </row>
    <row r="237" spans="1:29" ht="15.75" customHeight="1" x14ac:dyDescent="0.3">
      <c r="A237" s="2"/>
      <c r="C237" s="2"/>
      <c r="D237" s="2"/>
      <c r="E237" s="2"/>
      <c r="F237" s="2"/>
      <c r="G237" s="92"/>
      <c r="H237" s="2"/>
      <c r="I237" s="2"/>
      <c r="J237" s="2"/>
      <c r="K237" s="90"/>
      <c r="L237" s="2"/>
      <c r="N237" s="2"/>
      <c r="O237" s="2"/>
      <c r="P237" s="2"/>
      <c r="Q237" s="2"/>
      <c r="R237" s="2"/>
      <c r="S237" s="2"/>
      <c r="T237" s="2"/>
      <c r="U237" s="222"/>
      <c r="V237" s="2"/>
      <c r="W237" s="2"/>
      <c r="X237" s="2"/>
      <c r="Z237" s="2"/>
      <c r="AA237" s="2"/>
      <c r="AB237" s="2"/>
      <c r="AC237" s="2"/>
    </row>
    <row r="238" spans="1:29" ht="15.75" customHeight="1" x14ac:dyDescent="0.3">
      <c r="A238" s="2"/>
      <c r="C238" s="2"/>
      <c r="D238" s="2"/>
      <c r="E238" s="2"/>
      <c r="F238" s="2"/>
      <c r="G238" s="92"/>
      <c r="H238" s="2"/>
      <c r="I238" s="2"/>
      <c r="J238" s="2"/>
      <c r="K238" s="90"/>
      <c r="L238" s="2"/>
      <c r="N238" s="2"/>
      <c r="O238" s="2"/>
      <c r="P238" s="2"/>
      <c r="Q238" s="2"/>
      <c r="R238" s="2"/>
      <c r="S238" s="2"/>
      <c r="T238" s="2"/>
      <c r="U238" s="222"/>
      <c r="V238" s="2"/>
      <c r="W238" s="2"/>
      <c r="X238" s="2"/>
      <c r="Z238" s="2"/>
      <c r="AA238" s="2"/>
      <c r="AB238" s="2"/>
      <c r="AC238" s="2"/>
    </row>
    <row r="239" spans="1:29" ht="15.75" customHeight="1" x14ac:dyDescent="0.3">
      <c r="A239" s="2"/>
      <c r="C239" s="2"/>
      <c r="D239" s="2"/>
      <c r="E239" s="2"/>
      <c r="F239" s="2"/>
      <c r="G239" s="92"/>
      <c r="H239" s="2"/>
      <c r="I239" s="2"/>
      <c r="J239" s="2"/>
      <c r="K239" s="90"/>
      <c r="L239" s="2"/>
      <c r="N239" s="2"/>
      <c r="O239" s="2"/>
      <c r="P239" s="2"/>
      <c r="Q239" s="2"/>
      <c r="R239" s="2"/>
      <c r="S239" s="2"/>
      <c r="T239" s="2"/>
      <c r="U239" s="222"/>
      <c r="V239" s="2"/>
      <c r="W239" s="2"/>
      <c r="X239" s="2"/>
      <c r="Z239" s="2"/>
      <c r="AA239" s="2"/>
      <c r="AB239" s="2"/>
      <c r="AC239" s="2"/>
    </row>
    <row r="240" spans="1:29" ht="15.75" customHeight="1" x14ac:dyDescent="0.3">
      <c r="A240" s="2"/>
      <c r="C240" s="2"/>
      <c r="D240" s="2"/>
      <c r="E240" s="2"/>
      <c r="F240" s="2"/>
      <c r="G240" s="92"/>
      <c r="H240" s="2"/>
      <c r="I240" s="2"/>
      <c r="J240" s="2"/>
      <c r="K240" s="90"/>
      <c r="L240" s="2"/>
      <c r="N240" s="2"/>
      <c r="O240" s="2"/>
      <c r="P240" s="2"/>
      <c r="Q240" s="2"/>
      <c r="R240" s="2"/>
      <c r="S240" s="2"/>
      <c r="T240" s="2"/>
      <c r="U240" s="222"/>
      <c r="V240" s="2"/>
      <c r="W240" s="2"/>
      <c r="X240" s="2"/>
      <c r="Z240" s="2"/>
      <c r="AA240" s="2"/>
      <c r="AB240" s="2"/>
      <c r="AC240" s="2"/>
    </row>
    <row r="241" spans="1:29" ht="15.75" customHeight="1" x14ac:dyDescent="0.3">
      <c r="A241" s="2"/>
      <c r="C241" s="2"/>
      <c r="D241" s="2"/>
      <c r="E241" s="2"/>
      <c r="F241" s="2"/>
      <c r="G241" s="92"/>
      <c r="H241" s="2"/>
      <c r="I241" s="2"/>
      <c r="J241" s="2"/>
      <c r="K241" s="90"/>
      <c r="L241" s="2"/>
      <c r="N241" s="2"/>
      <c r="O241" s="2"/>
      <c r="P241" s="2"/>
      <c r="Q241" s="2"/>
      <c r="R241" s="2"/>
      <c r="S241" s="2"/>
      <c r="T241" s="2"/>
      <c r="U241" s="222"/>
      <c r="V241" s="2"/>
      <c r="W241" s="2"/>
      <c r="X241" s="2"/>
      <c r="Z241" s="2"/>
      <c r="AA241" s="2"/>
      <c r="AB241" s="2"/>
      <c r="AC241" s="2"/>
    </row>
    <row r="242" spans="1:29" ht="15.75" customHeight="1" x14ac:dyDescent="0.3">
      <c r="A242" s="2"/>
      <c r="C242" s="2"/>
      <c r="D242" s="2"/>
      <c r="E242" s="2"/>
      <c r="F242" s="2"/>
      <c r="G242" s="92"/>
      <c r="H242" s="2"/>
      <c r="I242" s="2"/>
      <c r="J242" s="2"/>
      <c r="K242" s="90"/>
      <c r="L242" s="2"/>
      <c r="N242" s="2"/>
      <c r="O242" s="2"/>
      <c r="P242" s="2"/>
      <c r="Q242" s="2"/>
      <c r="R242" s="2"/>
      <c r="S242" s="2"/>
      <c r="T242" s="2"/>
      <c r="U242" s="222"/>
      <c r="V242" s="2"/>
      <c r="W242" s="2"/>
      <c r="X242" s="2"/>
      <c r="Z242" s="2"/>
      <c r="AA242" s="2"/>
      <c r="AB242" s="2"/>
      <c r="AC242" s="2"/>
    </row>
    <row r="243" spans="1:29" ht="15.75" customHeight="1" x14ac:dyDescent="0.3">
      <c r="A243" s="2"/>
      <c r="C243" s="2"/>
      <c r="D243" s="2"/>
      <c r="E243" s="2"/>
      <c r="F243" s="2"/>
      <c r="G243" s="92"/>
      <c r="H243" s="2"/>
      <c r="I243" s="2"/>
      <c r="J243" s="2"/>
      <c r="K243" s="90"/>
      <c r="L243" s="2"/>
      <c r="N243" s="2"/>
      <c r="O243" s="2"/>
      <c r="P243" s="2"/>
      <c r="Q243" s="2"/>
      <c r="R243" s="2"/>
      <c r="S243" s="2"/>
      <c r="T243" s="2"/>
      <c r="U243" s="222"/>
      <c r="V243" s="2"/>
      <c r="W243" s="2"/>
      <c r="X243" s="2"/>
      <c r="Z243" s="2"/>
      <c r="AA243" s="2"/>
      <c r="AB243" s="2"/>
      <c r="AC243" s="2"/>
    </row>
    <row r="244" spans="1:29" ht="15.75" customHeight="1" x14ac:dyDescent="0.3">
      <c r="A244" s="2"/>
      <c r="C244" s="2"/>
      <c r="D244" s="2"/>
      <c r="E244" s="2"/>
      <c r="F244" s="2"/>
      <c r="G244" s="92"/>
      <c r="H244" s="2"/>
      <c r="I244" s="2"/>
      <c r="J244" s="2"/>
      <c r="K244" s="90"/>
      <c r="L244" s="2"/>
      <c r="N244" s="2"/>
      <c r="O244" s="2"/>
      <c r="P244" s="2"/>
      <c r="Q244" s="2"/>
      <c r="R244" s="2"/>
      <c r="S244" s="2"/>
      <c r="T244" s="2"/>
      <c r="U244" s="222"/>
      <c r="V244" s="2"/>
      <c r="W244" s="2"/>
      <c r="X244" s="2"/>
      <c r="Z244" s="2"/>
      <c r="AA244" s="2"/>
      <c r="AB244" s="2"/>
      <c r="AC244" s="2"/>
    </row>
    <row r="245" spans="1:29" ht="15.75" customHeight="1" x14ac:dyDescent="0.3">
      <c r="A245" s="2"/>
      <c r="C245" s="2"/>
      <c r="D245" s="2"/>
      <c r="E245" s="2"/>
      <c r="F245" s="2"/>
      <c r="G245" s="92"/>
      <c r="H245" s="2"/>
      <c r="I245" s="2"/>
      <c r="J245" s="2"/>
      <c r="K245" s="90"/>
      <c r="L245" s="2"/>
      <c r="N245" s="2"/>
      <c r="O245" s="2"/>
      <c r="P245" s="2"/>
      <c r="Q245" s="2"/>
      <c r="R245" s="2"/>
      <c r="S245" s="2"/>
      <c r="T245" s="2"/>
      <c r="U245" s="222"/>
      <c r="V245" s="2"/>
      <c r="W245" s="2"/>
      <c r="X245" s="2"/>
      <c r="Z245" s="2"/>
      <c r="AA245" s="2"/>
      <c r="AB245" s="2"/>
      <c r="AC245" s="2"/>
    </row>
    <row r="246" spans="1:29" ht="15.75" customHeight="1" x14ac:dyDescent="0.3">
      <c r="A246" s="2"/>
      <c r="C246" s="2"/>
      <c r="D246" s="2"/>
      <c r="E246" s="2"/>
      <c r="F246" s="2"/>
      <c r="G246" s="92"/>
      <c r="H246" s="2"/>
      <c r="I246" s="2"/>
      <c r="J246" s="2"/>
      <c r="K246" s="90"/>
      <c r="L246" s="2"/>
      <c r="N246" s="2"/>
      <c r="O246" s="2"/>
      <c r="P246" s="2"/>
      <c r="Q246" s="2"/>
      <c r="R246" s="2"/>
      <c r="S246" s="2"/>
      <c r="T246" s="2"/>
      <c r="U246" s="222"/>
      <c r="V246" s="2"/>
      <c r="W246" s="2"/>
      <c r="X246" s="2"/>
      <c r="Z246" s="2"/>
      <c r="AA246" s="2"/>
      <c r="AB246" s="2"/>
      <c r="AC246" s="2"/>
    </row>
    <row r="247" spans="1:29" ht="15.75" customHeight="1" x14ac:dyDescent="0.3">
      <c r="A247" s="2"/>
      <c r="C247" s="2"/>
      <c r="D247" s="2"/>
      <c r="E247" s="2"/>
      <c r="F247" s="2"/>
      <c r="G247" s="92"/>
      <c r="H247" s="2"/>
      <c r="I247" s="2"/>
      <c r="J247" s="2"/>
      <c r="K247" s="90"/>
      <c r="L247" s="2"/>
      <c r="N247" s="2"/>
      <c r="O247" s="2"/>
      <c r="P247" s="2"/>
      <c r="Q247" s="2"/>
      <c r="R247" s="2"/>
      <c r="S247" s="2"/>
      <c r="T247" s="2"/>
      <c r="U247" s="222"/>
      <c r="V247" s="2"/>
      <c r="W247" s="2"/>
      <c r="X247" s="2"/>
      <c r="Z247" s="2"/>
      <c r="AA247" s="2"/>
      <c r="AB247" s="2"/>
      <c r="AC247" s="2"/>
    </row>
    <row r="248" spans="1:29" ht="15.75" customHeight="1" x14ac:dyDescent="0.3">
      <c r="A248" s="2"/>
      <c r="C248" s="2"/>
      <c r="D248" s="2"/>
      <c r="E248" s="2"/>
      <c r="F248" s="2"/>
      <c r="G248" s="92"/>
      <c r="H248" s="2"/>
      <c r="I248" s="2"/>
      <c r="J248" s="2"/>
      <c r="K248" s="90"/>
      <c r="L248" s="2"/>
      <c r="N248" s="2"/>
      <c r="O248" s="2"/>
      <c r="P248" s="2"/>
      <c r="Q248" s="2"/>
      <c r="R248" s="2"/>
      <c r="S248" s="2"/>
      <c r="T248" s="2"/>
      <c r="U248" s="222"/>
      <c r="V248" s="2"/>
      <c r="W248" s="2"/>
      <c r="X248" s="2"/>
      <c r="Z248" s="2"/>
      <c r="AA248" s="2"/>
      <c r="AB248" s="2"/>
      <c r="AC248" s="2"/>
    </row>
    <row r="249" spans="1:29" ht="15.75" customHeight="1" x14ac:dyDescent="0.3">
      <c r="A249" s="2"/>
      <c r="C249" s="2"/>
      <c r="D249" s="2"/>
      <c r="E249" s="2"/>
      <c r="F249" s="2"/>
      <c r="G249" s="92"/>
      <c r="H249" s="2"/>
      <c r="I249" s="2"/>
      <c r="J249" s="2"/>
      <c r="K249" s="90"/>
      <c r="L249" s="2"/>
      <c r="N249" s="2"/>
      <c r="O249" s="2"/>
      <c r="P249" s="2"/>
      <c r="Q249" s="2"/>
      <c r="R249" s="2"/>
      <c r="S249" s="2"/>
      <c r="T249" s="2"/>
      <c r="U249" s="222"/>
      <c r="V249" s="2"/>
      <c r="W249" s="2"/>
      <c r="X249" s="2"/>
      <c r="Z249" s="2"/>
      <c r="AA249" s="2"/>
      <c r="AB249" s="2"/>
      <c r="AC249" s="2"/>
    </row>
    <row r="250" spans="1:29" ht="15.75" customHeight="1" x14ac:dyDescent="0.3">
      <c r="A250" s="2"/>
      <c r="C250" s="2"/>
      <c r="D250" s="2"/>
      <c r="E250" s="2"/>
      <c r="F250" s="2"/>
      <c r="G250" s="92"/>
      <c r="H250" s="2"/>
      <c r="I250" s="2"/>
      <c r="J250" s="2"/>
      <c r="K250" s="90"/>
      <c r="L250" s="2"/>
      <c r="N250" s="2"/>
      <c r="O250" s="2"/>
      <c r="P250" s="2"/>
      <c r="Q250" s="2"/>
      <c r="R250" s="2"/>
      <c r="S250" s="2"/>
      <c r="T250" s="2"/>
      <c r="U250" s="222"/>
      <c r="V250" s="2"/>
      <c r="W250" s="2"/>
      <c r="X250" s="2"/>
      <c r="Z250" s="2"/>
      <c r="AA250" s="2"/>
      <c r="AB250" s="2"/>
      <c r="AC250" s="2"/>
    </row>
    <row r="251" spans="1:29" ht="15.75" customHeight="1" x14ac:dyDescent="0.3">
      <c r="A251" s="2"/>
      <c r="C251" s="2"/>
      <c r="D251" s="2"/>
      <c r="E251" s="2"/>
      <c r="F251" s="2"/>
      <c r="G251" s="92"/>
      <c r="H251" s="2"/>
      <c r="I251" s="2"/>
      <c r="J251" s="2"/>
      <c r="K251" s="90"/>
      <c r="L251" s="2"/>
      <c r="N251" s="2"/>
      <c r="O251" s="2"/>
      <c r="P251" s="2"/>
      <c r="Q251" s="2"/>
      <c r="R251" s="2"/>
      <c r="S251" s="2"/>
      <c r="T251" s="2"/>
      <c r="U251" s="222"/>
      <c r="V251" s="2"/>
      <c r="W251" s="2"/>
      <c r="X251" s="2"/>
      <c r="Z251" s="2"/>
      <c r="AA251" s="2"/>
      <c r="AB251" s="2"/>
      <c r="AC251" s="2"/>
    </row>
    <row r="252" spans="1:29" ht="15.75" customHeight="1" x14ac:dyDescent="0.3">
      <c r="A252" s="2"/>
      <c r="C252" s="2"/>
      <c r="D252" s="2"/>
      <c r="E252" s="2"/>
      <c r="F252" s="2"/>
      <c r="G252" s="92"/>
      <c r="H252" s="2"/>
      <c r="I252" s="2"/>
      <c r="J252" s="2"/>
      <c r="K252" s="90"/>
      <c r="L252" s="2"/>
      <c r="N252" s="2"/>
      <c r="O252" s="2"/>
      <c r="P252" s="2"/>
      <c r="Q252" s="2"/>
      <c r="R252" s="2"/>
      <c r="S252" s="2"/>
      <c r="T252" s="2"/>
      <c r="U252" s="222"/>
      <c r="V252" s="2"/>
      <c r="W252" s="2"/>
      <c r="X252" s="2"/>
      <c r="Z252" s="2"/>
      <c r="AA252" s="2"/>
      <c r="AB252" s="2"/>
      <c r="AC252" s="2"/>
    </row>
    <row r="253" spans="1:29" ht="15.75" customHeight="1" x14ac:dyDescent="0.3">
      <c r="A253" s="2"/>
      <c r="C253" s="2"/>
      <c r="D253" s="2"/>
      <c r="E253" s="2"/>
      <c r="F253" s="2"/>
      <c r="G253" s="92"/>
      <c r="H253" s="2"/>
      <c r="I253" s="2"/>
      <c r="J253" s="2"/>
      <c r="K253" s="90"/>
      <c r="L253" s="2"/>
      <c r="N253" s="2"/>
      <c r="O253" s="2"/>
      <c r="P253" s="2"/>
      <c r="Q253" s="2"/>
      <c r="R253" s="2"/>
      <c r="S253" s="2"/>
      <c r="T253" s="2"/>
      <c r="U253" s="222"/>
      <c r="V253" s="2"/>
      <c r="W253" s="2"/>
      <c r="X253" s="2"/>
      <c r="Z253" s="2"/>
      <c r="AA253" s="2"/>
      <c r="AB253" s="2"/>
      <c r="AC253" s="2"/>
    </row>
    <row r="254" spans="1:29" ht="15.75" customHeight="1" x14ac:dyDescent="0.3">
      <c r="A254" s="2"/>
      <c r="C254" s="2"/>
      <c r="D254" s="2"/>
      <c r="E254" s="2"/>
      <c r="F254" s="2"/>
      <c r="G254" s="92"/>
      <c r="H254" s="2"/>
      <c r="I254" s="2"/>
      <c r="J254" s="2"/>
      <c r="K254" s="90"/>
      <c r="L254" s="2"/>
      <c r="N254" s="2"/>
      <c r="O254" s="2"/>
      <c r="P254" s="2"/>
      <c r="Q254" s="2"/>
      <c r="R254" s="2"/>
      <c r="S254" s="2"/>
      <c r="T254" s="2"/>
      <c r="U254" s="222"/>
      <c r="V254" s="2"/>
      <c r="W254" s="2"/>
      <c r="X254" s="2"/>
      <c r="Z254" s="2"/>
      <c r="AA254" s="2"/>
      <c r="AB254" s="2"/>
      <c r="AC254" s="2"/>
    </row>
    <row r="255" spans="1:29" ht="15.75" customHeight="1" x14ac:dyDescent="0.3">
      <c r="A255" s="2"/>
      <c r="C255" s="2"/>
      <c r="D255" s="2"/>
      <c r="E255" s="2"/>
      <c r="F255" s="2"/>
      <c r="G255" s="92"/>
      <c r="H255" s="2"/>
      <c r="I255" s="2"/>
      <c r="J255" s="2"/>
      <c r="K255" s="90"/>
      <c r="L255" s="2"/>
      <c r="N255" s="2"/>
      <c r="O255" s="2"/>
      <c r="P255" s="2"/>
      <c r="Q255" s="2"/>
      <c r="R255" s="2"/>
      <c r="S255" s="2"/>
      <c r="T255" s="2"/>
      <c r="U255" s="222"/>
      <c r="V255" s="2"/>
      <c r="W255" s="2"/>
      <c r="X255" s="2"/>
      <c r="Z255" s="2"/>
      <c r="AA255" s="2"/>
      <c r="AB255" s="2"/>
      <c r="AC255" s="2"/>
    </row>
    <row r="256" spans="1:29" ht="15.75" customHeight="1" x14ac:dyDescent="0.3">
      <c r="A256" s="2"/>
      <c r="C256" s="2"/>
      <c r="D256" s="2"/>
      <c r="E256" s="2"/>
      <c r="F256" s="2"/>
      <c r="G256" s="92"/>
      <c r="H256" s="2"/>
      <c r="I256" s="2"/>
      <c r="J256" s="2"/>
      <c r="K256" s="90"/>
      <c r="L256" s="2"/>
      <c r="N256" s="2"/>
      <c r="O256" s="2"/>
      <c r="P256" s="2"/>
      <c r="Q256" s="2"/>
      <c r="R256" s="2"/>
      <c r="S256" s="2"/>
      <c r="T256" s="2"/>
      <c r="U256" s="222"/>
      <c r="V256" s="2"/>
      <c r="W256" s="2"/>
      <c r="X256" s="2"/>
      <c r="Z256" s="2"/>
      <c r="AA256" s="2"/>
      <c r="AB256" s="2"/>
      <c r="AC256" s="2"/>
    </row>
    <row r="257" spans="1:29" ht="15.75" customHeight="1" x14ac:dyDescent="0.3">
      <c r="A257" s="2"/>
      <c r="C257" s="2"/>
      <c r="D257" s="2"/>
      <c r="E257" s="2"/>
      <c r="F257" s="2"/>
      <c r="G257" s="92"/>
      <c r="H257" s="2"/>
      <c r="I257" s="2"/>
      <c r="J257" s="2"/>
      <c r="K257" s="90"/>
      <c r="L257" s="2"/>
      <c r="N257" s="2"/>
      <c r="O257" s="2"/>
      <c r="P257" s="2"/>
      <c r="Q257" s="2"/>
      <c r="R257" s="2"/>
      <c r="S257" s="2"/>
      <c r="T257" s="2"/>
      <c r="U257" s="222"/>
      <c r="V257" s="2"/>
      <c r="W257" s="2"/>
      <c r="X257" s="2"/>
      <c r="Z257" s="2"/>
      <c r="AA257" s="2"/>
      <c r="AB257" s="2"/>
      <c r="AC257" s="2"/>
    </row>
    <row r="258" spans="1:29" ht="15.75" customHeight="1" x14ac:dyDescent="0.3">
      <c r="A258" s="2"/>
      <c r="C258" s="2"/>
      <c r="D258" s="2"/>
      <c r="E258" s="2"/>
      <c r="F258" s="2"/>
      <c r="G258" s="92"/>
      <c r="H258" s="2"/>
      <c r="I258" s="2"/>
      <c r="J258" s="2"/>
      <c r="K258" s="90"/>
      <c r="L258" s="2"/>
      <c r="N258" s="2"/>
      <c r="O258" s="2"/>
      <c r="P258" s="2"/>
      <c r="Q258" s="2"/>
      <c r="R258" s="2"/>
      <c r="S258" s="2"/>
      <c r="T258" s="2"/>
      <c r="U258" s="222"/>
      <c r="V258" s="2"/>
      <c r="W258" s="2"/>
      <c r="X258" s="2"/>
      <c r="Z258" s="2"/>
      <c r="AA258" s="2"/>
      <c r="AB258" s="2"/>
      <c r="AC258" s="2"/>
    </row>
    <row r="259" spans="1:29" ht="15.75" customHeight="1" x14ac:dyDescent="0.3">
      <c r="A259" s="2"/>
      <c r="C259" s="2"/>
      <c r="D259" s="2"/>
      <c r="E259" s="2"/>
      <c r="F259" s="2"/>
      <c r="G259" s="92"/>
      <c r="H259" s="2"/>
      <c r="I259" s="2"/>
      <c r="J259" s="2"/>
      <c r="K259" s="90"/>
      <c r="L259" s="2"/>
      <c r="N259" s="2"/>
      <c r="O259" s="2"/>
      <c r="P259" s="2"/>
      <c r="Q259" s="2"/>
      <c r="R259" s="2"/>
      <c r="S259" s="2"/>
      <c r="T259" s="2"/>
      <c r="U259" s="222"/>
      <c r="V259" s="2"/>
      <c r="W259" s="2"/>
      <c r="X259" s="2"/>
      <c r="Z259" s="2"/>
      <c r="AA259" s="2"/>
      <c r="AB259" s="2"/>
      <c r="AC259" s="2"/>
    </row>
    <row r="260" spans="1:29" ht="15.75" customHeight="1" x14ac:dyDescent="0.3">
      <c r="A260" s="2"/>
      <c r="C260" s="2"/>
      <c r="D260" s="2"/>
      <c r="E260" s="2"/>
      <c r="F260" s="2"/>
      <c r="G260" s="92"/>
      <c r="H260" s="2"/>
      <c r="I260" s="2"/>
      <c r="J260" s="2"/>
      <c r="K260" s="90"/>
      <c r="L260" s="2"/>
      <c r="N260" s="2"/>
      <c r="O260" s="2"/>
      <c r="P260" s="2"/>
      <c r="Q260" s="2"/>
      <c r="R260" s="2"/>
      <c r="S260" s="2"/>
      <c r="T260" s="2"/>
      <c r="U260" s="222"/>
      <c r="V260" s="2"/>
      <c r="W260" s="2"/>
      <c r="X260" s="2"/>
      <c r="Z260" s="2"/>
      <c r="AA260" s="2"/>
      <c r="AB260" s="2"/>
      <c r="AC260" s="2"/>
    </row>
    <row r="261" spans="1:29" ht="15.75" customHeight="1" x14ac:dyDescent="0.3">
      <c r="A261" s="2"/>
      <c r="C261" s="2"/>
      <c r="D261" s="2"/>
      <c r="E261" s="2"/>
      <c r="F261" s="2"/>
      <c r="G261" s="92"/>
      <c r="H261" s="2"/>
      <c r="I261" s="2"/>
      <c r="J261" s="2"/>
      <c r="K261" s="90"/>
      <c r="L261" s="2"/>
      <c r="N261" s="2"/>
      <c r="O261" s="2"/>
      <c r="P261" s="2"/>
      <c r="Q261" s="2"/>
      <c r="R261" s="2"/>
      <c r="S261" s="2"/>
      <c r="T261" s="2"/>
      <c r="U261" s="222"/>
      <c r="V261" s="2"/>
      <c r="W261" s="2"/>
      <c r="X261" s="2"/>
      <c r="Z261" s="2"/>
      <c r="AA261" s="2"/>
      <c r="AB261" s="2"/>
      <c r="AC261" s="2"/>
    </row>
    <row r="262" spans="1:29" ht="15.75" customHeight="1" x14ac:dyDescent="0.3">
      <c r="A262" s="2"/>
      <c r="C262" s="2"/>
      <c r="D262" s="2"/>
      <c r="E262" s="2"/>
      <c r="F262" s="2"/>
      <c r="G262" s="92"/>
      <c r="H262" s="2"/>
      <c r="I262" s="2"/>
      <c r="J262" s="2"/>
      <c r="K262" s="90"/>
      <c r="L262" s="2"/>
      <c r="N262" s="2"/>
      <c r="O262" s="2"/>
      <c r="P262" s="2"/>
      <c r="Q262" s="2"/>
      <c r="R262" s="2"/>
      <c r="S262" s="2"/>
      <c r="T262" s="2"/>
      <c r="U262" s="222"/>
      <c r="V262" s="2"/>
      <c r="W262" s="2"/>
      <c r="X262" s="2"/>
      <c r="Z262" s="2"/>
      <c r="AA262" s="2"/>
      <c r="AB262" s="2"/>
      <c r="AC262" s="2"/>
    </row>
    <row r="263" spans="1:29" ht="15.75" customHeight="1" x14ac:dyDescent="0.3">
      <c r="A263" s="2"/>
      <c r="C263" s="2"/>
      <c r="D263" s="2"/>
      <c r="E263" s="2"/>
      <c r="F263" s="2"/>
      <c r="G263" s="92"/>
      <c r="H263" s="2"/>
      <c r="I263" s="2"/>
      <c r="J263" s="2"/>
      <c r="K263" s="90"/>
      <c r="L263" s="2"/>
      <c r="N263" s="2"/>
      <c r="O263" s="2"/>
      <c r="P263" s="2"/>
      <c r="Q263" s="2"/>
      <c r="R263" s="2"/>
      <c r="S263" s="2"/>
      <c r="T263" s="2"/>
      <c r="U263" s="222"/>
      <c r="V263" s="2"/>
      <c r="W263" s="2"/>
      <c r="X263" s="2"/>
      <c r="Z263" s="2"/>
      <c r="AA263" s="2"/>
      <c r="AB263" s="2"/>
      <c r="AC263" s="2"/>
    </row>
    <row r="264" spans="1:29" ht="15.75" customHeight="1" x14ac:dyDescent="0.3">
      <c r="A264" s="2"/>
      <c r="C264" s="2"/>
      <c r="D264" s="2"/>
      <c r="E264" s="2"/>
      <c r="F264" s="2"/>
      <c r="G264" s="92"/>
      <c r="H264" s="2"/>
      <c r="I264" s="2"/>
      <c r="J264" s="2"/>
      <c r="K264" s="90"/>
      <c r="L264" s="2"/>
      <c r="N264" s="2"/>
      <c r="O264" s="2"/>
      <c r="P264" s="2"/>
      <c r="Q264" s="2"/>
      <c r="R264" s="2"/>
      <c r="S264" s="2"/>
      <c r="T264" s="2"/>
      <c r="U264" s="222"/>
      <c r="V264" s="2"/>
      <c r="W264" s="2"/>
      <c r="X264" s="2"/>
      <c r="Z264" s="2"/>
      <c r="AA264" s="2"/>
      <c r="AB264" s="2"/>
      <c r="AC264" s="2"/>
    </row>
    <row r="265" spans="1:29" ht="15.75" customHeight="1" x14ac:dyDescent="0.3">
      <c r="A265" s="2"/>
      <c r="C265" s="2"/>
      <c r="D265" s="2"/>
      <c r="E265" s="2"/>
      <c r="F265" s="2"/>
      <c r="G265" s="92"/>
      <c r="H265" s="2"/>
      <c r="I265" s="2"/>
      <c r="J265" s="2"/>
      <c r="K265" s="90"/>
      <c r="L265" s="2"/>
      <c r="N265" s="2"/>
      <c r="O265" s="2"/>
      <c r="P265" s="2"/>
      <c r="Q265" s="2"/>
      <c r="R265" s="2"/>
      <c r="S265" s="2"/>
      <c r="T265" s="2"/>
      <c r="U265" s="222"/>
      <c r="V265" s="2"/>
      <c r="W265" s="2"/>
      <c r="X265" s="2"/>
      <c r="Z265" s="2"/>
      <c r="AA265" s="2"/>
      <c r="AB265" s="2"/>
      <c r="AC265" s="2"/>
    </row>
    <row r="266" spans="1:29" ht="15.75" customHeight="1" x14ac:dyDescent="0.3">
      <c r="A266" s="2"/>
      <c r="C266" s="2"/>
      <c r="D266" s="2"/>
      <c r="E266" s="2"/>
      <c r="F266" s="2"/>
      <c r="G266" s="92"/>
      <c r="H266" s="2"/>
      <c r="I266" s="2"/>
      <c r="J266" s="2"/>
      <c r="K266" s="90"/>
      <c r="L266" s="2"/>
      <c r="N266" s="2"/>
      <c r="O266" s="2"/>
      <c r="P266" s="2"/>
      <c r="Q266" s="2"/>
      <c r="R266" s="2"/>
      <c r="S266" s="2"/>
      <c r="T266" s="2"/>
      <c r="U266" s="222"/>
      <c r="V266" s="2"/>
      <c r="W266" s="2"/>
      <c r="X266" s="2"/>
      <c r="Z266" s="2"/>
      <c r="AA266" s="2"/>
      <c r="AB266" s="2"/>
      <c r="AC266" s="2"/>
    </row>
    <row r="267" spans="1:29" ht="15.75" customHeight="1" x14ac:dyDescent="0.3">
      <c r="A267" s="2"/>
      <c r="C267" s="2"/>
      <c r="D267" s="2"/>
      <c r="E267" s="2"/>
      <c r="F267" s="2"/>
      <c r="G267" s="92"/>
      <c r="H267" s="2"/>
      <c r="I267" s="2"/>
      <c r="J267" s="2"/>
      <c r="K267" s="90"/>
      <c r="L267" s="2"/>
      <c r="N267" s="2"/>
      <c r="O267" s="2"/>
      <c r="P267" s="2"/>
      <c r="Q267" s="2"/>
      <c r="R267" s="2"/>
      <c r="S267" s="2"/>
      <c r="T267" s="2"/>
      <c r="U267" s="222"/>
      <c r="V267" s="2"/>
      <c r="W267" s="2"/>
      <c r="X267" s="2"/>
      <c r="Z267" s="2"/>
      <c r="AA267" s="2"/>
      <c r="AB267" s="2"/>
      <c r="AC267" s="2"/>
    </row>
    <row r="268" spans="1:29" ht="15.75" customHeight="1" x14ac:dyDescent="0.3">
      <c r="A268" s="2"/>
      <c r="C268" s="2"/>
      <c r="D268" s="2"/>
      <c r="E268" s="2"/>
      <c r="F268" s="2"/>
      <c r="G268" s="92"/>
      <c r="H268" s="2"/>
      <c r="I268" s="2"/>
      <c r="J268" s="2"/>
      <c r="K268" s="90"/>
      <c r="L268" s="2"/>
      <c r="N268" s="2"/>
      <c r="O268" s="2"/>
      <c r="P268" s="2"/>
      <c r="Q268" s="2"/>
      <c r="R268" s="2"/>
      <c r="S268" s="2"/>
      <c r="T268" s="2"/>
      <c r="U268" s="222"/>
      <c r="V268" s="2"/>
      <c r="W268" s="2"/>
      <c r="X268" s="2"/>
      <c r="Z268" s="2"/>
      <c r="AA268" s="2"/>
      <c r="AB268" s="2"/>
      <c r="AC268" s="2"/>
    </row>
    <row r="269" spans="1:29" ht="15.75" customHeight="1" x14ac:dyDescent="0.3">
      <c r="A269" s="2"/>
      <c r="C269" s="2"/>
      <c r="D269" s="2"/>
      <c r="E269" s="2"/>
      <c r="F269" s="2"/>
      <c r="G269" s="92"/>
      <c r="H269" s="2"/>
      <c r="I269" s="2"/>
      <c r="J269" s="2"/>
      <c r="K269" s="90"/>
      <c r="L269" s="2"/>
      <c r="N269" s="2"/>
      <c r="O269" s="2"/>
      <c r="P269" s="2"/>
      <c r="Q269" s="2"/>
      <c r="R269" s="2"/>
      <c r="S269" s="2"/>
      <c r="T269" s="2"/>
      <c r="U269" s="222"/>
      <c r="V269" s="2"/>
      <c r="W269" s="2"/>
      <c r="X269" s="2"/>
      <c r="Z269" s="2"/>
      <c r="AA269" s="2"/>
      <c r="AB269" s="2"/>
      <c r="AC269" s="2"/>
    </row>
    <row r="270" spans="1:29" ht="15.75" customHeight="1" x14ac:dyDescent="0.3">
      <c r="A270" s="2"/>
      <c r="C270" s="2"/>
      <c r="D270" s="2"/>
      <c r="E270" s="2"/>
      <c r="F270" s="2"/>
      <c r="G270" s="92"/>
      <c r="H270" s="2"/>
      <c r="I270" s="2"/>
      <c r="J270" s="2"/>
      <c r="K270" s="90"/>
      <c r="L270" s="2"/>
      <c r="N270" s="2"/>
      <c r="O270" s="2"/>
      <c r="P270" s="2"/>
      <c r="Q270" s="2"/>
      <c r="R270" s="2"/>
      <c r="S270" s="2"/>
      <c r="T270" s="2"/>
      <c r="U270" s="222"/>
      <c r="V270" s="2"/>
      <c r="W270" s="2"/>
      <c r="X270" s="2"/>
      <c r="Z270" s="2"/>
      <c r="AA270" s="2"/>
      <c r="AB270" s="2"/>
      <c r="AC270" s="2"/>
    </row>
    <row r="271" spans="1:29" ht="15.75" customHeight="1" x14ac:dyDescent="0.3">
      <c r="A271" s="2"/>
      <c r="C271" s="2"/>
      <c r="D271" s="2"/>
      <c r="E271" s="2"/>
      <c r="F271" s="2"/>
      <c r="G271" s="92"/>
      <c r="H271" s="2"/>
      <c r="I271" s="2"/>
      <c r="J271" s="2"/>
      <c r="K271" s="90"/>
      <c r="L271" s="2"/>
      <c r="N271" s="2"/>
      <c r="O271" s="2"/>
      <c r="P271" s="2"/>
      <c r="Q271" s="2"/>
      <c r="R271" s="2"/>
      <c r="S271" s="2"/>
      <c r="T271" s="2"/>
      <c r="U271" s="222"/>
      <c r="V271" s="2"/>
      <c r="W271" s="2"/>
      <c r="X271" s="2"/>
      <c r="Z271" s="2"/>
      <c r="AA271" s="2"/>
      <c r="AB271" s="2"/>
      <c r="AC271" s="2"/>
    </row>
    <row r="272" spans="1:29" ht="15.75" customHeight="1" x14ac:dyDescent="0.3">
      <c r="A272" s="2"/>
      <c r="C272" s="2"/>
      <c r="D272" s="2"/>
      <c r="E272" s="2"/>
      <c r="F272" s="2"/>
      <c r="G272" s="92"/>
      <c r="H272" s="2"/>
      <c r="I272" s="2"/>
      <c r="J272" s="2"/>
      <c r="K272" s="90"/>
      <c r="L272" s="2"/>
      <c r="N272" s="2"/>
      <c r="O272" s="2"/>
      <c r="P272" s="2"/>
      <c r="Q272" s="2"/>
      <c r="R272" s="2"/>
      <c r="S272" s="2"/>
      <c r="T272" s="2"/>
      <c r="U272" s="222"/>
      <c r="V272" s="2"/>
      <c r="W272" s="2"/>
      <c r="X272" s="2"/>
      <c r="Z272" s="2"/>
      <c r="AA272" s="2"/>
      <c r="AB272" s="2"/>
      <c r="AC272" s="2"/>
    </row>
    <row r="273" spans="1:29" ht="15.75" customHeight="1" x14ac:dyDescent="0.3">
      <c r="A273" s="2"/>
      <c r="C273" s="2"/>
      <c r="D273" s="2"/>
      <c r="E273" s="2"/>
      <c r="F273" s="2"/>
      <c r="G273" s="92"/>
      <c r="H273" s="2"/>
      <c r="I273" s="2"/>
      <c r="J273" s="2"/>
      <c r="K273" s="90"/>
      <c r="L273" s="2"/>
      <c r="N273" s="2"/>
      <c r="O273" s="2"/>
      <c r="P273" s="2"/>
      <c r="Q273" s="2"/>
      <c r="R273" s="2"/>
      <c r="S273" s="2"/>
      <c r="T273" s="2"/>
      <c r="U273" s="222"/>
      <c r="V273" s="2"/>
      <c r="W273" s="2"/>
      <c r="X273" s="2"/>
      <c r="Z273" s="2"/>
      <c r="AA273" s="2"/>
      <c r="AB273" s="2"/>
      <c r="AC273" s="2"/>
    </row>
    <row r="274" spans="1:29" ht="15.75" customHeight="1" x14ac:dyDescent="0.3">
      <c r="A274" s="2"/>
      <c r="C274" s="2"/>
      <c r="D274" s="2"/>
      <c r="E274" s="2"/>
      <c r="F274" s="2"/>
      <c r="G274" s="92"/>
      <c r="H274" s="2"/>
      <c r="I274" s="2"/>
      <c r="J274" s="2"/>
      <c r="K274" s="90"/>
      <c r="L274" s="2"/>
      <c r="N274" s="2"/>
      <c r="O274" s="2"/>
      <c r="P274" s="2"/>
      <c r="Q274" s="2"/>
      <c r="R274" s="2"/>
      <c r="S274" s="2"/>
      <c r="T274" s="2"/>
      <c r="U274" s="222"/>
      <c r="V274" s="2"/>
      <c r="W274" s="2"/>
      <c r="X274" s="2"/>
      <c r="Z274" s="2"/>
      <c r="AA274" s="2"/>
      <c r="AB274" s="2"/>
      <c r="AC274" s="2"/>
    </row>
    <row r="275" spans="1:29" ht="15.75" customHeight="1" x14ac:dyDescent="0.3">
      <c r="A275" s="2"/>
      <c r="C275" s="2"/>
      <c r="D275" s="2"/>
      <c r="E275" s="2"/>
      <c r="F275" s="2"/>
      <c r="G275" s="92"/>
      <c r="H275" s="2"/>
      <c r="I275" s="2"/>
      <c r="J275" s="2"/>
      <c r="K275" s="90"/>
      <c r="L275" s="2"/>
      <c r="N275" s="2"/>
      <c r="O275" s="2"/>
      <c r="P275" s="2"/>
      <c r="Q275" s="2"/>
      <c r="R275" s="2"/>
      <c r="S275" s="2"/>
      <c r="T275" s="2"/>
      <c r="U275" s="222"/>
      <c r="V275" s="2"/>
      <c r="W275" s="2"/>
      <c r="X275" s="2"/>
      <c r="Z275" s="2"/>
      <c r="AA275" s="2"/>
      <c r="AB275" s="2"/>
      <c r="AC275" s="2"/>
    </row>
    <row r="276" spans="1:29" ht="15.75" customHeight="1" x14ac:dyDescent="0.3">
      <c r="A276" s="2"/>
      <c r="C276" s="2"/>
      <c r="D276" s="2"/>
      <c r="E276" s="2"/>
      <c r="F276" s="2"/>
      <c r="G276" s="92"/>
      <c r="H276" s="2"/>
      <c r="I276" s="2"/>
      <c r="J276" s="2"/>
      <c r="K276" s="90"/>
      <c r="L276" s="2"/>
      <c r="N276" s="2"/>
      <c r="O276" s="2"/>
      <c r="P276" s="2"/>
      <c r="Q276" s="2"/>
      <c r="R276" s="2"/>
      <c r="S276" s="2"/>
      <c r="T276" s="2"/>
      <c r="U276" s="222"/>
      <c r="V276" s="2"/>
      <c r="W276" s="2"/>
      <c r="X276" s="2"/>
      <c r="Z276" s="2"/>
      <c r="AA276" s="2"/>
      <c r="AB276" s="2"/>
      <c r="AC276" s="2"/>
    </row>
    <row r="277" spans="1:29" ht="15.75" customHeight="1" x14ac:dyDescent="0.3">
      <c r="A277" s="2"/>
      <c r="C277" s="2"/>
      <c r="D277" s="2"/>
      <c r="E277" s="2"/>
      <c r="F277" s="2"/>
      <c r="G277" s="92"/>
      <c r="H277" s="2"/>
      <c r="I277" s="2"/>
      <c r="J277" s="2"/>
      <c r="K277" s="90"/>
      <c r="L277" s="2"/>
      <c r="N277" s="2"/>
      <c r="O277" s="2"/>
      <c r="P277" s="2"/>
      <c r="Q277" s="2"/>
      <c r="R277" s="2"/>
      <c r="S277" s="2"/>
      <c r="T277" s="2"/>
      <c r="U277" s="222"/>
      <c r="V277" s="2"/>
      <c r="W277" s="2"/>
      <c r="X277" s="2"/>
      <c r="Z277" s="2"/>
      <c r="AA277" s="2"/>
      <c r="AB277" s="2"/>
      <c r="AC277" s="2"/>
    </row>
    <row r="278" spans="1:29" ht="15.75" customHeight="1" x14ac:dyDescent="0.3">
      <c r="A278" s="2"/>
      <c r="C278" s="2"/>
      <c r="D278" s="2"/>
      <c r="E278" s="2"/>
      <c r="F278" s="2"/>
      <c r="G278" s="92"/>
      <c r="H278" s="2"/>
      <c r="I278" s="2"/>
      <c r="J278" s="2"/>
      <c r="K278" s="90"/>
      <c r="L278" s="2"/>
      <c r="N278" s="2"/>
      <c r="O278" s="2"/>
      <c r="P278" s="2"/>
      <c r="Q278" s="2"/>
      <c r="R278" s="2"/>
      <c r="S278" s="2"/>
      <c r="T278" s="2"/>
      <c r="U278" s="222"/>
      <c r="V278" s="2"/>
      <c r="W278" s="2"/>
      <c r="X278" s="2"/>
      <c r="Z278" s="2"/>
      <c r="AA278" s="2"/>
      <c r="AB278" s="2"/>
      <c r="AC278" s="2"/>
    </row>
    <row r="279" spans="1:29" ht="15.75" customHeight="1" x14ac:dyDescent="0.3">
      <c r="A279" s="2"/>
      <c r="C279" s="2"/>
      <c r="D279" s="2"/>
      <c r="E279" s="2"/>
      <c r="F279" s="2"/>
      <c r="G279" s="92"/>
      <c r="H279" s="2"/>
      <c r="I279" s="2"/>
      <c r="J279" s="2"/>
      <c r="K279" s="90"/>
      <c r="L279" s="2"/>
      <c r="N279" s="2"/>
      <c r="O279" s="2"/>
      <c r="P279" s="2"/>
      <c r="Q279" s="2"/>
      <c r="R279" s="2"/>
      <c r="S279" s="2"/>
      <c r="T279" s="2"/>
      <c r="U279" s="222"/>
      <c r="V279" s="2"/>
      <c r="W279" s="2"/>
      <c r="X279" s="2"/>
      <c r="Z279" s="2"/>
      <c r="AA279" s="2"/>
      <c r="AB279" s="2"/>
      <c r="AC279" s="2"/>
    </row>
    <row r="280" spans="1:29" ht="15.75" customHeight="1" x14ac:dyDescent="0.3">
      <c r="A280" s="2"/>
      <c r="C280" s="2"/>
      <c r="D280" s="2"/>
      <c r="E280" s="2"/>
      <c r="F280" s="2"/>
      <c r="G280" s="92"/>
      <c r="H280" s="2"/>
      <c r="I280" s="2"/>
      <c r="J280" s="2"/>
      <c r="K280" s="90"/>
      <c r="L280" s="2"/>
      <c r="N280" s="2"/>
      <c r="O280" s="2"/>
      <c r="P280" s="2"/>
      <c r="Q280" s="2"/>
      <c r="R280" s="2"/>
      <c r="S280" s="2"/>
      <c r="T280" s="2"/>
      <c r="U280" s="222"/>
      <c r="V280" s="2"/>
      <c r="W280" s="2"/>
      <c r="X280" s="2"/>
      <c r="Z280" s="2"/>
      <c r="AA280" s="2"/>
      <c r="AB280" s="2"/>
      <c r="AC280" s="2"/>
    </row>
    <row r="281" spans="1:29" ht="15.75" customHeight="1" x14ac:dyDescent="0.3">
      <c r="A281" s="2"/>
      <c r="C281" s="2"/>
      <c r="D281" s="2"/>
      <c r="E281" s="2"/>
      <c r="F281" s="2"/>
      <c r="G281" s="92"/>
      <c r="H281" s="2"/>
      <c r="I281" s="2"/>
      <c r="J281" s="2"/>
      <c r="K281" s="90"/>
      <c r="L281" s="2"/>
      <c r="N281" s="2"/>
      <c r="O281" s="2"/>
      <c r="P281" s="2"/>
      <c r="Q281" s="2"/>
      <c r="R281" s="2"/>
      <c r="S281" s="2"/>
      <c r="T281" s="2"/>
      <c r="U281" s="222"/>
      <c r="V281" s="2"/>
      <c r="W281" s="2"/>
      <c r="X281" s="2"/>
      <c r="Z281" s="2"/>
      <c r="AA281" s="2"/>
      <c r="AB281" s="2"/>
      <c r="AC281" s="2"/>
    </row>
    <row r="282" spans="1:29" ht="15.75" customHeight="1" x14ac:dyDescent="0.3">
      <c r="A282" s="2"/>
      <c r="C282" s="2"/>
      <c r="D282" s="2"/>
      <c r="E282" s="2"/>
      <c r="F282" s="2"/>
      <c r="G282" s="92"/>
      <c r="H282" s="2"/>
      <c r="I282" s="2"/>
      <c r="J282" s="2"/>
      <c r="K282" s="90"/>
      <c r="L282" s="2"/>
      <c r="N282" s="2"/>
      <c r="O282" s="2"/>
      <c r="P282" s="2"/>
      <c r="Q282" s="2"/>
      <c r="R282" s="2"/>
      <c r="S282" s="2"/>
      <c r="T282" s="2"/>
      <c r="U282" s="222"/>
      <c r="V282" s="2"/>
      <c r="W282" s="2"/>
      <c r="X282" s="2"/>
      <c r="Z282" s="2"/>
      <c r="AA282" s="2"/>
      <c r="AB282" s="2"/>
      <c r="AC282" s="2"/>
    </row>
    <row r="283" spans="1:29" ht="15.75" customHeight="1" x14ac:dyDescent="0.3">
      <c r="A283" s="2"/>
      <c r="C283" s="2"/>
      <c r="D283" s="2"/>
      <c r="E283" s="2"/>
      <c r="F283" s="2"/>
      <c r="G283" s="92"/>
      <c r="H283" s="2"/>
      <c r="I283" s="2"/>
      <c r="J283" s="2"/>
      <c r="K283" s="90"/>
      <c r="L283" s="2"/>
      <c r="N283" s="2"/>
      <c r="O283" s="2"/>
      <c r="P283" s="2"/>
      <c r="Q283" s="2"/>
      <c r="R283" s="2"/>
      <c r="S283" s="2"/>
      <c r="T283" s="2"/>
      <c r="U283" s="222"/>
      <c r="V283" s="2"/>
      <c r="W283" s="2"/>
      <c r="X283" s="2"/>
      <c r="Z283" s="2"/>
      <c r="AA283" s="2"/>
      <c r="AB283" s="2"/>
      <c r="AC283" s="2"/>
    </row>
    <row r="284" spans="1:29" ht="15.75" customHeight="1" x14ac:dyDescent="0.3">
      <c r="A284" s="2"/>
      <c r="C284" s="2"/>
      <c r="D284" s="2"/>
      <c r="E284" s="2"/>
      <c r="F284" s="2"/>
      <c r="G284" s="92"/>
      <c r="H284" s="2"/>
      <c r="I284" s="2"/>
      <c r="J284" s="2"/>
      <c r="K284" s="90"/>
      <c r="L284" s="2"/>
      <c r="N284" s="2"/>
      <c r="O284" s="2"/>
      <c r="P284" s="2"/>
      <c r="Q284" s="2"/>
      <c r="R284" s="2"/>
      <c r="S284" s="2"/>
      <c r="T284" s="2"/>
      <c r="U284" s="222"/>
      <c r="V284" s="2"/>
      <c r="W284" s="2"/>
      <c r="X284" s="2"/>
      <c r="Z284" s="2"/>
      <c r="AA284" s="2"/>
      <c r="AB284" s="2"/>
      <c r="AC284" s="2"/>
    </row>
    <row r="285" spans="1:29" ht="15.75" customHeight="1" x14ac:dyDescent="0.3">
      <c r="A285" s="2"/>
      <c r="C285" s="2"/>
      <c r="D285" s="2"/>
      <c r="E285" s="2"/>
      <c r="F285" s="2"/>
      <c r="G285" s="92"/>
      <c r="H285" s="2"/>
      <c r="I285" s="2"/>
      <c r="J285" s="2"/>
      <c r="K285" s="90"/>
      <c r="L285" s="2"/>
      <c r="N285" s="2"/>
      <c r="O285" s="2"/>
      <c r="P285" s="2"/>
      <c r="Q285" s="2"/>
      <c r="R285" s="2"/>
      <c r="S285" s="2"/>
      <c r="T285" s="2"/>
      <c r="U285" s="222"/>
      <c r="V285" s="2"/>
      <c r="W285" s="2"/>
      <c r="X285" s="2"/>
      <c r="Z285" s="2"/>
      <c r="AA285" s="2"/>
      <c r="AB285" s="2"/>
      <c r="AC285" s="2"/>
    </row>
    <row r="286" spans="1:29" ht="15.75" customHeight="1" x14ac:dyDescent="0.3">
      <c r="A286" s="2"/>
      <c r="C286" s="2"/>
      <c r="D286" s="2"/>
      <c r="E286" s="2"/>
      <c r="F286" s="2"/>
      <c r="G286" s="92"/>
      <c r="H286" s="2"/>
      <c r="I286" s="2"/>
      <c r="J286" s="2"/>
      <c r="K286" s="90"/>
      <c r="L286" s="2"/>
      <c r="N286" s="2"/>
      <c r="O286" s="2"/>
      <c r="P286" s="2"/>
      <c r="Q286" s="2"/>
      <c r="R286" s="2"/>
      <c r="S286" s="2"/>
      <c r="T286" s="2"/>
      <c r="U286" s="222"/>
      <c r="V286" s="2"/>
      <c r="W286" s="2"/>
      <c r="X286" s="2"/>
      <c r="Z286" s="2"/>
      <c r="AA286" s="2"/>
      <c r="AB286" s="2"/>
      <c r="AC286" s="2"/>
    </row>
    <row r="287" spans="1:29" ht="15.75" customHeight="1" x14ac:dyDescent="0.3">
      <c r="A287" s="2"/>
      <c r="C287" s="2"/>
      <c r="D287" s="2"/>
      <c r="E287" s="2"/>
      <c r="F287" s="2"/>
      <c r="G287" s="92"/>
      <c r="H287" s="2"/>
      <c r="I287" s="2"/>
      <c r="J287" s="2"/>
      <c r="K287" s="90"/>
      <c r="L287" s="2"/>
      <c r="N287" s="2"/>
      <c r="O287" s="2"/>
      <c r="P287" s="2"/>
      <c r="Q287" s="2"/>
      <c r="R287" s="2"/>
      <c r="S287" s="2"/>
      <c r="T287" s="2"/>
      <c r="U287" s="222"/>
      <c r="V287" s="2"/>
      <c r="W287" s="2"/>
      <c r="X287" s="2"/>
      <c r="Z287" s="2"/>
      <c r="AA287" s="2"/>
      <c r="AB287" s="2"/>
      <c r="AC287" s="2"/>
    </row>
    <row r="288" spans="1:29" ht="15.75" customHeight="1" x14ac:dyDescent="0.3">
      <c r="A288" s="2"/>
      <c r="C288" s="2"/>
      <c r="D288" s="2"/>
      <c r="E288" s="2"/>
      <c r="F288" s="2"/>
      <c r="G288" s="92"/>
      <c r="H288" s="2"/>
      <c r="I288" s="2"/>
      <c r="J288" s="2"/>
      <c r="K288" s="90"/>
      <c r="L288" s="2"/>
      <c r="N288" s="2"/>
      <c r="O288" s="2"/>
      <c r="P288" s="2"/>
      <c r="Q288" s="2"/>
      <c r="R288" s="2"/>
      <c r="S288" s="2"/>
      <c r="T288" s="2"/>
      <c r="U288" s="222"/>
      <c r="V288" s="2"/>
      <c r="W288" s="2"/>
      <c r="X288" s="2"/>
      <c r="Z288" s="2"/>
      <c r="AA288" s="2"/>
      <c r="AB288" s="2"/>
      <c r="AC288" s="2"/>
    </row>
    <row r="289" spans="1:29" ht="15.75" customHeight="1" x14ac:dyDescent="0.3">
      <c r="A289" s="2"/>
      <c r="C289" s="2"/>
      <c r="D289" s="2"/>
      <c r="E289" s="2"/>
      <c r="F289" s="2"/>
      <c r="G289" s="92"/>
      <c r="H289" s="2"/>
      <c r="I289" s="2"/>
      <c r="J289" s="2"/>
      <c r="K289" s="90"/>
      <c r="L289" s="2"/>
      <c r="N289" s="2"/>
      <c r="O289" s="2"/>
      <c r="P289" s="2"/>
      <c r="Q289" s="2"/>
      <c r="R289" s="2"/>
      <c r="S289" s="2"/>
      <c r="T289" s="2"/>
      <c r="U289" s="222"/>
      <c r="V289" s="2"/>
      <c r="W289" s="2"/>
      <c r="X289" s="2"/>
      <c r="Z289" s="2"/>
      <c r="AA289" s="2"/>
      <c r="AB289" s="2"/>
      <c r="AC289" s="2"/>
    </row>
    <row r="290" spans="1:29" ht="15.75" customHeight="1" x14ac:dyDescent="0.3">
      <c r="A290" s="2"/>
      <c r="C290" s="2"/>
      <c r="D290" s="2"/>
      <c r="E290" s="2"/>
      <c r="F290" s="2"/>
      <c r="G290" s="92"/>
      <c r="H290" s="2"/>
      <c r="I290" s="2"/>
      <c r="J290" s="2"/>
      <c r="K290" s="90"/>
      <c r="L290" s="2"/>
      <c r="N290" s="2"/>
      <c r="O290" s="2"/>
      <c r="P290" s="2"/>
      <c r="Q290" s="2"/>
      <c r="R290" s="2"/>
      <c r="S290" s="2"/>
      <c r="T290" s="2"/>
      <c r="U290" s="222"/>
      <c r="V290" s="2"/>
      <c r="W290" s="2"/>
      <c r="X290" s="2"/>
      <c r="Z290" s="2"/>
      <c r="AA290" s="2"/>
      <c r="AB290" s="2"/>
      <c r="AC290" s="2"/>
    </row>
    <row r="291" spans="1:29" ht="15.75" customHeight="1" x14ac:dyDescent="0.3">
      <c r="A291" s="2"/>
      <c r="C291" s="2"/>
      <c r="D291" s="2"/>
      <c r="E291" s="2"/>
      <c r="F291" s="2"/>
      <c r="G291" s="92"/>
      <c r="H291" s="2"/>
      <c r="I291" s="2"/>
      <c r="J291" s="2"/>
      <c r="K291" s="90"/>
      <c r="L291" s="2"/>
      <c r="N291" s="2"/>
      <c r="O291" s="2"/>
      <c r="P291" s="2"/>
      <c r="Q291" s="2"/>
      <c r="R291" s="2"/>
      <c r="S291" s="2"/>
      <c r="T291" s="2"/>
      <c r="U291" s="222"/>
      <c r="V291" s="2"/>
      <c r="W291" s="2"/>
      <c r="X291" s="2"/>
      <c r="Z291" s="2"/>
      <c r="AA291" s="2"/>
      <c r="AB291" s="2"/>
      <c r="AC291" s="2"/>
    </row>
    <row r="292" spans="1:29" ht="15.75" customHeight="1" x14ac:dyDescent="0.3">
      <c r="A292" s="2"/>
      <c r="C292" s="2"/>
      <c r="D292" s="2"/>
      <c r="E292" s="2"/>
      <c r="F292" s="2"/>
      <c r="G292" s="92"/>
      <c r="H292" s="2"/>
      <c r="I292" s="2"/>
      <c r="J292" s="2"/>
      <c r="K292" s="90"/>
      <c r="L292" s="2"/>
      <c r="N292" s="2"/>
      <c r="O292" s="2"/>
      <c r="P292" s="2"/>
      <c r="Q292" s="2"/>
      <c r="R292" s="2"/>
      <c r="S292" s="2"/>
      <c r="T292" s="2"/>
      <c r="U292" s="222"/>
      <c r="V292" s="2"/>
      <c r="W292" s="2"/>
      <c r="X292" s="2"/>
      <c r="Z292" s="2"/>
      <c r="AA292" s="2"/>
      <c r="AB292" s="2"/>
      <c r="AC292" s="2"/>
    </row>
    <row r="293" spans="1:29" ht="15.75" customHeight="1" x14ac:dyDescent="0.3">
      <c r="A293" s="2"/>
      <c r="C293" s="2"/>
      <c r="D293" s="2"/>
      <c r="E293" s="2"/>
      <c r="F293" s="2"/>
      <c r="G293" s="92"/>
      <c r="H293" s="2"/>
      <c r="I293" s="2"/>
      <c r="J293" s="2"/>
      <c r="K293" s="90"/>
      <c r="L293" s="2"/>
      <c r="N293" s="2"/>
      <c r="O293" s="2"/>
      <c r="P293" s="2"/>
      <c r="Q293" s="2"/>
      <c r="R293" s="2"/>
      <c r="S293" s="2"/>
      <c r="T293" s="2"/>
      <c r="U293" s="222"/>
      <c r="V293" s="2"/>
      <c r="W293" s="2"/>
      <c r="X293" s="2"/>
      <c r="Z293" s="2"/>
      <c r="AA293" s="2"/>
      <c r="AB293" s="2"/>
      <c r="AC293" s="2"/>
    </row>
    <row r="294" spans="1:29" ht="15.75" customHeight="1" x14ac:dyDescent="0.3">
      <c r="A294" s="2"/>
      <c r="C294" s="2"/>
      <c r="D294" s="2"/>
      <c r="E294" s="2"/>
      <c r="F294" s="2"/>
      <c r="G294" s="92"/>
      <c r="H294" s="2"/>
      <c r="I294" s="2"/>
      <c r="J294" s="2"/>
      <c r="K294" s="90"/>
      <c r="L294" s="2"/>
      <c r="N294" s="2"/>
      <c r="O294" s="2"/>
      <c r="P294" s="2"/>
      <c r="Q294" s="2"/>
      <c r="R294" s="2"/>
      <c r="S294" s="2"/>
      <c r="T294" s="2"/>
      <c r="U294" s="222"/>
      <c r="V294" s="2"/>
      <c r="W294" s="2"/>
      <c r="X294" s="2"/>
      <c r="Z294" s="2"/>
      <c r="AA294" s="2"/>
      <c r="AB294" s="2"/>
      <c r="AC294" s="2"/>
    </row>
    <row r="295" spans="1:29" ht="15.75" customHeight="1" x14ac:dyDescent="0.3">
      <c r="A295" s="2"/>
      <c r="C295" s="2"/>
      <c r="D295" s="2"/>
      <c r="E295" s="2"/>
      <c r="F295" s="2"/>
      <c r="G295" s="92"/>
      <c r="H295" s="2"/>
      <c r="I295" s="2"/>
      <c r="J295" s="2"/>
      <c r="K295" s="90"/>
      <c r="L295" s="2"/>
      <c r="N295" s="2"/>
      <c r="O295" s="2"/>
      <c r="P295" s="2"/>
      <c r="Q295" s="2"/>
      <c r="R295" s="2"/>
      <c r="S295" s="2"/>
      <c r="T295" s="2"/>
      <c r="U295" s="222"/>
      <c r="V295" s="2"/>
      <c r="W295" s="2"/>
      <c r="X295" s="2"/>
      <c r="Z295" s="2"/>
      <c r="AA295" s="2"/>
      <c r="AB295" s="2"/>
      <c r="AC295" s="2"/>
    </row>
    <row r="296" spans="1:29" ht="15.75" customHeight="1" x14ac:dyDescent="0.3">
      <c r="A296" s="2"/>
      <c r="C296" s="2"/>
      <c r="D296" s="2"/>
      <c r="E296" s="2"/>
      <c r="F296" s="2"/>
      <c r="G296" s="92"/>
      <c r="H296" s="2"/>
      <c r="I296" s="2"/>
      <c r="J296" s="2"/>
      <c r="K296" s="90"/>
      <c r="L296" s="2"/>
      <c r="N296" s="2"/>
      <c r="O296" s="2"/>
      <c r="P296" s="2"/>
      <c r="Q296" s="2"/>
      <c r="R296" s="2"/>
      <c r="S296" s="2"/>
      <c r="T296" s="2"/>
      <c r="U296" s="222"/>
      <c r="V296" s="2"/>
      <c r="W296" s="2"/>
      <c r="X296" s="2"/>
      <c r="Z296" s="2"/>
      <c r="AA296" s="2"/>
      <c r="AB296" s="2"/>
      <c r="AC296" s="2"/>
    </row>
    <row r="297" spans="1:29" ht="15.75" customHeight="1" x14ac:dyDescent="0.3">
      <c r="A297" s="2"/>
      <c r="C297" s="2"/>
      <c r="D297" s="2"/>
      <c r="E297" s="2"/>
      <c r="F297" s="2"/>
      <c r="G297" s="92"/>
      <c r="H297" s="2"/>
      <c r="I297" s="2"/>
      <c r="J297" s="2"/>
      <c r="K297" s="90"/>
      <c r="L297" s="2"/>
      <c r="N297" s="2"/>
      <c r="O297" s="2"/>
      <c r="P297" s="2"/>
      <c r="Q297" s="2"/>
      <c r="R297" s="2"/>
      <c r="S297" s="2"/>
      <c r="T297" s="2"/>
      <c r="U297" s="222"/>
      <c r="V297" s="2"/>
      <c r="W297" s="2"/>
      <c r="X297" s="2"/>
      <c r="Z297" s="2"/>
      <c r="AA297" s="2"/>
      <c r="AB297" s="2"/>
      <c r="AC297" s="2"/>
    </row>
    <row r="298" spans="1:29" ht="15.75" customHeight="1" x14ac:dyDescent="0.3">
      <c r="A298" s="2"/>
      <c r="C298" s="2"/>
      <c r="D298" s="2"/>
      <c r="E298" s="2"/>
      <c r="F298" s="2"/>
      <c r="G298" s="92"/>
      <c r="H298" s="2"/>
      <c r="I298" s="2"/>
      <c r="J298" s="2"/>
      <c r="K298" s="90"/>
      <c r="L298" s="2"/>
      <c r="N298" s="2"/>
      <c r="O298" s="2"/>
      <c r="P298" s="2"/>
      <c r="Q298" s="2"/>
      <c r="R298" s="2"/>
      <c r="S298" s="2"/>
      <c r="T298" s="2"/>
      <c r="U298" s="222"/>
      <c r="V298" s="2"/>
      <c r="W298" s="2"/>
      <c r="X298" s="2"/>
      <c r="Z298" s="2"/>
      <c r="AA298" s="2"/>
      <c r="AB298" s="2"/>
      <c r="AC298" s="2"/>
    </row>
    <row r="299" spans="1:29" ht="15.75" customHeight="1" x14ac:dyDescent="0.3">
      <c r="A299" s="2"/>
      <c r="C299" s="2"/>
      <c r="D299" s="2"/>
      <c r="E299" s="2"/>
      <c r="F299" s="2"/>
      <c r="G299" s="92"/>
      <c r="H299" s="2"/>
      <c r="I299" s="2"/>
      <c r="J299" s="2"/>
      <c r="K299" s="90"/>
      <c r="L299" s="2"/>
      <c r="N299" s="2"/>
      <c r="O299" s="2"/>
      <c r="P299" s="2"/>
      <c r="Q299" s="2"/>
      <c r="R299" s="2"/>
      <c r="S299" s="2"/>
      <c r="T299" s="2"/>
      <c r="U299" s="222"/>
      <c r="V299" s="2"/>
      <c r="W299" s="2"/>
      <c r="X299" s="2"/>
      <c r="Z299" s="2"/>
      <c r="AA299" s="2"/>
      <c r="AB299" s="2"/>
      <c r="AC299" s="2"/>
    </row>
    <row r="300" spans="1:29" ht="15.75" customHeight="1" x14ac:dyDescent="0.3">
      <c r="A300" s="2"/>
      <c r="C300" s="2"/>
      <c r="D300" s="2"/>
      <c r="E300" s="2"/>
      <c r="F300" s="2"/>
      <c r="G300" s="92"/>
      <c r="H300" s="2"/>
      <c r="I300" s="2"/>
      <c r="J300" s="2"/>
      <c r="K300" s="90"/>
      <c r="L300" s="2"/>
      <c r="N300" s="2"/>
      <c r="O300" s="2"/>
      <c r="P300" s="2"/>
      <c r="Q300" s="2"/>
      <c r="R300" s="2"/>
      <c r="S300" s="2"/>
      <c r="T300" s="2"/>
      <c r="U300" s="222"/>
      <c r="V300" s="2"/>
      <c r="W300" s="2"/>
      <c r="X300" s="2"/>
      <c r="Z300" s="2"/>
      <c r="AA300" s="2"/>
      <c r="AB300" s="2"/>
      <c r="AC300" s="2"/>
    </row>
    <row r="301" spans="1:29" ht="15.75" customHeight="1" x14ac:dyDescent="0.3">
      <c r="A301" s="2"/>
      <c r="C301" s="2"/>
      <c r="D301" s="2"/>
      <c r="E301" s="2"/>
      <c r="F301" s="2"/>
      <c r="G301" s="92"/>
      <c r="H301" s="2"/>
      <c r="I301" s="2"/>
      <c r="J301" s="2"/>
      <c r="K301" s="90"/>
      <c r="L301" s="2"/>
      <c r="N301" s="2"/>
      <c r="O301" s="2"/>
      <c r="P301" s="2"/>
      <c r="Q301" s="2"/>
      <c r="R301" s="2"/>
      <c r="S301" s="2"/>
      <c r="T301" s="2"/>
      <c r="U301" s="222"/>
      <c r="V301" s="2"/>
      <c r="W301" s="2"/>
      <c r="X301" s="2"/>
      <c r="Z301" s="2"/>
      <c r="AA301" s="2"/>
      <c r="AB301" s="2"/>
      <c r="AC301" s="2"/>
    </row>
    <row r="302" spans="1:29" ht="15.75" customHeight="1" x14ac:dyDescent="0.3">
      <c r="A302" s="2"/>
      <c r="C302" s="2"/>
      <c r="D302" s="2"/>
      <c r="E302" s="2"/>
      <c r="F302" s="2"/>
      <c r="G302" s="92"/>
      <c r="H302" s="2"/>
      <c r="I302" s="2"/>
      <c r="J302" s="2"/>
      <c r="K302" s="90"/>
      <c r="L302" s="2"/>
      <c r="N302" s="2"/>
      <c r="O302" s="2"/>
      <c r="P302" s="2"/>
      <c r="Q302" s="2"/>
      <c r="R302" s="2"/>
      <c r="S302" s="2"/>
      <c r="T302" s="2"/>
      <c r="U302" s="222"/>
      <c r="V302" s="2"/>
      <c r="W302" s="2"/>
      <c r="X302" s="2"/>
      <c r="Z302" s="2"/>
      <c r="AA302" s="2"/>
      <c r="AB302" s="2"/>
      <c r="AC302" s="2"/>
    </row>
    <row r="303" spans="1:29" ht="15.75" customHeight="1" x14ac:dyDescent="0.3">
      <c r="A303" s="2"/>
      <c r="C303" s="2"/>
      <c r="D303" s="2"/>
      <c r="E303" s="2"/>
      <c r="F303" s="2"/>
      <c r="G303" s="92"/>
      <c r="H303" s="2"/>
      <c r="I303" s="2"/>
      <c r="J303" s="2"/>
      <c r="K303" s="90"/>
      <c r="L303" s="2"/>
      <c r="N303" s="2"/>
      <c r="O303" s="2"/>
      <c r="P303" s="2"/>
      <c r="Q303" s="2"/>
      <c r="R303" s="2"/>
      <c r="S303" s="2"/>
      <c r="T303" s="2"/>
      <c r="U303" s="222"/>
      <c r="V303" s="2"/>
      <c r="W303" s="2"/>
      <c r="X303" s="2"/>
      <c r="Z303" s="2"/>
      <c r="AA303" s="2"/>
      <c r="AB303" s="2"/>
      <c r="AC303" s="2"/>
    </row>
    <row r="304" spans="1:29" ht="15.75" customHeight="1" x14ac:dyDescent="0.3">
      <c r="A304" s="2"/>
      <c r="C304" s="2"/>
      <c r="D304" s="2"/>
      <c r="E304" s="2"/>
      <c r="F304" s="2"/>
      <c r="G304" s="92"/>
      <c r="H304" s="2"/>
      <c r="I304" s="2"/>
      <c r="J304" s="2"/>
      <c r="K304" s="90"/>
      <c r="L304" s="2"/>
      <c r="N304" s="2"/>
      <c r="O304" s="2"/>
      <c r="P304" s="2"/>
      <c r="Q304" s="2"/>
      <c r="R304" s="2"/>
      <c r="S304" s="2"/>
      <c r="T304" s="2"/>
      <c r="U304" s="222"/>
      <c r="V304" s="2"/>
      <c r="W304" s="2"/>
      <c r="X304" s="2"/>
      <c r="Z304" s="2"/>
      <c r="AA304" s="2"/>
      <c r="AB304" s="2"/>
      <c r="AC304" s="2"/>
    </row>
    <row r="305" spans="1:29" ht="15.75" customHeight="1" x14ac:dyDescent="0.3">
      <c r="A305" s="2"/>
      <c r="C305" s="2"/>
      <c r="D305" s="2"/>
      <c r="E305" s="2"/>
      <c r="F305" s="2"/>
      <c r="G305" s="92"/>
      <c r="H305" s="2"/>
      <c r="I305" s="2"/>
      <c r="J305" s="2"/>
      <c r="K305" s="90"/>
      <c r="L305" s="2"/>
      <c r="N305" s="2"/>
      <c r="O305" s="2"/>
      <c r="P305" s="2"/>
      <c r="Q305" s="2"/>
      <c r="R305" s="2"/>
      <c r="S305" s="2"/>
      <c r="T305" s="2"/>
      <c r="U305" s="222"/>
      <c r="V305" s="2"/>
      <c r="W305" s="2"/>
      <c r="X305" s="2"/>
      <c r="Z305" s="2"/>
      <c r="AA305" s="2"/>
      <c r="AB305" s="2"/>
      <c r="AC305" s="2"/>
    </row>
    <row r="306" spans="1:29" ht="15.75" customHeight="1" x14ac:dyDescent="0.3">
      <c r="A306" s="2"/>
      <c r="C306" s="2"/>
      <c r="D306" s="2"/>
      <c r="E306" s="2"/>
      <c r="F306" s="2"/>
      <c r="G306" s="92"/>
      <c r="H306" s="2"/>
      <c r="I306" s="2"/>
      <c r="J306" s="2"/>
      <c r="K306" s="90"/>
      <c r="L306" s="2"/>
      <c r="N306" s="2"/>
      <c r="O306" s="2"/>
      <c r="P306" s="2"/>
      <c r="Q306" s="2"/>
      <c r="R306" s="2"/>
      <c r="S306" s="2"/>
      <c r="T306" s="2"/>
      <c r="U306" s="222"/>
      <c r="V306" s="2"/>
      <c r="W306" s="2"/>
      <c r="X306" s="2"/>
      <c r="Z306" s="2"/>
      <c r="AA306" s="2"/>
      <c r="AB306" s="2"/>
      <c r="AC306" s="2"/>
    </row>
    <row r="307" spans="1:29" ht="15.75" customHeight="1" x14ac:dyDescent="0.3">
      <c r="A307" s="2"/>
      <c r="C307" s="2"/>
      <c r="D307" s="2"/>
      <c r="E307" s="2"/>
      <c r="F307" s="2"/>
      <c r="G307" s="92"/>
      <c r="H307" s="2"/>
      <c r="I307" s="2"/>
      <c r="J307" s="2"/>
      <c r="K307" s="90"/>
      <c r="L307" s="2"/>
      <c r="N307" s="2"/>
      <c r="O307" s="2"/>
      <c r="P307" s="2"/>
      <c r="Q307" s="2"/>
      <c r="R307" s="2"/>
      <c r="S307" s="2"/>
      <c r="T307" s="2"/>
      <c r="U307" s="222"/>
      <c r="V307" s="2"/>
      <c r="W307" s="2"/>
      <c r="X307" s="2"/>
      <c r="Z307" s="2"/>
      <c r="AA307" s="2"/>
      <c r="AB307" s="2"/>
      <c r="AC307" s="2"/>
    </row>
    <row r="308" spans="1:29" ht="15.75" customHeight="1" x14ac:dyDescent="0.3">
      <c r="A308" s="2"/>
      <c r="C308" s="2"/>
      <c r="D308" s="2"/>
      <c r="E308" s="2"/>
      <c r="F308" s="2"/>
      <c r="G308" s="92"/>
      <c r="H308" s="2"/>
      <c r="I308" s="2"/>
      <c r="J308" s="2"/>
      <c r="K308" s="90"/>
      <c r="L308" s="2"/>
      <c r="N308" s="2"/>
      <c r="O308" s="2"/>
      <c r="P308" s="2"/>
      <c r="Q308" s="2"/>
      <c r="R308" s="2"/>
      <c r="S308" s="2"/>
      <c r="T308" s="2"/>
      <c r="U308" s="222"/>
      <c r="V308" s="2"/>
      <c r="W308" s="2"/>
      <c r="X308" s="2"/>
      <c r="Z308" s="2"/>
      <c r="AA308" s="2"/>
      <c r="AB308" s="2"/>
      <c r="AC308" s="2"/>
    </row>
    <row r="309" spans="1:29" ht="15.75" customHeight="1" x14ac:dyDescent="0.3">
      <c r="A309" s="2"/>
      <c r="C309" s="2"/>
      <c r="D309" s="2"/>
      <c r="E309" s="2"/>
      <c r="F309" s="2"/>
      <c r="G309" s="92"/>
      <c r="H309" s="2"/>
      <c r="I309" s="2"/>
      <c r="J309" s="2"/>
      <c r="K309" s="90"/>
      <c r="L309" s="2"/>
      <c r="N309" s="2"/>
      <c r="O309" s="2"/>
      <c r="P309" s="2"/>
      <c r="Q309" s="2"/>
      <c r="R309" s="2"/>
      <c r="S309" s="2"/>
      <c r="T309" s="2"/>
      <c r="U309" s="222"/>
      <c r="V309" s="2"/>
      <c r="W309" s="2"/>
      <c r="X309" s="2"/>
      <c r="Z309" s="2"/>
      <c r="AA309" s="2"/>
      <c r="AB309" s="2"/>
      <c r="AC309" s="2"/>
    </row>
    <row r="310" spans="1:29" ht="15.75" customHeight="1" x14ac:dyDescent="0.3">
      <c r="A310" s="2"/>
      <c r="C310" s="2"/>
      <c r="D310" s="2"/>
      <c r="E310" s="2"/>
      <c r="F310" s="2"/>
      <c r="G310" s="92"/>
      <c r="H310" s="2"/>
      <c r="I310" s="2"/>
      <c r="J310" s="2"/>
      <c r="K310" s="90"/>
      <c r="L310" s="2"/>
      <c r="N310" s="2"/>
      <c r="O310" s="2"/>
      <c r="P310" s="2"/>
      <c r="Q310" s="2"/>
      <c r="R310" s="2"/>
      <c r="S310" s="2"/>
      <c r="T310" s="2"/>
      <c r="U310" s="222"/>
      <c r="V310" s="2"/>
      <c r="W310" s="2"/>
      <c r="X310" s="2"/>
      <c r="Z310" s="2"/>
      <c r="AA310" s="2"/>
      <c r="AB310" s="2"/>
      <c r="AC310" s="2"/>
    </row>
    <row r="311" spans="1:29" ht="15.75" customHeight="1" x14ac:dyDescent="0.3">
      <c r="A311" s="2"/>
      <c r="C311" s="2"/>
      <c r="D311" s="2"/>
      <c r="E311" s="2"/>
      <c r="F311" s="2"/>
      <c r="G311" s="92"/>
      <c r="H311" s="2"/>
      <c r="I311" s="2"/>
      <c r="J311" s="2"/>
      <c r="K311" s="90"/>
      <c r="L311" s="2"/>
      <c r="N311" s="2"/>
      <c r="O311" s="2"/>
      <c r="P311" s="2"/>
      <c r="Q311" s="2"/>
      <c r="R311" s="2"/>
      <c r="S311" s="2"/>
      <c r="T311" s="2"/>
      <c r="U311" s="222"/>
      <c r="V311" s="2"/>
      <c r="W311" s="2"/>
      <c r="X311" s="2"/>
      <c r="Z311" s="2"/>
      <c r="AA311" s="2"/>
      <c r="AB311" s="2"/>
      <c r="AC311" s="2"/>
    </row>
    <row r="312" spans="1:29" ht="15.75" customHeight="1" x14ac:dyDescent="0.3">
      <c r="A312" s="2"/>
      <c r="C312" s="2"/>
      <c r="D312" s="2"/>
      <c r="E312" s="2"/>
      <c r="F312" s="2"/>
      <c r="G312" s="92"/>
      <c r="H312" s="2"/>
      <c r="I312" s="2"/>
      <c r="J312" s="2"/>
      <c r="K312" s="90"/>
      <c r="L312" s="2"/>
      <c r="N312" s="2"/>
      <c r="O312" s="2"/>
      <c r="P312" s="2"/>
      <c r="Q312" s="2"/>
      <c r="R312" s="2"/>
      <c r="S312" s="2"/>
      <c r="T312" s="2"/>
      <c r="U312" s="222"/>
      <c r="V312" s="2"/>
      <c r="W312" s="2"/>
      <c r="X312" s="2"/>
      <c r="Z312" s="2"/>
      <c r="AA312" s="2"/>
      <c r="AB312" s="2"/>
      <c r="AC312" s="2"/>
    </row>
    <row r="313" spans="1:29" ht="15.75" customHeight="1" x14ac:dyDescent="0.3">
      <c r="A313" s="2"/>
      <c r="C313" s="2"/>
      <c r="D313" s="2"/>
      <c r="E313" s="2"/>
      <c r="F313" s="2"/>
      <c r="G313" s="92"/>
      <c r="H313" s="2"/>
      <c r="I313" s="2"/>
      <c r="J313" s="2"/>
      <c r="K313" s="90"/>
      <c r="L313" s="2"/>
      <c r="N313" s="2"/>
      <c r="O313" s="2"/>
      <c r="P313" s="2"/>
      <c r="Q313" s="2"/>
      <c r="R313" s="2"/>
      <c r="S313" s="2"/>
      <c r="T313" s="2"/>
      <c r="U313" s="222"/>
      <c r="V313" s="2"/>
      <c r="W313" s="2"/>
      <c r="X313" s="2"/>
      <c r="Z313" s="2"/>
      <c r="AA313" s="2"/>
      <c r="AB313" s="2"/>
      <c r="AC313" s="2"/>
    </row>
    <row r="314" spans="1:29" ht="15.75" customHeight="1" x14ac:dyDescent="0.3">
      <c r="A314" s="2"/>
      <c r="C314" s="2"/>
      <c r="D314" s="2"/>
      <c r="E314" s="2"/>
      <c r="F314" s="2"/>
      <c r="G314" s="92"/>
      <c r="H314" s="2"/>
      <c r="I314" s="2"/>
      <c r="J314" s="2"/>
      <c r="K314" s="90"/>
      <c r="L314" s="2"/>
      <c r="N314" s="2"/>
      <c r="O314" s="2"/>
      <c r="P314" s="2"/>
      <c r="Q314" s="2"/>
      <c r="R314" s="2"/>
      <c r="S314" s="2"/>
      <c r="T314" s="2"/>
      <c r="U314" s="222"/>
      <c r="V314" s="2"/>
      <c r="W314" s="2"/>
      <c r="X314" s="2"/>
      <c r="Z314" s="2"/>
      <c r="AA314" s="2"/>
      <c r="AB314" s="2"/>
      <c r="AC314" s="2"/>
    </row>
    <row r="315" spans="1:29" ht="15.75" customHeight="1" x14ac:dyDescent="0.3">
      <c r="A315" s="2"/>
      <c r="C315" s="2"/>
      <c r="D315" s="2"/>
      <c r="E315" s="2"/>
      <c r="F315" s="2"/>
      <c r="G315" s="92"/>
      <c r="H315" s="2"/>
      <c r="I315" s="2"/>
      <c r="J315" s="2"/>
      <c r="K315" s="90"/>
      <c r="L315" s="2"/>
      <c r="N315" s="2"/>
      <c r="O315" s="2"/>
      <c r="P315" s="2"/>
      <c r="Q315" s="2"/>
      <c r="R315" s="2"/>
      <c r="S315" s="2"/>
      <c r="T315" s="2"/>
      <c r="U315" s="222"/>
      <c r="V315" s="2"/>
      <c r="W315" s="2"/>
      <c r="X315" s="2"/>
      <c r="Z315" s="2"/>
      <c r="AA315" s="2"/>
      <c r="AB315" s="2"/>
      <c r="AC315" s="2"/>
    </row>
    <row r="316" spans="1:29" ht="15.75" customHeight="1" x14ac:dyDescent="0.3">
      <c r="A316" s="2"/>
      <c r="C316" s="2"/>
      <c r="D316" s="2"/>
      <c r="E316" s="2"/>
      <c r="F316" s="2"/>
      <c r="G316" s="92"/>
      <c r="H316" s="2"/>
      <c r="I316" s="2"/>
      <c r="J316" s="2"/>
      <c r="K316" s="90"/>
      <c r="L316" s="2"/>
      <c r="N316" s="2"/>
      <c r="O316" s="2"/>
      <c r="P316" s="2"/>
      <c r="Q316" s="2"/>
      <c r="R316" s="2"/>
      <c r="S316" s="2"/>
      <c r="T316" s="2"/>
      <c r="U316" s="222"/>
      <c r="V316" s="2"/>
      <c r="W316" s="2"/>
      <c r="X316" s="2"/>
      <c r="Z316" s="2"/>
      <c r="AA316" s="2"/>
      <c r="AB316" s="2"/>
      <c r="AC316" s="2"/>
    </row>
    <row r="317" spans="1:29" ht="15.75" customHeight="1" x14ac:dyDescent="0.3">
      <c r="A317" s="2"/>
      <c r="C317" s="2"/>
      <c r="D317" s="2"/>
      <c r="E317" s="2"/>
      <c r="F317" s="2"/>
      <c r="G317" s="92"/>
      <c r="H317" s="2"/>
      <c r="I317" s="2"/>
      <c r="J317" s="2"/>
      <c r="K317" s="90"/>
      <c r="L317" s="2"/>
      <c r="N317" s="2"/>
      <c r="O317" s="2"/>
      <c r="P317" s="2"/>
      <c r="Q317" s="2"/>
      <c r="R317" s="2"/>
      <c r="S317" s="2"/>
      <c r="T317" s="2"/>
      <c r="U317" s="222"/>
      <c r="V317" s="2"/>
      <c r="W317" s="2"/>
      <c r="X317" s="2"/>
      <c r="Z317" s="2"/>
      <c r="AA317" s="2"/>
      <c r="AB317" s="2"/>
      <c r="AC317" s="2"/>
    </row>
    <row r="318" spans="1:29" ht="15.75" customHeight="1" x14ac:dyDescent="0.3">
      <c r="A318" s="2"/>
      <c r="C318" s="2"/>
      <c r="D318" s="2"/>
      <c r="E318" s="2"/>
      <c r="F318" s="2"/>
      <c r="G318" s="92"/>
      <c r="H318" s="2"/>
      <c r="I318" s="2"/>
      <c r="J318" s="2"/>
      <c r="K318" s="90"/>
      <c r="L318" s="2"/>
      <c r="N318" s="2"/>
      <c r="O318" s="2"/>
      <c r="P318" s="2"/>
      <c r="Q318" s="2"/>
      <c r="R318" s="2"/>
      <c r="S318" s="2"/>
      <c r="T318" s="2"/>
      <c r="U318" s="222"/>
      <c r="V318" s="2"/>
      <c r="W318" s="2"/>
      <c r="X318" s="2"/>
      <c r="Z318" s="2"/>
      <c r="AA318" s="2"/>
      <c r="AB318" s="2"/>
      <c r="AC318" s="2"/>
    </row>
    <row r="319" spans="1:29" ht="15.75" customHeight="1" x14ac:dyDescent="0.3">
      <c r="A319" s="2"/>
      <c r="C319" s="2"/>
      <c r="D319" s="2"/>
      <c r="E319" s="2"/>
      <c r="F319" s="2"/>
      <c r="G319" s="92"/>
      <c r="H319" s="2"/>
      <c r="I319" s="2"/>
      <c r="J319" s="2"/>
      <c r="K319" s="90"/>
      <c r="L319" s="2"/>
      <c r="N319" s="2"/>
      <c r="O319" s="2"/>
      <c r="P319" s="2"/>
      <c r="Q319" s="2"/>
      <c r="R319" s="2"/>
      <c r="S319" s="2"/>
      <c r="T319" s="2"/>
      <c r="U319" s="222"/>
      <c r="V319" s="2"/>
      <c r="W319" s="2"/>
      <c r="X319" s="2"/>
      <c r="Z319" s="2"/>
      <c r="AA319" s="2"/>
      <c r="AB319" s="2"/>
      <c r="AC319" s="2"/>
    </row>
    <row r="320" spans="1:29" ht="15.75" customHeight="1" x14ac:dyDescent="0.3">
      <c r="A320" s="2"/>
      <c r="C320" s="2"/>
      <c r="D320" s="2"/>
      <c r="E320" s="2"/>
      <c r="F320" s="2"/>
      <c r="G320" s="92"/>
      <c r="H320" s="2"/>
      <c r="I320" s="2"/>
      <c r="J320" s="2"/>
      <c r="K320" s="90"/>
      <c r="L320" s="2"/>
      <c r="N320" s="2"/>
      <c r="O320" s="2"/>
      <c r="P320" s="2"/>
      <c r="Q320" s="2"/>
      <c r="R320" s="2"/>
      <c r="S320" s="2"/>
      <c r="T320" s="2"/>
      <c r="U320" s="222"/>
      <c r="V320" s="2"/>
      <c r="W320" s="2"/>
      <c r="X320" s="2"/>
      <c r="Z320" s="2"/>
      <c r="AA320" s="2"/>
      <c r="AB320" s="2"/>
      <c r="AC320" s="2"/>
    </row>
    <row r="321" spans="1:29" ht="15.75" customHeight="1" x14ac:dyDescent="0.3">
      <c r="A321" s="2"/>
      <c r="C321" s="2"/>
      <c r="D321" s="2"/>
      <c r="E321" s="2"/>
      <c r="F321" s="2"/>
      <c r="G321" s="92"/>
      <c r="H321" s="2"/>
      <c r="I321" s="2"/>
      <c r="J321" s="2"/>
      <c r="K321" s="90"/>
      <c r="L321" s="2"/>
      <c r="N321" s="2"/>
      <c r="O321" s="2"/>
      <c r="P321" s="2"/>
      <c r="Q321" s="2"/>
      <c r="R321" s="2"/>
      <c r="S321" s="2"/>
      <c r="T321" s="2"/>
      <c r="U321" s="222"/>
      <c r="V321" s="2"/>
      <c r="W321" s="2"/>
      <c r="X321" s="2"/>
      <c r="Z321" s="2"/>
      <c r="AA321" s="2"/>
      <c r="AB321" s="2"/>
      <c r="AC321" s="2"/>
    </row>
    <row r="322" spans="1:29" ht="15.75" customHeight="1" x14ac:dyDescent="0.3">
      <c r="A322" s="2"/>
      <c r="C322" s="2"/>
      <c r="D322" s="2"/>
      <c r="E322" s="2"/>
      <c r="F322" s="2"/>
      <c r="G322" s="92"/>
      <c r="H322" s="2"/>
      <c r="I322" s="2"/>
      <c r="J322" s="2"/>
      <c r="K322" s="90"/>
      <c r="L322" s="2"/>
      <c r="N322" s="2"/>
      <c r="O322" s="2"/>
      <c r="P322" s="2"/>
      <c r="Q322" s="2"/>
      <c r="R322" s="2"/>
      <c r="S322" s="2"/>
      <c r="T322" s="2"/>
      <c r="U322" s="222"/>
      <c r="V322" s="2"/>
      <c r="W322" s="2"/>
      <c r="X322" s="2"/>
      <c r="Z322" s="2"/>
      <c r="AA322" s="2"/>
      <c r="AB322" s="2"/>
      <c r="AC322" s="2"/>
    </row>
    <row r="323" spans="1:29" ht="15.75" customHeight="1" x14ac:dyDescent="0.3">
      <c r="A323" s="2"/>
      <c r="C323" s="2"/>
      <c r="D323" s="2"/>
      <c r="E323" s="2"/>
      <c r="F323" s="2"/>
      <c r="G323" s="92"/>
      <c r="H323" s="2"/>
      <c r="I323" s="2"/>
      <c r="J323" s="2"/>
      <c r="K323" s="90"/>
      <c r="L323" s="2"/>
      <c r="N323" s="2"/>
      <c r="O323" s="2"/>
      <c r="P323" s="2"/>
      <c r="Q323" s="2"/>
      <c r="R323" s="2"/>
      <c r="S323" s="2"/>
      <c r="T323" s="2"/>
      <c r="U323" s="222"/>
      <c r="V323" s="2"/>
      <c r="W323" s="2"/>
      <c r="X323" s="2"/>
      <c r="Z323" s="2"/>
      <c r="AA323" s="2"/>
      <c r="AB323" s="2"/>
      <c r="AC323" s="2"/>
    </row>
    <row r="324" spans="1:29" ht="15.75" customHeight="1" x14ac:dyDescent="0.3">
      <c r="A324" s="2"/>
      <c r="C324" s="2"/>
      <c r="D324" s="2"/>
      <c r="E324" s="2"/>
      <c r="F324" s="2"/>
      <c r="G324" s="92"/>
      <c r="H324" s="2"/>
      <c r="I324" s="2"/>
      <c r="J324" s="2"/>
      <c r="K324" s="90"/>
      <c r="L324" s="2"/>
      <c r="N324" s="2"/>
      <c r="O324" s="2"/>
      <c r="P324" s="2"/>
      <c r="Q324" s="2"/>
      <c r="R324" s="2"/>
      <c r="S324" s="2"/>
      <c r="T324" s="2"/>
      <c r="U324" s="222"/>
      <c r="V324" s="2"/>
      <c r="W324" s="2"/>
      <c r="X324" s="2"/>
      <c r="Z324" s="2"/>
      <c r="AA324" s="2"/>
      <c r="AB324" s="2"/>
      <c r="AC324" s="2"/>
    </row>
    <row r="325" spans="1:29" ht="15.75" customHeight="1" x14ac:dyDescent="0.3">
      <c r="A325" s="2"/>
      <c r="C325" s="2"/>
      <c r="D325" s="2"/>
      <c r="E325" s="2"/>
      <c r="F325" s="2"/>
      <c r="G325" s="92"/>
      <c r="H325" s="2"/>
      <c r="I325" s="2"/>
      <c r="J325" s="2"/>
      <c r="K325" s="90"/>
      <c r="L325" s="2"/>
      <c r="N325" s="2"/>
      <c r="O325" s="2"/>
      <c r="P325" s="2"/>
      <c r="Q325" s="2"/>
      <c r="R325" s="2"/>
      <c r="S325" s="2"/>
      <c r="T325" s="2"/>
      <c r="U325" s="222"/>
      <c r="V325" s="2"/>
      <c r="W325" s="2"/>
      <c r="X325" s="2"/>
      <c r="Z325" s="2"/>
      <c r="AA325" s="2"/>
      <c r="AB325" s="2"/>
      <c r="AC325" s="2"/>
    </row>
    <row r="326" spans="1:29" ht="15.75" customHeight="1" x14ac:dyDescent="0.3">
      <c r="A326" s="2"/>
      <c r="C326" s="2"/>
      <c r="D326" s="2"/>
      <c r="E326" s="2"/>
      <c r="F326" s="2"/>
      <c r="G326" s="92"/>
      <c r="H326" s="2"/>
      <c r="I326" s="2"/>
      <c r="J326" s="2"/>
      <c r="K326" s="90"/>
      <c r="L326" s="2"/>
      <c r="N326" s="2"/>
      <c r="O326" s="2"/>
      <c r="P326" s="2"/>
      <c r="Q326" s="2"/>
      <c r="R326" s="2"/>
      <c r="S326" s="2"/>
      <c r="T326" s="2"/>
      <c r="U326" s="222"/>
      <c r="V326" s="2"/>
      <c r="W326" s="2"/>
      <c r="X326" s="2"/>
      <c r="Z326" s="2"/>
      <c r="AA326" s="2"/>
      <c r="AB326" s="2"/>
      <c r="AC326" s="2"/>
    </row>
    <row r="327" spans="1:29" ht="15.75" customHeight="1" x14ac:dyDescent="0.3">
      <c r="A327" s="2"/>
      <c r="C327" s="2"/>
      <c r="D327" s="2"/>
      <c r="E327" s="2"/>
      <c r="F327" s="2"/>
      <c r="G327" s="92"/>
      <c r="H327" s="2"/>
      <c r="I327" s="2"/>
      <c r="J327" s="2"/>
      <c r="K327" s="90"/>
      <c r="L327" s="2"/>
      <c r="N327" s="2"/>
      <c r="O327" s="2"/>
      <c r="P327" s="2"/>
      <c r="Q327" s="2"/>
      <c r="R327" s="2"/>
      <c r="S327" s="2"/>
      <c r="T327" s="2"/>
      <c r="U327" s="222"/>
      <c r="V327" s="2"/>
      <c r="W327" s="2"/>
      <c r="X327" s="2"/>
      <c r="Z327" s="2"/>
      <c r="AA327" s="2"/>
      <c r="AB327" s="2"/>
      <c r="AC327" s="2"/>
    </row>
    <row r="328" spans="1:29" ht="15.75" customHeight="1" x14ac:dyDescent="0.3">
      <c r="A328" s="2"/>
      <c r="C328" s="2"/>
      <c r="D328" s="2"/>
      <c r="E328" s="2"/>
      <c r="F328" s="2"/>
      <c r="G328" s="92"/>
      <c r="H328" s="2"/>
      <c r="I328" s="2"/>
      <c r="J328" s="2"/>
      <c r="K328" s="90"/>
      <c r="L328" s="2"/>
      <c r="N328" s="2"/>
      <c r="O328" s="2"/>
      <c r="P328" s="2"/>
      <c r="Q328" s="2"/>
      <c r="R328" s="2"/>
      <c r="S328" s="2"/>
      <c r="T328" s="2"/>
      <c r="U328" s="222"/>
      <c r="V328" s="2"/>
      <c r="W328" s="2"/>
      <c r="X328" s="2"/>
      <c r="Z328" s="2"/>
      <c r="AA328" s="2"/>
      <c r="AB328" s="2"/>
      <c r="AC328" s="2"/>
    </row>
    <row r="329" spans="1:29" ht="15.75" customHeight="1" x14ac:dyDescent="0.3">
      <c r="A329" s="2"/>
      <c r="C329" s="2"/>
      <c r="D329" s="2"/>
      <c r="E329" s="2"/>
      <c r="F329" s="2"/>
      <c r="G329" s="92"/>
      <c r="H329" s="2"/>
      <c r="I329" s="2"/>
      <c r="J329" s="2"/>
      <c r="K329" s="90"/>
      <c r="L329" s="2"/>
      <c r="N329" s="2"/>
      <c r="O329" s="2"/>
      <c r="P329" s="2"/>
      <c r="Q329" s="2"/>
      <c r="R329" s="2"/>
      <c r="S329" s="2"/>
      <c r="T329" s="2"/>
      <c r="U329" s="222"/>
      <c r="V329" s="2"/>
      <c r="W329" s="2"/>
      <c r="X329" s="2"/>
      <c r="Z329" s="2"/>
      <c r="AA329" s="2"/>
      <c r="AB329" s="2"/>
      <c r="AC329" s="2"/>
    </row>
    <row r="330" spans="1:29" ht="15.75" customHeight="1" x14ac:dyDescent="0.3">
      <c r="A330" s="2"/>
      <c r="C330" s="2"/>
      <c r="D330" s="2"/>
      <c r="E330" s="2"/>
      <c r="F330" s="2"/>
      <c r="G330" s="92"/>
      <c r="H330" s="2"/>
      <c r="I330" s="2"/>
      <c r="J330" s="2"/>
      <c r="K330" s="90"/>
      <c r="L330" s="2"/>
      <c r="N330" s="2"/>
      <c r="O330" s="2"/>
      <c r="P330" s="2"/>
      <c r="Q330" s="2"/>
      <c r="R330" s="2"/>
      <c r="S330" s="2"/>
      <c r="T330" s="2"/>
      <c r="U330" s="222"/>
      <c r="V330" s="2"/>
      <c r="W330" s="2"/>
      <c r="X330" s="2"/>
      <c r="Z330" s="2"/>
      <c r="AA330" s="2"/>
      <c r="AB330" s="2"/>
      <c r="AC330" s="2"/>
    </row>
    <row r="331" spans="1:29" ht="15.75" customHeight="1" x14ac:dyDescent="0.3">
      <c r="A331" s="2"/>
      <c r="C331" s="2"/>
      <c r="D331" s="2"/>
      <c r="E331" s="2"/>
      <c r="F331" s="2"/>
      <c r="G331" s="92"/>
      <c r="H331" s="2"/>
      <c r="I331" s="2"/>
      <c r="J331" s="2"/>
      <c r="K331" s="90"/>
      <c r="L331" s="2"/>
      <c r="N331" s="2"/>
      <c r="O331" s="2"/>
      <c r="P331" s="2"/>
      <c r="Q331" s="2"/>
      <c r="R331" s="2"/>
      <c r="S331" s="2"/>
      <c r="T331" s="2"/>
      <c r="U331" s="222"/>
      <c r="V331" s="2"/>
      <c r="W331" s="2"/>
      <c r="X331" s="2"/>
      <c r="Z331" s="2"/>
      <c r="AA331" s="2"/>
      <c r="AB331" s="2"/>
      <c r="AC331" s="2"/>
    </row>
    <row r="332" spans="1:29" ht="15.75" customHeight="1" x14ac:dyDescent="0.3">
      <c r="A332" s="2"/>
      <c r="C332" s="2"/>
      <c r="D332" s="2"/>
      <c r="E332" s="2"/>
      <c r="F332" s="2"/>
      <c r="G332" s="92"/>
      <c r="H332" s="2"/>
      <c r="I332" s="2"/>
      <c r="J332" s="2"/>
      <c r="K332" s="90"/>
      <c r="L332" s="2"/>
      <c r="N332" s="2"/>
      <c r="O332" s="2"/>
      <c r="P332" s="2"/>
      <c r="Q332" s="2"/>
      <c r="R332" s="2"/>
      <c r="S332" s="2"/>
      <c r="T332" s="2"/>
      <c r="U332" s="222"/>
      <c r="V332" s="2"/>
      <c r="W332" s="2"/>
      <c r="X332" s="2"/>
      <c r="Z332" s="2"/>
      <c r="AA332" s="2"/>
      <c r="AB332" s="2"/>
      <c r="AC332" s="2"/>
    </row>
    <row r="333" spans="1:29" ht="15.75" customHeight="1" x14ac:dyDescent="0.3">
      <c r="A333" s="2"/>
      <c r="C333" s="2"/>
      <c r="D333" s="2"/>
      <c r="E333" s="2"/>
      <c r="F333" s="2"/>
      <c r="G333" s="92"/>
      <c r="H333" s="2"/>
      <c r="I333" s="2"/>
      <c r="J333" s="2"/>
      <c r="K333" s="90"/>
      <c r="L333" s="2"/>
      <c r="N333" s="2"/>
      <c r="O333" s="2"/>
      <c r="P333" s="2"/>
      <c r="Q333" s="2"/>
      <c r="R333" s="2"/>
      <c r="S333" s="2"/>
      <c r="T333" s="2"/>
      <c r="U333" s="222"/>
      <c r="V333" s="2"/>
      <c r="W333" s="2"/>
      <c r="X333" s="2"/>
      <c r="Z333" s="2"/>
      <c r="AA333" s="2"/>
      <c r="AB333" s="2"/>
      <c r="AC333" s="2"/>
    </row>
    <row r="334" spans="1:29" ht="15.75" customHeight="1" x14ac:dyDescent="0.3">
      <c r="A334" s="2"/>
      <c r="C334" s="2"/>
      <c r="D334" s="2"/>
      <c r="E334" s="2"/>
      <c r="F334" s="2"/>
      <c r="G334" s="92"/>
      <c r="H334" s="2"/>
      <c r="I334" s="2"/>
      <c r="J334" s="2"/>
      <c r="K334" s="90"/>
      <c r="L334" s="2"/>
      <c r="N334" s="2"/>
      <c r="O334" s="2"/>
      <c r="P334" s="2"/>
      <c r="Q334" s="2"/>
      <c r="R334" s="2"/>
      <c r="S334" s="2"/>
      <c r="T334" s="2"/>
      <c r="U334" s="222"/>
      <c r="V334" s="2"/>
      <c r="W334" s="2"/>
      <c r="X334" s="2"/>
      <c r="Z334" s="2"/>
      <c r="AA334" s="2"/>
      <c r="AB334" s="2"/>
      <c r="AC334" s="2"/>
    </row>
    <row r="335" spans="1:29" ht="15.75" customHeight="1" x14ac:dyDescent="0.3">
      <c r="A335" s="2"/>
      <c r="C335" s="2"/>
      <c r="D335" s="2"/>
      <c r="E335" s="2"/>
      <c r="F335" s="2"/>
      <c r="G335" s="92"/>
      <c r="H335" s="2"/>
      <c r="I335" s="2"/>
      <c r="J335" s="2"/>
      <c r="K335" s="90"/>
      <c r="L335" s="2"/>
      <c r="N335" s="2"/>
      <c r="O335" s="2"/>
      <c r="P335" s="2"/>
      <c r="Q335" s="2"/>
      <c r="R335" s="2"/>
      <c r="S335" s="2"/>
      <c r="T335" s="2"/>
      <c r="U335" s="222"/>
      <c r="V335" s="2"/>
      <c r="W335" s="2"/>
      <c r="X335" s="2"/>
      <c r="Z335" s="2"/>
      <c r="AA335" s="2"/>
      <c r="AB335" s="2"/>
      <c r="AC335" s="2"/>
    </row>
    <row r="336" spans="1:29" ht="15.75" customHeight="1" x14ac:dyDescent="0.3">
      <c r="A336" s="2"/>
      <c r="C336" s="2"/>
      <c r="D336" s="2"/>
      <c r="E336" s="2"/>
      <c r="F336" s="2"/>
      <c r="G336" s="92"/>
      <c r="H336" s="2"/>
      <c r="I336" s="2"/>
      <c r="J336" s="2"/>
      <c r="K336" s="90"/>
      <c r="L336" s="2"/>
      <c r="N336" s="2"/>
      <c r="O336" s="2"/>
      <c r="P336" s="2"/>
      <c r="Q336" s="2"/>
      <c r="R336" s="2"/>
      <c r="S336" s="2"/>
      <c r="T336" s="2"/>
      <c r="U336" s="222"/>
      <c r="V336" s="2"/>
      <c r="W336" s="2"/>
      <c r="X336" s="2"/>
      <c r="Z336" s="2"/>
      <c r="AA336" s="2"/>
      <c r="AB336" s="2"/>
      <c r="AC336" s="2"/>
    </row>
    <row r="337" spans="1:29" ht="15.75" customHeight="1" x14ac:dyDescent="0.3">
      <c r="A337" s="2"/>
      <c r="C337" s="2"/>
      <c r="D337" s="2"/>
      <c r="E337" s="2"/>
      <c r="F337" s="2"/>
      <c r="G337" s="92"/>
      <c r="H337" s="2"/>
      <c r="I337" s="2"/>
      <c r="J337" s="2"/>
      <c r="K337" s="90"/>
      <c r="L337" s="2"/>
      <c r="N337" s="2"/>
      <c r="O337" s="2"/>
      <c r="P337" s="2"/>
      <c r="Q337" s="2"/>
      <c r="R337" s="2"/>
      <c r="S337" s="2"/>
      <c r="T337" s="2"/>
      <c r="U337" s="222"/>
      <c r="V337" s="2"/>
      <c r="W337" s="2"/>
      <c r="X337" s="2"/>
      <c r="Z337" s="2"/>
      <c r="AA337" s="2"/>
      <c r="AB337" s="2"/>
      <c r="AC337" s="2"/>
    </row>
    <row r="338" spans="1:29" ht="15.75" customHeight="1" x14ac:dyDescent="0.3">
      <c r="A338" s="2"/>
      <c r="C338" s="2"/>
      <c r="D338" s="2"/>
      <c r="E338" s="2"/>
      <c r="F338" s="2"/>
      <c r="G338" s="92"/>
      <c r="H338" s="2"/>
      <c r="I338" s="2"/>
      <c r="J338" s="2"/>
      <c r="K338" s="90"/>
      <c r="L338" s="2"/>
      <c r="N338" s="2"/>
      <c r="O338" s="2"/>
      <c r="P338" s="2"/>
      <c r="Q338" s="2"/>
      <c r="R338" s="2"/>
      <c r="S338" s="2"/>
      <c r="T338" s="2"/>
      <c r="U338" s="222"/>
      <c r="V338" s="2"/>
      <c r="W338" s="2"/>
      <c r="X338" s="2"/>
      <c r="Z338" s="2"/>
      <c r="AA338" s="2"/>
      <c r="AB338" s="2"/>
      <c r="AC338" s="2"/>
    </row>
    <row r="339" spans="1:29" ht="15.75" customHeight="1" x14ac:dyDescent="0.3">
      <c r="A339" s="2"/>
      <c r="C339" s="2"/>
      <c r="D339" s="2"/>
      <c r="E339" s="2"/>
      <c r="F339" s="2"/>
      <c r="G339" s="92"/>
      <c r="H339" s="2"/>
      <c r="I339" s="2"/>
      <c r="J339" s="2"/>
      <c r="K339" s="90"/>
      <c r="L339" s="2"/>
      <c r="N339" s="2"/>
      <c r="O339" s="2"/>
      <c r="P339" s="2"/>
      <c r="Q339" s="2"/>
      <c r="R339" s="2"/>
      <c r="S339" s="2"/>
      <c r="T339" s="2"/>
      <c r="U339" s="222"/>
      <c r="V339" s="2"/>
      <c r="W339" s="2"/>
      <c r="X339" s="2"/>
      <c r="Z339" s="2"/>
      <c r="AA339" s="2"/>
      <c r="AB339" s="2"/>
      <c r="AC339" s="2"/>
    </row>
    <row r="340" spans="1:29" ht="15.75" customHeight="1" x14ac:dyDescent="0.3">
      <c r="A340" s="2"/>
      <c r="C340" s="2"/>
      <c r="D340" s="2"/>
      <c r="E340" s="2"/>
      <c r="F340" s="2"/>
      <c r="G340" s="92"/>
      <c r="H340" s="2"/>
      <c r="I340" s="2"/>
      <c r="J340" s="2"/>
      <c r="K340" s="90"/>
      <c r="L340" s="2"/>
      <c r="N340" s="2"/>
      <c r="O340" s="2"/>
      <c r="P340" s="2"/>
      <c r="Q340" s="2"/>
      <c r="R340" s="2"/>
      <c r="S340" s="2"/>
      <c r="T340" s="2"/>
      <c r="U340" s="222"/>
      <c r="V340" s="2"/>
      <c r="W340" s="2"/>
      <c r="X340" s="2"/>
      <c r="Z340" s="2"/>
      <c r="AA340" s="2"/>
      <c r="AB340" s="2"/>
      <c r="AC340" s="2"/>
    </row>
    <row r="341" spans="1:29" ht="15.75" customHeight="1" x14ac:dyDescent="0.3">
      <c r="A341" s="2"/>
      <c r="C341" s="2"/>
      <c r="D341" s="2"/>
      <c r="E341" s="2"/>
      <c r="F341" s="2"/>
      <c r="G341" s="92"/>
      <c r="H341" s="2"/>
      <c r="I341" s="2"/>
      <c r="J341" s="2"/>
      <c r="K341" s="90"/>
      <c r="L341" s="2"/>
      <c r="N341" s="2"/>
      <c r="O341" s="2"/>
      <c r="P341" s="2"/>
      <c r="Q341" s="2"/>
      <c r="R341" s="2"/>
      <c r="S341" s="2"/>
      <c r="T341" s="2"/>
      <c r="U341" s="222"/>
      <c r="V341" s="2"/>
      <c r="W341" s="2"/>
      <c r="X341" s="2"/>
      <c r="Z341" s="2"/>
      <c r="AA341" s="2"/>
      <c r="AB341" s="2"/>
      <c r="AC341" s="2"/>
    </row>
    <row r="342" spans="1:29" ht="15.75" customHeight="1" x14ac:dyDescent="0.3">
      <c r="A342" s="2"/>
      <c r="C342" s="2"/>
      <c r="D342" s="2"/>
      <c r="E342" s="2"/>
      <c r="F342" s="2"/>
      <c r="G342" s="92"/>
      <c r="H342" s="2"/>
      <c r="I342" s="2"/>
      <c r="J342" s="2"/>
      <c r="K342" s="90"/>
      <c r="L342" s="2"/>
      <c r="N342" s="2"/>
      <c r="O342" s="2"/>
      <c r="P342" s="2"/>
      <c r="Q342" s="2"/>
      <c r="R342" s="2"/>
      <c r="S342" s="2"/>
      <c r="T342" s="2"/>
      <c r="U342" s="222"/>
      <c r="V342" s="2"/>
      <c r="W342" s="2"/>
      <c r="X342" s="2"/>
      <c r="Z342" s="2"/>
      <c r="AA342" s="2"/>
      <c r="AB342" s="2"/>
      <c r="AC342" s="2"/>
    </row>
    <row r="343" spans="1:29" ht="15.75" customHeight="1" x14ac:dyDescent="0.3">
      <c r="A343" s="2"/>
      <c r="C343" s="2"/>
      <c r="D343" s="2"/>
      <c r="E343" s="2"/>
      <c r="F343" s="2"/>
      <c r="G343" s="92"/>
      <c r="H343" s="2"/>
      <c r="I343" s="2"/>
      <c r="J343" s="2"/>
      <c r="K343" s="90"/>
      <c r="L343" s="2"/>
      <c r="N343" s="2"/>
      <c r="O343" s="2"/>
      <c r="P343" s="2"/>
      <c r="Q343" s="2"/>
      <c r="R343" s="2"/>
      <c r="S343" s="2"/>
      <c r="T343" s="2"/>
      <c r="U343" s="222"/>
      <c r="V343" s="2"/>
      <c r="W343" s="2"/>
      <c r="X343" s="2"/>
      <c r="Z343" s="2"/>
      <c r="AA343" s="2"/>
      <c r="AB343" s="2"/>
      <c r="AC343" s="2"/>
    </row>
    <row r="344" spans="1:29" ht="15.75" customHeight="1" x14ac:dyDescent="0.3">
      <c r="A344" s="2"/>
      <c r="C344" s="2"/>
      <c r="D344" s="2"/>
      <c r="E344" s="2"/>
      <c r="F344" s="2"/>
      <c r="G344" s="92"/>
      <c r="H344" s="2"/>
      <c r="I344" s="2"/>
      <c r="J344" s="2"/>
      <c r="K344" s="90"/>
      <c r="L344" s="2"/>
      <c r="N344" s="2"/>
      <c r="O344" s="2"/>
      <c r="P344" s="2"/>
      <c r="Q344" s="2"/>
      <c r="R344" s="2"/>
      <c r="S344" s="2"/>
      <c r="T344" s="2"/>
      <c r="U344" s="222"/>
      <c r="V344" s="2"/>
      <c r="W344" s="2"/>
      <c r="X344" s="2"/>
      <c r="Z344" s="2"/>
      <c r="AA344" s="2"/>
      <c r="AB344" s="2"/>
      <c r="AC344" s="2"/>
    </row>
    <row r="345" spans="1:29" ht="15.75" customHeight="1" x14ac:dyDescent="0.3">
      <c r="A345" s="2"/>
      <c r="C345" s="2"/>
      <c r="D345" s="2"/>
      <c r="E345" s="2"/>
      <c r="F345" s="2"/>
      <c r="G345" s="92"/>
      <c r="H345" s="2"/>
      <c r="I345" s="2"/>
      <c r="J345" s="2"/>
      <c r="K345" s="90"/>
      <c r="L345" s="2"/>
      <c r="N345" s="2"/>
      <c r="O345" s="2"/>
      <c r="P345" s="2"/>
      <c r="Q345" s="2"/>
      <c r="R345" s="2"/>
      <c r="S345" s="2"/>
      <c r="T345" s="2"/>
      <c r="U345" s="222"/>
      <c r="V345" s="2"/>
      <c r="W345" s="2"/>
      <c r="X345" s="2"/>
      <c r="Z345" s="2"/>
      <c r="AA345" s="2"/>
      <c r="AB345" s="2"/>
      <c r="AC345" s="2"/>
    </row>
    <row r="346" spans="1:29" ht="15.75" customHeight="1" x14ac:dyDescent="0.3">
      <c r="A346" s="2"/>
      <c r="C346" s="2"/>
      <c r="D346" s="2"/>
      <c r="E346" s="2"/>
      <c r="F346" s="2"/>
      <c r="G346" s="92"/>
      <c r="H346" s="2"/>
      <c r="I346" s="2"/>
      <c r="J346" s="2"/>
      <c r="K346" s="90"/>
      <c r="L346" s="2"/>
      <c r="N346" s="2"/>
      <c r="O346" s="2"/>
      <c r="P346" s="2"/>
      <c r="Q346" s="2"/>
      <c r="R346" s="2"/>
      <c r="S346" s="2"/>
      <c r="T346" s="2"/>
      <c r="U346" s="222"/>
      <c r="V346" s="2"/>
      <c r="W346" s="2"/>
      <c r="X346" s="2"/>
      <c r="Z346" s="2"/>
      <c r="AA346" s="2"/>
      <c r="AB346" s="2"/>
      <c r="AC346" s="2"/>
    </row>
    <row r="347" spans="1:29" ht="15.75" customHeight="1" x14ac:dyDescent="0.3">
      <c r="A347" s="2"/>
      <c r="C347" s="2"/>
      <c r="D347" s="2"/>
      <c r="E347" s="2"/>
      <c r="F347" s="2"/>
      <c r="G347" s="92"/>
      <c r="H347" s="2"/>
      <c r="I347" s="2"/>
      <c r="J347" s="2"/>
      <c r="K347" s="90"/>
      <c r="L347" s="2"/>
      <c r="N347" s="2"/>
      <c r="O347" s="2"/>
      <c r="P347" s="2"/>
      <c r="Q347" s="2"/>
      <c r="R347" s="2"/>
      <c r="S347" s="2"/>
      <c r="T347" s="2"/>
      <c r="U347" s="222"/>
      <c r="V347" s="2"/>
      <c r="W347" s="2"/>
      <c r="X347" s="2"/>
      <c r="Z347" s="2"/>
      <c r="AA347" s="2"/>
      <c r="AB347" s="2"/>
      <c r="AC347" s="2"/>
    </row>
    <row r="348" spans="1:29" ht="15.75" customHeight="1" x14ac:dyDescent="0.3">
      <c r="A348" s="2"/>
      <c r="C348" s="2"/>
      <c r="D348" s="2"/>
      <c r="E348" s="2"/>
      <c r="F348" s="2"/>
      <c r="G348" s="92"/>
      <c r="H348" s="2"/>
      <c r="I348" s="2"/>
      <c r="J348" s="2"/>
      <c r="K348" s="90"/>
      <c r="L348" s="2"/>
      <c r="N348" s="2"/>
      <c r="O348" s="2"/>
      <c r="P348" s="2"/>
      <c r="Q348" s="2"/>
      <c r="R348" s="2"/>
      <c r="S348" s="2"/>
      <c r="T348" s="2"/>
      <c r="U348" s="222"/>
      <c r="V348" s="2"/>
      <c r="W348" s="2"/>
      <c r="X348" s="2"/>
      <c r="Z348" s="2"/>
      <c r="AA348" s="2"/>
      <c r="AB348" s="2"/>
      <c r="AC348" s="2"/>
    </row>
    <row r="349" spans="1:29" ht="15.75" customHeight="1" x14ac:dyDescent="0.3">
      <c r="A349" s="2"/>
      <c r="C349" s="2"/>
      <c r="D349" s="2"/>
      <c r="E349" s="2"/>
      <c r="F349" s="2"/>
      <c r="G349" s="92"/>
      <c r="H349" s="2"/>
      <c r="I349" s="2"/>
      <c r="J349" s="2"/>
      <c r="K349" s="90"/>
      <c r="L349" s="2"/>
      <c r="N349" s="2"/>
      <c r="O349" s="2"/>
      <c r="P349" s="2"/>
      <c r="Q349" s="2"/>
      <c r="R349" s="2"/>
      <c r="S349" s="2"/>
      <c r="T349" s="2"/>
      <c r="U349" s="222"/>
      <c r="V349" s="2"/>
      <c r="W349" s="2"/>
      <c r="X349" s="2"/>
      <c r="Z349" s="2"/>
      <c r="AA349" s="2"/>
      <c r="AB349" s="2"/>
      <c r="AC349" s="2"/>
    </row>
    <row r="350" spans="1:29" ht="15.75" customHeight="1" x14ac:dyDescent="0.3">
      <c r="A350" s="2"/>
      <c r="C350" s="2"/>
      <c r="D350" s="2"/>
      <c r="E350" s="2"/>
      <c r="F350" s="2"/>
      <c r="G350" s="92"/>
      <c r="H350" s="2"/>
      <c r="I350" s="2"/>
      <c r="J350" s="2"/>
      <c r="K350" s="90"/>
      <c r="L350" s="2"/>
      <c r="N350" s="2"/>
      <c r="O350" s="2"/>
      <c r="P350" s="2"/>
      <c r="Q350" s="2"/>
      <c r="R350" s="2"/>
      <c r="S350" s="2"/>
      <c r="T350" s="2"/>
      <c r="U350" s="222"/>
      <c r="V350" s="2"/>
      <c r="W350" s="2"/>
      <c r="X350" s="2"/>
      <c r="Z350" s="2"/>
      <c r="AA350" s="2"/>
      <c r="AB350" s="2"/>
      <c r="AC350" s="2"/>
    </row>
    <row r="351" spans="1:29" ht="15.75" customHeight="1" x14ac:dyDescent="0.3">
      <c r="A351" s="2"/>
      <c r="C351" s="2"/>
      <c r="D351" s="2"/>
      <c r="E351" s="2"/>
      <c r="F351" s="2"/>
      <c r="G351" s="92"/>
      <c r="H351" s="2"/>
      <c r="I351" s="2"/>
      <c r="J351" s="2"/>
      <c r="K351" s="90"/>
      <c r="L351" s="2"/>
      <c r="N351" s="2"/>
      <c r="O351" s="2"/>
      <c r="P351" s="2"/>
      <c r="Q351" s="2"/>
      <c r="R351" s="2"/>
      <c r="S351" s="2"/>
      <c r="T351" s="2"/>
      <c r="U351" s="222"/>
      <c r="V351" s="2"/>
      <c r="W351" s="2"/>
      <c r="X351" s="2"/>
      <c r="Z351" s="2"/>
      <c r="AA351" s="2"/>
      <c r="AB351" s="2"/>
      <c r="AC351" s="2"/>
    </row>
    <row r="352" spans="1:29" ht="15.75" customHeight="1" x14ac:dyDescent="0.3">
      <c r="A352" s="2"/>
      <c r="C352" s="2"/>
      <c r="D352" s="2"/>
      <c r="E352" s="2"/>
      <c r="F352" s="2"/>
      <c r="G352" s="92"/>
      <c r="H352" s="2"/>
      <c r="I352" s="2"/>
      <c r="J352" s="2"/>
      <c r="K352" s="90"/>
      <c r="L352" s="2"/>
      <c r="N352" s="2"/>
      <c r="O352" s="2"/>
      <c r="P352" s="2"/>
      <c r="Q352" s="2"/>
      <c r="R352" s="2"/>
      <c r="S352" s="2"/>
      <c r="T352" s="2"/>
      <c r="U352" s="222"/>
      <c r="V352" s="2"/>
      <c r="W352" s="2"/>
      <c r="X352" s="2"/>
      <c r="Z352" s="2"/>
      <c r="AA352" s="2"/>
      <c r="AB352" s="2"/>
      <c r="AC352" s="2"/>
    </row>
    <row r="353" spans="1:29" ht="15.75" customHeight="1" x14ac:dyDescent="0.3">
      <c r="A353" s="2"/>
      <c r="C353" s="2"/>
      <c r="D353" s="2"/>
      <c r="E353" s="2"/>
      <c r="F353" s="2"/>
      <c r="G353" s="92"/>
      <c r="H353" s="2"/>
      <c r="I353" s="2"/>
      <c r="J353" s="2"/>
      <c r="K353" s="90"/>
      <c r="L353" s="2"/>
      <c r="N353" s="2"/>
      <c r="O353" s="2"/>
      <c r="P353" s="2"/>
      <c r="Q353" s="2"/>
      <c r="R353" s="2"/>
      <c r="S353" s="2"/>
      <c r="T353" s="2"/>
      <c r="U353" s="222"/>
      <c r="V353" s="2"/>
      <c r="W353" s="2"/>
      <c r="X353" s="2"/>
      <c r="Z353" s="2"/>
      <c r="AA353" s="2"/>
      <c r="AB353" s="2"/>
      <c r="AC353" s="2"/>
    </row>
    <row r="354" spans="1:29" ht="15.75" customHeight="1" x14ac:dyDescent="0.3">
      <c r="A354" s="2"/>
      <c r="C354" s="2"/>
      <c r="D354" s="2"/>
      <c r="E354" s="2"/>
      <c r="F354" s="2"/>
      <c r="G354" s="92"/>
      <c r="H354" s="2"/>
      <c r="I354" s="2"/>
      <c r="J354" s="2"/>
      <c r="K354" s="90"/>
      <c r="L354" s="2"/>
      <c r="N354" s="2"/>
      <c r="O354" s="2"/>
      <c r="P354" s="2"/>
      <c r="Q354" s="2"/>
      <c r="R354" s="2"/>
      <c r="S354" s="2"/>
      <c r="T354" s="2"/>
      <c r="U354" s="222"/>
      <c r="V354" s="2"/>
      <c r="W354" s="2"/>
      <c r="X354" s="2"/>
      <c r="Z354" s="2"/>
      <c r="AA354" s="2"/>
      <c r="AB354" s="2"/>
      <c r="AC354" s="2"/>
    </row>
    <row r="355" spans="1:29" ht="15.75" customHeight="1" x14ac:dyDescent="0.3">
      <c r="A355" s="2"/>
      <c r="C355" s="2"/>
      <c r="D355" s="2"/>
      <c r="E355" s="2"/>
      <c r="F355" s="2"/>
      <c r="G355" s="92"/>
      <c r="H355" s="2"/>
      <c r="I355" s="2"/>
      <c r="J355" s="2"/>
      <c r="K355" s="90"/>
      <c r="L355" s="2"/>
      <c r="N355" s="2"/>
      <c r="O355" s="2"/>
      <c r="P355" s="2"/>
      <c r="Q355" s="2"/>
      <c r="R355" s="2"/>
      <c r="S355" s="2"/>
      <c r="T355" s="2"/>
      <c r="U355" s="222"/>
      <c r="V355" s="2"/>
      <c r="W355" s="2"/>
      <c r="X355" s="2"/>
      <c r="Z355" s="2"/>
      <c r="AA355" s="2"/>
      <c r="AB355" s="2"/>
      <c r="AC355" s="2"/>
    </row>
    <row r="356" spans="1:29" ht="15.75" customHeight="1" x14ac:dyDescent="0.3">
      <c r="A356" s="2"/>
      <c r="C356" s="2"/>
      <c r="D356" s="2"/>
      <c r="E356" s="2"/>
      <c r="F356" s="2"/>
      <c r="G356" s="92"/>
      <c r="H356" s="2"/>
      <c r="I356" s="2"/>
      <c r="J356" s="2"/>
      <c r="K356" s="90"/>
      <c r="L356" s="2"/>
      <c r="N356" s="2"/>
      <c r="O356" s="2"/>
      <c r="P356" s="2"/>
      <c r="Q356" s="2"/>
      <c r="R356" s="2"/>
      <c r="S356" s="2"/>
      <c r="T356" s="2"/>
      <c r="U356" s="222"/>
      <c r="V356" s="2"/>
      <c r="W356" s="2"/>
      <c r="X356" s="2"/>
      <c r="Z356" s="2"/>
      <c r="AA356" s="2"/>
      <c r="AB356" s="2"/>
      <c r="AC356" s="2"/>
    </row>
    <row r="357" spans="1:29" ht="15.75" customHeight="1" x14ac:dyDescent="0.3">
      <c r="A357" s="2"/>
      <c r="C357" s="2"/>
      <c r="D357" s="2"/>
      <c r="E357" s="2"/>
      <c r="F357" s="2"/>
      <c r="G357" s="92"/>
      <c r="H357" s="2"/>
      <c r="I357" s="2"/>
      <c r="J357" s="2"/>
      <c r="K357" s="90"/>
      <c r="L357" s="2"/>
      <c r="N357" s="2"/>
      <c r="O357" s="2"/>
      <c r="P357" s="2"/>
      <c r="Q357" s="2"/>
      <c r="R357" s="2"/>
      <c r="S357" s="2"/>
      <c r="T357" s="2"/>
      <c r="U357" s="222"/>
      <c r="V357" s="2"/>
      <c r="W357" s="2"/>
      <c r="X357" s="2"/>
      <c r="Z357" s="2"/>
      <c r="AA357" s="2"/>
      <c r="AB357" s="2"/>
      <c r="AC357" s="2"/>
    </row>
    <row r="358" spans="1:29" ht="15.75" customHeight="1" x14ac:dyDescent="0.3">
      <c r="A358" s="2"/>
      <c r="C358" s="2"/>
      <c r="D358" s="2"/>
      <c r="E358" s="2"/>
      <c r="F358" s="2"/>
      <c r="G358" s="92"/>
      <c r="H358" s="2"/>
      <c r="I358" s="2"/>
      <c r="J358" s="2"/>
      <c r="K358" s="90"/>
      <c r="L358" s="2"/>
      <c r="N358" s="2"/>
      <c r="O358" s="2"/>
      <c r="P358" s="2"/>
      <c r="Q358" s="2"/>
      <c r="R358" s="2"/>
      <c r="S358" s="2"/>
      <c r="T358" s="2"/>
      <c r="U358" s="222"/>
      <c r="V358" s="2"/>
      <c r="W358" s="2"/>
      <c r="X358" s="2"/>
      <c r="Z358" s="2"/>
      <c r="AA358" s="2"/>
      <c r="AB358" s="2"/>
      <c r="AC358" s="2"/>
    </row>
    <row r="359" spans="1:29" ht="15.75" customHeight="1" x14ac:dyDescent="0.3">
      <c r="A359" s="2"/>
      <c r="C359" s="2"/>
      <c r="D359" s="2"/>
      <c r="E359" s="2"/>
      <c r="F359" s="2"/>
      <c r="G359" s="92"/>
      <c r="H359" s="2"/>
      <c r="I359" s="2"/>
      <c r="J359" s="2"/>
      <c r="K359" s="90"/>
      <c r="L359" s="2"/>
      <c r="N359" s="2"/>
      <c r="O359" s="2"/>
      <c r="P359" s="2"/>
      <c r="Q359" s="2"/>
      <c r="R359" s="2"/>
      <c r="S359" s="2"/>
      <c r="T359" s="2"/>
      <c r="U359" s="222"/>
      <c r="V359" s="2"/>
      <c r="W359" s="2"/>
      <c r="X359" s="2"/>
      <c r="Z359" s="2"/>
      <c r="AA359" s="2"/>
      <c r="AB359" s="2"/>
      <c r="AC359" s="2"/>
    </row>
    <row r="360" spans="1:29" ht="15.75" customHeight="1" x14ac:dyDescent="0.3">
      <c r="A360" s="2"/>
      <c r="C360" s="2"/>
      <c r="D360" s="2"/>
      <c r="E360" s="2"/>
      <c r="F360" s="2"/>
      <c r="G360" s="92"/>
      <c r="H360" s="2"/>
      <c r="I360" s="2"/>
      <c r="J360" s="2"/>
      <c r="K360" s="90"/>
      <c r="L360" s="2"/>
      <c r="N360" s="2"/>
      <c r="O360" s="2"/>
      <c r="P360" s="2"/>
      <c r="Q360" s="2"/>
      <c r="R360" s="2"/>
      <c r="S360" s="2"/>
      <c r="T360" s="2"/>
      <c r="U360" s="222"/>
      <c r="V360" s="2"/>
      <c r="W360" s="2"/>
      <c r="X360" s="2"/>
      <c r="Z360" s="2"/>
      <c r="AA360" s="2"/>
      <c r="AB360" s="2"/>
      <c r="AC360" s="2"/>
    </row>
    <row r="361" spans="1:29" ht="15.75" customHeight="1" x14ac:dyDescent="0.3">
      <c r="A361" s="2"/>
      <c r="C361" s="2"/>
      <c r="D361" s="2"/>
      <c r="E361" s="2"/>
      <c r="F361" s="2"/>
      <c r="G361" s="92"/>
      <c r="H361" s="2"/>
      <c r="I361" s="2"/>
      <c r="J361" s="2"/>
      <c r="K361" s="90"/>
      <c r="L361" s="2"/>
      <c r="N361" s="2"/>
      <c r="O361" s="2"/>
      <c r="P361" s="2"/>
      <c r="Q361" s="2"/>
      <c r="R361" s="2"/>
      <c r="S361" s="2"/>
      <c r="T361" s="2"/>
      <c r="U361" s="222"/>
      <c r="V361" s="2"/>
      <c r="W361" s="2"/>
      <c r="X361" s="2"/>
      <c r="Z361" s="2"/>
      <c r="AA361" s="2"/>
      <c r="AB361" s="2"/>
      <c r="AC361" s="2"/>
    </row>
    <row r="362" spans="1:29" ht="15.75" customHeight="1" x14ac:dyDescent="0.3">
      <c r="A362" s="2"/>
      <c r="C362" s="2"/>
      <c r="D362" s="2"/>
      <c r="E362" s="2"/>
      <c r="F362" s="2"/>
      <c r="G362" s="92"/>
      <c r="H362" s="2"/>
      <c r="I362" s="2"/>
      <c r="J362" s="2"/>
      <c r="K362" s="90"/>
      <c r="L362" s="2"/>
      <c r="N362" s="2"/>
      <c r="O362" s="2"/>
      <c r="P362" s="2"/>
      <c r="Q362" s="2"/>
      <c r="R362" s="2"/>
      <c r="S362" s="2"/>
      <c r="T362" s="2"/>
      <c r="U362" s="222"/>
      <c r="V362" s="2"/>
      <c r="W362" s="2"/>
      <c r="X362" s="2"/>
      <c r="Z362" s="2"/>
      <c r="AA362" s="2"/>
      <c r="AB362" s="2"/>
      <c r="AC362" s="2"/>
    </row>
    <row r="363" spans="1:29" ht="15.75" customHeight="1" x14ac:dyDescent="0.3">
      <c r="A363" s="2"/>
      <c r="C363" s="2"/>
      <c r="D363" s="2"/>
      <c r="E363" s="2"/>
      <c r="F363" s="2"/>
      <c r="G363" s="92"/>
      <c r="H363" s="2"/>
      <c r="I363" s="2"/>
      <c r="J363" s="2"/>
      <c r="K363" s="90"/>
      <c r="L363" s="2"/>
      <c r="N363" s="2"/>
      <c r="O363" s="2"/>
      <c r="P363" s="2"/>
      <c r="Q363" s="2"/>
      <c r="R363" s="2"/>
      <c r="S363" s="2"/>
      <c r="T363" s="2"/>
      <c r="U363" s="222"/>
      <c r="V363" s="2"/>
      <c r="W363" s="2"/>
      <c r="X363" s="2"/>
      <c r="Z363" s="2"/>
      <c r="AA363" s="2"/>
      <c r="AB363" s="2"/>
      <c r="AC363" s="2"/>
    </row>
    <row r="364" spans="1:29" ht="15.75" customHeight="1" x14ac:dyDescent="0.3">
      <c r="A364" s="2"/>
      <c r="C364" s="2"/>
      <c r="D364" s="2"/>
      <c r="E364" s="2"/>
      <c r="F364" s="2"/>
      <c r="G364" s="92"/>
      <c r="H364" s="2"/>
      <c r="I364" s="2"/>
      <c r="J364" s="2"/>
      <c r="K364" s="90"/>
      <c r="L364" s="2"/>
      <c r="N364" s="2"/>
      <c r="O364" s="2"/>
      <c r="P364" s="2"/>
      <c r="Q364" s="2"/>
      <c r="R364" s="2"/>
      <c r="S364" s="2"/>
      <c r="T364" s="2"/>
      <c r="U364" s="222"/>
      <c r="V364" s="2"/>
      <c r="W364" s="2"/>
      <c r="X364" s="2"/>
      <c r="Z364" s="2"/>
      <c r="AA364" s="2"/>
      <c r="AB364" s="2"/>
      <c r="AC364" s="2"/>
    </row>
    <row r="365" spans="1:29" ht="15.75" customHeight="1" x14ac:dyDescent="0.3">
      <c r="A365" s="2"/>
      <c r="C365" s="2"/>
      <c r="D365" s="2"/>
      <c r="E365" s="2"/>
      <c r="F365" s="2"/>
      <c r="G365" s="92"/>
      <c r="H365" s="2"/>
      <c r="I365" s="2"/>
      <c r="J365" s="2"/>
      <c r="K365" s="90"/>
      <c r="L365" s="2"/>
      <c r="N365" s="2"/>
      <c r="O365" s="2"/>
      <c r="P365" s="2"/>
      <c r="Q365" s="2"/>
      <c r="R365" s="2"/>
      <c r="S365" s="2"/>
      <c r="T365" s="2"/>
      <c r="U365" s="222"/>
      <c r="V365" s="2"/>
      <c r="W365" s="2"/>
      <c r="X365" s="2"/>
      <c r="Z365" s="2"/>
      <c r="AA365" s="2"/>
      <c r="AB365" s="2"/>
      <c r="AC365" s="2"/>
    </row>
    <row r="366" spans="1:29" ht="15.75" customHeight="1" x14ac:dyDescent="0.3">
      <c r="A366" s="2"/>
      <c r="C366" s="2"/>
      <c r="D366" s="2"/>
      <c r="E366" s="2"/>
      <c r="F366" s="2"/>
      <c r="G366" s="92"/>
      <c r="H366" s="2"/>
      <c r="I366" s="2"/>
      <c r="J366" s="2"/>
      <c r="K366" s="90"/>
      <c r="L366" s="2"/>
      <c r="N366" s="2"/>
      <c r="O366" s="2"/>
      <c r="P366" s="2"/>
      <c r="Q366" s="2"/>
      <c r="R366" s="2"/>
      <c r="S366" s="2"/>
      <c r="T366" s="2"/>
      <c r="U366" s="222"/>
      <c r="V366" s="2"/>
      <c r="W366" s="2"/>
      <c r="X366" s="2"/>
      <c r="Z366" s="2"/>
      <c r="AA366" s="2"/>
      <c r="AB366" s="2"/>
      <c r="AC366" s="2"/>
    </row>
    <row r="367" spans="1:29" ht="15.75" customHeight="1" x14ac:dyDescent="0.3">
      <c r="A367" s="2"/>
      <c r="C367" s="2"/>
      <c r="D367" s="2"/>
      <c r="E367" s="2"/>
      <c r="F367" s="2"/>
      <c r="G367" s="92"/>
      <c r="H367" s="2"/>
      <c r="I367" s="2"/>
      <c r="J367" s="2"/>
      <c r="K367" s="90"/>
      <c r="L367" s="2"/>
      <c r="N367" s="2"/>
      <c r="O367" s="2"/>
      <c r="P367" s="2"/>
      <c r="Q367" s="2"/>
      <c r="R367" s="2"/>
      <c r="S367" s="2"/>
      <c r="T367" s="2"/>
      <c r="U367" s="222"/>
      <c r="V367" s="2"/>
      <c r="W367" s="2"/>
      <c r="X367" s="2"/>
      <c r="Z367" s="2"/>
      <c r="AA367" s="2"/>
      <c r="AB367" s="2"/>
      <c r="AC367" s="2"/>
    </row>
    <row r="368" spans="1:29" ht="15.75" customHeight="1" x14ac:dyDescent="0.3">
      <c r="A368" s="2"/>
      <c r="C368" s="2"/>
      <c r="D368" s="2"/>
      <c r="E368" s="2"/>
      <c r="F368" s="2"/>
      <c r="G368" s="92"/>
      <c r="H368" s="2"/>
      <c r="I368" s="2"/>
      <c r="J368" s="2"/>
      <c r="K368" s="90"/>
      <c r="L368" s="2"/>
      <c r="N368" s="2"/>
      <c r="O368" s="2"/>
      <c r="P368" s="2"/>
      <c r="Q368" s="2"/>
      <c r="R368" s="2"/>
      <c r="S368" s="2"/>
      <c r="T368" s="2"/>
      <c r="U368" s="222"/>
      <c r="V368" s="2"/>
      <c r="W368" s="2"/>
      <c r="X368" s="2"/>
      <c r="Z368" s="2"/>
      <c r="AA368" s="2"/>
      <c r="AB368" s="2"/>
      <c r="AC368" s="2"/>
    </row>
    <row r="369" spans="1:29" ht="15.75" customHeight="1" x14ac:dyDescent="0.3">
      <c r="A369" s="2"/>
      <c r="C369" s="2"/>
      <c r="D369" s="2"/>
      <c r="E369" s="2"/>
      <c r="F369" s="2"/>
      <c r="G369" s="92"/>
      <c r="H369" s="2"/>
      <c r="I369" s="2"/>
      <c r="J369" s="2"/>
      <c r="K369" s="90"/>
      <c r="L369" s="2"/>
      <c r="N369" s="2"/>
      <c r="O369" s="2"/>
      <c r="P369" s="2"/>
      <c r="Q369" s="2"/>
      <c r="R369" s="2"/>
      <c r="S369" s="2"/>
      <c r="T369" s="2"/>
      <c r="U369" s="222"/>
      <c r="V369" s="2"/>
      <c r="W369" s="2"/>
      <c r="X369" s="2"/>
      <c r="Z369" s="2"/>
      <c r="AA369" s="2"/>
      <c r="AB369" s="2"/>
      <c r="AC369" s="2"/>
    </row>
    <row r="370" spans="1:29" ht="15.75" customHeight="1" x14ac:dyDescent="0.3">
      <c r="A370" s="2"/>
      <c r="C370" s="2"/>
      <c r="D370" s="2"/>
      <c r="E370" s="2"/>
      <c r="F370" s="2"/>
      <c r="G370" s="92"/>
      <c r="H370" s="2"/>
      <c r="I370" s="2"/>
      <c r="J370" s="2"/>
      <c r="K370" s="90"/>
      <c r="L370" s="2"/>
      <c r="N370" s="2"/>
      <c r="O370" s="2"/>
      <c r="P370" s="2"/>
      <c r="Q370" s="2"/>
      <c r="R370" s="2"/>
      <c r="S370" s="2"/>
      <c r="T370" s="2"/>
      <c r="U370" s="222"/>
      <c r="V370" s="2"/>
      <c r="W370" s="2"/>
      <c r="X370" s="2"/>
      <c r="Z370" s="2"/>
      <c r="AA370" s="2"/>
      <c r="AB370" s="2"/>
      <c r="AC370" s="2"/>
    </row>
    <row r="371" spans="1:29" ht="15.75" customHeight="1" x14ac:dyDescent="0.3">
      <c r="A371" s="2"/>
      <c r="C371" s="2"/>
      <c r="D371" s="2"/>
      <c r="E371" s="2"/>
      <c r="F371" s="2"/>
      <c r="G371" s="92"/>
      <c r="H371" s="2"/>
      <c r="I371" s="2"/>
      <c r="J371" s="2"/>
      <c r="K371" s="90"/>
      <c r="L371" s="2"/>
      <c r="N371" s="2"/>
      <c r="O371" s="2"/>
      <c r="P371" s="2"/>
      <c r="Q371" s="2"/>
      <c r="R371" s="2"/>
      <c r="S371" s="2"/>
      <c r="T371" s="2"/>
      <c r="U371" s="222"/>
      <c r="V371" s="2"/>
      <c r="W371" s="2"/>
      <c r="X371" s="2"/>
      <c r="Z371" s="2"/>
      <c r="AA371" s="2"/>
      <c r="AB371" s="2"/>
      <c r="AC371" s="2"/>
    </row>
    <row r="372" spans="1:29" ht="15.75" customHeight="1" x14ac:dyDescent="0.3">
      <c r="A372" s="2"/>
      <c r="C372" s="2"/>
      <c r="D372" s="2"/>
      <c r="E372" s="2"/>
      <c r="F372" s="2"/>
      <c r="G372" s="92"/>
      <c r="H372" s="2"/>
      <c r="I372" s="2"/>
      <c r="J372" s="2"/>
      <c r="K372" s="90"/>
      <c r="L372" s="2"/>
      <c r="N372" s="2"/>
      <c r="O372" s="2"/>
      <c r="P372" s="2"/>
      <c r="Q372" s="2"/>
      <c r="R372" s="2"/>
      <c r="S372" s="2"/>
      <c r="T372" s="2"/>
      <c r="U372" s="222"/>
      <c r="V372" s="2"/>
      <c r="W372" s="2"/>
      <c r="X372" s="2"/>
      <c r="Z372" s="2"/>
      <c r="AA372" s="2"/>
      <c r="AB372" s="2"/>
      <c r="AC372" s="2"/>
    </row>
    <row r="373" spans="1:29" ht="15.75" customHeight="1" x14ac:dyDescent="0.3">
      <c r="A373" s="2"/>
      <c r="C373" s="2"/>
      <c r="D373" s="2"/>
      <c r="E373" s="2"/>
      <c r="F373" s="2"/>
      <c r="G373" s="92"/>
      <c r="H373" s="2"/>
      <c r="I373" s="2"/>
      <c r="J373" s="2"/>
      <c r="K373" s="90"/>
      <c r="L373" s="2"/>
      <c r="N373" s="2"/>
      <c r="O373" s="2"/>
      <c r="P373" s="2"/>
      <c r="Q373" s="2"/>
      <c r="R373" s="2"/>
      <c r="S373" s="2"/>
      <c r="T373" s="2"/>
      <c r="U373" s="222"/>
      <c r="V373" s="2"/>
      <c r="W373" s="2"/>
      <c r="X373" s="2"/>
      <c r="Z373" s="2"/>
      <c r="AA373" s="2"/>
      <c r="AB373" s="2"/>
      <c r="AC373" s="2"/>
    </row>
    <row r="374" spans="1:29" ht="15.75" customHeight="1" x14ac:dyDescent="0.3">
      <c r="A374" s="2"/>
      <c r="C374" s="2"/>
      <c r="D374" s="2"/>
      <c r="E374" s="2"/>
      <c r="F374" s="2"/>
      <c r="G374" s="92"/>
      <c r="H374" s="2"/>
      <c r="I374" s="2"/>
      <c r="J374" s="2"/>
      <c r="K374" s="90"/>
      <c r="L374" s="2"/>
      <c r="N374" s="2"/>
      <c r="O374" s="2"/>
      <c r="P374" s="2"/>
      <c r="Q374" s="2"/>
      <c r="R374" s="2"/>
      <c r="S374" s="2"/>
      <c r="T374" s="2"/>
      <c r="U374" s="222"/>
      <c r="V374" s="2"/>
      <c r="W374" s="2"/>
      <c r="X374" s="2"/>
      <c r="Z374" s="2"/>
      <c r="AA374" s="2"/>
      <c r="AB374" s="2"/>
      <c r="AC374" s="2"/>
    </row>
    <row r="375" spans="1:29" ht="15.75" customHeight="1" x14ac:dyDescent="0.3">
      <c r="A375" s="2"/>
      <c r="C375" s="2"/>
      <c r="D375" s="2"/>
      <c r="E375" s="2"/>
      <c r="F375" s="2"/>
      <c r="G375" s="92"/>
      <c r="H375" s="2"/>
      <c r="I375" s="2"/>
      <c r="J375" s="2"/>
      <c r="K375" s="90"/>
      <c r="L375" s="2"/>
      <c r="N375" s="2"/>
      <c r="O375" s="2"/>
      <c r="P375" s="2"/>
      <c r="Q375" s="2"/>
      <c r="R375" s="2"/>
      <c r="S375" s="2"/>
      <c r="T375" s="2"/>
      <c r="U375" s="222"/>
      <c r="V375" s="2"/>
      <c r="W375" s="2"/>
      <c r="X375" s="2"/>
      <c r="Z375" s="2"/>
      <c r="AA375" s="2"/>
      <c r="AB375" s="2"/>
      <c r="AC375" s="2"/>
    </row>
    <row r="376" spans="1:29" ht="15.75" customHeight="1" x14ac:dyDescent="0.3">
      <c r="A376" s="2"/>
      <c r="C376" s="2"/>
      <c r="D376" s="2"/>
      <c r="E376" s="2"/>
      <c r="F376" s="2"/>
      <c r="G376" s="92"/>
      <c r="H376" s="2"/>
      <c r="I376" s="2"/>
      <c r="J376" s="2"/>
      <c r="K376" s="90"/>
      <c r="L376" s="2"/>
      <c r="N376" s="2"/>
      <c r="O376" s="2"/>
      <c r="P376" s="2"/>
      <c r="Q376" s="2"/>
      <c r="R376" s="2"/>
      <c r="S376" s="2"/>
      <c r="T376" s="2"/>
      <c r="U376" s="222"/>
      <c r="V376" s="2"/>
      <c r="W376" s="2"/>
      <c r="X376" s="2"/>
      <c r="Z376" s="2"/>
      <c r="AA376" s="2"/>
      <c r="AB376" s="2"/>
      <c r="AC376" s="2"/>
    </row>
    <row r="377" spans="1:29" ht="15.75" customHeight="1" x14ac:dyDescent="0.3">
      <c r="A377" s="2"/>
      <c r="C377" s="2"/>
      <c r="D377" s="2"/>
      <c r="E377" s="2"/>
      <c r="F377" s="2"/>
      <c r="G377" s="92"/>
      <c r="H377" s="2"/>
      <c r="I377" s="2"/>
      <c r="J377" s="2"/>
      <c r="K377" s="90"/>
      <c r="L377" s="2"/>
      <c r="N377" s="2"/>
      <c r="O377" s="2"/>
      <c r="P377" s="2"/>
      <c r="Q377" s="2"/>
      <c r="R377" s="2"/>
      <c r="S377" s="2"/>
      <c r="T377" s="2"/>
      <c r="U377" s="222"/>
      <c r="V377" s="2"/>
      <c r="W377" s="2"/>
      <c r="X377" s="2"/>
      <c r="Z377" s="2"/>
      <c r="AA377" s="2"/>
      <c r="AB377" s="2"/>
      <c r="AC377" s="2"/>
    </row>
    <row r="378" spans="1:29" ht="15.75" customHeight="1" x14ac:dyDescent="0.3">
      <c r="A378" s="2"/>
      <c r="C378" s="2"/>
      <c r="D378" s="2"/>
      <c r="E378" s="2"/>
      <c r="F378" s="2"/>
      <c r="G378" s="92"/>
      <c r="H378" s="2"/>
      <c r="I378" s="2"/>
      <c r="J378" s="2"/>
      <c r="K378" s="90"/>
      <c r="L378" s="2"/>
      <c r="N378" s="2"/>
      <c r="O378" s="2"/>
      <c r="P378" s="2"/>
      <c r="Q378" s="2"/>
      <c r="R378" s="2"/>
      <c r="S378" s="2"/>
      <c r="T378" s="2"/>
      <c r="U378" s="222"/>
      <c r="V378" s="2"/>
      <c r="W378" s="2"/>
      <c r="X378" s="2"/>
      <c r="Z378" s="2"/>
      <c r="AA378" s="2"/>
      <c r="AB378" s="2"/>
      <c r="AC378" s="2"/>
    </row>
    <row r="379" spans="1:29" ht="15.75" customHeight="1" x14ac:dyDescent="0.3">
      <c r="A379" s="2"/>
      <c r="C379" s="2"/>
      <c r="D379" s="2"/>
      <c r="E379" s="2"/>
      <c r="F379" s="2"/>
      <c r="G379" s="92"/>
      <c r="H379" s="2"/>
      <c r="I379" s="2"/>
      <c r="J379" s="2"/>
      <c r="K379" s="90"/>
      <c r="L379" s="2"/>
      <c r="N379" s="2"/>
      <c r="O379" s="2"/>
      <c r="P379" s="2"/>
      <c r="Q379" s="2"/>
      <c r="R379" s="2"/>
      <c r="S379" s="2"/>
      <c r="T379" s="2"/>
      <c r="U379" s="222"/>
      <c r="V379" s="2"/>
      <c r="W379" s="2"/>
      <c r="X379" s="2"/>
      <c r="Z379" s="2"/>
      <c r="AA379" s="2"/>
      <c r="AB379" s="2"/>
      <c r="AC379" s="2"/>
    </row>
    <row r="380" spans="1:29" ht="15.75" customHeight="1" x14ac:dyDescent="0.3">
      <c r="A380" s="2"/>
      <c r="C380" s="2"/>
      <c r="D380" s="2"/>
      <c r="E380" s="2"/>
      <c r="F380" s="2"/>
      <c r="G380" s="92"/>
      <c r="H380" s="2"/>
      <c r="I380" s="2"/>
      <c r="J380" s="2"/>
      <c r="K380" s="90"/>
      <c r="L380" s="2"/>
      <c r="N380" s="2"/>
      <c r="O380" s="2"/>
      <c r="P380" s="2"/>
      <c r="Q380" s="2"/>
      <c r="R380" s="2"/>
      <c r="S380" s="2"/>
      <c r="T380" s="2"/>
      <c r="U380" s="222"/>
      <c r="V380" s="2"/>
      <c r="W380" s="2"/>
      <c r="X380" s="2"/>
      <c r="Z380" s="2"/>
      <c r="AA380" s="2"/>
      <c r="AB380" s="2"/>
      <c r="AC380" s="2"/>
    </row>
    <row r="381" spans="1:29" ht="15.75" customHeight="1" x14ac:dyDescent="0.3">
      <c r="A381" s="2"/>
      <c r="C381" s="2"/>
      <c r="D381" s="2"/>
      <c r="E381" s="2"/>
      <c r="F381" s="2"/>
      <c r="G381" s="92"/>
      <c r="H381" s="2"/>
      <c r="I381" s="2"/>
      <c r="J381" s="2"/>
      <c r="K381" s="90"/>
      <c r="L381" s="2"/>
      <c r="N381" s="2"/>
      <c r="O381" s="2"/>
      <c r="P381" s="2"/>
      <c r="Q381" s="2"/>
      <c r="R381" s="2"/>
      <c r="S381" s="2"/>
      <c r="T381" s="2"/>
      <c r="U381" s="222"/>
      <c r="V381" s="2"/>
      <c r="W381" s="2"/>
      <c r="X381" s="2"/>
      <c r="Z381" s="2"/>
      <c r="AA381" s="2"/>
      <c r="AB381" s="2"/>
      <c r="AC381" s="2"/>
    </row>
    <row r="382" spans="1:29" ht="15.75" customHeight="1" x14ac:dyDescent="0.3">
      <c r="A382" s="2"/>
      <c r="C382" s="2"/>
      <c r="D382" s="2"/>
      <c r="E382" s="2"/>
      <c r="F382" s="2"/>
      <c r="G382" s="92"/>
      <c r="H382" s="2"/>
      <c r="I382" s="2"/>
      <c r="J382" s="2"/>
      <c r="K382" s="90"/>
      <c r="L382" s="2"/>
      <c r="N382" s="2"/>
      <c r="O382" s="2"/>
      <c r="P382" s="2"/>
      <c r="Q382" s="2"/>
      <c r="R382" s="2"/>
      <c r="S382" s="2"/>
      <c r="T382" s="2"/>
      <c r="U382" s="222"/>
      <c r="V382" s="2"/>
      <c r="W382" s="2"/>
      <c r="X382" s="2"/>
      <c r="Z382" s="2"/>
      <c r="AA382" s="2"/>
      <c r="AB382" s="2"/>
      <c r="AC382" s="2"/>
    </row>
    <row r="383" spans="1:29" ht="15.75" customHeight="1" x14ac:dyDescent="0.3">
      <c r="A383" s="2"/>
      <c r="C383" s="2"/>
      <c r="D383" s="2"/>
      <c r="E383" s="2"/>
      <c r="F383" s="2"/>
      <c r="G383" s="92"/>
      <c r="H383" s="2"/>
      <c r="I383" s="2"/>
      <c r="J383" s="2"/>
      <c r="K383" s="90"/>
      <c r="L383" s="2"/>
      <c r="N383" s="2"/>
      <c r="O383" s="2"/>
      <c r="P383" s="2"/>
      <c r="Q383" s="2"/>
      <c r="R383" s="2"/>
      <c r="S383" s="2"/>
      <c r="T383" s="2"/>
      <c r="U383" s="222"/>
      <c r="V383" s="2"/>
      <c r="W383" s="2"/>
      <c r="X383" s="2"/>
      <c r="Z383" s="2"/>
      <c r="AA383" s="2"/>
      <c r="AB383" s="2"/>
      <c r="AC383" s="2"/>
    </row>
    <row r="384" spans="1:29" ht="15.75" customHeight="1" x14ac:dyDescent="0.3">
      <c r="A384" s="2"/>
      <c r="C384" s="2"/>
      <c r="D384" s="2"/>
      <c r="E384" s="2"/>
      <c r="F384" s="2"/>
      <c r="G384" s="92"/>
      <c r="H384" s="2"/>
      <c r="I384" s="2"/>
      <c r="J384" s="2"/>
      <c r="K384" s="90"/>
      <c r="L384" s="2"/>
      <c r="N384" s="2"/>
      <c r="O384" s="2"/>
      <c r="P384" s="2"/>
      <c r="Q384" s="2"/>
      <c r="R384" s="2"/>
      <c r="S384" s="2"/>
      <c r="T384" s="2"/>
      <c r="U384" s="222"/>
      <c r="V384" s="2"/>
      <c r="W384" s="2"/>
      <c r="X384" s="2"/>
      <c r="Z384" s="2"/>
      <c r="AA384" s="2"/>
      <c r="AB384" s="2"/>
      <c r="AC384" s="2"/>
    </row>
    <row r="385" spans="1:29" ht="15.75" customHeight="1" x14ac:dyDescent="0.3">
      <c r="A385" s="2"/>
      <c r="C385" s="2"/>
      <c r="D385" s="2"/>
      <c r="E385" s="2"/>
      <c r="F385" s="2"/>
      <c r="G385" s="92"/>
      <c r="H385" s="2"/>
      <c r="I385" s="2"/>
      <c r="J385" s="2"/>
      <c r="K385" s="90"/>
      <c r="L385" s="2"/>
      <c r="N385" s="2"/>
      <c r="O385" s="2"/>
      <c r="P385" s="2"/>
      <c r="Q385" s="2"/>
      <c r="R385" s="2"/>
      <c r="S385" s="2"/>
      <c r="T385" s="2"/>
      <c r="U385" s="222"/>
      <c r="V385" s="2"/>
      <c r="W385" s="2"/>
      <c r="X385" s="2"/>
      <c r="Z385" s="2"/>
      <c r="AA385" s="2"/>
      <c r="AB385" s="2"/>
      <c r="AC385" s="2"/>
    </row>
    <row r="386" spans="1:29" ht="15.75" customHeight="1" x14ac:dyDescent="0.3">
      <c r="A386" s="2"/>
      <c r="C386" s="2"/>
      <c r="D386" s="2"/>
      <c r="E386" s="2"/>
      <c r="F386" s="2"/>
      <c r="G386" s="92"/>
      <c r="H386" s="2"/>
      <c r="I386" s="2"/>
      <c r="J386" s="2"/>
      <c r="K386" s="90"/>
      <c r="L386" s="2"/>
      <c r="N386" s="2"/>
      <c r="O386" s="2"/>
      <c r="P386" s="2"/>
      <c r="Q386" s="2"/>
      <c r="R386" s="2"/>
      <c r="S386" s="2"/>
      <c r="T386" s="2"/>
      <c r="U386" s="222"/>
      <c r="V386" s="2"/>
      <c r="W386" s="2"/>
      <c r="X386" s="2"/>
      <c r="Z386" s="2"/>
      <c r="AA386" s="2"/>
      <c r="AB386" s="2"/>
      <c r="AC386" s="2"/>
    </row>
    <row r="387" spans="1:29" ht="15.75" customHeight="1" x14ac:dyDescent="0.3">
      <c r="A387" s="2"/>
      <c r="C387" s="2"/>
      <c r="D387" s="2"/>
      <c r="E387" s="2"/>
      <c r="F387" s="2"/>
      <c r="G387" s="92"/>
      <c r="H387" s="2"/>
      <c r="I387" s="2"/>
      <c r="J387" s="2"/>
      <c r="K387" s="90"/>
      <c r="L387" s="2"/>
      <c r="N387" s="2"/>
      <c r="O387" s="2"/>
      <c r="P387" s="2"/>
      <c r="Q387" s="2"/>
      <c r="R387" s="2"/>
      <c r="S387" s="2"/>
      <c r="T387" s="2"/>
      <c r="U387" s="222"/>
      <c r="V387" s="2"/>
      <c r="W387" s="2"/>
      <c r="X387" s="2"/>
      <c r="Z387" s="2"/>
      <c r="AA387" s="2"/>
      <c r="AB387" s="2"/>
      <c r="AC387" s="2"/>
    </row>
    <row r="388" spans="1:29" ht="15.75" customHeight="1" x14ac:dyDescent="0.3">
      <c r="A388" s="2"/>
      <c r="C388" s="2"/>
      <c r="D388" s="2"/>
      <c r="E388" s="2"/>
      <c r="F388" s="2"/>
      <c r="G388" s="92"/>
      <c r="H388" s="2"/>
      <c r="I388" s="2"/>
      <c r="J388" s="2"/>
      <c r="K388" s="90"/>
      <c r="L388" s="2"/>
      <c r="N388" s="2"/>
      <c r="O388" s="2"/>
      <c r="P388" s="2"/>
      <c r="Q388" s="2"/>
      <c r="R388" s="2"/>
      <c r="S388" s="2"/>
      <c r="T388" s="2"/>
      <c r="U388" s="222"/>
      <c r="V388" s="2"/>
      <c r="W388" s="2"/>
      <c r="X388" s="2"/>
      <c r="Z388" s="2"/>
      <c r="AA388" s="2"/>
      <c r="AB388" s="2"/>
      <c r="AC388" s="2"/>
    </row>
    <row r="389" spans="1:29" ht="15.75" customHeight="1" x14ac:dyDescent="0.3">
      <c r="A389" s="2"/>
      <c r="C389" s="2"/>
      <c r="D389" s="2"/>
      <c r="E389" s="2"/>
      <c r="F389" s="2"/>
      <c r="G389" s="92"/>
      <c r="H389" s="2"/>
      <c r="I389" s="2"/>
      <c r="J389" s="2"/>
      <c r="K389" s="90"/>
      <c r="L389" s="2"/>
      <c r="N389" s="2"/>
      <c r="O389" s="2"/>
      <c r="P389" s="2"/>
      <c r="Q389" s="2"/>
      <c r="R389" s="2"/>
      <c r="S389" s="2"/>
      <c r="T389" s="2"/>
      <c r="U389" s="222"/>
      <c r="V389" s="2"/>
      <c r="W389" s="2"/>
      <c r="X389" s="2"/>
      <c r="Z389" s="2"/>
      <c r="AA389" s="2"/>
      <c r="AB389" s="2"/>
      <c r="AC389" s="2"/>
    </row>
    <row r="390" spans="1:29" ht="15.75" customHeight="1" x14ac:dyDescent="0.3">
      <c r="A390" s="2"/>
      <c r="C390" s="2"/>
      <c r="D390" s="2"/>
      <c r="E390" s="2"/>
      <c r="F390" s="2"/>
      <c r="G390" s="92"/>
      <c r="H390" s="2"/>
      <c r="I390" s="2"/>
      <c r="J390" s="2"/>
      <c r="K390" s="90"/>
      <c r="L390" s="2"/>
      <c r="N390" s="2"/>
      <c r="O390" s="2"/>
      <c r="P390" s="2"/>
      <c r="Q390" s="2"/>
      <c r="R390" s="2"/>
      <c r="S390" s="2"/>
      <c r="T390" s="2"/>
      <c r="U390" s="222"/>
      <c r="V390" s="2"/>
      <c r="W390" s="2"/>
      <c r="X390" s="2"/>
      <c r="Z390" s="2"/>
      <c r="AA390" s="2"/>
      <c r="AB390" s="2"/>
      <c r="AC390" s="2"/>
    </row>
    <row r="391" spans="1:29" ht="15.75" customHeight="1" x14ac:dyDescent="0.3">
      <c r="A391" s="2"/>
      <c r="C391" s="2"/>
      <c r="D391" s="2"/>
      <c r="E391" s="2"/>
      <c r="F391" s="2"/>
      <c r="G391" s="92"/>
      <c r="H391" s="2"/>
      <c r="I391" s="2"/>
      <c r="J391" s="2"/>
      <c r="K391" s="90"/>
      <c r="L391" s="2"/>
      <c r="N391" s="2"/>
      <c r="O391" s="2"/>
      <c r="P391" s="2"/>
      <c r="Q391" s="2"/>
      <c r="R391" s="2"/>
      <c r="S391" s="2"/>
      <c r="T391" s="2"/>
      <c r="U391" s="222"/>
      <c r="V391" s="2"/>
      <c r="W391" s="2"/>
      <c r="X391" s="2"/>
      <c r="Z391" s="2"/>
      <c r="AA391" s="2"/>
      <c r="AB391" s="2"/>
      <c r="AC391" s="2"/>
    </row>
    <row r="392" spans="1:29" ht="15.75" customHeight="1" x14ac:dyDescent="0.3">
      <c r="A392" s="2"/>
      <c r="C392" s="2"/>
      <c r="D392" s="2"/>
      <c r="E392" s="2"/>
      <c r="F392" s="2"/>
      <c r="G392" s="92"/>
      <c r="H392" s="2"/>
      <c r="I392" s="2"/>
      <c r="J392" s="2"/>
      <c r="K392" s="90"/>
      <c r="L392" s="2"/>
      <c r="N392" s="2"/>
      <c r="O392" s="2"/>
      <c r="P392" s="2"/>
      <c r="Q392" s="2"/>
      <c r="R392" s="2"/>
      <c r="S392" s="2"/>
      <c r="T392" s="2"/>
      <c r="U392" s="222"/>
      <c r="V392" s="2"/>
      <c r="W392" s="2"/>
      <c r="X392" s="2"/>
      <c r="Z392" s="2"/>
      <c r="AA392" s="2"/>
      <c r="AB392" s="2"/>
      <c r="AC392" s="2"/>
    </row>
    <row r="393" spans="1:29" ht="15.75" customHeight="1" x14ac:dyDescent="0.3">
      <c r="A393" s="2"/>
      <c r="C393" s="2"/>
      <c r="D393" s="2"/>
      <c r="E393" s="2"/>
      <c r="F393" s="2"/>
      <c r="G393" s="92"/>
      <c r="H393" s="2"/>
      <c r="I393" s="2"/>
      <c r="J393" s="2"/>
      <c r="K393" s="90"/>
      <c r="L393" s="2"/>
      <c r="N393" s="2"/>
      <c r="O393" s="2"/>
      <c r="P393" s="2"/>
      <c r="Q393" s="2"/>
      <c r="R393" s="2"/>
      <c r="S393" s="2"/>
      <c r="T393" s="2"/>
      <c r="U393" s="222"/>
      <c r="V393" s="2"/>
      <c r="W393" s="2"/>
      <c r="X393" s="2"/>
      <c r="Z393" s="2"/>
      <c r="AA393" s="2"/>
      <c r="AB393" s="2"/>
      <c r="AC393" s="2"/>
    </row>
    <row r="394" spans="1:29" ht="15.75" customHeight="1" x14ac:dyDescent="0.3">
      <c r="A394" s="2"/>
      <c r="C394" s="2"/>
      <c r="D394" s="2"/>
      <c r="E394" s="2"/>
      <c r="F394" s="2"/>
      <c r="G394" s="92"/>
      <c r="H394" s="2"/>
      <c r="I394" s="2"/>
      <c r="J394" s="2"/>
      <c r="K394" s="90"/>
      <c r="L394" s="2"/>
      <c r="N394" s="2"/>
      <c r="O394" s="2"/>
      <c r="P394" s="2"/>
      <c r="Q394" s="2"/>
      <c r="R394" s="2"/>
      <c r="S394" s="2"/>
      <c r="T394" s="2"/>
      <c r="U394" s="222"/>
      <c r="V394" s="2"/>
      <c r="W394" s="2"/>
      <c r="X394" s="2"/>
      <c r="Z394" s="2"/>
      <c r="AA394" s="2"/>
      <c r="AB394" s="2"/>
      <c r="AC394" s="2"/>
    </row>
    <row r="395" spans="1:29" ht="15.75" customHeight="1" x14ac:dyDescent="0.3">
      <c r="A395" s="2"/>
      <c r="C395" s="2"/>
      <c r="D395" s="2"/>
      <c r="E395" s="2"/>
      <c r="F395" s="2"/>
      <c r="G395" s="92"/>
      <c r="H395" s="2"/>
      <c r="I395" s="2"/>
      <c r="J395" s="2"/>
      <c r="K395" s="90"/>
      <c r="L395" s="2"/>
      <c r="N395" s="2"/>
      <c r="O395" s="2"/>
      <c r="P395" s="2"/>
      <c r="Q395" s="2"/>
      <c r="R395" s="2"/>
      <c r="S395" s="2"/>
      <c r="T395" s="2"/>
      <c r="U395" s="222"/>
      <c r="V395" s="2"/>
      <c r="W395" s="2"/>
      <c r="X395" s="2"/>
      <c r="Z395" s="2"/>
      <c r="AA395" s="2"/>
      <c r="AB395" s="2"/>
      <c r="AC395" s="2"/>
    </row>
    <row r="396" spans="1:29" ht="15.75" customHeight="1" x14ac:dyDescent="0.3">
      <c r="A396" s="2"/>
      <c r="C396" s="2"/>
      <c r="D396" s="2"/>
      <c r="E396" s="2"/>
      <c r="F396" s="2"/>
      <c r="G396" s="92"/>
      <c r="H396" s="2"/>
      <c r="I396" s="2"/>
      <c r="J396" s="2"/>
      <c r="K396" s="90"/>
      <c r="L396" s="2"/>
      <c r="N396" s="2"/>
      <c r="O396" s="2"/>
      <c r="P396" s="2"/>
      <c r="Q396" s="2"/>
      <c r="R396" s="2"/>
      <c r="S396" s="2"/>
      <c r="T396" s="2"/>
      <c r="U396" s="222"/>
      <c r="V396" s="2"/>
      <c r="W396" s="2"/>
      <c r="X396" s="2"/>
      <c r="Z396" s="2"/>
      <c r="AA396" s="2"/>
      <c r="AB396" s="2"/>
      <c r="AC396" s="2"/>
    </row>
    <row r="397" spans="1:29" ht="15.75" customHeight="1" x14ac:dyDescent="0.3">
      <c r="A397" s="2"/>
      <c r="C397" s="2"/>
      <c r="D397" s="2"/>
      <c r="E397" s="2"/>
      <c r="F397" s="2"/>
      <c r="G397" s="92"/>
      <c r="H397" s="2"/>
      <c r="I397" s="2"/>
      <c r="J397" s="2"/>
      <c r="K397" s="90"/>
      <c r="L397" s="2"/>
      <c r="N397" s="2"/>
      <c r="O397" s="2"/>
      <c r="P397" s="2"/>
      <c r="Q397" s="2"/>
      <c r="R397" s="2"/>
      <c r="S397" s="2"/>
      <c r="T397" s="2"/>
      <c r="U397" s="222"/>
      <c r="V397" s="2"/>
      <c r="W397" s="2"/>
      <c r="X397" s="2"/>
      <c r="Z397" s="2"/>
      <c r="AA397" s="2"/>
      <c r="AB397" s="2"/>
      <c r="AC397" s="2"/>
    </row>
    <row r="398" spans="1:29" ht="15.75" customHeight="1" x14ac:dyDescent="0.3">
      <c r="A398" s="2"/>
      <c r="C398" s="2"/>
      <c r="D398" s="2"/>
      <c r="E398" s="2"/>
      <c r="F398" s="2"/>
      <c r="G398" s="92"/>
      <c r="H398" s="2"/>
      <c r="I398" s="2"/>
      <c r="J398" s="2"/>
      <c r="K398" s="90"/>
      <c r="L398" s="2"/>
      <c r="N398" s="2"/>
      <c r="O398" s="2"/>
      <c r="P398" s="2"/>
      <c r="Q398" s="2"/>
      <c r="R398" s="2"/>
      <c r="S398" s="2"/>
      <c r="T398" s="2"/>
      <c r="U398" s="222"/>
      <c r="V398" s="2"/>
      <c r="W398" s="2"/>
      <c r="X398" s="2"/>
      <c r="Z398" s="2"/>
      <c r="AA398" s="2"/>
      <c r="AB398" s="2"/>
      <c r="AC398" s="2"/>
    </row>
    <row r="399" spans="1:29" ht="15.75" customHeight="1" x14ac:dyDescent="0.3">
      <c r="A399" s="2"/>
      <c r="C399" s="2"/>
      <c r="D399" s="2"/>
      <c r="E399" s="2"/>
      <c r="F399" s="2"/>
      <c r="G399" s="92"/>
      <c r="H399" s="2"/>
      <c r="I399" s="2"/>
      <c r="J399" s="2"/>
      <c r="K399" s="90"/>
      <c r="L399" s="2"/>
      <c r="N399" s="2"/>
      <c r="O399" s="2"/>
      <c r="P399" s="2"/>
      <c r="Q399" s="2"/>
      <c r="R399" s="2"/>
      <c r="S399" s="2"/>
      <c r="T399" s="2"/>
      <c r="U399" s="222"/>
      <c r="V399" s="2"/>
      <c r="W399" s="2"/>
      <c r="X399" s="2"/>
      <c r="Z399" s="2"/>
      <c r="AA399" s="2"/>
      <c r="AB399" s="2"/>
      <c r="AC399" s="2"/>
    </row>
    <row r="400" spans="1:29" ht="15.75" customHeight="1" x14ac:dyDescent="0.3">
      <c r="A400" s="2"/>
      <c r="C400" s="2"/>
      <c r="D400" s="2"/>
      <c r="E400" s="2"/>
      <c r="F400" s="2"/>
      <c r="G400" s="92"/>
      <c r="H400" s="2"/>
      <c r="I400" s="2"/>
      <c r="J400" s="2"/>
      <c r="K400" s="90"/>
      <c r="L400" s="2"/>
      <c r="N400" s="2"/>
      <c r="O400" s="2"/>
      <c r="P400" s="2"/>
      <c r="Q400" s="2"/>
      <c r="R400" s="2"/>
      <c r="S400" s="2"/>
      <c r="T400" s="2"/>
      <c r="U400" s="222"/>
      <c r="V400" s="2"/>
      <c r="W400" s="2"/>
      <c r="X400" s="2"/>
      <c r="Z400" s="2"/>
      <c r="AA400" s="2"/>
      <c r="AB400" s="2"/>
      <c r="AC400" s="2"/>
    </row>
    <row r="401" spans="1:29" ht="15.75" customHeight="1" x14ac:dyDescent="0.3">
      <c r="A401" s="2"/>
      <c r="C401" s="2"/>
      <c r="D401" s="2"/>
      <c r="E401" s="2"/>
      <c r="F401" s="2"/>
      <c r="G401" s="92"/>
      <c r="H401" s="2"/>
      <c r="I401" s="2"/>
      <c r="J401" s="2"/>
      <c r="K401" s="90"/>
      <c r="L401" s="2"/>
      <c r="N401" s="2"/>
      <c r="O401" s="2"/>
      <c r="P401" s="2"/>
      <c r="Q401" s="2"/>
      <c r="R401" s="2"/>
      <c r="S401" s="2"/>
      <c r="T401" s="2"/>
      <c r="U401" s="222"/>
      <c r="V401" s="2"/>
      <c r="W401" s="2"/>
      <c r="X401" s="2"/>
      <c r="Z401" s="2"/>
      <c r="AA401" s="2"/>
      <c r="AB401" s="2"/>
      <c r="AC401" s="2"/>
    </row>
    <row r="402" spans="1:29" ht="15.75" customHeight="1" x14ac:dyDescent="0.3">
      <c r="A402" s="2"/>
      <c r="C402" s="2"/>
      <c r="D402" s="2"/>
      <c r="E402" s="2"/>
      <c r="F402" s="2"/>
      <c r="G402" s="92"/>
      <c r="H402" s="2"/>
      <c r="I402" s="2"/>
      <c r="J402" s="2"/>
      <c r="K402" s="90"/>
      <c r="L402" s="2"/>
      <c r="N402" s="2"/>
      <c r="O402" s="2"/>
      <c r="P402" s="2"/>
      <c r="Q402" s="2"/>
      <c r="R402" s="2"/>
      <c r="S402" s="2"/>
      <c r="T402" s="2"/>
      <c r="U402" s="222"/>
      <c r="V402" s="2"/>
      <c r="W402" s="2"/>
      <c r="X402" s="2"/>
      <c r="Z402" s="2"/>
      <c r="AA402" s="2"/>
      <c r="AB402" s="2"/>
      <c r="AC402" s="2"/>
    </row>
    <row r="403" spans="1:29" ht="15.75" customHeight="1" x14ac:dyDescent="0.3">
      <c r="A403" s="2"/>
      <c r="C403" s="2"/>
      <c r="D403" s="2"/>
      <c r="E403" s="2"/>
      <c r="F403" s="2"/>
      <c r="G403" s="92"/>
      <c r="H403" s="2"/>
      <c r="I403" s="2"/>
      <c r="J403" s="2"/>
      <c r="K403" s="90"/>
      <c r="L403" s="2"/>
      <c r="N403" s="2"/>
      <c r="O403" s="2"/>
      <c r="P403" s="2"/>
      <c r="Q403" s="2"/>
      <c r="R403" s="2"/>
      <c r="S403" s="2"/>
      <c r="T403" s="2"/>
      <c r="U403" s="222"/>
      <c r="V403" s="2"/>
      <c r="W403" s="2"/>
      <c r="X403" s="2"/>
      <c r="Z403" s="2"/>
      <c r="AA403" s="2"/>
      <c r="AB403" s="2"/>
      <c r="AC403" s="2"/>
    </row>
    <row r="404" spans="1:29" ht="15.75" customHeight="1" x14ac:dyDescent="0.3">
      <c r="A404" s="2"/>
      <c r="C404" s="2"/>
      <c r="D404" s="2"/>
      <c r="E404" s="2"/>
      <c r="F404" s="2"/>
      <c r="G404" s="92"/>
      <c r="H404" s="2"/>
      <c r="I404" s="2"/>
      <c r="J404" s="2"/>
      <c r="K404" s="90"/>
      <c r="L404" s="2"/>
      <c r="N404" s="2"/>
      <c r="O404" s="2"/>
      <c r="P404" s="2"/>
      <c r="Q404" s="2"/>
      <c r="R404" s="2"/>
      <c r="S404" s="2"/>
      <c r="T404" s="2"/>
      <c r="U404" s="222"/>
      <c r="V404" s="2"/>
      <c r="W404" s="2"/>
      <c r="X404" s="2"/>
      <c r="Z404" s="2"/>
      <c r="AA404" s="2"/>
      <c r="AB404" s="2"/>
      <c r="AC404" s="2"/>
    </row>
    <row r="405" spans="1:29" ht="15.75" customHeight="1" x14ac:dyDescent="0.3">
      <c r="A405" s="2"/>
      <c r="C405" s="2"/>
      <c r="D405" s="2"/>
      <c r="E405" s="2"/>
      <c r="F405" s="2"/>
      <c r="G405" s="92"/>
      <c r="H405" s="2"/>
      <c r="I405" s="2"/>
      <c r="J405" s="2"/>
      <c r="K405" s="90"/>
      <c r="L405" s="2"/>
      <c r="N405" s="2"/>
      <c r="O405" s="2"/>
      <c r="P405" s="2"/>
      <c r="Q405" s="2"/>
      <c r="R405" s="2"/>
      <c r="S405" s="2"/>
      <c r="T405" s="2"/>
      <c r="U405" s="222"/>
      <c r="V405" s="2"/>
      <c r="W405" s="2"/>
      <c r="X405" s="2"/>
      <c r="Z405" s="2"/>
      <c r="AA405" s="2"/>
      <c r="AB405" s="2"/>
      <c r="AC405" s="2"/>
    </row>
    <row r="406" spans="1:29" ht="15.75" customHeight="1" x14ac:dyDescent="0.3">
      <c r="A406" s="2"/>
      <c r="C406" s="2"/>
      <c r="D406" s="2"/>
      <c r="E406" s="2"/>
      <c r="F406" s="2"/>
      <c r="G406" s="92"/>
      <c r="H406" s="2"/>
      <c r="I406" s="2"/>
      <c r="J406" s="2"/>
      <c r="K406" s="90"/>
      <c r="L406" s="2"/>
      <c r="N406" s="2"/>
      <c r="O406" s="2"/>
      <c r="P406" s="2"/>
      <c r="Q406" s="2"/>
      <c r="R406" s="2"/>
      <c r="S406" s="2"/>
      <c r="T406" s="2"/>
      <c r="U406" s="222"/>
      <c r="V406" s="2"/>
      <c r="W406" s="2"/>
      <c r="X406" s="2"/>
      <c r="Z406" s="2"/>
      <c r="AA406" s="2"/>
      <c r="AB406" s="2"/>
      <c r="AC406" s="2"/>
    </row>
    <row r="407" spans="1:29" ht="15.75" customHeight="1" x14ac:dyDescent="0.3">
      <c r="A407" s="2"/>
      <c r="C407" s="2"/>
      <c r="D407" s="2"/>
      <c r="E407" s="2"/>
      <c r="F407" s="2"/>
      <c r="G407" s="92"/>
      <c r="H407" s="2"/>
      <c r="I407" s="2"/>
      <c r="J407" s="2"/>
      <c r="K407" s="90"/>
      <c r="L407" s="2"/>
      <c r="N407" s="2"/>
      <c r="O407" s="2"/>
      <c r="P407" s="2"/>
      <c r="Q407" s="2"/>
      <c r="R407" s="2"/>
      <c r="S407" s="2"/>
      <c r="T407" s="2"/>
      <c r="U407" s="222"/>
      <c r="V407" s="2"/>
      <c r="W407" s="2"/>
      <c r="X407" s="2"/>
      <c r="Z407" s="2"/>
      <c r="AA407" s="2"/>
      <c r="AB407" s="2"/>
      <c r="AC407" s="2"/>
    </row>
    <row r="408" spans="1:29" ht="15.75" customHeight="1" x14ac:dyDescent="0.3">
      <c r="A408" s="2"/>
      <c r="C408" s="2"/>
      <c r="D408" s="2"/>
      <c r="E408" s="2"/>
      <c r="F408" s="2"/>
      <c r="G408" s="92"/>
      <c r="H408" s="2"/>
      <c r="I408" s="2"/>
      <c r="J408" s="2"/>
      <c r="K408" s="90"/>
      <c r="L408" s="2"/>
      <c r="N408" s="2"/>
      <c r="O408" s="2"/>
      <c r="P408" s="2"/>
      <c r="Q408" s="2"/>
      <c r="R408" s="2"/>
      <c r="S408" s="2"/>
      <c r="T408" s="2"/>
      <c r="U408" s="222"/>
      <c r="V408" s="2"/>
      <c r="W408" s="2"/>
      <c r="X408" s="2"/>
      <c r="Z408" s="2"/>
      <c r="AA408" s="2"/>
      <c r="AB408" s="2"/>
      <c r="AC408" s="2"/>
    </row>
    <row r="409" spans="1:29" ht="15.75" customHeight="1" x14ac:dyDescent="0.3">
      <c r="A409" s="2"/>
      <c r="C409" s="2"/>
      <c r="D409" s="2"/>
      <c r="E409" s="2"/>
      <c r="F409" s="2"/>
      <c r="G409" s="92"/>
      <c r="H409" s="2"/>
      <c r="I409" s="2"/>
      <c r="J409" s="2"/>
      <c r="K409" s="90"/>
      <c r="L409" s="2"/>
      <c r="N409" s="2"/>
      <c r="O409" s="2"/>
      <c r="P409" s="2"/>
      <c r="Q409" s="2"/>
      <c r="R409" s="2"/>
      <c r="S409" s="2"/>
      <c r="T409" s="2"/>
      <c r="U409" s="222"/>
      <c r="V409" s="2"/>
      <c r="W409" s="2"/>
      <c r="X409" s="2"/>
      <c r="Z409" s="2"/>
      <c r="AA409" s="2"/>
      <c r="AB409" s="2"/>
      <c r="AC409" s="2"/>
    </row>
    <row r="410" spans="1:29" ht="15.75" customHeight="1" x14ac:dyDescent="0.3">
      <c r="A410" s="2"/>
      <c r="C410" s="2"/>
      <c r="D410" s="2"/>
      <c r="E410" s="2"/>
      <c r="F410" s="2"/>
      <c r="G410" s="92"/>
      <c r="H410" s="2"/>
      <c r="I410" s="2"/>
      <c r="J410" s="2"/>
      <c r="K410" s="90"/>
      <c r="L410" s="2"/>
      <c r="N410" s="2"/>
      <c r="O410" s="2"/>
      <c r="P410" s="2"/>
      <c r="Q410" s="2"/>
      <c r="R410" s="2"/>
      <c r="S410" s="2"/>
      <c r="T410" s="2"/>
      <c r="U410" s="222"/>
      <c r="V410" s="2"/>
      <c r="W410" s="2"/>
      <c r="X410" s="2"/>
      <c r="Z410" s="2"/>
      <c r="AA410" s="2"/>
      <c r="AB410" s="2"/>
      <c r="AC410" s="2"/>
    </row>
    <row r="411" spans="1:29" ht="15.75" customHeight="1" x14ac:dyDescent="0.3">
      <c r="A411" s="2"/>
      <c r="C411" s="2"/>
      <c r="D411" s="2"/>
      <c r="E411" s="2"/>
      <c r="F411" s="2"/>
      <c r="G411" s="92"/>
      <c r="H411" s="2"/>
      <c r="I411" s="2"/>
      <c r="J411" s="2"/>
      <c r="K411" s="90"/>
      <c r="L411" s="2"/>
      <c r="N411" s="2"/>
      <c r="O411" s="2"/>
      <c r="P411" s="2"/>
      <c r="Q411" s="2"/>
      <c r="R411" s="2"/>
      <c r="S411" s="2"/>
      <c r="T411" s="2"/>
      <c r="U411" s="222"/>
      <c r="V411" s="2"/>
      <c r="W411" s="2"/>
      <c r="X411" s="2"/>
      <c r="Z411" s="2"/>
      <c r="AA411" s="2"/>
      <c r="AB411" s="2"/>
      <c r="AC411" s="2"/>
    </row>
    <row r="412" spans="1:29" ht="15.75" customHeight="1" x14ac:dyDescent="0.3">
      <c r="A412" s="2"/>
      <c r="C412" s="2"/>
      <c r="D412" s="2"/>
      <c r="E412" s="2"/>
      <c r="F412" s="2"/>
      <c r="G412" s="92"/>
      <c r="H412" s="2"/>
      <c r="I412" s="2"/>
      <c r="J412" s="2"/>
      <c r="K412" s="90"/>
      <c r="L412" s="2"/>
      <c r="N412" s="2"/>
      <c r="O412" s="2"/>
      <c r="P412" s="2"/>
      <c r="Q412" s="2"/>
      <c r="R412" s="2"/>
      <c r="S412" s="2"/>
      <c r="T412" s="2"/>
      <c r="U412" s="222"/>
      <c r="V412" s="2"/>
      <c r="W412" s="2"/>
      <c r="X412" s="2"/>
      <c r="Z412" s="2"/>
      <c r="AA412" s="2"/>
      <c r="AB412" s="2"/>
      <c r="AC412" s="2"/>
    </row>
    <row r="413" spans="1:29" ht="15.75" customHeight="1" x14ac:dyDescent="0.3">
      <c r="A413" s="2"/>
      <c r="C413" s="2"/>
      <c r="D413" s="2"/>
      <c r="E413" s="2"/>
      <c r="F413" s="2"/>
      <c r="G413" s="92"/>
      <c r="H413" s="2"/>
      <c r="I413" s="2"/>
      <c r="J413" s="2"/>
      <c r="K413" s="90"/>
      <c r="L413" s="2"/>
      <c r="N413" s="2"/>
      <c r="O413" s="2"/>
      <c r="P413" s="2"/>
      <c r="Q413" s="2"/>
      <c r="R413" s="2"/>
      <c r="S413" s="2"/>
      <c r="T413" s="2"/>
      <c r="U413" s="222"/>
      <c r="V413" s="2"/>
      <c r="W413" s="2"/>
      <c r="X413" s="2"/>
      <c r="Z413" s="2"/>
      <c r="AA413" s="2"/>
      <c r="AB413" s="2"/>
      <c r="AC413" s="2"/>
    </row>
    <row r="414" spans="1:29" ht="15.75" customHeight="1" x14ac:dyDescent="0.3">
      <c r="A414" s="2"/>
      <c r="C414" s="2"/>
      <c r="D414" s="2"/>
      <c r="E414" s="2"/>
      <c r="F414" s="2"/>
      <c r="G414" s="92"/>
      <c r="H414" s="2"/>
      <c r="I414" s="2"/>
      <c r="J414" s="2"/>
      <c r="K414" s="90"/>
      <c r="L414" s="2"/>
      <c r="N414" s="2"/>
      <c r="O414" s="2"/>
      <c r="P414" s="2"/>
      <c r="Q414" s="2"/>
      <c r="R414" s="2"/>
      <c r="S414" s="2"/>
      <c r="T414" s="2"/>
      <c r="U414" s="222"/>
      <c r="V414" s="2"/>
      <c r="W414" s="2"/>
      <c r="X414" s="2"/>
      <c r="Z414" s="2"/>
      <c r="AA414" s="2"/>
      <c r="AB414" s="2"/>
      <c r="AC414" s="2"/>
    </row>
    <row r="415" spans="1:29" ht="15.75" customHeight="1" x14ac:dyDescent="0.3">
      <c r="A415" s="2"/>
      <c r="C415" s="2"/>
      <c r="D415" s="2"/>
      <c r="E415" s="2"/>
      <c r="F415" s="2"/>
      <c r="G415" s="92"/>
      <c r="H415" s="2"/>
      <c r="I415" s="2"/>
      <c r="J415" s="2"/>
      <c r="K415" s="90"/>
      <c r="L415" s="2"/>
      <c r="N415" s="2"/>
      <c r="O415" s="2"/>
      <c r="P415" s="2"/>
      <c r="Q415" s="2"/>
      <c r="R415" s="2"/>
      <c r="S415" s="2"/>
      <c r="T415" s="2"/>
      <c r="U415" s="222"/>
      <c r="V415" s="2"/>
      <c r="W415" s="2"/>
      <c r="X415" s="2"/>
      <c r="Z415" s="2"/>
      <c r="AA415" s="2"/>
      <c r="AB415" s="2"/>
      <c r="AC415" s="2"/>
    </row>
    <row r="416" spans="1:29" ht="15.75" customHeight="1" x14ac:dyDescent="0.3">
      <c r="A416" s="2"/>
      <c r="C416" s="2"/>
      <c r="D416" s="2"/>
      <c r="E416" s="2"/>
      <c r="F416" s="2"/>
      <c r="G416" s="92"/>
      <c r="H416" s="2"/>
      <c r="I416" s="2"/>
      <c r="J416" s="2"/>
      <c r="K416" s="90"/>
      <c r="L416" s="2"/>
      <c r="N416" s="2"/>
      <c r="O416" s="2"/>
      <c r="P416" s="2"/>
      <c r="Q416" s="2"/>
      <c r="R416" s="2"/>
      <c r="S416" s="2"/>
      <c r="T416" s="2"/>
      <c r="U416" s="222"/>
      <c r="V416" s="2"/>
      <c r="W416" s="2"/>
      <c r="X416" s="2"/>
      <c r="Z416" s="2"/>
      <c r="AA416" s="2"/>
      <c r="AB416" s="2"/>
      <c r="AC416" s="2"/>
    </row>
    <row r="417" spans="1:29" ht="15.75" customHeight="1" x14ac:dyDescent="0.3">
      <c r="A417" s="2"/>
      <c r="C417" s="2"/>
      <c r="D417" s="2"/>
      <c r="E417" s="2"/>
      <c r="F417" s="2"/>
      <c r="G417" s="92"/>
      <c r="H417" s="2"/>
      <c r="I417" s="2"/>
      <c r="J417" s="2"/>
      <c r="K417" s="90"/>
      <c r="L417" s="2"/>
      <c r="N417" s="2"/>
      <c r="O417" s="2"/>
      <c r="P417" s="2"/>
      <c r="Q417" s="2"/>
      <c r="R417" s="2"/>
      <c r="S417" s="2"/>
      <c r="T417" s="2"/>
      <c r="U417" s="222"/>
      <c r="V417" s="2"/>
      <c r="W417" s="2"/>
      <c r="X417" s="2"/>
      <c r="Z417" s="2"/>
      <c r="AA417" s="2"/>
      <c r="AB417" s="2"/>
      <c r="AC417" s="2"/>
    </row>
    <row r="418" spans="1:29" ht="15.75" customHeight="1" x14ac:dyDescent="0.3">
      <c r="A418" s="2"/>
      <c r="C418" s="2"/>
      <c r="D418" s="2"/>
      <c r="E418" s="2"/>
      <c r="F418" s="2"/>
      <c r="G418" s="92"/>
      <c r="H418" s="2"/>
      <c r="I418" s="2"/>
      <c r="J418" s="2"/>
      <c r="K418" s="90"/>
      <c r="L418" s="2"/>
      <c r="N418" s="2"/>
      <c r="O418" s="2"/>
      <c r="P418" s="2"/>
      <c r="Q418" s="2"/>
      <c r="R418" s="2"/>
      <c r="S418" s="2"/>
      <c r="T418" s="2"/>
      <c r="U418" s="222"/>
      <c r="V418" s="2"/>
      <c r="W418" s="2"/>
      <c r="X418" s="2"/>
      <c r="Z418" s="2"/>
      <c r="AA418" s="2"/>
      <c r="AB418" s="2"/>
      <c r="AC418" s="2"/>
    </row>
    <row r="419" spans="1:29" ht="15.75" customHeight="1" x14ac:dyDescent="0.3">
      <c r="A419" s="2"/>
      <c r="C419" s="2"/>
      <c r="D419" s="2"/>
      <c r="E419" s="2"/>
      <c r="F419" s="2"/>
      <c r="G419" s="92"/>
      <c r="H419" s="2"/>
      <c r="I419" s="2"/>
      <c r="J419" s="2"/>
      <c r="K419" s="90"/>
      <c r="L419" s="2"/>
      <c r="N419" s="2"/>
      <c r="O419" s="2"/>
      <c r="P419" s="2"/>
      <c r="Q419" s="2"/>
      <c r="R419" s="2"/>
      <c r="S419" s="2"/>
      <c r="T419" s="2"/>
      <c r="U419" s="222"/>
      <c r="V419" s="2"/>
      <c r="W419" s="2"/>
      <c r="X419" s="2"/>
      <c r="Z419" s="2"/>
      <c r="AA419" s="2"/>
      <c r="AB419" s="2"/>
      <c r="AC419" s="2"/>
    </row>
    <row r="420" spans="1:29" ht="15.75" customHeight="1" x14ac:dyDescent="0.3">
      <c r="A420" s="2"/>
      <c r="C420" s="2"/>
      <c r="D420" s="2"/>
      <c r="E420" s="2"/>
      <c r="F420" s="2"/>
      <c r="G420" s="92"/>
      <c r="H420" s="2"/>
      <c r="I420" s="2"/>
      <c r="J420" s="2"/>
      <c r="K420" s="90"/>
      <c r="L420" s="2"/>
      <c r="N420" s="2"/>
      <c r="O420" s="2"/>
      <c r="P420" s="2"/>
      <c r="Q420" s="2"/>
      <c r="R420" s="2"/>
      <c r="S420" s="2"/>
      <c r="T420" s="2"/>
      <c r="U420" s="222"/>
      <c r="V420" s="2"/>
      <c r="W420" s="2"/>
      <c r="X420" s="2"/>
      <c r="Z420" s="2"/>
      <c r="AA420" s="2"/>
      <c r="AB420" s="2"/>
      <c r="AC420" s="2"/>
    </row>
    <row r="421" spans="1:29" ht="15.75" customHeight="1" x14ac:dyDescent="0.3">
      <c r="A421" s="2"/>
      <c r="C421" s="2"/>
      <c r="D421" s="2"/>
      <c r="E421" s="2"/>
      <c r="F421" s="2"/>
      <c r="G421" s="92"/>
      <c r="H421" s="2"/>
      <c r="I421" s="2"/>
      <c r="J421" s="2"/>
      <c r="K421" s="90"/>
      <c r="L421" s="2"/>
      <c r="N421" s="2"/>
      <c r="O421" s="2"/>
      <c r="P421" s="2"/>
      <c r="Q421" s="2"/>
      <c r="R421" s="2"/>
      <c r="S421" s="2"/>
      <c r="T421" s="2"/>
      <c r="U421" s="222"/>
      <c r="V421" s="2"/>
      <c r="W421" s="2"/>
      <c r="X421" s="2"/>
      <c r="Z421" s="2"/>
      <c r="AA421" s="2"/>
      <c r="AB421" s="2"/>
      <c r="AC421" s="2"/>
    </row>
    <row r="422" spans="1:29" ht="15.75" customHeight="1" x14ac:dyDescent="0.3">
      <c r="A422" s="2"/>
      <c r="C422" s="2"/>
      <c r="D422" s="2"/>
      <c r="E422" s="2"/>
      <c r="F422" s="2"/>
      <c r="G422" s="92"/>
      <c r="H422" s="2"/>
      <c r="I422" s="2"/>
      <c r="J422" s="2"/>
      <c r="K422" s="90"/>
      <c r="L422" s="2"/>
      <c r="N422" s="2"/>
      <c r="O422" s="2"/>
      <c r="P422" s="2"/>
      <c r="Q422" s="2"/>
      <c r="R422" s="2"/>
      <c r="S422" s="2"/>
      <c r="T422" s="2"/>
      <c r="U422" s="222"/>
      <c r="V422" s="2"/>
      <c r="W422" s="2"/>
      <c r="X422" s="2"/>
      <c r="Z422" s="2"/>
      <c r="AA422" s="2"/>
      <c r="AB422" s="2"/>
      <c r="AC422" s="2"/>
    </row>
    <row r="423" spans="1:29" ht="15.75" customHeight="1" x14ac:dyDescent="0.3">
      <c r="A423" s="2"/>
      <c r="C423" s="2"/>
      <c r="D423" s="2"/>
      <c r="E423" s="2"/>
      <c r="F423" s="2"/>
      <c r="G423" s="92"/>
      <c r="H423" s="2"/>
      <c r="I423" s="2"/>
      <c r="J423" s="2"/>
      <c r="K423" s="90"/>
      <c r="L423" s="2"/>
      <c r="N423" s="2"/>
      <c r="O423" s="2"/>
      <c r="P423" s="2"/>
      <c r="Q423" s="2"/>
      <c r="R423" s="2"/>
      <c r="S423" s="2"/>
      <c r="T423" s="2"/>
      <c r="U423" s="222"/>
      <c r="V423" s="2"/>
      <c r="W423" s="2"/>
      <c r="X423" s="2"/>
      <c r="Z423" s="2"/>
      <c r="AA423" s="2"/>
      <c r="AB423" s="2"/>
      <c r="AC423" s="2"/>
    </row>
    <row r="424" spans="1:29" ht="15.75" customHeight="1" x14ac:dyDescent="0.3">
      <c r="A424" s="2"/>
      <c r="C424" s="2"/>
      <c r="D424" s="2"/>
      <c r="E424" s="2"/>
      <c r="F424" s="2"/>
      <c r="G424" s="92"/>
      <c r="H424" s="2"/>
      <c r="I424" s="2"/>
      <c r="J424" s="2"/>
      <c r="K424" s="90"/>
      <c r="L424" s="2"/>
      <c r="N424" s="2"/>
      <c r="O424" s="2"/>
      <c r="P424" s="2"/>
      <c r="Q424" s="2"/>
      <c r="R424" s="2"/>
      <c r="S424" s="2"/>
      <c r="T424" s="2"/>
      <c r="U424" s="222"/>
      <c r="V424" s="2"/>
      <c r="W424" s="2"/>
      <c r="X424" s="2"/>
      <c r="Z424" s="2"/>
      <c r="AA424" s="2"/>
      <c r="AB424" s="2"/>
      <c r="AC424" s="2"/>
    </row>
    <row r="425" spans="1:29" ht="15.75" customHeight="1" x14ac:dyDescent="0.3">
      <c r="A425" s="2"/>
      <c r="C425" s="2"/>
      <c r="D425" s="2"/>
      <c r="E425" s="2"/>
      <c r="F425" s="2"/>
      <c r="G425" s="92"/>
      <c r="H425" s="2"/>
      <c r="I425" s="2"/>
      <c r="J425" s="2"/>
      <c r="K425" s="90"/>
      <c r="L425" s="2"/>
      <c r="N425" s="2"/>
      <c r="O425" s="2"/>
      <c r="P425" s="2"/>
      <c r="Q425" s="2"/>
      <c r="R425" s="2"/>
      <c r="S425" s="2"/>
      <c r="T425" s="2"/>
      <c r="U425" s="222"/>
      <c r="V425" s="2"/>
      <c r="W425" s="2"/>
      <c r="X425" s="2"/>
      <c r="Z425" s="2"/>
      <c r="AA425" s="2"/>
      <c r="AB425" s="2"/>
      <c r="AC425" s="2"/>
    </row>
    <row r="426" spans="1:29" ht="15.75" customHeight="1" x14ac:dyDescent="0.3">
      <c r="A426" s="2"/>
      <c r="C426" s="2"/>
      <c r="D426" s="2"/>
      <c r="E426" s="2"/>
      <c r="F426" s="2"/>
      <c r="G426" s="92"/>
      <c r="H426" s="2"/>
      <c r="I426" s="2"/>
      <c r="J426" s="2"/>
      <c r="K426" s="90"/>
      <c r="L426" s="2"/>
      <c r="N426" s="2"/>
      <c r="O426" s="2"/>
      <c r="P426" s="2"/>
      <c r="Q426" s="2"/>
      <c r="R426" s="2"/>
      <c r="S426" s="2"/>
      <c r="T426" s="2"/>
      <c r="U426" s="222"/>
      <c r="V426" s="2"/>
      <c r="W426" s="2"/>
      <c r="X426" s="2"/>
      <c r="Z426" s="2"/>
      <c r="AA426" s="2"/>
      <c r="AB426" s="2"/>
      <c r="AC426" s="2"/>
    </row>
    <row r="427" spans="1:29" ht="15.75" customHeight="1" x14ac:dyDescent="0.3">
      <c r="A427" s="2"/>
      <c r="C427" s="2"/>
      <c r="D427" s="2"/>
      <c r="E427" s="2"/>
      <c r="F427" s="2"/>
      <c r="G427" s="92"/>
      <c r="H427" s="2"/>
      <c r="I427" s="2"/>
      <c r="J427" s="2"/>
      <c r="K427" s="90"/>
      <c r="L427" s="2"/>
      <c r="N427" s="2"/>
      <c r="O427" s="2"/>
      <c r="P427" s="2"/>
      <c r="Q427" s="2"/>
      <c r="R427" s="2"/>
      <c r="S427" s="2"/>
      <c r="T427" s="2"/>
      <c r="U427" s="222"/>
      <c r="V427" s="2"/>
      <c r="W427" s="2"/>
      <c r="X427" s="2"/>
      <c r="Z427" s="2"/>
      <c r="AA427" s="2"/>
      <c r="AB427" s="2"/>
      <c r="AC427" s="2"/>
    </row>
    <row r="428" spans="1:29" ht="15.75" customHeight="1" x14ac:dyDescent="0.3">
      <c r="A428" s="2"/>
      <c r="C428" s="2"/>
      <c r="D428" s="2"/>
      <c r="E428" s="2"/>
      <c r="F428" s="2"/>
      <c r="G428" s="92"/>
      <c r="H428" s="2"/>
      <c r="I428" s="2"/>
      <c r="J428" s="2"/>
      <c r="K428" s="90"/>
      <c r="L428" s="2"/>
      <c r="N428" s="2"/>
      <c r="O428" s="2"/>
      <c r="P428" s="2"/>
      <c r="Q428" s="2"/>
      <c r="R428" s="2"/>
      <c r="S428" s="2"/>
      <c r="T428" s="2"/>
      <c r="U428" s="222"/>
      <c r="V428" s="2"/>
      <c r="W428" s="2"/>
      <c r="X428" s="2"/>
      <c r="Z428" s="2"/>
      <c r="AA428" s="2"/>
      <c r="AB428" s="2"/>
      <c r="AC428" s="2"/>
    </row>
    <row r="429" spans="1:29" ht="15.75" customHeight="1" x14ac:dyDescent="0.3">
      <c r="A429" s="2"/>
      <c r="C429" s="2"/>
      <c r="D429" s="2"/>
      <c r="E429" s="2"/>
      <c r="F429" s="2"/>
      <c r="G429" s="92"/>
      <c r="H429" s="2"/>
      <c r="I429" s="2"/>
      <c r="J429" s="2"/>
      <c r="K429" s="90"/>
      <c r="L429" s="2"/>
      <c r="N429" s="2"/>
      <c r="O429" s="2"/>
      <c r="P429" s="2"/>
      <c r="Q429" s="2"/>
      <c r="R429" s="2"/>
      <c r="S429" s="2"/>
      <c r="T429" s="2"/>
      <c r="U429" s="222"/>
      <c r="V429" s="2"/>
      <c r="W429" s="2"/>
      <c r="X429" s="2"/>
      <c r="Z429" s="2"/>
      <c r="AA429" s="2"/>
      <c r="AB429" s="2"/>
      <c r="AC429" s="2"/>
    </row>
    <row r="430" spans="1:29" ht="15.75" customHeight="1" x14ac:dyDescent="0.3">
      <c r="A430" s="2"/>
      <c r="C430" s="2"/>
      <c r="D430" s="2"/>
      <c r="E430" s="2"/>
      <c r="F430" s="2"/>
      <c r="G430" s="92"/>
      <c r="H430" s="2"/>
      <c r="I430" s="2"/>
      <c r="J430" s="2"/>
      <c r="K430" s="90"/>
      <c r="L430" s="2"/>
      <c r="N430" s="2"/>
      <c r="O430" s="2"/>
      <c r="P430" s="2"/>
      <c r="Q430" s="2"/>
      <c r="R430" s="2"/>
      <c r="S430" s="2"/>
      <c r="T430" s="2"/>
      <c r="U430" s="222"/>
      <c r="V430" s="2"/>
      <c r="W430" s="2"/>
      <c r="X430" s="2"/>
      <c r="Z430" s="2"/>
      <c r="AA430" s="2"/>
      <c r="AB430" s="2"/>
      <c r="AC430" s="2"/>
    </row>
    <row r="431" spans="1:29" ht="15.75" customHeight="1" x14ac:dyDescent="0.3">
      <c r="A431" s="2"/>
      <c r="C431" s="2"/>
      <c r="D431" s="2"/>
      <c r="E431" s="2"/>
      <c r="F431" s="2"/>
      <c r="G431" s="92"/>
      <c r="H431" s="2"/>
      <c r="I431" s="2"/>
      <c r="J431" s="2"/>
      <c r="K431" s="90"/>
      <c r="L431" s="2"/>
      <c r="N431" s="2"/>
      <c r="O431" s="2"/>
      <c r="P431" s="2"/>
      <c r="Q431" s="2"/>
      <c r="R431" s="2"/>
      <c r="S431" s="2"/>
      <c r="T431" s="2"/>
      <c r="U431" s="222"/>
      <c r="V431" s="2"/>
      <c r="W431" s="2"/>
      <c r="X431" s="2"/>
      <c r="Z431" s="2"/>
      <c r="AA431" s="2"/>
      <c r="AB431" s="2"/>
      <c r="AC431" s="2"/>
    </row>
    <row r="432" spans="1:29" ht="15.75" customHeight="1" x14ac:dyDescent="0.3">
      <c r="A432" s="2"/>
      <c r="C432" s="2"/>
      <c r="D432" s="2"/>
      <c r="E432" s="2"/>
      <c r="F432" s="2"/>
      <c r="G432" s="92"/>
      <c r="H432" s="2"/>
      <c r="I432" s="2"/>
      <c r="J432" s="2"/>
      <c r="K432" s="90"/>
      <c r="L432" s="2"/>
      <c r="N432" s="2"/>
      <c r="O432" s="2"/>
      <c r="P432" s="2"/>
      <c r="Q432" s="2"/>
      <c r="R432" s="2"/>
      <c r="S432" s="2"/>
      <c r="T432" s="2"/>
      <c r="U432" s="222"/>
      <c r="V432" s="2"/>
      <c r="W432" s="2"/>
      <c r="X432" s="2"/>
      <c r="Z432" s="2"/>
      <c r="AA432" s="2"/>
      <c r="AB432" s="2"/>
      <c r="AC432" s="2"/>
    </row>
    <row r="433" spans="1:29" ht="15.75" customHeight="1" x14ac:dyDescent="0.3">
      <c r="A433" s="2"/>
      <c r="C433" s="2"/>
      <c r="D433" s="2"/>
      <c r="E433" s="2"/>
      <c r="F433" s="2"/>
      <c r="G433" s="92"/>
      <c r="H433" s="2"/>
      <c r="I433" s="2"/>
      <c r="J433" s="2"/>
      <c r="K433" s="90"/>
      <c r="L433" s="2"/>
      <c r="N433" s="2"/>
      <c r="O433" s="2"/>
      <c r="P433" s="2"/>
      <c r="Q433" s="2"/>
      <c r="R433" s="2"/>
      <c r="S433" s="2"/>
      <c r="T433" s="2"/>
      <c r="U433" s="222"/>
      <c r="V433" s="2"/>
      <c r="W433" s="2"/>
      <c r="X433" s="2"/>
      <c r="Z433" s="2"/>
      <c r="AA433" s="2"/>
      <c r="AB433" s="2"/>
      <c r="AC433" s="2"/>
    </row>
    <row r="434" spans="1:29" ht="15.75" customHeight="1" x14ac:dyDescent="0.3">
      <c r="A434" s="2"/>
      <c r="C434" s="2"/>
      <c r="D434" s="2"/>
      <c r="E434" s="2"/>
      <c r="F434" s="2"/>
      <c r="G434" s="92"/>
      <c r="H434" s="2"/>
      <c r="I434" s="2"/>
      <c r="J434" s="2"/>
      <c r="K434" s="90"/>
      <c r="L434" s="2"/>
      <c r="N434" s="2"/>
      <c r="O434" s="2"/>
      <c r="P434" s="2"/>
      <c r="Q434" s="2"/>
      <c r="R434" s="2"/>
      <c r="S434" s="2"/>
      <c r="T434" s="2"/>
      <c r="U434" s="222"/>
      <c r="V434" s="2"/>
      <c r="W434" s="2"/>
      <c r="X434" s="2"/>
      <c r="Z434" s="2"/>
      <c r="AA434" s="2"/>
      <c r="AB434" s="2"/>
      <c r="AC434" s="2"/>
    </row>
    <row r="435" spans="1:29" ht="15.75" customHeight="1" x14ac:dyDescent="0.3">
      <c r="A435" s="2"/>
      <c r="C435" s="2"/>
      <c r="D435" s="2"/>
      <c r="E435" s="2"/>
      <c r="F435" s="2"/>
      <c r="G435" s="92"/>
      <c r="H435" s="2"/>
      <c r="I435" s="2"/>
      <c r="J435" s="2"/>
      <c r="K435" s="90"/>
      <c r="L435" s="2"/>
      <c r="N435" s="2"/>
      <c r="O435" s="2"/>
      <c r="P435" s="2"/>
      <c r="Q435" s="2"/>
      <c r="R435" s="2"/>
      <c r="S435" s="2"/>
      <c r="T435" s="2"/>
      <c r="U435" s="222"/>
      <c r="V435" s="2"/>
      <c r="W435" s="2"/>
      <c r="X435" s="2"/>
      <c r="Z435" s="2"/>
      <c r="AA435" s="2"/>
      <c r="AB435" s="2"/>
      <c r="AC435" s="2"/>
    </row>
    <row r="436" spans="1:29" ht="15.75" customHeight="1" x14ac:dyDescent="0.3">
      <c r="A436" s="2"/>
      <c r="C436" s="2"/>
      <c r="D436" s="2"/>
      <c r="E436" s="2"/>
      <c r="F436" s="2"/>
      <c r="G436" s="92"/>
      <c r="H436" s="2"/>
      <c r="I436" s="2"/>
      <c r="J436" s="2"/>
      <c r="K436" s="90"/>
      <c r="L436" s="2"/>
      <c r="N436" s="2"/>
      <c r="O436" s="2"/>
      <c r="P436" s="2"/>
      <c r="Q436" s="2"/>
      <c r="R436" s="2"/>
      <c r="S436" s="2"/>
      <c r="T436" s="2"/>
      <c r="U436" s="222"/>
      <c r="V436" s="2"/>
      <c r="W436" s="2"/>
      <c r="X436" s="2"/>
      <c r="Z436" s="2"/>
      <c r="AA436" s="2"/>
      <c r="AB436" s="2"/>
      <c r="AC436" s="2"/>
    </row>
    <row r="437" spans="1:29" ht="15.75" customHeight="1" x14ac:dyDescent="0.3">
      <c r="A437" s="2"/>
      <c r="C437" s="2"/>
      <c r="D437" s="2"/>
      <c r="E437" s="2"/>
      <c r="F437" s="2"/>
      <c r="G437" s="92"/>
      <c r="H437" s="2"/>
      <c r="I437" s="2"/>
      <c r="J437" s="2"/>
      <c r="K437" s="90"/>
      <c r="L437" s="2"/>
      <c r="N437" s="2"/>
      <c r="O437" s="2"/>
      <c r="P437" s="2"/>
      <c r="Q437" s="2"/>
      <c r="R437" s="2"/>
      <c r="S437" s="2"/>
      <c r="T437" s="2"/>
      <c r="U437" s="222"/>
      <c r="V437" s="2"/>
      <c r="W437" s="2"/>
      <c r="X437" s="2"/>
      <c r="Z437" s="2"/>
      <c r="AA437" s="2"/>
      <c r="AB437" s="2"/>
      <c r="AC437" s="2"/>
    </row>
    <row r="438" spans="1:29" ht="15.75" customHeight="1" x14ac:dyDescent="0.3">
      <c r="A438" s="2"/>
      <c r="C438" s="2"/>
      <c r="D438" s="2"/>
      <c r="E438" s="2"/>
      <c r="F438" s="2"/>
      <c r="G438" s="92"/>
      <c r="H438" s="2"/>
      <c r="I438" s="2"/>
      <c r="J438" s="2"/>
      <c r="K438" s="90"/>
      <c r="L438" s="2"/>
      <c r="N438" s="2"/>
      <c r="O438" s="2"/>
      <c r="P438" s="2"/>
      <c r="Q438" s="2"/>
      <c r="R438" s="2"/>
      <c r="S438" s="2"/>
      <c r="T438" s="2"/>
      <c r="U438" s="222"/>
      <c r="V438" s="2"/>
      <c r="W438" s="2"/>
      <c r="X438" s="2"/>
      <c r="Z438" s="2"/>
      <c r="AA438" s="2"/>
      <c r="AB438" s="2"/>
      <c r="AC438" s="2"/>
    </row>
    <row r="439" spans="1:29" ht="15.75" customHeight="1" x14ac:dyDescent="0.3">
      <c r="A439" s="2"/>
      <c r="C439" s="2"/>
      <c r="D439" s="2"/>
      <c r="E439" s="2"/>
      <c r="F439" s="2"/>
      <c r="G439" s="92"/>
      <c r="H439" s="2"/>
      <c r="I439" s="2"/>
      <c r="J439" s="2"/>
      <c r="K439" s="90"/>
      <c r="L439" s="2"/>
      <c r="N439" s="2"/>
      <c r="O439" s="2"/>
      <c r="P439" s="2"/>
      <c r="Q439" s="2"/>
      <c r="R439" s="2"/>
      <c r="S439" s="2"/>
      <c r="T439" s="2"/>
      <c r="U439" s="222"/>
      <c r="V439" s="2"/>
      <c r="W439" s="2"/>
      <c r="X439" s="2"/>
      <c r="Z439" s="2"/>
      <c r="AA439" s="2"/>
      <c r="AB439" s="2"/>
      <c r="AC439" s="2"/>
    </row>
    <row r="440" spans="1:29" ht="15.75" customHeight="1" x14ac:dyDescent="0.3">
      <c r="A440" s="2"/>
      <c r="C440" s="2"/>
      <c r="D440" s="2"/>
      <c r="E440" s="2"/>
      <c r="F440" s="2"/>
      <c r="G440" s="92"/>
      <c r="H440" s="2"/>
      <c r="I440" s="2"/>
      <c r="J440" s="2"/>
      <c r="K440" s="90"/>
      <c r="L440" s="2"/>
      <c r="N440" s="2"/>
      <c r="O440" s="2"/>
      <c r="P440" s="2"/>
      <c r="Q440" s="2"/>
      <c r="R440" s="2"/>
      <c r="S440" s="2"/>
      <c r="T440" s="2"/>
      <c r="U440" s="222"/>
      <c r="V440" s="2"/>
      <c r="W440" s="2"/>
      <c r="X440" s="2"/>
      <c r="Z440" s="2"/>
      <c r="AA440" s="2"/>
      <c r="AB440" s="2"/>
      <c r="AC440" s="2"/>
    </row>
    <row r="441" spans="1:29" ht="15.75" customHeight="1" x14ac:dyDescent="0.3">
      <c r="A441" s="2"/>
      <c r="C441" s="2"/>
      <c r="D441" s="2"/>
      <c r="E441" s="2"/>
      <c r="F441" s="2"/>
      <c r="G441" s="92"/>
      <c r="H441" s="2"/>
      <c r="I441" s="2"/>
      <c r="J441" s="2"/>
      <c r="K441" s="90"/>
      <c r="L441" s="2"/>
      <c r="N441" s="2"/>
      <c r="O441" s="2"/>
      <c r="P441" s="2"/>
      <c r="Q441" s="2"/>
      <c r="R441" s="2"/>
      <c r="S441" s="2"/>
      <c r="T441" s="2"/>
      <c r="U441" s="222"/>
      <c r="V441" s="2"/>
      <c r="W441" s="2"/>
      <c r="X441" s="2"/>
      <c r="Z441" s="2"/>
      <c r="AA441" s="2"/>
      <c r="AB441" s="2"/>
      <c r="AC441" s="2"/>
    </row>
    <row r="442" spans="1:29" ht="15.75" customHeight="1" x14ac:dyDescent="0.3">
      <c r="A442" s="2"/>
      <c r="C442" s="2"/>
      <c r="D442" s="2"/>
      <c r="E442" s="2"/>
      <c r="F442" s="2"/>
      <c r="G442" s="92"/>
      <c r="H442" s="2"/>
      <c r="I442" s="2"/>
      <c r="J442" s="2"/>
      <c r="K442" s="90"/>
      <c r="L442" s="2"/>
      <c r="N442" s="2"/>
      <c r="O442" s="2"/>
      <c r="P442" s="2"/>
      <c r="Q442" s="2"/>
      <c r="R442" s="2"/>
      <c r="S442" s="2"/>
      <c r="T442" s="2"/>
      <c r="U442" s="222"/>
      <c r="V442" s="2"/>
      <c r="W442" s="2"/>
      <c r="X442" s="2"/>
      <c r="Z442" s="2"/>
      <c r="AA442" s="2"/>
      <c r="AB442" s="2"/>
      <c r="AC442" s="2"/>
    </row>
    <row r="443" spans="1:29" ht="15.75" customHeight="1" x14ac:dyDescent="0.3">
      <c r="A443" s="2"/>
      <c r="C443" s="2"/>
      <c r="D443" s="2"/>
      <c r="E443" s="2"/>
      <c r="F443" s="2"/>
      <c r="G443" s="92"/>
      <c r="H443" s="2"/>
      <c r="I443" s="2"/>
      <c r="J443" s="2"/>
      <c r="K443" s="90"/>
      <c r="L443" s="2"/>
      <c r="N443" s="2"/>
      <c r="O443" s="2"/>
      <c r="P443" s="2"/>
      <c r="Q443" s="2"/>
      <c r="R443" s="2"/>
      <c r="S443" s="2"/>
      <c r="T443" s="2"/>
      <c r="U443" s="222"/>
      <c r="V443" s="2"/>
      <c r="W443" s="2"/>
      <c r="X443" s="2"/>
      <c r="Z443" s="2"/>
      <c r="AA443" s="2"/>
      <c r="AB443" s="2"/>
      <c r="AC443" s="2"/>
    </row>
    <row r="444" spans="1:29" ht="15.75" customHeight="1" x14ac:dyDescent="0.3">
      <c r="A444" s="2"/>
      <c r="C444" s="2"/>
      <c r="D444" s="2"/>
      <c r="E444" s="2"/>
      <c r="F444" s="2"/>
      <c r="G444" s="92"/>
      <c r="H444" s="2"/>
      <c r="I444" s="2"/>
      <c r="J444" s="2"/>
      <c r="K444" s="90"/>
      <c r="L444" s="2"/>
      <c r="N444" s="2"/>
      <c r="O444" s="2"/>
      <c r="P444" s="2"/>
      <c r="Q444" s="2"/>
      <c r="R444" s="2"/>
      <c r="S444" s="2"/>
      <c r="T444" s="2"/>
      <c r="U444" s="222"/>
      <c r="V444" s="2"/>
      <c r="W444" s="2"/>
      <c r="X444" s="2"/>
      <c r="Z444" s="2"/>
      <c r="AA444" s="2"/>
      <c r="AB444" s="2"/>
      <c r="AC444" s="2"/>
    </row>
    <row r="445" spans="1:29" ht="15.75" customHeight="1" x14ac:dyDescent="0.3">
      <c r="A445" s="2"/>
      <c r="C445" s="2"/>
      <c r="D445" s="2"/>
      <c r="E445" s="2"/>
      <c r="F445" s="2"/>
      <c r="G445" s="92"/>
      <c r="H445" s="2"/>
      <c r="I445" s="2"/>
      <c r="J445" s="2"/>
      <c r="K445" s="90"/>
      <c r="L445" s="2"/>
      <c r="N445" s="2"/>
      <c r="O445" s="2"/>
      <c r="P445" s="2"/>
      <c r="Q445" s="2"/>
      <c r="R445" s="2"/>
      <c r="S445" s="2"/>
      <c r="T445" s="2"/>
      <c r="U445" s="222"/>
      <c r="V445" s="2"/>
      <c r="W445" s="2"/>
      <c r="X445" s="2"/>
      <c r="Z445" s="2"/>
      <c r="AA445" s="2"/>
      <c r="AB445" s="2"/>
      <c r="AC445" s="2"/>
    </row>
    <row r="446" spans="1:29" ht="15.75" customHeight="1" x14ac:dyDescent="0.3">
      <c r="A446" s="2"/>
      <c r="C446" s="2"/>
      <c r="D446" s="2"/>
      <c r="E446" s="2"/>
      <c r="F446" s="2"/>
      <c r="G446" s="92"/>
      <c r="H446" s="2"/>
      <c r="I446" s="2"/>
      <c r="J446" s="2"/>
      <c r="K446" s="90"/>
      <c r="L446" s="2"/>
      <c r="N446" s="2"/>
      <c r="O446" s="2"/>
      <c r="P446" s="2"/>
      <c r="Q446" s="2"/>
      <c r="R446" s="2"/>
      <c r="S446" s="2"/>
      <c r="T446" s="2"/>
      <c r="U446" s="222"/>
      <c r="V446" s="2"/>
      <c r="W446" s="2"/>
      <c r="X446" s="2"/>
      <c r="Z446" s="2"/>
      <c r="AA446" s="2"/>
      <c r="AB446" s="2"/>
      <c r="AC446" s="2"/>
    </row>
    <row r="447" spans="1:29" ht="15.75" customHeight="1" x14ac:dyDescent="0.3">
      <c r="A447" s="2"/>
      <c r="C447" s="2"/>
      <c r="D447" s="2"/>
      <c r="E447" s="2"/>
      <c r="F447" s="2"/>
      <c r="G447" s="92"/>
      <c r="H447" s="2"/>
      <c r="I447" s="2"/>
      <c r="J447" s="2"/>
      <c r="K447" s="90"/>
      <c r="L447" s="2"/>
      <c r="N447" s="2"/>
      <c r="O447" s="2"/>
      <c r="P447" s="2"/>
      <c r="Q447" s="2"/>
      <c r="R447" s="2"/>
      <c r="S447" s="2"/>
      <c r="T447" s="2"/>
      <c r="U447" s="222"/>
      <c r="V447" s="2"/>
      <c r="W447" s="2"/>
      <c r="X447" s="2"/>
      <c r="Z447" s="2"/>
      <c r="AA447" s="2"/>
      <c r="AB447" s="2"/>
      <c r="AC447" s="2"/>
    </row>
    <row r="448" spans="1:29" ht="15.75" customHeight="1" x14ac:dyDescent="0.3">
      <c r="A448" s="2"/>
      <c r="C448" s="2"/>
      <c r="D448" s="2"/>
      <c r="E448" s="2"/>
      <c r="F448" s="2"/>
      <c r="G448" s="92"/>
      <c r="H448" s="2"/>
      <c r="I448" s="2"/>
      <c r="J448" s="2"/>
      <c r="K448" s="90"/>
      <c r="L448" s="2"/>
      <c r="N448" s="2"/>
      <c r="O448" s="2"/>
      <c r="P448" s="2"/>
      <c r="Q448" s="2"/>
      <c r="R448" s="2"/>
      <c r="S448" s="2"/>
      <c r="T448" s="2"/>
      <c r="U448" s="222"/>
      <c r="V448" s="2"/>
      <c r="W448" s="2"/>
      <c r="X448" s="2"/>
      <c r="Z448" s="2"/>
      <c r="AA448" s="2"/>
      <c r="AB448" s="2"/>
      <c r="AC448" s="2"/>
    </row>
    <row r="449" spans="1:29" ht="15.75" customHeight="1" x14ac:dyDescent="0.3">
      <c r="A449" s="2"/>
      <c r="C449" s="2"/>
      <c r="D449" s="2"/>
      <c r="E449" s="2"/>
      <c r="F449" s="2"/>
      <c r="G449" s="92"/>
      <c r="H449" s="2"/>
      <c r="I449" s="2"/>
      <c r="J449" s="2"/>
      <c r="K449" s="90"/>
      <c r="L449" s="2"/>
      <c r="N449" s="2"/>
      <c r="O449" s="2"/>
      <c r="P449" s="2"/>
      <c r="Q449" s="2"/>
      <c r="R449" s="2"/>
      <c r="S449" s="2"/>
      <c r="T449" s="2"/>
      <c r="U449" s="222"/>
      <c r="V449" s="2"/>
      <c r="W449" s="2"/>
      <c r="X449" s="2"/>
      <c r="Z449" s="2"/>
      <c r="AA449" s="2"/>
      <c r="AB449" s="2"/>
      <c r="AC449" s="2"/>
    </row>
    <row r="450" spans="1:29" ht="15.75" customHeight="1" x14ac:dyDescent="0.3">
      <c r="A450" s="2"/>
      <c r="C450" s="2"/>
      <c r="D450" s="2"/>
      <c r="E450" s="2"/>
      <c r="F450" s="2"/>
      <c r="G450" s="92"/>
      <c r="H450" s="2"/>
      <c r="I450" s="2"/>
      <c r="J450" s="2"/>
      <c r="K450" s="90"/>
      <c r="L450" s="2"/>
      <c r="N450" s="2"/>
      <c r="O450" s="2"/>
      <c r="P450" s="2"/>
      <c r="Q450" s="2"/>
      <c r="R450" s="2"/>
      <c r="S450" s="2"/>
      <c r="T450" s="2"/>
      <c r="U450" s="222"/>
      <c r="V450" s="2"/>
      <c r="W450" s="2"/>
      <c r="X450" s="2"/>
      <c r="Z450" s="2"/>
      <c r="AA450" s="2"/>
      <c r="AB450" s="2"/>
      <c r="AC450" s="2"/>
    </row>
    <row r="451" spans="1:29" ht="15.75" customHeight="1" x14ac:dyDescent="0.3">
      <c r="A451" s="2"/>
      <c r="C451" s="2"/>
      <c r="D451" s="2"/>
      <c r="E451" s="2"/>
      <c r="F451" s="2"/>
      <c r="G451" s="92"/>
      <c r="H451" s="2"/>
      <c r="I451" s="2"/>
      <c r="J451" s="2"/>
      <c r="K451" s="90"/>
      <c r="L451" s="2"/>
      <c r="N451" s="2"/>
      <c r="O451" s="2"/>
      <c r="P451" s="2"/>
      <c r="Q451" s="2"/>
      <c r="R451" s="2"/>
      <c r="S451" s="2"/>
      <c r="T451" s="2"/>
      <c r="U451" s="222"/>
      <c r="V451" s="2"/>
      <c r="W451" s="2"/>
      <c r="X451" s="2"/>
      <c r="Z451" s="2"/>
      <c r="AA451" s="2"/>
      <c r="AB451" s="2"/>
      <c r="AC451" s="2"/>
    </row>
    <row r="452" spans="1:29" ht="15.75" customHeight="1" x14ac:dyDescent="0.3">
      <c r="A452" s="2"/>
      <c r="C452" s="2"/>
      <c r="D452" s="2"/>
      <c r="E452" s="2"/>
      <c r="F452" s="2"/>
      <c r="G452" s="92"/>
      <c r="H452" s="2"/>
      <c r="I452" s="2"/>
      <c r="J452" s="2"/>
      <c r="K452" s="90"/>
      <c r="L452" s="2"/>
      <c r="N452" s="2"/>
      <c r="O452" s="2"/>
      <c r="P452" s="2"/>
      <c r="Q452" s="2"/>
      <c r="R452" s="2"/>
      <c r="S452" s="2"/>
      <c r="T452" s="2"/>
      <c r="U452" s="222"/>
      <c r="V452" s="2"/>
      <c r="W452" s="2"/>
      <c r="X452" s="2"/>
      <c r="Z452" s="2"/>
      <c r="AA452" s="2"/>
      <c r="AB452" s="2"/>
      <c r="AC452" s="2"/>
    </row>
    <row r="453" spans="1:29" ht="15.75" customHeight="1" x14ac:dyDescent="0.3">
      <c r="A453" s="2"/>
      <c r="C453" s="2"/>
      <c r="D453" s="2"/>
      <c r="E453" s="2"/>
      <c r="F453" s="2"/>
      <c r="G453" s="92"/>
      <c r="H453" s="2"/>
      <c r="I453" s="2"/>
      <c r="J453" s="2"/>
      <c r="K453" s="90"/>
      <c r="L453" s="2"/>
      <c r="N453" s="2"/>
      <c r="O453" s="2"/>
      <c r="P453" s="2"/>
      <c r="Q453" s="2"/>
      <c r="R453" s="2"/>
      <c r="S453" s="2"/>
      <c r="T453" s="2"/>
      <c r="U453" s="222"/>
      <c r="V453" s="2"/>
      <c r="W453" s="2"/>
      <c r="X453" s="2"/>
      <c r="Z453" s="2"/>
      <c r="AA453" s="2"/>
      <c r="AB453" s="2"/>
      <c r="AC453" s="2"/>
    </row>
    <row r="454" spans="1:29" ht="15.75" customHeight="1" x14ac:dyDescent="0.3">
      <c r="A454" s="2"/>
      <c r="C454" s="2"/>
      <c r="D454" s="2"/>
      <c r="E454" s="2"/>
      <c r="F454" s="2"/>
      <c r="G454" s="92"/>
      <c r="H454" s="2"/>
      <c r="I454" s="2"/>
      <c r="J454" s="2"/>
      <c r="K454" s="90"/>
      <c r="L454" s="2"/>
      <c r="N454" s="2"/>
      <c r="O454" s="2"/>
      <c r="P454" s="2"/>
      <c r="Q454" s="2"/>
      <c r="R454" s="2"/>
      <c r="S454" s="2"/>
      <c r="T454" s="2"/>
      <c r="U454" s="222"/>
      <c r="V454" s="2"/>
      <c r="W454" s="2"/>
      <c r="X454" s="2"/>
      <c r="Z454" s="2"/>
      <c r="AA454" s="2"/>
      <c r="AB454" s="2"/>
      <c r="AC454" s="2"/>
    </row>
    <row r="455" spans="1:29" ht="15.75" customHeight="1" x14ac:dyDescent="0.3">
      <c r="A455" s="2"/>
      <c r="C455" s="2"/>
      <c r="D455" s="2"/>
      <c r="E455" s="2"/>
      <c r="F455" s="2"/>
      <c r="G455" s="92"/>
      <c r="H455" s="2"/>
      <c r="I455" s="2"/>
      <c r="J455" s="2"/>
      <c r="K455" s="90"/>
      <c r="L455" s="2"/>
      <c r="N455" s="2"/>
      <c r="O455" s="2"/>
      <c r="P455" s="2"/>
      <c r="Q455" s="2"/>
      <c r="R455" s="2"/>
      <c r="S455" s="2"/>
      <c r="T455" s="2"/>
      <c r="U455" s="222"/>
      <c r="V455" s="2"/>
      <c r="W455" s="2"/>
      <c r="X455" s="2"/>
      <c r="Z455" s="2"/>
      <c r="AA455" s="2"/>
      <c r="AB455" s="2"/>
      <c r="AC455" s="2"/>
    </row>
    <row r="456" spans="1:29" ht="15.75" customHeight="1" x14ac:dyDescent="0.3">
      <c r="A456" s="2"/>
      <c r="C456" s="2"/>
      <c r="D456" s="2"/>
      <c r="E456" s="2"/>
      <c r="F456" s="2"/>
      <c r="G456" s="92"/>
      <c r="H456" s="2"/>
      <c r="I456" s="2"/>
      <c r="J456" s="2"/>
      <c r="K456" s="90"/>
      <c r="L456" s="2"/>
      <c r="N456" s="2"/>
      <c r="O456" s="2"/>
      <c r="P456" s="2"/>
      <c r="Q456" s="2"/>
      <c r="R456" s="2"/>
      <c r="S456" s="2"/>
      <c r="T456" s="2"/>
      <c r="U456" s="222"/>
      <c r="V456" s="2"/>
      <c r="W456" s="2"/>
      <c r="X456" s="2"/>
      <c r="Z456" s="2"/>
      <c r="AA456" s="2"/>
      <c r="AB456" s="2"/>
      <c r="AC456" s="2"/>
    </row>
    <row r="457" spans="1:29" ht="15.75" customHeight="1" x14ac:dyDescent="0.3">
      <c r="A457" s="2"/>
      <c r="C457" s="2"/>
      <c r="D457" s="2"/>
      <c r="E457" s="2"/>
      <c r="F457" s="2"/>
      <c r="G457" s="92"/>
      <c r="H457" s="2"/>
      <c r="I457" s="2"/>
      <c r="J457" s="2"/>
      <c r="K457" s="90"/>
      <c r="L457" s="2"/>
      <c r="N457" s="2"/>
      <c r="O457" s="2"/>
      <c r="P457" s="2"/>
      <c r="Q457" s="2"/>
      <c r="R457" s="2"/>
      <c r="S457" s="2"/>
      <c r="T457" s="2"/>
      <c r="U457" s="222"/>
      <c r="V457" s="2"/>
      <c r="W457" s="2"/>
      <c r="X457" s="2"/>
      <c r="Z457" s="2"/>
      <c r="AA457" s="2"/>
      <c r="AB457" s="2"/>
      <c r="AC457" s="2"/>
    </row>
    <row r="458" spans="1:29" ht="15.75" customHeight="1" x14ac:dyDescent="0.3">
      <c r="A458" s="2"/>
      <c r="C458" s="2"/>
      <c r="D458" s="2"/>
      <c r="E458" s="2"/>
      <c r="F458" s="2"/>
      <c r="G458" s="92"/>
      <c r="H458" s="2"/>
      <c r="I458" s="2"/>
      <c r="J458" s="2"/>
      <c r="K458" s="90"/>
      <c r="L458" s="2"/>
      <c r="N458" s="2"/>
      <c r="O458" s="2"/>
      <c r="P458" s="2"/>
      <c r="Q458" s="2"/>
      <c r="R458" s="2"/>
      <c r="S458" s="2"/>
      <c r="T458" s="2"/>
      <c r="U458" s="222"/>
      <c r="V458" s="2"/>
      <c r="W458" s="2"/>
      <c r="X458" s="2"/>
      <c r="Z458" s="2"/>
      <c r="AA458" s="2"/>
      <c r="AB458" s="2"/>
      <c r="AC458" s="2"/>
    </row>
    <row r="459" spans="1:29" ht="15.75" customHeight="1" x14ac:dyDescent="0.3">
      <c r="A459" s="2"/>
      <c r="C459" s="2"/>
      <c r="D459" s="2"/>
      <c r="E459" s="2"/>
      <c r="F459" s="2"/>
      <c r="G459" s="92"/>
      <c r="H459" s="2"/>
      <c r="I459" s="2"/>
      <c r="J459" s="2"/>
      <c r="K459" s="90"/>
      <c r="L459" s="2"/>
      <c r="N459" s="2"/>
      <c r="O459" s="2"/>
      <c r="P459" s="2"/>
      <c r="Q459" s="2"/>
      <c r="R459" s="2"/>
      <c r="S459" s="2"/>
      <c r="T459" s="2"/>
      <c r="U459" s="222"/>
      <c r="V459" s="2"/>
      <c r="W459" s="2"/>
      <c r="X459" s="2"/>
      <c r="Z459" s="2"/>
      <c r="AA459" s="2"/>
      <c r="AB459" s="2"/>
      <c r="AC459" s="2"/>
    </row>
    <row r="460" spans="1:29" ht="15.75" customHeight="1" x14ac:dyDescent="0.3">
      <c r="A460" s="2"/>
      <c r="C460" s="2"/>
      <c r="D460" s="2"/>
      <c r="E460" s="2"/>
      <c r="F460" s="2"/>
      <c r="G460" s="92"/>
      <c r="H460" s="2"/>
      <c r="I460" s="2"/>
      <c r="J460" s="2"/>
      <c r="K460" s="90"/>
      <c r="L460" s="2"/>
      <c r="N460" s="2"/>
      <c r="O460" s="2"/>
      <c r="P460" s="2"/>
      <c r="Q460" s="2"/>
      <c r="R460" s="2"/>
      <c r="S460" s="2"/>
      <c r="T460" s="2"/>
      <c r="U460" s="222"/>
      <c r="V460" s="2"/>
      <c r="W460" s="2"/>
      <c r="X460" s="2"/>
      <c r="Z460" s="2"/>
      <c r="AA460" s="2"/>
      <c r="AB460" s="2"/>
      <c r="AC460" s="2"/>
    </row>
    <row r="461" spans="1:29" ht="15.75" customHeight="1" x14ac:dyDescent="0.3">
      <c r="A461" s="2"/>
      <c r="C461" s="2"/>
      <c r="D461" s="2"/>
      <c r="E461" s="2"/>
      <c r="F461" s="2"/>
      <c r="G461" s="92"/>
      <c r="H461" s="2"/>
      <c r="I461" s="2"/>
      <c r="J461" s="2"/>
      <c r="K461" s="90"/>
      <c r="L461" s="2"/>
      <c r="N461" s="2"/>
      <c r="O461" s="2"/>
      <c r="P461" s="2"/>
      <c r="Q461" s="2"/>
      <c r="R461" s="2"/>
      <c r="S461" s="2"/>
      <c r="T461" s="2"/>
      <c r="U461" s="222"/>
      <c r="V461" s="2"/>
      <c r="W461" s="2"/>
      <c r="X461" s="2"/>
      <c r="Z461" s="2"/>
      <c r="AA461" s="2"/>
      <c r="AB461" s="2"/>
      <c r="AC461" s="2"/>
    </row>
    <row r="462" spans="1:29" ht="15.75" customHeight="1" x14ac:dyDescent="0.3">
      <c r="A462" s="2"/>
      <c r="C462" s="2"/>
      <c r="D462" s="2"/>
      <c r="E462" s="2"/>
      <c r="F462" s="2"/>
      <c r="G462" s="92"/>
      <c r="H462" s="2"/>
      <c r="I462" s="2"/>
      <c r="J462" s="2"/>
      <c r="K462" s="90"/>
      <c r="L462" s="2"/>
      <c r="N462" s="2"/>
      <c r="O462" s="2"/>
      <c r="P462" s="2"/>
      <c r="Q462" s="2"/>
      <c r="R462" s="2"/>
      <c r="S462" s="2"/>
      <c r="T462" s="2"/>
      <c r="U462" s="222"/>
      <c r="V462" s="2"/>
      <c r="W462" s="2"/>
      <c r="X462" s="2"/>
      <c r="Z462" s="2"/>
      <c r="AA462" s="2"/>
      <c r="AB462" s="2"/>
      <c r="AC462" s="2"/>
    </row>
    <row r="463" spans="1:29" ht="15.75" customHeight="1" x14ac:dyDescent="0.3">
      <c r="A463" s="2"/>
      <c r="C463" s="2"/>
      <c r="D463" s="2"/>
      <c r="E463" s="2"/>
      <c r="F463" s="2"/>
      <c r="G463" s="92"/>
      <c r="H463" s="2"/>
      <c r="I463" s="2"/>
      <c r="J463" s="2"/>
      <c r="K463" s="90"/>
      <c r="L463" s="2"/>
      <c r="N463" s="2"/>
      <c r="O463" s="2"/>
      <c r="P463" s="2"/>
      <c r="Q463" s="2"/>
      <c r="R463" s="2"/>
      <c r="S463" s="2"/>
      <c r="T463" s="2"/>
      <c r="U463" s="222"/>
      <c r="V463" s="2"/>
      <c r="W463" s="2"/>
      <c r="X463" s="2"/>
      <c r="Z463" s="2"/>
      <c r="AA463" s="2"/>
      <c r="AB463" s="2"/>
      <c r="AC463" s="2"/>
    </row>
    <row r="464" spans="1:29" ht="15.75" customHeight="1" x14ac:dyDescent="0.3">
      <c r="A464" s="2"/>
      <c r="C464" s="2"/>
      <c r="D464" s="2"/>
      <c r="E464" s="2"/>
      <c r="F464" s="2"/>
      <c r="G464" s="92"/>
      <c r="H464" s="2"/>
      <c r="I464" s="2"/>
      <c r="J464" s="2"/>
      <c r="K464" s="90"/>
      <c r="L464" s="2"/>
      <c r="N464" s="2"/>
      <c r="O464" s="2"/>
      <c r="P464" s="2"/>
      <c r="Q464" s="2"/>
      <c r="R464" s="2"/>
      <c r="S464" s="2"/>
      <c r="T464" s="2"/>
      <c r="U464" s="222"/>
      <c r="V464" s="2"/>
      <c r="W464" s="2"/>
      <c r="X464" s="2"/>
      <c r="Z464" s="2"/>
      <c r="AA464" s="2"/>
      <c r="AB464" s="2"/>
      <c r="AC464" s="2"/>
    </row>
    <row r="465" spans="1:29" ht="15.75" customHeight="1" x14ac:dyDescent="0.3">
      <c r="A465" s="2"/>
      <c r="C465" s="2"/>
      <c r="D465" s="2"/>
      <c r="E465" s="2"/>
      <c r="F465" s="2"/>
      <c r="G465" s="92"/>
      <c r="H465" s="2"/>
      <c r="I465" s="2"/>
      <c r="J465" s="2"/>
      <c r="K465" s="90"/>
      <c r="L465" s="2"/>
      <c r="N465" s="2"/>
      <c r="O465" s="2"/>
      <c r="P465" s="2"/>
      <c r="Q465" s="2"/>
      <c r="R465" s="2"/>
      <c r="S465" s="2"/>
      <c r="T465" s="2"/>
      <c r="U465" s="222"/>
      <c r="V465" s="2"/>
      <c r="W465" s="2"/>
      <c r="X465" s="2"/>
      <c r="Z465" s="2"/>
      <c r="AA465" s="2"/>
      <c r="AB465" s="2"/>
      <c r="AC465" s="2"/>
    </row>
    <row r="466" spans="1:29" ht="15.75" customHeight="1" x14ac:dyDescent="0.3">
      <c r="A466" s="2"/>
      <c r="C466" s="2"/>
      <c r="D466" s="2"/>
      <c r="E466" s="2"/>
      <c r="F466" s="2"/>
      <c r="G466" s="92"/>
      <c r="H466" s="2"/>
      <c r="I466" s="2"/>
      <c r="J466" s="2"/>
      <c r="K466" s="90"/>
      <c r="L466" s="2"/>
      <c r="N466" s="2"/>
      <c r="O466" s="2"/>
      <c r="P466" s="2"/>
      <c r="Q466" s="2"/>
      <c r="R466" s="2"/>
      <c r="S466" s="2"/>
      <c r="T466" s="2"/>
      <c r="U466" s="222"/>
      <c r="V466" s="2"/>
      <c r="W466" s="2"/>
      <c r="X466" s="2"/>
      <c r="Z466" s="2"/>
      <c r="AA466" s="2"/>
      <c r="AB466" s="2"/>
      <c r="AC466" s="2"/>
    </row>
    <row r="467" spans="1:29" ht="15.75" customHeight="1" x14ac:dyDescent="0.3">
      <c r="A467" s="2"/>
      <c r="C467" s="2"/>
      <c r="D467" s="2"/>
      <c r="E467" s="2"/>
      <c r="F467" s="2"/>
      <c r="G467" s="92"/>
      <c r="H467" s="2"/>
      <c r="I467" s="2"/>
      <c r="J467" s="2"/>
      <c r="K467" s="90"/>
      <c r="L467" s="2"/>
      <c r="N467" s="2"/>
      <c r="O467" s="2"/>
      <c r="P467" s="2"/>
      <c r="Q467" s="2"/>
      <c r="R467" s="2"/>
      <c r="S467" s="2"/>
      <c r="T467" s="2"/>
      <c r="U467" s="222"/>
      <c r="V467" s="2"/>
      <c r="W467" s="2"/>
      <c r="X467" s="2"/>
      <c r="Z467" s="2"/>
      <c r="AA467" s="2"/>
      <c r="AB467" s="2"/>
      <c r="AC467" s="2"/>
    </row>
    <row r="468" spans="1:29" ht="15.75" customHeight="1" x14ac:dyDescent="0.3">
      <c r="A468" s="2"/>
      <c r="C468" s="2"/>
      <c r="D468" s="2"/>
      <c r="E468" s="2"/>
      <c r="F468" s="2"/>
      <c r="G468" s="92"/>
      <c r="H468" s="2"/>
      <c r="I468" s="2"/>
      <c r="J468" s="2"/>
      <c r="K468" s="90"/>
      <c r="L468" s="2"/>
      <c r="N468" s="2"/>
      <c r="O468" s="2"/>
      <c r="P468" s="2"/>
      <c r="Q468" s="2"/>
      <c r="R468" s="2"/>
      <c r="S468" s="2"/>
      <c r="T468" s="2"/>
      <c r="U468" s="222"/>
      <c r="V468" s="2"/>
      <c r="W468" s="2"/>
      <c r="X468" s="2"/>
      <c r="Z468" s="2"/>
      <c r="AA468" s="2"/>
      <c r="AB468" s="2"/>
      <c r="AC468" s="2"/>
    </row>
    <row r="469" spans="1:29" ht="15.75" customHeight="1" x14ac:dyDescent="0.3">
      <c r="A469" s="2"/>
      <c r="C469" s="2"/>
      <c r="D469" s="2"/>
      <c r="E469" s="2"/>
      <c r="F469" s="2"/>
      <c r="G469" s="92"/>
      <c r="H469" s="2"/>
      <c r="I469" s="2"/>
      <c r="J469" s="2"/>
      <c r="K469" s="90"/>
      <c r="L469" s="2"/>
      <c r="N469" s="2"/>
      <c r="O469" s="2"/>
      <c r="P469" s="2"/>
      <c r="Q469" s="2"/>
      <c r="R469" s="2"/>
      <c r="S469" s="2"/>
      <c r="T469" s="2"/>
      <c r="U469" s="222"/>
      <c r="V469" s="2"/>
      <c r="W469" s="2"/>
      <c r="X469" s="2"/>
      <c r="Z469" s="2"/>
      <c r="AA469" s="2"/>
      <c r="AB469" s="2"/>
      <c r="AC469" s="2"/>
    </row>
    <row r="470" spans="1:29" ht="15.75" customHeight="1" x14ac:dyDescent="0.3">
      <c r="A470" s="2"/>
      <c r="C470" s="2"/>
      <c r="D470" s="2"/>
      <c r="E470" s="2"/>
      <c r="F470" s="2"/>
      <c r="G470" s="92"/>
      <c r="H470" s="2"/>
      <c r="I470" s="2"/>
      <c r="J470" s="2"/>
      <c r="K470" s="90"/>
      <c r="L470" s="2"/>
      <c r="N470" s="2"/>
      <c r="O470" s="2"/>
      <c r="P470" s="2"/>
      <c r="Q470" s="2"/>
      <c r="R470" s="2"/>
      <c r="S470" s="2"/>
      <c r="T470" s="2"/>
      <c r="U470" s="222"/>
      <c r="V470" s="2"/>
      <c r="W470" s="2"/>
      <c r="X470" s="2"/>
      <c r="Z470" s="2"/>
      <c r="AA470" s="2"/>
      <c r="AB470" s="2"/>
      <c r="AC470" s="2"/>
    </row>
    <row r="471" spans="1:29" ht="15.75" customHeight="1" x14ac:dyDescent="0.3">
      <c r="A471" s="2"/>
      <c r="C471" s="2"/>
      <c r="D471" s="2"/>
      <c r="E471" s="2"/>
      <c r="F471" s="2"/>
      <c r="G471" s="92"/>
      <c r="H471" s="2"/>
      <c r="I471" s="2"/>
      <c r="J471" s="2"/>
      <c r="K471" s="90"/>
      <c r="L471" s="2"/>
      <c r="N471" s="2"/>
      <c r="O471" s="2"/>
      <c r="P471" s="2"/>
      <c r="Q471" s="2"/>
      <c r="R471" s="2"/>
      <c r="S471" s="2"/>
      <c r="T471" s="2"/>
      <c r="U471" s="222"/>
      <c r="V471" s="2"/>
      <c r="W471" s="2"/>
      <c r="X471" s="2"/>
      <c r="Z471" s="2"/>
      <c r="AA471" s="2"/>
      <c r="AB471" s="2"/>
      <c r="AC471" s="2"/>
    </row>
    <row r="472" spans="1:29" ht="15.75" customHeight="1" x14ac:dyDescent="0.3">
      <c r="A472" s="2"/>
      <c r="C472" s="2"/>
      <c r="D472" s="2"/>
      <c r="E472" s="2"/>
      <c r="F472" s="2"/>
      <c r="G472" s="92"/>
      <c r="H472" s="2"/>
      <c r="I472" s="2"/>
      <c r="J472" s="2"/>
      <c r="K472" s="90"/>
      <c r="L472" s="2"/>
      <c r="N472" s="2"/>
      <c r="O472" s="2"/>
      <c r="P472" s="2"/>
      <c r="Q472" s="2"/>
      <c r="R472" s="2"/>
      <c r="S472" s="2"/>
      <c r="T472" s="2"/>
      <c r="U472" s="222"/>
      <c r="V472" s="2"/>
      <c r="W472" s="2"/>
      <c r="X472" s="2"/>
      <c r="Z472" s="2"/>
      <c r="AA472" s="2"/>
      <c r="AB472" s="2"/>
      <c r="AC472" s="2"/>
    </row>
    <row r="473" spans="1:29" ht="15.75" customHeight="1" x14ac:dyDescent="0.3">
      <c r="A473" s="2"/>
      <c r="C473" s="2"/>
      <c r="D473" s="2"/>
      <c r="E473" s="2"/>
      <c r="F473" s="2"/>
      <c r="G473" s="92"/>
      <c r="H473" s="2"/>
      <c r="I473" s="2"/>
      <c r="J473" s="2"/>
      <c r="K473" s="90"/>
      <c r="L473" s="2"/>
      <c r="N473" s="2"/>
      <c r="O473" s="2"/>
      <c r="P473" s="2"/>
      <c r="Q473" s="2"/>
      <c r="R473" s="2"/>
      <c r="S473" s="2"/>
      <c r="T473" s="2"/>
      <c r="U473" s="222"/>
      <c r="V473" s="2"/>
      <c r="W473" s="2"/>
      <c r="X473" s="2"/>
      <c r="Z473" s="2"/>
      <c r="AA473" s="2"/>
      <c r="AB473" s="2"/>
      <c r="AC473" s="2"/>
    </row>
    <row r="474" spans="1:29" ht="15.75" customHeight="1" x14ac:dyDescent="0.3">
      <c r="A474" s="2"/>
      <c r="C474" s="2"/>
      <c r="D474" s="2"/>
      <c r="E474" s="2"/>
      <c r="F474" s="2"/>
      <c r="G474" s="92"/>
      <c r="H474" s="2"/>
      <c r="I474" s="2"/>
      <c r="J474" s="2"/>
      <c r="K474" s="90"/>
      <c r="L474" s="2"/>
      <c r="N474" s="2"/>
      <c r="O474" s="2"/>
      <c r="P474" s="2"/>
      <c r="Q474" s="2"/>
      <c r="R474" s="2"/>
      <c r="S474" s="2"/>
      <c r="T474" s="2"/>
      <c r="U474" s="222"/>
      <c r="V474" s="2"/>
      <c r="W474" s="2"/>
      <c r="X474" s="2"/>
      <c r="Z474" s="2"/>
      <c r="AA474" s="2"/>
      <c r="AB474" s="2"/>
      <c r="AC474" s="2"/>
    </row>
    <row r="475" spans="1:29" ht="15.75" customHeight="1" x14ac:dyDescent="0.3">
      <c r="A475" s="2"/>
      <c r="C475" s="2"/>
      <c r="D475" s="2"/>
      <c r="E475" s="2"/>
      <c r="F475" s="2"/>
      <c r="G475" s="92"/>
      <c r="H475" s="2"/>
      <c r="I475" s="2"/>
      <c r="J475" s="2"/>
      <c r="K475" s="90"/>
      <c r="L475" s="2"/>
      <c r="N475" s="2"/>
      <c r="O475" s="2"/>
      <c r="P475" s="2"/>
      <c r="Q475" s="2"/>
      <c r="R475" s="2"/>
      <c r="S475" s="2"/>
      <c r="T475" s="2"/>
      <c r="U475" s="222"/>
      <c r="V475" s="2"/>
      <c r="W475" s="2"/>
      <c r="X475" s="2"/>
      <c r="Z475" s="2"/>
      <c r="AA475" s="2"/>
      <c r="AB475" s="2"/>
      <c r="AC475" s="2"/>
    </row>
    <row r="476" spans="1:29" ht="15.75" customHeight="1" x14ac:dyDescent="0.3">
      <c r="A476" s="2"/>
      <c r="C476" s="2"/>
      <c r="D476" s="2"/>
      <c r="E476" s="2"/>
      <c r="F476" s="2"/>
      <c r="G476" s="92"/>
      <c r="H476" s="2"/>
      <c r="I476" s="2"/>
      <c r="J476" s="2"/>
      <c r="K476" s="90"/>
      <c r="L476" s="2"/>
      <c r="N476" s="2"/>
      <c r="O476" s="2"/>
      <c r="P476" s="2"/>
      <c r="Q476" s="2"/>
      <c r="R476" s="2"/>
      <c r="S476" s="2"/>
      <c r="T476" s="2"/>
      <c r="U476" s="222"/>
      <c r="V476" s="2"/>
      <c r="W476" s="2"/>
      <c r="X476" s="2"/>
      <c r="Z476" s="2"/>
      <c r="AA476" s="2"/>
      <c r="AB476" s="2"/>
      <c r="AC476" s="2"/>
    </row>
    <row r="477" spans="1:29" ht="15.75" customHeight="1" x14ac:dyDescent="0.3">
      <c r="A477" s="2"/>
      <c r="C477" s="2"/>
      <c r="D477" s="2"/>
      <c r="E477" s="2"/>
      <c r="F477" s="2"/>
      <c r="G477" s="92"/>
      <c r="H477" s="2"/>
      <c r="I477" s="2"/>
      <c r="J477" s="2"/>
      <c r="K477" s="90"/>
      <c r="L477" s="2"/>
      <c r="N477" s="2"/>
      <c r="O477" s="2"/>
      <c r="P477" s="2"/>
      <c r="Q477" s="2"/>
      <c r="R477" s="2"/>
      <c r="S477" s="2"/>
      <c r="T477" s="2"/>
      <c r="U477" s="222"/>
      <c r="V477" s="2"/>
      <c r="W477" s="2"/>
      <c r="X477" s="2"/>
      <c r="Z477" s="2"/>
      <c r="AA477" s="2"/>
      <c r="AB477" s="2"/>
      <c r="AC477" s="2"/>
    </row>
    <row r="478" spans="1:29" ht="15.75" customHeight="1" x14ac:dyDescent="0.3">
      <c r="A478" s="2"/>
      <c r="C478" s="2"/>
      <c r="D478" s="2"/>
      <c r="E478" s="2"/>
      <c r="F478" s="2"/>
      <c r="G478" s="92"/>
      <c r="H478" s="2"/>
      <c r="I478" s="2"/>
      <c r="J478" s="2"/>
      <c r="K478" s="90"/>
      <c r="L478" s="2"/>
      <c r="N478" s="2"/>
      <c r="O478" s="2"/>
      <c r="P478" s="2"/>
      <c r="Q478" s="2"/>
      <c r="R478" s="2"/>
      <c r="S478" s="2"/>
      <c r="T478" s="2"/>
      <c r="U478" s="222"/>
      <c r="V478" s="2"/>
      <c r="W478" s="2"/>
      <c r="X478" s="2"/>
      <c r="Z478" s="2"/>
      <c r="AA478" s="2"/>
      <c r="AB478" s="2"/>
      <c r="AC478" s="2"/>
    </row>
    <row r="479" spans="1:29" ht="15.75" customHeight="1" x14ac:dyDescent="0.3">
      <c r="A479" s="2"/>
      <c r="C479" s="2"/>
      <c r="D479" s="2"/>
      <c r="E479" s="2"/>
      <c r="F479" s="2"/>
      <c r="G479" s="92"/>
      <c r="H479" s="2"/>
      <c r="I479" s="2"/>
      <c r="J479" s="2"/>
      <c r="K479" s="90"/>
      <c r="L479" s="2"/>
      <c r="N479" s="2"/>
      <c r="O479" s="2"/>
      <c r="P479" s="2"/>
      <c r="Q479" s="2"/>
      <c r="R479" s="2"/>
      <c r="S479" s="2"/>
      <c r="T479" s="2"/>
      <c r="U479" s="222"/>
      <c r="V479" s="2"/>
      <c r="W479" s="2"/>
      <c r="X479" s="2"/>
      <c r="Z479" s="2"/>
      <c r="AA479" s="2"/>
      <c r="AB479" s="2"/>
      <c r="AC479" s="2"/>
    </row>
    <row r="480" spans="1:29" ht="15.75" customHeight="1" x14ac:dyDescent="0.3">
      <c r="A480" s="2"/>
      <c r="C480" s="2"/>
      <c r="D480" s="2"/>
      <c r="E480" s="2"/>
      <c r="F480" s="2"/>
      <c r="G480" s="92"/>
      <c r="H480" s="2"/>
      <c r="I480" s="2"/>
      <c r="J480" s="2"/>
      <c r="K480" s="90"/>
      <c r="L480" s="2"/>
      <c r="N480" s="2"/>
      <c r="O480" s="2"/>
      <c r="P480" s="2"/>
      <c r="Q480" s="2"/>
      <c r="R480" s="2"/>
      <c r="S480" s="2"/>
      <c r="T480" s="2"/>
      <c r="U480" s="222"/>
      <c r="V480" s="2"/>
      <c r="W480" s="2"/>
      <c r="X480" s="2"/>
      <c r="Z480" s="2"/>
      <c r="AA480" s="2"/>
      <c r="AB480" s="2"/>
      <c r="AC480" s="2"/>
    </row>
    <row r="481" spans="1:29" ht="15.75" customHeight="1" x14ac:dyDescent="0.3">
      <c r="A481" s="2"/>
      <c r="C481" s="2"/>
      <c r="D481" s="2"/>
      <c r="E481" s="2"/>
      <c r="F481" s="2"/>
      <c r="G481" s="92"/>
      <c r="H481" s="2"/>
      <c r="I481" s="2"/>
      <c r="J481" s="2"/>
      <c r="K481" s="90"/>
      <c r="L481" s="2"/>
      <c r="N481" s="2"/>
      <c r="O481" s="2"/>
      <c r="P481" s="2"/>
      <c r="Q481" s="2"/>
      <c r="R481" s="2"/>
      <c r="S481" s="2"/>
      <c r="T481" s="2"/>
      <c r="U481" s="222"/>
      <c r="V481" s="2"/>
      <c r="W481" s="2"/>
      <c r="X481" s="2"/>
      <c r="Z481" s="2"/>
      <c r="AA481" s="2"/>
      <c r="AB481" s="2"/>
      <c r="AC481" s="2"/>
    </row>
    <row r="482" spans="1:29" ht="15.75" customHeight="1" x14ac:dyDescent="0.3">
      <c r="A482" s="2"/>
      <c r="C482" s="2"/>
      <c r="D482" s="2"/>
      <c r="E482" s="2"/>
      <c r="F482" s="2"/>
      <c r="G482" s="92"/>
      <c r="H482" s="2"/>
      <c r="I482" s="2"/>
      <c r="J482" s="2"/>
      <c r="K482" s="90"/>
      <c r="L482" s="2"/>
      <c r="N482" s="2"/>
      <c r="O482" s="2"/>
      <c r="P482" s="2"/>
      <c r="Q482" s="2"/>
      <c r="R482" s="2"/>
      <c r="S482" s="2"/>
      <c r="T482" s="2"/>
      <c r="U482" s="222"/>
      <c r="V482" s="2"/>
      <c r="W482" s="2"/>
      <c r="X482" s="2"/>
      <c r="Z482" s="2"/>
      <c r="AA482" s="2"/>
      <c r="AB482" s="2"/>
      <c r="AC482" s="2"/>
    </row>
    <row r="483" spans="1:29" ht="15.75" customHeight="1" x14ac:dyDescent="0.3">
      <c r="A483" s="2"/>
      <c r="C483" s="2"/>
      <c r="D483" s="2"/>
      <c r="E483" s="2"/>
      <c r="F483" s="2"/>
      <c r="G483" s="92"/>
      <c r="H483" s="2"/>
      <c r="I483" s="2"/>
      <c r="J483" s="2"/>
      <c r="K483" s="90"/>
      <c r="L483" s="2"/>
      <c r="N483" s="2"/>
      <c r="O483" s="2"/>
      <c r="P483" s="2"/>
      <c r="Q483" s="2"/>
      <c r="R483" s="2"/>
      <c r="S483" s="2"/>
      <c r="T483" s="2"/>
      <c r="U483" s="222"/>
      <c r="V483" s="2"/>
      <c r="W483" s="2"/>
      <c r="X483" s="2"/>
      <c r="Z483" s="2"/>
      <c r="AA483" s="2"/>
      <c r="AB483" s="2"/>
      <c r="AC483" s="2"/>
    </row>
    <row r="484" spans="1:29" ht="15.75" customHeight="1" x14ac:dyDescent="0.3">
      <c r="A484" s="2"/>
      <c r="C484" s="2"/>
      <c r="D484" s="2"/>
      <c r="E484" s="2"/>
      <c r="F484" s="2"/>
      <c r="G484" s="92"/>
      <c r="H484" s="2"/>
      <c r="I484" s="2"/>
      <c r="J484" s="2"/>
      <c r="K484" s="90"/>
      <c r="L484" s="2"/>
      <c r="N484" s="2"/>
      <c r="O484" s="2"/>
      <c r="P484" s="2"/>
      <c r="Q484" s="2"/>
      <c r="R484" s="2"/>
      <c r="S484" s="2"/>
      <c r="T484" s="2"/>
      <c r="U484" s="222"/>
      <c r="V484" s="2"/>
      <c r="W484" s="2"/>
      <c r="X484" s="2"/>
      <c r="Z484" s="2"/>
      <c r="AA484" s="2"/>
      <c r="AB484" s="2"/>
      <c r="AC484" s="2"/>
    </row>
    <row r="485" spans="1:29" ht="15.75" customHeight="1" x14ac:dyDescent="0.3">
      <c r="A485" s="2"/>
      <c r="C485" s="2"/>
      <c r="D485" s="2"/>
      <c r="E485" s="2"/>
      <c r="F485" s="2"/>
      <c r="G485" s="92"/>
      <c r="H485" s="2"/>
      <c r="I485" s="2"/>
      <c r="J485" s="2"/>
      <c r="K485" s="90"/>
      <c r="L485" s="2"/>
      <c r="N485" s="2"/>
      <c r="O485" s="2"/>
      <c r="P485" s="2"/>
      <c r="Q485" s="2"/>
      <c r="R485" s="2"/>
      <c r="S485" s="2"/>
      <c r="T485" s="2"/>
      <c r="U485" s="222"/>
      <c r="V485" s="2"/>
      <c r="W485" s="2"/>
      <c r="X485" s="2"/>
      <c r="Z485" s="2"/>
      <c r="AA485" s="2"/>
      <c r="AB485" s="2"/>
      <c r="AC485" s="2"/>
    </row>
    <row r="486" spans="1:29" ht="15.75" customHeight="1" x14ac:dyDescent="0.3">
      <c r="A486" s="2"/>
      <c r="C486" s="2"/>
      <c r="D486" s="2"/>
      <c r="E486" s="2"/>
      <c r="F486" s="2"/>
      <c r="G486" s="92"/>
      <c r="H486" s="2"/>
      <c r="I486" s="2"/>
      <c r="J486" s="2"/>
      <c r="K486" s="90"/>
      <c r="L486" s="2"/>
      <c r="N486" s="2"/>
      <c r="O486" s="2"/>
      <c r="P486" s="2"/>
      <c r="Q486" s="2"/>
      <c r="R486" s="2"/>
      <c r="S486" s="2"/>
      <c r="T486" s="2"/>
      <c r="U486" s="222"/>
      <c r="V486" s="2"/>
      <c r="W486" s="2"/>
      <c r="X486" s="2"/>
      <c r="Z486" s="2"/>
      <c r="AA486" s="2"/>
      <c r="AB486" s="2"/>
      <c r="AC486" s="2"/>
    </row>
    <row r="487" spans="1:29" ht="15.75" customHeight="1" x14ac:dyDescent="0.3">
      <c r="A487" s="2"/>
      <c r="C487" s="2"/>
      <c r="D487" s="2"/>
      <c r="E487" s="2"/>
      <c r="F487" s="2"/>
      <c r="G487" s="92"/>
      <c r="H487" s="2"/>
      <c r="I487" s="2"/>
      <c r="J487" s="2"/>
      <c r="K487" s="90"/>
      <c r="L487" s="2"/>
      <c r="N487" s="2"/>
      <c r="O487" s="2"/>
      <c r="P487" s="2"/>
      <c r="Q487" s="2"/>
      <c r="R487" s="2"/>
      <c r="S487" s="2"/>
      <c r="T487" s="2"/>
      <c r="U487" s="222"/>
      <c r="V487" s="2"/>
      <c r="W487" s="2"/>
      <c r="X487" s="2"/>
      <c r="Z487" s="2"/>
      <c r="AA487" s="2"/>
      <c r="AB487" s="2"/>
      <c r="AC487" s="2"/>
    </row>
    <row r="488" spans="1:29" ht="15.75" customHeight="1" x14ac:dyDescent="0.3">
      <c r="A488" s="2"/>
      <c r="C488" s="2"/>
      <c r="D488" s="2"/>
      <c r="E488" s="2"/>
      <c r="F488" s="2"/>
      <c r="G488" s="92"/>
      <c r="H488" s="2"/>
      <c r="I488" s="2"/>
      <c r="J488" s="2"/>
      <c r="K488" s="90"/>
      <c r="L488" s="2"/>
      <c r="N488" s="2"/>
      <c r="O488" s="2"/>
      <c r="P488" s="2"/>
      <c r="Q488" s="2"/>
      <c r="R488" s="2"/>
      <c r="S488" s="2"/>
      <c r="T488" s="2"/>
      <c r="U488" s="222"/>
      <c r="V488" s="2"/>
      <c r="W488" s="2"/>
      <c r="X488" s="2"/>
      <c r="Z488" s="2"/>
      <c r="AA488" s="2"/>
      <c r="AB488" s="2"/>
      <c r="AC488" s="2"/>
    </row>
    <row r="489" spans="1:29" ht="15.75" customHeight="1" x14ac:dyDescent="0.3">
      <c r="A489" s="2"/>
      <c r="C489" s="2"/>
      <c r="D489" s="2"/>
      <c r="E489" s="2"/>
      <c r="F489" s="2"/>
      <c r="G489" s="92"/>
      <c r="H489" s="2"/>
      <c r="I489" s="2"/>
      <c r="J489" s="2"/>
      <c r="K489" s="90"/>
      <c r="L489" s="2"/>
      <c r="N489" s="2"/>
      <c r="O489" s="2"/>
      <c r="P489" s="2"/>
      <c r="Q489" s="2"/>
      <c r="R489" s="2"/>
      <c r="S489" s="2"/>
      <c r="T489" s="2"/>
      <c r="U489" s="222"/>
      <c r="V489" s="2"/>
      <c r="W489" s="2"/>
      <c r="X489" s="2"/>
      <c r="Z489" s="2"/>
      <c r="AA489" s="2"/>
      <c r="AB489" s="2"/>
      <c r="AC489" s="2"/>
    </row>
    <row r="490" spans="1:29" ht="15.75" customHeight="1" x14ac:dyDescent="0.3">
      <c r="A490" s="2"/>
      <c r="C490" s="2"/>
      <c r="D490" s="2"/>
      <c r="E490" s="2"/>
      <c r="F490" s="2"/>
      <c r="G490" s="92"/>
      <c r="H490" s="2"/>
      <c r="I490" s="2"/>
      <c r="J490" s="2"/>
      <c r="K490" s="90"/>
      <c r="L490" s="2"/>
      <c r="N490" s="2"/>
      <c r="O490" s="2"/>
      <c r="P490" s="2"/>
      <c r="Q490" s="2"/>
      <c r="R490" s="2"/>
      <c r="S490" s="2"/>
      <c r="T490" s="2"/>
      <c r="U490" s="222"/>
      <c r="V490" s="2"/>
      <c r="W490" s="2"/>
      <c r="X490" s="2"/>
      <c r="Z490" s="2"/>
      <c r="AA490" s="2"/>
      <c r="AB490" s="2"/>
      <c r="AC490" s="2"/>
    </row>
    <row r="491" spans="1:29" ht="15.75" customHeight="1" x14ac:dyDescent="0.3">
      <c r="A491" s="2"/>
      <c r="C491" s="2"/>
      <c r="D491" s="2"/>
      <c r="E491" s="2"/>
      <c r="F491" s="2"/>
      <c r="G491" s="92"/>
      <c r="H491" s="2"/>
      <c r="I491" s="2"/>
      <c r="J491" s="2"/>
      <c r="K491" s="90"/>
      <c r="L491" s="2"/>
      <c r="N491" s="2"/>
      <c r="O491" s="2"/>
      <c r="P491" s="2"/>
      <c r="Q491" s="2"/>
      <c r="R491" s="2"/>
      <c r="S491" s="2"/>
      <c r="T491" s="2"/>
      <c r="U491" s="222"/>
      <c r="V491" s="2"/>
      <c r="W491" s="2"/>
      <c r="X491" s="2"/>
      <c r="Z491" s="2"/>
      <c r="AA491" s="2"/>
      <c r="AB491" s="2"/>
      <c r="AC491" s="2"/>
    </row>
    <row r="492" spans="1:29" ht="15.75" customHeight="1" x14ac:dyDescent="0.3">
      <c r="A492" s="2"/>
      <c r="C492" s="2"/>
      <c r="D492" s="2"/>
      <c r="E492" s="2"/>
      <c r="F492" s="2"/>
      <c r="G492" s="92"/>
      <c r="H492" s="2"/>
      <c r="I492" s="2"/>
      <c r="J492" s="2"/>
      <c r="K492" s="90"/>
      <c r="L492" s="2"/>
      <c r="N492" s="2"/>
      <c r="O492" s="2"/>
      <c r="P492" s="2"/>
      <c r="Q492" s="2"/>
      <c r="R492" s="2"/>
      <c r="S492" s="2"/>
      <c r="T492" s="2"/>
      <c r="U492" s="222"/>
      <c r="V492" s="2"/>
      <c r="W492" s="2"/>
      <c r="X492" s="2"/>
      <c r="Z492" s="2"/>
      <c r="AA492" s="2"/>
      <c r="AB492" s="2"/>
      <c r="AC492" s="2"/>
    </row>
    <row r="493" spans="1:29" ht="15.75" customHeight="1" x14ac:dyDescent="0.3">
      <c r="A493" s="2"/>
      <c r="C493" s="2"/>
      <c r="D493" s="2"/>
      <c r="E493" s="2"/>
      <c r="F493" s="2"/>
      <c r="G493" s="92"/>
      <c r="H493" s="2"/>
      <c r="I493" s="2"/>
      <c r="J493" s="2"/>
      <c r="K493" s="90"/>
      <c r="L493" s="2"/>
      <c r="N493" s="2"/>
      <c r="O493" s="2"/>
      <c r="P493" s="2"/>
      <c r="Q493" s="2"/>
      <c r="R493" s="2"/>
      <c r="S493" s="2"/>
      <c r="T493" s="2"/>
      <c r="U493" s="222"/>
      <c r="V493" s="2"/>
      <c r="W493" s="2"/>
      <c r="X493" s="2"/>
      <c r="Z493" s="2"/>
      <c r="AA493" s="2"/>
      <c r="AB493" s="2"/>
      <c r="AC493" s="2"/>
    </row>
    <row r="494" spans="1:29" ht="15.75" customHeight="1" x14ac:dyDescent="0.3">
      <c r="A494" s="2"/>
      <c r="C494" s="2"/>
      <c r="D494" s="2"/>
      <c r="E494" s="2"/>
      <c r="F494" s="2"/>
      <c r="G494" s="92"/>
      <c r="H494" s="2"/>
      <c r="I494" s="2"/>
      <c r="J494" s="2"/>
      <c r="K494" s="90"/>
      <c r="L494" s="2"/>
      <c r="N494" s="2"/>
      <c r="O494" s="2"/>
      <c r="P494" s="2"/>
      <c r="Q494" s="2"/>
      <c r="R494" s="2"/>
      <c r="S494" s="2"/>
      <c r="T494" s="2"/>
      <c r="U494" s="222"/>
      <c r="V494" s="2"/>
      <c r="W494" s="2"/>
      <c r="X494" s="2"/>
      <c r="Z494" s="2"/>
      <c r="AA494" s="2"/>
      <c r="AB494" s="2"/>
      <c r="AC494" s="2"/>
    </row>
    <row r="495" spans="1:29" ht="15.75" customHeight="1" x14ac:dyDescent="0.3">
      <c r="A495" s="2"/>
      <c r="C495" s="2"/>
      <c r="D495" s="2"/>
      <c r="E495" s="2"/>
      <c r="F495" s="2"/>
      <c r="G495" s="92"/>
      <c r="H495" s="2"/>
      <c r="I495" s="2"/>
      <c r="J495" s="2"/>
      <c r="K495" s="90"/>
      <c r="L495" s="2"/>
      <c r="N495" s="2"/>
      <c r="O495" s="2"/>
      <c r="P495" s="2"/>
      <c r="Q495" s="2"/>
      <c r="R495" s="2"/>
      <c r="S495" s="2"/>
      <c r="T495" s="2"/>
      <c r="U495" s="222"/>
      <c r="V495" s="2"/>
      <c r="W495" s="2"/>
      <c r="X495" s="2"/>
      <c r="Z495" s="2"/>
      <c r="AA495" s="2"/>
      <c r="AB495" s="2"/>
      <c r="AC495" s="2"/>
    </row>
    <row r="496" spans="1:29" ht="15.75" customHeight="1" x14ac:dyDescent="0.3">
      <c r="A496" s="2"/>
      <c r="C496" s="2"/>
      <c r="D496" s="2"/>
      <c r="E496" s="2"/>
      <c r="F496" s="2"/>
      <c r="G496" s="92"/>
      <c r="H496" s="2"/>
      <c r="I496" s="2"/>
      <c r="J496" s="2"/>
      <c r="K496" s="90"/>
      <c r="L496" s="2"/>
      <c r="N496" s="2"/>
      <c r="O496" s="2"/>
      <c r="P496" s="2"/>
      <c r="Q496" s="2"/>
      <c r="R496" s="2"/>
      <c r="S496" s="2"/>
      <c r="T496" s="2"/>
      <c r="U496" s="222"/>
      <c r="V496" s="2"/>
      <c r="W496" s="2"/>
      <c r="X496" s="2"/>
      <c r="Z496" s="2"/>
      <c r="AA496" s="2"/>
      <c r="AB496" s="2"/>
      <c r="AC496" s="2"/>
    </row>
    <row r="497" spans="1:29" ht="15.75" customHeight="1" x14ac:dyDescent="0.3">
      <c r="A497" s="2"/>
      <c r="C497" s="2"/>
      <c r="D497" s="2"/>
      <c r="E497" s="2"/>
      <c r="F497" s="2"/>
      <c r="G497" s="92"/>
      <c r="H497" s="2"/>
      <c r="I497" s="2"/>
      <c r="J497" s="2"/>
      <c r="K497" s="90"/>
      <c r="L497" s="2"/>
      <c r="N497" s="2"/>
      <c r="O497" s="2"/>
      <c r="P497" s="2"/>
      <c r="Q497" s="2"/>
      <c r="R497" s="2"/>
      <c r="S497" s="2"/>
      <c r="T497" s="2"/>
      <c r="U497" s="222"/>
      <c r="V497" s="2"/>
      <c r="W497" s="2"/>
      <c r="X497" s="2"/>
      <c r="Z497" s="2"/>
      <c r="AA497" s="2"/>
      <c r="AB497" s="2"/>
      <c r="AC497" s="2"/>
    </row>
    <row r="498" spans="1:29" ht="15.75" customHeight="1" x14ac:dyDescent="0.3">
      <c r="A498" s="2"/>
      <c r="C498" s="2"/>
      <c r="D498" s="2"/>
      <c r="E498" s="2"/>
      <c r="F498" s="2"/>
      <c r="G498" s="92"/>
      <c r="H498" s="2"/>
      <c r="I498" s="2"/>
      <c r="J498" s="2"/>
      <c r="K498" s="90"/>
      <c r="L498" s="2"/>
      <c r="N498" s="2"/>
      <c r="O498" s="2"/>
      <c r="P498" s="2"/>
      <c r="Q498" s="2"/>
      <c r="R498" s="2"/>
      <c r="S498" s="2"/>
      <c r="T498" s="2"/>
      <c r="U498" s="222"/>
      <c r="V498" s="2"/>
      <c r="W498" s="2"/>
      <c r="X498" s="2"/>
      <c r="Z498" s="2"/>
      <c r="AA498" s="2"/>
      <c r="AB498" s="2"/>
      <c r="AC498" s="2"/>
    </row>
    <row r="499" spans="1:29" ht="15.75" customHeight="1" x14ac:dyDescent="0.3">
      <c r="A499" s="2"/>
      <c r="C499" s="2"/>
      <c r="D499" s="2"/>
      <c r="E499" s="2"/>
      <c r="F499" s="2"/>
      <c r="G499" s="92"/>
      <c r="H499" s="2"/>
      <c r="I499" s="2"/>
      <c r="J499" s="2"/>
      <c r="K499" s="90"/>
      <c r="L499" s="2"/>
      <c r="N499" s="2"/>
      <c r="O499" s="2"/>
      <c r="P499" s="2"/>
      <c r="Q499" s="2"/>
      <c r="R499" s="2"/>
      <c r="S499" s="2"/>
      <c r="T499" s="2"/>
      <c r="U499" s="222"/>
      <c r="V499" s="2"/>
      <c r="W499" s="2"/>
      <c r="X499" s="2"/>
      <c r="Z499" s="2"/>
      <c r="AA499" s="2"/>
      <c r="AB499" s="2"/>
      <c r="AC499" s="2"/>
    </row>
    <row r="500" spans="1:29" ht="15.75" customHeight="1" x14ac:dyDescent="0.3">
      <c r="A500" s="2"/>
      <c r="C500" s="2"/>
      <c r="D500" s="2"/>
      <c r="E500" s="2"/>
      <c r="F500" s="2"/>
      <c r="G500" s="92"/>
      <c r="H500" s="2"/>
      <c r="I500" s="2"/>
      <c r="J500" s="2"/>
      <c r="K500" s="90"/>
      <c r="L500" s="2"/>
      <c r="N500" s="2"/>
      <c r="O500" s="2"/>
      <c r="P500" s="2"/>
      <c r="Q500" s="2"/>
      <c r="R500" s="2"/>
      <c r="S500" s="2"/>
      <c r="T500" s="2"/>
      <c r="U500" s="222"/>
      <c r="V500" s="2"/>
      <c r="W500" s="2"/>
      <c r="X500" s="2"/>
      <c r="Z500" s="2"/>
      <c r="AA500" s="2"/>
      <c r="AB500" s="2"/>
      <c r="AC500" s="2"/>
    </row>
    <row r="501" spans="1:29" ht="15.75" customHeight="1" x14ac:dyDescent="0.3">
      <c r="A501" s="2"/>
      <c r="C501" s="2"/>
      <c r="D501" s="2"/>
      <c r="E501" s="2"/>
      <c r="F501" s="2"/>
      <c r="G501" s="92"/>
      <c r="H501" s="2"/>
      <c r="I501" s="2"/>
      <c r="J501" s="2"/>
      <c r="K501" s="90"/>
      <c r="L501" s="2"/>
      <c r="N501" s="2"/>
      <c r="O501" s="2"/>
      <c r="P501" s="2"/>
      <c r="Q501" s="2"/>
      <c r="R501" s="2"/>
      <c r="S501" s="2"/>
      <c r="T501" s="2"/>
      <c r="U501" s="222"/>
      <c r="V501" s="2"/>
      <c r="W501" s="2"/>
      <c r="X501" s="2"/>
      <c r="Z501" s="2"/>
      <c r="AA501" s="2"/>
      <c r="AB501" s="2"/>
      <c r="AC501" s="2"/>
    </row>
    <row r="502" spans="1:29" ht="15.75" customHeight="1" x14ac:dyDescent="0.3">
      <c r="A502" s="2"/>
      <c r="C502" s="2"/>
      <c r="D502" s="2"/>
      <c r="E502" s="2"/>
      <c r="F502" s="2"/>
      <c r="G502" s="92"/>
      <c r="H502" s="2"/>
      <c r="I502" s="2"/>
      <c r="J502" s="2"/>
      <c r="K502" s="90"/>
      <c r="L502" s="2"/>
      <c r="N502" s="2"/>
      <c r="O502" s="2"/>
      <c r="P502" s="2"/>
      <c r="Q502" s="2"/>
      <c r="R502" s="2"/>
      <c r="S502" s="2"/>
      <c r="T502" s="2"/>
      <c r="U502" s="222"/>
      <c r="V502" s="2"/>
      <c r="W502" s="2"/>
      <c r="X502" s="2"/>
      <c r="Z502" s="2"/>
      <c r="AA502" s="2"/>
      <c r="AB502" s="2"/>
      <c r="AC502" s="2"/>
    </row>
    <row r="503" spans="1:29" ht="15.75" customHeight="1" x14ac:dyDescent="0.3">
      <c r="A503" s="2"/>
      <c r="C503" s="2"/>
      <c r="D503" s="2"/>
      <c r="E503" s="2"/>
      <c r="F503" s="2"/>
      <c r="G503" s="92"/>
      <c r="H503" s="2"/>
      <c r="I503" s="2"/>
      <c r="J503" s="2"/>
      <c r="K503" s="90"/>
      <c r="L503" s="2"/>
      <c r="N503" s="2"/>
      <c r="O503" s="2"/>
      <c r="P503" s="2"/>
      <c r="Q503" s="2"/>
      <c r="R503" s="2"/>
      <c r="S503" s="2"/>
      <c r="T503" s="2"/>
      <c r="U503" s="222"/>
      <c r="V503" s="2"/>
      <c r="W503" s="2"/>
      <c r="X503" s="2"/>
      <c r="Z503" s="2"/>
      <c r="AA503" s="2"/>
      <c r="AB503" s="2"/>
      <c r="AC503" s="2"/>
    </row>
    <row r="504" spans="1:29" ht="15.75" customHeight="1" x14ac:dyDescent="0.3">
      <c r="A504" s="2"/>
      <c r="C504" s="2"/>
      <c r="D504" s="2"/>
      <c r="E504" s="2"/>
      <c r="F504" s="2"/>
      <c r="G504" s="92"/>
      <c r="H504" s="2"/>
      <c r="I504" s="2"/>
      <c r="J504" s="2"/>
      <c r="K504" s="90"/>
      <c r="L504" s="2"/>
      <c r="N504" s="2"/>
      <c r="O504" s="2"/>
      <c r="P504" s="2"/>
      <c r="Q504" s="2"/>
      <c r="R504" s="2"/>
      <c r="S504" s="2"/>
      <c r="T504" s="2"/>
      <c r="U504" s="222"/>
      <c r="V504" s="2"/>
      <c r="W504" s="2"/>
      <c r="X504" s="2"/>
      <c r="Z504" s="2"/>
      <c r="AA504" s="2"/>
      <c r="AB504" s="2"/>
      <c r="AC504" s="2"/>
    </row>
    <row r="505" spans="1:29" ht="15.75" customHeight="1" x14ac:dyDescent="0.3">
      <c r="A505" s="2"/>
      <c r="C505" s="2"/>
      <c r="D505" s="2"/>
      <c r="E505" s="2"/>
      <c r="F505" s="2"/>
      <c r="G505" s="92"/>
      <c r="H505" s="2"/>
      <c r="I505" s="2"/>
      <c r="J505" s="2"/>
      <c r="K505" s="90"/>
      <c r="L505" s="2"/>
      <c r="N505" s="2"/>
      <c r="O505" s="2"/>
      <c r="P505" s="2"/>
      <c r="Q505" s="2"/>
      <c r="R505" s="2"/>
      <c r="S505" s="2"/>
      <c r="T505" s="2"/>
      <c r="U505" s="222"/>
      <c r="V505" s="2"/>
      <c r="W505" s="2"/>
      <c r="X505" s="2"/>
      <c r="Z505" s="2"/>
      <c r="AA505" s="2"/>
      <c r="AB505" s="2"/>
      <c r="AC505" s="2"/>
    </row>
    <row r="506" spans="1:29" ht="15.75" customHeight="1" x14ac:dyDescent="0.3">
      <c r="A506" s="2"/>
      <c r="C506" s="2"/>
      <c r="D506" s="2"/>
      <c r="E506" s="2"/>
      <c r="F506" s="2"/>
      <c r="G506" s="92"/>
      <c r="H506" s="2"/>
      <c r="I506" s="2"/>
      <c r="J506" s="2"/>
      <c r="K506" s="90"/>
      <c r="L506" s="2"/>
      <c r="N506" s="2"/>
      <c r="O506" s="2"/>
      <c r="P506" s="2"/>
      <c r="Q506" s="2"/>
      <c r="R506" s="2"/>
      <c r="S506" s="2"/>
      <c r="T506" s="2"/>
      <c r="U506" s="222"/>
      <c r="V506" s="2"/>
      <c r="W506" s="2"/>
      <c r="X506" s="2"/>
      <c r="Z506" s="2"/>
      <c r="AA506" s="2"/>
      <c r="AB506" s="2"/>
      <c r="AC506" s="2"/>
    </row>
    <row r="507" spans="1:29" ht="15.75" customHeight="1" x14ac:dyDescent="0.3">
      <c r="A507" s="2"/>
      <c r="C507" s="2"/>
      <c r="D507" s="2"/>
      <c r="E507" s="2"/>
      <c r="F507" s="2"/>
      <c r="G507" s="92"/>
      <c r="H507" s="2"/>
      <c r="I507" s="2"/>
      <c r="J507" s="2"/>
      <c r="K507" s="90"/>
      <c r="L507" s="2"/>
      <c r="N507" s="2"/>
      <c r="O507" s="2"/>
      <c r="P507" s="2"/>
      <c r="Q507" s="2"/>
      <c r="R507" s="2"/>
      <c r="S507" s="2"/>
      <c r="T507" s="2"/>
      <c r="U507" s="222"/>
      <c r="V507" s="2"/>
      <c r="W507" s="2"/>
      <c r="X507" s="2"/>
      <c r="Z507" s="2"/>
      <c r="AA507" s="2"/>
      <c r="AB507" s="2"/>
      <c r="AC507" s="2"/>
    </row>
    <row r="508" spans="1:29" ht="15.75" customHeight="1" x14ac:dyDescent="0.3">
      <c r="A508" s="2"/>
      <c r="C508" s="2"/>
      <c r="D508" s="2"/>
      <c r="E508" s="2"/>
      <c r="F508" s="2"/>
      <c r="G508" s="92"/>
      <c r="H508" s="2"/>
      <c r="I508" s="2"/>
      <c r="J508" s="2"/>
      <c r="K508" s="90"/>
      <c r="L508" s="2"/>
      <c r="N508" s="2"/>
      <c r="O508" s="2"/>
      <c r="P508" s="2"/>
      <c r="Q508" s="2"/>
      <c r="R508" s="2"/>
      <c r="S508" s="2"/>
      <c r="T508" s="2"/>
      <c r="U508" s="222"/>
      <c r="V508" s="2"/>
      <c r="W508" s="2"/>
      <c r="X508" s="2"/>
      <c r="Z508" s="2"/>
      <c r="AA508" s="2"/>
      <c r="AB508" s="2"/>
      <c r="AC508" s="2"/>
    </row>
    <row r="509" spans="1:29" ht="15.75" customHeight="1" x14ac:dyDescent="0.3">
      <c r="A509" s="2"/>
      <c r="C509" s="2"/>
      <c r="D509" s="2"/>
      <c r="E509" s="2"/>
      <c r="F509" s="2"/>
      <c r="G509" s="92"/>
      <c r="H509" s="2"/>
      <c r="I509" s="2"/>
      <c r="J509" s="2"/>
      <c r="K509" s="90"/>
      <c r="L509" s="2"/>
      <c r="N509" s="2"/>
      <c r="O509" s="2"/>
      <c r="P509" s="2"/>
      <c r="Q509" s="2"/>
      <c r="R509" s="2"/>
      <c r="S509" s="2"/>
      <c r="T509" s="2"/>
      <c r="U509" s="222"/>
      <c r="V509" s="2"/>
      <c r="W509" s="2"/>
      <c r="X509" s="2"/>
      <c r="Z509" s="2"/>
      <c r="AA509" s="2"/>
      <c r="AB509" s="2"/>
      <c r="AC509" s="2"/>
    </row>
    <row r="510" spans="1:29" ht="15.75" customHeight="1" x14ac:dyDescent="0.3">
      <c r="A510" s="2"/>
      <c r="C510" s="2"/>
      <c r="D510" s="2"/>
      <c r="E510" s="2"/>
      <c r="F510" s="2"/>
      <c r="G510" s="92"/>
      <c r="H510" s="2"/>
      <c r="I510" s="2"/>
      <c r="J510" s="2"/>
      <c r="K510" s="90"/>
      <c r="L510" s="2"/>
      <c r="N510" s="2"/>
      <c r="O510" s="2"/>
      <c r="P510" s="2"/>
      <c r="Q510" s="2"/>
      <c r="R510" s="2"/>
      <c r="S510" s="2"/>
      <c r="T510" s="2"/>
      <c r="U510" s="222"/>
      <c r="V510" s="2"/>
      <c r="W510" s="2"/>
      <c r="X510" s="2"/>
      <c r="Z510" s="2"/>
      <c r="AA510" s="2"/>
      <c r="AB510" s="2"/>
      <c r="AC510" s="2"/>
    </row>
    <row r="511" spans="1:29" ht="15.75" customHeight="1" x14ac:dyDescent="0.3">
      <c r="A511" s="2"/>
      <c r="C511" s="2"/>
      <c r="D511" s="2"/>
      <c r="E511" s="2"/>
      <c r="F511" s="2"/>
      <c r="G511" s="92"/>
      <c r="H511" s="2"/>
      <c r="I511" s="2"/>
      <c r="J511" s="2"/>
      <c r="K511" s="90"/>
      <c r="L511" s="2"/>
      <c r="N511" s="2"/>
      <c r="O511" s="2"/>
      <c r="P511" s="2"/>
      <c r="Q511" s="2"/>
      <c r="R511" s="2"/>
      <c r="S511" s="2"/>
      <c r="T511" s="2"/>
      <c r="U511" s="222"/>
      <c r="V511" s="2"/>
      <c r="W511" s="2"/>
      <c r="X511" s="2"/>
      <c r="Z511" s="2"/>
      <c r="AA511" s="2"/>
      <c r="AB511" s="2"/>
      <c r="AC511" s="2"/>
    </row>
    <row r="512" spans="1:29" ht="15.75" customHeight="1" x14ac:dyDescent="0.3">
      <c r="A512" s="2"/>
      <c r="C512" s="2"/>
      <c r="D512" s="2"/>
      <c r="E512" s="2"/>
      <c r="F512" s="2"/>
      <c r="G512" s="92"/>
      <c r="H512" s="2"/>
      <c r="I512" s="2"/>
      <c r="J512" s="2"/>
      <c r="K512" s="90"/>
      <c r="L512" s="2"/>
      <c r="N512" s="2"/>
      <c r="O512" s="2"/>
      <c r="P512" s="2"/>
      <c r="Q512" s="2"/>
      <c r="R512" s="2"/>
      <c r="S512" s="2"/>
      <c r="T512" s="2"/>
      <c r="U512" s="222"/>
      <c r="V512" s="2"/>
      <c r="W512" s="2"/>
      <c r="X512" s="2"/>
      <c r="Z512" s="2"/>
      <c r="AA512" s="2"/>
      <c r="AB512" s="2"/>
      <c r="AC512" s="2"/>
    </row>
    <row r="513" spans="1:29" ht="15.75" customHeight="1" x14ac:dyDescent="0.3">
      <c r="A513" s="2"/>
      <c r="C513" s="2"/>
      <c r="D513" s="2"/>
      <c r="E513" s="2"/>
      <c r="F513" s="2"/>
      <c r="G513" s="92"/>
      <c r="H513" s="2"/>
      <c r="I513" s="2"/>
      <c r="J513" s="2"/>
      <c r="K513" s="90"/>
      <c r="L513" s="2"/>
      <c r="N513" s="2"/>
      <c r="O513" s="2"/>
      <c r="P513" s="2"/>
      <c r="Q513" s="2"/>
      <c r="R513" s="2"/>
      <c r="S513" s="2"/>
      <c r="T513" s="2"/>
      <c r="U513" s="222"/>
      <c r="V513" s="2"/>
      <c r="W513" s="2"/>
      <c r="X513" s="2"/>
      <c r="Z513" s="2"/>
      <c r="AA513" s="2"/>
      <c r="AB513" s="2"/>
      <c r="AC513" s="2"/>
    </row>
    <row r="514" spans="1:29" ht="15.75" customHeight="1" x14ac:dyDescent="0.3">
      <c r="A514" s="2"/>
      <c r="C514" s="2"/>
      <c r="D514" s="2"/>
      <c r="E514" s="2"/>
      <c r="F514" s="2"/>
      <c r="G514" s="92"/>
      <c r="H514" s="2"/>
      <c r="I514" s="2"/>
      <c r="J514" s="2"/>
      <c r="K514" s="90"/>
      <c r="L514" s="2"/>
      <c r="N514" s="2"/>
      <c r="O514" s="2"/>
      <c r="P514" s="2"/>
      <c r="Q514" s="2"/>
      <c r="R514" s="2"/>
      <c r="S514" s="2"/>
      <c r="T514" s="2"/>
      <c r="U514" s="222"/>
      <c r="V514" s="2"/>
      <c r="W514" s="2"/>
      <c r="X514" s="2"/>
      <c r="Z514" s="2"/>
      <c r="AA514" s="2"/>
      <c r="AB514" s="2"/>
      <c r="AC514" s="2"/>
    </row>
    <row r="515" spans="1:29" ht="15.75" customHeight="1" x14ac:dyDescent="0.3">
      <c r="A515" s="2"/>
      <c r="C515" s="2"/>
      <c r="D515" s="2"/>
      <c r="E515" s="2"/>
      <c r="F515" s="2"/>
      <c r="G515" s="92"/>
      <c r="H515" s="2"/>
      <c r="I515" s="2"/>
      <c r="J515" s="2"/>
      <c r="K515" s="90"/>
      <c r="L515" s="2"/>
      <c r="N515" s="2"/>
      <c r="O515" s="2"/>
      <c r="P515" s="2"/>
      <c r="Q515" s="2"/>
      <c r="R515" s="2"/>
      <c r="S515" s="2"/>
      <c r="T515" s="2"/>
      <c r="U515" s="222"/>
      <c r="V515" s="2"/>
      <c r="W515" s="2"/>
      <c r="X515" s="2"/>
      <c r="Z515" s="2"/>
      <c r="AA515" s="2"/>
      <c r="AB515" s="2"/>
      <c r="AC515" s="2"/>
    </row>
    <row r="516" spans="1:29" ht="15.75" customHeight="1" x14ac:dyDescent="0.3">
      <c r="A516" s="2"/>
      <c r="C516" s="2"/>
      <c r="D516" s="2"/>
      <c r="E516" s="2"/>
      <c r="F516" s="2"/>
      <c r="G516" s="92"/>
      <c r="H516" s="2"/>
      <c r="I516" s="2"/>
      <c r="J516" s="2"/>
      <c r="K516" s="90"/>
      <c r="L516" s="2"/>
      <c r="N516" s="2"/>
      <c r="O516" s="2"/>
      <c r="P516" s="2"/>
      <c r="Q516" s="2"/>
      <c r="R516" s="2"/>
      <c r="S516" s="2"/>
      <c r="T516" s="2"/>
      <c r="U516" s="222"/>
      <c r="V516" s="2"/>
      <c r="W516" s="2"/>
      <c r="X516" s="2"/>
      <c r="Z516" s="2"/>
      <c r="AA516" s="2"/>
      <c r="AB516" s="2"/>
      <c r="AC516" s="2"/>
    </row>
    <row r="517" spans="1:29" ht="15.75" customHeight="1" x14ac:dyDescent="0.3">
      <c r="A517" s="2"/>
      <c r="C517" s="2"/>
      <c r="D517" s="2"/>
      <c r="E517" s="2"/>
      <c r="F517" s="2"/>
      <c r="G517" s="92"/>
      <c r="H517" s="2"/>
      <c r="I517" s="2"/>
      <c r="J517" s="2"/>
      <c r="K517" s="90"/>
      <c r="L517" s="2"/>
      <c r="N517" s="2"/>
      <c r="O517" s="2"/>
      <c r="P517" s="2"/>
      <c r="Q517" s="2"/>
      <c r="R517" s="2"/>
      <c r="S517" s="2"/>
      <c r="T517" s="2"/>
      <c r="U517" s="222"/>
      <c r="V517" s="2"/>
      <c r="W517" s="2"/>
      <c r="X517" s="2"/>
      <c r="Z517" s="2"/>
      <c r="AA517" s="2"/>
      <c r="AB517" s="2"/>
      <c r="AC517" s="2"/>
    </row>
    <row r="518" spans="1:29" ht="15.75" customHeight="1" x14ac:dyDescent="0.3">
      <c r="A518" s="2"/>
      <c r="C518" s="2"/>
      <c r="D518" s="2"/>
      <c r="E518" s="2"/>
      <c r="F518" s="2"/>
      <c r="G518" s="92"/>
      <c r="H518" s="2"/>
      <c r="I518" s="2"/>
      <c r="J518" s="2"/>
      <c r="K518" s="90"/>
      <c r="L518" s="2"/>
      <c r="N518" s="2"/>
      <c r="O518" s="2"/>
      <c r="P518" s="2"/>
      <c r="Q518" s="2"/>
      <c r="R518" s="2"/>
      <c r="S518" s="2"/>
      <c r="T518" s="2"/>
      <c r="U518" s="222"/>
      <c r="V518" s="2"/>
      <c r="W518" s="2"/>
      <c r="X518" s="2"/>
      <c r="Z518" s="2"/>
      <c r="AA518" s="2"/>
      <c r="AB518" s="2"/>
      <c r="AC518" s="2"/>
    </row>
    <row r="519" spans="1:29" ht="15.75" customHeight="1" x14ac:dyDescent="0.3">
      <c r="A519" s="2"/>
      <c r="C519" s="2"/>
      <c r="D519" s="2"/>
      <c r="E519" s="2"/>
      <c r="F519" s="2"/>
      <c r="G519" s="92"/>
      <c r="H519" s="2"/>
      <c r="I519" s="2"/>
      <c r="J519" s="2"/>
      <c r="K519" s="90"/>
      <c r="L519" s="2"/>
      <c r="N519" s="2"/>
      <c r="O519" s="2"/>
      <c r="P519" s="2"/>
      <c r="Q519" s="2"/>
      <c r="R519" s="2"/>
      <c r="S519" s="2"/>
      <c r="T519" s="2"/>
      <c r="U519" s="222"/>
      <c r="V519" s="2"/>
      <c r="W519" s="2"/>
      <c r="X519" s="2"/>
      <c r="Z519" s="2"/>
      <c r="AA519" s="2"/>
      <c r="AB519" s="2"/>
      <c r="AC519" s="2"/>
    </row>
    <row r="520" spans="1:29" ht="15.75" customHeight="1" x14ac:dyDescent="0.3">
      <c r="A520" s="2"/>
      <c r="C520" s="2"/>
      <c r="D520" s="2"/>
      <c r="E520" s="2"/>
      <c r="F520" s="2"/>
      <c r="G520" s="92"/>
      <c r="H520" s="2"/>
      <c r="I520" s="2"/>
      <c r="J520" s="2"/>
      <c r="K520" s="90"/>
      <c r="L520" s="2"/>
      <c r="N520" s="2"/>
      <c r="O520" s="2"/>
      <c r="P520" s="2"/>
      <c r="Q520" s="2"/>
      <c r="R520" s="2"/>
      <c r="S520" s="2"/>
      <c r="T520" s="2"/>
      <c r="U520" s="222"/>
      <c r="V520" s="2"/>
      <c r="W520" s="2"/>
      <c r="X520" s="2"/>
      <c r="Z520" s="2"/>
      <c r="AA520" s="2"/>
      <c r="AB520" s="2"/>
      <c r="AC520" s="2"/>
    </row>
    <row r="521" spans="1:29" ht="15.75" customHeight="1" x14ac:dyDescent="0.3">
      <c r="A521" s="2"/>
      <c r="C521" s="2"/>
      <c r="D521" s="2"/>
      <c r="E521" s="2"/>
      <c r="F521" s="2"/>
      <c r="G521" s="92"/>
      <c r="H521" s="2"/>
      <c r="I521" s="2"/>
      <c r="J521" s="2"/>
      <c r="K521" s="90"/>
      <c r="L521" s="2"/>
      <c r="N521" s="2"/>
      <c r="O521" s="2"/>
      <c r="P521" s="2"/>
      <c r="Q521" s="2"/>
      <c r="R521" s="2"/>
      <c r="S521" s="2"/>
      <c r="T521" s="2"/>
      <c r="U521" s="222"/>
      <c r="V521" s="2"/>
      <c r="W521" s="2"/>
      <c r="X521" s="2"/>
      <c r="Z521" s="2"/>
      <c r="AA521" s="2"/>
      <c r="AB521" s="2"/>
      <c r="AC521" s="2"/>
    </row>
    <row r="522" spans="1:29" ht="15.75" customHeight="1" x14ac:dyDescent="0.3">
      <c r="A522" s="2"/>
      <c r="C522" s="2"/>
      <c r="D522" s="2"/>
      <c r="E522" s="2"/>
      <c r="F522" s="2"/>
      <c r="G522" s="92"/>
      <c r="H522" s="2"/>
      <c r="I522" s="2"/>
      <c r="J522" s="2"/>
      <c r="K522" s="90"/>
      <c r="L522" s="2"/>
      <c r="N522" s="2"/>
      <c r="O522" s="2"/>
      <c r="P522" s="2"/>
      <c r="Q522" s="2"/>
      <c r="R522" s="2"/>
      <c r="S522" s="2"/>
      <c r="T522" s="2"/>
      <c r="U522" s="222"/>
      <c r="V522" s="2"/>
      <c r="W522" s="2"/>
      <c r="X522" s="2"/>
      <c r="Z522" s="2"/>
      <c r="AA522" s="2"/>
      <c r="AB522" s="2"/>
      <c r="AC522" s="2"/>
    </row>
    <row r="523" spans="1:29" ht="15.75" customHeight="1" x14ac:dyDescent="0.3">
      <c r="A523" s="2"/>
      <c r="C523" s="2"/>
      <c r="D523" s="2"/>
      <c r="E523" s="2"/>
      <c r="F523" s="2"/>
      <c r="G523" s="92"/>
      <c r="H523" s="2"/>
      <c r="I523" s="2"/>
      <c r="J523" s="2"/>
      <c r="K523" s="90"/>
      <c r="L523" s="2"/>
      <c r="N523" s="2"/>
      <c r="O523" s="2"/>
      <c r="P523" s="2"/>
      <c r="Q523" s="2"/>
      <c r="R523" s="2"/>
      <c r="S523" s="2"/>
      <c r="T523" s="2"/>
      <c r="U523" s="222"/>
      <c r="V523" s="2"/>
      <c r="W523" s="2"/>
      <c r="X523" s="2"/>
      <c r="Z523" s="2"/>
      <c r="AA523" s="2"/>
      <c r="AB523" s="2"/>
      <c r="AC523" s="2"/>
    </row>
    <row r="524" spans="1:29" ht="15.75" customHeight="1" x14ac:dyDescent="0.3">
      <c r="A524" s="2"/>
      <c r="C524" s="2"/>
      <c r="D524" s="2"/>
      <c r="E524" s="2"/>
      <c r="F524" s="2"/>
      <c r="G524" s="92"/>
      <c r="H524" s="2"/>
      <c r="I524" s="2"/>
      <c r="J524" s="2"/>
      <c r="K524" s="90"/>
      <c r="L524" s="2"/>
      <c r="N524" s="2"/>
      <c r="O524" s="2"/>
      <c r="P524" s="2"/>
      <c r="Q524" s="2"/>
      <c r="R524" s="2"/>
      <c r="S524" s="2"/>
      <c r="T524" s="2"/>
      <c r="U524" s="222"/>
      <c r="V524" s="2"/>
      <c r="W524" s="2"/>
      <c r="X524" s="2"/>
      <c r="Z524" s="2"/>
      <c r="AA524" s="2"/>
      <c r="AB524" s="2"/>
      <c r="AC524" s="2"/>
    </row>
    <row r="525" spans="1:29" ht="15.75" customHeight="1" x14ac:dyDescent="0.3">
      <c r="A525" s="2"/>
      <c r="C525" s="2"/>
      <c r="D525" s="2"/>
      <c r="E525" s="2"/>
      <c r="F525" s="2"/>
      <c r="G525" s="92"/>
      <c r="H525" s="2"/>
      <c r="I525" s="2"/>
      <c r="J525" s="2"/>
      <c r="K525" s="90"/>
      <c r="L525" s="2"/>
      <c r="N525" s="2"/>
      <c r="O525" s="2"/>
      <c r="P525" s="2"/>
      <c r="Q525" s="2"/>
      <c r="R525" s="2"/>
      <c r="S525" s="2"/>
      <c r="T525" s="2"/>
      <c r="U525" s="222"/>
      <c r="V525" s="2"/>
      <c r="W525" s="2"/>
      <c r="X525" s="2"/>
      <c r="Z525" s="2"/>
      <c r="AA525" s="2"/>
      <c r="AB525" s="2"/>
      <c r="AC525" s="2"/>
    </row>
    <row r="526" spans="1:29" ht="15.75" customHeight="1" x14ac:dyDescent="0.3">
      <c r="A526" s="2"/>
      <c r="C526" s="2"/>
      <c r="D526" s="2"/>
      <c r="E526" s="2"/>
      <c r="F526" s="2"/>
      <c r="G526" s="92"/>
      <c r="H526" s="2"/>
      <c r="I526" s="2"/>
      <c r="J526" s="2"/>
      <c r="K526" s="90"/>
      <c r="L526" s="2"/>
      <c r="N526" s="2"/>
      <c r="O526" s="2"/>
      <c r="P526" s="2"/>
      <c r="Q526" s="2"/>
      <c r="R526" s="2"/>
      <c r="S526" s="2"/>
      <c r="T526" s="2"/>
      <c r="U526" s="222"/>
      <c r="V526" s="2"/>
      <c r="W526" s="2"/>
      <c r="X526" s="2"/>
      <c r="Z526" s="2"/>
      <c r="AA526" s="2"/>
      <c r="AB526" s="2"/>
      <c r="AC526" s="2"/>
    </row>
    <row r="527" spans="1:29" ht="15.75" customHeight="1" x14ac:dyDescent="0.3">
      <c r="A527" s="2"/>
      <c r="C527" s="2"/>
      <c r="D527" s="2"/>
      <c r="E527" s="2"/>
      <c r="F527" s="2"/>
      <c r="G527" s="92"/>
      <c r="H527" s="2"/>
      <c r="I527" s="2"/>
      <c r="J527" s="2"/>
      <c r="K527" s="90"/>
      <c r="L527" s="2"/>
      <c r="N527" s="2"/>
      <c r="O527" s="2"/>
      <c r="P527" s="2"/>
      <c r="Q527" s="2"/>
      <c r="R527" s="2"/>
      <c r="S527" s="2"/>
      <c r="T527" s="2"/>
      <c r="U527" s="222"/>
      <c r="V527" s="2"/>
      <c r="W527" s="2"/>
      <c r="X527" s="2"/>
      <c r="Z527" s="2"/>
      <c r="AA527" s="2"/>
      <c r="AB527" s="2"/>
      <c r="AC527" s="2"/>
    </row>
    <row r="528" spans="1:29" ht="15.75" customHeight="1" x14ac:dyDescent="0.3">
      <c r="A528" s="2"/>
      <c r="C528" s="2"/>
      <c r="D528" s="2"/>
      <c r="E528" s="2"/>
      <c r="F528" s="2"/>
      <c r="G528" s="92"/>
      <c r="H528" s="2"/>
      <c r="I528" s="2"/>
      <c r="J528" s="2"/>
      <c r="K528" s="90"/>
      <c r="L528" s="2"/>
      <c r="N528" s="2"/>
      <c r="O528" s="2"/>
      <c r="P528" s="2"/>
      <c r="Q528" s="2"/>
      <c r="R528" s="2"/>
      <c r="S528" s="2"/>
      <c r="T528" s="2"/>
      <c r="U528" s="222"/>
      <c r="V528" s="2"/>
      <c r="W528" s="2"/>
      <c r="X528" s="2"/>
      <c r="Z528" s="2"/>
      <c r="AA528" s="2"/>
      <c r="AB528" s="2"/>
      <c r="AC528" s="2"/>
    </row>
    <row r="529" spans="1:29" ht="15.75" customHeight="1" x14ac:dyDescent="0.3">
      <c r="A529" s="2"/>
      <c r="C529" s="2"/>
      <c r="D529" s="2"/>
      <c r="E529" s="2"/>
      <c r="F529" s="2"/>
      <c r="G529" s="92"/>
      <c r="H529" s="2"/>
      <c r="I529" s="2"/>
      <c r="J529" s="2"/>
      <c r="K529" s="90"/>
      <c r="L529" s="2"/>
      <c r="N529" s="2"/>
      <c r="O529" s="2"/>
      <c r="P529" s="2"/>
      <c r="Q529" s="2"/>
      <c r="R529" s="2"/>
      <c r="S529" s="2"/>
      <c r="T529" s="2"/>
      <c r="U529" s="222"/>
      <c r="V529" s="2"/>
      <c r="W529" s="2"/>
      <c r="X529" s="2"/>
      <c r="Z529" s="2"/>
      <c r="AA529" s="2"/>
      <c r="AB529" s="2"/>
      <c r="AC529" s="2"/>
    </row>
    <row r="530" spans="1:29" ht="15.75" customHeight="1" x14ac:dyDescent="0.3">
      <c r="A530" s="2"/>
      <c r="C530" s="2"/>
      <c r="D530" s="2"/>
      <c r="E530" s="2"/>
      <c r="F530" s="2"/>
      <c r="G530" s="92"/>
      <c r="H530" s="2"/>
      <c r="I530" s="2"/>
      <c r="J530" s="2"/>
      <c r="K530" s="90"/>
      <c r="L530" s="2"/>
      <c r="N530" s="2"/>
      <c r="O530" s="2"/>
      <c r="P530" s="2"/>
      <c r="Q530" s="2"/>
      <c r="R530" s="2"/>
      <c r="S530" s="2"/>
      <c r="T530" s="2"/>
      <c r="U530" s="222"/>
      <c r="V530" s="2"/>
      <c r="W530" s="2"/>
      <c r="X530" s="2"/>
      <c r="Z530" s="2"/>
      <c r="AA530" s="2"/>
      <c r="AB530" s="2"/>
      <c r="AC530" s="2"/>
    </row>
    <row r="531" spans="1:29" ht="15.75" customHeight="1" x14ac:dyDescent="0.3">
      <c r="A531" s="2"/>
      <c r="C531" s="2"/>
      <c r="D531" s="2"/>
      <c r="E531" s="2"/>
      <c r="F531" s="2"/>
      <c r="G531" s="92"/>
      <c r="H531" s="2"/>
      <c r="I531" s="2"/>
      <c r="J531" s="2"/>
      <c r="K531" s="90"/>
      <c r="L531" s="2"/>
      <c r="N531" s="2"/>
      <c r="O531" s="2"/>
      <c r="P531" s="2"/>
      <c r="Q531" s="2"/>
      <c r="R531" s="2"/>
      <c r="S531" s="2"/>
      <c r="T531" s="2"/>
      <c r="U531" s="222"/>
      <c r="V531" s="2"/>
      <c r="W531" s="2"/>
      <c r="X531" s="2"/>
      <c r="Z531" s="2"/>
      <c r="AA531" s="2"/>
      <c r="AB531" s="2"/>
      <c r="AC531" s="2"/>
    </row>
    <row r="532" spans="1:29" ht="15.75" customHeight="1" x14ac:dyDescent="0.3">
      <c r="A532" s="2"/>
      <c r="C532" s="2"/>
      <c r="D532" s="2"/>
      <c r="E532" s="2"/>
      <c r="F532" s="2"/>
      <c r="G532" s="92"/>
      <c r="H532" s="2"/>
      <c r="I532" s="2"/>
      <c r="J532" s="2"/>
      <c r="K532" s="90"/>
      <c r="L532" s="2"/>
      <c r="N532" s="2"/>
      <c r="O532" s="2"/>
      <c r="P532" s="2"/>
      <c r="Q532" s="2"/>
      <c r="R532" s="2"/>
      <c r="S532" s="2"/>
      <c r="T532" s="2"/>
      <c r="U532" s="222"/>
      <c r="V532" s="2"/>
      <c r="W532" s="2"/>
      <c r="X532" s="2"/>
      <c r="Z532" s="2"/>
      <c r="AA532" s="2"/>
      <c r="AB532" s="2"/>
      <c r="AC532" s="2"/>
    </row>
    <row r="533" spans="1:29" ht="15.75" customHeight="1" x14ac:dyDescent="0.3">
      <c r="A533" s="2"/>
      <c r="C533" s="2"/>
      <c r="D533" s="2"/>
      <c r="E533" s="2"/>
      <c r="F533" s="2"/>
      <c r="G533" s="92"/>
      <c r="H533" s="2"/>
      <c r="I533" s="2"/>
      <c r="J533" s="2"/>
      <c r="K533" s="90"/>
      <c r="L533" s="2"/>
      <c r="N533" s="2"/>
      <c r="O533" s="2"/>
      <c r="P533" s="2"/>
      <c r="Q533" s="2"/>
      <c r="R533" s="2"/>
      <c r="S533" s="2"/>
      <c r="T533" s="2"/>
      <c r="U533" s="222"/>
      <c r="V533" s="2"/>
      <c r="W533" s="2"/>
      <c r="X533" s="2"/>
      <c r="Z533" s="2"/>
      <c r="AA533" s="2"/>
      <c r="AB533" s="2"/>
      <c r="AC533" s="2"/>
    </row>
    <row r="534" spans="1:29" ht="15.75" customHeight="1" x14ac:dyDescent="0.3">
      <c r="A534" s="2"/>
      <c r="C534" s="2"/>
      <c r="D534" s="2"/>
      <c r="E534" s="2"/>
      <c r="F534" s="2"/>
      <c r="G534" s="92"/>
      <c r="H534" s="2"/>
      <c r="I534" s="2"/>
      <c r="J534" s="2"/>
      <c r="K534" s="90"/>
      <c r="L534" s="2"/>
      <c r="N534" s="2"/>
      <c r="O534" s="2"/>
      <c r="P534" s="2"/>
      <c r="Q534" s="2"/>
      <c r="R534" s="2"/>
      <c r="S534" s="2"/>
      <c r="T534" s="2"/>
      <c r="U534" s="222"/>
      <c r="V534" s="2"/>
      <c r="W534" s="2"/>
      <c r="X534" s="2"/>
      <c r="Z534" s="2"/>
      <c r="AA534" s="2"/>
      <c r="AB534" s="2"/>
      <c r="AC534" s="2"/>
    </row>
    <row r="535" spans="1:29" ht="15.75" customHeight="1" x14ac:dyDescent="0.3">
      <c r="A535" s="2"/>
      <c r="C535" s="2"/>
      <c r="D535" s="2"/>
      <c r="E535" s="2"/>
      <c r="F535" s="2"/>
      <c r="G535" s="92"/>
      <c r="H535" s="2"/>
      <c r="I535" s="2"/>
      <c r="J535" s="2"/>
      <c r="K535" s="90"/>
      <c r="L535" s="2"/>
      <c r="N535" s="2"/>
      <c r="O535" s="2"/>
      <c r="P535" s="2"/>
      <c r="Q535" s="2"/>
      <c r="R535" s="2"/>
      <c r="S535" s="2"/>
      <c r="T535" s="2"/>
      <c r="U535" s="222"/>
      <c r="V535" s="2"/>
      <c r="W535" s="2"/>
      <c r="X535" s="2"/>
      <c r="Z535" s="2"/>
      <c r="AA535" s="2"/>
      <c r="AB535" s="2"/>
      <c r="AC535" s="2"/>
    </row>
    <row r="536" spans="1:29" ht="15.75" customHeight="1" x14ac:dyDescent="0.3">
      <c r="A536" s="2"/>
      <c r="C536" s="2"/>
      <c r="D536" s="2"/>
      <c r="E536" s="2"/>
      <c r="F536" s="2"/>
      <c r="G536" s="92"/>
      <c r="H536" s="2"/>
      <c r="I536" s="2"/>
      <c r="J536" s="2"/>
      <c r="K536" s="90"/>
      <c r="L536" s="2"/>
      <c r="N536" s="2"/>
      <c r="O536" s="2"/>
      <c r="P536" s="2"/>
      <c r="Q536" s="2"/>
      <c r="R536" s="2"/>
      <c r="S536" s="2"/>
      <c r="T536" s="2"/>
      <c r="U536" s="222"/>
      <c r="V536" s="2"/>
      <c r="W536" s="2"/>
      <c r="X536" s="2"/>
      <c r="Z536" s="2"/>
      <c r="AA536" s="2"/>
      <c r="AB536" s="2"/>
      <c r="AC536" s="2"/>
    </row>
    <row r="537" spans="1:29" ht="15.75" customHeight="1" x14ac:dyDescent="0.3">
      <c r="A537" s="2"/>
      <c r="C537" s="2"/>
      <c r="D537" s="2"/>
      <c r="E537" s="2"/>
      <c r="F537" s="2"/>
      <c r="G537" s="92"/>
      <c r="H537" s="2"/>
      <c r="I537" s="2"/>
      <c r="J537" s="2"/>
      <c r="K537" s="90"/>
      <c r="L537" s="2"/>
      <c r="N537" s="2"/>
      <c r="O537" s="2"/>
      <c r="P537" s="2"/>
      <c r="Q537" s="2"/>
      <c r="R537" s="2"/>
      <c r="S537" s="2"/>
      <c r="T537" s="2"/>
      <c r="U537" s="222"/>
      <c r="V537" s="2"/>
      <c r="W537" s="2"/>
      <c r="X537" s="2"/>
      <c r="Z537" s="2"/>
      <c r="AA537" s="2"/>
      <c r="AB537" s="2"/>
      <c r="AC537" s="2"/>
    </row>
    <row r="538" spans="1:29" ht="15.75" customHeight="1" x14ac:dyDescent="0.3">
      <c r="A538" s="2"/>
      <c r="C538" s="2"/>
      <c r="D538" s="2"/>
      <c r="E538" s="2"/>
      <c r="F538" s="2"/>
      <c r="G538" s="92"/>
      <c r="H538" s="2"/>
      <c r="I538" s="2"/>
      <c r="J538" s="2"/>
      <c r="K538" s="90"/>
      <c r="L538" s="2"/>
      <c r="N538" s="2"/>
      <c r="O538" s="2"/>
      <c r="P538" s="2"/>
      <c r="Q538" s="2"/>
      <c r="R538" s="2"/>
      <c r="S538" s="2"/>
      <c r="T538" s="2"/>
      <c r="U538" s="222"/>
      <c r="V538" s="2"/>
      <c r="W538" s="2"/>
      <c r="X538" s="2"/>
      <c r="Z538" s="2"/>
      <c r="AA538" s="2"/>
      <c r="AB538" s="2"/>
      <c r="AC538" s="2"/>
    </row>
    <row r="539" spans="1:29" ht="15.75" customHeight="1" x14ac:dyDescent="0.3">
      <c r="A539" s="2"/>
      <c r="C539" s="2"/>
      <c r="D539" s="2"/>
      <c r="E539" s="2"/>
      <c r="F539" s="2"/>
      <c r="G539" s="92"/>
      <c r="H539" s="2"/>
      <c r="I539" s="2"/>
      <c r="J539" s="2"/>
      <c r="K539" s="90"/>
      <c r="L539" s="2"/>
      <c r="N539" s="2"/>
      <c r="O539" s="2"/>
      <c r="P539" s="2"/>
      <c r="Q539" s="2"/>
      <c r="R539" s="2"/>
      <c r="S539" s="2"/>
      <c r="T539" s="2"/>
      <c r="U539" s="222"/>
      <c r="V539" s="2"/>
      <c r="W539" s="2"/>
      <c r="X539" s="2"/>
      <c r="Z539" s="2"/>
      <c r="AA539" s="2"/>
      <c r="AB539" s="2"/>
      <c r="AC539" s="2"/>
    </row>
    <row r="540" spans="1:29" ht="15.75" customHeight="1" x14ac:dyDescent="0.3">
      <c r="A540" s="2"/>
      <c r="C540" s="2"/>
      <c r="D540" s="2"/>
      <c r="E540" s="2"/>
      <c r="F540" s="2"/>
      <c r="G540" s="92"/>
      <c r="H540" s="2"/>
      <c r="I540" s="2"/>
      <c r="J540" s="2"/>
      <c r="K540" s="90"/>
      <c r="L540" s="2"/>
      <c r="N540" s="2"/>
      <c r="O540" s="2"/>
      <c r="P540" s="2"/>
      <c r="Q540" s="2"/>
      <c r="R540" s="2"/>
      <c r="S540" s="2"/>
      <c r="T540" s="2"/>
      <c r="U540" s="222"/>
      <c r="V540" s="2"/>
      <c r="W540" s="2"/>
      <c r="X540" s="2"/>
      <c r="Z540" s="2"/>
      <c r="AA540" s="2"/>
      <c r="AB540" s="2"/>
      <c r="AC540" s="2"/>
    </row>
    <row r="541" spans="1:29" ht="15.75" customHeight="1" x14ac:dyDescent="0.3">
      <c r="A541" s="2"/>
      <c r="C541" s="2"/>
      <c r="D541" s="2"/>
      <c r="E541" s="2"/>
      <c r="F541" s="2"/>
      <c r="G541" s="92"/>
      <c r="H541" s="2"/>
      <c r="I541" s="2"/>
      <c r="J541" s="2"/>
      <c r="K541" s="90"/>
      <c r="L541" s="2"/>
      <c r="N541" s="2"/>
      <c r="O541" s="2"/>
      <c r="P541" s="2"/>
      <c r="Q541" s="2"/>
      <c r="R541" s="2"/>
      <c r="S541" s="2"/>
      <c r="T541" s="2"/>
      <c r="U541" s="222"/>
      <c r="V541" s="2"/>
      <c r="W541" s="2"/>
      <c r="X541" s="2"/>
      <c r="Z541" s="2"/>
      <c r="AA541" s="2"/>
      <c r="AB541" s="2"/>
      <c r="AC541" s="2"/>
    </row>
    <row r="542" spans="1:29" ht="15.75" customHeight="1" x14ac:dyDescent="0.3">
      <c r="A542" s="2"/>
      <c r="C542" s="2"/>
      <c r="D542" s="2"/>
      <c r="E542" s="2"/>
      <c r="F542" s="2"/>
      <c r="G542" s="92"/>
      <c r="H542" s="2"/>
      <c r="I542" s="2"/>
      <c r="J542" s="2"/>
      <c r="K542" s="90"/>
      <c r="L542" s="2"/>
      <c r="N542" s="2"/>
      <c r="O542" s="2"/>
      <c r="P542" s="2"/>
      <c r="Q542" s="2"/>
      <c r="R542" s="2"/>
      <c r="S542" s="2"/>
      <c r="T542" s="2"/>
      <c r="U542" s="222"/>
      <c r="V542" s="2"/>
      <c r="W542" s="2"/>
      <c r="X542" s="2"/>
      <c r="Z542" s="2"/>
      <c r="AA542" s="2"/>
      <c r="AB542" s="2"/>
      <c r="AC542" s="2"/>
    </row>
    <row r="543" spans="1:29" ht="15.75" customHeight="1" x14ac:dyDescent="0.3">
      <c r="A543" s="2"/>
      <c r="C543" s="2"/>
      <c r="D543" s="2"/>
      <c r="E543" s="2"/>
      <c r="F543" s="2"/>
      <c r="G543" s="92"/>
      <c r="H543" s="2"/>
      <c r="I543" s="2"/>
      <c r="J543" s="2"/>
      <c r="K543" s="90"/>
      <c r="L543" s="2"/>
      <c r="N543" s="2"/>
      <c r="O543" s="2"/>
      <c r="P543" s="2"/>
      <c r="Q543" s="2"/>
      <c r="R543" s="2"/>
      <c r="S543" s="2"/>
      <c r="T543" s="2"/>
      <c r="U543" s="222"/>
      <c r="V543" s="2"/>
      <c r="W543" s="2"/>
      <c r="X543" s="2"/>
      <c r="Z543" s="2"/>
      <c r="AA543" s="2"/>
      <c r="AB543" s="2"/>
      <c r="AC543" s="2"/>
    </row>
    <row r="544" spans="1:29" ht="15.75" customHeight="1" x14ac:dyDescent="0.3">
      <c r="A544" s="2"/>
      <c r="C544" s="2"/>
      <c r="D544" s="2"/>
      <c r="E544" s="2"/>
      <c r="F544" s="2"/>
      <c r="G544" s="92"/>
      <c r="H544" s="2"/>
      <c r="I544" s="2"/>
      <c r="J544" s="2"/>
      <c r="K544" s="90"/>
      <c r="L544" s="2"/>
      <c r="N544" s="2"/>
      <c r="O544" s="2"/>
      <c r="P544" s="2"/>
      <c r="Q544" s="2"/>
      <c r="R544" s="2"/>
      <c r="S544" s="2"/>
      <c r="T544" s="2"/>
      <c r="U544" s="222"/>
      <c r="V544" s="2"/>
      <c r="W544" s="2"/>
      <c r="X544" s="2"/>
      <c r="Z544" s="2"/>
      <c r="AA544" s="2"/>
      <c r="AB544" s="2"/>
      <c r="AC544" s="2"/>
    </row>
    <row r="545" spans="1:29" ht="15.75" customHeight="1" x14ac:dyDescent="0.3">
      <c r="A545" s="2"/>
      <c r="C545" s="2"/>
      <c r="D545" s="2"/>
      <c r="E545" s="2"/>
      <c r="F545" s="2"/>
      <c r="G545" s="92"/>
      <c r="H545" s="2"/>
      <c r="I545" s="2"/>
      <c r="J545" s="2"/>
      <c r="K545" s="90"/>
      <c r="L545" s="2"/>
      <c r="N545" s="2"/>
      <c r="O545" s="2"/>
      <c r="P545" s="2"/>
      <c r="Q545" s="2"/>
      <c r="R545" s="2"/>
      <c r="S545" s="2"/>
      <c r="T545" s="2"/>
      <c r="U545" s="222"/>
      <c r="V545" s="2"/>
      <c r="W545" s="2"/>
      <c r="X545" s="2"/>
      <c r="Z545" s="2"/>
      <c r="AA545" s="2"/>
      <c r="AB545" s="2"/>
      <c r="AC545" s="2"/>
    </row>
    <row r="546" spans="1:29" ht="15.75" customHeight="1" x14ac:dyDescent="0.3">
      <c r="A546" s="2"/>
      <c r="C546" s="2"/>
      <c r="D546" s="2"/>
      <c r="E546" s="2"/>
      <c r="F546" s="2"/>
      <c r="G546" s="92"/>
      <c r="H546" s="2"/>
      <c r="I546" s="2"/>
      <c r="J546" s="2"/>
      <c r="K546" s="90"/>
      <c r="L546" s="2"/>
      <c r="N546" s="2"/>
      <c r="O546" s="2"/>
      <c r="P546" s="2"/>
      <c r="Q546" s="2"/>
      <c r="R546" s="2"/>
      <c r="S546" s="2"/>
      <c r="T546" s="2"/>
      <c r="U546" s="222"/>
      <c r="V546" s="2"/>
      <c r="W546" s="2"/>
      <c r="X546" s="2"/>
      <c r="Z546" s="2"/>
      <c r="AA546" s="2"/>
      <c r="AB546" s="2"/>
      <c r="AC546" s="2"/>
    </row>
    <row r="547" spans="1:29" ht="15.75" customHeight="1" x14ac:dyDescent="0.3">
      <c r="A547" s="2"/>
      <c r="C547" s="2"/>
      <c r="D547" s="2"/>
      <c r="E547" s="2"/>
      <c r="F547" s="2"/>
      <c r="G547" s="92"/>
      <c r="H547" s="2"/>
      <c r="I547" s="2"/>
      <c r="J547" s="2"/>
      <c r="K547" s="90"/>
      <c r="L547" s="2"/>
      <c r="N547" s="2"/>
      <c r="O547" s="2"/>
      <c r="P547" s="2"/>
      <c r="Q547" s="2"/>
      <c r="R547" s="2"/>
      <c r="S547" s="2"/>
      <c r="T547" s="2"/>
      <c r="U547" s="222"/>
      <c r="V547" s="2"/>
      <c r="W547" s="2"/>
      <c r="X547" s="2"/>
      <c r="Z547" s="2"/>
      <c r="AA547" s="2"/>
      <c r="AB547" s="2"/>
      <c r="AC547" s="2"/>
    </row>
    <row r="548" spans="1:29" ht="15.75" customHeight="1" x14ac:dyDescent="0.3">
      <c r="A548" s="2"/>
      <c r="C548" s="2"/>
      <c r="D548" s="2"/>
      <c r="E548" s="2"/>
      <c r="F548" s="2"/>
      <c r="G548" s="92"/>
      <c r="H548" s="2"/>
      <c r="I548" s="2"/>
      <c r="J548" s="2"/>
      <c r="K548" s="90"/>
      <c r="L548" s="2"/>
      <c r="N548" s="2"/>
      <c r="O548" s="2"/>
      <c r="P548" s="2"/>
      <c r="Q548" s="2"/>
      <c r="R548" s="2"/>
      <c r="S548" s="2"/>
      <c r="T548" s="2"/>
      <c r="U548" s="222"/>
      <c r="V548" s="2"/>
      <c r="W548" s="2"/>
      <c r="X548" s="2"/>
      <c r="Z548" s="2"/>
      <c r="AA548" s="2"/>
      <c r="AB548" s="2"/>
      <c r="AC548" s="2"/>
    </row>
    <row r="549" spans="1:29" ht="15.75" customHeight="1" x14ac:dyDescent="0.3">
      <c r="A549" s="2"/>
      <c r="C549" s="2"/>
      <c r="D549" s="2"/>
      <c r="E549" s="2"/>
      <c r="F549" s="2"/>
      <c r="G549" s="92"/>
      <c r="H549" s="2"/>
      <c r="I549" s="2"/>
      <c r="J549" s="2"/>
      <c r="K549" s="90"/>
      <c r="L549" s="2"/>
      <c r="N549" s="2"/>
      <c r="O549" s="2"/>
      <c r="P549" s="2"/>
      <c r="Q549" s="2"/>
      <c r="R549" s="2"/>
      <c r="S549" s="2"/>
      <c r="T549" s="2"/>
      <c r="U549" s="222"/>
      <c r="V549" s="2"/>
      <c r="W549" s="2"/>
      <c r="X549" s="2"/>
      <c r="Z549" s="2"/>
      <c r="AA549" s="2"/>
      <c r="AB549" s="2"/>
      <c r="AC549" s="2"/>
    </row>
    <row r="550" spans="1:29" ht="15.75" customHeight="1" x14ac:dyDescent="0.3">
      <c r="A550" s="2"/>
      <c r="C550" s="2"/>
      <c r="D550" s="2"/>
      <c r="E550" s="2"/>
      <c r="F550" s="2"/>
      <c r="G550" s="92"/>
      <c r="H550" s="2"/>
      <c r="I550" s="2"/>
      <c r="J550" s="2"/>
      <c r="K550" s="90"/>
      <c r="L550" s="2"/>
      <c r="N550" s="2"/>
      <c r="O550" s="2"/>
      <c r="P550" s="2"/>
      <c r="Q550" s="2"/>
      <c r="R550" s="2"/>
      <c r="S550" s="2"/>
      <c r="T550" s="2"/>
      <c r="U550" s="222"/>
      <c r="V550" s="2"/>
      <c r="W550" s="2"/>
      <c r="X550" s="2"/>
      <c r="Z550" s="2"/>
      <c r="AA550" s="2"/>
      <c r="AB550" s="2"/>
      <c r="AC550" s="2"/>
    </row>
    <row r="551" spans="1:29" ht="15.75" customHeight="1" x14ac:dyDescent="0.3">
      <c r="A551" s="2"/>
      <c r="C551" s="2"/>
      <c r="D551" s="2"/>
      <c r="E551" s="2"/>
      <c r="F551" s="2"/>
      <c r="G551" s="92"/>
      <c r="H551" s="2"/>
      <c r="I551" s="2"/>
      <c r="J551" s="2"/>
      <c r="K551" s="90"/>
      <c r="L551" s="2"/>
      <c r="N551" s="2"/>
      <c r="O551" s="2"/>
      <c r="P551" s="2"/>
      <c r="Q551" s="2"/>
      <c r="R551" s="2"/>
      <c r="S551" s="2"/>
      <c r="T551" s="2"/>
      <c r="U551" s="222"/>
      <c r="V551" s="2"/>
      <c r="W551" s="2"/>
      <c r="X551" s="2"/>
      <c r="Z551" s="2"/>
      <c r="AA551" s="2"/>
      <c r="AB551" s="2"/>
      <c r="AC551" s="2"/>
    </row>
    <row r="552" spans="1:29" ht="15.75" customHeight="1" x14ac:dyDescent="0.3">
      <c r="A552" s="2"/>
      <c r="C552" s="2"/>
      <c r="D552" s="2"/>
      <c r="E552" s="2"/>
      <c r="F552" s="2"/>
      <c r="G552" s="92"/>
      <c r="H552" s="2"/>
      <c r="I552" s="2"/>
      <c r="J552" s="2"/>
      <c r="K552" s="90"/>
      <c r="L552" s="2"/>
      <c r="N552" s="2"/>
      <c r="O552" s="2"/>
      <c r="P552" s="2"/>
      <c r="Q552" s="2"/>
      <c r="R552" s="2"/>
      <c r="S552" s="2"/>
      <c r="T552" s="2"/>
      <c r="U552" s="222"/>
      <c r="V552" s="2"/>
      <c r="W552" s="2"/>
      <c r="X552" s="2"/>
      <c r="Z552" s="2"/>
      <c r="AA552" s="2"/>
      <c r="AB552" s="2"/>
      <c r="AC552" s="2"/>
    </row>
    <row r="553" spans="1:29" ht="15.75" customHeight="1" x14ac:dyDescent="0.3">
      <c r="A553" s="2"/>
      <c r="C553" s="2"/>
      <c r="D553" s="2"/>
      <c r="E553" s="2"/>
      <c r="F553" s="2"/>
      <c r="G553" s="92"/>
      <c r="H553" s="2"/>
      <c r="I553" s="2"/>
      <c r="J553" s="2"/>
      <c r="K553" s="90"/>
      <c r="L553" s="2"/>
      <c r="N553" s="2"/>
      <c r="O553" s="2"/>
      <c r="P553" s="2"/>
      <c r="Q553" s="2"/>
      <c r="R553" s="2"/>
      <c r="S553" s="2"/>
      <c r="T553" s="2"/>
      <c r="U553" s="222"/>
      <c r="V553" s="2"/>
      <c r="W553" s="2"/>
      <c r="X553" s="2"/>
      <c r="Z553" s="2"/>
      <c r="AA553" s="2"/>
      <c r="AB553" s="2"/>
      <c r="AC553" s="2"/>
    </row>
    <row r="554" spans="1:29" ht="15.75" customHeight="1" x14ac:dyDescent="0.3">
      <c r="A554" s="2"/>
      <c r="C554" s="2"/>
      <c r="D554" s="2"/>
      <c r="E554" s="2"/>
      <c r="F554" s="2"/>
      <c r="G554" s="92"/>
      <c r="H554" s="2"/>
      <c r="I554" s="2"/>
      <c r="J554" s="2"/>
      <c r="K554" s="90"/>
      <c r="L554" s="2"/>
      <c r="N554" s="2"/>
      <c r="O554" s="2"/>
      <c r="P554" s="2"/>
      <c r="Q554" s="2"/>
      <c r="R554" s="2"/>
      <c r="S554" s="2"/>
      <c r="T554" s="2"/>
      <c r="U554" s="222"/>
      <c r="V554" s="2"/>
      <c r="W554" s="2"/>
      <c r="X554" s="2"/>
      <c r="Z554" s="2"/>
      <c r="AA554" s="2"/>
      <c r="AB554" s="2"/>
      <c r="AC554" s="2"/>
    </row>
    <row r="555" spans="1:29" ht="15.75" customHeight="1" x14ac:dyDescent="0.3">
      <c r="A555" s="2"/>
      <c r="C555" s="2"/>
      <c r="D555" s="2"/>
      <c r="E555" s="2"/>
      <c r="F555" s="2"/>
      <c r="G555" s="92"/>
      <c r="H555" s="2"/>
      <c r="I555" s="2"/>
      <c r="J555" s="2"/>
      <c r="K555" s="90"/>
      <c r="L555" s="2"/>
      <c r="N555" s="2"/>
      <c r="O555" s="2"/>
      <c r="P555" s="2"/>
      <c r="Q555" s="2"/>
      <c r="R555" s="2"/>
      <c r="S555" s="2"/>
      <c r="T555" s="2"/>
      <c r="U555" s="222"/>
      <c r="V555" s="2"/>
      <c r="W555" s="2"/>
      <c r="X555" s="2"/>
      <c r="Z555" s="2"/>
      <c r="AA555" s="2"/>
      <c r="AB555" s="2"/>
      <c r="AC555" s="2"/>
    </row>
    <row r="556" spans="1:29" ht="15.75" customHeight="1" x14ac:dyDescent="0.3">
      <c r="A556" s="2"/>
      <c r="C556" s="2"/>
      <c r="D556" s="2"/>
      <c r="E556" s="2"/>
      <c r="F556" s="2"/>
      <c r="G556" s="92"/>
      <c r="H556" s="2"/>
      <c r="I556" s="2"/>
      <c r="J556" s="2"/>
      <c r="K556" s="90"/>
      <c r="L556" s="2"/>
      <c r="N556" s="2"/>
      <c r="O556" s="2"/>
      <c r="P556" s="2"/>
      <c r="Q556" s="2"/>
      <c r="R556" s="2"/>
      <c r="S556" s="2"/>
      <c r="T556" s="2"/>
      <c r="U556" s="222"/>
      <c r="V556" s="2"/>
      <c r="W556" s="2"/>
      <c r="X556" s="2"/>
      <c r="Z556" s="2"/>
      <c r="AA556" s="2"/>
      <c r="AB556" s="2"/>
      <c r="AC556" s="2"/>
    </row>
    <row r="557" spans="1:29" ht="15.75" customHeight="1" x14ac:dyDescent="0.3">
      <c r="A557" s="2"/>
      <c r="C557" s="2"/>
      <c r="D557" s="2"/>
      <c r="E557" s="2"/>
      <c r="F557" s="2"/>
      <c r="G557" s="92"/>
      <c r="H557" s="2"/>
      <c r="I557" s="2"/>
      <c r="J557" s="2"/>
      <c r="K557" s="90"/>
      <c r="L557" s="2"/>
      <c r="N557" s="2"/>
      <c r="O557" s="2"/>
      <c r="P557" s="2"/>
      <c r="Q557" s="2"/>
      <c r="R557" s="2"/>
      <c r="S557" s="2"/>
      <c r="T557" s="2"/>
      <c r="U557" s="222"/>
      <c r="V557" s="2"/>
      <c r="W557" s="2"/>
      <c r="X557" s="2"/>
      <c r="Z557" s="2"/>
      <c r="AA557" s="2"/>
      <c r="AB557" s="2"/>
      <c r="AC557" s="2"/>
    </row>
    <row r="558" spans="1:29" ht="15.75" customHeight="1" x14ac:dyDescent="0.3">
      <c r="A558" s="2"/>
      <c r="C558" s="2"/>
      <c r="D558" s="2"/>
      <c r="E558" s="2"/>
      <c r="F558" s="2"/>
      <c r="G558" s="92"/>
      <c r="H558" s="2"/>
      <c r="I558" s="2"/>
      <c r="J558" s="2"/>
      <c r="K558" s="90"/>
      <c r="L558" s="2"/>
      <c r="N558" s="2"/>
      <c r="O558" s="2"/>
      <c r="P558" s="2"/>
      <c r="Q558" s="2"/>
      <c r="R558" s="2"/>
      <c r="S558" s="2"/>
      <c r="T558" s="2"/>
      <c r="U558" s="222"/>
      <c r="V558" s="2"/>
      <c r="W558" s="2"/>
      <c r="X558" s="2"/>
      <c r="Z558" s="2"/>
      <c r="AA558" s="2"/>
      <c r="AB558" s="2"/>
      <c r="AC558" s="2"/>
    </row>
    <row r="559" spans="1:29" ht="15.75" customHeight="1" x14ac:dyDescent="0.3">
      <c r="A559" s="2"/>
      <c r="C559" s="2"/>
      <c r="D559" s="2"/>
      <c r="E559" s="2"/>
      <c r="F559" s="2"/>
      <c r="G559" s="92"/>
      <c r="H559" s="2"/>
      <c r="I559" s="2"/>
      <c r="J559" s="2"/>
      <c r="K559" s="90"/>
      <c r="L559" s="2"/>
      <c r="N559" s="2"/>
      <c r="O559" s="2"/>
      <c r="P559" s="2"/>
      <c r="Q559" s="2"/>
      <c r="R559" s="2"/>
      <c r="S559" s="2"/>
      <c r="T559" s="2"/>
      <c r="U559" s="222"/>
      <c r="V559" s="2"/>
      <c r="W559" s="2"/>
      <c r="X559" s="2"/>
      <c r="Z559" s="2"/>
      <c r="AA559" s="2"/>
      <c r="AB559" s="2"/>
      <c r="AC559" s="2"/>
    </row>
    <row r="560" spans="1:29" ht="15.75" customHeight="1" x14ac:dyDescent="0.3">
      <c r="A560" s="2"/>
      <c r="C560" s="2"/>
      <c r="D560" s="2"/>
      <c r="E560" s="2"/>
      <c r="F560" s="2"/>
      <c r="G560" s="92"/>
      <c r="H560" s="2"/>
      <c r="I560" s="2"/>
      <c r="J560" s="2"/>
      <c r="K560" s="90"/>
      <c r="L560" s="2"/>
      <c r="N560" s="2"/>
      <c r="O560" s="2"/>
      <c r="P560" s="2"/>
      <c r="Q560" s="2"/>
      <c r="R560" s="2"/>
      <c r="S560" s="2"/>
      <c r="T560" s="2"/>
      <c r="U560" s="222"/>
      <c r="V560" s="2"/>
      <c r="W560" s="2"/>
      <c r="X560" s="2"/>
      <c r="Z560" s="2"/>
      <c r="AA560" s="2"/>
      <c r="AB560" s="2"/>
      <c r="AC560" s="2"/>
    </row>
    <row r="561" spans="1:29" ht="15.75" customHeight="1" x14ac:dyDescent="0.3">
      <c r="A561" s="2"/>
      <c r="C561" s="2"/>
      <c r="D561" s="2"/>
      <c r="E561" s="2"/>
      <c r="F561" s="2"/>
      <c r="G561" s="92"/>
      <c r="H561" s="2"/>
      <c r="I561" s="2"/>
      <c r="J561" s="2"/>
      <c r="K561" s="90"/>
      <c r="L561" s="2"/>
      <c r="N561" s="2"/>
      <c r="O561" s="2"/>
      <c r="P561" s="2"/>
      <c r="Q561" s="2"/>
      <c r="R561" s="2"/>
      <c r="S561" s="2"/>
      <c r="T561" s="2"/>
      <c r="U561" s="222"/>
      <c r="V561" s="2"/>
      <c r="W561" s="2"/>
      <c r="X561" s="2"/>
      <c r="Z561" s="2"/>
      <c r="AA561" s="2"/>
      <c r="AB561" s="2"/>
      <c r="AC561" s="2"/>
    </row>
    <row r="562" spans="1:29" ht="15.75" customHeight="1" x14ac:dyDescent="0.3">
      <c r="A562" s="2"/>
      <c r="C562" s="2"/>
      <c r="D562" s="2"/>
      <c r="E562" s="2"/>
      <c r="F562" s="2"/>
      <c r="G562" s="92"/>
      <c r="H562" s="2"/>
      <c r="I562" s="2"/>
      <c r="J562" s="2"/>
      <c r="K562" s="90"/>
      <c r="L562" s="2"/>
      <c r="N562" s="2"/>
      <c r="O562" s="2"/>
      <c r="P562" s="2"/>
      <c r="Q562" s="2"/>
      <c r="R562" s="2"/>
      <c r="S562" s="2"/>
      <c r="T562" s="2"/>
      <c r="U562" s="222"/>
      <c r="V562" s="2"/>
      <c r="W562" s="2"/>
      <c r="X562" s="2"/>
      <c r="Z562" s="2"/>
      <c r="AA562" s="2"/>
      <c r="AB562" s="2"/>
      <c r="AC562" s="2"/>
    </row>
    <row r="563" spans="1:29" ht="15.75" customHeight="1" x14ac:dyDescent="0.3">
      <c r="A563" s="2"/>
      <c r="C563" s="2"/>
      <c r="D563" s="2"/>
      <c r="E563" s="2"/>
      <c r="F563" s="2"/>
      <c r="G563" s="92"/>
      <c r="H563" s="2"/>
      <c r="I563" s="2"/>
      <c r="J563" s="2"/>
      <c r="K563" s="90"/>
      <c r="L563" s="2"/>
      <c r="N563" s="2"/>
      <c r="O563" s="2"/>
      <c r="P563" s="2"/>
      <c r="Q563" s="2"/>
      <c r="R563" s="2"/>
      <c r="S563" s="2"/>
      <c r="T563" s="2"/>
      <c r="U563" s="222"/>
      <c r="V563" s="2"/>
      <c r="W563" s="2"/>
      <c r="X563" s="2"/>
      <c r="Z563" s="2"/>
      <c r="AA563" s="2"/>
      <c r="AB563" s="2"/>
      <c r="AC563" s="2"/>
    </row>
    <row r="564" spans="1:29" ht="15.75" customHeight="1" x14ac:dyDescent="0.3">
      <c r="A564" s="2"/>
      <c r="C564" s="2"/>
      <c r="D564" s="2"/>
      <c r="E564" s="2"/>
      <c r="F564" s="2"/>
      <c r="G564" s="92"/>
      <c r="H564" s="2"/>
      <c r="I564" s="2"/>
      <c r="J564" s="2"/>
      <c r="K564" s="90"/>
      <c r="L564" s="2"/>
      <c r="N564" s="2"/>
      <c r="O564" s="2"/>
      <c r="P564" s="2"/>
      <c r="Q564" s="2"/>
      <c r="R564" s="2"/>
      <c r="S564" s="2"/>
      <c r="T564" s="2"/>
      <c r="U564" s="222"/>
      <c r="V564" s="2"/>
      <c r="W564" s="2"/>
      <c r="X564" s="2"/>
      <c r="Z564" s="2"/>
      <c r="AA564" s="2"/>
      <c r="AB564" s="2"/>
      <c r="AC564" s="2"/>
    </row>
    <row r="565" spans="1:29" ht="15.75" customHeight="1" x14ac:dyDescent="0.3">
      <c r="A565" s="2"/>
      <c r="C565" s="2"/>
      <c r="D565" s="2"/>
      <c r="E565" s="2"/>
      <c r="F565" s="2"/>
      <c r="G565" s="92"/>
      <c r="H565" s="2"/>
      <c r="I565" s="2"/>
      <c r="J565" s="2"/>
      <c r="K565" s="90"/>
      <c r="L565" s="2"/>
      <c r="N565" s="2"/>
      <c r="O565" s="2"/>
      <c r="P565" s="2"/>
      <c r="Q565" s="2"/>
      <c r="R565" s="2"/>
      <c r="S565" s="2"/>
      <c r="T565" s="2"/>
      <c r="U565" s="222"/>
      <c r="V565" s="2"/>
      <c r="W565" s="2"/>
      <c r="X565" s="2"/>
      <c r="Z565" s="2"/>
      <c r="AA565" s="2"/>
      <c r="AB565" s="2"/>
      <c r="AC565" s="2"/>
    </row>
    <row r="566" spans="1:29" ht="15.75" customHeight="1" x14ac:dyDescent="0.3">
      <c r="A566" s="2"/>
      <c r="C566" s="2"/>
      <c r="D566" s="2"/>
      <c r="E566" s="2"/>
      <c r="F566" s="2"/>
      <c r="G566" s="92"/>
      <c r="H566" s="2"/>
      <c r="I566" s="2"/>
      <c r="J566" s="2"/>
      <c r="K566" s="90"/>
      <c r="L566" s="2"/>
      <c r="N566" s="2"/>
      <c r="O566" s="2"/>
      <c r="P566" s="2"/>
      <c r="Q566" s="2"/>
      <c r="R566" s="2"/>
      <c r="S566" s="2"/>
      <c r="T566" s="2"/>
      <c r="U566" s="222"/>
      <c r="V566" s="2"/>
      <c r="W566" s="2"/>
      <c r="X566" s="2"/>
      <c r="Z566" s="2"/>
      <c r="AA566" s="2"/>
      <c r="AB566" s="2"/>
      <c r="AC566" s="2"/>
    </row>
    <row r="567" spans="1:29" ht="15.75" customHeight="1" x14ac:dyDescent="0.3">
      <c r="A567" s="2"/>
      <c r="C567" s="2"/>
      <c r="D567" s="2"/>
      <c r="E567" s="2"/>
      <c r="F567" s="2"/>
      <c r="G567" s="92"/>
      <c r="H567" s="2"/>
      <c r="I567" s="2"/>
      <c r="J567" s="2"/>
      <c r="K567" s="90"/>
      <c r="L567" s="2"/>
      <c r="N567" s="2"/>
      <c r="O567" s="2"/>
      <c r="P567" s="2"/>
      <c r="Q567" s="2"/>
      <c r="R567" s="2"/>
      <c r="S567" s="2"/>
      <c r="T567" s="2"/>
      <c r="U567" s="222"/>
      <c r="V567" s="2"/>
      <c r="W567" s="2"/>
      <c r="X567" s="2"/>
      <c r="Z567" s="2"/>
      <c r="AA567" s="2"/>
      <c r="AB567" s="2"/>
      <c r="AC567" s="2"/>
    </row>
    <row r="568" spans="1:29" ht="15.75" customHeight="1" x14ac:dyDescent="0.3">
      <c r="A568" s="2"/>
      <c r="C568" s="2"/>
      <c r="D568" s="2"/>
      <c r="E568" s="2"/>
      <c r="F568" s="2"/>
      <c r="G568" s="92"/>
      <c r="H568" s="2"/>
      <c r="I568" s="2"/>
      <c r="J568" s="2"/>
      <c r="K568" s="90"/>
      <c r="L568" s="2"/>
      <c r="N568" s="2"/>
      <c r="O568" s="2"/>
      <c r="P568" s="2"/>
      <c r="Q568" s="2"/>
      <c r="R568" s="2"/>
      <c r="S568" s="2"/>
      <c r="T568" s="2"/>
      <c r="U568" s="222"/>
      <c r="V568" s="2"/>
      <c r="W568" s="2"/>
      <c r="X568" s="2"/>
      <c r="Z568" s="2"/>
      <c r="AA568" s="2"/>
      <c r="AB568" s="2"/>
      <c r="AC568" s="2"/>
    </row>
    <row r="569" spans="1:29" ht="15.75" customHeight="1" x14ac:dyDescent="0.3">
      <c r="A569" s="2"/>
      <c r="C569" s="2"/>
      <c r="D569" s="2"/>
      <c r="E569" s="2"/>
      <c r="F569" s="2"/>
      <c r="G569" s="92"/>
      <c r="H569" s="2"/>
      <c r="I569" s="2"/>
      <c r="J569" s="2"/>
      <c r="K569" s="90"/>
      <c r="L569" s="2"/>
      <c r="N569" s="2"/>
      <c r="O569" s="2"/>
      <c r="P569" s="2"/>
      <c r="Q569" s="2"/>
      <c r="R569" s="2"/>
      <c r="S569" s="2"/>
      <c r="T569" s="2"/>
      <c r="U569" s="222"/>
      <c r="V569" s="2"/>
      <c r="W569" s="2"/>
      <c r="X569" s="2"/>
      <c r="Z569" s="2"/>
      <c r="AA569" s="2"/>
      <c r="AB569" s="2"/>
      <c r="AC569" s="2"/>
    </row>
    <row r="570" spans="1:29" ht="15.75" customHeight="1" x14ac:dyDescent="0.3">
      <c r="A570" s="2"/>
      <c r="C570" s="2"/>
      <c r="D570" s="2"/>
      <c r="E570" s="2"/>
      <c r="F570" s="2"/>
      <c r="G570" s="92"/>
      <c r="H570" s="2"/>
      <c r="I570" s="2"/>
      <c r="J570" s="2"/>
      <c r="K570" s="90"/>
      <c r="L570" s="2"/>
      <c r="N570" s="2"/>
      <c r="O570" s="2"/>
      <c r="P570" s="2"/>
      <c r="Q570" s="2"/>
      <c r="R570" s="2"/>
      <c r="S570" s="2"/>
      <c r="T570" s="2"/>
      <c r="U570" s="222"/>
      <c r="V570" s="2"/>
      <c r="W570" s="2"/>
      <c r="X570" s="2"/>
      <c r="Z570" s="2"/>
      <c r="AA570" s="2"/>
      <c r="AB570" s="2"/>
      <c r="AC570" s="2"/>
    </row>
    <row r="571" spans="1:29" ht="15.75" customHeight="1" x14ac:dyDescent="0.3">
      <c r="A571" s="2"/>
      <c r="C571" s="2"/>
      <c r="D571" s="2"/>
      <c r="E571" s="2"/>
      <c r="F571" s="2"/>
      <c r="G571" s="92"/>
      <c r="H571" s="2"/>
      <c r="I571" s="2"/>
      <c r="J571" s="2"/>
      <c r="K571" s="90"/>
      <c r="L571" s="2"/>
      <c r="N571" s="2"/>
      <c r="O571" s="2"/>
      <c r="P571" s="2"/>
      <c r="Q571" s="2"/>
      <c r="R571" s="2"/>
      <c r="S571" s="2"/>
      <c r="T571" s="2"/>
      <c r="U571" s="222"/>
      <c r="V571" s="2"/>
      <c r="W571" s="2"/>
      <c r="X571" s="2"/>
      <c r="Z571" s="2"/>
      <c r="AA571" s="2"/>
      <c r="AB571" s="2"/>
      <c r="AC571" s="2"/>
    </row>
    <row r="572" spans="1:29" ht="15.75" customHeight="1" x14ac:dyDescent="0.3">
      <c r="A572" s="2"/>
      <c r="C572" s="2"/>
      <c r="D572" s="2"/>
      <c r="E572" s="2"/>
      <c r="F572" s="2"/>
      <c r="G572" s="92"/>
      <c r="H572" s="2"/>
      <c r="I572" s="2"/>
      <c r="J572" s="2"/>
      <c r="K572" s="90"/>
      <c r="L572" s="2"/>
      <c r="N572" s="2"/>
      <c r="O572" s="2"/>
      <c r="P572" s="2"/>
      <c r="Q572" s="2"/>
      <c r="R572" s="2"/>
      <c r="S572" s="2"/>
      <c r="T572" s="2"/>
      <c r="U572" s="222"/>
      <c r="V572" s="2"/>
      <c r="W572" s="2"/>
      <c r="X572" s="2"/>
      <c r="Z572" s="2"/>
      <c r="AA572" s="2"/>
      <c r="AB572" s="2"/>
      <c r="AC572" s="2"/>
    </row>
    <row r="573" spans="1:29" ht="15.75" customHeight="1" x14ac:dyDescent="0.3">
      <c r="A573" s="2"/>
      <c r="C573" s="2"/>
      <c r="D573" s="2"/>
      <c r="E573" s="2"/>
      <c r="F573" s="2"/>
      <c r="G573" s="92"/>
      <c r="H573" s="2"/>
      <c r="I573" s="2"/>
      <c r="J573" s="2"/>
      <c r="K573" s="90"/>
      <c r="L573" s="2"/>
      <c r="N573" s="2"/>
      <c r="O573" s="2"/>
      <c r="P573" s="2"/>
      <c r="Q573" s="2"/>
      <c r="R573" s="2"/>
      <c r="S573" s="2"/>
      <c r="T573" s="2"/>
      <c r="U573" s="222"/>
      <c r="V573" s="2"/>
      <c r="W573" s="2"/>
      <c r="X573" s="2"/>
      <c r="Z573" s="2"/>
      <c r="AA573" s="2"/>
      <c r="AB573" s="2"/>
      <c r="AC573" s="2"/>
    </row>
    <row r="574" spans="1:29" ht="15.75" customHeight="1" x14ac:dyDescent="0.3">
      <c r="A574" s="2"/>
      <c r="C574" s="2"/>
      <c r="D574" s="2"/>
      <c r="E574" s="2"/>
      <c r="F574" s="2"/>
      <c r="G574" s="92"/>
      <c r="H574" s="2"/>
      <c r="I574" s="2"/>
      <c r="J574" s="2"/>
      <c r="K574" s="90"/>
      <c r="L574" s="2"/>
      <c r="N574" s="2"/>
      <c r="O574" s="2"/>
      <c r="P574" s="2"/>
      <c r="Q574" s="2"/>
      <c r="R574" s="2"/>
      <c r="S574" s="2"/>
      <c r="T574" s="2"/>
      <c r="U574" s="222"/>
      <c r="V574" s="2"/>
      <c r="W574" s="2"/>
      <c r="X574" s="2"/>
      <c r="Z574" s="2"/>
      <c r="AA574" s="2"/>
      <c r="AB574" s="2"/>
      <c r="AC574" s="2"/>
    </row>
    <row r="575" spans="1:29" ht="15.75" customHeight="1" x14ac:dyDescent="0.3">
      <c r="A575" s="2"/>
      <c r="C575" s="2"/>
      <c r="D575" s="2"/>
      <c r="E575" s="2"/>
      <c r="F575" s="2"/>
      <c r="G575" s="92"/>
      <c r="H575" s="2"/>
      <c r="I575" s="2"/>
      <c r="J575" s="2"/>
      <c r="K575" s="90"/>
      <c r="L575" s="2"/>
      <c r="N575" s="2"/>
      <c r="O575" s="2"/>
      <c r="P575" s="2"/>
      <c r="Q575" s="2"/>
      <c r="R575" s="2"/>
      <c r="S575" s="2"/>
      <c r="T575" s="2"/>
      <c r="U575" s="222"/>
      <c r="V575" s="2"/>
      <c r="W575" s="2"/>
      <c r="X575" s="2"/>
      <c r="Z575" s="2"/>
      <c r="AA575" s="2"/>
      <c r="AB575" s="2"/>
      <c r="AC575" s="2"/>
    </row>
    <row r="576" spans="1:29" ht="15.75" customHeight="1" x14ac:dyDescent="0.3">
      <c r="A576" s="2"/>
      <c r="C576" s="2"/>
      <c r="D576" s="2"/>
      <c r="E576" s="2"/>
      <c r="F576" s="2"/>
      <c r="G576" s="92"/>
      <c r="H576" s="2"/>
      <c r="I576" s="2"/>
      <c r="J576" s="2"/>
      <c r="K576" s="90"/>
      <c r="L576" s="2"/>
      <c r="N576" s="2"/>
      <c r="O576" s="2"/>
      <c r="P576" s="2"/>
      <c r="Q576" s="2"/>
      <c r="R576" s="2"/>
      <c r="S576" s="2"/>
      <c r="T576" s="2"/>
      <c r="U576" s="222"/>
      <c r="V576" s="2"/>
      <c r="W576" s="2"/>
      <c r="X576" s="2"/>
      <c r="Z576" s="2"/>
      <c r="AA576" s="2"/>
      <c r="AB576" s="2"/>
      <c r="AC576" s="2"/>
    </row>
    <row r="577" spans="1:29" ht="15.75" customHeight="1" x14ac:dyDescent="0.3">
      <c r="A577" s="2"/>
      <c r="C577" s="2"/>
      <c r="D577" s="2"/>
      <c r="E577" s="2"/>
      <c r="F577" s="2"/>
      <c r="G577" s="92"/>
      <c r="H577" s="2"/>
      <c r="I577" s="2"/>
      <c r="J577" s="2"/>
      <c r="K577" s="90"/>
      <c r="L577" s="2"/>
      <c r="N577" s="2"/>
      <c r="O577" s="2"/>
      <c r="P577" s="2"/>
      <c r="Q577" s="2"/>
      <c r="R577" s="2"/>
      <c r="S577" s="2"/>
      <c r="T577" s="2"/>
      <c r="U577" s="222"/>
      <c r="V577" s="2"/>
      <c r="W577" s="2"/>
      <c r="X577" s="2"/>
      <c r="Z577" s="2"/>
      <c r="AA577" s="2"/>
      <c r="AB577" s="2"/>
      <c r="AC577" s="2"/>
    </row>
    <row r="578" spans="1:29" ht="15.75" customHeight="1" x14ac:dyDescent="0.3">
      <c r="A578" s="2"/>
      <c r="C578" s="2"/>
      <c r="D578" s="2"/>
      <c r="E578" s="2"/>
      <c r="F578" s="2"/>
      <c r="G578" s="92"/>
      <c r="H578" s="2"/>
      <c r="I578" s="2"/>
      <c r="J578" s="2"/>
      <c r="K578" s="90"/>
      <c r="L578" s="2"/>
      <c r="N578" s="2"/>
      <c r="O578" s="2"/>
      <c r="P578" s="2"/>
      <c r="Q578" s="2"/>
      <c r="R578" s="2"/>
      <c r="S578" s="2"/>
      <c r="T578" s="2"/>
      <c r="U578" s="222"/>
      <c r="V578" s="2"/>
      <c r="W578" s="2"/>
      <c r="X578" s="2"/>
      <c r="Z578" s="2"/>
      <c r="AA578" s="2"/>
      <c r="AB578" s="2"/>
      <c r="AC578" s="2"/>
    </row>
    <row r="579" spans="1:29" ht="15.75" customHeight="1" x14ac:dyDescent="0.3">
      <c r="A579" s="2"/>
      <c r="C579" s="2"/>
      <c r="D579" s="2"/>
      <c r="E579" s="2"/>
      <c r="F579" s="2"/>
      <c r="G579" s="92"/>
      <c r="H579" s="2"/>
      <c r="I579" s="2"/>
      <c r="J579" s="2"/>
      <c r="K579" s="90"/>
      <c r="L579" s="2"/>
      <c r="N579" s="2"/>
      <c r="O579" s="2"/>
      <c r="P579" s="2"/>
      <c r="Q579" s="2"/>
      <c r="R579" s="2"/>
      <c r="S579" s="2"/>
      <c r="T579" s="2"/>
      <c r="U579" s="222"/>
      <c r="V579" s="2"/>
      <c r="W579" s="2"/>
      <c r="X579" s="2"/>
      <c r="Z579" s="2"/>
      <c r="AA579" s="2"/>
      <c r="AB579" s="2"/>
      <c r="AC579" s="2"/>
    </row>
    <row r="580" spans="1:29" ht="15.75" customHeight="1" x14ac:dyDescent="0.3">
      <c r="A580" s="2"/>
      <c r="C580" s="2"/>
      <c r="D580" s="2"/>
      <c r="E580" s="2"/>
      <c r="F580" s="2"/>
      <c r="G580" s="92"/>
      <c r="H580" s="2"/>
      <c r="I580" s="2"/>
      <c r="J580" s="2"/>
      <c r="K580" s="90"/>
      <c r="L580" s="2"/>
      <c r="N580" s="2"/>
      <c r="O580" s="2"/>
      <c r="P580" s="2"/>
      <c r="Q580" s="2"/>
      <c r="R580" s="2"/>
      <c r="S580" s="2"/>
      <c r="T580" s="2"/>
      <c r="U580" s="222"/>
      <c r="V580" s="2"/>
      <c r="W580" s="2"/>
      <c r="X580" s="2"/>
      <c r="Z580" s="2"/>
      <c r="AA580" s="2"/>
      <c r="AB580" s="2"/>
      <c r="AC580" s="2"/>
    </row>
    <row r="581" spans="1:29" ht="15.75" customHeight="1" x14ac:dyDescent="0.3">
      <c r="A581" s="2"/>
      <c r="C581" s="2"/>
      <c r="D581" s="2"/>
      <c r="E581" s="2"/>
      <c r="F581" s="2"/>
      <c r="G581" s="92"/>
      <c r="H581" s="2"/>
      <c r="I581" s="2"/>
      <c r="J581" s="2"/>
      <c r="K581" s="90"/>
      <c r="L581" s="2"/>
      <c r="N581" s="2"/>
      <c r="O581" s="2"/>
      <c r="P581" s="2"/>
      <c r="Q581" s="2"/>
      <c r="R581" s="2"/>
      <c r="S581" s="2"/>
      <c r="T581" s="2"/>
      <c r="U581" s="222"/>
      <c r="V581" s="2"/>
      <c r="W581" s="2"/>
      <c r="X581" s="2"/>
      <c r="Z581" s="2"/>
      <c r="AA581" s="2"/>
      <c r="AB581" s="2"/>
      <c r="AC581" s="2"/>
    </row>
    <row r="582" spans="1:29" ht="15.75" customHeight="1" x14ac:dyDescent="0.3">
      <c r="A582" s="2"/>
      <c r="C582" s="2"/>
      <c r="D582" s="2"/>
      <c r="E582" s="2"/>
      <c r="F582" s="2"/>
      <c r="G582" s="92"/>
      <c r="H582" s="2"/>
      <c r="I582" s="2"/>
      <c r="J582" s="2"/>
      <c r="K582" s="90"/>
      <c r="L582" s="2"/>
      <c r="N582" s="2"/>
      <c r="O582" s="2"/>
      <c r="P582" s="2"/>
      <c r="Q582" s="2"/>
      <c r="R582" s="2"/>
      <c r="S582" s="2"/>
      <c r="T582" s="2"/>
      <c r="U582" s="222"/>
      <c r="V582" s="2"/>
      <c r="W582" s="2"/>
      <c r="X582" s="2"/>
      <c r="Z582" s="2"/>
      <c r="AA582" s="2"/>
      <c r="AB582" s="2"/>
      <c r="AC582" s="2"/>
    </row>
    <row r="583" spans="1:29" ht="15.75" customHeight="1" x14ac:dyDescent="0.3">
      <c r="A583" s="2"/>
      <c r="C583" s="2"/>
      <c r="D583" s="2"/>
      <c r="E583" s="2"/>
      <c r="F583" s="2"/>
      <c r="G583" s="92"/>
      <c r="H583" s="2"/>
      <c r="I583" s="2"/>
      <c r="J583" s="2"/>
      <c r="K583" s="90"/>
      <c r="L583" s="2"/>
      <c r="N583" s="2"/>
      <c r="O583" s="2"/>
      <c r="P583" s="2"/>
      <c r="Q583" s="2"/>
      <c r="R583" s="2"/>
      <c r="S583" s="2"/>
      <c r="T583" s="2"/>
      <c r="U583" s="222"/>
      <c r="V583" s="2"/>
      <c r="W583" s="2"/>
      <c r="X583" s="2"/>
      <c r="Z583" s="2"/>
      <c r="AA583" s="2"/>
      <c r="AB583" s="2"/>
      <c r="AC583" s="2"/>
    </row>
    <row r="584" spans="1:29" ht="15.75" customHeight="1" x14ac:dyDescent="0.3">
      <c r="A584" s="2"/>
      <c r="C584" s="2"/>
      <c r="D584" s="2"/>
      <c r="E584" s="2"/>
      <c r="F584" s="2"/>
      <c r="G584" s="92"/>
      <c r="H584" s="2"/>
      <c r="I584" s="2"/>
      <c r="J584" s="2"/>
      <c r="K584" s="90"/>
      <c r="L584" s="2"/>
      <c r="N584" s="2"/>
      <c r="O584" s="2"/>
      <c r="P584" s="2"/>
      <c r="Q584" s="2"/>
      <c r="R584" s="2"/>
      <c r="S584" s="2"/>
      <c r="T584" s="2"/>
      <c r="U584" s="222"/>
      <c r="V584" s="2"/>
      <c r="W584" s="2"/>
      <c r="X584" s="2"/>
      <c r="Z584" s="2"/>
      <c r="AA584" s="2"/>
      <c r="AB584" s="2"/>
      <c r="AC584" s="2"/>
    </row>
    <row r="585" spans="1:29" ht="15.75" customHeight="1" x14ac:dyDescent="0.3">
      <c r="A585" s="2"/>
      <c r="C585" s="2"/>
      <c r="D585" s="2"/>
      <c r="E585" s="2"/>
      <c r="F585" s="2"/>
      <c r="G585" s="92"/>
      <c r="H585" s="2"/>
      <c r="I585" s="2"/>
      <c r="J585" s="2"/>
      <c r="K585" s="90"/>
      <c r="L585" s="2"/>
      <c r="N585" s="2"/>
      <c r="O585" s="2"/>
      <c r="P585" s="2"/>
      <c r="Q585" s="2"/>
      <c r="R585" s="2"/>
      <c r="S585" s="2"/>
      <c r="T585" s="2"/>
      <c r="U585" s="222"/>
      <c r="V585" s="2"/>
      <c r="W585" s="2"/>
      <c r="X585" s="2"/>
      <c r="Z585" s="2"/>
      <c r="AA585" s="2"/>
      <c r="AB585" s="2"/>
      <c r="AC585" s="2"/>
    </row>
    <row r="586" spans="1:29" ht="15.75" customHeight="1" x14ac:dyDescent="0.3">
      <c r="A586" s="2"/>
      <c r="C586" s="2"/>
      <c r="D586" s="2"/>
      <c r="E586" s="2"/>
      <c r="F586" s="2"/>
      <c r="G586" s="92"/>
      <c r="H586" s="2"/>
      <c r="I586" s="2"/>
      <c r="J586" s="2"/>
      <c r="K586" s="90"/>
      <c r="L586" s="2"/>
      <c r="N586" s="2"/>
      <c r="O586" s="2"/>
      <c r="P586" s="2"/>
      <c r="Q586" s="2"/>
      <c r="R586" s="2"/>
      <c r="S586" s="2"/>
      <c r="T586" s="2"/>
      <c r="U586" s="222"/>
      <c r="V586" s="2"/>
      <c r="W586" s="2"/>
      <c r="X586" s="2"/>
      <c r="Z586" s="2"/>
      <c r="AA586" s="2"/>
      <c r="AB586" s="2"/>
      <c r="AC586" s="2"/>
    </row>
    <row r="587" spans="1:29" ht="15.75" customHeight="1" x14ac:dyDescent="0.3">
      <c r="A587" s="2"/>
      <c r="C587" s="2"/>
      <c r="D587" s="2"/>
      <c r="E587" s="2"/>
      <c r="F587" s="2"/>
      <c r="G587" s="92"/>
      <c r="H587" s="2"/>
      <c r="I587" s="2"/>
      <c r="J587" s="2"/>
      <c r="K587" s="90"/>
      <c r="L587" s="2"/>
      <c r="N587" s="2"/>
      <c r="O587" s="2"/>
      <c r="P587" s="2"/>
      <c r="Q587" s="2"/>
      <c r="R587" s="2"/>
      <c r="S587" s="2"/>
      <c r="T587" s="2"/>
      <c r="U587" s="222"/>
      <c r="V587" s="2"/>
      <c r="W587" s="2"/>
      <c r="X587" s="2"/>
      <c r="Z587" s="2"/>
      <c r="AA587" s="2"/>
      <c r="AB587" s="2"/>
      <c r="AC587" s="2"/>
    </row>
    <row r="588" spans="1:29" ht="15.75" customHeight="1" x14ac:dyDescent="0.3">
      <c r="A588" s="2"/>
      <c r="C588" s="2"/>
      <c r="D588" s="2"/>
      <c r="E588" s="2"/>
      <c r="F588" s="2"/>
      <c r="G588" s="92"/>
      <c r="H588" s="2"/>
      <c r="I588" s="2"/>
      <c r="J588" s="2"/>
      <c r="K588" s="90"/>
      <c r="L588" s="2"/>
      <c r="N588" s="2"/>
      <c r="O588" s="2"/>
      <c r="P588" s="2"/>
      <c r="Q588" s="2"/>
      <c r="R588" s="2"/>
      <c r="S588" s="2"/>
      <c r="T588" s="2"/>
      <c r="U588" s="222"/>
      <c r="V588" s="2"/>
      <c r="W588" s="2"/>
      <c r="X588" s="2"/>
      <c r="Z588" s="2"/>
      <c r="AA588" s="2"/>
      <c r="AB588" s="2"/>
      <c r="AC588" s="2"/>
    </row>
    <row r="589" spans="1:29" ht="15.75" customHeight="1" x14ac:dyDescent="0.3">
      <c r="A589" s="2"/>
      <c r="C589" s="2"/>
      <c r="D589" s="2"/>
      <c r="E589" s="2"/>
      <c r="F589" s="2"/>
      <c r="G589" s="92"/>
      <c r="H589" s="2"/>
      <c r="I589" s="2"/>
      <c r="J589" s="2"/>
      <c r="K589" s="90"/>
      <c r="L589" s="2"/>
      <c r="N589" s="2"/>
      <c r="O589" s="2"/>
      <c r="P589" s="2"/>
      <c r="Q589" s="2"/>
      <c r="R589" s="2"/>
      <c r="S589" s="2"/>
      <c r="T589" s="2"/>
      <c r="U589" s="222"/>
      <c r="V589" s="2"/>
      <c r="W589" s="2"/>
      <c r="X589" s="2"/>
      <c r="Z589" s="2"/>
      <c r="AA589" s="2"/>
      <c r="AB589" s="2"/>
      <c r="AC589" s="2"/>
    </row>
    <row r="590" spans="1:29" ht="15.75" customHeight="1" x14ac:dyDescent="0.3">
      <c r="A590" s="2"/>
      <c r="C590" s="2"/>
      <c r="D590" s="2"/>
      <c r="E590" s="2"/>
      <c r="F590" s="2"/>
      <c r="G590" s="92"/>
      <c r="H590" s="2"/>
      <c r="I590" s="2"/>
      <c r="J590" s="2"/>
      <c r="K590" s="90"/>
      <c r="L590" s="2"/>
      <c r="N590" s="2"/>
      <c r="O590" s="2"/>
      <c r="P590" s="2"/>
      <c r="Q590" s="2"/>
      <c r="R590" s="2"/>
      <c r="S590" s="2"/>
      <c r="T590" s="2"/>
      <c r="U590" s="222"/>
      <c r="V590" s="2"/>
      <c r="W590" s="2"/>
      <c r="X590" s="2"/>
      <c r="Z590" s="2"/>
      <c r="AA590" s="2"/>
      <c r="AB590" s="2"/>
      <c r="AC590" s="2"/>
    </row>
    <row r="591" spans="1:29" ht="15.75" customHeight="1" x14ac:dyDescent="0.3">
      <c r="A591" s="2"/>
      <c r="C591" s="2"/>
      <c r="D591" s="2"/>
      <c r="E591" s="2"/>
      <c r="F591" s="2"/>
      <c r="G591" s="92"/>
      <c r="H591" s="2"/>
      <c r="I591" s="2"/>
      <c r="J591" s="2"/>
      <c r="K591" s="90"/>
      <c r="L591" s="2"/>
      <c r="N591" s="2"/>
      <c r="O591" s="2"/>
      <c r="P591" s="2"/>
      <c r="Q591" s="2"/>
      <c r="R591" s="2"/>
      <c r="S591" s="2"/>
      <c r="T591" s="2"/>
      <c r="U591" s="222"/>
      <c r="V591" s="2"/>
      <c r="W591" s="2"/>
      <c r="X591" s="2"/>
      <c r="Z591" s="2"/>
      <c r="AA591" s="2"/>
      <c r="AB591" s="2"/>
      <c r="AC591" s="2"/>
    </row>
    <row r="592" spans="1:29" ht="15.75" customHeight="1" x14ac:dyDescent="0.3">
      <c r="A592" s="2"/>
      <c r="C592" s="2"/>
      <c r="D592" s="2"/>
      <c r="E592" s="2"/>
      <c r="F592" s="2"/>
      <c r="G592" s="92"/>
      <c r="H592" s="2"/>
      <c r="I592" s="2"/>
      <c r="J592" s="2"/>
      <c r="K592" s="90"/>
      <c r="L592" s="2"/>
      <c r="N592" s="2"/>
      <c r="O592" s="2"/>
      <c r="P592" s="2"/>
      <c r="Q592" s="2"/>
      <c r="R592" s="2"/>
      <c r="S592" s="2"/>
      <c r="T592" s="2"/>
      <c r="U592" s="222"/>
      <c r="V592" s="2"/>
      <c r="W592" s="2"/>
      <c r="X592" s="2"/>
      <c r="Z592" s="2"/>
      <c r="AA592" s="2"/>
      <c r="AB592" s="2"/>
      <c r="AC592" s="2"/>
    </row>
    <row r="593" spans="1:29" ht="15.75" customHeight="1" x14ac:dyDescent="0.3">
      <c r="A593" s="2"/>
      <c r="C593" s="2"/>
      <c r="D593" s="2"/>
      <c r="E593" s="2"/>
      <c r="F593" s="2"/>
      <c r="G593" s="92"/>
      <c r="H593" s="2"/>
      <c r="I593" s="2"/>
      <c r="J593" s="2"/>
      <c r="K593" s="90"/>
      <c r="L593" s="2"/>
      <c r="N593" s="2"/>
      <c r="O593" s="2"/>
      <c r="P593" s="2"/>
      <c r="Q593" s="2"/>
      <c r="R593" s="2"/>
      <c r="S593" s="2"/>
      <c r="T593" s="2"/>
      <c r="U593" s="222"/>
      <c r="V593" s="2"/>
      <c r="W593" s="2"/>
      <c r="X593" s="2"/>
      <c r="Z593" s="2"/>
      <c r="AA593" s="2"/>
      <c r="AB593" s="2"/>
      <c r="AC593" s="2"/>
    </row>
    <row r="594" spans="1:29" ht="15.75" customHeight="1" x14ac:dyDescent="0.3">
      <c r="A594" s="2"/>
      <c r="C594" s="2"/>
      <c r="D594" s="2"/>
      <c r="E594" s="2"/>
      <c r="F594" s="2"/>
      <c r="G594" s="92"/>
      <c r="H594" s="2"/>
      <c r="I594" s="2"/>
      <c r="J594" s="2"/>
      <c r="K594" s="90"/>
      <c r="L594" s="2"/>
      <c r="N594" s="2"/>
      <c r="O594" s="2"/>
      <c r="P594" s="2"/>
      <c r="Q594" s="2"/>
      <c r="R594" s="2"/>
      <c r="S594" s="2"/>
      <c r="T594" s="2"/>
      <c r="U594" s="222"/>
      <c r="V594" s="2"/>
      <c r="W594" s="2"/>
      <c r="X594" s="2"/>
      <c r="Z594" s="2"/>
      <c r="AA594" s="2"/>
      <c r="AB594" s="2"/>
      <c r="AC594" s="2"/>
    </row>
    <row r="595" spans="1:29" ht="15.75" customHeight="1" x14ac:dyDescent="0.3">
      <c r="A595" s="2"/>
      <c r="C595" s="2"/>
      <c r="D595" s="2"/>
      <c r="E595" s="2"/>
      <c r="F595" s="2"/>
      <c r="G595" s="92"/>
      <c r="H595" s="2"/>
      <c r="I595" s="2"/>
      <c r="J595" s="2"/>
      <c r="K595" s="90"/>
      <c r="L595" s="2"/>
      <c r="N595" s="2"/>
      <c r="O595" s="2"/>
      <c r="P595" s="2"/>
      <c r="Q595" s="2"/>
      <c r="R595" s="2"/>
      <c r="S595" s="2"/>
      <c r="T595" s="2"/>
      <c r="U595" s="222"/>
      <c r="V595" s="2"/>
      <c r="W595" s="2"/>
      <c r="X595" s="2"/>
      <c r="Z595" s="2"/>
      <c r="AA595" s="2"/>
      <c r="AB595" s="2"/>
      <c r="AC595" s="2"/>
    </row>
    <row r="596" spans="1:29" ht="15.75" customHeight="1" x14ac:dyDescent="0.3">
      <c r="A596" s="2"/>
      <c r="C596" s="2"/>
      <c r="D596" s="2"/>
      <c r="E596" s="2"/>
      <c r="F596" s="2"/>
      <c r="G596" s="92"/>
      <c r="H596" s="2"/>
      <c r="I596" s="2"/>
      <c r="J596" s="2"/>
      <c r="K596" s="90"/>
      <c r="L596" s="2"/>
      <c r="N596" s="2"/>
      <c r="O596" s="2"/>
      <c r="P596" s="2"/>
      <c r="Q596" s="2"/>
      <c r="R596" s="2"/>
      <c r="S596" s="2"/>
      <c r="T596" s="2"/>
      <c r="U596" s="222"/>
      <c r="V596" s="2"/>
      <c r="W596" s="2"/>
      <c r="X596" s="2"/>
      <c r="Z596" s="2"/>
      <c r="AA596" s="2"/>
      <c r="AB596" s="2"/>
      <c r="AC596" s="2"/>
    </row>
    <row r="597" spans="1:29" ht="15.75" customHeight="1" x14ac:dyDescent="0.3">
      <c r="A597" s="2"/>
      <c r="C597" s="2"/>
      <c r="D597" s="2"/>
      <c r="E597" s="2"/>
      <c r="F597" s="2"/>
      <c r="G597" s="92"/>
      <c r="H597" s="2"/>
      <c r="I597" s="2"/>
      <c r="J597" s="2"/>
      <c r="K597" s="90"/>
      <c r="L597" s="2"/>
      <c r="N597" s="2"/>
      <c r="O597" s="2"/>
      <c r="P597" s="2"/>
      <c r="Q597" s="2"/>
      <c r="R597" s="2"/>
      <c r="S597" s="2"/>
      <c r="T597" s="2"/>
      <c r="U597" s="222"/>
      <c r="V597" s="2"/>
      <c r="W597" s="2"/>
      <c r="X597" s="2"/>
      <c r="Z597" s="2"/>
      <c r="AA597" s="2"/>
      <c r="AB597" s="2"/>
      <c r="AC597" s="2"/>
    </row>
    <row r="598" spans="1:29" ht="15.75" customHeight="1" x14ac:dyDescent="0.3">
      <c r="A598" s="2"/>
      <c r="C598" s="2"/>
      <c r="D598" s="2"/>
      <c r="E598" s="2"/>
      <c r="F598" s="2"/>
      <c r="G598" s="92"/>
      <c r="H598" s="2"/>
      <c r="I598" s="2"/>
      <c r="J598" s="2"/>
      <c r="K598" s="90"/>
      <c r="L598" s="2"/>
      <c r="N598" s="2"/>
      <c r="O598" s="2"/>
      <c r="P598" s="2"/>
      <c r="Q598" s="2"/>
      <c r="R598" s="2"/>
      <c r="S598" s="2"/>
      <c r="T598" s="2"/>
      <c r="U598" s="222"/>
      <c r="V598" s="2"/>
      <c r="W598" s="2"/>
      <c r="X598" s="2"/>
      <c r="Z598" s="2"/>
      <c r="AA598" s="2"/>
      <c r="AB598" s="2"/>
      <c r="AC598" s="2"/>
    </row>
    <row r="599" spans="1:29" ht="15.75" customHeight="1" x14ac:dyDescent="0.3">
      <c r="A599" s="2"/>
      <c r="C599" s="2"/>
      <c r="D599" s="2"/>
      <c r="E599" s="2"/>
      <c r="F599" s="2"/>
      <c r="G599" s="92"/>
      <c r="H599" s="2"/>
      <c r="I599" s="2"/>
      <c r="J599" s="2"/>
      <c r="K599" s="90"/>
      <c r="L599" s="2"/>
      <c r="N599" s="2"/>
      <c r="O599" s="2"/>
      <c r="P599" s="2"/>
      <c r="Q599" s="2"/>
      <c r="R599" s="2"/>
      <c r="S599" s="2"/>
      <c r="T599" s="2"/>
      <c r="U599" s="222"/>
      <c r="V599" s="2"/>
      <c r="W599" s="2"/>
      <c r="X599" s="2"/>
      <c r="Z599" s="2"/>
      <c r="AA599" s="2"/>
      <c r="AB599" s="2"/>
      <c r="AC599" s="2"/>
    </row>
    <row r="600" spans="1:29" ht="15.75" customHeight="1" x14ac:dyDescent="0.3">
      <c r="A600" s="2"/>
      <c r="C600" s="2"/>
      <c r="D600" s="2"/>
      <c r="E600" s="2"/>
      <c r="F600" s="2"/>
      <c r="G600" s="92"/>
      <c r="H600" s="2"/>
      <c r="I600" s="2"/>
      <c r="J600" s="2"/>
      <c r="K600" s="90"/>
      <c r="L600" s="2"/>
      <c r="N600" s="2"/>
      <c r="O600" s="2"/>
      <c r="P600" s="2"/>
      <c r="Q600" s="2"/>
      <c r="R600" s="2"/>
      <c r="S600" s="2"/>
      <c r="T600" s="2"/>
      <c r="U600" s="222"/>
      <c r="V600" s="2"/>
      <c r="W600" s="2"/>
      <c r="X600" s="2"/>
      <c r="Z600" s="2"/>
      <c r="AA600" s="2"/>
      <c r="AB600" s="2"/>
      <c r="AC600" s="2"/>
    </row>
    <row r="601" spans="1:29" ht="15.75" customHeight="1" x14ac:dyDescent="0.3">
      <c r="A601" s="2"/>
      <c r="C601" s="2"/>
      <c r="D601" s="2"/>
      <c r="E601" s="2"/>
      <c r="F601" s="2"/>
      <c r="G601" s="92"/>
      <c r="H601" s="2"/>
      <c r="I601" s="2"/>
      <c r="J601" s="2"/>
      <c r="K601" s="90"/>
      <c r="L601" s="2"/>
      <c r="N601" s="2"/>
      <c r="O601" s="2"/>
      <c r="P601" s="2"/>
      <c r="Q601" s="2"/>
      <c r="R601" s="2"/>
      <c r="S601" s="2"/>
      <c r="T601" s="2"/>
      <c r="U601" s="222"/>
      <c r="V601" s="2"/>
      <c r="W601" s="2"/>
      <c r="X601" s="2"/>
      <c r="Z601" s="2"/>
      <c r="AA601" s="2"/>
      <c r="AB601" s="2"/>
      <c r="AC601" s="2"/>
    </row>
    <row r="602" spans="1:29" ht="15.75" customHeight="1" x14ac:dyDescent="0.3">
      <c r="A602" s="2"/>
      <c r="C602" s="2"/>
      <c r="D602" s="2"/>
      <c r="E602" s="2"/>
      <c r="F602" s="2"/>
      <c r="G602" s="92"/>
      <c r="H602" s="2"/>
      <c r="I602" s="2"/>
      <c r="J602" s="2"/>
      <c r="K602" s="90"/>
      <c r="L602" s="2"/>
      <c r="N602" s="2"/>
      <c r="O602" s="2"/>
      <c r="P602" s="2"/>
      <c r="Q602" s="2"/>
      <c r="R602" s="2"/>
      <c r="S602" s="2"/>
      <c r="T602" s="2"/>
      <c r="U602" s="222"/>
      <c r="V602" s="2"/>
      <c r="W602" s="2"/>
      <c r="X602" s="2"/>
      <c r="Z602" s="2"/>
      <c r="AA602" s="2"/>
      <c r="AB602" s="2"/>
      <c r="AC602" s="2"/>
    </row>
    <row r="603" spans="1:29" ht="15.75" customHeight="1" x14ac:dyDescent="0.3">
      <c r="A603" s="2"/>
      <c r="C603" s="2"/>
      <c r="D603" s="2"/>
      <c r="E603" s="2"/>
      <c r="F603" s="2"/>
      <c r="G603" s="92"/>
      <c r="H603" s="2"/>
      <c r="I603" s="2"/>
      <c r="J603" s="2"/>
      <c r="K603" s="90"/>
      <c r="L603" s="2"/>
      <c r="N603" s="2"/>
      <c r="O603" s="2"/>
      <c r="P603" s="2"/>
      <c r="Q603" s="2"/>
      <c r="R603" s="2"/>
      <c r="S603" s="2"/>
      <c r="T603" s="2"/>
      <c r="U603" s="222"/>
      <c r="V603" s="2"/>
      <c r="W603" s="2"/>
      <c r="X603" s="2"/>
      <c r="Z603" s="2"/>
      <c r="AA603" s="2"/>
      <c r="AB603" s="2"/>
      <c r="AC603" s="2"/>
    </row>
    <row r="604" spans="1:29" ht="15.75" customHeight="1" x14ac:dyDescent="0.3">
      <c r="A604" s="2"/>
      <c r="C604" s="2"/>
      <c r="D604" s="2"/>
      <c r="E604" s="2"/>
      <c r="F604" s="2"/>
      <c r="G604" s="92"/>
      <c r="H604" s="2"/>
      <c r="I604" s="2"/>
      <c r="J604" s="2"/>
      <c r="K604" s="90"/>
      <c r="L604" s="2"/>
      <c r="N604" s="2"/>
      <c r="O604" s="2"/>
      <c r="P604" s="2"/>
      <c r="Q604" s="2"/>
      <c r="R604" s="2"/>
      <c r="S604" s="2"/>
      <c r="T604" s="2"/>
      <c r="U604" s="222"/>
      <c r="V604" s="2"/>
      <c r="W604" s="2"/>
      <c r="X604" s="2"/>
      <c r="Z604" s="2"/>
      <c r="AA604" s="2"/>
      <c r="AB604" s="2"/>
      <c r="AC604" s="2"/>
    </row>
    <row r="605" spans="1:29" ht="15.75" customHeight="1" x14ac:dyDescent="0.3">
      <c r="A605" s="2"/>
      <c r="C605" s="2"/>
      <c r="D605" s="2"/>
      <c r="E605" s="2"/>
      <c r="F605" s="2"/>
      <c r="G605" s="92"/>
      <c r="H605" s="2"/>
      <c r="I605" s="2"/>
      <c r="J605" s="2"/>
      <c r="K605" s="90"/>
      <c r="L605" s="2"/>
      <c r="N605" s="2"/>
      <c r="O605" s="2"/>
      <c r="P605" s="2"/>
      <c r="Q605" s="2"/>
      <c r="R605" s="2"/>
      <c r="S605" s="2"/>
      <c r="T605" s="2"/>
      <c r="U605" s="222"/>
      <c r="V605" s="2"/>
      <c r="W605" s="2"/>
      <c r="X605" s="2"/>
      <c r="Z605" s="2"/>
      <c r="AA605" s="2"/>
      <c r="AB605" s="2"/>
      <c r="AC605" s="2"/>
    </row>
    <row r="606" spans="1:29" ht="15.75" customHeight="1" x14ac:dyDescent="0.3">
      <c r="A606" s="2"/>
      <c r="C606" s="2"/>
      <c r="D606" s="2"/>
      <c r="E606" s="2"/>
      <c r="F606" s="2"/>
      <c r="G606" s="92"/>
      <c r="H606" s="2"/>
      <c r="I606" s="2"/>
      <c r="J606" s="2"/>
      <c r="K606" s="90"/>
      <c r="L606" s="2"/>
      <c r="N606" s="2"/>
      <c r="O606" s="2"/>
      <c r="P606" s="2"/>
      <c r="Q606" s="2"/>
      <c r="R606" s="2"/>
      <c r="S606" s="2"/>
      <c r="T606" s="2"/>
      <c r="U606" s="222"/>
      <c r="V606" s="2"/>
      <c r="W606" s="2"/>
      <c r="X606" s="2"/>
      <c r="Z606" s="2"/>
      <c r="AA606" s="2"/>
      <c r="AB606" s="2"/>
      <c r="AC606" s="2"/>
    </row>
    <row r="607" spans="1:29" ht="15.75" customHeight="1" x14ac:dyDescent="0.3">
      <c r="A607" s="2"/>
      <c r="C607" s="2"/>
      <c r="D607" s="2"/>
      <c r="E607" s="2"/>
      <c r="F607" s="2"/>
      <c r="G607" s="92"/>
      <c r="H607" s="2"/>
      <c r="I607" s="2"/>
      <c r="J607" s="2"/>
      <c r="K607" s="90"/>
      <c r="L607" s="2"/>
      <c r="N607" s="2"/>
      <c r="O607" s="2"/>
      <c r="P607" s="2"/>
      <c r="Q607" s="2"/>
      <c r="R607" s="2"/>
      <c r="S607" s="2"/>
      <c r="T607" s="2"/>
      <c r="U607" s="222"/>
      <c r="V607" s="2"/>
      <c r="W607" s="2"/>
      <c r="X607" s="2"/>
      <c r="Z607" s="2"/>
      <c r="AA607" s="2"/>
      <c r="AB607" s="2"/>
      <c r="AC607" s="2"/>
    </row>
    <row r="608" spans="1:29" ht="15.75" customHeight="1" x14ac:dyDescent="0.3">
      <c r="A608" s="2"/>
      <c r="C608" s="2"/>
      <c r="D608" s="2"/>
      <c r="E608" s="2"/>
      <c r="F608" s="2"/>
      <c r="G608" s="92"/>
      <c r="H608" s="2"/>
      <c r="I608" s="2"/>
      <c r="J608" s="2"/>
      <c r="K608" s="90"/>
      <c r="L608" s="2"/>
      <c r="N608" s="2"/>
      <c r="O608" s="2"/>
      <c r="P608" s="2"/>
      <c r="Q608" s="2"/>
      <c r="R608" s="2"/>
      <c r="S608" s="2"/>
      <c r="T608" s="2"/>
      <c r="U608" s="222"/>
      <c r="V608" s="2"/>
      <c r="W608" s="2"/>
      <c r="X608" s="2"/>
      <c r="Z608" s="2"/>
      <c r="AA608" s="2"/>
      <c r="AB608" s="2"/>
      <c r="AC608" s="2"/>
    </row>
    <row r="609" spans="1:29" ht="15.75" customHeight="1" x14ac:dyDescent="0.3">
      <c r="A609" s="2"/>
      <c r="C609" s="2"/>
      <c r="D609" s="2"/>
      <c r="E609" s="2"/>
      <c r="F609" s="2"/>
      <c r="G609" s="92"/>
      <c r="H609" s="2"/>
      <c r="I609" s="2"/>
      <c r="J609" s="2"/>
      <c r="K609" s="90"/>
      <c r="L609" s="2"/>
      <c r="N609" s="2"/>
      <c r="O609" s="2"/>
      <c r="P609" s="2"/>
      <c r="Q609" s="2"/>
      <c r="R609" s="2"/>
      <c r="S609" s="2"/>
      <c r="T609" s="2"/>
      <c r="U609" s="222"/>
      <c r="V609" s="2"/>
      <c r="W609" s="2"/>
      <c r="X609" s="2"/>
      <c r="Z609" s="2"/>
      <c r="AA609" s="2"/>
      <c r="AB609" s="2"/>
      <c r="AC609" s="2"/>
    </row>
    <row r="610" spans="1:29" ht="15.75" customHeight="1" x14ac:dyDescent="0.3">
      <c r="A610" s="2"/>
      <c r="C610" s="2"/>
      <c r="D610" s="2"/>
      <c r="E610" s="2"/>
      <c r="F610" s="2"/>
      <c r="G610" s="92"/>
      <c r="H610" s="2"/>
      <c r="I610" s="2"/>
      <c r="J610" s="2"/>
      <c r="K610" s="90"/>
      <c r="L610" s="2"/>
      <c r="N610" s="2"/>
      <c r="O610" s="2"/>
      <c r="P610" s="2"/>
      <c r="Q610" s="2"/>
      <c r="R610" s="2"/>
      <c r="S610" s="2"/>
      <c r="T610" s="2"/>
      <c r="U610" s="222"/>
      <c r="V610" s="2"/>
      <c r="W610" s="2"/>
      <c r="X610" s="2"/>
      <c r="Z610" s="2"/>
      <c r="AA610" s="2"/>
      <c r="AB610" s="2"/>
      <c r="AC610" s="2"/>
    </row>
    <row r="611" spans="1:29" ht="15.75" customHeight="1" x14ac:dyDescent="0.3">
      <c r="A611" s="2"/>
      <c r="C611" s="2"/>
      <c r="D611" s="2"/>
      <c r="E611" s="2"/>
      <c r="F611" s="2"/>
      <c r="G611" s="92"/>
      <c r="H611" s="2"/>
      <c r="I611" s="2"/>
      <c r="J611" s="2"/>
      <c r="K611" s="90"/>
      <c r="L611" s="2"/>
      <c r="N611" s="2"/>
      <c r="O611" s="2"/>
      <c r="P611" s="2"/>
      <c r="Q611" s="2"/>
      <c r="R611" s="2"/>
      <c r="S611" s="2"/>
      <c r="T611" s="2"/>
      <c r="U611" s="222"/>
      <c r="V611" s="2"/>
      <c r="W611" s="2"/>
      <c r="X611" s="2"/>
      <c r="Z611" s="2"/>
      <c r="AA611" s="2"/>
      <c r="AB611" s="2"/>
      <c r="AC611" s="2"/>
    </row>
    <row r="612" spans="1:29" ht="15.75" customHeight="1" x14ac:dyDescent="0.3">
      <c r="A612" s="2"/>
      <c r="C612" s="2"/>
      <c r="D612" s="2"/>
      <c r="E612" s="2"/>
      <c r="F612" s="2"/>
      <c r="G612" s="92"/>
      <c r="H612" s="2"/>
      <c r="I612" s="2"/>
      <c r="J612" s="2"/>
      <c r="K612" s="90"/>
      <c r="L612" s="2"/>
      <c r="N612" s="2"/>
      <c r="O612" s="2"/>
      <c r="P612" s="2"/>
      <c r="Q612" s="2"/>
      <c r="R612" s="2"/>
      <c r="S612" s="2"/>
      <c r="T612" s="2"/>
      <c r="U612" s="222"/>
      <c r="V612" s="2"/>
      <c r="W612" s="2"/>
      <c r="X612" s="2"/>
      <c r="Z612" s="2"/>
      <c r="AA612" s="2"/>
      <c r="AB612" s="2"/>
      <c r="AC612" s="2"/>
    </row>
    <row r="613" spans="1:29" ht="15.75" customHeight="1" x14ac:dyDescent="0.3">
      <c r="A613" s="2"/>
      <c r="C613" s="2"/>
      <c r="D613" s="2"/>
      <c r="E613" s="2"/>
      <c r="F613" s="2"/>
      <c r="G613" s="92"/>
      <c r="H613" s="2"/>
      <c r="I613" s="2"/>
      <c r="J613" s="2"/>
      <c r="K613" s="90"/>
      <c r="L613" s="2"/>
      <c r="N613" s="2"/>
      <c r="O613" s="2"/>
      <c r="P613" s="2"/>
      <c r="Q613" s="2"/>
      <c r="R613" s="2"/>
      <c r="S613" s="2"/>
      <c r="T613" s="2"/>
      <c r="U613" s="222"/>
      <c r="V613" s="2"/>
      <c r="W613" s="2"/>
      <c r="X613" s="2"/>
      <c r="Z613" s="2"/>
      <c r="AA613" s="2"/>
      <c r="AB613" s="2"/>
      <c r="AC613" s="2"/>
    </row>
    <row r="614" spans="1:29" ht="15.75" customHeight="1" x14ac:dyDescent="0.3">
      <c r="A614" s="2"/>
      <c r="C614" s="2"/>
      <c r="D614" s="2"/>
      <c r="E614" s="2"/>
      <c r="F614" s="2"/>
      <c r="G614" s="92"/>
      <c r="H614" s="2"/>
      <c r="I614" s="2"/>
      <c r="J614" s="2"/>
      <c r="K614" s="90"/>
      <c r="L614" s="2"/>
      <c r="N614" s="2"/>
      <c r="O614" s="2"/>
      <c r="P614" s="2"/>
      <c r="Q614" s="2"/>
      <c r="R614" s="2"/>
      <c r="S614" s="2"/>
      <c r="T614" s="2"/>
      <c r="U614" s="222"/>
      <c r="V614" s="2"/>
      <c r="W614" s="2"/>
      <c r="X614" s="2"/>
      <c r="Z614" s="2"/>
      <c r="AA614" s="2"/>
      <c r="AB614" s="2"/>
      <c r="AC614" s="2"/>
    </row>
    <row r="615" spans="1:29" ht="15.75" customHeight="1" x14ac:dyDescent="0.3">
      <c r="A615" s="2"/>
      <c r="C615" s="2"/>
      <c r="D615" s="2"/>
      <c r="E615" s="2"/>
      <c r="F615" s="2"/>
      <c r="G615" s="92"/>
      <c r="H615" s="2"/>
      <c r="I615" s="2"/>
      <c r="J615" s="2"/>
      <c r="K615" s="90"/>
      <c r="L615" s="2"/>
      <c r="N615" s="2"/>
      <c r="O615" s="2"/>
      <c r="P615" s="2"/>
      <c r="Q615" s="2"/>
      <c r="R615" s="2"/>
      <c r="S615" s="2"/>
      <c r="T615" s="2"/>
      <c r="U615" s="222"/>
      <c r="V615" s="2"/>
      <c r="W615" s="2"/>
      <c r="X615" s="2"/>
      <c r="Z615" s="2"/>
      <c r="AA615" s="2"/>
      <c r="AB615" s="2"/>
      <c r="AC615" s="2"/>
    </row>
    <row r="616" spans="1:29" ht="15.75" customHeight="1" x14ac:dyDescent="0.3">
      <c r="A616" s="2"/>
      <c r="C616" s="2"/>
      <c r="D616" s="2"/>
      <c r="E616" s="2"/>
      <c r="F616" s="2"/>
      <c r="G616" s="92"/>
      <c r="H616" s="2"/>
      <c r="I616" s="2"/>
      <c r="J616" s="2"/>
      <c r="K616" s="90"/>
      <c r="L616" s="2"/>
      <c r="N616" s="2"/>
      <c r="O616" s="2"/>
      <c r="P616" s="2"/>
      <c r="Q616" s="2"/>
      <c r="R616" s="2"/>
      <c r="S616" s="2"/>
      <c r="T616" s="2"/>
      <c r="U616" s="222"/>
      <c r="V616" s="2"/>
      <c r="W616" s="2"/>
      <c r="X616" s="2"/>
      <c r="Z616" s="2"/>
      <c r="AA616" s="2"/>
      <c r="AB616" s="2"/>
      <c r="AC616" s="2"/>
    </row>
    <row r="617" spans="1:29" ht="15.75" customHeight="1" x14ac:dyDescent="0.3">
      <c r="A617" s="2"/>
      <c r="C617" s="2"/>
      <c r="D617" s="2"/>
      <c r="E617" s="2"/>
      <c r="F617" s="2"/>
      <c r="G617" s="92"/>
      <c r="H617" s="2"/>
      <c r="I617" s="2"/>
      <c r="J617" s="2"/>
      <c r="K617" s="90"/>
      <c r="L617" s="2"/>
      <c r="N617" s="2"/>
      <c r="O617" s="2"/>
      <c r="P617" s="2"/>
      <c r="Q617" s="2"/>
      <c r="R617" s="2"/>
      <c r="S617" s="2"/>
      <c r="T617" s="2"/>
      <c r="U617" s="222"/>
      <c r="V617" s="2"/>
      <c r="W617" s="2"/>
      <c r="X617" s="2"/>
      <c r="Z617" s="2"/>
      <c r="AA617" s="2"/>
      <c r="AB617" s="2"/>
      <c r="AC617" s="2"/>
    </row>
    <row r="618" spans="1:29" ht="15.75" customHeight="1" x14ac:dyDescent="0.3">
      <c r="A618" s="2"/>
      <c r="C618" s="2"/>
      <c r="D618" s="2"/>
      <c r="E618" s="2"/>
      <c r="F618" s="2"/>
      <c r="G618" s="92"/>
      <c r="H618" s="2"/>
      <c r="I618" s="2"/>
      <c r="J618" s="2"/>
      <c r="K618" s="90"/>
      <c r="L618" s="2"/>
      <c r="N618" s="2"/>
      <c r="O618" s="2"/>
      <c r="P618" s="2"/>
      <c r="Q618" s="2"/>
      <c r="R618" s="2"/>
      <c r="S618" s="2"/>
      <c r="T618" s="2"/>
      <c r="U618" s="222"/>
      <c r="V618" s="2"/>
      <c r="W618" s="2"/>
      <c r="X618" s="2"/>
      <c r="Z618" s="2"/>
      <c r="AA618" s="2"/>
      <c r="AB618" s="2"/>
      <c r="AC618" s="2"/>
    </row>
    <row r="619" spans="1:29" ht="15.75" customHeight="1" x14ac:dyDescent="0.3">
      <c r="A619" s="2"/>
      <c r="C619" s="2"/>
      <c r="D619" s="2"/>
      <c r="E619" s="2"/>
      <c r="F619" s="2"/>
      <c r="G619" s="92"/>
      <c r="H619" s="2"/>
      <c r="I619" s="2"/>
      <c r="J619" s="2"/>
      <c r="K619" s="90"/>
      <c r="L619" s="2"/>
      <c r="N619" s="2"/>
      <c r="O619" s="2"/>
      <c r="P619" s="2"/>
      <c r="Q619" s="2"/>
      <c r="R619" s="2"/>
      <c r="S619" s="2"/>
      <c r="T619" s="2"/>
      <c r="U619" s="222"/>
      <c r="V619" s="2"/>
      <c r="W619" s="2"/>
      <c r="X619" s="2"/>
      <c r="Z619" s="2"/>
      <c r="AA619" s="2"/>
      <c r="AB619" s="2"/>
      <c r="AC619" s="2"/>
    </row>
    <row r="620" spans="1:29" ht="15.75" customHeight="1" x14ac:dyDescent="0.3">
      <c r="A620" s="2"/>
      <c r="C620" s="2"/>
      <c r="D620" s="2"/>
      <c r="E620" s="2"/>
      <c r="F620" s="2"/>
      <c r="G620" s="92"/>
      <c r="H620" s="2"/>
      <c r="I620" s="2"/>
      <c r="J620" s="2"/>
      <c r="K620" s="90"/>
      <c r="L620" s="2"/>
      <c r="N620" s="2"/>
      <c r="O620" s="2"/>
      <c r="P620" s="2"/>
      <c r="Q620" s="2"/>
      <c r="R620" s="2"/>
      <c r="S620" s="2"/>
      <c r="T620" s="2"/>
      <c r="U620" s="222"/>
      <c r="V620" s="2"/>
      <c r="W620" s="2"/>
      <c r="X620" s="2"/>
      <c r="Z620" s="2"/>
      <c r="AA620" s="2"/>
      <c r="AB620" s="2"/>
      <c r="AC620" s="2"/>
    </row>
    <row r="621" spans="1:29" ht="15.75" customHeight="1" x14ac:dyDescent="0.3">
      <c r="A621" s="2"/>
      <c r="C621" s="2"/>
      <c r="D621" s="2"/>
      <c r="E621" s="2"/>
      <c r="F621" s="2"/>
      <c r="G621" s="92"/>
      <c r="H621" s="2"/>
      <c r="I621" s="2"/>
      <c r="J621" s="2"/>
      <c r="K621" s="90"/>
      <c r="L621" s="2"/>
      <c r="N621" s="2"/>
      <c r="O621" s="2"/>
      <c r="P621" s="2"/>
      <c r="Q621" s="2"/>
      <c r="R621" s="2"/>
      <c r="S621" s="2"/>
      <c r="T621" s="2"/>
      <c r="U621" s="222"/>
      <c r="V621" s="2"/>
      <c r="W621" s="2"/>
      <c r="X621" s="2"/>
      <c r="Z621" s="2"/>
      <c r="AA621" s="2"/>
      <c r="AB621" s="2"/>
      <c r="AC621" s="2"/>
    </row>
    <row r="622" spans="1:29" ht="15.75" customHeight="1" x14ac:dyDescent="0.3">
      <c r="A622" s="2"/>
      <c r="C622" s="2"/>
      <c r="D622" s="2"/>
      <c r="E622" s="2"/>
      <c r="F622" s="2"/>
      <c r="G622" s="92"/>
      <c r="H622" s="2"/>
      <c r="I622" s="2"/>
      <c r="J622" s="2"/>
      <c r="K622" s="90"/>
      <c r="L622" s="2"/>
      <c r="N622" s="2"/>
      <c r="O622" s="2"/>
      <c r="P622" s="2"/>
      <c r="Q622" s="2"/>
      <c r="R622" s="2"/>
      <c r="S622" s="2"/>
      <c r="T622" s="2"/>
      <c r="U622" s="222"/>
      <c r="V622" s="2"/>
      <c r="W622" s="2"/>
      <c r="X622" s="2"/>
      <c r="Z622" s="2"/>
      <c r="AA622" s="2"/>
      <c r="AB622" s="2"/>
      <c r="AC622" s="2"/>
    </row>
    <row r="623" spans="1:29" ht="15.75" customHeight="1" x14ac:dyDescent="0.3">
      <c r="A623" s="2"/>
      <c r="C623" s="2"/>
      <c r="D623" s="2"/>
      <c r="E623" s="2"/>
      <c r="F623" s="2"/>
      <c r="G623" s="92"/>
      <c r="H623" s="2"/>
      <c r="I623" s="2"/>
      <c r="J623" s="2"/>
      <c r="K623" s="90"/>
      <c r="L623" s="2"/>
      <c r="N623" s="2"/>
      <c r="O623" s="2"/>
      <c r="P623" s="2"/>
      <c r="Q623" s="2"/>
      <c r="R623" s="2"/>
      <c r="S623" s="2"/>
      <c r="T623" s="2"/>
      <c r="U623" s="222"/>
      <c r="V623" s="2"/>
      <c r="W623" s="2"/>
      <c r="X623" s="2"/>
      <c r="Z623" s="2"/>
      <c r="AA623" s="2"/>
      <c r="AB623" s="2"/>
      <c r="AC623" s="2"/>
    </row>
    <row r="624" spans="1:29" ht="15.75" customHeight="1" x14ac:dyDescent="0.3">
      <c r="A624" s="2"/>
      <c r="C624" s="2"/>
      <c r="D624" s="2"/>
      <c r="E624" s="2"/>
      <c r="F624" s="2"/>
      <c r="G624" s="92"/>
      <c r="H624" s="2"/>
      <c r="I624" s="2"/>
      <c r="J624" s="2"/>
      <c r="K624" s="90"/>
      <c r="L624" s="2"/>
      <c r="N624" s="2"/>
      <c r="O624" s="2"/>
      <c r="P624" s="2"/>
      <c r="Q624" s="2"/>
      <c r="R624" s="2"/>
      <c r="S624" s="2"/>
      <c r="T624" s="2"/>
      <c r="U624" s="222"/>
      <c r="V624" s="2"/>
      <c r="W624" s="2"/>
      <c r="X624" s="2"/>
      <c r="Z624" s="2"/>
      <c r="AA624" s="2"/>
      <c r="AB624" s="2"/>
      <c r="AC624" s="2"/>
    </row>
    <row r="625" spans="1:29" ht="15.75" customHeight="1" x14ac:dyDescent="0.3">
      <c r="A625" s="2"/>
      <c r="C625" s="2"/>
      <c r="D625" s="2"/>
      <c r="E625" s="2"/>
      <c r="F625" s="2"/>
      <c r="G625" s="92"/>
      <c r="H625" s="2"/>
      <c r="I625" s="2"/>
      <c r="J625" s="2"/>
      <c r="K625" s="90"/>
      <c r="L625" s="2"/>
      <c r="N625" s="2"/>
      <c r="O625" s="2"/>
      <c r="P625" s="2"/>
      <c r="Q625" s="2"/>
      <c r="R625" s="2"/>
      <c r="S625" s="2"/>
      <c r="T625" s="2"/>
      <c r="U625" s="222"/>
      <c r="V625" s="2"/>
      <c r="W625" s="2"/>
      <c r="X625" s="2"/>
      <c r="Z625" s="2"/>
      <c r="AA625" s="2"/>
      <c r="AB625" s="2"/>
      <c r="AC625" s="2"/>
    </row>
    <row r="626" spans="1:29" ht="15.75" customHeight="1" x14ac:dyDescent="0.3">
      <c r="A626" s="2"/>
      <c r="C626" s="2"/>
      <c r="D626" s="2"/>
      <c r="E626" s="2"/>
      <c r="F626" s="2"/>
      <c r="G626" s="92"/>
      <c r="H626" s="2"/>
      <c r="I626" s="2"/>
      <c r="J626" s="2"/>
      <c r="K626" s="90"/>
      <c r="L626" s="2"/>
      <c r="N626" s="2"/>
      <c r="O626" s="2"/>
      <c r="P626" s="2"/>
      <c r="Q626" s="2"/>
      <c r="R626" s="2"/>
      <c r="S626" s="2"/>
      <c r="T626" s="2"/>
      <c r="U626" s="222"/>
      <c r="V626" s="2"/>
      <c r="W626" s="2"/>
      <c r="X626" s="2"/>
      <c r="Z626" s="2"/>
      <c r="AA626" s="2"/>
      <c r="AB626" s="2"/>
      <c r="AC626" s="2"/>
    </row>
    <row r="627" spans="1:29" ht="15.75" customHeight="1" x14ac:dyDescent="0.3">
      <c r="A627" s="2"/>
      <c r="C627" s="2"/>
      <c r="D627" s="2"/>
      <c r="E627" s="2"/>
      <c r="F627" s="2"/>
      <c r="G627" s="92"/>
      <c r="H627" s="2"/>
      <c r="I627" s="2"/>
      <c r="J627" s="2"/>
      <c r="K627" s="90"/>
      <c r="L627" s="2"/>
      <c r="N627" s="2"/>
      <c r="O627" s="2"/>
      <c r="P627" s="2"/>
      <c r="Q627" s="2"/>
      <c r="R627" s="2"/>
      <c r="S627" s="2"/>
      <c r="T627" s="2"/>
      <c r="U627" s="222"/>
      <c r="V627" s="2"/>
      <c r="W627" s="2"/>
      <c r="X627" s="2"/>
      <c r="Z627" s="2"/>
      <c r="AA627" s="2"/>
      <c r="AB627" s="2"/>
      <c r="AC627" s="2"/>
    </row>
    <row r="628" spans="1:29" ht="15.75" customHeight="1" x14ac:dyDescent="0.3">
      <c r="A628" s="2"/>
      <c r="C628" s="2"/>
      <c r="D628" s="2"/>
      <c r="E628" s="2"/>
      <c r="F628" s="2"/>
      <c r="G628" s="92"/>
      <c r="H628" s="2"/>
      <c r="I628" s="2"/>
      <c r="J628" s="2"/>
      <c r="K628" s="90"/>
      <c r="L628" s="2"/>
      <c r="N628" s="2"/>
      <c r="O628" s="2"/>
      <c r="P628" s="2"/>
      <c r="Q628" s="2"/>
      <c r="R628" s="2"/>
      <c r="S628" s="2"/>
      <c r="T628" s="2"/>
      <c r="U628" s="222"/>
      <c r="V628" s="2"/>
      <c r="W628" s="2"/>
      <c r="X628" s="2"/>
      <c r="Z628" s="2"/>
      <c r="AA628" s="2"/>
      <c r="AB628" s="2"/>
      <c r="AC628" s="2"/>
    </row>
    <row r="629" spans="1:29" ht="15.75" customHeight="1" x14ac:dyDescent="0.3">
      <c r="A629" s="2"/>
      <c r="C629" s="2"/>
      <c r="D629" s="2"/>
      <c r="E629" s="2"/>
      <c r="F629" s="2"/>
      <c r="G629" s="92"/>
      <c r="H629" s="2"/>
      <c r="I629" s="2"/>
      <c r="J629" s="2"/>
      <c r="K629" s="90"/>
      <c r="L629" s="2"/>
      <c r="N629" s="2"/>
      <c r="O629" s="2"/>
      <c r="P629" s="2"/>
      <c r="Q629" s="2"/>
      <c r="R629" s="2"/>
      <c r="S629" s="2"/>
      <c r="T629" s="2"/>
      <c r="U629" s="222"/>
      <c r="V629" s="2"/>
      <c r="W629" s="2"/>
      <c r="X629" s="2"/>
      <c r="Z629" s="2"/>
      <c r="AA629" s="2"/>
      <c r="AB629" s="2"/>
      <c r="AC629" s="2"/>
    </row>
    <row r="630" spans="1:29" ht="15.75" customHeight="1" x14ac:dyDescent="0.3">
      <c r="A630" s="2"/>
      <c r="C630" s="2"/>
      <c r="D630" s="2"/>
      <c r="E630" s="2"/>
      <c r="F630" s="2"/>
      <c r="G630" s="92"/>
      <c r="H630" s="2"/>
      <c r="I630" s="2"/>
      <c r="J630" s="2"/>
      <c r="K630" s="90"/>
      <c r="L630" s="2"/>
      <c r="N630" s="2"/>
      <c r="O630" s="2"/>
      <c r="P630" s="2"/>
      <c r="Q630" s="2"/>
      <c r="R630" s="2"/>
      <c r="S630" s="2"/>
      <c r="T630" s="2"/>
      <c r="U630" s="222"/>
      <c r="V630" s="2"/>
      <c r="W630" s="2"/>
      <c r="X630" s="2"/>
      <c r="Z630" s="2"/>
      <c r="AA630" s="2"/>
      <c r="AB630" s="2"/>
      <c r="AC630" s="2"/>
    </row>
    <row r="631" spans="1:29" ht="15.75" customHeight="1" x14ac:dyDescent="0.3">
      <c r="A631" s="2"/>
      <c r="C631" s="2"/>
      <c r="D631" s="2"/>
      <c r="E631" s="2"/>
      <c r="F631" s="2"/>
      <c r="G631" s="92"/>
      <c r="H631" s="2"/>
      <c r="I631" s="2"/>
      <c r="J631" s="2"/>
      <c r="K631" s="90"/>
      <c r="L631" s="2"/>
      <c r="N631" s="2"/>
      <c r="O631" s="2"/>
      <c r="P631" s="2"/>
      <c r="Q631" s="2"/>
      <c r="R631" s="2"/>
      <c r="S631" s="2"/>
      <c r="T631" s="2"/>
      <c r="U631" s="222"/>
      <c r="V631" s="2"/>
      <c r="W631" s="2"/>
      <c r="X631" s="2"/>
      <c r="Z631" s="2"/>
      <c r="AA631" s="2"/>
      <c r="AB631" s="2"/>
      <c r="AC631" s="2"/>
    </row>
    <row r="632" spans="1:29" ht="15.75" customHeight="1" x14ac:dyDescent="0.3">
      <c r="A632" s="2"/>
      <c r="C632" s="2"/>
      <c r="D632" s="2"/>
      <c r="E632" s="2"/>
      <c r="F632" s="2"/>
      <c r="G632" s="92"/>
      <c r="H632" s="2"/>
      <c r="I632" s="2"/>
      <c r="J632" s="2"/>
      <c r="K632" s="90"/>
      <c r="L632" s="2"/>
      <c r="N632" s="2"/>
      <c r="O632" s="2"/>
      <c r="P632" s="2"/>
      <c r="Q632" s="2"/>
      <c r="R632" s="2"/>
      <c r="S632" s="2"/>
      <c r="T632" s="2"/>
      <c r="U632" s="222"/>
      <c r="V632" s="2"/>
      <c r="W632" s="2"/>
      <c r="X632" s="2"/>
      <c r="Z632" s="2"/>
      <c r="AA632" s="2"/>
      <c r="AB632" s="2"/>
      <c r="AC632" s="2"/>
    </row>
    <row r="633" spans="1:29" ht="15.75" customHeight="1" x14ac:dyDescent="0.3">
      <c r="A633" s="2"/>
      <c r="C633" s="2"/>
      <c r="D633" s="2"/>
      <c r="E633" s="2"/>
      <c r="F633" s="2"/>
      <c r="G633" s="92"/>
      <c r="H633" s="2"/>
      <c r="I633" s="2"/>
      <c r="J633" s="2"/>
      <c r="K633" s="90"/>
      <c r="L633" s="2"/>
      <c r="N633" s="2"/>
      <c r="O633" s="2"/>
      <c r="P633" s="2"/>
      <c r="Q633" s="2"/>
      <c r="R633" s="2"/>
      <c r="S633" s="2"/>
      <c r="T633" s="2"/>
      <c r="U633" s="222"/>
      <c r="V633" s="2"/>
      <c r="W633" s="2"/>
      <c r="X633" s="2"/>
      <c r="Z633" s="2"/>
      <c r="AA633" s="2"/>
      <c r="AB633" s="2"/>
      <c r="AC633" s="2"/>
    </row>
    <row r="634" spans="1:29" ht="15.75" customHeight="1" x14ac:dyDescent="0.3">
      <c r="A634" s="2"/>
      <c r="C634" s="2"/>
      <c r="D634" s="2"/>
      <c r="E634" s="2"/>
      <c r="F634" s="2"/>
      <c r="G634" s="92"/>
      <c r="H634" s="2"/>
      <c r="I634" s="2"/>
      <c r="J634" s="2"/>
      <c r="K634" s="90"/>
      <c r="L634" s="2"/>
      <c r="N634" s="2"/>
      <c r="O634" s="2"/>
      <c r="P634" s="2"/>
      <c r="Q634" s="2"/>
      <c r="R634" s="2"/>
      <c r="S634" s="2"/>
      <c r="T634" s="2"/>
      <c r="U634" s="222"/>
      <c r="V634" s="2"/>
      <c r="W634" s="2"/>
      <c r="X634" s="2"/>
      <c r="Z634" s="2"/>
      <c r="AA634" s="2"/>
      <c r="AB634" s="2"/>
      <c r="AC634" s="2"/>
    </row>
    <row r="635" spans="1:29" ht="15.75" customHeight="1" x14ac:dyDescent="0.3">
      <c r="A635" s="2"/>
      <c r="C635" s="2"/>
      <c r="D635" s="2"/>
      <c r="E635" s="2"/>
      <c r="F635" s="2"/>
      <c r="G635" s="92"/>
      <c r="H635" s="2"/>
      <c r="I635" s="2"/>
      <c r="J635" s="2"/>
      <c r="K635" s="90"/>
      <c r="L635" s="2"/>
      <c r="N635" s="2"/>
      <c r="O635" s="2"/>
      <c r="P635" s="2"/>
      <c r="Q635" s="2"/>
      <c r="R635" s="2"/>
      <c r="S635" s="2"/>
      <c r="T635" s="2"/>
      <c r="U635" s="222"/>
      <c r="V635" s="2"/>
      <c r="W635" s="2"/>
      <c r="X635" s="2"/>
      <c r="Z635" s="2"/>
      <c r="AA635" s="2"/>
      <c r="AB635" s="2"/>
      <c r="AC635" s="2"/>
    </row>
    <row r="636" spans="1:29" ht="15.75" customHeight="1" x14ac:dyDescent="0.3">
      <c r="A636" s="2"/>
      <c r="C636" s="2"/>
      <c r="D636" s="2"/>
      <c r="E636" s="2"/>
      <c r="F636" s="2"/>
      <c r="G636" s="92"/>
      <c r="H636" s="2"/>
      <c r="I636" s="2"/>
      <c r="J636" s="2"/>
      <c r="K636" s="90"/>
      <c r="L636" s="2"/>
      <c r="N636" s="2"/>
      <c r="O636" s="2"/>
      <c r="P636" s="2"/>
      <c r="Q636" s="2"/>
      <c r="R636" s="2"/>
      <c r="S636" s="2"/>
      <c r="T636" s="2"/>
      <c r="U636" s="222"/>
      <c r="V636" s="2"/>
      <c r="W636" s="2"/>
      <c r="X636" s="2"/>
      <c r="Z636" s="2"/>
      <c r="AA636" s="2"/>
      <c r="AB636" s="2"/>
      <c r="AC636" s="2"/>
    </row>
    <row r="637" spans="1:29" ht="15.75" customHeight="1" x14ac:dyDescent="0.3">
      <c r="A637" s="2"/>
      <c r="C637" s="2"/>
      <c r="D637" s="2"/>
      <c r="E637" s="2"/>
      <c r="F637" s="2"/>
      <c r="G637" s="92"/>
      <c r="H637" s="2"/>
      <c r="I637" s="2"/>
      <c r="J637" s="2"/>
      <c r="K637" s="90"/>
      <c r="L637" s="2"/>
      <c r="N637" s="2"/>
      <c r="O637" s="2"/>
      <c r="P637" s="2"/>
      <c r="Q637" s="2"/>
      <c r="R637" s="2"/>
      <c r="S637" s="2"/>
      <c r="T637" s="2"/>
      <c r="U637" s="222"/>
      <c r="V637" s="2"/>
      <c r="W637" s="2"/>
      <c r="X637" s="2"/>
      <c r="Z637" s="2"/>
      <c r="AA637" s="2"/>
      <c r="AB637" s="2"/>
      <c r="AC637" s="2"/>
    </row>
    <row r="638" spans="1:29" ht="15.75" customHeight="1" x14ac:dyDescent="0.3">
      <c r="A638" s="2"/>
      <c r="C638" s="2"/>
      <c r="D638" s="2"/>
      <c r="E638" s="2"/>
      <c r="F638" s="2"/>
      <c r="G638" s="92"/>
      <c r="H638" s="2"/>
      <c r="I638" s="2"/>
      <c r="J638" s="2"/>
      <c r="K638" s="90"/>
      <c r="L638" s="2"/>
      <c r="N638" s="2"/>
      <c r="O638" s="2"/>
      <c r="P638" s="2"/>
      <c r="Q638" s="2"/>
      <c r="R638" s="2"/>
      <c r="S638" s="2"/>
      <c r="T638" s="2"/>
      <c r="U638" s="222"/>
      <c r="V638" s="2"/>
      <c r="W638" s="2"/>
      <c r="X638" s="2"/>
      <c r="Z638" s="2"/>
      <c r="AA638" s="2"/>
      <c r="AB638" s="2"/>
      <c r="AC638" s="2"/>
    </row>
    <row r="639" spans="1:29" ht="15.75" customHeight="1" x14ac:dyDescent="0.3">
      <c r="A639" s="2"/>
      <c r="C639" s="2"/>
      <c r="D639" s="2"/>
      <c r="E639" s="2"/>
      <c r="F639" s="2"/>
      <c r="G639" s="92"/>
      <c r="H639" s="2"/>
      <c r="I639" s="2"/>
      <c r="J639" s="2"/>
      <c r="K639" s="90"/>
      <c r="L639" s="2"/>
      <c r="N639" s="2"/>
      <c r="O639" s="2"/>
      <c r="P639" s="2"/>
      <c r="Q639" s="2"/>
      <c r="R639" s="2"/>
      <c r="S639" s="2"/>
      <c r="T639" s="2"/>
      <c r="U639" s="222"/>
      <c r="V639" s="2"/>
      <c r="W639" s="2"/>
      <c r="X639" s="2"/>
      <c r="Z639" s="2"/>
      <c r="AA639" s="2"/>
      <c r="AB639" s="2"/>
      <c r="AC639" s="2"/>
    </row>
    <row r="640" spans="1:29" ht="15.75" customHeight="1" x14ac:dyDescent="0.3">
      <c r="A640" s="2"/>
      <c r="C640" s="2"/>
      <c r="D640" s="2"/>
      <c r="E640" s="2"/>
      <c r="F640" s="2"/>
      <c r="G640" s="92"/>
      <c r="H640" s="2"/>
      <c r="I640" s="2"/>
      <c r="J640" s="2"/>
      <c r="K640" s="90"/>
      <c r="L640" s="2"/>
      <c r="N640" s="2"/>
      <c r="O640" s="2"/>
      <c r="P640" s="2"/>
      <c r="Q640" s="2"/>
      <c r="R640" s="2"/>
      <c r="S640" s="2"/>
      <c r="T640" s="2"/>
      <c r="U640" s="222"/>
      <c r="V640" s="2"/>
      <c r="W640" s="2"/>
      <c r="X640" s="2"/>
      <c r="Z640" s="2"/>
      <c r="AA640" s="2"/>
      <c r="AB640" s="2"/>
      <c r="AC640" s="2"/>
    </row>
    <row r="641" spans="1:29" ht="15.75" customHeight="1" x14ac:dyDescent="0.3">
      <c r="A641" s="2"/>
      <c r="C641" s="2"/>
      <c r="D641" s="2"/>
      <c r="E641" s="2"/>
      <c r="F641" s="2"/>
      <c r="G641" s="92"/>
      <c r="H641" s="2"/>
      <c r="I641" s="2"/>
      <c r="J641" s="2"/>
      <c r="K641" s="90"/>
      <c r="L641" s="2"/>
      <c r="N641" s="2"/>
      <c r="O641" s="2"/>
      <c r="P641" s="2"/>
      <c r="Q641" s="2"/>
      <c r="R641" s="2"/>
      <c r="S641" s="2"/>
      <c r="T641" s="2"/>
      <c r="U641" s="222"/>
      <c r="V641" s="2"/>
      <c r="W641" s="2"/>
      <c r="X641" s="2"/>
      <c r="Z641" s="2"/>
      <c r="AA641" s="2"/>
      <c r="AB641" s="2"/>
      <c r="AC641" s="2"/>
    </row>
    <row r="642" spans="1:29" ht="15.75" customHeight="1" x14ac:dyDescent="0.3">
      <c r="A642" s="2"/>
      <c r="C642" s="2"/>
      <c r="D642" s="2"/>
      <c r="E642" s="2"/>
      <c r="F642" s="2"/>
      <c r="G642" s="92"/>
      <c r="H642" s="2"/>
      <c r="I642" s="2"/>
      <c r="J642" s="2"/>
      <c r="K642" s="90"/>
      <c r="L642" s="2"/>
      <c r="N642" s="2"/>
      <c r="O642" s="2"/>
      <c r="P642" s="2"/>
      <c r="Q642" s="2"/>
      <c r="R642" s="2"/>
      <c r="S642" s="2"/>
      <c r="T642" s="2"/>
      <c r="U642" s="222"/>
      <c r="V642" s="2"/>
      <c r="W642" s="2"/>
      <c r="X642" s="2"/>
      <c r="Z642" s="2"/>
      <c r="AA642" s="2"/>
      <c r="AB642" s="2"/>
      <c r="AC642" s="2"/>
    </row>
    <row r="643" spans="1:29" ht="15.75" customHeight="1" x14ac:dyDescent="0.3">
      <c r="A643" s="2"/>
      <c r="C643" s="2"/>
      <c r="D643" s="2"/>
      <c r="E643" s="2"/>
      <c r="F643" s="2"/>
      <c r="G643" s="92"/>
      <c r="H643" s="2"/>
      <c r="I643" s="2"/>
      <c r="J643" s="2"/>
      <c r="K643" s="90"/>
      <c r="L643" s="2"/>
      <c r="N643" s="2"/>
      <c r="O643" s="2"/>
      <c r="P643" s="2"/>
      <c r="Q643" s="2"/>
      <c r="R643" s="2"/>
      <c r="S643" s="2"/>
      <c r="T643" s="2"/>
      <c r="U643" s="222"/>
      <c r="V643" s="2"/>
      <c r="W643" s="2"/>
      <c r="X643" s="2"/>
      <c r="Z643" s="2"/>
      <c r="AA643" s="2"/>
      <c r="AB643" s="2"/>
      <c r="AC643" s="2"/>
    </row>
    <row r="644" spans="1:29" ht="15.75" customHeight="1" x14ac:dyDescent="0.3">
      <c r="A644" s="2"/>
      <c r="C644" s="2"/>
      <c r="D644" s="2"/>
      <c r="E644" s="2"/>
      <c r="F644" s="2"/>
      <c r="G644" s="92"/>
      <c r="H644" s="2"/>
      <c r="I644" s="2"/>
      <c r="J644" s="2"/>
      <c r="K644" s="90"/>
      <c r="L644" s="2"/>
      <c r="N644" s="2"/>
      <c r="O644" s="2"/>
      <c r="P644" s="2"/>
      <c r="Q644" s="2"/>
      <c r="R644" s="2"/>
      <c r="S644" s="2"/>
      <c r="T644" s="2"/>
      <c r="U644" s="222"/>
      <c r="V644" s="2"/>
      <c r="W644" s="2"/>
      <c r="X644" s="2"/>
      <c r="Z644" s="2"/>
      <c r="AA644" s="2"/>
      <c r="AB644" s="2"/>
      <c r="AC644" s="2"/>
    </row>
    <row r="645" spans="1:29" ht="15.75" customHeight="1" x14ac:dyDescent="0.3">
      <c r="A645" s="2"/>
      <c r="C645" s="2"/>
      <c r="D645" s="2"/>
      <c r="E645" s="2"/>
      <c r="F645" s="2"/>
      <c r="G645" s="92"/>
      <c r="H645" s="2"/>
      <c r="I645" s="2"/>
      <c r="J645" s="2"/>
      <c r="K645" s="90"/>
      <c r="L645" s="2"/>
      <c r="N645" s="2"/>
      <c r="O645" s="2"/>
      <c r="P645" s="2"/>
      <c r="Q645" s="2"/>
      <c r="R645" s="2"/>
      <c r="S645" s="2"/>
      <c r="T645" s="2"/>
      <c r="U645" s="222"/>
      <c r="V645" s="2"/>
      <c r="W645" s="2"/>
      <c r="X645" s="2"/>
      <c r="Z645" s="2"/>
      <c r="AA645" s="2"/>
      <c r="AB645" s="2"/>
      <c r="AC645" s="2"/>
    </row>
    <row r="646" spans="1:29" ht="15.75" customHeight="1" x14ac:dyDescent="0.3">
      <c r="A646" s="2"/>
      <c r="C646" s="2"/>
      <c r="D646" s="2"/>
      <c r="E646" s="2"/>
      <c r="F646" s="2"/>
      <c r="G646" s="92"/>
      <c r="H646" s="2"/>
      <c r="I646" s="2"/>
      <c r="J646" s="2"/>
      <c r="K646" s="90"/>
      <c r="L646" s="2"/>
      <c r="N646" s="2"/>
      <c r="O646" s="2"/>
      <c r="P646" s="2"/>
      <c r="Q646" s="2"/>
      <c r="R646" s="2"/>
      <c r="S646" s="2"/>
      <c r="T646" s="2"/>
      <c r="U646" s="222"/>
      <c r="V646" s="2"/>
      <c r="W646" s="2"/>
      <c r="X646" s="2"/>
      <c r="Z646" s="2"/>
      <c r="AA646" s="2"/>
      <c r="AB646" s="2"/>
      <c r="AC646" s="2"/>
    </row>
    <row r="647" spans="1:29" ht="15.75" customHeight="1" x14ac:dyDescent="0.3">
      <c r="A647" s="2"/>
      <c r="C647" s="2"/>
      <c r="D647" s="2"/>
      <c r="E647" s="2"/>
      <c r="F647" s="2"/>
      <c r="G647" s="92"/>
      <c r="H647" s="2"/>
      <c r="I647" s="2"/>
      <c r="J647" s="2"/>
      <c r="K647" s="90"/>
      <c r="L647" s="2"/>
      <c r="N647" s="2"/>
      <c r="O647" s="2"/>
      <c r="P647" s="2"/>
      <c r="Q647" s="2"/>
      <c r="R647" s="2"/>
      <c r="S647" s="2"/>
      <c r="T647" s="2"/>
      <c r="U647" s="222"/>
      <c r="V647" s="2"/>
      <c r="W647" s="2"/>
      <c r="X647" s="2"/>
      <c r="Z647" s="2"/>
      <c r="AA647" s="2"/>
      <c r="AB647" s="2"/>
      <c r="AC647" s="2"/>
    </row>
    <row r="648" spans="1:29" ht="15.75" customHeight="1" x14ac:dyDescent="0.3">
      <c r="A648" s="2"/>
      <c r="C648" s="2"/>
      <c r="D648" s="2"/>
      <c r="E648" s="2"/>
      <c r="F648" s="2"/>
      <c r="G648" s="92"/>
      <c r="H648" s="2"/>
      <c r="I648" s="2"/>
      <c r="J648" s="2"/>
      <c r="K648" s="90"/>
      <c r="L648" s="2"/>
      <c r="N648" s="2"/>
      <c r="O648" s="2"/>
      <c r="P648" s="2"/>
      <c r="Q648" s="2"/>
      <c r="R648" s="2"/>
      <c r="S648" s="2"/>
      <c r="T648" s="2"/>
      <c r="U648" s="222"/>
      <c r="V648" s="2"/>
      <c r="W648" s="2"/>
      <c r="X648" s="2"/>
      <c r="Z648" s="2"/>
      <c r="AA648" s="2"/>
      <c r="AB648" s="2"/>
      <c r="AC648" s="2"/>
    </row>
    <row r="649" spans="1:29" ht="15.75" customHeight="1" x14ac:dyDescent="0.3">
      <c r="A649" s="2"/>
      <c r="C649" s="2"/>
      <c r="D649" s="2"/>
      <c r="E649" s="2"/>
      <c r="F649" s="2"/>
      <c r="G649" s="92"/>
      <c r="H649" s="2"/>
      <c r="I649" s="2"/>
      <c r="J649" s="2"/>
      <c r="K649" s="90"/>
      <c r="L649" s="2"/>
      <c r="N649" s="2"/>
      <c r="O649" s="2"/>
      <c r="P649" s="2"/>
      <c r="Q649" s="2"/>
      <c r="R649" s="2"/>
      <c r="S649" s="2"/>
      <c r="T649" s="2"/>
      <c r="U649" s="222"/>
      <c r="V649" s="2"/>
      <c r="W649" s="2"/>
      <c r="X649" s="2"/>
      <c r="Z649" s="2"/>
      <c r="AA649" s="2"/>
      <c r="AB649" s="2"/>
      <c r="AC649" s="2"/>
    </row>
    <row r="650" spans="1:29" ht="15.75" customHeight="1" x14ac:dyDescent="0.3">
      <c r="A650" s="2"/>
      <c r="C650" s="2"/>
      <c r="D650" s="2"/>
      <c r="E650" s="2"/>
      <c r="F650" s="2"/>
      <c r="G650" s="92"/>
      <c r="H650" s="2"/>
      <c r="I650" s="2"/>
      <c r="J650" s="2"/>
      <c r="K650" s="90"/>
      <c r="L650" s="2"/>
      <c r="N650" s="2"/>
      <c r="O650" s="2"/>
      <c r="P650" s="2"/>
      <c r="Q650" s="2"/>
      <c r="R650" s="2"/>
      <c r="S650" s="2"/>
      <c r="T650" s="2"/>
      <c r="U650" s="222"/>
      <c r="V650" s="2"/>
      <c r="W650" s="2"/>
      <c r="X650" s="2"/>
      <c r="Z650" s="2"/>
      <c r="AA650" s="2"/>
      <c r="AB650" s="2"/>
      <c r="AC650" s="2"/>
    </row>
    <row r="651" spans="1:29" ht="15.75" customHeight="1" x14ac:dyDescent="0.3">
      <c r="A651" s="2"/>
      <c r="C651" s="2"/>
      <c r="D651" s="2"/>
      <c r="E651" s="2"/>
      <c r="F651" s="2"/>
      <c r="G651" s="92"/>
      <c r="H651" s="2"/>
      <c r="I651" s="2"/>
      <c r="J651" s="2"/>
      <c r="K651" s="90"/>
      <c r="L651" s="2"/>
      <c r="N651" s="2"/>
      <c r="O651" s="2"/>
      <c r="P651" s="2"/>
      <c r="Q651" s="2"/>
      <c r="R651" s="2"/>
      <c r="S651" s="2"/>
      <c r="T651" s="2"/>
      <c r="U651" s="222"/>
      <c r="V651" s="2"/>
      <c r="W651" s="2"/>
      <c r="X651" s="2"/>
      <c r="Z651" s="2"/>
      <c r="AA651" s="2"/>
      <c r="AB651" s="2"/>
      <c r="AC651" s="2"/>
    </row>
    <row r="652" spans="1:29" ht="15.75" customHeight="1" x14ac:dyDescent="0.3">
      <c r="A652" s="2"/>
      <c r="C652" s="2"/>
      <c r="D652" s="2"/>
      <c r="E652" s="2"/>
      <c r="F652" s="2"/>
      <c r="G652" s="92"/>
      <c r="H652" s="2"/>
      <c r="I652" s="2"/>
      <c r="J652" s="2"/>
      <c r="K652" s="90"/>
      <c r="L652" s="2"/>
      <c r="N652" s="2"/>
      <c r="O652" s="2"/>
      <c r="P652" s="2"/>
      <c r="Q652" s="2"/>
      <c r="R652" s="2"/>
      <c r="S652" s="2"/>
      <c r="T652" s="2"/>
      <c r="U652" s="222"/>
      <c r="V652" s="2"/>
      <c r="W652" s="2"/>
      <c r="X652" s="2"/>
      <c r="Z652" s="2"/>
      <c r="AA652" s="2"/>
      <c r="AB652" s="2"/>
      <c r="AC652" s="2"/>
    </row>
    <row r="653" spans="1:29" ht="15.75" customHeight="1" x14ac:dyDescent="0.3">
      <c r="A653" s="2"/>
      <c r="C653" s="2"/>
      <c r="D653" s="2"/>
      <c r="E653" s="2"/>
      <c r="F653" s="2"/>
      <c r="G653" s="92"/>
      <c r="H653" s="2"/>
      <c r="I653" s="2"/>
      <c r="J653" s="2"/>
      <c r="K653" s="90"/>
      <c r="L653" s="2"/>
      <c r="N653" s="2"/>
      <c r="O653" s="2"/>
      <c r="P653" s="2"/>
      <c r="Q653" s="2"/>
      <c r="R653" s="2"/>
      <c r="S653" s="2"/>
      <c r="T653" s="2"/>
      <c r="U653" s="222"/>
      <c r="V653" s="2"/>
      <c r="W653" s="2"/>
      <c r="X653" s="2"/>
      <c r="Z653" s="2"/>
      <c r="AA653" s="2"/>
      <c r="AB653" s="2"/>
      <c r="AC653" s="2"/>
    </row>
    <row r="654" spans="1:29" ht="15.75" customHeight="1" x14ac:dyDescent="0.3">
      <c r="A654" s="2"/>
      <c r="C654" s="2"/>
      <c r="D654" s="2"/>
      <c r="E654" s="2"/>
      <c r="F654" s="2"/>
      <c r="G654" s="92"/>
      <c r="H654" s="2"/>
      <c r="I654" s="2"/>
      <c r="J654" s="2"/>
      <c r="K654" s="90"/>
      <c r="L654" s="2"/>
      <c r="N654" s="2"/>
      <c r="O654" s="2"/>
      <c r="P654" s="2"/>
      <c r="Q654" s="2"/>
      <c r="R654" s="2"/>
      <c r="S654" s="2"/>
      <c r="T654" s="2"/>
      <c r="U654" s="222"/>
      <c r="V654" s="2"/>
      <c r="W654" s="2"/>
      <c r="X654" s="2"/>
      <c r="Z654" s="2"/>
      <c r="AA654" s="2"/>
      <c r="AB654" s="2"/>
      <c r="AC654" s="2"/>
    </row>
    <row r="655" spans="1:29" ht="15.75" customHeight="1" x14ac:dyDescent="0.3">
      <c r="A655" s="2"/>
      <c r="C655" s="2"/>
      <c r="D655" s="2"/>
      <c r="E655" s="2"/>
      <c r="F655" s="2"/>
      <c r="G655" s="92"/>
      <c r="H655" s="2"/>
      <c r="I655" s="2"/>
      <c r="J655" s="2"/>
      <c r="K655" s="90"/>
      <c r="L655" s="2"/>
      <c r="N655" s="2"/>
      <c r="O655" s="2"/>
      <c r="P655" s="2"/>
      <c r="Q655" s="2"/>
      <c r="R655" s="2"/>
      <c r="S655" s="2"/>
      <c r="T655" s="2"/>
      <c r="U655" s="222"/>
      <c r="V655" s="2"/>
      <c r="W655" s="2"/>
      <c r="X655" s="2"/>
      <c r="Z655" s="2"/>
      <c r="AA655" s="2"/>
      <c r="AB655" s="2"/>
      <c r="AC655" s="2"/>
    </row>
    <row r="656" spans="1:29" ht="15.75" customHeight="1" x14ac:dyDescent="0.3">
      <c r="A656" s="2"/>
      <c r="C656" s="2"/>
      <c r="D656" s="2"/>
      <c r="E656" s="2"/>
      <c r="F656" s="2"/>
      <c r="G656" s="92"/>
      <c r="H656" s="2"/>
      <c r="I656" s="2"/>
      <c r="J656" s="2"/>
      <c r="K656" s="90"/>
      <c r="L656" s="2"/>
      <c r="N656" s="2"/>
      <c r="O656" s="2"/>
      <c r="P656" s="2"/>
      <c r="Q656" s="2"/>
      <c r="R656" s="2"/>
      <c r="S656" s="2"/>
      <c r="T656" s="2"/>
      <c r="U656" s="222"/>
      <c r="V656" s="2"/>
      <c r="W656" s="2"/>
      <c r="X656" s="2"/>
      <c r="Z656" s="2"/>
      <c r="AA656" s="2"/>
      <c r="AB656" s="2"/>
      <c r="AC656" s="2"/>
    </row>
    <row r="657" spans="1:29" ht="15.75" customHeight="1" x14ac:dyDescent="0.3">
      <c r="A657" s="2"/>
      <c r="C657" s="2"/>
      <c r="D657" s="2"/>
      <c r="E657" s="2"/>
      <c r="F657" s="2"/>
      <c r="G657" s="92"/>
      <c r="H657" s="2"/>
      <c r="I657" s="2"/>
      <c r="J657" s="2"/>
      <c r="K657" s="90"/>
      <c r="L657" s="2"/>
      <c r="N657" s="2"/>
      <c r="O657" s="2"/>
      <c r="P657" s="2"/>
      <c r="Q657" s="2"/>
      <c r="R657" s="2"/>
      <c r="S657" s="2"/>
      <c r="T657" s="2"/>
      <c r="U657" s="222"/>
      <c r="V657" s="2"/>
      <c r="W657" s="2"/>
      <c r="X657" s="2"/>
      <c r="Z657" s="2"/>
      <c r="AA657" s="2"/>
      <c r="AB657" s="2"/>
      <c r="AC657" s="2"/>
    </row>
    <row r="658" spans="1:29" ht="15.75" customHeight="1" x14ac:dyDescent="0.3">
      <c r="A658" s="2"/>
      <c r="C658" s="2"/>
      <c r="D658" s="2"/>
      <c r="E658" s="2"/>
      <c r="F658" s="2"/>
      <c r="G658" s="92"/>
      <c r="H658" s="2"/>
      <c r="I658" s="2"/>
      <c r="J658" s="2"/>
      <c r="K658" s="90"/>
      <c r="L658" s="2"/>
      <c r="N658" s="2"/>
      <c r="O658" s="2"/>
      <c r="P658" s="2"/>
      <c r="Q658" s="2"/>
      <c r="R658" s="2"/>
      <c r="S658" s="2"/>
      <c r="T658" s="2"/>
      <c r="U658" s="222"/>
      <c r="V658" s="2"/>
      <c r="W658" s="2"/>
      <c r="X658" s="2"/>
      <c r="Z658" s="2"/>
      <c r="AA658" s="2"/>
      <c r="AB658" s="2"/>
      <c r="AC658" s="2"/>
    </row>
    <row r="659" spans="1:29" ht="15.75" customHeight="1" x14ac:dyDescent="0.3">
      <c r="A659" s="2"/>
      <c r="C659" s="2"/>
      <c r="D659" s="2"/>
      <c r="E659" s="2"/>
      <c r="F659" s="2"/>
      <c r="G659" s="92"/>
      <c r="H659" s="2"/>
      <c r="I659" s="2"/>
      <c r="J659" s="2"/>
      <c r="K659" s="90"/>
      <c r="L659" s="2"/>
      <c r="N659" s="2"/>
      <c r="O659" s="2"/>
      <c r="P659" s="2"/>
      <c r="Q659" s="2"/>
      <c r="R659" s="2"/>
      <c r="S659" s="2"/>
      <c r="T659" s="2"/>
      <c r="U659" s="222"/>
      <c r="V659" s="2"/>
      <c r="W659" s="2"/>
      <c r="X659" s="2"/>
      <c r="Z659" s="2"/>
      <c r="AA659" s="2"/>
      <c r="AB659" s="2"/>
      <c r="AC659" s="2"/>
    </row>
    <row r="660" spans="1:29" ht="15.75" customHeight="1" x14ac:dyDescent="0.3">
      <c r="A660" s="2"/>
      <c r="C660" s="2"/>
      <c r="D660" s="2"/>
      <c r="E660" s="2"/>
      <c r="F660" s="2"/>
      <c r="G660" s="92"/>
      <c r="H660" s="2"/>
      <c r="I660" s="2"/>
      <c r="J660" s="2"/>
      <c r="K660" s="90"/>
      <c r="L660" s="2"/>
      <c r="N660" s="2"/>
      <c r="O660" s="2"/>
      <c r="P660" s="2"/>
      <c r="Q660" s="2"/>
      <c r="R660" s="2"/>
      <c r="S660" s="2"/>
      <c r="T660" s="2"/>
      <c r="U660" s="222"/>
      <c r="V660" s="2"/>
      <c r="W660" s="2"/>
      <c r="X660" s="2"/>
      <c r="Z660" s="2"/>
      <c r="AA660" s="2"/>
      <c r="AB660" s="2"/>
      <c r="AC660" s="2"/>
    </row>
    <row r="661" spans="1:29" ht="15.75" customHeight="1" x14ac:dyDescent="0.3">
      <c r="A661" s="2"/>
      <c r="C661" s="2"/>
      <c r="D661" s="2"/>
      <c r="E661" s="2"/>
      <c r="F661" s="2"/>
      <c r="G661" s="92"/>
      <c r="H661" s="2"/>
      <c r="I661" s="2"/>
      <c r="J661" s="2"/>
      <c r="K661" s="90"/>
      <c r="L661" s="2"/>
      <c r="N661" s="2"/>
      <c r="O661" s="2"/>
      <c r="P661" s="2"/>
      <c r="Q661" s="2"/>
      <c r="R661" s="2"/>
      <c r="S661" s="2"/>
      <c r="T661" s="2"/>
      <c r="U661" s="222"/>
      <c r="V661" s="2"/>
      <c r="W661" s="2"/>
      <c r="X661" s="2"/>
      <c r="Z661" s="2"/>
      <c r="AA661" s="2"/>
      <c r="AB661" s="2"/>
      <c r="AC661" s="2"/>
    </row>
    <row r="662" spans="1:29" ht="15.75" customHeight="1" x14ac:dyDescent="0.3">
      <c r="A662" s="2"/>
      <c r="C662" s="2"/>
      <c r="D662" s="2"/>
      <c r="E662" s="2"/>
      <c r="F662" s="2"/>
      <c r="G662" s="92"/>
      <c r="H662" s="2"/>
      <c r="I662" s="2"/>
      <c r="J662" s="2"/>
      <c r="K662" s="90"/>
      <c r="L662" s="2"/>
      <c r="N662" s="2"/>
      <c r="O662" s="2"/>
      <c r="P662" s="2"/>
      <c r="Q662" s="2"/>
      <c r="R662" s="2"/>
      <c r="S662" s="2"/>
      <c r="T662" s="2"/>
      <c r="U662" s="222"/>
      <c r="V662" s="2"/>
      <c r="W662" s="2"/>
      <c r="X662" s="2"/>
      <c r="Z662" s="2"/>
      <c r="AA662" s="2"/>
      <c r="AB662" s="2"/>
      <c r="AC662" s="2"/>
    </row>
    <row r="663" spans="1:29" ht="15.75" customHeight="1" x14ac:dyDescent="0.3">
      <c r="A663" s="2"/>
      <c r="C663" s="2"/>
      <c r="D663" s="2"/>
      <c r="E663" s="2"/>
      <c r="F663" s="2"/>
      <c r="G663" s="92"/>
      <c r="H663" s="2"/>
      <c r="I663" s="2"/>
      <c r="J663" s="2"/>
      <c r="K663" s="90"/>
      <c r="L663" s="2"/>
      <c r="N663" s="2"/>
      <c r="O663" s="2"/>
      <c r="P663" s="2"/>
      <c r="Q663" s="2"/>
      <c r="R663" s="2"/>
      <c r="S663" s="2"/>
      <c r="T663" s="2"/>
      <c r="U663" s="222"/>
      <c r="V663" s="2"/>
      <c r="W663" s="2"/>
      <c r="X663" s="2"/>
      <c r="Z663" s="2"/>
      <c r="AA663" s="2"/>
      <c r="AB663" s="2"/>
      <c r="AC663" s="2"/>
    </row>
    <row r="664" spans="1:29" ht="15.75" customHeight="1" x14ac:dyDescent="0.3">
      <c r="A664" s="2"/>
      <c r="C664" s="2"/>
      <c r="D664" s="2"/>
      <c r="E664" s="2"/>
      <c r="F664" s="2"/>
      <c r="G664" s="92"/>
      <c r="H664" s="2"/>
      <c r="I664" s="2"/>
      <c r="J664" s="2"/>
      <c r="K664" s="90"/>
      <c r="L664" s="2"/>
      <c r="N664" s="2"/>
      <c r="O664" s="2"/>
      <c r="P664" s="2"/>
      <c r="Q664" s="2"/>
      <c r="R664" s="2"/>
      <c r="S664" s="2"/>
      <c r="T664" s="2"/>
      <c r="U664" s="222"/>
      <c r="V664" s="2"/>
      <c r="W664" s="2"/>
      <c r="X664" s="2"/>
      <c r="Z664" s="2"/>
      <c r="AA664" s="2"/>
      <c r="AB664" s="2"/>
      <c r="AC664" s="2"/>
    </row>
    <row r="665" spans="1:29" ht="15.75" customHeight="1" x14ac:dyDescent="0.3">
      <c r="A665" s="2"/>
      <c r="C665" s="2"/>
      <c r="D665" s="2"/>
      <c r="E665" s="2"/>
      <c r="F665" s="2"/>
      <c r="G665" s="92"/>
      <c r="H665" s="2"/>
      <c r="I665" s="2"/>
      <c r="J665" s="2"/>
      <c r="K665" s="90"/>
      <c r="L665" s="2"/>
      <c r="N665" s="2"/>
      <c r="O665" s="2"/>
      <c r="P665" s="2"/>
      <c r="Q665" s="2"/>
      <c r="R665" s="2"/>
      <c r="S665" s="2"/>
      <c r="T665" s="2"/>
      <c r="U665" s="222"/>
      <c r="V665" s="2"/>
      <c r="W665" s="2"/>
      <c r="X665" s="2"/>
      <c r="Z665" s="2"/>
      <c r="AA665" s="2"/>
      <c r="AB665" s="2"/>
      <c r="AC665" s="2"/>
    </row>
    <row r="666" spans="1:29" ht="15.75" customHeight="1" x14ac:dyDescent="0.3">
      <c r="A666" s="2"/>
      <c r="C666" s="2"/>
      <c r="D666" s="2"/>
      <c r="E666" s="2"/>
      <c r="F666" s="2"/>
      <c r="G666" s="92"/>
      <c r="H666" s="2"/>
      <c r="I666" s="2"/>
      <c r="J666" s="2"/>
      <c r="K666" s="90"/>
      <c r="L666" s="2"/>
      <c r="N666" s="2"/>
      <c r="O666" s="2"/>
      <c r="P666" s="2"/>
      <c r="Q666" s="2"/>
      <c r="R666" s="2"/>
      <c r="S666" s="2"/>
      <c r="T666" s="2"/>
      <c r="U666" s="222"/>
      <c r="V666" s="2"/>
      <c r="W666" s="2"/>
      <c r="X666" s="2"/>
      <c r="Z666" s="2"/>
      <c r="AA666" s="2"/>
      <c r="AB666" s="2"/>
      <c r="AC666" s="2"/>
    </row>
    <row r="667" spans="1:29" ht="15.75" customHeight="1" x14ac:dyDescent="0.3">
      <c r="A667" s="2"/>
      <c r="C667" s="2"/>
      <c r="D667" s="2"/>
      <c r="E667" s="2"/>
      <c r="F667" s="2"/>
      <c r="G667" s="92"/>
      <c r="H667" s="2"/>
      <c r="I667" s="2"/>
      <c r="J667" s="2"/>
      <c r="K667" s="90"/>
      <c r="L667" s="2"/>
      <c r="N667" s="2"/>
      <c r="O667" s="2"/>
      <c r="P667" s="2"/>
      <c r="Q667" s="2"/>
      <c r="R667" s="2"/>
      <c r="S667" s="2"/>
      <c r="T667" s="2"/>
      <c r="U667" s="222"/>
      <c r="V667" s="2"/>
      <c r="W667" s="2"/>
      <c r="X667" s="2"/>
      <c r="Z667" s="2"/>
      <c r="AA667" s="2"/>
      <c r="AB667" s="2"/>
      <c r="AC667" s="2"/>
    </row>
    <row r="668" spans="1:29" ht="15.75" customHeight="1" x14ac:dyDescent="0.3">
      <c r="A668" s="2"/>
      <c r="C668" s="2"/>
      <c r="D668" s="2"/>
      <c r="E668" s="2"/>
      <c r="F668" s="2"/>
      <c r="G668" s="92"/>
      <c r="H668" s="2"/>
      <c r="I668" s="2"/>
      <c r="J668" s="2"/>
      <c r="K668" s="90"/>
      <c r="L668" s="2"/>
      <c r="N668" s="2"/>
      <c r="O668" s="2"/>
      <c r="P668" s="2"/>
      <c r="Q668" s="2"/>
      <c r="R668" s="2"/>
      <c r="S668" s="2"/>
      <c r="T668" s="2"/>
      <c r="U668" s="222"/>
      <c r="V668" s="2"/>
      <c r="W668" s="2"/>
      <c r="X668" s="2"/>
      <c r="Z668" s="2"/>
      <c r="AA668" s="2"/>
      <c r="AB668" s="2"/>
      <c r="AC668" s="2"/>
    </row>
    <row r="669" spans="1:29" ht="15.75" customHeight="1" x14ac:dyDescent="0.3">
      <c r="A669" s="2"/>
      <c r="C669" s="2"/>
      <c r="D669" s="2"/>
      <c r="E669" s="2"/>
      <c r="F669" s="2"/>
      <c r="G669" s="92"/>
      <c r="H669" s="2"/>
      <c r="I669" s="2"/>
      <c r="J669" s="2"/>
      <c r="K669" s="90"/>
      <c r="L669" s="2"/>
      <c r="N669" s="2"/>
      <c r="O669" s="2"/>
      <c r="P669" s="2"/>
      <c r="Q669" s="2"/>
      <c r="R669" s="2"/>
      <c r="S669" s="2"/>
      <c r="T669" s="2"/>
      <c r="U669" s="222"/>
      <c r="V669" s="2"/>
      <c r="W669" s="2"/>
      <c r="X669" s="2"/>
      <c r="Z669" s="2"/>
      <c r="AA669" s="2"/>
      <c r="AB669" s="2"/>
      <c r="AC669" s="2"/>
    </row>
    <row r="670" spans="1:29" ht="15.75" customHeight="1" x14ac:dyDescent="0.3">
      <c r="A670" s="2"/>
      <c r="C670" s="2"/>
      <c r="D670" s="2"/>
      <c r="E670" s="2"/>
      <c r="F670" s="2"/>
      <c r="G670" s="92"/>
      <c r="H670" s="2"/>
      <c r="I670" s="2"/>
      <c r="J670" s="2"/>
      <c r="K670" s="90"/>
      <c r="L670" s="2"/>
      <c r="N670" s="2"/>
      <c r="O670" s="2"/>
      <c r="P670" s="2"/>
      <c r="Q670" s="2"/>
      <c r="R670" s="2"/>
      <c r="S670" s="2"/>
      <c r="T670" s="2"/>
      <c r="U670" s="222"/>
      <c r="V670" s="2"/>
      <c r="W670" s="2"/>
      <c r="X670" s="2"/>
      <c r="Z670" s="2"/>
      <c r="AA670" s="2"/>
      <c r="AB670" s="2"/>
      <c r="AC670" s="2"/>
    </row>
    <row r="671" spans="1:29" ht="15.75" customHeight="1" x14ac:dyDescent="0.3">
      <c r="A671" s="2"/>
      <c r="C671" s="2"/>
      <c r="D671" s="2"/>
      <c r="E671" s="2"/>
      <c r="F671" s="2"/>
      <c r="G671" s="92"/>
      <c r="H671" s="2"/>
      <c r="I671" s="2"/>
      <c r="J671" s="2"/>
      <c r="K671" s="90"/>
      <c r="L671" s="2"/>
      <c r="N671" s="2"/>
      <c r="O671" s="2"/>
      <c r="P671" s="2"/>
      <c r="Q671" s="2"/>
      <c r="R671" s="2"/>
      <c r="S671" s="2"/>
      <c r="T671" s="2"/>
      <c r="U671" s="222"/>
      <c r="V671" s="2"/>
      <c r="W671" s="2"/>
      <c r="X671" s="2"/>
      <c r="Z671" s="2"/>
      <c r="AA671" s="2"/>
      <c r="AB671" s="2"/>
      <c r="AC671" s="2"/>
    </row>
    <row r="672" spans="1:29" ht="15.75" customHeight="1" x14ac:dyDescent="0.3">
      <c r="A672" s="2"/>
      <c r="C672" s="2"/>
      <c r="D672" s="2"/>
      <c r="E672" s="2"/>
      <c r="F672" s="2"/>
      <c r="G672" s="92"/>
      <c r="H672" s="2"/>
      <c r="I672" s="2"/>
      <c r="J672" s="2"/>
      <c r="K672" s="90"/>
      <c r="L672" s="2"/>
      <c r="N672" s="2"/>
      <c r="O672" s="2"/>
      <c r="P672" s="2"/>
      <c r="Q672" s="2"/>
      <c r="R672" s="2"/>
      <c r="S672" s="2"/>
      <c r="T672" s="2"/>
      <c r="U672" s="222"/>
      <c r="V672" s="2"/>
      <c r="W672" s="2"/>
      <c r="X672" s="2"/>
      <c r="Z672" s="2"/>
      <c r="AA672" s="2"/>
      <c r="AB672" s="2"/>
      <c r="AC672" s="2"/>
    </row>
    <row r="673" spans="1:29" ht="15.75" customHeight="1" x14ac:dyDescent="0.3">
      <c r="A673" s="2"/>
      <c r="C673" s="2"/>
      <c r="D673" s="2"/>
      <c r="E673" s="2"/>
      <c r="F673" s="2"/>
      <c r="G673" s="92"/>
      <c r="H673" s="2"/>
      <c r="I673" s="2"/>
      <c r="J673" s="2"/>
      <c r="K673" s="90"/>
      <c r="L673" s="2"/>
      <c r="N673" s="2"/>
      <c r="O673" s="2"/>
      <c r="P673" s="2"/>
      <c r="Q673" s="2"/>
      <c r="R673" s="2"/>
      <c r="S673" s="2"/>
      <c r="T673" s="2"/>
      <c r="U673" s="222"/>
      <c r="V673" s="2"/>
      <c r="W673" s="2"/>
      <c r="X673" s="2"/>
      <c r="Z673" s="2"/>
      <c r="AA673" s="2"/>
      <c r="AB673" s="2"/>
      <c r="AC673" s="2"/>
    </row>
    <row r="674" spans="1:29" ht="15.75" customHeight="1" x14ac:dyDescent="0.3">
      <c r="A674" s="2"/>
      <c r="C674" s="2"/>
      <c r="D674" s="2"/>
      <c r="E674" s="2"/>
      <c r="F674" s="2"/>
      <c r="G674" s="92"/>
      <c r="H674" s="2"/>
      <c r="I674" s="2"/>
      <c r="J674" s="2"/>
      <c r="K674" s="90"/>
      <c r="L674" s="2"/>
      <c r="N674" s="2"/>
      <c r="O674" s="2"/>
      <c r="P674" s="2"/>
      <c r="Q674" s="2"/>
      <c r="R674" s="2"/>
      <c r="S674" s="2"/>
      <c r="T674" s="2"/>
      <c r="U674" s="222"/>
      <c r="V674" s="2"/>
      <c r="W674" s="2"/>
      <c r="X674" s="2"/>
      <c r="Z674" s="2"/>
      <c r="AA674" s="2"/>
      <c r="AB674" s="2"/>
      <c r="AC674" s="2"/>
    </row>
    <row r="675" spans="1:29" ht="15.75" customHeight="1" x14ac:dyDescent="0.3">
      <c r="A675" s="2"/>
      <c r="C675" s="2"/>
      <c r="D675" s="2"/>
      <c r="E675" s="2"/>
      <c r="F675" s="2"/>
      <c r="G675" s="92"/>
      <c r="H675" s="2"/>
      <c r="I675" s="2"/>
      <c r="J675" s="2"/>
      <c r="K675" s="90"/>
      <c r="L675" s="2"/>
      <c r="N675" s="2"/>
      <c r="O675" s="2"/>
      <c r="P675" s="2"/>
      <c r="Q675" s="2"/>
      <c r="R675" s="2"/>
      <c r="S675" s="2"/>
      <c r="T675" s="2"/>
      <c r="U675" s="222"/>
      <c r="V675" s="2"/>
      <c r="W675" s="2"/>
      <c r="X675" s="2"/>
      <c r="Z675" s="2"/>
      <c r="AA675" s="2"/>
      <c r="AB675" s="2"/>
      <c r="AC675" s="2"/>
    </row>
    <row r="676" spans="1:29" ht="15.75" customHeight="1" x14ac:dyDescent="0.3">
      <c r="A676" s="2"/>
      <c r="C676" s="2"/>
      <c r="D676" s="2"/>
      <c r="E676" s="2"/>
      <c r="F676" s="2"/>
      <c r="G676" s="92"/>
      <c r="H676" s="2"/>
      <c r="I676" s="2"/>
      <c r="J676" s="2"/>
      <c r="K676" s="90"/>
      <c r="L676" s="2"/>
      <c r="N676" s="2"/>
      <c r="O676" s="2"/>
      <c r="P676" s="2"/>
      <c r="Q676" s="2"/>
      <c r="R676" s="2"/>
      <c r="S676" s="2"/>
      <c r="T676" s="2"/>
      <c r="U676" s="222"/>
      <c r="V676" s="2"/>
      <c r="W676" s="2"/>
      <c r="X676" s="2"/>
      <c r="Z676" s="2"/>
      <c r="AA676" s="2"/>
      <c r="AB676" s="2"/>
      <c r="AC676" s="2"/>
    </row>
    <row r="677" spans="1:29" ht="15.75" customHeight="1" x14ac:dyDescent="0.3">
      <c r="A677" s="2"/>
      <c r="C677" s="2"/>
      <c r="D677" s="2"/>
      <c r="E677" s="2"/>
      <c r="F677" s="2"/>
      <c r="G677" s="92"/>
      <c r="H677" s="2"/>
      <c r="I677" s="2"/>
      <c r="J677" s="2"/>
      <c r="K677" s="90"/>
      <c r="L677" s="2"/>
      <c r="N677" s="2"/>
      <c r="O677" s="2"/>
      <c r="P677" s="2"/>
      <c r="Q677" s="2"/>
      <c r="R677" s="2"/>
      <c r="S677" s="2"/>
      <c r="T677" s="2"/>
      <c r="U677" s="222"/>
      <c r="V677" s="2"/>
      <c r="W677" s="2"/>
      <c r="X677" s="2"/>
      <c r="Z677" s="2"/>
      <c r="AA677" s="2"/>
      <c r="AB677" s="2"/>
      <c r="AC677" s="2"/>
    </row>
    <row r="678" spans="1:29" ht="15.75" customHeight="1" x14ac:dyDescent="0.3">
      <c r="A678" s="2"/>
      <c r="C678" s="2"/>
      <c r="D678" s="2"/>
      <c r="E678" s="2"/>
      <c r="F678" s="2"/>
      <c r="G678" s="92"/>
      <c r="H678" s="2"/>
      <c r="I678" s="2"/>
      <c r="J678" s="2"/>
      <c r="K678" s="90"/>
      <c r="L678" s="2"/>
      <c r="N678" s="2"/>
      <c r="O678" s="2"/>
      <c r="P678" s="2"/>
      <c r="Q678" s="2"/>
      <c r="R678" s="2"/>
      <c r="S678" s="2"/>
      <c r="T678" s="2"/>
      <c r="U678" s="222"/>
      <c r="V678" s="2"/>
      <c r="W678" s="2"/>
      <c r="X678" s="2"/>
      <c r="Z678" s="2"/>
      <c r="AA678" s="2"/>
      <c r="AB678" s="2"/>
      <c r="AC678" s="2"/>
    </row>
    <row r="679" spans="1:29" ht="15.75" customHeight="1" x14ac:dyDescent="0.3">
      <c r="A679" s="2"/>
      <c r="C679" s="2"/>
      <c r="D679" s="2"/>
      <c r="E679" s="2"/>
      <c r="F679" s="2"/>
      <c r="G679" s="92"/>
      <c r="H679" s="2"/>
      <c r="I679" s="2"/>
      <c r="J679" s="2"/>
      <c r="K679" s="90"/>
      <c r="L679" s="2"/>
      <c r="N679" s="2"/>
      <c r="O679" s="2"/>
      <c r="P679" s="2"/>
      <c r="Q679" s="2"/>
      <c r="R679" s="2"/>
      <c r="S679" s="2"/>
      <c r="T679" s="2"/>
      <c r="U679" s="222"/>
      <c r="V679" s="2"/>
      <c r="W679" s="2"/>
      <c r="X679" s="2"/>
      <c r="Z679" s="2"/>
      <c r="AA679" s="2"/>
      <c r="AB679" s="2"/>
      <c r="AC679" s="2"/>
    </row>
    <row r="680" spans="1:29" ht="15.75" customHeight="1" x14ac:dyDescent="0.3">
      <c r="A680" s="2"/>
      <c r="C680" s="2"/>
      <c r="D680" s="2"/>
      <c r="E680" s="2"/>
      <c r="F680" s="2"/>
      <c r="G680" s="92"/>
      <c r="H680" s="2"/>
      <c r="I680" s="2"/>
      <c r="J680" s="2"/>
      <c r="K680" s="90"/>
      <c r="L680" s="2"/>
      <c r="N680" s="2"/>
      <c r="O680" s="2"/>
      <c r="P680" s="2"/>
      <c r="Q680" s="2"/>
      <c r="R680" s="2"/>
      <c r="S680" s="2"/>
      <c r="T680" s="2"/>
      <c r="U680" s="222"/>
      <c r="V680" s="2"/>
      <c r="W680" s="2"/>
      <c r="X680" s="2"/>
      <c r="Z680" s="2"/>
      <c r="AA680" s="2"/>
      <c r="AB680" s="2"/>
      <c r="AC680" s="2"/>
    </row>
    <row r="681" spans="1:29" ht="15.75" customHeight="1" x14ac:dyDescent="0.3">
      <c r="A681" s="2"/>
      <c r="C681" s="2"/>
      <c r="D681" s="2"/>
      <c r="E681" s="2"/>
      <c r="F681" s="2"/>
      <c r="G681" s="92"/>
      <c r="H681" s="2"/>
      <c r="I681" s="2"/>
      <c r="J681" s="2"/>
      <c r="K681" s="90"/>
      <c r="L681" s="2"/>
      <c r="N681" s="2"/>
      <c r="O681" s="2"/>
      <c r="P681" s="2"/>
      <c r="Q681" s="2"/>
      <c r="R681" s="2"/>
      <c r="S681" s="2"/>
      <c r="T681" s="2"/>
      <c r="U681" s="222"/>
      <c r="V681" s="2"/>
      <c r="W681" s="2"/>
      <c r="X681" s="2"/>
      <c r="Z681" s="2"/>
      <c r="AA681" s="2"/>
      <c r="AB681" s="2"/>
      <c r="AC681" s="2"/>
    </row>
    <row r="682" spans="1:29" ht="15.75" customHeight="1" x14ac:dyDescent="0.3">
      <c r="A682" s="2"/>
      <c r="C682" s="2"/>
      <c r="D682" s="2"/>
      <c r="E682" s="2"/>
      <c r="F682" s="2"/>
      <c r="G682" s="92"/>
      <c r="H682" s="2"/>
      <c r="I682" s="2"/>
      <c r="J682" s="2"/>
      <c r="K682" s="90"/>
      <c r="L682" s="2"/>
      <c r="N682" s="2"/>
      <c r="O682" s="2"/>
      <c r="P682" s="2"/>
      <c r="Q682" s="2"/>
      <c r="R682" s="2"/>
      <c r="S682" s="2"/>
      <c r="T682" s="2"/>
      <c r="U682" s="222"/>
      <c r="V682" s="2"/>
      <c r="W682" s="2"/>
      <c r="X682" s="2"/>
      <c r="Z682" s="2"/>
      <c r="AA682" s="2"/>
      <c r="AB682" s="2"/>
      <c r="AC682" s="2"/>
    </row>
    <row r="683" spans="1:29" ht="15.75" customHeight="1" x14ac:dyDescent="0.3">
      <c r="A683" s="2"/>
      <c r="C683" s="2"/>
      <c r="D683" s="2"/>
      <c r="E683" s="2"/>
      <c r="F683" s="2"/>
      <c r="G683" s="92"/>
      <c r="H683" s="2"/>
      <c r="I683" s="2"/>
      <c r="J683" s="2"/>
      <c r="K683" s="90"/>
      <c r="L683" s="2"/>
      <c r="N683" s="2"/>
      <c r="O683" s="2"/>
      <c r="P683" s="2"/>
      <c r="Q683" s="2"/>
      <c r="R683" s="2"/>
      <c r="S683" s="2"/>
      <c r="T683" s="2"/>
      <c r="U683" s="222"/>
      <c r="V683" s="2"/>
      <c r="W683" s="2"/>
      <c r="X683" s="2"/>
      <c r="Z683" s="2"/>
      <c r="AA683" s="2"/>
      <c r="AB683" s="2"/>
      <c r="AC683" s="2"/>
    </row>
    <row r="684" spans="1:29" ht="15.75" customHeight="1" x14ac:dyDescent="0.3">
      <c r="A684" s="2"/>
      <c r="C684" s="2"/>
      <c r="D684" s="2"/>
      <c r="E684" s="2"/>
      <c r="F684" s="2"/>
      <c r="G684" s="92"/>
      <c r="H684" s="2"/>
      <c r="I684" s="2"/>
      <c r="J684" s="2"/>
      <c r="K684" s="90"/>
      <c r="L684" s="2"/>
      <c r="N684" s="2"/>
      <c r="O684" s="2"/>
      <c r="P684" s="2"/>
      <c r="Q684" s="2"/>
      <c r="R684" s="2"/>
      <c r="S684" s="2"/>
      <c r="T684" s="2"/>
      <c r="U684" s="222"/>
      <c r="V684" s="2"/>
      <c r="W684" s="2"/>
      <c r="X684" s="2"/>
      <c r="Z684" s="2"/>
      <c r="AA684" s="2"/>
      <c r="AB684" s="2"/>
      <c r="AC684" s="2"/>
    </row>
    <row r="685" spans="1:29" ht="15.75" customHeight="1" x14ac:dyDescent="0.3">
      <c r="A685" s="2"/>
      <c r="C685" s="2"/>
      <c r="D685" s="2"/>
      <c r="E685" s="2"/>
      <c r="F685" s="2"/>
      <c r="G685" s="92"/>
      <c r="H685" s="2"/>
      <c r="I685" s="2"/>
      <c r="J685" s="2"/>
      <c r="K685" s="90"/>
      <c r="L685" s="2"/>
      <c r="N685" s="2"/>
      <c r="O685" s="2"/>
      <c r="P685" s="2"/>
      <c r="Q685" s="2"/>
      <c r="R685" s="2"/>
      <c r="S685" s="2"/>
      <c r="T685" s="2"/>
      <c r="U685" s="222"/>
      <c r="V685" s="2"/>
      <c r="W685" s="2"/>
      <c r="X685" s="2"/>
      <c r="Z685" s="2"/>
      <c r="AA685" s="2"/>
      <c r="AB685" s="2"/>
      <c r="AC685" s="2"/>
    </row>
    <row r="686" spans="1:29" ht="15.75" customHeight="1" x14ac:dyDescent="0.3">
      <c r="A686" s="2"/>
      <c r="C686" s="2"/>
      <c r="D686" s="2"/>
      <c r="E686" s="2"/>
      <c r="F686" s="2"/>
      <c r="G686" s="92"/>
      <c r="H686" s="2"/>
      <c r="I686" s="2"/>
      <c r="J686" s="2"/>
      <c r="K686" s="90"/>
      <c r="L686" s="2"/>
      <c r="N686" s="2"/>
      <c r="O686" s="2"/>
      <c r="P686" s="2"/>
      <c r="Q686" s="2"/>
      <c r="R686" s="2"/>
      <c r="S686" s="2"/>
      <c r="T686" s="2"/>
      <c r="U686" s="222"/>
      <c r="V686" s="2"/>
      <c r="W686" s="2"/>
      <c r="X686" s="2"/>
      <c r="Z686" s="2"/>
      <c r="AA686" s="2"/>
      <c r="AB686" s="2"/>
      <c r="AC686" s="2"/>
    </row>
    <row r="687" spans="1:29" ht="15.75" customHeight="1" x14ac:dyDescent="0.3">
      <c r="A687" s="2"/>
      <c r="C687" s="2"/>
      <c r="D687" s="2"/>
      <c r="E687" s="2"/>
      <c r="F687" s="2"/>
      <c r="G687" s="92"/>
      <c r="H687" s="2"/>
      <c r="I687" s="2"/>
      <c r="J687" s="2"/>
      <c r="K687" s="90"/>
      <c r="L687" s="2"/>
      <c r="N687" s="2"/>
      <c r="O687" s="2"/>
      <c r="P687" s="2"/>
      <c r="Q687" s="2"/>
      <c r="R687" s="2"/>
      <c r="S687" s="2"/>
      <c r="T687" s="2"/>
      <c r="U687" s="222"/>
      <c r="V687" s="2"/>
      <c r="W687" s="2"/>
      <c r="X687" s="2"/>
      <c r="Z687" s="2"/>
      <c r="AA687" s="2"/>
      <c r="AB687" s="2"/>
      <c r="AC687" s="2"/>
    </row>
    <row r="688" spans="1:29" ht="15.75" customHeight="1" x14ac:dyDescent="0.3">
      <c r="A688" s="2"/>
      <c r="C688" s="2"/>
      <c r="D688" s="2"/>
      <c r="E688" s="2"/>
      <c r="F688" s="2"/>
      <c r="G688" s="92"/>
      <c r="H688" s="2"/>
      <c r="I688" s="2"/>
      <c r="J688" s="2"/>
      <c r="K688" s="90"/>
      <c r="L688" s="2"/>
      <c r="N688" s="2"/>
      <c r="O688" s="2"/>
      <c r="P688" s="2"/>
      <c r="Q688" s="2"/>
      <c r="R688" s="2"/>
      <c r="S688" s="2"/>
      <c r="T688" s="2"/>
      <c r="U688" s="222"/>
      <c r="V688" s="2"/>
      <c r="W688" s="2"/>
      <c r="X688" s="2"/>
      <c r="Z688" s="2"/>
      <c r="AA688" s="2"/>
      <c r="AB688" s="2"/>
      <c r="AC688" s="2"/>
    </row>
    <row r="689" spans="1:29" ht="15.75" customHeight="1" x14ac:dyDescent="0.3">
      <c r="A689" s="2"/>
      <c r="C689" s="2"/>
      <c r="D689" s="2"/>
      <c r="E689" s="2"/>
      <c r="F689" s="2"/>
      <c r="G689" s="92"/>
      <c r="H689" s="2"/>
      <c r="I689" s="2"/>
      <c r="J689" s="2"/>
      <c r="K689" s="90"/>
      <c r="L689" s="2"/>
      <c r="N689" s="2"/>
      <c r="O689" s="2"/>
      <c r="P689" s="2"/>
      <c r="Q689" s="2"/>
      <c r="R689" s="2"/>
      <c r="S689" s="2"/>
      <c r="T689" s="2"/>
      <c r="U689" s="222"/>
      <c r="V689" s="2"/>
      <c r="W689" s="2"/>
      <c r="X689" s="2"/>
      <c r="Z689" s="2"/>
      <c r="AA689" s="2"/>
      <c r="AB689" s="2"/>
      <c r="AC689" s="2"/>
    </row>
    <row r="690" spans="1:29" ht="15.75" customHeight="1" x14ac:dyDescent="0.3">
      <c r="A690" s="2"/>
      <c r="C690" s="2"/>
      <c r="D690" s="2"/>
      <c r="E690" s="2"/>
      <c r="F690" s="2"/>
      <c r="G690" s="92"/>
      <c r="H690" s="2"/>
      <c r="I690" s="2"/>
      <c r="J690" s="2"/>
      <c r="K690" s="90"/>
      <c r="L690" s="2"/>
      <c r="N690" s="2"/>
      <c r="O690" s="2"/>
      <c r="P690" s="2"/>
      <c r="Q690" s="2"/>
      <c r="R690" s="2"/>
      <c r="S690" s="2"/>
      <c r="T690" s="2"/>
      <c r="U690" s="222"/>
      <c r="V690" s="2"/>
      <c r="W690" s="2"/>
      <c r="X690" s="2"/>
      <c r="Z690" s="2"/>
      <c r="AA690" s="2"/>
      <c r="AB690" s="2"/>
      <c r="AC690" s="2"/>
    </row>
    <row r="691" spans="1:29" ht="15.75" customHeight="1" x14ac:dyDescent="0.3">
      <c r="A691" s="2"/>
      <c r="C691" s="2"/>
      <c r="D691" s="2"/>
      <c r="E691" s="2"/>
      <c r="F691" s="2"/>
      <c r="G691" s="92"/>
      <c r="H691" s="2"/>
      <c r="I691" s="2"/>
      <c r="J691" s="2"/>
      <c r="K691" s="90"/>
      <c r="L691" s="2"/>
      <c r="N691" s="2"/>
      <c r="O691" s="2"/>
      <c r="P691" s="2"/>
      <c r="Q691" s="2"/>
      <c r="R691" s="2"/>
      <c r="S691" s="2"/>
      <c r="T691" s="2"/>
      <c r="U691" s="222"/>
      <c r="V691" s="2"/>
      <c r="W691" s="2"/>
      <c r="X691" s="2"/>
      <c r="Z691" s="2"/>
      <c r="AA691" s="2"/>
      <c r="AB691" s="2"/>
      <c r="AC691" s="2"/>
    </row>
    <row r="692" spans="1:29" ht="15.75" customHeight="1" x14ac:dyDescent="0.3">
      <c r="A692" s="2"/>
      <c r="C692" s="2"/>
      <c r="D692" s="2"/>
      <c r="E692" s="2"/>
      <c r="F692" s="2"/>
      <c r="G692" s="92"/>
      <c r="H692" s="2"/>
      <c r="I692" s="2"/>
      <c r="J692" s="2"/>
      <c r="K692" s="90"/>
      <c r="L692" s="2"/>
      <c r="N692" s="2"/>
      <c r="O692" s="2"/>
      <c r="P692" s="2"/>
      <c r="Q692" s="2"/>
      <c r="R692" s="2"/>
      <c r="S692" s="2"/>
      <c r="T692" s="2"/>
      <c r="U692" s="222"/>
      <c r="V692" s="2"/>
      <c r="W692" s="2"/>
      <c r="X692" s="2"/>
      <c r="Z692" s="2"/>
      <c r="AA692" s="2"/>
      <c r="AB692" s="2"/>
      <c r="AC692" s="2"/>
    </row>
    <row r="693" spans="1:29" ht="15.75" customHeight="1" x14ac:dyDescent="0.3">
      <c r="A693" s="2"/>
      <c r="C693" s="2"/>
      <c r="D693" s="2"/>
      <c r="E693" s="2"/>
      <c r="F693" s="2"/>
      <c r="G693" s="92"/>
      <c r="H693" s="2"/>
      <c r="I693" s="2"/>
      <c r="J693" s="2"/>
      <c r="K693" s="90"/>
      <c r="L693" s="2"/>
      <c r="N693" s="2"/>
      <c r="O693" s="2"/>
      <c r="P693" s="2"/>
      <c r="Q693" s="2"/>
      <c r="R693" s="2"/>
      <c r="S693" s="2"/>
      <c r="T693" s="2"/>
      <c r="U693" s="222"/>
      <c r="V693" s="2"/>
      <c r="W693" s="2"/>
      <c r="X693" s="2"/>
      <c r="Z693" s="2"/>
      <c r="AA693" s="2"/>
      <c r="AB693" s="2"/>
      <c r="AC693" s="2"/>
    </row>
    <row r="694" spans="1:29" ht="15.75" customHeight="1" x14ac:dyDescent="0.3">
      <c r="A694" s="2"/>
      <c r="C694" s="2"/>
      <c r="D694" s="2"/>
      <c r="E694" s="2"/>
      <c r="F694" s="2"/>
      <c r="G694" s="92"/>
      <c r="H694" s="2"/>
      <c r="I694" s="2"/>
      <c r="J694" s="2"/>
      <c r="K694" s="90"/>
      <c r="L694" s="2"/>
      <c r="N694" s="2"/>
      <c r="O694" s="2"/>
      <c r="P694" s="2"/>
      <c r="Q694" s="2"/>
      <c r="R694" s="2"/>
      <c r="S694" s="2"/>
      <c r="T694" s="2"/>
      <c r="U694" s="222"/>
      <c r="V694" s="2"/>
      <c r="W694" s="2"/>
      <c r="X694" s="2"/>
      <c r="Z694" s="2"/>
      <c r="AA694" s="2"/>
      <c r="AB694" s="2"/>
      <c r="AC694" s="2"/>
    </row>
    <row r="695" spans="1:29" ht="15.75" customHeight="1" x14ac:dyDescent="0.3">
      <c r="A695" s="2"/>
      <c r="C695" s="2"/>
      <c r="D695" s="2"/>
      <c r="E695" s="2"/>
      <c r="F695" s="2"/>
      <c r="G695" s="92"/>
      <c r="H695" s="2"/>
      <c r="I695" s="2"/>
      <c r="J695" s="2"/>
      <c r="K695" s="90"/>
      <c r="L695" s="2"/>
      <c r="N695" s="2"/>
      <c r="O695" s="2"/>
      <c r="P695" s="2"/>
      <c r="Q695" s="2"/>
      <c r="R695" s="2"/>
      <c r="S695" s="2"/>
      <c r="T695" s="2"/>
      <c r="U695" s="222"/>
      <c r="V695" s="2"/>
      <c r="W695" s="2"/>
      <c r="X695" s="2"/>
      <c r="Z695" s="2"/>
      <c r="AA695" s="2"/>
      <c r="AB695" s="2"/>
      <c r="AC695" s="2"/>
    </row>
    <row r="696" spans="1:29" ht="15.75" customHeight="1" x14ac:dyDescent="0.3">
      <c r="A696" s="2"/>
      <c r="C696" s="2"/>
      <c r="D696" s="2"/>
      <c r="E696" s="2"/>
      <c r="F696" s="2"/>
      <c r="G696" s="92"/>
      <c r="H696" s="2"/>
      <c r="I696" s="2"/>
      <c r="J696" s="2"/>
      <c r="K696" s="90"/>
      <c r="L696" s="2"/>
      <c r="N696" s="2"/>
      <c r="O696" s="2"/>
      <c r="P696" s="2"/>
      <c r="Q696" s="2"/>
      <c r="R696" s="2"/>
      <c r="S696" s="2"/>
      <c r="T696" s="2"/>
      <c r="U696" s="222"/>
      <c r="V696" s="2"/>
      <c r="W696" s="2"/>
      <c r="X696" s="2"/>
      <c r="Z696" s="2"/>
      <c r="AA696" s="2"/>
      <c r="AB696" s="2"/>
      <c r="AC696" s="2"/>
    </row>
    <row r="697" spans="1:29" ht="15.75" customHeight="1" x14ac:dyDescent="0.3">
      <c r="A697" s="2"/>
      <c r="C697" s="2"/>
      <c r="D697" s="2"/>
      <c r="E697" s="2"/>
      <c r="F697" s="2"/>
      <c r="G697" s="92"/>
      <c r="H697" s="2"/>
      <c r="I697" s="2"/>
      <c r="J697" s="2"/>
      <c r="K697" s="90"/>
      <c r="L697" s="2"/>
      <c r="N697" s="2"/>
      <c r="O697" s="2"/>
      <c r="P697" s="2"/>
      <c r="Q697" s="2"/>
      <c r="R697" s="2"/>
      <c r="S697" s="2"/>
      <c r="T697" s="2"/>
      <c r="U697" s="222"/>
      <c r="V697" s="2"/>
      <c r="W697" s="2"/>
      <c r="X697" s="2"/>
      <c r="Z697" s="2"/>
      <c r="AA697" s="2"/>
      <c r="AB697" s="2"/>
      <c r="AC697" s="2"/>
    </row>
    <row r="698" spans="1:29" ht="15.75" customHeight="1" x14ac:dyDescent="0.3">
      <c r="A698" s="2"/>
      <c r="C698" s="2"/>
      <c r="D698" s="2"/>
      <c r="E698" s="2"/>
      <c r="F698" s="2"/>
      <c r="G698" s="92"/>
      <c r="H698" s="2"/>
      <c r="I698" s="2"/>
      <c r="J698" s="2"/>
      <c r="K698" s="90"/>
      <c r="L698" s="2"/>
      <c r="N698" s="2"/>
      <c r="O698" s="2"/>
      <c r="P698" s="2"/>
      <c r="Q698" s="2"/>
      <c r="R698" s="2"/>
      <c r="S698" s="2"/>
      <c r="T698" s="2"/>
      <c r="U698" s="222"/>
      <c r="V698" s="2"/>
      <c r="W698" s="2"/>
      <c r="X698" s="2"/>
      <c r="Z698" s="2"/>
      <c r="AA698" s="2"/>
      <c r="AB698" s="2"/>
      <c r="AC698" s="2"/>
    </row>
    <row r="699" spans="1:29" ht="15.75" customHeight="1" x14ac:dyDescent="0.3">
      <c r="A699" s="2"/>
      <c r="C699" s="2"/>
      <c r="D699" s="2"/>
      <c r="E699" s="2"/>
      <c r="F699" s="2"/>
      <c r="G699" s="92"/>
      <c r="H699" s="2"/>
      <c r="I699" s="2"/>
      <c r="J699" s="2"/>
      <c r="K699" s="90"/>
      <c r="L699" s="2"/>
      <c r="N699" s="2"/>
      <c r="O699" s="2"/>
      <c r="P699" s="2"/>
      <c r="Q699" s="2"/>
      <c r="R699" s="2"/>
      <c r="S699" s="2"/>
      <c r="T699" s="2"/>
      <c r="U699" s="222"/>
      <c r="V699" s="2"/>
      <c r="W699" s="2"/>
      <c r="X699" s="2"/>
      <c r="Z699" s="2"/>
      <c r="AA699" s="2"/>
      <c r="AB699" s="2"/>
      <c r="AC699" s="2"/>
    </row>
    <row r="700" spans="1:29" ht="15.75" customHeight="1" x14ac:dyDescent="0.3">
      <c r="A700" s="2"/>
      <c r="C700" s="2"/>
      <c r="D700" s="2"/>
      <c r="E700" s="2"/>
      <c r="F700" s="2"/>
      <c r="G700" s="92"/>
      <c r="H700" s="2"/>
      <c r="I700" s="2"/>
      <c r="J700" s="2"/>
      <c r="K700" s="90"/>
      <c r="L700" s="2"/>
      <c r="N700" s="2"/>
      <c r="O700" s="2"/>
      <c r="P700" s="2"/>
      <c r="Q700" s="2"/>
      <c r="R700" s="2"/>
      <c r="S700" s="2"/>
      <c r="T700" s="2"/>
      <c r="U700" s="222"/>
      <c r="V700" s="2"/>
      <c r="W700" s="2"/>
      <c r="X700" s="2"/>
      <c r="Z700" s="2"/>
      <c r="AA700" s="2"/>
      <c r="AB700" s="2"/>
      <c r="AC700" s="2"/>
    </row>
    <row r="701" spans="1:29" ht="15.75" customHeight="1" x14ac:dyDescent="0.3">
      <c r="A701" s="2"/>
      <c r="C701" s="2"/>
      <c r="D701" s="2"/>
      <c r="E701" s="2"/>
      <c r="F701" s="2"/>
      <c r="G701" s="92"/>
      <c r="H701" s="2"/>
      <c r="I701" s="2"/>
      <c r="J701" s="2"/>
      <c r="K701" s="90"/>
      <c r="L701" s="2"/>
      <c r="N701" s="2"/>
      <c r="O701" s="2"/>
      <c r="P701" s="2"/>
      <c r="Q701" s="2"/>
      <c r="R701" s="2"/>
      <c r="S701" s="2"/>
      <c r="T701" s="2"/>
      <c r="U701" s="222"/>
      <c r="V701" s="2"/>
      <c r="W701" s="2"/>
      <c r="X701" s="2"/>
      <c r="Z701" s="2"/>
      <c r="AA701" s="2"/>
      <c r="AB701" s="2"/>
      <c r="AC701" s="2"/>
    </row>
    <row r="702" spans="1:29" ht="15.75" customHeight="1" x14ac:dyDescent="0.3">
      <c r="A702" s="2"/>
      <c r="C702" s="2"/>
      <c r="D702" s="2"/>
      <c r="E702" s="2"/>
      <c r="F702" s="2"/>
      <c r="G702" s="92"/>
      <c r="H702" s="2"/>
      <c r="I702" s="2"/>
      <c r="J702" s="2"/>
      <c r="K702" s="90"/>
      <c r="L702" s="2"/>
      <c r="N702" s="2"/>
      <c r="O702" s="2"/>
      <c r="P702" s="2"/>
      <c r="Q702" s="2"/>
      <c r="R702" s="2"/>
      <c r="S702" s="2"/>
      <c r="T702" s="2"/>
      <c r="U702" s="222"/>
      <c r="V702" s="2"/>
      <c r="W702" s="2"/>
      <c r="X702" s="2"/>
      <c r="Z702" s="2"/>
      <c r="AA702" s="2"/>
      <c r="AB702" s="2"/>
      <c r="AC702" s="2"/>
    </row>
    <row r="703" spans="1:29" ht="15.75" customHeight="1" x14ac:dyDescent="0.3">
      <c r="A703" s="2"/>
      <c r="C703" s="2"/>
      <c r="D703" s="2"/>
      <c r="E703" s="2"/>
      <c r="F703" s="2"/>
      <c r="G703" s="92"/>
      <c r="H703" s="2"/>
      <c r="I703" s="2"/>
      <c r="J703" s="2"/>
      <c r="K703" s="90"/>
      <c r="L703" s="2"/>
      <c r="N703" s="2"/>
      <c r="O703" s="2"/>
      <c r="P703" s="2"/>
      <c r="Q703" s="2"/>
      <c r="R703" s="2"/>
      <c r="S703" s="2"/>
      <c r="T703" s="2"/>
      <c r="U703" s="222"/>
      <c r="V703" s="2"/>
      <c r="W703" s="2"/>
      <c r="X703" s="2"/>
      <c r="Z703" s="2"/>
      <c r="AA703" s="2"/>
      <c r="AB703" s="2"/>
      <c r="AC703" s="2"/>
    </row>
    <row r="704" spans="1:29" ht="15.75" customHeight="1" x14ac:dyDescent="0.3">
      <c r="A704" s="2"/>
      <c r="C704" s="2"/>
      <c r="D704" s="2"/>
      <c r="E704" s="2"/>
      <c r="F704" s="2"/>
      <c r="G704" s="92"/>
      <c r="H704" s="2"/>
      <c r="I704" s="2"/>
      <c r="J704" s="2"/>
      <c r="K704" s="90"/>
      <c r="L704" s="2"/>
      <c r="N704" s="2"/>
      <c r="O704" s="2"/>
      <c r="P704" s="2"/>
      <c r="Q704" s="2"/>
      <c r="R704" s="2"/>
      <c r="S704" s="2"/>
      <c r="T704" s="2"/>
      <c r="U704" s="222"/>
      <c r="V704" s="2"/>
      <c r="W704" s="2"/>
      <c r="X704" s="2"/>
      <c r="Z704" s="2"/>
      <c r="AA704" s="2"/>
      <c r="AB704" s="2"/>
      <c r="AC704" s="2"/>
    </row>
    <row r="705" spans="1:29" ht="15.75" customHeight="1" x14ac:dyDescent="0.3">
      <c r="A705" s="2"/>
      <c r="C705" s="2"/>
      <c r="D705" s="2"/>
      <c r="E705" s="2"/>
      <c r="F705" s="2"/>
      <c r="G705" s="92"/>
      <c r="H705" s="2"/>
      <c r="I705" s="2"/>
      <c r="J705" s="2"/>
      <c r="K705" s="90"/>
      <c r="L705" s="2"/>
      <c r="N705" s="2"/>
      <c r="O705" s="2"/>
      <c r="P705" s="2"/>
      <c r="Q705" s="2"/>
      <c r="R705" s="2"/>
      <c r="S705" s="2"/>
      <c r="T705" s="2"/>
      <c r="U705" s="222"/>
      <c r="V705" s="2"/>
      <c r="W705" s="2"/>
      <c r="X705" s="2"/>
      <c r="Z705" s="2"/>
      <c r="AA705" s="2"/>
      <c r="AB705" s="2"/>
      <c r="AC705" s="2"/>
    </row>
    <row r="706" spans="1:29" ht="15.75" customHeight="1" x14ac:dyDescent="0.3">
      <c r="A706" s="2"/>
      <c r="C706" s="2"/>
      <c r="D706" s="2"/>
      <c r="E706" s="2"/>
      <c r="F706" s="2"/>
      <c r="G706" s="92"/>
      <c r="H706" s="2"/>
      <c r="I706" s="2"/>
      <c r="J706" s="2"/>
      <c r="K706" s="90"/>
      <c r="L706" s="2"/>
      <c r="N706" s="2"/>
      <c r="O706" s="2"/>
      <c r="P706" s="2"/>
      <c r="Q706" s="2"/>
      <c r="R706" s="2"/>
      <c r="S706" s="2"/>
      <c r="T706" s="2"/>
      <c r="U706" s="222"/>
      <c r="V706" s="2"/>
      <c r="W706" s="2"/>
      <c r="X706" s="2"/>
      <c r="Z706" s="2"/>
      <c r="AA706" s="2"/>
      <c r="AB706" s="2"/>
      <c r="AC706" s="2"/>
    </row>
    <row r="707" spans="1:29" ht="15.75" customHeight="1" x14ac:dyDescent="0.3">
      <c r="A707" s="2"/>
      <c r="C707" s="2"/>
      <c r="D707" s="2"/>
      <c r="E707" s="2"/>
      <c r="F707" s="2"/>
      <c r="G707" s="92"/>
      <c r="H707" s="2"/>
      <c r="I707" s="2"/>
      <c r="J707" s="2"/>
      <c r="K707" s="90"/>
      <c r="L707" s="2"/>
      <c r="N707" s="2"/>
      <c r="O707" s="2"/>
      <c r="P707" s="2"/>
      <c r="Q707" s="2"/>
      <c r="R707" s="2"/>
      <c r="S707" s="2"/>
      <c r="T707" s="2"/>
      <c r="U707" s="222"/>
      <c r="V707" s="2"/>
      <c r="W707" s="2"/>
      <c r="X707" s="2"/>
      <c r="Z707" s="2"/>
      <c r="AA707" s="2"/>
      <c r="AB707" s="2"/>
      <c r="AC707" s="2"/>
    </row>
    <row r="708" spans="1:29" ht="15.75" customHeight="1" x14ac:dyDescent="0.3">
      <c r="A708" s="2"/>
      <c r="C708" s="2"/>
      <c r="D708" s="2"/>
      <c r="E708" s="2"/>
      <c r="F708" s="2"/>
      <c r="G708" s="92"/>
      <c r="H708" s="2"/>
      <c r="I708" s="2"/>
      <c r="J708" s="2"/>
      <c r="K708" s="90"/>
      <c r="L708" s="2"/>
      <c r="N708" s="2"/>
      <c r="O708" s="2"/>
      <c r="P708" s="2"/>
      <c r="Q708" s="2"/>
      <c r="R708" s="2"/>
      <c r="S708" s="2"/>
      <c r="T708" s="2"/>
      <c r="U708" s="222"/>
      <c r="V708" s="2"/>
      <c r="W708" s="2"/>
      <c r="X708" s="2"/>
      <c r="Z708" s="2"/>
      <c r="AA708" s="2"/>
      <c r="AB708" s="2"/>
      <c r="AC708" s="2"/>
    </row>
    <row r="709" spans="1:29" ht="15.75" customHeight="1" x14ac:dyDescent="0.3">
      <c r="A709" s="2"/>
      <c r="C709" s="2"/>
      <c r="D709" s="2"/>
      <c r="E709" s="2"/>
      <c r="F709" s="2"/>
      <c r="G709" s="92"/>
      <c r="H709" s="2"/>
      <c r="I709" s="2"/>
      <c r="J709" s="2"/>
      <c r="K709" s="90"/>
      <c r="L709" s="2"/>
      <c r="N709" s="2"/>
      <c r="O709" s="2"/>
      <c r="P709" s="2"/>
      <c r="Q709" s="2"/>
      <c r="R709" s="2"/>
      <c r="S709" s="2"/>
      <c r="T709" s="2"/>
      <c r="U709" s="222"/>
      <c r="V709" s="2"/>
      <c r="W709" s="2"/>
      <c r="X709" s="2"/>
      <c r="Z709" s="2"/>
      <c r="AA709" s="2"/>
      <c r="AB709" s="2"/>
      <c r="AC709" s="2"/>
    </row>
    <row r="710" spans="1:29" ht="15.75" customHeight="1" x14ac:dyDescent="0.3">
      <c r="A710" s="2"/>
      <c r="C710" s="2"/>
      <c r="D710" s="2"/>
      <c r="E710" s="2"/>
      <c r="F710" s="2"/>
      <c r="G710" s="92"/>
      <c r="H710" s="2"/>
      <c r="I710" s="2"/>
      <c r="J710" s="2"/>
      <c r="K710" s="90"/>
      <c r="L710" s="2"/>
      <c r="N710" s="2"/>
      <c r="O710" s="2"/>
      <c r="P710" s="2"/>
      <c r="Q710" s="2"/>
      <c r="R710" s="2"/>
      <c r="S710" s="2"/>
      <c r="T710" s="2"/>
      <c r="U710" s="222"/>
      <c r="V710" s="2"/>
      <c r="W710" s="2"/>
      <c r="X710" s="2"/>
      <c r="Z710" s="2"/>
      <c r="AA710" s="2"/>
      <c r="AB710" s="2"/>
      <c r="AC710" s="2"/>
    </row>
    <row r="711" spans="1:29" ht="15.75" customHeight="1" x14ac:dyDescent="0.3">
      <c r="A711" s="2"/>
      <c r="C711" s="2"/>
      <c r="D711" s="2"/>
      <c r="E711" s="2"/>
      <c r="F711" s="2"/>
      <c r="G711" s="92"/>
      <c r="H711" s="2"/>
      <c r="I711" s="2"/>
      <c r="J711" s="2"/>
      <c r="K711" s="90"/>
      <c r="L711" s="2"/>
      <c r="N711" s="2"/>
      <c r="O711" s="2"/>
      <c r="P711" s="2"/>
      <c r="Q711" s="2"/>
      <c r="R711" s="2"/>
      <c r="S711" s="2"/>
      <c r="T711" s="2"/>
      <c r="U711" s="222"/>
      <c r="V711" s="2"/>
      <c r="W711" s="2"/>
      <c r="X711" s="2"/>
      <c r="Z711" s="2"/>
      <c r="AA711" s="2"/>
      <c r="AB711" s="2"/>
      <c r="AC711" s="2"/>
    </row>
    <row r="712" spans="1:29" ht="15.75" customHeight="1" x14ac:dyDescent="0.3">
      <c r="A712" s="2"/>
      <c r="C712" s="2"/>
      <c r="D712" s="2"/>
      <c r="E712" s="2"/>
      <c r="F712" s="2"/>
      <c r="G712" s="92"/>
      <c r="H712" s="2"/>
      <c r="I712" s="2"/>
      <c r="J712" s="2"/>
      <c r="K712" s="90"/>
      <c r="L712" s="2"/>
      <c r="N712" s="2"/>
      <c r="O712" s="2"/>
      <c r="P712" s="2"/>
      <c r="Q712" s="2"/>
      <c r="R712" s="2"/>
      <c r="S712" s="2"/>
      <c r="T712" s="2"/>
      <c r="U712" s="222"/>
      <c r="V712" s="2"/>
      <c r="W712" s="2"/>
      <c r="X712" s="2"/>
      <c r="Z712" s="2"/>
      <c r="AA712" s="2"/>
      <c r="AB712" s="2"/>
      <c r="AC712" s="2"/>
    </row>
    <row r="713" spans="1:29" ht="15.75" customHeight="1" x14ac:dyDescent="0.3">
      <c r="A713" s="2"/>
      <c r="C713" s="2"/>
      <c r="D713" s="2"/>
      <c r="E713" s="2"/>
      <c r="F713" s="2"/>
      <c r="G713" s="92"/>
      <c r="H713" s="2"/>
      <c r="I713" s="2"/>
      <c r="J713" s="2"/>
      <c r="K713" s="90"/>
      <c r="L713" s="2"/>
      <c r="N713" s="2"/>
      <c r="O713" s="2"/>
      <c r="P713" s="2"/>
      <c r="Q713" s="2"/>
      <c r="R713" s="2"/>
      <c r="S713" s="2"/>
      <c r="T713" s="2"/>
      <c r="U713" s="222"/>
      <c r="V713" s="2"/>
      <c r="W713" s="2"/>
      <c r="X713" s="2"/>
      <c r="Z713" s="2"/>
      <c r="AA713" s="2"/>
      <c r="AB713" s="2"/>
      <c r="AC713" s="2"/>
    </row>
    <row r="714" spans="1:29" ht="15.75" customHeight="1" x14ac:dyDescent="0.3">
      <c r="A714" s="2"/>
      <c r="C714" s="2"/>
      <c r="D714" s="2"/>
      <c r="E714" s="2"/>
      <c r="F714" s="2"/>
      <c r="G714" s="92"/>
      <c r="H714" s="2"/>
      <c r="I714" s="2"/>
      <c r="J714" s="2"/>
      <c r="K714" s="90"/>
      <c r="L714" s="2"/>
      <c r="N714" s="2"/>
      <c r="O714" s="2"/>
      <c r="P714" s="2"/>
      <c r="Q714" s="2"/>
      <c r="R714" s="2"/>
      <c r="S714" s="2"/>
      <c r="T714" s="2"/>
      <c r="U714" s="222"/>
      <c r="V714" s="2"/>
      <c r="W714" s="2"/>
      <c r="X714" s="2"/>
      <c r="Z714" s="2"/>
      <c r="AA714" s="2"/>
      <c r="AB714" s="2"/>
      <c r="AC714" s="2"/>
    </row>
    <row r="715" spans="1:29" ht="15.75" customHeight="1" x14ac:dyDescent="0.3">
      <c r="A715" s="2"/>
      <c r="C715" s="2"/>
      <c r="D715" s="2"/>
      <c r="E715" s="2"/>
      <c r="F715" s="2"/>
      <c r="G715" s="92"/>
      <c r="H715" s="2"/>
      <c r="I715" s="2"/>
      <c r="J715" s="2"/>
      <c r="K715" s="90"/>
      <c r="L715" s="2"/>
      <c r="N715" s="2"/>
      <c r="O715" s="2"/>
      <c r="P715" s="2"/>
      <c r="Q715" s="2"/>
      <c r="R715" s="2"/>
      <c r="S715" s="2"/>
      <c r="T715" s="2"/>
      <c r="U715" s="222"/>
      <c r="V715" s="2"/>
      <c r="W715" s="2"/>
      <c r="X715" s="2"/>
      <c r="Z715" s="2"/>
      <c r="AA715" s="2"/>
      <c r="AB715" s="2"/>
      <c r="AC715" s="2"/>
    </row>
    <row r="716" spans="1:29" ht="15.75" customHeight="1" x14ac:dyDescent="0.3">
      <c r="A716" s="2"/>
      <c r="C716" s="2"/>
      <c r="D716" s="2"/>
      <c r="E716" s="2"/>
      <c r="F716" s="2"/>
      <c r="G716" s="92"/>
      <c r="H716" s="2"/>
      <c r="I716" s="2"/>
      <c r="J716" s="2"/>
      <c r="K716" s="90"/>
      <c r="L716" s="2"/>
      <c r="N716" s="2"/>
      <c r="O716" s="2"/>
      <c r="P716" s="2"/>
      <c r="Q716" s="2"/>
      <c r="R716" s="2"/>
      <c r="S716" s="2"/>
      <c r="T716" s="2"/>
      <c r="U716" s="222"/>
      <c r="V716" s="2"/>
      <c r="W716" s="2"/>
      <c r="X716" s="2"/>
      <c r="Z716" s="2"/>
      <c r="AA716" s="2"/>
      <c r="AB716" s="2"/>
      <c r="AC716" s="2"/>
    </row>
    <row r="717" spans="1:29" ht="15.75" customHeight="1" x14ac:dyDescent="0.3">
      <c r="A717" s="2"/>
      <c r="C717" s="2"/>
      <c r="D717" s="2"/>
      <c r="E717" s="2"/>
      <c r="F717" s="2"/>
      <c r="G717" s="92"/>
      <c r="H717" s="2"/>
      <c r="I717" s="2"/>
      <c r="J717" s="2"/>
      <c r="K717" s="90"/>
      <c r="L717" s="2"/>
      <c r="N717" s="2"/>
      <c r="O717" s="2"/>
      <c r="P717" s="2"/>
      <c r="Q717" s="2"/>
      <c r="R717" s="2"/>
      <c r="S717" s="2"/>
      <c r="T717" s="2"/>
      <c r="U717" s="222"/>
      <c r="V717" s="2"/>
      <c r="W717" s="2"/>
      <c r="X717" s="2"/>
      <c r="Z717" s="2"/>
      <c r="AA717" s="2"/>
      <c r="AB717" s="2"/>
      <c r="AC717" s="2"/>
    </row>
    <row r="718" spans="1:29" ht="15.75" customHeight="1" x14ac:dyDescent="0.3">
      <c r="A718" s="2"/>
      <c r="C718" s="2"/>
      <c r="D718" s="2"/>
      <c r="E718" s="2"/>
      <c r="F718" s="2"/>
      <c r="G718" s="92"/>
      <c r="H718" s="2"/>
      <c r="I718" s="2"/>
      <c r="J718" s="2"/>
      <c r="K718" s="90"/>
      <c r="L718" s="2"/>
      <c r="N718" s="2"/>
      <c r="O718" s="2"/>
      <c r="P718" s="2"/>
      <c r="Q718" s="2"/>
      <c r="R718" s="2"/>
      <c r="S718" s="2"/>
      <c r="T718" s="2"/>
      <c r="U718" s="222"/>
      <c r="V718" s="2"/>
      <c r="W718" s="2"/>
      <c r="X718" s="2"/>
      <c r="Z718" s="2"/>
      <c r="AA718" s="2"/>
      <c r="AB718" s="2"/>
      <c r="AC718" s="2"/>
    </row>
    <row r="719" spans="1:29" ht="15.75" customHeight="1" x14ac:dyDescent="0.3">
      <c r="A719" s="2"/>
      <c r="C719" s="2"/>
      <c r="D719" s="2"/>
      <c r="E719" s="2"/>
      <c r="F719" s="2"/>
      <c r="G719" s="92"/>
      <c r="H719" s="2"/>
      <c r="I719" s="2"/>
      <c r="J719" s="2"/>
      <c r="K719" s="90"/>
      <c r="L719" s="2"/>
      <c r="N719" s="2"/>
      <c r="O719" s="2"/>
      <c r="P719" s="2"/>
      <c r="Q719" s="2"/>
      <c r="R719" s="2"/>
      <c r="S719" s="2"/>
      <c r="T719" s="2"/>
      <c r="U719" s="222"/>
      <c r="V719" s="2"/>
      <c r="W719" s="2"/>
      <c r="X719" s="2"/>
      <c r="Z719" s="2"/>
      <c r="AA719" s="2"/>
      <c r="AB719" s="2"/>
      <c r="AC719" s="2"/>
    </row>
    <row r="720" spans="1:29" ht="15.75" customHeight="1" x14ac:dyDescent="0.3">
      <c r="A720" s="2"/>
      <c r="C720" s="2"/>
      <c r="D720" s="2"/>
      <c r="E720" s="2"/>
      <c r="F720" s="2"/>
      <c r="G720" s="92"/>
      <c r="H720" s="2"/>
      <c r="I720" s="2"/>
      <c r="J720" s="2"/>
      <c r="K720" s="90"/>
      <c r="L720" s="2"/>
      <c r="N720" s="2"/>
      <c r="O720" s="2"/>
      <c r="P720" s="2"/>
      <c r="Q720" s="2"/>
      <c r="R720" s="2"/>
      <c r="S720" s="2"/>
      <c r="T720" s="2"/>
      <c r="U720" s="222"/>
      <c r="V720" s="2"/>
      <c r="W720" s="2"/>
      <c r="X720" s="2"/>
      <c r="Z720" s="2"/>
      <c r="AA720" s="2"/>
      <c r="AB720" s="2"/>
      <c r="AC720" s="2"/>
    </row>
    <row r="721" spans="1:29" ht="15.75" customHeight="1" x14ac:dyDescent="0.3">
      <c r="A721" s="2"/>
      <c r="C721" s="2"/>
      <c r="D721" s="2"/>
      <c r="E721" s="2"/>
      <c r="F721" s="2"/>
      <c r="G721" s="92"/>
      <c r="H721" s="2"/>
      <c r="I721" s="2"/>
      <c r="J721" s="2"/>
      <c r="K721" s="90"/>
      <c r="L721" s="2"/>
      <c r="N721" s="2"/>
      <c r="O721" s="2"/>
      <c r="P721" s="2"/>
      <c r="Q721" s="2"/>
      <c r="R721" s="2"/>
      <c r="S721" s="2"/>
      <c r="T721" s="2"/>
      <c r="U721" s="222"/>
      <c r="V721" s="2"/>
      <c r="W721" s="2"/>
      <c r="X721" s="2"/>
      <c r="Z721" s="2"/>
      <c r="AA721" s="2"/>
      <c r="AB721" s="2"/>
      <c r="AC721" s="2"/>
    </row>
    <row r="722" spans="1:29" ht="15.75" customHeight="1" x14ac:dyDescent="0.3">
      <c r="A722" s="2"/>
      <c r="C722" s="2"/>
      <c r="D722" s="2"/>
      <c r="E722" s="2"/>
      <c r="F722" s="2"/>
      <c r="G722" s="92"/>
      <c r="H722" s="2"/>
      <c r="I722" s="2"/>
      <c r="J722" s="2"/>
      <c r="K722" s="90"/>
      <c r="L722" s="2"/>
      <c r="N722" s="2"/>
      <c r="O722" s="2"/>
      <c r="P722" s="2"/>
      <c r="Q722" s="2"/>
      <c r="R722" s="2"/>
      <c r="S722" s="2"/>
      <c r="T722" s="2"/>
      <c r="U722" s="222"/>
      <c r="V722" s="2"/>
      <c r="W722" s="2"/>
      <c r="X722" s="2"/>
      <c r="Z722" s="2"/>
      <c r="AA722" s="2"/>
      <c r="AB722" s="2"/>
      <c r="AC722" s="2"/>
    </row>
    <row r="723" spans="1:29" ht="15.75" customHeight="1" x14ac:dyDescent="0.3">
      <c r="A723" s="2"/>
      <c r="C723" s="2"/>
      <c r="D723" s="2"/>
      <c r="E723" s="2"/>
      <c r="F723" s="2"/>
      <c r="G723" s="92"/>
      <c r="H723" s="2"/>
      <c r="I723" s="2"/>
      <c r="J723" s="2"/>
      <c r="K723" s="90"/>
      <c r="L723" s="2"/>
      <c r="N723" s="2"/>
      <c r="O723" s="2"/>
      <c r="P723" s="2"/>
      <c r="Q723" s="2"/>
      <c r="R723" s="2"/>
      <c r="S723" s="2"/>
      <c r="T723" s="2"/>
      <c r="U723" s="222"/>
      <c r="V723" s="2"/>
      <c r="W723" s="2"/>
      <c r="X723" s="2"/>
      <c r="Z723" s="2"/>
      <c r="AA723" s="2"/>
      <c r="AB723" s="2"/>
      <c r="AC723" s="2"/>
    </row>
    <row r="724" spans="1:29" ht="15.75" customHeight="1" x14ac:dyDescent="0.3">
      <c r="A724" s="2"/>
      <c r="C724" s="2"/>
      <c r="D724" s="2"/>
      <c r="E724" s="2"/>
      <c r="F724" s="2"/>
      <c r="G724" s="92"/>
      <c r="H724" s="2"/>
      <c r="I724" s="2"/>
      <c r="J724" s="2"/>
      <c r="K724" s="90"/>
      <c r="L724" s="2"/>
      <c r="N724" s="2"/>
      <c r="O724" s="2"/>
      <c r="P724" s="2"/>
      <c r="Q724" s="2"/>
      <c r="R724" s="2"/>
      <c r="S724" s="2"/>
      <c r="T724" s="2"/>
      <c r="U724" s="222"/>
      <c r="V724" s="2"/>
      <c r="W724" s="2"/>
      <c r="X724" s="2"/>
      <c r="Z724" s="2"/>
      <c r="AA724" s="2"/>
      <c r="AB724" s="2"/>
      <c r="AC724" s="2"/>
    </row>
    <row r="725" spans="1:29" ht="15.75" customHeight="1" x14ac:dyDescent="0.3">
      <c r="A725" s="2"/>
      <c r="C725" s="2"/>
      <c r="D725" s="2"/>
      <c r="E725" s="2"/>
      <c r="F725" s="2"/>
      <c r="G725" s="92"/>
      <c r="H725" s="2"/>
      <c r="I725" s="2"/>
      <c r="J725" s="2"/>
      <c r="K725" s="90"/>
      <c r="L725" s="2"/>
      <c r="N725" s="2"/>
      <c r="O725" s="2"/>
      <c r="P725" s="2"/>
      <c r="Q725" s="2"/>
      <c r="R725" s="2"/>
      <c r="S725" s="2"/>
      <c r="T725" s="2"/>
      <c r="U725" s="222"/>
      <c r="V725" s="2"/>
      <c r="W725" s="2"/>
      <c r="X725" s="2"/>
      <c r="Z725" s="2"/>
      <c r="AA725" s="2"/>
      <c r="AB725" s="2"/>
      <c r="AC725" s="2"/>
    </row>
    <row r="726" spans="1:29" ht="15.75" customHeight="1" x14ac:dyDescent="0.3">
      <c r="A726" s="2"/>
      <c r="C726" s="2"/>
      <c r="D726" s="2"/>
      <c r="E726" s="2"/>
      <c r="F726" s="2"/>
      <c r="G726" s="92"/>
      <c r="H726" s="2"/>
      <c r="I726" s="2"/>
      <c r="J726" s="2"/>
      <c r="K726" s="90"/>
      <c r="L726" s="2"/>
      <c r="N726" s="2"/>
      <c r="O726" s="2"/>
      <c r="P726" s="2"/>
      <c r="Q726" s="2"/>
      <c r="R726" s="2"/>
      <c r="S726" s="2"/>
      <c r="T726" s="2"/>
      <c r="U726" s="222"/>
      <c r="V726" s="2"/>
      <c r="W726" s="2"/>
      <c r="X726" s="2"/>
      <c r="Z726" s="2"/>
      <c r="AA726" s="2"/>
      <c r="AB726" s="2"/>
      <c r="AC726" s="2"/>
    </row>
    <row r="727" spans="1:29" ht="15.75" customHeight="1" x14ac:dyDescent="0.3">
      <c r="A727" s="2"/>
      <c r="C727" s="2"/>
      <c r="D727" s="2"/>
      <c r="E727" s="2"/>
      <c r="F727" s="2"/>
      <c r="G727" s="92"/>
      <c r="H727" s="2"/>
      <c r="I727" s="2"/>
      <c r="J727" s="2"/>
      <c r="K727" s="90"/>
      <c r="L727" s="2"/>
      <c r="N727" s="2"/>
      <c r="O727" s="2"/>
      <c r="P727" s="2"/>
      <c r="Q727" s="2"/>
      <c r="R727" s="2"/>
      <c r="S727" s="2"/>
      <c r="T727" s="2"/>
      <c r="U727" s="222"/>
      <c r="V727" s="2"/>
      <c r="W727" s="2"/>
      <c r="X727" s="2"/>
      <c r="Z727" s="2"/>
      <c r="AA727" s="2"/>
      <c r="AB727" s="2"/>
      <c r="AC727" s="2"/>
    </row>
    <row r="728" spans="1:29" ht="15.75" customHeight="1" x14ac:dyDescent="0.3">
      <c r="A728" s="2"/>
      <c r="C728" s="2"/>
      <c r="D728" s="2"/>
      <c r="E728" s="2"/>
      <c r="F728" s="2"/>
      <c r="G728" s="92"/>
      <c r="H728" s="2"/>
      <c r="I728" s="2"/>
      <c r="J728" s="2"/>
      <c r="K728" s="90"/>
      <c r="L728" s="2"/>
      <c r="N728" s="2"/>
      <c r="O728" s="2"/>
      <c r="P728" s="2"/>
      <c r="Q728" s="2"/>
      <c r="R728" s="2"/>
      <c r="S728" s="2"/>
      <c r="T728" s="2"/>
      <c r="U728" s="222"/>
      <c r="V728" s="2"/>
      <c r="W728" s="2"/>
      <c r="X728" s="2"/>
      <c r="Z728" s="2"/>
      <c r="AA728" s="2"/>
      <c r="AB728" s="2"/>
      <c r="AC728" s="2"/>
    </row>
    <row r="729" spans="1:29" ht="15.75" customHeight="1" x14ac:dyDescent="0.3">
      <c r="A729" s="2"/>
      <c r="C729" s="2"/>
      <c r="D729" s="2"/>
      <c r="E729" s="2"/>
      <c r="F729" s="2"/>
      <c r="G729" s="92"/>
      <c r="H729" s="2"/>
      <c r="I729" s="2"/>
      <c r="J729" s="2"/>
      <c r="K729" s="90"/>
      <c r="L729" s="2"/>
      <c r="N729" s="2"/>
      <c r="O729" s="2"/>
      <c r="P729" s="2"/>
      <c r="Q729" s="2"/>
      <c r="R729" s="2"/>
      <c r="S729" s="2"/>
      <c r="T729" s="2"/>
      <c r="U729" s="222"/>
      <c r="V729" s="2"/>
      <c r="W729" s="2"/>
      <c r="X729" s="2"/>
      <c r="Z729" s="2"/>
      <c r="AA729" s="2"/>
      <c r="AB729" s="2"/>
      <c r="AC729" s="2"/>
    </row>
    <row r="730" spans="1:29" ht="15.75" customHeight="1" x14ac:dyDescent="0.3">
      <c r="A730" s="2"/>
      <c r="C730" s="2"/>
      <c r="D730" s="2"/>
      <c r="E730" s="2"/>
      <c r="F730" s="2"/>
      <c r="G730" s="92"/>
      <c r="H730" s="2"/>
      <c r="I730" s="2"/>
      <c r="J730" s="2"/>
      <c r="K730" s="90"/>
      <c r="L730" s="2"/>
      <c r="N730" s="2"/>
      <c r="O730" s="2"/>
      <c r="P730" s="2"/>
      <c r="Q730" s="2"/>
      <c r="R730" s="2"/>
      <c r="S730" s="2"/>
      <c r="T730" s="2"/>
      <c r="U730" s="222"/>
      <c r="V730" s="2"/>
      <c r="W730" s="2"/>
      <c r="X730" s="2"/>
      <c r="Z730" s="2"/>
      <c r="AA730" s="2"/>
      <c r="AB730" s="2"/>
      <c r="AC730" s="2"/>
    </row>
    <row r="731" spans="1:29" ht="15.75" customHeight="1" x14ac:dyDescent="0.3">
      <c r="A731" s="2"/>
      <c r="C731" s="2"/>
      <c r="D731" s="2"/>
      <c r="E731" s="2"/>
      <c r="F731" s="2"/>
      <c r="G731" s="92"/>
      <c r="H731" s="2"/>
      <c r="I731" s="2"/>
      <c r="J731" s="2"/>
      <c r="K731" s="90"/>
      <c r="L731" s="2"/>
      <c r="N731" s="2"/>
      <c r="O731" s="2"/>
      <c r="P731" s="2"/>
      <c r="Q731" s="2"/>
      <c r="R731" s="2"/>
      <c r="S731" s="2"/>
      <c r="T731" s="2"/>
      <c r="U731" s="222"/>
      <c r="V731" s="2"/>
      <c r="W731" s="2"/>
      <c r="X731" s="2"/>
      <c r="Z731" s="2"/>
      <c r="AA731" s="2"/>
      <c r="AB731" s="2"/>
      <c r="AC731" s="2"/>
    </row>
    <row r="732" spans="1:29" ht="15.75" customHeight="1" x14ac:dyDescent="0.3">
      <c r="A732" s="2"/>
      <c r="C732" s="2"/>
      <c r="D732" s="2"/>
      <c r="E732" s="2"/>
      <c r="F732" s="2"/>
      <c r="G732" s="92"/>
      <c r="H732" s="2"/>
      <c r="I732" s="2"/>
      <c r="J732" s="2"/>
      <c r="K732" s="90"/>
      <c r="L732" s="2"/>
      <c r="N732" s="2"/>
      <c r="O732" s="2"/>
      <c r="P732" s="2"/>
      <c r="Q732" s="2"/>
      <c r="R732" s="2"/>
      <c r="S732" s="2"/>
      <c r="T732" s="2"/>
      <c r="U732" s="222"/>
      <c r="V732" s="2"/>
      <c r="W732" s="2"/>
      <c r="X732" s="2"/>
      <c r="Z732" s="2"/>
      <c r="AA732" s="2"/>
      <c r="AB732" s="2"/>
      <c r="AC732" s="2"/>
    </row>
    <row r="733" spans="1:29" ht="15.75" customHeight="1" x14ac:dyDescent="0.3">
      <c r="A733" s="2"/>
      <c r="C733" s="2"/>
      <c r="D733" s="2"/>
      <c r="E733" s="2"/>
      <c r="F733" s="2"/>
      <c r="G733" s="92"/>
      <c r="H733" s="2"/>
      <c r="I733" s="2"/>
      <c r="J733" s="2"/>
      <c r="K733" s="90"/>
      <c r="L733" s="2"/>
      <c r="N733" s="2"/>
      <c r="O733" s="2"/>
      <c r="P733" s="2"/>
      <c r="Q733" s="2"/>
      <c r="R733" s="2"/>
      <c r="S733" s="2"/>
      <c r="T733" s="2"/>
      <c r="U733" s="222"/>
      <c r="V733" s="2"/>
      <c r="W733" s="2"/>
      <c r="X733" s="2"/>
      <c r="Z733" s="2"/>
      <c r="AA733" s="2"/>
      <c r="AB733" s="2"/>
      <c r="AC733" s="2"/>
    </row>
    <row r="734" spans="1:29" ht="15.75" customHeight="1" x14ac:dyDescent="0.3">
      <c r="A734" s="2"/>
      <c r="C734" s="2"/>
      <c r="D734" s="2"/>
      <c r="E734" s="2"/>
      <c r="F734" s="2"/>
      <c r="G734" s="92"/>
      <c r="H734" s="2"/>
      <c r="I734" s="2"/>
      <c r="J734" s="2"/>
      <c r="K734" s="90"/>
      <c r="L734" s="2"/>
      <c r="N734" s="2"/>
      <c r="O734" s="2"/>
      <c r="P734" s="2"/>
      <c r="Q734" s="2"/>
      <c r="R734" s="2"/>
      <c r="S734" s="2"/>
      <c r="T734" s="2"/>
      <c r="U734" s="222"/>
      <c r="V734" s="2"/>
      <c r="W734" s="2"/>
      <c r="X734" s="2"/>
      <c r="Z734" s="2"/>
      <c r="AA734" s="2"/>
      <c r="AB734" s="2"/>
      <c r="AC734" s="2"/>
    </row>
    <row r="735" spans="1:29" ht="15.75" customHeight="1" x14ac:dyDescent="0.3">
      <c r="A735" s="2"/>
      <c r="C735" s="2"/>
      <c r="D735" s="2"/>
      <c r="E735" s="2"/>
      <c r="F735" s="2"/>
      <c r="G735" s="92"/>
      <c r="H735" s="2"/>
      <c r="I735" s="2"/>
      <c r="J735" s="2"/>
      <c r="K735" s="90"/>
      <c r="L735" s="2"/>
      <c r="N735" s="2"/>
      <c r="O735" s="2"/>
      <c r="P735" s="2"/>
      <c r="Q735" s="2"/>
      <c r="R735" s="2"/>
      <c r="S735" s="2"/>
      <c r="T735" s="2"/>
      <c r="U735" s="222"/>
      <c r="V735" s="2"/>
      <c r="W735" s="2"/>
      <c r="X735" s="2"/>
      <c r="Z735" s="2"/>
      <c r="AA735" s="2"/>
      <c r="AB735" s="2"/>
      <c r="AC735" s="2"/>
    </row>
    <row r="736" spans="1:29" ht="15.75" customHeight="1" x14ac:dyDescent="0.3">
      <c r="A736" s="2"/>
      <c r="C736" s="2"/>
      <c r="D736" s="2"/>
      <c r="E736" s="2"/>
      <c r="F736" s="2"/>
      <c r="G736" s="92"/>
      <c r="H736" s="2"/>
      <c r="I736" s="2"/>
      <c r="J736" s="2"/>
      <c r="K736" s="90"/>
      <c r="L736" s="2"/>
      <c r="N736" s="2"/>
      <c r="O736" s="2"/>
      <c r="P736" s="2"/>
      <c r="Q736" s="2"/>
      <c r="R736" s="2"/>
      <c r="S736" s="2"/>
      <c r="T736" s="2"/>
      <c r="U736" s="222"/>
      <c r="V736" s="2"/>
      <c r="W736" s="2"/>
      <c r="X736" s="2"/>
      <c r="Z736" s="2"/>
      <c r="AA736" s="2"/>
      <c r="AB736" s="2"/>
      <c r="AC736" s="2"/>
    </row>
    <row r="737" spans="1:29" ht="15.75" customHeight="1" x14ac:dyDescent="0.3">
      <c r="A737" s="2"/>
      <c r="C737" s="2"/>
      <c r="D737" s="2"/>
      <c r="E737" s="2"/>
      <c r="F737" s="2"/>
      <c r="G737" s="92"/>
      <c r="H737" s="2"/>
      <c r="I737" s="2"/>
      <c r="J737" s="2"/>
      <c r="K737" s="90"/>
      <c r="L737" s="2"/>
      <c r="N737" s="2"/>
      <c r="O737" s="2"/>
      <c r="P737" s="2"/>
      <c r="Q737" s="2"/>
      <c r="R737" s="2"/>
      <c r="S737" s="2"/>
      <c r="T737" s="2"/>
      <c r="U737" s="222"/>
      <c r="V737" s="2"/>
      <c r="W737" s="2"/>
      <c r="X737" s="2"/>
      <c r="Z737" s="2"/>
      <c r="AA737" s="2"/>
      <c r="AB737" s="2"/>
      <c r="AC737" s="2"/>
    </row>
    <row r="738" spans="1:29" ht="15.75" customHeight="1" x14ac:dyDescent="0.3">
      <c r="A738" s="2"/>
      <c r="C738" s="2"/>
      <c r="D738" s="2"/>
      <c r="E738" s="2"/>
      <c r="F738" s="2"/>
      <c r="G738" s="92"/>
      <c r="H738" s="2"/>
      <c r="I738" s="2"/>
      <c r="J738" s="2"/>
      <c r="K738" s="90"/>
      <c r="L738" s="2"/>
      <c r="N738" s="2"/>
      <c r="O738" s="2"/>
      <c r="P738" s="2"/>
      <c r="Q738" s="2"/>
      <c r="R738" s="2"/>
      <c r="S738" s="2"/>
      <c r="T738" s="2"/>
      <c r="U738" s="222"/>
      <c r="V738" s="2"/>
      <c r="W738" s="2"/>
      <c r="X738" s="2"/>
      <c r="Z738" s="2"/>
      <c r="AA738" s="2"/>
      <c r="AB738" s="2"/>
      <c r="AC738" s="2"/>
    </row>
    <row r="739" spans="1:29" ht="15.75" customHeight="1" x14ac:dyDescent="0.3">
      <c r="A739" s="2"/>
      <c r="C739" s="2"/>
      <c r="D739" s="2"/>
      <c r="E739" s="2"/>
      <c r="F739" s="2"/>
      <c r="G739" s="92"/>
      <c r="H739" s="2"/>
      <c r="I739" s="2"/>
      <c r="J739" s="2"/>
      <c r="K739" s="90"/>
      <c r="L739" s="2"/>
      <c r="N739" s="2"/>
      <c r="O739" s="2"/>
      <c r="P739" s="2"/>
      <c r="Q739" s="2"/>
      <c r="R739" s="2"/>
      <c r="S739" s="2"/>
      <c r="T739" s="2"/>
      <c r="U739" s="222"/>
      <c r="V739" s="2"/>
      <c r="W739" s="2"/>
      <c r="X739" s="2"/>
      <c r="Z739" s="2"/>
      <c r="AA739" s="2"/>
      <c r="AB739" s="2"/>
      <c r="AC739" s="2"/>
    </row>
    <row r="740" spans="1:29" ht="15.75" customHeight="1" x14ac:dyDescent="0.3">
      <c r="A740" s="2"/>
      <c r="C740" s="2"/>
      <c r="D740" s="2"/>
      <c r="E740" s="2"/>
      <c r="F740" s="2"/>
      <c r="G740" s="92"/>
      <c r="H740" s="2"/>
      <c r="I740" s="2"/>
      <c r="J740" s="2"/>
      <c r="K740" s="90"/>
      <c r="L740" s="2"/>
      <c r="N740" s="2"/>
      <c r="O740" s="2"/>
      <c r="P740" s="2"/>
      <c r="Q740" s="2"/>
      <c r="R740" s="2"/>
      <c r="S740" s="2"/>
      <c r="T740" s="2"/>
      <c r="U740" s="222"/>
      <c r="V740" s="2"/>
      <c r="W740" s="2"/>
      <c r="X740" s="2"/>
      <c r="Z740" s="2"/>
      <c r="AA740" s="2"/>
      <c r="AB740" s="2"/>
      <c r="AC740" s="2"/>
    </row>
    <row r="741" spans="1:29" ht="15.75" customHeight="1" x14ac:dyDescent="0.3">
      <c r="A741" s="2"/>
      <c r="C741" s="2"/>
      <c r="D741" s="2"/>
      <c r="E741" s="2"/>
      <c r="F741" s="2"/>
      <c r="G741" s="92"/>
      <c r="H741" s="2"/>
      <c r="I741" s="2"/>
      <c r="J741" s="2"/>
      <c r="K741" s="90"/>
      <c r="L741" s="2"/>
      <c r="N741" s="2"/>
      <c r="O741" s="2"/>
      <c r="P741" s="2"/>
      <c r="Q741" s="2"/>
      <c r="R741" s="2"/>
      <c r="S741" s="2"/>
      <c r="T741" s="2"/>
      <c r="U741" s="222"/>
      <c r="V741" s="2"/>
      <c r="W741" s="2"/>
      <c r="X741" s="2"/>
      <c r="Z741" s="2"/>
      <c r="AA741" s="2"/>
      <c r="AB741" s="2"/>
      <c r="AC741" s="2"/>
    </row>
    <row r="742" spans="1:29" ht="15.75" customHeight="1" x14ac:dyDescent="0.3">
      <c r="A742" s="2"/>
      <c r="C742" s="2"/>
      <c r="D742" s="2"/>
      <c r="E742" s="2"/>
      <c r="F742" s="2"/>
      <c r="G742" s="92"/>
      <c r="H742" s="2"/>
      <c r="I742" s="2"/>
      <c r="J742" s="2"/>
      <c r="K742" s="90"/>
      <c r="L742" s="2"/>
      <c r="N742" s="2"/>
      <c r="O742" s="2"/>
      <c r="P742" s="2"/>
      <c r="Q742" s="2"/>
      <c r="R742" s="2"/>
      <c r="S742" s="2"/>
      <c r="T742" s="2"/>
      <c r="U742" s="222"/>
      <c r="V742" s="2"/>
      <c r="W742" s="2"/>
      <c r="X742" s="2"/>
      <c r="Z742" s="2"/>
      <c r="AA742" s="2"/>
      <c r="AB742" s="2"/>
      <c r="AC742" s="2"/>
    </row>
    <row r="743" spans="1:29" ht="15.75" customHeight="1" x14ac:dyDescent="0.3">
      <c r="A743" s="2"/>
      <c r="C743" s="2"/>
      <c r="D743" s="2"/>
      <c r="E743" s="2"/>
      <c r="F743" s="2"/>
      <c r="G743" s="92"/>
      <c r="H743" s="2"/>
      <c r="I743" s="2"/>
      <c r="J743" s="2"/>
      <c r="K743" s="90"/>
      <c r="L743" s="2"/>
      <c r="N743" s="2"/>
      <c r="O743" s="2"/>
      <c r="P743" s="2"/>
      <c r="Q743" s="2"/>
      <c r="R743" s="2"/>
      <c r="S743" s="2"/>
      <c r="T743" s="2"/>
      <c r="U743" s="222"/>
      <c r="V743" s="2"/>
      <c r="W743" s="2"/>
      <c r="X743" s="2"/>
      <c r="Z743" s="2"/>
      <c r="AA743" s="2"/>
      <c r="AB743" s="2"/>
      <c r="AC743" s="2"/>
    </row>
    <row r="744" spans="1:29" ht="15.75" customHeight="1" x14ac:dyDescent="0.3">
      <c r="A744" s="2"/>
      <c r="C744" s="2"/>
      <c r="D744" s="2"/>
      <c r="E744" s="2"/>
      <c r="F744" s="2"/>
      <c r="G744" s="92"/>
      <c r="H744" s="2"/>
      <c r="I744" s="2"/>
      <c r="J744" s="2"/>
      <c r="K744" s="90"/>
      <c r="L744" s="2"/>
      <c r="N744" s="2"/>
      <c r="O744" s="2"/>
      <c r="P744" s="2"/>
      <c r="Q744" s="2"/>
      <c r="R744" s="2"/>
      <c r="S744" s="2"/>
      <c r="T744" s="2"/>
      <c r="U744" s="222"/>
      <c r="V744" s="2"/>
      <c r="W744" s="2"/>
      <c r="X744" s="2"/>
      <c r="Z744" s="2"/>
      <c r="AA744" s="2"/>
      <c r="AB744" s="2"/>
      <c r="AC744" s="2"/>
    </row>
    <row r="745" spans="1:29" ht="15.75" customHeight="1" x14ac:dyDescent="0.3">
      <c r="A745" s="2"/>
      <c r="C745" s="2"/>
      <c r="D745" s="2"/>
      <c r="E745" s="2"/>
      <c r="F745" s="2"/>
      <c r="G745" s="92"/>
      <c r="H745" s="2"/>
      <c r="I745" s="2"/>
      <c r="J745" s="2"/>
      <c r="K745" s="90"/>
      <c r="L745" s="2"/>
      <c r="N745" s="2"/>
      <c r="O745" s="2"/>
      <c r="P745" s="2"/>
      <c r="Q745" s="2"/>
      <c r="R745" s="2"/>
      <c r="S745" s="2"/>
      <c r="T745" s="2"/>
      <c r="U745" s="222"/>
      <c r="V745" s="2"/>
      <c r="W745" s="2"/>
      <c r="X745" s="2"/>
      <c r="Z745" s="2"/>
      <c r="AA745" s="2"/>
      <c r="AB745" s="2"/>
      <c r="AC745" s="2"/>
    </row>
    <row r="746" spans="1:29" ht="15.75" customHeight="1" x14ac:dyDescent="0.3">
      <c r="A746" s="2"/>
      <c r="C746" s="2"/>
      <c r="D746" s="2"/>
      <c r="E746" s="2"/>
      <c r="F746" s="2"/>
      <c r="G746" s="92"/>
      <c r="H746" s="2"/>
      <c r="I746" s="2"/>
      <c r="J746" s="2"/>
      <c r="K746" s="90"/>
      <c r="L746" s="2"/>
      <c r="N746" s="2"/>
      <c r="O746" s="2"/>
      <c r="P746" s="2"/>
      <c r="Q746" s="2"/>
      <c r="R746" s="2"/>
      <c r="S746" s="2"/>
      <c r="T746" s="2"/>
      <c r="U746" s="222"/>
      <c r="V746" s="2"/>
      <c r="W746" s="2"/>
      <c r="X746" s="2"/>
      <c r="Z746" s="2"/>
      <c r="AA746" s="2"/>
      <c r="AB746" s="2"/>
      <c r="AC746" s="2"/>
    </row>
    <row r="747" spans="1:29" ht="15.75" customHeight="1" x14ac:dyDescent="0.3">
      <c r="A747" s="2"/>
      <c r="C747" s="2"/>
      <c r="D747" s="2"/>
      <c r="E747" s="2"/>
      <c r="F747" s="2"/>
      <c r="G747" s="92"/>
      <c r="H747" s="2"/>
      <c r="I747" s="2"/>
      <c r="J747" s="2"/>
      <c r="K747" s="90"/>
      <c r="L747" s="2"/>
      <c r="N747" s="2"/>
      <c r="O747" s="2"/>
      <c r="P747" s="2"/>
      <c r="Q747" s="2"/>
      <c r="R747" s="2"/>
      <c r="S747" s="2"/>
      <c r="T747" s="2"/>
      <c r="U747" s="222"/>
      <c r="V747" s="2"/>
      <c r="W747" s="2"/>
      <c r="X747" s="2"/>
      <c r="Z747" s="2"/>
      <c r="AA747" s="2"/>
      <c r="AB747" s="2"/>
      <c r="AC747" s="2"/>
    </row>
    <row r="748" spans="1:29" ht="15.75" customHeight="1" x14ac:dyDescent="0.3">
      <c r="A748" s="2"/>
      <c r="C748" s="2"/>
      <c r="D748" s="2"/>
      <c r="E748" s="2"/>
      <c r="F748" s="2"/>
      <c r="G748" s="92"/>
      <c r="H748" s="2"/>
      <c r="I748" s="2"/>
      <c r="J748" s="2"/>
      <c r="K748" s="90"/>
      <c r="L748" s="2"/>
      <c r="N748" s="2"/>
      <c r="O748" s="2"/>
      <c r="P748" s="2"/>
      <c r="Q748" s="2"/>
      <c r="R748" s="2"/>
      <c r="S748" s="2"/>
      <c r="T748" s="2"/>
      <c r="U748" s="222"/>
      <c r="V748" s="2"/>
      <c r="W748" s="2"/>
      <c r="X748" s="2"/>
      <c r="Z748" s="2"/>
      <c r="AA748" s="2"/>
      <c r="AB748" s="2"/>
      <c r="AC748" s="2"/>
    </row>
    <row r="749" spans="1:29" ht="15.75" customHeight="1" x14ac:dyDescent="0.3">
      <c r="A749" s="2"/>
      <c r="C749" s="2"/>
      <c r="D749" s="2"/>
      <c r="E749" s="2"/>
      <c r="F749" s="2"/>
      <c r="G749" s="92"/>
      <c r="H749" s="2"/>
      <c r="I749" s="2"/>
      <c r="J749" s="2"/>
      <c r="K749" s="90"/>
      <c r="L749" s="2"/>
      <c r="N749" s="2"/>
      <c r="O749" s="2"/>
      <c r="P749" s="2"/>
      <c r="Q749" s="2"/>
      <c r="R749" s="2"/>
      <c r="S749" s="2"/>
      <c r="T749" s="2"/>
      <c r="U749" s="222"/>
      <c r="V749" s="2"/>
      <c r="W749" s="2"/>
      <c r="X749" s="2"/>
      <c r="Z749" s="2"/>
      <c r="AA749" s="2"/>
      <c r="AB749" s="2"/>
      <c r="AC749" s="2"/>
    </row>
    <row r="750" spans="1:29" ht="15.75" customHeight="1" x14ac:dyDescent="0.3">
      <c r="A750" s="2"/>
      <c r="C750" s="2"/>
      <c r="D750" s="2"/>
      <c r="E750" s="2"/>
      <c r="F750" s="2"/>
      <c r="G750" s="92"/>
      <c r="H750" s="2"/>
      <c r="I750" s="2"/>
      <c r="J750" s="2"/>
      <c r="K750" s="90"/>
      <c r="L750" s="2"/>
      <c r="N750" s="2"/>
      <c r="O750" s="2"/>
      <c r="P750" s="2"/>
      <c r="Q750" s="2"/>
      <c r="R750" s="2"/>
      <c r="S750" s="2"/>
      <c r="T750" s="2"/>
      <c r="U750" s="222"/>
      <c r="V750" s="2"/>
      <c r="W750" s="2"/>
      <c r="X750" s="2"/>
      <c r="Z750" s="2"/>
      <c r="AA750" s="2"/>
      <c r="AB750" s="2"/>
      <c r="AC750" s="2"/>
    </row>
    <row r="751" spans="1:29" ht="15.75" customHeight="1" x14ac:dyDescent="0.3">
      <c r="A751" s="2"/>
      <c r="C751" s="2"/>
      <c r="D751" s="2"/>
      <c r="E751" s="2"/>
      <c r="F751" s="2"/>
      <c r="G751" s="92"/>
      <c r="H751" s="2"/>
      <c r="I751" s="2"/>
      <c r="J751" s="2"/>
      <c r="K751" s="90"/>
      <c r="L751" s="2"/>
      <c r="N751" s="2"/>
      <c r="O751" s="2"/>
      <c r="P751" s="2"/>
      <c r="Q751" s="2"/>
      <c r="R751" s="2"/>
      <c r="S751" s="2"/>
      <c r="T751" s="2"/>
      <c r="U751" s="222"/>
      <c r="V751" s="2"/>
      <c r="W751" s="2"/>
      <c r="X751" s="2"/>
      <c r="Z751" s="2"/>
      <c r="AA751" s="2"/>
      <c r="AB751" s="2"/>
      <c r="AC751" s="2"/>
    </row>
    <row r="752" spans="1:29" ht="15.75" customHeight="1" x14ac:dyDescent="0.3">
      <c r="A752" s="2"/>
      <c r="C752" s="2"/>
      <c r="D752" s="2"/>
      <c r="E752" s="2"/>
      <c r="F752" s="2"/>
      <c r="G752" s="92"/>
      <c r="H752" s="2"/>
      <c r="I752" s="2"/>
      <c r="J752" s="2"/>
      <c r="K752" s="90"/>
      <c r="L752" s="2"/>
      <c r="N752" s="2"/>
      <c r="O752" s="2"/>
      <c r="P752" s="2"/>
      <c r="Q752" s="2"/>
      <c r="R752" s="2"/>
      <c r="S752" s="2"/>
      <c r="T752" s="2"/>
      <c r="U752" s="222"/>
      <c r="V752" s="2"/>
      <c r="W752" s="2"/>
      <c r="X752" s="2"/>
      <c r="Z752" s="2"/>
      <c r="AA752" s="2"/>
      <c r="AB752" s="2"/>
      <c r="AC752" s="2"/>
    </row>
    <row r="753" spans="1:29" ht="15.75" customHeight="1" x14ac:dyDescent="0.3">
      <c r="A753" s="2"/>
      <c r="C753" s="2"/>
      <c r="D753" s="2"/>
      <c r="E753" s="2"/>
      <c r="F753" s="2"/>
      <c r="G753" s="92"/>
      <c r="H753" s="2"/>
      <c r="I753" s="2"/>
      <c r="J753" s="2"/>
      <c r="K753" s="90"/>
      <c r="L753" s="2"/>
      <c r="N753" s="2"/>
      <c r="O753" s="2"/>
      <c r="P753" s="2"/>
      <c r="Q753" s="2"/>
      <c r="R753" s="2"/>
      <c r="S753" s="2"/>
      <c r="T753" s="2"/>
      <c r="U753" s="222"/>
      <c r="V753" s="2"/>
      <c r="W753" s="2"/>
      <c r="X753" s="2"/>
      <c r="Z753" s="2"/>
      <c r="AA753" s="2"/>
      <c r="AB753" s="2"/>
      <c r="AC753" s="2"/>
    </row>
    <row r="754" spans="1:29" ht="15.75" customHeight="1" x14ac:dyDescent="0.3">
      <c r="A754" s="2"/>
      <c r="C754" s="2"/>
      <c r="D754" s="2"/>
      <c r="E754" s="2"/>
      <c r="F754" s="2"/>
      <c r="G754" s="92"/>
      <c r="H754" s="2"/>
      <c r="I754" s="2"/>
      <c r="J754" s="2"/>
      <c r="K754" s="90"/>
      <c r="L754" s="2"/>
      <c r="N754" s="2"/>
      <c r="O754" s="2"/>
      <c r="P754" s="2"/>
      <c r="Q754" s="2"/>
      <c r="R754" s="2"/>
      <c r="S754" s="2"/>
      <c r="T754" s="2"/>
      <c r="U754" s="222"/>
      <c r="V754" s="2"/>
      <c r="W754" s="2"/>
      <c r="X754" s="2"/>
      <c r="Z754" s="2"/>
      <c r="AA754" s="2"/>
      <c r="AB754" s="2"/>
      <c r="AC754" s="2"/>
    </row>
    <row r="755" spans="1:29" ht="15.75" customHeight="1" x14ac:dyDescent="0.3">
      <c r="A755" s="2"/>
      <c r="C755" s="2"/>
      <c r="D755" s="2"/>
      <c r="E755" s="2"/>
      <c r="F755" s="2"/>
      <c r="G755" s="92"/>
      <c r="H755" s="2"/>
      <c r="I755" s="2"/>
      <c r="J755" s="2"/>
      <c r="K755" s="90"/>
      <c r="L755" s="2"/>
      <c r="N755" s="2"/>
      <c r="O755" s="2"/>
      <c r="P755" s="2"/>
      <c r="Q755" s="2"/>
      <c r="R755" s="2"/>
      <c r="S755" s="2"/>
      <c r="T755" s="2"/>
      <c r="U755" s="222"/>
      <c r="V755" s="2"/>
      <c r="W755" s="2"/>
      <c r="X755" s="2"/>
      <c r="Z755" s="2"/>
      <c r="AA755" s="2"/>
      <c r="AB755" s="2"/>
      <c r="AC755" s="2"/>
    </row>
    <row r="756" spans="1:29" ht="15.75" customHeight="1" x14ac:dyDescent="0.3">
      <c r="A756" s="2"/>
      <c r="C756" s="2"/>
      <c r="D756" s="2"/>
      <c r="E756" s="2"/>
      <c r="F756" s="2"/>
      <c r="G756" s="92"/>
      <c r="H756" s="2"/>
      <c r="I756" s="2"/>
      <c r="J756" s="2"/>
      <c r="K756" s="90"/>
      <c r="L756" s="2"/>
      <c r="N756" s="2"/>
      <c r="O756" s="2"/>
      <c r="P756" s="2"/>
      <c r="Q756" s="2"/>
      <c r="R756" s="2"/>
      <c r="S756" s="2"/>
      <c r="T756" s="2"/>
      <c r="U756" s="222"/>
      <c r="V756" s="2"/>
      <c r="W756" s="2"/>
      <c r="X756" s="2"/>
      <c r="Z756" s="2"/>
      <c r="AA756" s="2"/>
      <c r="AB756" s="2"/>
      <c r="AC756" s="2"/>
    </row>
    <row r="757" spans="1:29" ht="15.75" customHeight="1" x14ac:dyDescent="0.3">
      <c r="A757" s="2"/>
      <c r="C757" s="2"/>
      <c r="D757" s="2"/>
      <c r="E757" s="2"/>
      <c r="F757" s="2"/>
      <c r="G757" s="92"/>
      <c r="H757" s="2"/>
      <c r="I757" s="2"/>
      <c r="J757" s="2"/>
      <c r="K757" s="90"/>
      <c r="L757" s="2"/>
      <c r="N757" s="2"/>
      <c r="O757" s="2"/>
      <c r="P757" s="2"/>
      <c r="Q757" s="2"/>
      <c r="R757" s="2"/>
      <c r="S757" s="2"/>
      <c r="T757" s="2"/>
      <c r="U757" s="222"/>
      <c r="V757" s="2"/>
      <c r="W757" s="2"/>
      <c r="X757" s="2"/>
      <c r="Z757" s="2"/>
      <c r="AA757" s="2"/>
      <c r="AB757" s="2"/>
      <c r="AC757" s="2"/>
    </row>
    <row r="758" spans="1:29" ht="15.75" customHeight="1" x14ac:dyDescent="0.3">
      <c r="A758" s="2"/>
      <c r="C758" s="2"/>
      <c r="D758" s="2"/>
      <c r="E758" s="2"/>
      <c r="F758" s="2"/>
      <c r="G758" s="92"/>
      <c r="H758" s="2"/>
      <c r="I758" s="2"/>
      <c r="J758" s="2"/>
      <c r="K758" s="90"/>
      <c r="L758" s="2"/>
      <c r="N758" s="2"/>
      <c r="O758" s="2"/>
      <c r="P758" s="2"/>
      <c r="Q758" s="2"/>
      <c r="R758" s="2"/>
      <c r="S758" s="2"/>
      <c r="T758" s="2"/>
      <c r="U758" s="222"/>
      <c r="V758" s="2"/>
      <c r="W758" s="2"/>
      <c r="X758" s="2"/>
      <c r="Z758" s="2"/>
      <c r="AA758" s="2"/>
      <c r="AB758" s="2"/>
      <c r="AC758" s="2"/>
    </row>
    <row r="759" spans="1:29" ht="15.75" customHeight="1" x14ac:dyDescent="0.3">
      <c r="A759" s="2"/>
      <c r="C759" s="2"/>
      <c r="D759" s="2"/>
      <c r="E759" s="2"/>
      <c r="F759" s="2"/>
      <c r="G759" s="92"/>
      <c r="H759" s="2"/>
      <c r="I759" s="2"/>
      <c r="J759" s="2"/>
      <c r="K759" s="90"/>
      <c r="L759" s="2"/>
      <c r="N759" s="2"/>
      <c r="O759" s="2"/>
      <c r="P759" s="2"/>
      <c r="Q759" s="2"/>
      <c r="R759" s="2"/>
      <c r="S759" s="2"/>
      <c r="T759" s="2"/>
      <c r="U759" s="222"/>
      <c r="V759" s="2"/>
      <c r="W759" s="2"/>
      <c r="X759" s="2"/>
      <c r="Z759" s="2"/>
      <c r="AA759" s="2"/>
      <c r="AB759" s="2"/>
      <c r="AC759" s="2"/>
    </row>
    <row r="760" spans="1:29" ht="15.75" customHeight="1" x14ac:dyDescent="0.3">
      <c r="A760" s="2"/>
      <c r="C760" s="2"/>
      <c r="D760" s="2"/>
      <c r="E760" s="2"/>
      <c r="F760" s="2"/>
      <c r="G760" s="92"/>
      <c r="H760" s="2"/>
      <c r="I760" s="2"/>
      <c r="J760" s="2"/>
      <c r="K760" s="90"/>
      <c r="L760" s="2"/>
      <c r="N760" s="2"/>
      <c r="O760" s="2"/>
      <c r="P760" s="2"/>
      <c r="Q760" s="2"/>
      <c r="R760" s="2"/>
      <c r="S760" s="2"/>
      <c r="T760" s="2"/>
      <c r="U760" s="222"/>
      <c r="V760" s="2"/>
      <c r="W760" s="2"/>
      <c r="X760" s="2"/>
      <c r="Z760" s="2"/>
      <c r="AA760" s="2"/>
      <c r="AB760" s="2"/>
      <c r="AC760" s="2"/>
    </row>
    <row r="761" spans="1:29" ht="15.75" customHeight="1" x14ac:dyDescent="0.3">
      <c r="A761" s="2"/>
      <c r="C761" s="2"/>
      <c r="D761" s="2"/>
      <c r="E761" s="2"/>
      <c r="F761" s="2"/>
      <c r="G761" s="92"/>
      <c r="H761" s="2"/>
      <c r="I761" s="2"/>
      <c r="J761" s="2"/>
      <c r="K761" s="90"/>
      <c r="L761" s="2"/>
      <c r="N761" s="2"/>
      <c r="O761" s="2"/>
      <c r="P761" s="2"/>
      <c r="Q761" s="2"/>
      <c r="R761" s="2"/>
      <c r="S761" s="2"/>
      <c r="T761" s="2"/>
      <c r="U761" s="222"/>
      <c r="V761" s="2"/>
      <c r="W761" s="2"/>
      <c r="X761" s="2"/>
      <c r="Z761" s="2"/>
      <c r="AA761" s="2"/>
      <c r="AB761" s="2"/>
      <c r="AC761" s="2"/>
    </row>
    <row r="762" spans="1:29" ht="15.75" customHeight="1" x14ac:dyDescent="0.3">
      <c r="A762" s="2"/>
      <c r="C762" s="2"/>
      <c r="D762" s="2"/>
      <c r="E762" s="2"/>
      <c r="F762" s="2"/>
      <c r="G762" s="92"/>
      <c r="H762" s="2"/>
      <c r="I762" s="2"/>
      <c r="J762" s="2"/>
      <c r="K762" s="90"/>
      <c r="L762" s="2"/>
      <c r="N762" s="2"/>
      <c r="O762" s="2"/>
      <c r="P762" s="2"/>
      <c r="Q762" s="2"/>
      <c r="R762" s="2"/>
      <c r="S762" s="2"/>
      <c r="T762" s="2"/>
      <c r="U762" s="222"/>
      <c r="V762" s="2"/>
      <c r="W762" s="2"/>
      <c r="X762" s="2"/>
      <c r="Z762" s="2"/>
      <c r="AA762" s="2"/>
      <c r="AB762" s="2"/>
      <c r="AC762" s="2"/>
    </row>
    <row r="763" spans="1:29" ht="15.75" customHeight="1" x14ac:dyDescent="0.3">
      <c r="A763" s="2"/>
      <c r="C763" s="2"/>
      <c r="D763" s="2"/>
      <c r="E763" s="2"/>
      <c r="F763" s="2"/>
      <c r="G763" s="92"/>
      <c r="H763" s="2"/>
      <c r="I763" s="2"/>
      <c r="J763" s="2"/>
      <c r="K763" s="90"/>
      <c r="L763" s="2"/>
      <c r="N763" s="2"/>
      <c r="O763" s="2"/>
      <c r="P763" s="2"/>
      <c r="Q763" s="2"/>
      <c r="R763" s="2"/>
      <c r="S763" s="2"/>
      <c r="T763" s="2"/>
      <c r="U763" s="222"/>
      <c r="V763" s="2"/>
      <c r="W763" s="2"/>
      <c r="X763" s="2"/>
      <c r="Z763" s="2"/>
      <c r="AA763" s="2"/>
      <c r="AB763" s="2"/>
      <c r="AC763" s="2"/>
    </row>
    <row r="764" spans="1:29" ht="15.75" customHeight="1" x14ac:dyDescent="0.3">
      <c r="A764" s="2"/>
      <c r="C764" s="2"/>
      <c r="D764" s="2"/>
      <c r="E764" s="2"/>
      <c r="F764" s="2"/>
      <c r="G764" s="92"/>
      <c r="H764" s="2"/>
      <c r="I764" s="2"/>
      <c r="J764" s="2"/>
      <c r="K764" s="90"/>
      <c r="L764" s="2"/>
      <c r="N764" s="2"/>
      <c r="O764" s="2"/>
      <c r="P764" s="2"/>
      <c r="Q764" s="2"/>
      <c r="R764" s="2"/>
      <c r="S764" s="2"/>
      <c r="T764" s="2"/>
      <c r="U764" s="222"/>
      <c r="V764" s="2"/>
      <c r="W764" s="2"/>
      <c r="X764" s="2"/>
      <c r="Z764" s="2"/>
      <c r="AA764" s="2"/>
      <c r="AB764" s="2"/>
      <c r="AC764" s="2"/>
    </row>
    <row r="765" spans="1:29" ht="15.75" customHeight="1" x14ac:dyDescent="0.3">
      <c r="A765" s="2"/>
      <c r="C765" s="2"/>
      <c r="D765" s="2"/>
      <c r="E765" s="2"/>
      <c r="F765" s="2"/>
      <c r="G765" s="92"/>
      <c r="H765" s="2"/>
      <c r="I765" s="2"/>
      <c r="J765" s="2"/>
      <c r="K765" s="90"/>
      <c r="L765" s="2"/>
      <c r="N765" s="2"/>
      <c r="O765" s="2"/>
      <c r="P765" s="2"/>
      <c r="Q765" s="2"/>
      <c r="R765" s="2"/>
      <c r="S765" s="2"/>
      <c r="T765" s="2"/>
      <c r="U765" s="222"/>
      <c r="V765" s="2"/>
      <c r="W765" s="2"/>
      <c r="X765" s="2"/>
      <c r="Z765" s="2"/>
      <c r="AA765" s="2"/>
      <c r="AB765" s="2"/>
      <c r="AC765" s="2"/>
    </row>
    <row r="766" spans="1:29" ht="15.75" customHeight="1" x14ac:dyDescent="0.3">
      <c r="A766" s="2"/>
      <c r="C766" s="2"/>
      <c r="D766" s="2"/>
      <c r="E766" s="2"/>
      <c r="F766" s="2"/>
      <c r="G766" s="92"/>
      <c r="H766" s="2"/>
      <c r="I766" s="2"/>
      <c r="J766" s="2"/>
      <c r="K766" s="90"/>
      <c r="L766" s="2"/>
      <c r="N766" s="2"/>
      <c r="O766" s="2"/>
      <c r="P766" s="2"/>
      <c r="Q766" s="2"/>
      <c r="R766" s="2"/>
      <c r="S766" s="2"/>
      <c r="T766" s="2"/>
      <c r="U766" s="222"/>
      <c r="V766" s="2"/>
      <c r="W766" s="2"/>
      <c r="X766" s="2"/>
      <c r="Z766" s="2"/>
      <c r="AA766" s="2"/>
      <c r="AB766" s="2"/>
      <c r="AC766" s="2"/>
    </row>
    <row r="767" spans="1:29" ht="15.75" customHeight="1" x14ac:dyDescent="0.3">
      <c r="A767" s="2"/>
      <c r="C767" s="2"/>
      <c r="D767" s="2"/>
      <c r="E767" s="2"/>
      <c r="F767" s="2"/>
      <c r="G767" s="92"/>
      <c r="H767" s="2"/>
      <c r="I767" s="2"/>
      <c r="J767" s="2"/>
      <c r="K767" s="90"/>
      <c r="L767" s="2"/>
      <c r="N767" s="2"/>
      <c r="O767" s="2"/>
      <c r="P767" s="2"/>
      <c r="Q767" s="2"/>
      <c r="R767" s="2"/>
      <c r="S767" s="2"/>
      <c r="T767" s="2"/>
      <c r="U767" s="222"/>
      <c r="V767" s="2"/>
      <c r="W767" s="2"/>
      <c r="X767" s="2"/>
      <c r="Z767" s="2"/>
      <c r="AA767" s="2"/>
      <c r="AB767" s="2"/>
      <c r="AC767" s="2"/>
    </row>
    <row r="768" spans="1:29" ht="15.75" customHeight="1" x14ac:dyDescent="0.3">
      <c r="A768" s="2"/>
      <c r="C768" s="2"/>
      <c r="D768" s="2"/>
      <c r="E768" s="2"/>
      <c r="F768" s="2"/>
      <c r="G768" s="92"/>
      <c r="H768" s="2"/>
      <c r="I768" s="2"/>
      <c r="J768" s="2"/>
      <c r="K768" s="90"/>
      <c r="L768" s="2"/>
      <c r="N768" s="2"/>
      <c r="O768" s="2"/>
      <c r="P768" s="2"/>
      <c r="Q768" s="2"/>
      <c r="R768" s="2"/>
      <c r="S768" s="2"/>
      <c r="T768" s="2"/>
      <c r="U768" s="222"/>
      <c r="V768" s="2"/>
      <c r="W768" s="2"/>
      <c r="X768" s="2"/>
      <c r="Z768" s="2"/>
      <c r="AA768" s="2"/>
      <c r="AB768" s="2"/>
      <c r="AC768" s="2"/>
    </row>
    <row r="769" spans="1:29" ht="15.75" customHeight="1" x14ac:dyDescent="0.3">
      <c r="A769" s="2"/>
      <c r="C769" s="2"/>
      <c r="D769" s="2"/>
      <c r="E769" s="2"/>
      <c r="F769" s="2"/>
      <c r="G769" s="92"/>
      <c r="H769" s="2"/>
      <c r="I769" s="2"/>
      <c r="J769" s="2"/>
      <c r="K769" s="90"/>
      <c r="L769" s="2"/>
      <c r="N769" s="2"/>
      <c r="O769" s="2"/>
      <c r="P769" s="2"/>
      <c r="Q769" s="2"/>
      <c r="R769" s="2"/>
      <c r="S769" s="2"/>
      <c r="T769" s="2"/>
      <c r="U769" s="222"/>
      <c r="V769" s="2"/>
      <c r="W769" s="2"/>
      <c r="X769" s="2"/>
      <c r="Z769" s="2"/>
      <c r="AA769" s="2"/>
      <c r="AB769" s="2"/>
      <c r="AC769" s="2"/>
    </row>
    <row r="770" spans="1:29" ht="15.75" customHeight="1" x14ac:dyDescent="0.3">
      <c r="A770" s="2"/>
      <c r="C770" s="2"/>
      <c r="D770" s="2"/>
      <c r="E770" s="2"/>
      <c r="F770" s="2"/>
      <c r="G770" s="92"/>
      <c r="H770" s="2"/>
      <c r="I770" s="2"/>
      <c r="J770" s="2"/>
      <c r="K770" s="90"/>
      <c r="L770" s="2"/>
      <c r="N770" s="2"/>
      <c r="O770" s="2"/>
      <c r="P770" s="2"/>
      <c r="Q770" s="2"/>
      <c r="R770" s="2"/>
      <c r="S770" s="2"/>
      <c r="T770" s="2"/>
      <c r="U770" s="222"/>
      <c r="V770" s="2"/>
      <c r="W770" s="2"/>
      <c r="X770" s="2"/>
      <c r="Z770" s="2"/>
      <c r="AA770" s="2"/>
      <c r="AB770" s="2"/>
      <c r="AC770" s="2"/>
    </row>
    <row r="771" spans="1:29" ht="15.75" customHeight="1" x14ac:dyDescent="0.3">
      <c r="A771" s="2"/>
      <c r="C771" s="2"/>
      <c r="D771" s="2"/>
      <c r="E771" s="2"/>
      <c r="F771" s="2"/>
      <c r="G771" s="92"/>
      <c r="H771" s="2"/>
      <c r="I771" s="2"/>
      <c r="J771" s="2"/>
      <c r="K771" s="90"/>
      <c r="L771" s="2"/>
      <c r="N771" s="2"/>
      <c r="O771" s="2"/>
      <c r="P771" s="2"/>
      <c r="Q771" s="2"/>
      <c r="R771" s="2"/>
      <c r="S771" s="2"/>
      <c r="T771" s="2"/>
      <c r="U771" s="222"/>
      <c r="V771" s="2"/>
      <c r="W771" s="2"/>
      <c r="X771" s="2"/>
      <c r="Z771" s="2"/>
      <c r="AA771" s="2"/>
      <c r="AB771" s="2"/>
      <c r="AC771" s="2"/>
    </row>
    <row r="772" spans="1:29" ht="15.75" customHeight="1" x14ac:dyDescent="0.3">
      <c r="A772" s="2"/>
      <c r="C772" s="2"/>
      <c r="D772" s="2"/>
      <c r="E772" s="2"/>
      <c r="F772" s="2"/>
      <c r="G772" s="92"/>
      <c r="H772" s="2"/>
      <c r="I772" s="2"/>
      <c r="J772" s="2"/>
      <c r="K772" s="90"/>
      <c r="L772" s="2"/>
      <c r="N772" s="2"/>
      <c r="O772" s="2"/>
      <c r="P772" s="2"/>
      <c r="Q772" s="2"/>
      <c r="R772" s="2"/>
      <c r="S772" s="2"/>
      <c r="T772" s="2"/>
      <c r="U772" s="222"/>
      <c r="V772" s="2"/>
      <c r="W772" s="2"/>
      <c r="X772" s="2"/>
      <c r="Z772" s="2"/>
      <c r="AA772" s="2"/>
      <c r="AB772" s="2"/>
      <c r="AC772" s="2"/>
    </row>
    <row r="773" spans="1:29" ht="15.75" customHeight="1" x14ac:dyDescent="0.3">
      <c r="A773" s="2"/>
      <c r="C773" s="2"/>
      <c r="D773" s="2"/>
      <c r="E773" s="2"/>
      <c r="F773" s="2"/>
      <c r="G773" s="92"/>
      <c r="H773" s="2"/>
      <c r="I773" s="2"/>
      <c r="J773" s="2"/>
      <c r="K773" s="90"/>
      <c r="L773" s="2"/>
      <c r="N773" s="2"/>
      <c r="O773" s="2"/>
      <c r="P773" s="2"/>
      <c r="Q773" s="2"/>
      <c r="R773" s="2"/>
      <c r="S773" s="2"/>
      <c r="T773" s="2"/>
      <c r="U773" s="222"/>
      <c r="V773" s="2"/>
      <c r="W773" s="2"/>
      <c r="X773" s="2"/>
      <c r="Z773" s="2"/>
      <c r="AA773" s="2"/>
      <c r="AB773" s="2"/>
      <c r="AC773" s="2"/>
    </row>
    <row r="774" spans="1:29" ht="15.75" customHeight="1" x14ac:dyDescent="0.3">
      <c r="A774" s="2"/>
      <c r="C774" s="2"/>
      <c r="D774" s="2"/>
      <c r="E774" s="2"/>
      <c r="F774" s="2"/>
      <c r="G774" s="92"/>
      <c r="H774" s="2"/>
      <c r="I774" s="2"/>
      <c r="J774" s="2"/>
      <c r="K774" s="90"/>
      <c r="L774" s="2"/>
      <c r="N774" s="2"/>
      <c r="O774" s="2"/>
      <c r="P774" s="2"/>
      <c r="Q774" s="2"/>
      <c r="R774" s="2"/>
      <c r="S774" s="2"/>
      <c r="T774" s="2"/>
      <c r="U774" s="222"/>
      <c r="V774" s="2"/>
      <c r="W774" s="2"/>
      <c r="X774" s="2"/>
      <c r="Z774" s="2"/>
      <c r="AA774" s="2"/>
      <c r="AB774" s="2"/>
      <c r="AC774" s="2"/>
    </row>
    <row r="775" spans="1:29" ht="15.75" customHeight="1" x14ac:dyDescent="0.3">
      <c r="A775" s="2"/>
      <c r="C775" s="2"/>
      <c r="D775" s="2"/>
      <c r="E775" s="2"/>
      <c r="F775" s="2"/>
      <c r="G775" s="92"/>
      <c r="H775" s="2"/>
      <c r="I775" s="2"/>
      <c r="J775" s="2"/>
      <c r="K775" s="90"/>
      <c r="L775" s="2"/>
      <c r="N775" s="2"/>
      <c r="O775" s="2"/>
      <c r="P775" s="2"/>
      <c r="Q775" s="2"/>
      <c r="R775" s="2"/>
      <c r="S775" s="2"/>
      <c r="T775" s="2"/>
      <c r="U775" s="222"/>
      <c r="V775" s="2"/>
      <c r="W775" s="2"/>
      <c r="X775" s="2"/>
      <c r="Z775" s="2"/>
      <c r="AA775" s="2"/>
      <c r="AB775" s="2"/>
      <c r="AC775" s="2"/>
    </row>
    <row r="776" spans="1:29" ht="15.75" customHeight="1" x14ac:dyDescent="0.3">
      <c r="A776" s="2"/>
      <c r="C776" s="2"/>
      <c r="D776" s="2"/>
      <c r="E776" s="2"/>
      <c r="F776" s="2"/>
      <c r="G776" s="92"/>
      <c r="H776" s="2"/>
      <c r="I776" s="2"/>
      <c r="J776" s="2"/>
      <c r="K776" s="90"/>
      <c r="L776" s="2"/>
      <c r="N776" s="2"/>
      <c r="O776" s="2"/>
      <c r="P776" s="2"/>
      <c r="Q776" s="2"/>
      <c r="R776" s="2"/>
      <c r="S776" s="2"/>
      <c r="T776" s="2"/>
      <c r="U776" s="222"/>
      <c r="V776" s="2"/>
      <c r="W776" s="2"/>
      <c r="X776" s="2"/>
      <c r="Z776" s="2"/>
      <c r="AA776" s="2"/>
      <c r="AB776" s="2"/>
      <c r="AC776" s="2"/>
    </row>
    <row r="777" spans="1:29" ht="15.75" customHeight="1" x14ac:dyDescent="0.3">
      <c r="A777" s="2"/>
      <c r="C777" s="2"/>
      <c r="D777" s="2"/>
      <c r="E777" s="2"/>
      <c r="F777" s="2"/>
      <c r="G777" s="92"/>
      <c r="H777" s="2"/>
      <c r="I777" s="2"/>
      <c r="J777" s="2"/>
      <c r="K777" s="90"/>
      <c r="L777" s="2"/>
      <c r="N777" s="2"/>
      <c r="O777" s="2"/>
      <c r="P777" s="2"/>
      <c r="Q777" s="2"/>
      <c r="R777" s="2"/>
      <c r="S777" s="2"/>
      <c r="T777" s="2"/>
      <c r="U777" s="222"/>
      <c r="V777" s="2"/>
      <c r="W777" s="2"/>
      <c r="X777" s="2"/>
      <c r="Z777" s="2"/>
      <c r="AA777" s="2"/>
      <c r="AB777" s="2"/>
      <c r="AC777" s="2"/>
    </row>
    <row r="778" spans="1:29" ht="15.75" customHeight="1" x14ac:dyDescent="0.3">
      <c r="A778" s="2"/>
      <c r="C778" s="2"/>
      <c r="D778" s="2"/>
      <c r="E778" s="2"/>
      <c r="F778" s="2"/>
      <c r="G778" s="92"/>
      <c r="H778" s="2"/>
      <c r="I778" s="2"/>
      <c r="J778" s="2"/>
      <c r="K778" s="90"/>
      <c r="L778" s="2"/>
      <c r="N778" s="2"/>
      <c r="O778" s="2"/>
      <c r="P778" s="2"/>
      <c r="Q778" s="2"/>
      <c r="R778" s="2"/>
      <c r="S778" s="2"/>
      <c r="T778" s="2"/>
      <c r="U778" s="222"/>
      <c r="V778" s="2"/>
      <c r="W778" s="2"/>
      <c r="X778" s="2"/>
      <c r="Z778" s="2"/>
      <c r="AA778" s="2"/>
      <c r="AB778" s="2"/>
      <c r="AC778" s="2"/>
    </row>
    <row r="779" spans="1:29" ht="15.75" customHeight="1" x14ac:dyDescent="0.3">
      <c r="A779" s="2"/>
      <c r="C779" s="2"/>
      <c r="D779" s="2"/>
      <c r="E779" s="2"/>
      <c r="F779" s="2"/>
      <c r="G779" s="92"/>
      <c r="H779" s="2"/>
      <c r="I779" s="2"/>
      <c r="J779" s="2"/>
      <c r="K779" s="90"/>
      <c r="L779" s="2"/>
      <c r="N779" s="2"/>
      <c r="O779" s="2"/>
      <c r="P779" s="2"/>
      <c r="Q779" s="2"/>
      <c r="R779" s="2"/>
      <c r="S779" s="2"/>
      <c r="T779" s="2"/>
      <c r="U779" s="222"/>
      <c r="V779" s="2"/>
      <c r="W779" s="2"/>
      <c r="X779" s="2"/>
      <c r="Z779" s="2"/>
      <c r="AA779" s="2"/>
      <c r="AB779" s="2"/>
      <c r="AC779" s="2"/>
    </row>
    <row r="780" spans="1:29" ht="15.75" customHeight="1" x14ac:dyDescent="0.3">
      <c r="A780" s="2"/>
      <c r="C780" s="2"/>
      <c r="D780" s="2"/>
      <c r="E780" s="2"/>
      <c r="F780" s="2"/>
      <c r="G780" s="92"/>
      <c r="H780" s="2"/>
      <c r="I780" s="2"/>
      <c r="J780" s="2"/>
      <c r="K780" s="90"/>
      <c r="L780" s="2"/>
      <c r="N780" s="2"/>
      <c r="O780" s="2"/>
      <c r="P780" s="2"/>
      <c r="Q780" s="2"/>
      <c r="R780" s="2"/>
      <c r="S780" s="2"/>
      <c r="T780" s="2"/>
      <c r="U780" s="222"/>
      <c r="V780" s="2"/>
      <c r="W780" s="2"/>
      <c r="X780" s="2"/>
      <c r="Z780" s="2"/>
      <c r="AA780" s="2"/>
      <c r="AB780" s="2"/>
      <c r="AC780" s="2"/>
    </row>
    <row r="781" spans="1:29" ht="15.75" customHeight="1" x14ac:dyDescent="0.3">
      <c r="A781" s="2"/>
      <c r="C781" s="2"/>
      <c r="D781" s="2"/>
      <c r="E781" s="2"/>
      <c r="F781" s="2"/>
      <c r="G781" s="92"/>
      <c r="H781" s="2"/>
      <c r="I781" s="2"/>
      <c r="J781" s="2"/>
      <c r="K781" s="90"/>
      <c r="L781" s="2"/>
      <c r="N781" s="2"/>
      <c r="O781" s="2"/>
      <c r="P781" s="2"/>
      <c r="Q781" s="2"/>
      <c r="R781" s="2"/>
      <c r="S781" s="2"/>
      <c r="T781" s="2"/>
      <c r="U781" s="222"/>
      <c r="V781" s="2"/>
      <c r="W781" s="2"/>
      <c r="X781" s="2"/>
      <c r="Z781" s="2"/>
      <c r="AA781" s="2"/>
      <c r="AB781" s="2"/>
      <c r="AC781" s="2"/>
    </row>
    <row r="782" spans="1:29" ht="15.75" customHeight="1" x14ac:dyDescent="0.3">
      <c r="A782" s="2"/>
      <c r="C782" s="2"/>
      <c r="D782" s="2"/>
      <c r="E782" s="2"/>
      <c r="F782" s="2"/>
      <c r="G782" s="92"/>
      <c r="H782" s="2"/>
      <c r="I782" s="2"/>
      <c r="J782" s="2"/>
      <c r="K782" s="90"/>
      <c r="L782" s="2"/>
      <c r="N782" s="2"/>
      <c r="O782" s="2"/>
      <c r="P782" s="2"/>
      <c r="Q782" s="2"/>
      <c r="R782" s="2"/>
      <c r="S782" s="2"/>
      <c r="T782" s="2"/>
      <c r="U782" s="222"/>
      <c r="V782" s="2"/>
      <c r="W782" s="2"/>
      <c r="X782" s="2"/>
      <c r="Z782" s="2"/>
      <c r="AA782" s="2"/>
      <c r="AB782" s="2"/>
      <c r="AC782" s="2"/>
    </row>
    <row r="783" spans="1:29" ht="15.75" customHeight="1" x14ac:dyDescent="0.3">
      <c r="A783" s="2"/>
      <c r="C783" s="2"/>
      <c r="D783" s="2"/>
      <c r="E783" s="2"/>
      <c r="F783" s="2"/>
      <c r="G783" s="92"/>
      <c r="H783" s="2"/>
      <c r="I783" s="2"/>
      <c r="J783" s="2"/>
      <c r="K783" s="90"/>
      <c r="L783" s="2"/>
      <c r="N783" s="2"/>
      <c r="O783" s="2"/>
      <c r="P783" s="2"/>
      <c r="Q783" s="2"/>
      <c r="R783" s="2"/>
      <c r="S783" s="2"/>
      <c r="T783" s="2"/>
      <c r="U783" s="222"/>
      <c r="V783" s="2"/>
      <c r="W783" s="2"/>
      <c r="X783" s="2"/>
      <c r="Z783" s="2"/>
      <c r="AA783" s="2"/>
      <c r="AB783" s="2"/>
      <c r="AC783" s="2"/>
    </row>
    <row r="784" spans="1:29" ht="15.75" customHeight="1" x14ac:dyDescent="0.3">
      <c r="A784" s="2"/>
      <c r="C784" s="2"/>
      <c r="D784" s="2"/>
      <c r="E784" s="2"/>
      <c r="F784" s="2"/>
      <c r="G784" s="92"/>
      <c r="H784" s="2"/>
      <c r="I784" s="2"/>
      <c r="J784" s="2"/>
      <c r="K784" s="90"/>
      <c r="L784" s="2"/>
      <c r="N784" s="2"/>
      <c r="O784" s="2"/>
      <c r="P784" s="2"/>
      <c r="Q784" s="2"/>
      <c r="R784" s="2"/>
      <c r="S784" s="2"/>
      <c r="T784" s="2"/>
      <c r="U784" s="222"/>
      <c r="V784" s="2"/>
      <c r="W784" s="2"/>
      <c r="X784" s="2"/>
      <c r="Z784" s="2"/>
      <c r="AA784" s="2"/>
      <c r="AB784" s="2"/>
      <c r="AC784" s="2"/>
    </row>
    <row r="785" spans="1:29" ht="15.75" customHeight="1" x14ac:dyDescent="0.3">
      <c r="A785" s="2"/>
      <c r="C785" s="2"/>
      <c r="D785" s="2"/>
      <c r="E785" s="2"/>
      <c r="F785" s="2"/>
      <c r="G785" s="92"/>
      <c r="H785" s="2"/>
      <c r="I785" s="2"/>
      <c r="J785" s="2"/>
      <c r="K785" s="90"/>
      <c r="L785" s="2"/>
      <c r="N785" s="2"/>
      <c r="O785" s="2"/>
      <c r="P785" s="2"/>
      <c r="Q785" s="2"/>
      <c r="R785" s="2"/>
      <c r="S785" s="2"/>
      <c r="T785" s="2"/>
      <c r="U785" s="222"/>
      <c r="V785" s="2"/>
      <c r="W785" s="2"/>
      <c r="X785" s="2"/>
      <c r="Z785" s="2"/>
      <c r="AA785" s="2"/>
      <c r="AB785" s="2"/>
      <c r="AC785" s="2"/>
    </row>
    <row r="786" spans="1:29" ht="15.75" customHeight="1" x14ac:dyDescent="0.3">
      <c r="A786" s="2"/>
      <c r="C786" s="2"/>
      <c r="D786" s="2"/>
      <c r="E786" s="2"/>
      <c r="F786" s="2"/>
      <c r="G786" s="92"/>
      <c r="H786" s="2"/>
      <c r="I786" s="2"/>
      <c r="J786" s="2"/>
      <c r="K786" s="90"/>
      <c r="L786" s="2"/>
      <c r="N786" s="2"/>
      <c r="O786" s="2"/>
      <c r="P786" s="2"/>
      <c r="Q786" s="2"/>
      <c r="R786" s="2"/>
      <c r="S786" s="2"/>
      <c r="T786" s="2"/>
      <c r="U786" s="222"/>
      <c r="V786" s="2"/>
      <c r="W786" s="2"/>
      <c r="X786" s="2"/>
      <c r="Z786" s="2"/>
      <c r="AA786" s="2"/>
      <c r="AB786" s="2"/>
      <c r="AC786" s="2"/>
    </row>
    <row r="787" spans="1:29" ht="15.75" customHeight="1" x14ac:dyDescent="0.3">
      <c r="A787" s="2"/>
      <c r="C787" s="2"/>
      <c r="D787" s="2"/>
      <c r="E787" s="2"/>
      <c r="F787" s="2"/>
      <c r="G787" s="92"/>
      <c r="H787" s="2"/>
      <c r="I787" s="2"/>
      <c r="J787" s="2"/>
      <c r="K787" s="90"/>
      <c r="L787" s="2"/>
      <c r="N787" s="2"/>
      <c r="O787" s="2"/>
      <c r="P787" s="2"/>
      <c r="Q787" s="2"/>
      <c r="R787" s="2"/>
      <c r="S787" s="2"/>
      <c r="T787" s="2"/>
      <c r="U787" s="222"/>
      <c r="V787" s="2"/>
      <c r="W787" s="2"/>
      <c r="X787" s="2"/>
      <c r="Z787" s="2"/>
      <c r="AA787" s="2"/>
      <c r="AB787" s="2"/>
      <c r="AC787" s="2"/>
    </row>
    <row r="788" spans="1:29" ht="15.75" customHeight="1" x14ac:dyDescent="0.3">
      <c r="A788" s="2"/>
      <c r="C788" s="2"/>
      <c r="D788" s="2"/>
      <c r="E788" s="2"/>
      <c r="F788" s="2"/>
      <c r="G788" s="92"/>
      <c r="H788" s="2"/>
      <c r="I788" s="2"/>
      <c r="J788" s="2"/>
      <c r="K788" s="90"/>
      <c r="L788" s="2"/>
      <c r="N788" s="2"/>
      <c r="O788" s="2"/>
      <c r="P788" s="2"/>
      <c r="Q788" s="2"/>
      <c r="R788" s="2"/>
      <c r="S788" s="2"/>
      <c r="T788" s="2"/>
      <c r="U788" s="222"/>
      <c r="V788" s="2"/>
      <c r="W788" s="2"/>
      <c r="X788" s="2"/>
      <c r="Z788" s="2"/>
      <c r="AA788" s="2"/>
      <c r="AB788" s="2"/>
      <c r="AC788" s="2"/>
    </row>
    <row r="789" spans="1:29" ht="15.75" customHeight="1" x14ac:dyDescent="0.3">
      <c r="A789" s="2"/>
      <c r="C789" s="2"/>
      <c r="D789" s="2"/>
      <c r="E789" s="2"/>
      <c r="F789" s="2"/>
      <c r="G789" s="92"/>
      <c r="H789" s="2"/>
      <c r="I789" s="2"/>
      <c r="J789" s="2"/>
      <c r="K789" s="90"/>
      <c r="L789" s="2"/>
      <c r="N789" s="2"/>
      <c r="O789" s="2"/>
      <c r="P789" s="2"/>
      <c r="Q789" s="2"/>
      <c r="R789" s="2"/>
      <c r="S789" s="2"/>
      <c r="T789" s="2"/>
      <c r="U789" s="222"/>
      <c r="V789" s="2"/>
      <c r="W789" s="2"/>
      <c r="X789" s="2"/>
      <c r="Z789" s="2"/>
      <c r="AA789" s="2"/>
      <c r="AB789" s="2"/>
      <c r="AC789" s="2"/>
    </row>
    <row r="790" spans="1:29" ht="15.75" customHeight="1" x14ac:dyDescent="0.3">
      <c r="A790" s="2"/>
      <c r="C790" s="2"/>
      <c r="D790" s="2"/>
      <c r="E790" s="2"/>
      <c r="F790" s="2"/>
      <c r="G790" s="92"/>
      <c r="H790" s="2"/>
      <c r="I790" s="2"/>
      <c r="J790" s="2"/>
      <c r="K790" s="90"/>
      <c r="L790" s="2"/>
      <c r="N790" s="2"/>
      <c r="O790" s="2"/>
      <c r="P790" s="2"/>
      <c r="Q790" s="2"/>
      <c r="R790" s="2"/>
      <c r="S790" s="2"/>
      <c r="T790" s="2"/>
      <c r="U790" s="222"/>
      <c r="V790" s="2"/>
      <c r="W790" s="2"/>
      <c r="X790" s="2"/>
      <c r="Z790" s="2"/>
      <c r="AA790" s="2"/>
      <c r="AB790" s="2"/>
      <c r="AC790" s="2"/>
    </row>
    <row r="791" spans="1:29" ht="15.75" customHeight="1" x14ac:dyDescent="0.3">
      <c r="A791" s="2"/>
      <c r="C791" s="2"/>
      <c r="D791" s="2"/>
      <c r="E791" s="2"/>
      <c r="F791" s="2"/>
      <c r="G791" s="92"/>
      <c r="H791" s="2"/>
      <c r="I791" s="2"/>
      <c r="J791" s="2"/>
      <c r="K791" s="90"/>
      <c r="L791" s="2"/>
      <c r="N791" s="2"/>
      <c r="O791" s="2"/>
      <c r="P791" s="2"/>
      <c r="Q791" s="2"/>
      <c r="R791" s="2"/>
      <c r="S791" s="2"/>
      <c r="T791" s="2"/>
      <c r="U791" s="222"/>
      <c r="V791" s="2"/>
      <c r="W791" s="2"/>
      <c r="X791" s="2"/>
      <c r="Z791" s="2"/>
      <c r="AA791" s="2"/>
      <c r="AB791" s="2"/>
      <c r="AC791" s="2"/>
    </row>
    <row r="792" spans="1:29" ht="15.75" customHeight="1" x14ac:dyDescent="0.3">
      <c r="A792" s="2"/>
      <c r="C792" s="2"/>
      <c r="D792" s="2"/>
      <c r="E792" s="2"/>
      <c r="F792" s="2"/>
      <c r="G792" s="92"/>
      <c r="H792" s="2"/>
      <c r="I792" s="2"/>
      <c r="J792" s="2"/>
      <c r="K792" s="90"/>
      <c r="L792" s="2"/>
      <c r="N792" s="2"/>
      <c r="O792" s="2"/>
      <c r="P792" s="2"/>
      <c r="Q792" s="2"/>
      <c r="R792" s="2"/>
      <c r="S792" s="2"/>
      <c r="T792" s="2"/>
      <c r="U792" s="222"/>
      <c r="V792" s="2"/>
      <c r="W792" s="2"/>
      <c r="X792" s="2"/>
      <c r="Z792" s="2"/>
      <c r="AA792" s="2"/>
      <c r="AB792" s="2"/>
      <c r="AC792" s="2"/>
    </row>
    <row r="793" spans="1:29" ht="15.75" customHeight="1" x14ac:dyDescent="0.3">
      <c r="A793" s="2"/>
      <c r="C793" s="2"/>
      <c r="D793" s="2"/>
      <c r="E793" s="2"/>
      <c r="F793" s="2"/>
      <c r="G793" s="92"/>
      <c r="H793" s="2"/>
      <c r="I793" s="2"/>
      <c r="J793" s="2"/>
      <c r="K793" s="90"/>
      <c r="L793" s="2"/>
      <c r="N793" s="2"/>
      <c r="O793" s="2"/>
      <c r="P793" s="2"/>
      <c r="Q793" s="2"/>
      <c r="R793" s="2"/>
      <c r="S793" s="2"/>
      <c r="T793" s="2"/>
      <c r="U793" s="222"/>
      <c r="V793" s="2"/>
      <c r="W793" s="2"/>
      <c r="X793" s="2"/>
      <c r="Z793" s="2"/>
      <c r="AA793" s="2"/>
      <c r="AB793" s="2"/>
      <c r="AC793" s="2"/>
    </row>
    <row r="794" spans="1:29" ht="15.75" customHeight="1" x14ac:dyDescent="0.3">
      <c r="A794" s="2"/>
      <c r="C794" s="2"/>
      <c r="D794" s="2"/>
      <c r="E794" s="2"/>
      <c r="F794" s="2"/>
      <c r="G794" s="92"/>
      <c r="H794" s="2"/>
      <c r="I794" s="2"/>
      <c r="J794" s="2"/>
      <c r="K794" s="90"/>
      <c r="L794" s="2"/>
      <c r="N794" s="2"/>
      <c r="O794" s="2"/>
      <c r="P794" s="2"/>
      <c r="Q794" s="2"/>
      <c r="R794" s="2"/>
      <c r="S794" s="2"/>
      <c r="T794" s="2"/>
      <c r="U794" s="222"/>
      <c r="V794" s="2"/>
      <c r="W794" s="2"/>
      <c r="X794" s="2"/>
      <c r="Z794" s="2"/>
      <c r="AA794" s="2"/>
      <c r="AB794" s="2"/>
      <c r="AC794" s="2"/>
    </row>
    <row r="795" spans="1:29" ht="15.75" customHeight="1" x14ac:dyDescent="0.3">
      <c r="A795" s="2"/>
      <c r="C795" s="2"/>
      <c r="D795" s="2"/>
      <c r="E795" s="2"/>
      <c r="F795" s="2"/>
      <c r="G795" s="92"/>
      <c r="H795" s="2"/>
      <c r="I795" s="2"/>
      <c r="J795" s="2"/>
      <c r="K795" s="90"/>
      <c r="L795" s="2"/>
      <c r="N795" s="2"/>
      <c r="O795" s="2"/>
      <c r="P795" s="2"/>
      <c r="Q795" s="2"/>
      <c r="R795" s="2"/>
      <c r="S795" s="2"/>
      <c r="T795" s="2"/>
      <c r="U795" s="222"/>
      <c r="V795" s="2"/>
      <c r="W795" s="2"/>
      <c r="X795" s="2"/>
      <c r="Z795" s="2"/>
      <c r="AA795" s="2"/>
      <c r="AB795" s="2"/>
      <c r="AC795" s="2"/>
    </row>
    <row r="796" spans="1:29" ht="15.75" customHeight="1" x14ac:dyDescent="0.3">
      <c r="A796" s="2"/>
      <c r="C796" s="2"/>
      <c r="D796" s="2"/>
      <c r="E796" s="2"/>
      <c r="F796" s="2"/>
      <c r="G796" s="92"/>
      <c r="H796" s="2"/>
      <c r="I796" s="2"/>
      <c r="J796" s="2"/>
      <c r="K796" s="90"/>
      <c r="L796" s="2"/>
      <c r="N796" s="2"/>
      <c r="O796" s="2"/>
      <c r="P796" s="2"/>
      <c r="Q796" s="2"/>
      <c r="R796" s="2"/>
      <c r="S796" s="2"/>
      <c r="T796" s="2"/>
      <c r="U796" s="222"/>
      <c r="V796" s="2"/>
      <c r="W796" s="2"/>
      <c r="X796" s="2"/>
      <c r="Z796" s="2"/>
      <c r="AA796" s="2"/>
      <c r="AB796" s="2"/>
      <c r="AC796" s="2"/>
    </row>
    <row r="797" spans="1:29" ht="15.75" customHeight="1" x14ac:dyDescent="0.3">
      <c r="A797" s="2"/>
      <c r="C797" s="2"/>
      <c r="D797" s="2"/>
      <c r="E797" s="2"/>
      <c r="F797" s="2"/>
      <c r="G797" s="92"/>
      <c r="H797" s="2"/>
      <c r="I797" s="2"/>
      <c r="J797" s="2"/>
      <c r="K797" s="90"/>
      <c r="L797" s="2"/>
      <c r="N797" s="2"/>
      <c r="O797" s="2"/>
      <c r="P797" s="2"/>
      <c r="Q797" s="2"/>
      <c r="R797" s="2"/>
      <c r="S797" s="2"/>
      <c r="T797" s="2"/>
      <c r="U797" s="222"/>
      <c r="V797" s="2"/>
      <c r="W797" s="2"/>
      <c r="X797" s="2"/>
      <c r="Z797" s="2"/>
      <c r="AA797" s="2"/>
      <c r="AB797" s="2"/>
      <c r="AC797" s="2"/>
    </row>
    <row r="798" spans="1:29" ht="15.75" customHeight="1" x14ac:dyDescent="0.3">
      <c r="A798" s="2"/>
      <c r="C798" s="2"/>
      <c r="D798" s="2"/>
      <c r="E798" s="2"/>
      <c r="F798" s="2"/>
      <c r="G798" s="92"/>
      <c r="H798" s="2"/>
      <c r="I798" s="2"/>
      <c r="J798" s="2"/>
      <c r="K798" s="90"/>
      <c r="L798" s="2"/>
      <c r="N798" s="2"/>
      <c r="O798" s="2"/>
      <c r="P798" s="2"/>
      <c r="Q798" s="2"/>
      <c r="R798" s="2"/>
      <c r="S798" s="2"/>
      <c r="T798" s="2"/>
      <c r="U798" s="222"/>
      <c r="V798" s="2"/>
      <c r="W798" s="2"/>
      <c r="X798" s="2"/>
      <c r="Z798" s="2"/>
      <c r="AA798" s="2"/>
      <c r="AB798" s="2"/>
      <c r="AC798" s="2"/>
    </row>
    <row r="799" spans="1:29" ht="15.75" customHeight="1" x14ac:dyDescent="0.3">
      <c r="A799" s="2"/>
      <c r="C799" s="2"/>
      <c r="D799" s="2"/>
      <c r="E799" s="2"/>
      <c r="F799" s="2"/>
      <c r="G799" s="92"/>
      <c r="H799" s="2"/>
      <c r="I799" s="2"/>
      <c r="J799" s="2"/>
      <c r="K799" s="90"/>
      <c r="L799" s="2"/>
      <c r="N799" s="2"/>
      <c r="O799" s="2"/>
      <c r="P799" s="2"/>
      <c r="Q799" s="2"/>
      <c r="R799" s="2"/>
      <c r="S799" s="2"/>
      <c r="T799" s="2"/>
      <c r="U799" s="222"/>
      <c r="V799" s="2"/>
      <c r="W799" s="2"/>
      <c r="X799" s="2"/>
      <c r="Z799" s="2"/>
      <c r="AA799" s="2"/>
      <c r="AB799" s="2"/>
      <c r="AC799" s="2"/>
    </row>
    <row r="800" spans="1:29" ht="15.75" customHeight="1" x14ac:dyDescent="0.3">
      <c r="A800" s="2"/>
      <c r="C800" s="2"/>
      <c r="D800" s="2"/>
      <c r="E800" s="2"/>
      <c r="F800" s="2"/>
      <c r="G800" s="92"/>
      <c r="H800" s="2"/>
      <c r="I800" s="2"/>
      <c r="J800" s="2"/>
      <c r="K800" s="90"/>
      <c r="L800" s="2"/>
      <c r="N800" s="2"/>
      <c r="O800" s="2"/>
      <c r="P800" s="2"/>
      <c r="Q800" s="2"/>
      <c r="R800" s="2"/>
      <c r="S800" s="2"/>
      <c r="T800" s="2"/>
      <c r="U800" s="222"/>
      <c r="V800" s="2"/>
      <c r="W800" s="2"/>
      <c r="X800" s="2"/>
      <c r="Z800" s="2"/>
      <c r="AA800" s="2"/>
      <c r="AB800" s="2"/>
      <c r="AC800" s="2"/>
    </row>
    <row r="801" spans="1:29" ht="15.75" customHeight="1" x14ac:dyDescent="0.3">
      <c r="A801" s="2"/>
      <c r="C801" s="2"/>
      <c r="D801" s="2"/>
      <c r="E801" s="2"/>
      <c r="F801" s="2"/>
      <c r="G801" s="92"/>
      <c r="H801" s="2"/>
      <c r="I801" s="2"/>
      <c r="J801" s="2"/>
      <c r="K801" s="90"/>
      <c r="L801" s="2"/>
      <c r="N801" s="2"/>
      <c r="O801" s="2"/>
      <c r="P801" s="2"/>
      <c r="Q801" s="2"/>
      <c r="R801" s="2"/>
      <c r="S801" s="2"/>
      <c r="T801" s="2"/>
      <c r="U801" s="222"/>
      <c r="V801" s="2"/>
      <c r="W801" s="2"/>
      <c r="X801" s="2"/>
      <c r="Z801" s="2"/>
      <c r="AA801" s="2"/>
      <c r="AB801" s="2"/>
      <c r="AC801" s="2"/>
    </row>
    <row r="802" spans="1:29" ht="15.75" customHeight="1" x14ac:dyDescent="0.3">
      <c r="A802" s="2"/>
      <c r="C802" s="2"/>
      <c r="D802" s="2"/>
      <c r="E802" s="2"/>
      <c r="F802" s="2"/>
      <c r="G802" s="92"/>
      <c r="H802" s="2"/>
      <c r="I802" s="2"/>
      <c r="J802" s="2"/>
      <c r="K802" s="90"/>
      <c r="L802" s="2"/>
      <c r="N802" s="2"/>
      <c r="O802" s="2"/>
      <c r="P802" s="2"/>
      <c r="Q802" s="2"/>
      <c r="R802" s="2"/>
      <c r="S802" s="2"/>
      <c r="T802" s="2"/>
      <c r="U802" s="222"/>
      <c r="V802" s="2"/>
      <c r="W802" s="2"/>
      <c r="X802" s="2"/>
      <c r="Z802" s="2"/>
      <c r="AA802" s="2"/>
      <c r="AB802" s="2"/>
      <c r="AC802" s="2"/>
    </row>
    <row r="803" spans="1:29" ht="15.75" customHeight="1" x14ac:dyDescent="0.3">
      <c r="A803" s="2"/>
      <c r="C803" s="2"/>
      <c r="D803" s="2"/>
      <c r="E803" s="2"/>
      <c r="F803" s="2"/>
      <c r="G803" s="92"/>
      <c r="H803" s="2"/>
      <c r="I803" s="2"/>
      <c r="J803" s="2"/>
      <c r="K803" s="90"/>
      <c r="L803" s="2"/>
      <c r="N803" s="2"/>
      <c r="O803" s="2"/>
      <c r="P803" s="2"/>
      <c r="Q803" s="2"/>
      <c r="R803" s="2"/>
      <c r="S803" s="2"/>
      <c r="T803" s="2"/>
      <c r="U803" s="222"/>
      <c r="V803" s="2"/>
      <c r="W803" s="2"/>
      <c r="X803" s="2"/>
      <c r="Z803" s="2"/>
      <c r="AA803" s="2"/>
      <c r="AB803" s="2"/>
      <c r="AC803" s="2"/>
    </row>
    <row r="804" spans="1:29" ht="15.75" customHeight="1" x14ac:dyDescent="0.3">
      <c r="A804" s="2"/>
      <c r="C804" s="2"/>
      <c r="D804" s="2"/>
      <c r="E804" s="2"/>
      <c r="F804" s="2"/>
      <c r="G804" s="92"/>
      <c r="H804" s="2"/>
      <c r="I804" s="2"/>
      <c r="J804" s="2"/>
      <c r="K804" s="90"/>
      <c r="L804" s="2"/>
      <c r="N804" s="2"/>
      <c r="O804" s="2"/>
      <c r="P804" s="2"/>
      <c r="Q804" s="2"/>
      <c r="R804" s="2"/>
      <c r="S804" s="2"/>
      <c r="T804" s="2"/>
      <c r="U804" s="222"/>
      <c r="V804" s="2"/>
      <c r="W804" s="2"/>
      <c r="X804" s="2"/>
      <c r="Z804" s="2"/>
      <c r="AA804" s="2"/>
      <c r="AB804" s="2"/>
      <c r="AC804" s="2"/>
    </row>
    <row r="805" spans="1:29" ht="15.75" customHeight="1" x14ac:dyDescent="0.3">
      <c r="A805" s="2"/>
      <c r="C805" s="2"/>
      <c r="D805" s="2"/>
      <c r="E805" s="2"/>
      <c r="F805" s="2"/>
      <c r="G805" s="92"/>
      <c r="H805" s="2"/>
      <c r="I805" s="2"/>
      <c r="J805" s="2"/>
      <c r="K805" s="90"/>
      <c r="L805" s="2"/>
      <c r="N805" s="2"/>
      <c r="O805" s="2"/>
      <c r="P805" s="2"/>
      <c r="Q805" s="2"/>
      <c r="R805" s="2"/>
      <c r="S805" s="2"/>
      <c r="T805" s="2"/>
      <c r="U805" s="222"/>
      <c r="V805" s="2"/>
      <c r="W805" s="2"/>
      <c r="X805" s="2"/>
      <c r="Z805" s="2"/>
      <c r="AA805" s="2"/>
      <c r="AB805" s="2"/>
      <c r="AC805" s="2"/>
    </row>
    <row r="806" spans="1:29" ht="15.75" customHeight="1" x14ac:dyDescent="0.3">
      <c r="A806" s="2"/>
      <c r="C806" s="2"/>
      <c r="D806" s="2"/>
      <c r="E806" s="2"/>
      <c r="F806" s="2"/>
      <c r="G806" s="92"/>
      <c r="H806" s="2"/>
      <c r="I806" s="2"/>
      <c r="J806" s="2"/>
      <c r="K806" s="90"/>
      <c r="L806" s="2"/>
      <c r="N806" s="2"/>
      <c r="O806" s="2"/>
      <c r="P806" s="2"/>
      <c r="Q806" s="2"/>
      <c r="R806" s="2"/>
      <c r="S806" s="2"/>
      <c r="T806" s="2"/>
      <c r="U806" s="222"/>
      <c r="V806" s="2"/>
      <c r="W806" s="2"/>
      <c r="X806" s="2"/>
      <c r="Z806" s="2"/>
      <c r="AA806" s="2"/>
      <c r="AB806" s="2"/>
      <c r="AC806" s="2"/>
    </row>
    <row r="807" spans="1:29" ht="15.75" customHeight="1" x14ac:dyDescent="0.3">
      <c r="A807" s="2"/>
      <c r="C807" s="2"/>
      <c r="D807" s="2"/>
      <c r="E807" s="2"/>
      <c r="F807" s="2"/>
      <c r="G807" s="92"/>
      <c r="H807" s="2"/>
      <c r="I807" s="2"/>
      <c r="J807" s="2"/>
      <c r="K807" s="90"/>
      <c r="L807" s="2"/>
      <c r="N807" s="2"/>
      <c r="O807" s="2"/>
      <c r="P807" s="2"/>
      <c r="Q807" s="2"/>
      <c r="R807" s="2"/>
      <c r="S807" s="2"/>
      <c r="T807" s="2"/>
      <c r="U807" s="222"/>
      <c r="V807" s="2"/>
      <c r="W807" s="2"/>
      <c r="X807" s="2"/>
      <c r="Z807" s="2"/>
      <c r="AA807" s="2"/>
      <c r="AB807" s="2"/>
      <c r="AC807" s="2"/>
    </row>
    <row r="808" spans="1:29" ht="15.75" customHeight="1" x14ac:dyDescent="0.3">
      <c r="A808" s="2"/>
      <c r="C808" s="2"/>
      <c r="D808" s="2"/>
      <c r="E808" s="2"/>
      <c r="F808" s="2"/>
      <c r="G808" s="92"/>
      <c r="H808" s="2"/>
      <c r="I808" s="2"/>
      <c r="J808" s="2"/>
      <c r="K808" s="90"/>
      <c r="L808" s="2"/>
      <c r="N808" s="2"/>
      <c r="O808" s="2"/>
      <c r="P808" s="2"/>
      <c r="Q808" s="2"/>
      <c r="R808" s="2"/>
      <c r="S808" s="2"/>
      <c r="T808" s="2"/>
      <c r="U808" s="222"/>
      <c r="V808" s="2"/>
      <c r="W808" s="2"/>
      <c r="X808" s="2"/>
      <c r="Z808" s="2"/>
      <c r="AA808" s="2"/>
      <c r="AB808" s="2"/>
      <c r="AC808" s="2"/>
    </row>
    <row r="809" spans="1:29" ht="15.75" customHeight="1" x14ac:dyDescent="0.3">
      <c r="A809" s="2"/>
      <c r="C809" s="2"/>
      <c r="D809" s="2"/>
      <c r="E809" s="2"/>
      <c r="F809" s="2"/>
      <c r="G809" s="92"/>
      <c r="H809" s="2"/>
      <c r="I809" s="2"/>
      <c r="J809" s="2"/>
      <c r="K809" s="90"/>
      <c r="L809" s="2"/>
      <c r="N809" s="2"/>
      <c r="O809" s="2"/>
      <c r="P809" s="2"/>
      <c r="Q809" s="2"/>
      <c r="R809" s="2"/>
      <c r="S809" s="2"/>
      <c r="T809" s="2"/>
      <c r="U809" s="222"/>
      <c r="V809" s="2"/>
      <c r="W809" s="2"/>
      <c r="X809" s="2"/>
      <c r="Z809" s="2"/>
      <c r="AA809" s="2"/>
      <c r="AB809" s="2"/>
      <c r="AC809" s="2"/>
    </row>
    <row r="810" spans="1:29" ht="15.75" customHeight="1" x14ac:dyDescent="0.3">
      <c r="A810" s="2"/>
      <c r="C810" s="2"/>
      <c r="D810" s="2"/>
      <c r="E810" s="2"/>
      <c r="F810" s="2"/>
      <c r="G810" s="92"/>
      <c r="H810" s="2"/>
      <c r="I810" s="2"/>
      <c r="J810" s="2"/>
      <c r="K810" s="90"/>
      <c r="L810" s="2"/>
      <c r="N810" s="2"/>
      <c r="O810" s="2"/>
      <c r="P810" s="2"/>
      <c r="Q810" s="2"/>
      <c r="R810" s="2"/>
      <c r="S810" s="2"/>
      <c r="T810" s="2"/>
      <c r="U810" s="222"/>
      <c r="V810" s="2"/>
      <c r="W810" s="2"/>
      <c r="X810" s="2"/>
      <c r="Z810" s="2"/>
      <c r="AA810" s="2"/>
      <c r="AB810" s="2"/>
      <c r="AC810" s="2"/>
    </row>
    <row r="811" spans="1:29" ht="15.75" customHeight="1" x14ac:dyDescent="0.3">
      <c r="A811" s="2"/>
      <c r="C811" s="2"/>
      <c r="D811" s="2"/>
      <c r="E811" s="2"/>
      <c r="F811" s="2"/>
      <c r="G811" s="92"/>
      <c r="H811" s="2"/>
      <c r="I811" s="2"/>
      <c r="J811" s="2"/>
      <c r="K811" s="90"/>
      <c r="L811" s="2"/>
      <c r="N811" s="2"/>
      <c r="O811" s="2"/>
      <c r="P811" s="2"/>
      <c r="Q811" s="2"/>
      <c r="R811" s="2"/>
      <c r="S811" s="2"/>
      <c r="T811" s="2"/>
      <c r="U811" s="222"/>
      <c r="V811" s="2"/>
      <c r="W811" s="2"/>
      <c r="X811" s="2"/>
      <c r="Z811" s="2"/>
      <c r="AA811" s="2"/>
      <c r="AB811" s="2"/>
      <c r="AC811" s="2"/>
    </row>
    <row r="812" spans="1:29" ht="15.75" customHeight="1" x14ac:dyDescent="0.3">
      <c r="A812" s="2"/>
      <c r="C812" s="2"/>
      <c r="D812" s="2"/>
      <c r="E812" s="2"/>
      <c r="F812" s="2"/>
      <c r="G812" s="92"/>
      <c r="H812" s="2"/>
      <c r="I812" s="2"/>
      <c r="J812" s="2"/>
      <c r="K812" s="90"/>
      <c r="L812" s="2"/>
      <c r="N812" s="2"/>
      <c r="O812" s="2"/>
      <c r="P812" s="2"/>
      <c r="Q812" s="2"/>
      <c r="R812" s="2"/>
      <c r="S812" s="2"/>
      <c r="T812" s="2"/>
      <c r="U812" s="222"/>
      <c r="V812" s="2"/>
      <c r="W812" s="2"/>
      <c r="X812" s="2"/>
      <c r="Z812" s="2"/>
      <c r="AA812" s="2"/>
      <c r="AB812" s="2"/>
      <c r="AC812" s="2"/>
    </row>
    <row r="813" spans="1:29" ht="15.75" customHeight="1" x14ac:dyDescent="0.3">
      <c r="A813" s="2"/>
      <c r="C813" s="2"/>
      <c r="D813" s="2"/>
      <c r="E813" s="2"/>
      <c r="F813" s="2"/>
      <c r="G813" s="92"/>
      <c r="H813" s="2"/>
      <c r="I813" s="2"/>
      <c r="J813" s="2"/>
      <c r="K813" s="90"/>
      <c r="L813" s="2"/>
      <c r="N813" s="2"/>
      <c r="O813" s="2"/>
      <c r="P813" s="2"/>
      <c r="Q813" s="2"/>
      <c r="R813" s="2"/>
      <c r="S813" s="2"/>
      <c r="T813" s="2"/>
      <c r="U813" s="222"/>
      <c r="V813" s="2"/>
      <c r="W813" s="2"/>
      <c r="X813" s="2"/>
      <c r="Z813" s="2"/>
      <c r="AA813" s="2"/>
      <c r="AB813" s="2"/>
      <c r="AC813" s="2"/>
    </row>
    <row r="814" spans="1:29" ht="15.75" customHeight="1" x14ac:dyDescent="0.3">
      <c r="A814" s="2"/>
      <c r="C814" s="2"/>
      <c r="D814" s="2"/>
      <c r="E814" s="2"/>
      <c r="F814" s="2"/>
      <c r="G814" s="92"/>
      <c r="H814" s="2"/>
      <c r="I814" s="2"/>
      <c r="J814" s="2"/>
      <c r="K814" s="90"/>
      <c r="L814" s="2"/>
      <c r="N814" s="2"/>
      <c r="O814" s="2"/>
      <c r="P814" s="2"/>
      <c r="Q814" s="2"/>
      <c r="R814" s="2"/>
      <c r="S814" s="2"/>
      <c r="T814" s="2"/>
      <c r="U814" s="222"/>
      <c r="V814" s="2"/>
      <c r="W814" s="2"/>
      <c r="X814" s="2"/>
      <c r="Z814" s="2"/>
      <c r="AA814" s="2"/>
      <c r="AB814" s="2"/>
      <c r="AC814" s="2"/>
    </row>
    <row r="815" spans="1:29" ht="15.75" customHeight="1" x14ac:dyDescent="0.3">
      <c r="A815" s="2"/>
      <c r="C815" s="2"/>
      <c r="D815" s="2"/>
      <c r="E815" s="2"/>
      <c r="F815" s="2"/>
      <c r="G815" s="92"/>
      <c r="H815" s="2"/>
      <c r="I815" s="2"/>
      <c r="J815" s="2"/>
      <c r="K815" s="90"/>
      <c r="L815" s="2"/>
      <c r="N815" s="2"/>
      <c r="O815" s="2"/>
      <c r="P815" s="2"/>
      <c r="Q815" s="2"/>
      <c r="R815" s="2"/>
      <c r="S815" s="2"/>
      <c r="T815" s="2"/>
      <c r="U815" s="222"/>
      <c r="V815" s="2"/>
      <c r="W815" s="2"/>
      <c r="X815" s="2"/>
      <c r="Z815" s="2"/>
      <c r="AA815" s="2"/>
      <c r="AB815" s="2"/>
      <c r="AC815" s="2"/>
    </row>
    <row r="816" spans="1:29" ht="15.75" customHeight="1" x14ac:dyDescent="0.3">
      <c r="A816" s="2"/>
      <c r="C816" s="2"/>
      <c r="D816" s="2"/>
      <c r="E816" s="2"/>
      <c r="F816" s="2"/>
      <c r="G816" s="92"/>
      <c r="H816" s="2"/>
      <c r="I816" s="2"/>
      <c r="J816" s="2"/>
      <c r="K816" s="90"/>
      <c r="L816" s="2"/>
      <c r="N816" s="2"/>
      <c r="O816" s="2"/>
      <c r="P816" s="2"/>
      <c r="Q816" s="2"/>
      <c r="R816" s="2"/>
      <c r="S816" s="2"/>
      <c r="T816" s="2"/>
      <c r="U816" s="222"/>
      <c r="V816" s="2"/>
      <c r="W816" s="2"/>
      <c r="X816" s="2"/>
      <c r="Z816" s="2"/>
      <c r="AA816" s="2"/>
      <c r="AB816" s="2"/>
      <c r="AC816" s="2"/>
    </row>
    <row r="817" spans="1:29" ht="15.75" customHeight="1" x14ac:dyDescent="0.3">
      <c r="A817" s="2"/>
      <c r="C817" s="2"/>
      <c r="D817" s="2"/>
      <c r="E817" s="2"/>
      <c r="F817" s="2"/>
      <c r="G817" s="92"/>
      <c r="H817" s="2"/>
      <c r="I817" s="2"/>
      <c r="J817" s="2"/>
      <c r="K817" s="90"/>
      <c r="L817" s="2"/>
      <c r="N817" s="2"/>
      <c r="O817" s="2"/>
      <c r="P817" s="2"/>
      <c r="Q817" s="2"/>
      <c r="R817" s="2"/>
      <c r="S817" s="2"/>
      <c r="T817" s="2"/>
      <c r="U817" s="222"/>
      <c r="V817" s="2"/>
      <c r="W817" s="2"/>
      <c r="X817" s="2"/>
      <c r="Z817" s="2"/>
      <c r="AA817" s="2"/>
      <c r="AB817" s="2"/>
      <c r="AC817" s="2"/>
    </row>
    <row r="818" spans="1:29" ht="15.75" customHeight="1" x14ac:dyDescent="0.3">
      <c r="A818" s="2"/>
      <c r="C818" s="2"/>
      <c r="D818" s="2"/>
      <c r="E818" s="2"/>
      <c r="F818" s="2"/>
      <c r="G818" s="92"/>
      <c r="H818" s="2"/>
      <c r="I818" s="2"/>
      <c r="J818" s="2"/>
      <c r="K818" s="90"/>
      <c r="L818" s="2"/>
      <c r="N818" s="2"/>
      <c r="O818" s="2"/>
      <c r="P818" s="2"/>
      <c r="Q818" s="2"/>
      <c r="R818" s="2"/>
      <c r="S818" s="2"/>
      <c r="T818" s="2"/>
      <c r="U818" s="222"/>
      <c r="V818" s="2"/>
      <c r="W818" s="2"/>
      <c r="X818" s="2"/>
      <c r="Z818" s="2"/>
      <c r="AA818" s="2"/>
      <c r="AB818" s="2"/>
      <c r="AC818" s="2"/>
    </row>
    <row r="819" spans="1:29" ht="15.75" customHeight="1" x14ac:dyDescent="0.3">
      <c r="A819" s="2"/>
      <c r="C819" s="2"/>
      <c r="D819" s="2"/>
      <c r="E819" s="2"/>
      <c r="F819" s="2"/>
      <c r="G819" s="92"/>
      <c r="H819" s="2"/>
      <c r="I819" s="2"/>
      <c r="J819" s="2"/>
      <c r="K819" s="90"/>
      <c r="L819" s="2"/>
      <c r="N819" s="2"/>
      <c r="O819" s="2"/>
      <c r="P819" s="2"/>
      <c r="Q819" s="2"/>
      <c r="R819" s="2"/>
      <c r="S819" s="2"/>
      <c r="T819" s="2"/>
      <c r="U819" s="222"/>
      <c r="V819" s="2"/>
      <c r="W819" s="2"/>
      <c r="X819" s="2"/>
      <c r="Z819" s="2"/>
      <c r="AA819" s="2"/>
      <c r="AB819" s="2"/>
      <c r="AC819" s="2"/>
    </row>
    <row r="820" spans="1:29" ht="15.75" customHeight="1" x14ac:dyDescent="0.3">
      <c r="A820" s="2"/>
      <c r="C820" s="2"/>
      <c r="D820" s="2"/>
      <c r="E820" s="2"/>
      <c r="F820" s="2"/>
      <c r="G820" s="92"/>
      <c r="H820" s="2"/>
      <c r="I820" s="2"/>
      <c r="J820" s="2"/>
      <c r="K820" s="90"/>
      <c r="L820" s="2"/>
      <c r="N820" s="2"/>
      <c r="O820" s="2"/>
      <c r="P820" s="2"/>
      <c r="Q820" s="2"/>
      <c r="R820" s="2"/>
      <c r="S820" s="2"/>
      <c r="T820" s="2"/>
      <c r="U820" s="222"/>
      <c r="V820" s="2"/>
      <c r="W820" s="2"/>
      <c r="X820" s="2"/>
      <c r="Z820" s="2"/>
      <c r="AA820" s="2"/>
      <c r="AB820" s="2"/>
      <c r="AC820" s="2"/>
    </row>
    <row r="821" spans="1:29" ht="15.75" customHeight="1" x14ac:dyDescent="0.3">
      <c r="A821" s="2"/>
      <c r="C821" s="2"/>
      <c r="D821" s="2"/>
      <c r="E821" s="2"/>
      <c r="F821" s="2"/>
      <c r="G821" s="92"/>
      <c r="H821" s="2"/>
      <c r="I821" s="2"/>
      <c r="J821" s="2"/>
      <c r="K821" s="90"/>
      <c r="L821" s="2"/>
      <c r="N821" s="2"/>
      <c r="O821" s="2"/>
      <c r="P821" s="2"/>
      <c r="Q821" s="2"/>
      <c r="R821" s="2"/>
      <c r="S821" s="2"/>
      <c r="T821" s="2"/>
      <c r="U821" s="222"/>
      <c r="V821" s="2"/>
      <c r="W821" s="2"/>
      <c r="X821" s="2"/>
      <c r="Z821" s="2"/>
      <c r="AA821" s="2"/>
      <c r="AB821" s="2"/>
      <c r="AC821" s="2"/>
    </row>
    <row r="822" spans="1:29" ht="15.75" customHeight="1" x14ac:dyDescent="0.3">
      <c r="A822" s="2"/>
      <c r="C822" s="2"/>
      <c r="D822" s="2"/>
      <c r="E822" s="2"/>
      <c r="F822" s="2"/>
      <c r="G822" s="92"/>
      <c r="H822" s="2"/>
      <c r="I822" s="2"/>
      <c r="J822" s="2"/>
      <c r="K822" s="90"/>
      <c r="L822" s="2"/>
      <c r="N822" s="2"/>
      <c r="O822" s="2"/>
      <c r="P822" s="2"/>
      <c r="Q822" s="2"/>
      <c r="R822" s="2"/>
      <c r="S822" s="2"/>
      <c r="T822" s="2"/>
      <c r="U822" s="222"/>
      <c r="V822" s="2"/>
      <c r="W822" s="2"/>
      <c r="X822" s="2"/>
      <c r="Z822" s="2"/>
      <c r="AA822" s="2"/>
      <c r="AB822" s="2"/>
      <c r="AC822" s="2"/>
    </row>
    <row r="823" spans="1:29" ht="15.75" customHeight="1" x14ac:dyDescent="0.3">
      <c r="A823" s="2"/>
      <c r="C823" s="2"/>
      <c r="D823" s="2"/>
      <c r="E823" s="2"/>
      <c r="F823" s="2"/>
      <c r="G823" s="92"/>
      <c r="H823" s="2"/>
      <c r="I823" s="2"/>
      <c r="J823" s="2"/>
      <c r="K823" s="90"/>
      <c r="L823" s="2"/>
      <c r="N823" s="2"/>
      <c r="O823" s="2"/>
      <c r="P823" s="2"/>
      <c r="Q823" s="2"/>
      <c r="R823" s="2"/>
      <c r="S823" s="2"/>
      <c r="T823" s="2"/>
      <c r="U823" s="222"/>
      <c r="V823" s="2"/>
      <c r="W823" s="2"/>
      <c r="X823" s="2"/>
      <c r="Z823" s="2"/>
      <c r="AA823" s="2"/>
      <c r="AB823" s="2"/>
      <c r="AC823" s="2"/>
    </row>
    <row r="824" spans="1:29" ht="15.75" customHeight="1" x14ac:dyDescent="0.3">
      <c r="A824" s="2"/>
      <c r="C824" s="2"/>
      <c r="D824" s="2"/>
      <c r="E824" s="2"/>
      <c r="F824" s="2"/>
      <c r="G824" s="92"/>
      <c r="H824" s="2"/>
      <c r="I824" s="2"/>
      <c r="J824" s="2"/>
      <c r="K824" s="90"/>
      <c r="L824" s="2"/>
      <c r="N824" s="2"/>
      <c r="O824" s="2"/>
      <c r="P824" s="2"/>
      <c r="Q824" s="2"/>
      <c r="R824" s="2"/>
      <c r="S824" s="2"/>
      <c r="T824" s="2"/>
      <c r="U824" s="222"/>
      <c r="V824" s="2"/>
      <c r="W824" s="2"/>
      <c r="X824" s="2"/>
      <c r="Z824" s="2"/>
      <c r="AA824" s="2"/>
      <c r="AB824" s="2"/>
      <c r="AC824" s="2"/>
    </row>
    <row r="825" spans="1:29" ht="15.75" customHeight="1" x14ac:dyDescent="0.3">
      <c r="A825" s="2"/>
      <c r="C825" s="2"/>
      <c r="D825" s="2"/>
      <c r="E825" s="2"/>
      <c r="F825" s="2"/>
      <c r="G825" s="92"/>
      <c r="H825" s="2"/>
      <c r="I825" s="2"/>
      <c r="J825" s="2"/>
      <c r="K825" s="90"/>
      <c r="L825" s="2"/>
      <c r="N825" s="2"/>
      <c r="O825" s="2"/>
      <c r="P825" s="2"/>
      <c r="Q825" s="2"/>
      <c r="R825" s="2"/>
      <c r="S825" s="2"/>
      <c r="T825" s="2"/>
      <c r="U825" s="222"/>
      <c r="V825" s="2"/>
      <c r="W825" s="2"/>
      <c r="X825" s="2"/>
      <c r="Z825" s="2"/>
      <c r="AA825" s="2"/>
      <c r="AB825" s="2"/>
      <c r="AC825" s="2"/>
    </row>
    <row r="826" spans="1:29" ht="15.75" customHeight="1" x14ac:dyDescent="0.3">
      <c r="A826" s="2"/>
      <c r="C826" s="2"/>
      <c r="D826" s="2"/>
      <c r="E826" s="2"/>
      <c r="F826" s="2"/>
      <c r="G826" s="92"/>
      <c r="H826" s="2"/>
      <c r="I826" s="2"/>
      <c r="J826" s="2"/>
      <c r="K826" s="90"/>
      <c r="L826" s="2"/>
      <c r="N826" s="2"/>
      <c r="O826" s="2"/>
      <c r="P826" s="2"/>
      <c r="Q826" s="2"/>
      <c r="R826" s="2"/>
      <c r="S826" s="2"/>
      <c r="T826" s="2"/>
      <c r="U826" s="222"/>
      <c r="V826" s="2"/>
      <c r="W826" s="2"/>
      <c r="X826" s="2"/>
      <c r="Z826" s="2"/>
      <c r="AA826" s="2"/>
      <c r="AB826" s="2"/>
      <c r="AC826" s="2"/>
    </row>
    <row r="827" spans="1:29" ht="15.75" customHeight="1" x14ac:dyDescent="0.3">
      <c r="A827" s="2"/>
      <c r="C827" s="2"/>
      <c r="D827" s="2"/>
      <c r="E827" s="2"/>
      <c r="F827" s="2"/>
      <c r="G827" s="92"/>
      <c r="H827" s="2"/>
      <c r="I827" s="2"/>
      <c r="J827" s="2"/>
      <c r="K827" s="90"/>
      <c r="L827" s="2"/>
      <c r="N827" s="2"/>
      <c r="O827" s="2"/>
      <c r="P827" s="2"/>
      <c r="Q827" s="2"/>
      <c r="R827" s="2"/>
      <c r="S827" s="2"/>
      <c r="T827" s="2"/>
      <c r="U827" s="222"/>
      <c r="V827" s="2"/>
      <c r="W827" s="2"/>
      <c r="X827" s="2"/>
      <c r="Z827" s="2"/>
      <c r="AA827" s="2"/>
      <c r="AB827" s="2"/>
      <c r="AC827" s="2"/>
    </row>
    <row r="828" spans="1:29" ht="15.75" customHeight="1" x14ac:dyDescent="0.3">
      <c r="A828" s="2"/>
      <c r="C828" s="2"/>
      <c r="D828" s="2"/>
      <c r="E828" s="2"/>
      <c r="F828" s="2"/>
      <c r="G828" s="92"/>
      <c r="H828" s="2"/>
      <c r="I828" s="2"/>
      <c r="J828" s="2"/>
      <c r="K828" s="90"/>
      <c r="L828" s="2"/>
      <c r="N828" s="2"/>
      <c r="O828" s="2"/>
      <c r="P828" s="2"/>
      <c r="Q828" s="2"/>
      <c r="R828" s="2"/>
      <c r="S828" s="2"/>
      <c r="T828" s="2"/>
      <c r="U828" s="222"/>
      <c r="V828" s="2"/>
      <c r="W828" s="2"/>
      <c r="X828" s="2"/>
      <c r="Z828" s="2"/>
      <c r="AA828" s="2"/>
      <c r="AB828" s="2"/>
      <c r="AC828" s="2"/>
    </row>
    <row r="829" spans="1:29" ht="15.75" customHeight="1" x14ac:dyDescent="0.3">
      <c r="A829" s="2"/>
      <c r="C829" s="2"/>
      <c r="D829" s="2"/>
      <c r="E829" s="2"/>
      <c r="F829" s="2"/>
      <c r="G829" s="92"/>
      <c r="H829" s="2"/>
      <c r="I829" s="2"/>
      <c r="J829" s="2"/>
      <c r="K829" s="90"/>
      <c r="L829" s="2"/>
      <c r="N829" s="2"/>
      <c r="O829" s="2"/>
      <c r="P829" s="2"/>
      <c r="Q829" s="2"/>
      <c r="R829" s="2"/>
      <c r="S829" s="2"/>
      <c r="T829" s="2"/>
      <c r="U829" s="222"/>
      <c r="V829" s="2"/>
      <c r="W829" s="2"/>
      <c r="X829" s="2"/>
      <c r="Z829" s="2"/>
      <c r="AA829" s="2"/>
      <c r="AB829" s="2"/>
      <c r="AC829" s="2"/>
    </row>
    <row r="830" spans="1:29" ht="15.75" customHeight="1" x14ac:dyDescent="0.3">
      <c r="A830" s="2"/>
      <c r="C830" s="2"/>
      <c r="D830" s="2"/>
      <c r="E830" s="2"/>
      <c r="F830" s="2"/>
      <c r="G830" s="92"/>
      <c r="H830" s="2"/>
      <c r="I830" s="2"/>
      <c r="J830" s="2"/>
      <c r="K830" s="90"/>
      <c r="L830" s="2"/>
      <c r="N830" s="2"/>
      <c r="O830" s="2"/>
      <c r="P830" s="2"/>
      <c r="Q830" s="2"/>
      <c r="R830" s="2"/>
      <c r="S830" s="2"/>
      <c r="T830" s="2"/>
      <c r="U830" s="222"/>
      <c r="V830" s="2"/>
      <c r="W830" s="2"/>
      <c r="X830" s="2"/>
      <c r="Z830" s="2"/>
      <c r="AA830" s="2"/>
      <c r="AB830" s="2"/>
      <c r="AC830" s="2"/>
    </row>
    <row r="831" spans="1:29" ht="15.75" customHeight="1" x14ac:dyDescent="0.3">
      <c r="A831" s="2"/>
      <c r="C831" s="2"/>
      <c r="D831" s="2"/>
      <c r="E831" s="2"/>
      <c r="F831" s="2"/>
      <c r="G831" s="92"/>
      <c r="H831" s="2"/>
      <c r="I831" s="2"/>
      <c r="J831" s="2"/>
      <c r="K831" s="90"/>
      <c r="L831" s="2"/>
      <c r="N831" s="2"/>
      <c r="O831" s="2"/>
      <c r="P831" s="2"/>
      <c r="Q831" s="2"/>
      <c r="R831" s="2"/>
      <c r="S831" s="2"/>
      <c r="T831" s="2"/>
      <c r="U831" s="222"/>
      <c r="V831" s="2"/>
      <c r="W831" s="2"/>
      <c r="X831" s="2"/>
      <c r="Z831" s="2"/>
      <c r="AA831" s="2"/>
      <c r="AB831" s="2"/>
      <c r="AC831" s="2"/>
    </row>
    <row r="832" spans="1:29" ht="15.75" customHeight="1" x14ac:dyDescent="0.3">
      <c r="A832" s="2"/>
      <c r="C832" s="2"/>
      <c r="D832" s="2"/>
      <c r="E832" s="2"/>
      <c r="F832" s="2"/>
      <c r="G832" s="92"/>
      <c r="H832" s="2"/>
      <c r="I832" s="2"/>
      <c r="J832" s="2"/>
      <c r="K832" s="90"/>
      <c r="L832" s="2"/>
      <c r="N832" s="2"/>
      <c r="O832" s="2"/>
      <c r="P832" s="2"/>
      <c r="Q832" s="2"/>
      <c r="R832" s="2"/>
      <c r="S832" s="2"/>
      <c r="T832" s="2"/>
      <c r="U832" s="222"/>
      <c r="V832" s="2"/>
      <c r="W832" s="2"/>
      <c r="X832" s="2"/>
      <c r="Z832" s="2"/>
      <c r="AA832" s="2"/>
      <c r="AB832" s="2"/>
      <c r="AC832" s="2"/>
    </row>
    <row r="833" spans="1:29" ht="15.75" customHeight="1" x14ac:dyDescent="0.3">
      <c r="A833" s="2"/>
      <c r="C833" s="2"/>
      <c r="D833" s="2"/>
      <c r="E833" s="2"/>
      <c r="F833" s="2"/>
      <c r="G833" s="92"/>
      <c r="H833" s="2"/>
      <c r="I833" s="2"/>
      <c r="J833" s="2"/>
      <c r="K833" s="90"/>
      <c r="L833" s="2"/>
      <c r="N833" s="2"/>
      <c r="O833" s="2"/>
      <c r="P833" s="2"/>
      <c r="Q833" s="2"/>
      <c r="R833" s="2"/>
      <c r="S833" s="2"/>
      <c r="T833" s="2"/>
      <c r="U833" s="222"/>
      <c r="V833" s="2"/>
      <c r="W833" s="2"/>
      <c r="X833" s="2"/>
      <c r="Z833" s="2"/>
      <c r="AA833" s="2"/>
      <c r="AB833" s="2"/>
      <c r="AC833" s="2"/>
    </row>
    <row r="834" spans="1:29" ht="15.75" customHeight="1" x14ac:dyDescent="0.3">
      <c r="A834" s="2"/>
      <c r="C834" s="2"/>
      <c r="D834" s="2"/>
      <c r="E834" s="2"/>
      <c r="F834" s="2"/>
      <c r="G834" s="92"/>
      <c r="H834" s="2"/>
      <c r="I834" s="2"/>
      <c r="J834" s="2"/>
      <c r="K834" s="90"/>
      <c r="L834" s="2"/>
      <c r="N834" s="2"/>
      <c r="O834" s="2"/>
      <c r="P834" s="2"/>
      <c r="Q834" s="2"/>
      <c r="R834" s="2"/>
      <c r="S834" s="2"/>
      <c r="T834" s="2"/>
      <c r="U834" s="222"/>
      <c r="V834" s="2"/>
      <c r="W834" s="2"/>
      <c r="X834" s="2"/>
      <c r="Z834" s="2"/>
      <c r="AA834" s="2"/>
      <c r="AB834" s="2"/>
      <c r="AC834" s="2"/>
    </row>
    <row r="835" spans="1:29" ht="15.75" customHeight="1" x14ac:dyDescent="0.3">
      <c r="A835" s="2"/>
      <c r="C835" s="2"/>
      <c r="D835" s="2"/>
      <c r="E835" s="2"/>
      <c r="F835" s="2"/>
      <c r="G835" s="92"/>
      <c r="H835" s="2"/>
      <c r="I835" s="2"/>
      <c r="J835" s="2"/>
      <c r="K835" s="90"/>
      <c r="L835" s="2"/>
      <c r="N835" s="2"/>
      <c r="O835" s="2"/>
      <c r="P835" s="2"/>
      <c r="Q835" s="2"/>
      <c r="R835" s="2"/>
      <c r="S835" s="2"/>
      <c r="T835" s="2"/>
      <c r="U835" s="222"/>
      <c r="V835" s="2"/>
      <c r="W835" s="2"/>
      <c r="X835" s="2"/>
      <c r="Z835" s="2"/>
      <c r="AA835" s="2"/>
      <c r="AB835" s="2"/>
      <c r="AC835" s="2"/>
    </row>
    <row r="836" spans="1:29" ht="15.75" customHeight="1" x14ac:dyDescent="0.3">
      <c r="A836" s="2"/>
      <c r="C836" s="2"/>
      <c r="D836" s="2"/>
      <c r="E836" s="2"/>
      <c r="F836" s="2"/>
      <c r="G836" s="92"/>
      <c r="H836" s="2"/>
      <c r="I836" s="2"/>
      <c r="J836" s="2"/>
      <c r="K836" s="90"/>
      <c r="L836" s="2"/>
      <c r="N836" s="2"/>
      <c r="O836" s="2"/>
      <c r="P836" s="2"/>
      <c r="Q836" s="2"/>
      <c r="R836" s="2"/>
      <c r="S836" s="2"/>
      <c r="T836" s="2"/>
      <c r="U836" s="222"/>
      <c r="V836" s="2"/>
      <c r="W836" s="2"/>
      <c r="X836" s="2"/>
      <c r="Z836" s="2"/>
      <c r="AA836" s="2"/>
      <c r="AB836" s="2"/>
      <c r="AC836" s="2"/>
    </row>
    <row r="837" spans="1:29" ht="15.75" customHeight="1" x14ac:dyDescent="0.3">
      <c r="A837" s="2"/>
      <c r="C837" s="2"/>
      <c r="D837" s="2"/>
      <c r="E837" s="2"/>
      <c r="F837" s="2"/>
      <c r="G837" s="92"/>
      <c r="H837" s="2"/>
      <c r="I837" s="2"/>
      <c r="J837" s="2"/>
      <c r="K837" s="90"/>
      <c r="L837" s="2"/>
      <c r="N837" s="2"/>
      <c r="O837" s="2"/>
      <c r="P837" s="2"/>
      <c r="Q837" s="2"/>
      <c r="R837" s="2"/>
      <c r="S837" s="2"/>
      <c r="T837" s="2"/>
      <c r="U837" s="222"/>
      <c r="V837" s="2"/>
      <c r="W837" s="2"/>
      <c r="X837" s="2"/>
      <c r="Z837" s="2"/>
      <c r="AA837" s="2"/>
      <c r="AB837" s="2"/>
      <c r="AC837" s="2"/>
    </row>
    <row r="838" spans="1:29" ht="15.75" customHeight="1" x14ac:dyDescent="0.3">
      <c r="A838" s="2"/>
      <c r="C838" s="2"/>
      <c r="D838" s="2"/>
      <c r="E838" s="2"/>
      <c r="F838" s="2"/>
      <c r="G838" s="92"/>
      <c r="H838" s="2"/>
      <c r="I838" s="2"/>
      <c r="J838" s="2"/>
      <c r="K838" s="90"/>
      <c r="L838" s="2"/>
      <c r="N838" s="2"/>
      <c r="O838" s="2"/>
      <c r="P838" s="2"/>
      <c r="Q838" s="2"/>
      <c r="R838" s="2"/>
      <c r="S838" s="2"/>
      <c r="T838" s="2"/>
      <c r="U838" s="222"/>
      <c r="V838" s="2"/>
      <c r="W838" s="2"/>
      <c r="X838" s="2"/>
      <c r="Z838" s="2"/>
      <c r="AA838" s="2"/>
      <c r="AB838" s="2"/>
      <c r="AC838" s="2"/>
    </row>
    <row r="839" spans="1:29" ht="15.75" customHeight="1" x14ac:dyDescent="0.3">
      <c r="A839" s="2"/>
      <c r="C839" s="2"/>
      <c r="D839" s="2"/>
      <c r="E839" s="2"/>
      <c r="F839" s="2"/>
      <c r="G839" s="92"/>
      <c r="H839" s="2"/>
      <c r="I839" s="2"/>
      <c r="J839" s="2"/>
      <c r="K839" s="90"/>
      <c r="L839" s="2"/>
      <c r="N839" s="2"/>
      <c r="O839" s="2"/>
      <c r="P839" s="2"/>
      <c r="Q839" s="2"/>
      <c r="R839" s="2"/>
      <c r="S839" s="2"/>
      <c r="T839" s="2"/>
      <c r="U839" s="222"/>
      <c r="V839" s="2"/>
      <c r="W839" s="2"/>
      <c r="X839" s="2"/>
      <c r="Z839" s="2"/>
      <c r="AA839" s="2"/>
      <c r="AB839" s="2"/>
      <c r="AC839" s="2"/>
    </row>
    <row r="840" spans="1:29" ht="15.75" customHeight="1" x14ac:dyDescent="0.3">
      <c r="A840" s="2"/>
      <c r="C840" s="2"/>
      <c r="D840" s="2"/>
      <c r="E840" s="2"/>
      <c r="F840" s="2"/>
      <c r="G840" s="92"/>
      <c r="H840" s="2"/>
      <c r="I840" s="2"/>
      <c r="J840" s="2"/>
      <c r="K840" s="90"/>
      <c r="L840" s="2"/>
      <c r="N840" s="2"/>
      <c r="O840" s="2"/>
      <c r="P840" s="2"/>
      <c r="Q840" s="2"/>
      <c r="R840" s="2"/>
      <c r="S840" s="2"/>
      <c r="T840" s="2"/>
      <c r="U840" s="222"/>
      <c r="V840" s="2"/>
      <c r="W840" s="2"/>
      <c r="X840" s="2"/>
      <c r="Z840" s="2"/>
      <c r="AA840" s="2"/>
      <c r="AB840" s="2"/>
      <c r="AC840" s="2"/>
    </row>
    <row r="841" spans="1:29" ht="15.75" customHeight="1" x14ac:dyDescent="0.3">
      <c r="A841" s="2"/>
      <c r="C841" s="2"/>
      <c r="D841" s="2"/>
      <c r="E841" s="2"/>
      <c r="F841" s="2"/>
      <c r="G841" s="92"/>
      <c r="H841" s="2"/>
      <c r="I841" s="2"/>
      <c r="J841" s="2"/>
      <c r="K841" s="90"/>
      <c r="L841" s="2"/>
      <c r="N841" s="2"/>
      <c r="O841" s="2"/>
      <c r="P841" s="2"/>
      <c r="Q841" s="2"/>
      <c r="R841" s="2"/>
      <c r="S841" s="2"/>
      <c r="T841" s="2"/>
      <c r="U841" s="222"/>
      <c r="V841" s="2"/>
      <c r="W841" s="2"/>
      <c r="X841" s="2"/>
      <c r="Z841" s="2"/>
      <c r="AA841" s="2"/>
      <c r="AB841" s="2"/>
      <c r="AC841" s="2"/>
    </row>
    <row r="842" spans="1:29" ht="15.75" customHeight="1" x14ac:dyDescent="0.3">
      <c r="A842" s="2"/>
      <c r="C842" s="2"/>
      <c r="D842" s="2"/>
      <c r="E842" s="2"/>
      <c r="F842" s="2"/>
      <c r="G842" s="92"/>
      <c r="H842" s="2"/>
      <c r="I842" s="2"/>
      <c r="J842" s="2"/>
      <c r="K842" s="90"/>
      <c r="L842" s="2"/>
      <c r="N842" s="2"/>
      <c r="O842" s="2"/>
      <c r="P842" s="2"/>
      <c r="Q842" s="2"/>
      <c r="R842" s="2"/>
      <c r="S842" s="2"/>
      <c r="T842" s="2"/>
      <c r="U842" s="222"/>
      <c r="V842" s="2"/>
      <c r="W842" s="2"/>
      <c r="X842" s="2"/>
      <c r="Z842" s="2"/>
      <c r="AA842" s="2"/>
      <c r="AB842" s="2"/>
      <c r="AC842" s="2"/>
    </row>
    <row r="843" spans="1:29" ht="15.75" customHeight="1" x14ac:dyDescent="0.3">
      <c r="A843" s="2"/>
      <c r="C843" s="2"/>
      <c r="D843" s="2"/>
      <c r="E843" s="2"/>
      <c r="F843" s="2"/>
      <c r="G843" s="92"/>
      <c r="H843" s="2"/>
      <c r="I843" s="2"/>
      <c r="J843" s="2"/>
      <c r="K843" s="90"/>
      <c r="L843" s="2"/>
      <c r="N843" s="2"/>
      <c r="O843" s="2"/>
      <c r="P843" s="2"/>
      <c r="Q843" s="2"/>
      <c r="R843" s="2"/>
      <c r="S843" s="2"/>
      <c r="T843" s="2"/>
      <c r="U843" s="222"/>
      <c r="V843" s="2"/>
      <c r="W843" s="2"/>
      <c r="X843" s="2"/>
      <c r="Z843" s="2"/>
      <c r="AA843" s="2"/>
      <c r="AB843" s="2"/>
      <c r="AC843" s="2"/>
    </row>
    <row r="844" spans="1:29" ht="15.75" customHeight="1" x14ac:dyDescent="0.3">
      <c r="A844" s="2"/>
      <c r="C844" s="2"/>
      <c r="D844" s="2"/>
      <c r="E844" s="2"/>
      <c r="F844" s="2"/>
      <c r="G844" s="92"/>
      <c r="H844" s="2"/>
      <c r="I844" s="2"/>
      <c r="J844" s="2"/>
      <c r="K844" s="90"/>
      <c r="L844" s="2"/>
      <c r="N844" s="2"/>
      <c r="O844" s="2"/>
      <c r="P844" s="2"/>
      <c r="Q844" s="2"/>
      <c r="R844" s="2"/>
      <c r="S844" s="2"/>
      <c r="T844" s="2"/>
      <c r="U844" s="222"/>
      <c r="V844" s="2"/>
      <c r="W844" s="2"/>
      <c r="X844" s="2"/>
      <c r="Z844" s="2"/>
      <c r="AA844" s="2"/>
      <c r="AB844" s="2"/>
      <c r="AC844" s="2"/>
    </row>
    <row r="845" spans="1:29" ht="15.75" customHeight="1" x14ac:dyDescent="0.3">
      <c r="A845" s="2"/>
      <c r="C845" s="2"/>
      <c r="D845" s="2"/>
      <c r="E845" s="2"/>
      <c r="F845" s="2"/>
      <c r="G845" s="92"/>
      <c r="H845" s="2"/>
      <c r="I845" s="2"/>
      <c r="J845" s="2"/>
      <c r="K845" s="90"/>
      <c r="L845" s="2"/>
      <c r="N845" s="2"/>
      <c r="O845" s="2"/>
      <c r="P845" s="2"/>
      <c r="Q845" s="2"/>
      <c r="R845" s="2"/>
      <c r="S845" s="2"/>
      <c r="T845" s="2"/>
      <c r="U845" s="222"/>
      <c r="V845" s="2"/>
      <c r="W845" s="2"/>
      <c r="X845" s="2"/>
      <c r="Z845" s="2"/>
      <c r="AA845" s="2"/>
      <c r="AB845" s="2"/>
      <c r="AC845" s="2"/>
    </row>
    <row r="846" spans="1:29" ht="15.75" customHeight="1" x14ac:dyDescent="0.3">
      <c r="A846" s="2"/>
      <c r="C846" s="2"/>
      <c r="D846" s="2"/>
      <c r="E846" s="2"/>
      <c r="F846" s="2"/>
      <c r="G846" s="92"/>
      <c r="H846" s="2"/>
      <c r="I846" s="2"/>
      <c r="J846" s="2"/>
      <c r="K846" s="90"/>
      <c r="L846" s="2"/>
      <c r="N846" s="2"/>
      <c r="O846" s="2"/>
      <c r="P846" s="2"/>
      <c r="Q846" s="2"/>
      <c r="R846" s="2"/>
      <c r="S846" s="2"/>
      <c r="T846" s="2"/>
      <c r="U846" s="222"/>
      <c r="V846" s="2"/>
      <c r="W846" s="2"/>
      <c r="X846" s="2"/>
      <c r="Z846" s="2"/>
      <c r="AA846" s="2"/>
      <c r="AB846" s="2"/>
      <c r="AC846" s="2"/>
    </row>
    <row r="847" spans="1:29" ht="15.75" customHeight="1" x14ac:dyDescent="0.3">
      <c r="A847" s="2"/>
      <c r="C847" s="2"/>
      <c r="D847" s="2"/>
      <c r="E847" s="2"/>
      <c r="F847" s="2"/>
      <c r="G847" s="92"/>
      <c r="H847" s="2"/>
      <c r="I847" s="2"/>
      <c r="J847" s="2"/>
      <c r="K847" s="90"/>
      <c r="L847" s="2"/>
      <c r="N847" s="2"/>
      <c r="O847" s="2"/>
      <c r="P847" s="2"/>
      <c r="Q847" s="2"/>
      <c r="R847" s="2"/>
      <c r="S847" s="2"/>
      <c r="T847" s="2"/>
      <c r="U847" s="222"/>
      <c r="V847" s="2"/>
      <c r="W847" s="2"/>
      <c r="X847" s="2"/>
      <c r="Z847" s="2"/>
      <c r="AA847" s="2"/>
      <c r="AB847" s="2"/>
      <c r="AC847" s="2"/>
    </row>
    <row r="848" spans="1:29" ht="15.75" customHeight="1" x14ac:dyDescent="0.3">
      <c r="A848" s="2"/>
      <c r="C848" s="2"/>
      <c r="D848" s="2"/>
      <c r="E848" s="2"/>
      <c r="F848" s="2"/>
      <c r="G848" s="92"/>
      <c r="H848" s="2"/>
      <c r="I848" s="2"/>
      <c r="J848" s="2"/>
      <c r="K848" s="90"/>
      <c r="L848" s="2"/>
      <c r="N848" s="2"/>
      <c r="O848" s="2"/>
      <c r="P848" s="2"/>
      <c r="Q848" s="2"/>
      <c r="R848" s="2"/>
      <c r="S848" s="2"/>
      <c r="T848" s="2"/>
      <c r="U848" s="222"/>
      <c r="V848" s="2"/>
      <c r="W848" s="2"/>
      <c r="X848" s="2"/>
      <c r="Z848" s="2"/>
      <c r="AA848" s="2"/>
      <c r="AB848" s="2"/>
      <c r="AC848" s="2"/>
    </row>
    <row r="849" spans="1:29" ht="15.75" customHeight="1" x14ac:dyDescent="0.3">
      <c r="A849" s="2"/>
      <c r="C849" s="2"/>
      <c r="D849" s="2"/>
      <c r="E849" s="2"/>
      <c r="F849" s="2"/>
      <c r="G849" s="92"/>
      <c r="H849" s="2"/>
      <c r="I849" s="2"/>
      <c r="J849" s="2"/>
      <c r="K849" s="90"/>
      <c r="L849" s="2"/>
      <c r="N849" s="2"/>
      <c r="O849" s="2"/>
      <c r="P849" s="2"/>
      <c r="Q849" s="2"/>
      <c r="R849" s="2"/>
      <c r="S849" s="2"/>
      <c r="T849" s="2"/>
      <c r="U849" s="222"/>
      <c r="V849" s="2"/>
      <c r="W849" s="2"/>
      <c r="X849" s="2"/>
      <c r="Z849" s="2"/>
      <c r="AA849" s="2"/>
      <c r="AB849" s="2"/>
      <c r="AC849" s="2"/>
    </row>
    <row r="850" spans="1:29" ht="15.75" customHeight="1" x14ac:dyDescent="0.3">
      <c r="A850" s="2"/>
      <c r="C850" s="2"/>
      <c r="D850" s="2"/>
      <c r="E850" s="2"/>
      <c r="F850" s="2"/>
      <c r="G850" s="92"/>
      <c r="H850" s="2"/>
      <c r="I850" s="2"/>
      <c r="J850" s="2"/>
      <c r="K850" s="90"/>
      <c r="L850" s="2"/>
      <c r="N850" s="2"/>
      <c r="O850" s="2"/>
      <c r="P850" s="2"/>
      <c r="Q850" s="2"/>
      <c r="R850" s="2"/>
      <c r="S850" s="2"/>
      <c r="T850" s="2"/>
      <c r="U850" s="222"/>
      <c r="V850" s="2"/>
      <c r="W850" s="2"/>
      <c r="X850" s="2"/>
      <c r="Z850" s="2"/>
      <c r="AA850" s="2"/>
      <c r="AB850" s="2"/>
      <c r="AC850" s="2"/>
    </row>
    <row r="851" spans="1:29" ht="15.75" customHeight="1" x14ac:dyDescent="0.3">
      <c r="A851" s="2"/>
      <c r="C851" s="2"/>
      <c r="D851" s="2"/>
      <c r="E851" s="2"/>
      <c r="F851" s="2"/>
      <c r="G851" s="92"/>
      <c r="H851" s="2"/>
      <c r="I851" s="2"/>
      <c r="J851" s="2"/>
      <c r="K851" s="90"/>
      <c r="L851" s="2"/>
      <c r="N851" s="2"/>
      <c r="O851" s="2"/>
      <c r="P851" s="2"/>
      <c r="Q851" s="2"/>
      <c r="R851" s="2"/>
      <c r="S851" s="2"/>
      <c r="T851" s="2"/>
      <c r="U851" s="222"/>
      <c r="V851" s="2"/>
      <c r="W851" s="2"/>
      <c r="X851" s="2"/>
      <c r="Z851" s="2"/>
      <c r="AA851" s="2"/>
      <c r="AB851" s="2"/>
      <c r="AC851" s="2"/>
    </row>
    <row r="852" spans="1:29" ht="15.75" customHeight="1" x14ac:dyDescent="0.3">
      <c r="A852" s="2"/>
      <c r="C852" s="2"/>
      <c r="D852" s="2"/>
      <c r="E852" s="2"/>
      <c r="F852" s="2"/>
      <c r="G852" s="92"/>
      <c r="H852" s="2"/>
      <c r="I852" s="2"/>
      <c r="J852" s="2"/>
      <c r="K852" s="90"/>
      <c r="L852" s="2"/>
      <c r="N852" s="2"/>
      <c r="O852" s="2"/>
      <c r="P852" s="2"/>
      <c r="Q852" s="2"/>
      <c r="R852" s="2"/>
      <c r="S852" s="2"/>
      <c r="T852" s="2"/>
      <c r="U852" s="222"/>
      <c r="V852" s="2"/>
      <c r="W852" s="2"/>
      <c r="X852" s="2"/>
      <c r="Z852" s="2"/>
      <c r="AA852" s="2"/>
      <c r="AB852" s="2"/>
      <c r="AC852" s="2"/>
    </row>
    <row r="853" spans="1:29" ht="15.75" customHeight="1" x14ac:dyDescent="0.3">
      <c r="A853" s="2"/>
      <c r="C853" s="2"/>
      <c r="D853" s="2"/>
      <c r="E853" s="2"/>
      <c r="F853" s="2"/>
      <c r="G853" s="92"/>
      <c r="H853" s="2"/>
      <c r="I853" s="2"/>
      <c r="J853" s="2"/>
      <c r="K853" s="90"/>
      <c r="L853" s="2"/>
      <c r="N853" s="2"/>
      <c r="O853" s="2"/>
      <c r="P853" s="2"/>
      <c r="Q853" s="2"/>
      <c r="R853" s="2"/>
      <c r="S853" s="2"/>
      <c r="T853" s="2"/>
      <c r="U853" s="222"/>
      <c r="V853" s="2"/>
      <c r="W853" s="2"/>
      <c r="X853" s="2"/>
      <c r="Z853" s="2"/>
      <c r="AA853" s="2"/>
      <c r="AB853" s="2"/>
      <c r="AC853" s="2"/>
    </row>
    <row r="854" spans="1:29" ht="15.75" customHeight="1" x14ac:dyDescent="0.3">
      <c r="A854" s="2"/>
      <c r="C854" s="2"/>
      <c r="D854" s="2"/>
      <c r="E854" s="2"/>
      <c r="F854" s="2"/>
      <c r="G854" s="92"/>
      <c r="H854" s="2"/>
      <c r="I854" s="2"/>
      <c r="J854" s="2"/>
      <c r="K854" s="90"/>
      <c r="L854" s="2"/>
      <c r="N854" s="2"/>
      <c r="O854" s="2"/>
      <c r="P854" s="2"/>
      <c r="Q854" s="2"/>
      <c r="R854" s="2"/>
      <c r="S854" s="2"/>
      <c r="T854" s="2"/>
      <c r="U854" s="222"/>
      <c r="V854" s="2"/>
      <c r="W854" s="2"/>
      <c r="X854" s="2"/>
      <c r="Z854" s="2"/>
      <c r="AA854" s="2"/>
      <c r="AB854" s="2"/>
      <c r="AC854" s="2"/>
    </row>
    <row r="855" spans="1:29" ht="15.75" customHeight="1" x14ac:dyDescent="0.3">
      <c r="A855" s="2"/>
      <c r="C855" s="2"/>
      <c r="D855" s="2"/>
      <c r="E855" s="2"/>
      <c r="F855" s="2"/>
      <c r="G855" s="92"/>
      <c r="H855" s="2"/>
      <c r="I855" s="2"/>
      <c r="J855" s="2"/>
      <c r="K855" s="90"/>
      <c r="L855" s="2"/>
      <c r="N855" s="2"/>
      <c r="O855" s="2"/>
      <c r="P855" s="2"/>
      <c r="Q855" s="2"/>
      <c r="R855" s="2"/>
      <c r="S855" s="2"/>
      <c r="T855" s="2"/>
      <c r="U855" s="222"/>
      <c r="V855" s="2"/>
      <c r="W855" s="2"/>
      <c r="X855" s="2"/>
      <c r="Z855" s="2"/>
      <c r="AA855" s="2"/>
      <c r="AB855" s="2"/>
      <c r="AC855" s="2"/>
    </row>
    <row r="856" spans="1:29" ht="15.75" customHeight="1" x14ac:dyDescent="0.3">
      <c r="A856" s="2"/>
      <c r="C856" s="2"/>
      <c r="D856" s="2"/>
      <c r="E856" s="2"/>
      <c r="F856" s="2"/>
      <c r="G856" s="92"/>
      <c r="H856" s="2"/>
      <c r="I856" s="2"/>
      <c r="J856" s="2"/>
      <c r="K856" s="90"/>
      <c r="L856" s="2"/>
      <c r="N856" s="2"/>
      <c r="O856" s="2"/>
      <c r="P856" s="2"/>
      <c r="Q856" s="2"/>
      <c r="R856" s="2"/>
      <c r="S856" s="2"/>
      <c r="T856" s="2"/>
      <c r="U856" s="222"/>
      <c r="V856" s="2"/>
      <c r="W856" s="2"/>
      <c r="X856" s="2"/>
      <c r="Z856" s="2"/>
      <c r="AA856" s="2"/>
      <c r="AB856" s="2"/>
      <c r="AC856" s="2"/>
    </row>
    <row r="857" spans="1:29" ht="15.75" customHeight="1" x14ac:dyDescent="0.3">
      <c r="A857" s="2"/>
      <c r="C857" s="2"/>
      <c r="D857" s="2"/>
      <c r="E857" s="2"/>
      <c r="F857" s="2"/>
      <c r="G857" s="92"/>
      <c r="H857" s="2"/>
      <c r="I857" s="2"/>
      <c r="J857" s="2"/>
      <c r="K857" s="90"/>
      <c r="L857" s="2"/>
      <c r="N857" s="2"/>
      <c r="O857" s="2"/>
      <c r="P857" s="2"/>
      <c r="Q857" s="2"/>
      <c r="R857" s="2"/>
      <c r="S857" s="2"/>
      <c r="T857" s="2"/>
      <c r="U857" s="222"/>
      <c r="V857" s="2"/>
      <c r="W857" s="2"/>
      <c r="X857" s="2"/>
      <c r="Z857" s="2"/>
      <c r="AA857" s="2"/>
      <c r="AB857" s="2"/>
      <c r="AC857" s="2"/>
    </row>
    <row r="858" spans="1:29" ht="15.75" customHeight="1" x14ac:dyDescent="0.3">
      <c r="A858" s="2"/>
      <c r="C858" s="2"/>
      <c r="D858" s="2"/>
      <c r="E858" s="2"/>
      <c r="F858" s="2"/>
      <c r="G858" s="92"/>
      <c r="H858" s="2"/>
      <c r="I858" s="2"/>
      <c r="J858" s="2"/>
      <c r="K858" s="90"/>
      <c r="L858" s="2"/>
      <c r="N858" s="2"/>
      <c r="O858" s="2"/>
      <c r="P858" s="2"/>
      <c r="Q858" s="2"/>
      <c r="R858" s="2"/>
      <c r="S858" s="2"/>
      <c r="T858" s="2"/>
      <c r="U858" s="222"/>
      <c r="V858" s="2"/>
      <c r="W858" s="2"/>
      <c r="X858" s="2"/>
      <c r="Z858" s="2"/>
      <c r="AA858" s="2"/>
      <c r="AB858" s="2"/>
      <c r="AC858" s="2"/>
    </row>
    <row r="859" spans="1:29" ht="15.75" customHeight="1" x14ac:dyDescent="0.3">
      <c r="A859" s="2"/>
      <c r="C859" s="2"/>
      <c r="D859" s="2"/>
      <c r="E859" s="2"/>
      <c r="F859" s="2"/>
      <c r="G859" s="92"/>
      <c r="H859" s="2"/>
      <c r="I859" s="2"/>
      <c r="J859" s="2"/>
      <c r="K859" s="90"/>
      <c r="L859" s="2"/>
      <c r="N859" s="2"/>
      <c r="O859" s="2"/>
      <c r="P859" s="2"/>
      <c r="Q859" s="2"/>
      <c r="R859" s="2"/>
      <c r="S859" s="2"/>
      <c r="T859" s="2"/>
      <c r="U859" s="222"/>
      <c r="V859" s="2"/>
      <c r="W859" s="2"/>
      <c r="X859" s="2"/>
      <c r="Z859" s="2"/>
      <c r="AA859" s="2"/>
      <c r="AB859" s="2"/>
      <c r="AC859" s="2"/>
    </row>
    <row r="860" spans="1:29" ht="15.75" customHeight="1" x14ac:dyDescent="0.3">
      <c r="A860" s="2"/>
      <c r="C860" s="2"/>
      <c r="D860" s="2"/>
      <c r="E860" s="2"/>
      <c r="F860" s="2"/>
      <c r="G860" s="92"/>
      <c r="H860" s="2"/>
      <c r="I860" s="2"/>
      <c r="J860" s="2"/>
      <c r="K860" s="90"/>
      <c r="L860" s="2"/>
      <c r="N860" s="2"/>
      <c r="O860" s="2"/>
      <c r="P860" s="2"/>
      <c r="Q860" s="2"/>
      <c r="R860" s="2"/>
      <c r="S860" s="2"/>
      <c r="T860" s="2"/>
      <c r="U860" s="222"/>
      <c r="V860" s="2"/>
      <c r="W860" s="2"/>
      <c r="X860" s="2"/>
      <c r="Z860" s="2"/>
      <c r="AA860" s="2"/>
      <c r="AB860" s="2"/>
      <c r="AC860" s="2"/>
    </row>
    <row r="861" spans="1:29" ht="15.75" customHeight="1" x14ac:dyDescent="0.3">
      <c r="A861" s="2"/>
      <c r="C861" s="2"/>
      <c r="D861" s="2"/>
      <c r="E861" s="2"/>
      <c r="F861" s="2"/>
      <c r="G861" s="92"/>
      <c r="H861" s="2"/>
      <c r="I861" s="2"/>
      <c r="J861" s="2"/>
      <c r="K861" s="90"/>
      <c r="L861" s="2"/>
      <c r="N861" s="2"/>
      <c r="O861" s="2"/>
      <c r="P861" s="2"/>
      <c r="Q861" s="2"/>
      <c r="R861" s="2"/>
      <c r="S861" s="2"/>
      <c r="T861" s="2"/>
      <c r="U861" s="222"/>
      <c r="V861" s="2"/>
      <c r="W861" s="2"/>
      <c r="X861" s="2"/>
      <c r="Z861" s="2"/>
      <c r="AA861" s="2"/>
      <c r="AB861" s="2"/>
      <c r="AC861" s="2"/>
    </row>
    <row r="862" spans="1:29" ht="15.75" customHeight="1" x14ac:dyDescent="0.3">
      <c r="A862" s="2"/>
      <c r="C862" s="2"/>
      <c r="D862" s="2"/>
      <c r="E862" s="2"/>
      <c r="F862" s="2"/>
      <c r="G862" s="92"/>
      <c r="H862" s="2"/>
      <c r="I862" s="2"/>
      <c r="J862" s="2"/>
      <c r="K862" s="90"/>
      <c r="L862" s="2"/>
      <c r="N862" s="2"/>
      <c r="O862" s="2"/>
      <c r="P862" s="2"/>
      <c r="Q862" s="2"/>
      <c r="R862" s="2"/>
      <c r="S862" s="2"/>
      <c r="T862" s="2"/>
      <c r="U862" s="222"/>
      <c r="V862" s="2"/>
      <c r="W862" s="2"/>
      <c r="X862" s="2"/>
      <c r="Z862" s="2"/>
      <c r="AA862" s="2"/>
      <c r="AB862" s="2"/>
      <c r="AC862" s="2"/>
    </row>
    <row r="863" spans="1:29" ht="15.75" customHeight="1" x14ac:dyDescent="0.3">
      <c r="A863" s="2"/>
      <c r="C863" s="2"/>
      <c r="D863" s="2"/>
      <c r="E863" s="2"/>
      <c r="F863" s="2"/>
      <c r="G863" s="92"/>
      <c r="H863" s="2"/>
      <c r="I863" s="2"/>
      <c r="J863" s="2"/>
      <c r="K863" s="90"/>
      <c r="L863" s="2"/>
      <c r="N863" s="2"/>
      <c r="O863" s="2"/>
      <c r="P863" s="2"/>
      <c r="Q863" s="2"/>
      <c r="R863" s="2"/>
      <c r="S863" s="2"/>
      <c r="T863" s="2"/>
      <c r="U863" s="222"/>
      <c r="V863" s="2"/>
      <c r="W863" s="2"/>
      <c r="X863" s="2"/>
      <c r="Z863" s="2"/>
      <c r="AA863" s="2"/>
      <c r="AB863" s="2"/>
      <c r="AC863" s="2"/>
    </row>
    <row r="864" spans="1:29" ht="15.75" customHeight="1" x14ac:dyDescent="0.3">
      <c r="A864" s="2"/>
      <c r="C864" s="2"/>
      <c r="D864" s="2"/>
      <c r="E864" s="2"/>
      <c r="F864" s="2"/>
      <c r="G864" s="92"/>
      <c r="H864" s="2"/>
      <c r="I864" s="2"/>
      <c r="J864" s="2"/>
      <c r="K864" s="90"/>
      <c r="L864" s="2"/>
      <c r="N864" s="2"/>
      <c r="O864" s="2"/>
      <c r="P864" s="2"/>
      <c r="Q864" s="2"/>
      <c r="R864" s="2"/>
      <c r="S864" s="2"/>
      <c r="T864" s="2"/>
      <c r="U864" s="222"/>
      <c r="V864" s="2"/>
      <c r="W864" s="2"/>
      <c r="X864" s="2"/>
      <c r="Z864" s="2"/>
      <c r="AA864" s="2"/>
      <c r="AB864" s="2"/>
      <c r="AC864" s="2"/>
    </row>
    <row r="865" spans="1:29" ht="15.75" customHeight="1" x14ac:dyDescent="0.3">
      <c r="A865" s="2"/>
      <c r="C865" s="2"/>
      <c r="D865" s="2"/>
      <c r="E865" s="2"/>
      <c r="F865" s="2"/>
      <c r="G865" s="92"/>
      <c r="H865" s="2"/>
      <c r="I865" s="2"/>
      <c r="J865" s="2"/>
      <c r="K865" s="90"/>
      <c r="L865" s="2"/>
      <c r="N865" s="2"/>
      <c r="O865" s="2"/>
      <c r="P865" s="2"/>
      <c r="Q865" s="2"/>
      <c r="R865" s="2"/>
      <c r="S865" s="2"/>
      <c r="T865" s="2"/>
      <c r="U865" s="222"/>
      <c r="V865" s="2"/>
      <c r="W865" s="2"/>
      <c r="X865" s="2"/>
      <c r="Z865" s="2"/>
      <c r="AA865" s="2"/>
      <c r="AB865" s="2"/>
      <c r="AC865" s="2"/>
    </row>
    <row r="866" spans="1:29" ht="15.75" customHeight="1" x14ac:dyDescent="0.3">
      <c r="A866" s="2"/>
      <c r="C866" s="2"/>
      <c r="D866" s="2"/>
      <c r="E866" s="2"/>
      <c r="F866" s="2"/>
      <c r="G866" s="92"/>
      <c r="H866" s="2"/>
      <c r="I866" s="2"/>
      <c r="J866" s="2"/>
      <c r="K866" s="90"/>
      <c r="L866" s="2"/>
      <c r="N866" s="2"/>
      <c r="O866" s="2"/>
      <c r="P866" s="2"/>
      <c r="Q866" s="2"/>
      <c r="R866" s="2"/>
      <c r="S866" s="2"/>
      <c r="T866" s="2"/>
      <c r="U866" s="222"/>
      <c r="V866" s="2"/>
      <c r="W866" s="2"/>
      <c r="X866" s="2"/>
      <c r="Z866" s="2"/>
      <c r="AA866" s="2"/>
      <c r="AB866" s="2"/>
      <c r="AC866" s="2"/>
    </row>
    <row r="867" spans="1:29" ht="15.75" customHeight="1" x14ac:dyDescent="0.3">
      <c r="A867" s="2"/>
      <c r="C867" s="2"/>
      <c r="D867" s="2"/>
      <c r="E867" s="2"/>
      <c r="F867" s="2"/>
      <c r="G867" s="92"/>
      <c r="H867" s="2"/>
      <c r="I867" s="2"/>
      <c r="J867" s="2"/>
      <c r="K867" s="90"/>
      <c r="L867" s="2"/>
      <c r="N867" s="2"/>
      <c r="O867" s="2"/>
      <c r="P867" s="2"/>
      <c r="Q867" s="2"/>
      <c r="R867" s="2"/>
      <c r="S867" s="2"/>
      <c r="T867" s="2"/>
      <c r="U867" s="222"/>
      <c r="V867" s="2"/>
      <c r="W867" s="2"/>
      <c r="X867" s="2"/>
      <c r="Z867" s="2"/>
      <c r="AA867" s="2"/>
      <c r="AB867" s="2"/>
      <c r="AC867" s="2"/>
    </row>
    <row r="868" spans="1:29" ht="15.75" customHeight="1" x14ac:dyDescent="0.3">
      <c r="A868" s="2"/>
      <c r="C868" s="2"/>
      <c r="D868" s="2"/>
      <c r="E868" s="2"/>
      <c r="F868" s="2"/>
      <c r="G868" s="92"/>
      <c r="H868" s="2"/>
      <c r="I868" s="2"/>
      <c r="J868" s="2"/>
      <c r="K868" s="90"/>
      <c r="L868" s="2"/>
      <c r="N868" s="2"/>
      <c r="O868" s="2"/>
      <c r="P868" s="2"/>
      <c r="Q868" s="2"/>
      <c r="R868" s="2"/>
      <c r="S868" s="2"/>
      <c r="T868" s="2"/>
      <c r="U868" s="222"/>
      <c r="V868" s="2"/>
      <c r="W868" s="2"/>
      <c r="X868" s="2"/>
      <c r="Z868" s="2"/>
      <c r="AA868" s="2"/>
      <c r="AB868" s="2"/>
      <c r="AC868" s="2"/>
    </row>
    <row r="869" spans="1:29" ht="15.75" customHeight="1" x14ac:dyDescent="0.3">
      <c r="A869" s="2"/>
      <c r="C869" s="2"/>
      <c r="D869" s="2"/>
      <c r="E869" s="2"/>
      <c r="F869" s="2"/>
      <c r="G869" s="92"/>
      <c r="H869" s="2"/>
      <c r="I869" s="2"/>
      <c r="J869" s="2"/>
      <c r="K869" s="90"/>
      <c r="L869" s="2"/>
      <c r="N869" s="2"/>
      <c r="O869" s="2"/>
      <c r="P869" s="2"/>
      <c r="Q869" s="2"/>
      <c r="R869" s="2"/>
      <c r="S869" s="2"/>
      <c r="T869" s="2"/>
      <c r="U869" s="222"/>
      <c r="V869" s="2"/>
      <c r="W869" s="2"/>
      <c r="X869" s="2"/>
      <c r="Z869" s="2"/>
      <c r="AA869" s="2"/>
      <c r="AB869" s="2"/>
      <c r="AC869" s="2"/>
    </row>
    <row r="870" spans="1:29" ht="15.75" customHeight="1" x14ac:dyDescent="0.3">
      <c r="A870" s="2"/>
      <c r="C870" s="2"/>
      <c r="D870" s="2"/>
      <c r="E870" s="2"/>
      <c r="F870" s="2"/>
      <c r="G870" s="92"/>
      <c r="H870" s="2"/>
      <c r="I870" s="2"/>
      <c r="J870" s="2"/>
      <c r="K870" s="90"/>
      <c r="L870" s="2"/>
      <c r="N870" s="2"/>
      <c r="O870" s="2"/>
      <c r="P870" s="2"/>
      <c r="Q870" s="2"/>
      <c r="R870" s="2"/>
      <c r="S870" s="2"/>
      <c r="T870" s="2"/>
      <c r="U870" s="222"/>
      <c r="V870" s="2"/>
      <c r="W870" s="2"/>
      <c r="X870" s="2"/>
      <c r="Z870" s="2"/>
      <c r="AA870" s="2"/>
      <c r="AB870" s="2"/>
      <c r="AC870" s="2"/>
    </row>
    <row r="871" spans="1:29" ht="15.75" customHeight="1" x14ac:dyDescent="0.3">
      <c r="A871" s="2"/>
      <c r="C871" s="2"/>
      <c r="D871" s="2"/>
      <c r="E871" s="2"/>
      <c r="F871" s="2"/>
      <c r="G871" s="92"/>
      <c r="H871" s="2"/>
      <c r="I871" s="2"/>
      <c r="J871" s="2"/>
      <c r="K871" s="90"/>
      <c r="L871" s="2"/>
      <c r="N871" s="2"/>
      <c r="O871" s="2"/>
      <c r="P871" s="2"/>
      <c r="Q871" s="2"/>
      <c r="R871" s="2"/>
      <c r="S871" s="2"/>
      <c r="T871" s="2"/>
      <c r="U871" s="222"/>
      <c r="V871" s="2"/>
      <c r="W871" s="2"/>
      <c r="X871" s="2"/>
      <c r="Z871" s="2"/>
      <c r="AA871" s="2"/>
      <c r="AB871" s="2"/>
      <c r="AC871" s="2"/>
    </row>
    <row r="872" spans="1:29" ht="15.75" customHeight="1" x14ac:dyDescent="0.3">
      <c r="A872" s="2"/>
      <c r="C872" s="2"/>
      <c r="D872" s="2"/>
      <c r="E872" s="2"/>
      <c r="F872" s="2"/>
      <c r="G872" s="92"/>
      <c r="H872" s="2"/>
      <c r="I872" s="2"/>
      <c r="J872" s="2"/>
      <c r="K872" s="90"/>
      <c r="L872" s="2"/>
      <c r="N872" s="2"/>
      <c r="O872" s="2"/>
      <c r="P872" s="2"/>
      <c r="Q872" s="2"/>
      <c r="R872" s="2"/>
      <c r="S872" s="2"/>
      <c r="T872" s="2"/>
      <c r="U872" s="222"/>
      <c r="V872" s="2"/>
      <c r="W872" s="2"/>
      <c r="X872" s="2"/>
      <c r="Z872" s="2"/>
      <c r="AA872" s="2"/>
      <c r="AB872" s="2"/>
      <c r="AC872" s="2"/>
    </row>
    <row r="873" spans="1:29" ht="15.75" customHeight="1" x14ac:dyDescent="0.3">
      <c r="A873" s="2"/>
      <c r="C873" s="2"/>
      <c r="D873" s="2"/>
      <c r="E873" s="2"/>
      <c r="F873" s="2"/>
      <c r="G873" s="92"/>
      <c r="H873" s="2"/>
      <c r="I873" s="2"/>
      <c r="J873" s="2"/>
      <c r="K873" s="90"/>
      <c r="L873" s="2"/>
      <c r="N873" s="2"/>
      <c r="O873" s="2"/>
      <c r="P873" s="2"/>
      <c r="Q873" s="2"/>
      <c r="R873" s="2"/>
      <c r="S873" s="2"/>
      <c r="T873" s="2"/>
      <c r="U873" s="222"/>
      <c r="V873" s="2"/>
      <c r="W873" s="2"/>
      <c r="X873" s="2"/>
      <c r="Z873" s="2"/>
      <c r="AA873" s="2"/>
      <c r="AB873" s="2"/>
      <c r="AC873" s="2"/>
    </row>
    <row r="874" spans="1:29" ht="15.75" customHeight="1" x14ac:dyDescent="0.3">
      <c r="A874" s="2"/>
      <c r="C874" s="2"/>
      <c r="D874" s="2"/>
      <c r="E874" s="2"/>
      <c r="F874" s="2"/>
      <c r="G874" s="92"/>
      <c r="H874" s="2"/>
      <c r="I874" s="2"/>
      <c r="J874" s="2"/>
      <c r="K874" s="90"/>
      <c r="L874" s="2"/>
      <c r="N874" s="2"/>
      <c r="O874" s="2"/>
      <c r="P874" s="2"/>
      <c r="Q874" s="2"/>
      <c r="R874" s="2"/>
      <c r="S874" s="2"/>
      <c r="T874" s="2"/>
      <c r="U874" s="222"/>
      <c r="V874" s="2"/>
      <c r="W874" s="2"/>
      <c r="X874" s="2"/>
      <c r="Z874" s="2"/>
      <c r="AA874" s="2"/>
      <c r="AB874" s="2"/>
      <c r="AC874" s="2"/>
    </row>
    <row r="875" spans="1:29" ht="15.75" customHeight="1" x14ac:dyDescent="0.3">
      <c r="A875" s="2"/>
      <c r="C875" s="2"/>
      <c r="D875" s="2"/>
      <c r="E875" s="2"/>
      <c r="F875" s="2"/>
      <c r="G875" s="92"/>
      <c r="H875" s="2"/>
      <c r="I875" s="2"/>
      <c r="J875" s="2"/>
      <c r="K875" s="90"/>
      <c r="L875" s="2"/>
      <c r="N875" s="2"/>
      <c r="O875" s="2"/>
      <c r="P875" s="2"/>
      <c r="Q875" s="2"/>
      <c r="R875" s="2"/>
      <c r="S875" s="2"/>
      <c r="T875" s="2"/>
      <c r="U875" s="222"/>
      <c r="V875" s="2"/>
      <c r="W875" s="2"/>
      <c r="X875" s="2"/>
      <c r="Z875" s="2"/>
      <c r="AA875" s="2"/>
      <c r="AB875" s="2"/>
      <c r="AC875" s="2"/>
    </row>
    <row r="876" spans="1:29" ht="15.75" customHeight="1" x14ac:dyDescent="0.3">
      <c r="A876" s="2"/>
      <c r="C876" s="2"/>
      <c r="D876" s="2"/>
      <c r="E876" s="2"/>
      <c r="F876" s="2"/>
      <c r="G876" s="92"/>
      <c r="H876" s="2"/>
      <c r="I876" s="2"/>
      <c r="J876" s="2"/>
      <c r="K876" s="90"/>
      <c r="L876" s="2"/>
      <c r="N876" s="2"/>
      <c r="O876" s="2"/>
      <c r="P876" s="2"/>
      <c r="Q876" s="2"/>
      <c r="R876" s="2"/>
      <c r="S876" s="2"/>
      <c r="T876" s="2"/>
      <c r="U876" s="222"/>
      <c r="V876" s="2"/>
      <c r="W876" s="2"/>
      <c r="X876" s="2"/>
      <c r="Z876" s="2"/>
      <c r="AA876" s="2"/>
      <c r="AB876" s="2"/>
      <c r="AC876" s="2"/>
    </row>
    <row r="877" spans="1:29" ht="15.75" customHeight="1" x14ac:dyDescent="0.3">
      <c r="A877" s="2"/>
      <c r="C877" s="2"/>
      <c r="D877" s="2"/>
      <c r="E877" s="2"/>
      <c r="F877" s="2"/>
      <c r="G877" s="92"/>
      <c r="H877" s="2"/>
      <c r="I877" s="2"/>
      <c r="J877" s="2"/>
      <c r="K877" s="90"/>
      <c r="L877" s="2"/>
      <c r="N877" s="2"/>
      <c r="O877" s="2"/>
      <c r="P877" s="2"/>
      <c r="Q877" s="2"/>
      <c r="R877" s="2"/>
      <c r="S877" s="2"/>
      <c r="T877" s="2"/>
      <c r="U877" s="222"/>
      <c r="V877" s="2"/>
      <c r="W877" s="2"/>
      <c r="X877" s="2"/>
      <c r="Z877" s="2"/>
      <c r="AA877" s="2"/>
      <c r="AB877" s="2"/>
      <c r="AC877" s="2"/>
    </row>
    <row r="878" spans="1:29" ht="15.75" customHeight="1" x14ac:dyDescent="0.3">
      <c r="A878" s="2"/>
      <c r="C878" s="2"/>
      <c r="D878" s="2"/>
      <c r="E878" s="2"/>
      <c r="F878" s="2"/>
      <c r="G878" s="92"/>
      <c r="H878" s="2"/>
      <c r="I878" s="2"/>
      <c r="J878" s="2"/>
      <c r="K878" s="90"/>
      <c r="L878" s="2"/>
      <c r="N878" s="2"/>
      <c r="O878" s="2"/>
      <c r="P878" s="2"/>
      <c r="Q878" s="2"/>
      <c r="R878" s="2"/>
      <c r="S878" s="2"/>
      <c r="T878" s="2"/>
      <c r="U878" s="222"/>
      <c r="V878" s="2"/>
      <c r="W878" s="2"/>
      <c r="X878" s="2"/>
      <c r="Z878" s="2"/>
      <c r="AA878" s="2"/>
      <c r="AB878" s="2"/>
      <c r="AC878" s="2"/>
    </row>
    <row r="879" spans="1:29" ht="15.75" customHeight="1" x14ac:dyDescent="0.3">
      <c r="A879" s="2"/>
      <c r="C879" s="2"/>
      <c r="D879" s="2"/>
      <c r="E879" s="2"/>
      <c r="F879" s="2"/>
      <c r="G879" s="92"/>
      <c r="H879" s="2"/>
      <c r="I879" s="2"/>
      <c r="J879" s="2"/>
      <c r="K879" s="90"/>
      <c r="L879" s="2"/>
      <c r="N879" s="2"/>
      <c r="O879" s="2"/>
      <c r="P879" s="2"/>
      <c r="Q879" s="2"/>
      <c r="R879" s="2"/>
      <c r="S879" s="2"/>
      <c r="T879" s="2"/>
      <c r="U879" s="222"/>
      <c r="V879" s="2"/>
      <c r="W879" s="2"/>
      <c r="X879" s="2"/>
      <c r="Z879" s="2"/>
      <c r="AA879" s="2"/>
      <c r="AB879" s="2"/>
      <c r="AC879" s="2"/>
    </row>
    <row r="880" spans="1:29" ht="15.75" customHeight="1" x14ac:dyDescent="0.3">
      <c r="A880" s="2"/>
      <c r="C880" s="2"/>
      <c r="D880" s="2"/>
      <c r="E880" s="2"/>
      <c r="F880" s="2"/>
      <c r="G880" s="92"/>
      <c r="H880" s="2"/>
      <c r="I880" s="2"/>
      <c r="J880" s="2"/>
      <c r="K880" s="90"/>
      <c r="L880" s="2"/>
      <c r="N880" s="2"/>
      <c r="O880" s="2"/>
      <c r="P880" s="2"/>
      <c r="Q880" s="2"/>
      <c r="R880" s="2"/>
      <c r="S880" s="2"/>
      <c r="T880" s="2"/>
      <c r="U880" s="222"/>
      <c r="V880" s="2"/>
      <c r="W880" s="2"/>
      <c r="X880" s="2"/>
      <c r="Z880" s="2"/>
      <c r="AA880" s="2"/>
      <c r="AB880" s="2"/>
      <c r="AC880" s="2"/>
    </row>
    <row r="881" spans="1:29" ht="15.75" customHeight="1" x14ac:dyDescent="0.3">
      <c r="A881" s="2"/>
      <c r="C881" s="2"/>
      <c r="D881" s="2"/>
      <c r="E881" s="2"/>
      <c r="F881" s="2"/>
      <c r="G881" s="92"/>
      <c r="H881" s="2"/>
      <c r="I881" s="2"/>
      <c r="J881" s="2"/>
      <c r="K881" s="90"/>
      <c r="L881" s="2"/>
      <c r="N881" s="2"/>
      <c r="O881" s="2"/>
      <c r="P881" s="2"/>
      <c r="Q881" s="2"/>
      <c r="R881" s="2"/>
      <c r="S881" s="2"/>
      <c r="T881" s="2"/>
      <c r="U881" s="222"/>
      <c r="V881" s="2"/>
      <c r="W881" s="2"/>
      <c r="X881" s="2"/>
      <c r="Z881" s="2"/>
      <c r="AA881" s="2"/>
      <c r="AB881" s="2"/>
      <c r="AC881" s="2"/>
    </row>
    <row r="882" spans="1:29" ht="15.75" customHeight="1" x14ac:dyDescent="0.3">
      <c r="A882" s="2"/>
      <c r="C882" s="2"/>
      <c r="D882" s="2"/>
      <c r="E882" s="2"/>
      <c r="F882" s="2"/>
      <c r="G882" s="92"/>
      <c r="H882" s="2"/>
      <c r="I882" s="2"/>
      <c r="J882" s="2"/>
      <c r="K882" s="90"/>
      <c r="L882" s="2"/>
      <c r="N882" s="2"/>
      <c r="O882" s="2"/>
      <c r="P882" s="2"/>
      <c r="Q882" s="2"/>
      <c r="R882" s="2"/>
      <c r="S882" s="2"/>
      <c r="T882" s="2"/>
      <c r="U882" s="222"/>
      <c r="V882" s="2"/>
      <c r="W882" s="2"/>
      <c r="X882" s="2"/>
      <c r="Z882" s="2"/>
      <c r="AA882" s="2"/>
      <c r="AB882" s="2"/>
      <c r="AC882" s="2"/>
    </row>
    <row r="883" spans="1:29" ht="15.75" customHeight="1" x14ac:dyDescent="0.3">
      <c r="A883" s="2"/>
      <c r="C883" s="2"/>
      <c r="D883" s="2"/>
      <c r="E883" s="2"/>
      <c r="F883" s="2"/>
      <c r="G883" s="92"/>
      <c r="H883" s="2"/>
      <c r="I883" s="2"/>
      <c r="J883" s="2"/>
      <c r="K883" s="90"/>
      <c r="L883" s="2"/>
      <c r="N883" s="2"/>
      <c r="O883" s="2"/>
      <c r="P883" s="2"/>
      <c r="Q883" s="2"/>
      <c r="R883" s="2"/>
      <c r="S883" s="2"/>
      <c r="T883" s="2"/>
      <c r="U883" s="222"/>
      <c r="V883" s="2"/>
      <c r="W883" s="2"/>
      <c r="X883" s="2"/>
      <c r="Z883" s="2"/>
      <c r="AA883" s="2"/>
      <c r="AB883" s="2"/>
      <c r="AC883" s="2"/>
    </row>
    <row r="884" spans="1:29" ht="15.75" customHeight="1" x14ac:dyDescent="0.3">
      <c r="A884" s="2"/>
      <c r="C884" s="2"/>
      <c r="D884" s="2"/>
      <c r="E884" s="2"/>
      <c r="F884" s="2"/>
      <c r="G884" s="92"/>
      <c r="H884" s="2"/>
      <c r="I884" s="2"/>
      <c r="J884" s="2"/>
      <c r="K884" s="90"/>
      <c r="L884" s="2"/>
      <c r="N884" s="2"/>
      <c r="O884" s="2"/>
      <c r="P884" s="2"/>
      <c r="Q884" s="2"/>
      <c r="R884" s="2"/>
      <c r="S884" s="2"/>
      <c r="T884" s="2"/>
      <c r="U884" s="222"/>
      <c r="V884" s="2"/>
      <c r="W884" s="2"/>
      <c r="X884" s="2"/>
      <c r="Z884" s="2"/>
      <c r="AA884" s="2"/>
      <c r="AB884" s="2"/>
      <c r="AC884" s="2"/>
    </row>
    <row r="885" spans="1:29" ht="15.75" customHeight="1" x14ac:dyDescent="0.3">
      <c r="A885" s="2"/>
      <c r="C885" s="2"/>
      <c r="D885" s="2"/>
      <c r="E885" s="2"/>
      <c r="F885" s="2"/>
      <c r="G885" s="92"/>
      <c r="H885" s="2"/>
      <c r="I885" s="2"/>
      <c r="J885" s="2"/>
      <c r="K885" s="90"/>
      <c r="L885" s="2"/>
      <c r="N885" s="2"/>
      <c r="O885" s="2"/>
      <c r="P885" s="2"/>
      <c r="Q885" s="2"/>
      <c r="R885" s="2"/>
      <c r="S885" s="2"/>
      <c r="T885" s="2"/>
      <c r="U885" s="222"/>
      <c r="V885" s="2"/>
      <c r="W885" s="2"/>
      <c r="X885" s="2"/>
      <c r="Z885" s="2"/>
      <c r="AA885" s="2"/>
      <c r="AB885" s="2"/>
      <c r="AC885" s="2"/>
    </row>
    <row r="886" spans="1:29" ht="15.75" customHeight="1" x14ac:dyDescent="0.3">
      <c r="A886" s="2"/>
      <c r="C886" s="2"/>
      <c r="D886" s="2"/>
      <c r="E886" s="2"/>
      <c r="F886" s="2"/>
      <c r="G886" s="92"/>
      <c r="H886" s="2"/>
      <c r="I886" s="2"/>
      <c r="J886" s="2"/>
      <c r="K886" s="90"/>
      <c r="L886" s="2"/>
      <c r="N886" s="2"/>
      <c r="O886" s="2"/>
      <c r="P886" s="2"/>
      <c r="Q886" s="2"/>
      <c r="R886" s="2"/>
      <c r="S886" s="2"/>
      <c r="T886" s="2"/>
      <c r="U886" s="222"/>
      <c r="V886" s="2"/>
      <c r="W886" s="2"/>
      <c r="X886" s="2"/>
      <c r="Z886" s="2"/>
      <c r="AA886" s="2"/>
      <c r="AB886" s="2"/>
      <c r="AC886" s="2"/>
    </row>
    <row r="887" spans="1:29" ht="15.75" customHeight="1" x14ac:dyDescent="0.3">
      <c r="A887" s="2"/>
      <c r="C887" s="2"/>
      <c r="D887" s="2"/>
      <c r="E887" s="2"/>
      <c r="F887" s="2"/>
      <c r="G887" s="92"/>
      <c r="H887" s="2"/>
      <c r="I887" s="2"/>
      <c r="J887" s="2"/>
      <c r="K887" s="90"/>
      <c r="L887" s="2"/>
      <c r="N887" s="2"/>
      <c r="O887" s="2"/>
      <c r="P887" s="2"/>
      <c r="Q887" s="2"/>
      <c r="R887" s="2"/>
      <c r="S887" s="2"/>
      <c r="T887" s="2"/>
      <c r="U887" s="222"/>
      <c r="V887" s="2"/>
      <c r="W887" s="2"/>
      <c r="X887" s="2"/>
      <c r="Z887" s="2"/>
      <c r="AA887" s="2"/>
      <c r="AB887" s="2"/>
      <c r="AC887" s="2"/>
    </row>
    <row r="888" spans="1:29" ht="15.75" customHeight="1" x14ac:dyDescent="0.3">
      <c r="A888" s="2"/>
      <c r="C888" s="2"/>
      <c r="D888" s="2"/>
      <c r="E888" s="2"/>
      <c r="F888" s="2"/>
      <c r="G888" s="92"/>
      <c r="H888" s="2"/>
      <c r="I888" s="2"/>
      <c r="J888" s="2"/>
      <c r="K888" s="90"/>
      <c r="L888" s="2"/>
      <c r="N888" s="2"/>
      <c r="O888" s="2"/>
      <c r="P888" s="2"/>
      <c r="Q888" s="2"/>
      <c r="R888" s="2"/>
      <c r="S888" s="2"/>
      <c r="T888" s="2"/>
      <c r="U888" s="222"/>
      <c r="V888" s="2"/>
      <c r="W888" s="2"/>
      <c r="X888" s="2"/>
      <c r="Z888" s="2"/>
      <c r="AA888" s="2"/>
      <c r="AB888" s="2"/>
      <c r="AC888" s="2"/>
    </row>
    <row r="889" spans="1:29" ht="15.75" customHeight="1" x14ac:dyDescent="0.3">
      <c r="A889" s="2"/>
      <c r="C889" s="2"/>
      <c r="D889" s="2"/>
      <c r="E889" s="2"/>
      <c r="F889" s="2"/>
      <c r="G889" s="92"/>
      <c r="H889" s="2"/>
      <c r="I889" s="2"/>
      <c r="J889" s="2"/>
      <c r="K889" s="90"/>
      <c r="L889" s="2"/>
      <c r="N889" s="2"/>
      <c r="O889" s="2"/>
      <c r="P889" s="2"/>
      <c r="Q889" s="2"/>
      <c r="R889" s="2"/>
      <c r="S889" s="2"/>
      <c r="T889" s="2"/>
      <c r="U889" s="222"/>
      <c r="V889" s="2"/>
      <c r="W889" s="2"/>
      <c r="X889" s="2"/>
      <c r="Z889" s="2"/>
      <c r="AA889" s="2"/>
      <c r="AB889" s="2"/>
      <c r="AC889" s="2"/>
    </row>
    <row r="890" spans="1:29" ht="15.75" customHeight="1" x14ac:dyDescent="0.3">
      <c r="A890" s="2"/>
      <c r="C890" s="2"/>
      <c r="D890" s="2"/>
      <c r="E890" s="2"/>
      <c r="F890" s="2"/>
      <c r="G890" s="92"/>
      <c r="H890" s="2"/>
      <c r="I890" s="2"/>
      <c r="J890" s="2"/>
      <c r="K890" s="90"/>
      <c r="L890" s="2"/>
      <c r="N890" s="2"/>
      <c r="O890" s="2"/>
      <c r="P890" s="2"/>
      <c r="Q890" s="2"/>
      <c r="R890" s="2"/>
      <c r="S890" s="2"/>
      <c r="T890" s="2"/>
      <c r="U890" s="222"/>
      <c r="V890" s="2"/>
      <c r="W890" s="2"/>
      <c r="X890" s="2"/>
      <c r="Z890" s="2"/>
      <c r="AA890" s="2"/>
      <c r="AB890" s="2"/>
      <c r="AC890" s="2"/>
    </row>
    <row r="891" spans="1:29" ht="15.75" customHeight="1" x14ac:dyDescent="0.3">
      <c r="A891" s="2"/>
      <c r="C891" s="2"/>
      <c r="D891" s="2"/>
      <c r="E891" s="2"/>
      <c r="F891" s="2"/>
      <c r="G891" s="92"/>
      <c r="H891" s="2"/>
      <c r="I891" s="2"/>
      <c r="J891" s="2"/>
      <c r="K891" s="90"/>
      <c r="L891" s="2"/>
      <c r="N891" s="2"/>
      <c r="O891" s="2"/>
      <c r="P891" s="2"/>
      <c r="Q891" s="2"/>
      <c r="R891" s="2"/>
      <c r="S891" s="2"/>
      <c r="T891" s="2"/>
      <c r="U891" s="222"/>
      <c r="V891" s="2"/>
      <c r="W891" s="2"/>
      <c r="X891" s="2"/>
      <c r="Z891" s="2"/>
      <c r="AA891" s="2"/>
      <c r="AB891" s="2"/>
      <c r="AC891" s="2"/>
    </row>
    <row r="892" spans="1:29" ht="15.75" customHeight="1" x14ac:dyDescent="0.3">
      <c r="A892" s="2"/>
      <c r="C892" s="2"/>
      <c r="D892" s="2"/>
      <c r="E892" s="2"/>
      <c r="F892" s="2"/>
      <c r="G892" s="92"/>
      <c r="H892" s="2"/>
      <c r="I892" s="2"/>
      <c r="J892" s="2"/>
      <c r="K892" s="90"/>
      <c r="L892" s="2"/>
      <c r="N892" s="2"/>
      <c r="O892" s="2"/>
      <c r="P892" s="2"/>
      <c r="Q892" s="2"/>
      <c r="R892" s="2"/>
      <c r="S892" s="2"/>
      <c r="T892" s="2"/>
      <c r="U892" s="222"/>
      <c r="V892" s="2"/>
      <c r="W892" s="2"/>
      <c r="X892" s="2"/>
      <c r="Z892" s="2"/>
      <c r="AA892" s="2"/>
      <c r="AB892" s="2"/>
      <c r="AC892" s="2"/>
    </row>
    <row r="893" spans="1:29" ht="15.75" customHeight="1" x14ac:dyDescent="0.3">
      <c r="A893" s="2"/>
      <c r="C893" s="2"/>
      <c r="D893" s="2"/>
      <c r="E893" s="2"/>
      <c r="F893" s="2"/>
      <c r="G893" s="92"/>
      <c r="H893" s="2"/>
      <c r="I893" s="2"/>
      <c r="J893" s="2"/>
      <c r="K893" s="90"/>
      <c r="L893" s="2"/>
      <c r="N893" s="2"/>
      <c r="O893" s="2"/>
      <c r="P893" s="2"/>
      <c r="Q893" s="2"/>
      <c r="R893" s="2"/>
      <c r="S893" s="2"/>
      <c r="T893" s="2"/>
      <c r="U893" s="222"/>
      <c r="V893" s="2"/>
      <c r="W893" s="2"/>
      <c r="X893" s="2"/>
      <c r="Z893" s="2"/>
      <c r="AA893" s="2"/>
      <c r="AB893" s="2"/>
      <c r="AC893" s="2"/>
    </row>
    <row r="894" spans="1:29" ht="15.75" customHeight="1" x14ac:dyDescent="0.3">
      <c r="A894" s="2"/>
      <c r="C894" s="2"/>
      <c r="D894" s="2"/>
      <c r="E894" s="2"/>
      <c r="F894" s="2"/>
      <c r="G894" s="92"/>
      <c r="H894" s="2"/>
      <c r="I894" s="2"/>
      <c r="J894" s="2"/>
      <c r="K894" s="90"/>
      <c r="L894" s="2"/>
      <c r="N894" s="2"/>
      <c r="O894" s="2"/>
      <c r="P894" s="2"/>
      <c r="Q894" s="2"/>
      <c r="R894" s="2"/>
      <c r="S894" s="2"/>
      <c r="T894" s="2"/>
      <c r="U894" s="222"/>
      <c r="V894" s="2"/>
      <c r="W894" s="2"/>
      <c r="X894" s="2"/>
      <c r="Z894" s="2"/>
      <c r="AA894" s="2"/>
      <c r="AB894" s="2"/>
      <c r="AC894" s="2"/>
    </row>
    <row r="895" spans="1:29" ht="15.75" customHeight="1" x14ac:dyDescent="0.3">
      <c r="A895" s="2"/>
      <c r="C895" s="2"/>
      <c r="D895" s="2"/>
      <c r="E895" s="2"/>
      <c r="F895" s="2"/>
      <c r="G895" s="92"/>
      <c r="H895" s="2"/>
      <c r="I895" s="2"/>
      <c r="J895" s="2"/>
      <c r="K895" s="90"/>
      <c r="L895" s="2"/>
      <c r="N895" s="2"/>
      <c r="O895" s="2"/>
      <c r="P895" s="2"/>
      <c r="Q895" s="2"/>
      <c r="R895" s="2"/>
      <c r="S895" s="2"/>
      <c r="T895" s="2"/>
      <c r="U895" s="222"/>
      <c r="V895" s="2"/>
      <c r="W895" s="2"/>
      <c r="X895" s="2"/>
      <c r="Z895" s="2"/>
      <c r="AA895" s="2"/>
      <c r="AB895" s="2"/>
      <c r="AC895" s="2"/>
    </row>
    <row r="896" spans="1:29" ht="15.75" customHeight="1" x14ac:dyDescent="0.3">
      <c r="A896" s="2"/>
      <c r="C896" s="2"/>
      <c r="D896" s="2"/>
      <c r="E896" s="2"/>
      <c r="F896" s="2"/>
      <c r="G896" s="92"/>
      <c r="H896" s="2"/>
      <c r="I896" s="2"/>
      <c r="J896" s="2"/>
      <c r="K896" s="90"/>
      <c r="L896" s="2"/>
      <c r="N896" s="2"/>
      <c r="O896" s="2"/>
      <c r="P896" s="2"/>
      <c r="Q896" s="2"/>
      <c r="R896" s="2"/>
      <c r="S896" s="2"/>
      <c r="T896" s="2"/>
      <c r="U896" s="222"/>
      <c r="V896" s="2"/>
      <c r="W896" s="2"/>
      <c r="X896" s="2"/>
      <c r="Z896" s="2"/>
      <c r="AA896" s="2"/>
      <c r="AB896" s="2"/>
      <c r="AC896" s="2"/>
    </row>
    <row r="897" spans="1:29" ht="15.75" customHeight="1" x14ac:dyDescent="0.3">
      <c r="A897" s="2"/>
      <c r="C897" s="2"/>
      <c r="D897" s="2"/>
      <c r="E897" s="2"/>
      <c r="F897" s="2"/>
      <c r="G897" s="92"/>
      <c r="H897" s="2"/>
      <c r="I897" s="2"/>
      <c r="J897" s="2"/>
      <c r="K897" s="90"/>
      <c r="L897" s="2"/>
      <c r="N897" s="2"/>
      <c r="O897" s="2"/>
      <c r="P897" s="2"/>
      <c r="Q897" s="2"/>
      <c r="R897" s="2"/>
      <c r="S897" s="2"/>
      <c r="T897" s="2"/>
      <c r="U897" s="222"/>
      <c r="V897" s="2"/>
      <c r="W897" s="2"/>
      <c r="X897" s="2"/>
      <c r="Z897" s="2"/>
      <c r="AA897" s="2"/>
      <c r="AB897" s="2"/>
      <c r="AC897" s="2"/>
    </row>
    <row r="898" spans="1:29" ht="15.75" customHeight="1" x14ac:dyDescent="0.3">
      <c r="A898" s="2"/>
      <c r="C898" s="2"/>
      <c r="D898" s="2"/>
      <c r="E898" s="2"/>
      <c r="F898" s="2"/>
      <c r="G898" s="92"/>
      <c r="H898" s="2"/>
      <c r="I898" s="2"/>
      <c r="J898" s="2"/>
      <c r="K898" s="90"/>
      <c r="L898" s="2"/>
      <c r="N898" s="2"/>
      <c r="O898" s="2"/>
      <c r="P898" s="2"/>
      <c r="Q898" s="2"/>
      <c r="R898" s="2"/>
      <c r="S898" s="2"/>
      <c r="T898" s="2"/>
      <c r="U898" s="222"/>
      <c r="V898" s="2"/>
      <c r="W898" s="2"/>
      <c r="X898" s="2"/>
      <c r="Z898" s="2"/>
      <c r="AA898" s="2"/>
      <c r="AB898" s="2"/>
      <c r="AC898" s="2"/>
    </row>
    <row r="899" spans="1:29" ht="15.75" customHeight="1" x14ac:dyDescent="0.3">
      <c r="A899" s="2"/>
      <c r="C899" s="2"/>
      <c r="D899" s="2"/>
      <c r="E899" s="2"/>
      <c r="F899" s="2"/>
      <c r="G899" s="92"/>
      <c r="H899" s="2"/>
      <c r="I899" s="2"/>
      <c r="J899" s="2"/>
      <c r="K899" s="90"/>
      <c r="L899" s="2"/>
      <c r="N899" s="2"/>
      <c r="O899" s="2"/>
      <c r="P899" s="2"/>
      <c r="Q899" s="2"/>
      <c r="R899" s="2"/>
      <c r="S899" s="2"/>
      <c r="T899" s="2"/>
      <c r="U899" s="222"/>
      <c r="V899" s="2"/>
      <c r="W899" s="2"/>
      <c r="X899" s="2"/>
      <c r="Z899" s="2"/>
      <c r="AA899" s="2"/>
      <c r="AB899" s="2"/>
      <c r="AC899" s="2"/>
    </row>
    <row r="900" spans="1:29" ht="15.75" customHeight="1" x14ac:dyDescent="0.3">
      <c r="A900" s="2"/>
      <c r="C900" s="2"/>
      <c r="D900" s="2"/>
      <c r="E900" s="2"/>
      <c r="F900" s="2"/>
      <c r="G900" s="92"/>
      <c r="H900" s="2"/>
      <c r="I900" s="2"/>
      <c r="J900" s="2"/>
      <c r="K900" s="90"/>
      <c r="L900" s="2"/>
      <c r="N900" s="2"/>
      <c r="O900" s="2"/>
      <c r="P900" s="2"/>
      <c r="Q900" s="2"/>
      <c r="R900" s="2"/>
      <c r="S900" s="2"/>
      <c r="T900" s="2"/>
      <c r="U900" s="222"/>
      <c r="V900" s="2"/>
      <c r="W900" s="2"/>
      <c r="X900" s="2"/>
      <c r="Z900" s="2"/>
      <c r="AA900" s="2"/>
      <c r="AB900" s="2"/>
      <c r="AC900" s="2"/>
    </row>
    <row r="901" spans="1:29" ht="15.75" customHeight="1" x14ac:dyDescent="0.3">
      <c r="A901" s="2"/>
      <c r="C901" s="2"/>
      <c r="D901" s="2"/>
      <c r="E901" s="2"/>
      <c r="F901" s="2"/>
      <c r="G901" s="92"/>
      <c r="H901" s="2"/>
      <c r="I901" s="2"/>
      <c r="J901" s="2"/>
      <c r="K901" s="90"/>
      <c r="L901" s="2"/>
      <c r="N901" s="2"/>
      <c r="O901" s="2"/>
      <c r="P901" s="2"/>
      <c r="Q901" s="2"/>
      <c r="R901" s="2"/>
      <c r="S901" s="2"/>
      <c r="T901" s="2"/>
      <c r="U901" s="222"/>
      <c r="V901" s="2"/>
      <c r="W901" s="2"/>
      <c r="X901" s="2"/>
      <c r="Z901" s="2"/>
      <c r="AA901" s="2"/>
      <c r="AB901" s="2"/>
      <c r="AC901" s="2"/>
    </row>
    <row r="902" spans="1:29" ht="15.75" customHeight="1" x14ac:dyDescent="0.3">
      <c r="A902" s="2"/>
      <c r="C902" s="2"/>
      <c r="D902" s="2"/>
      <c r="E902" s="2"/>
      <c r="F902" s="2"/>
      <c r="G902" s="92"/>
      <c r="H902" s="2"/>
      <c r="I902" s="2"/>
      <c r="J902" s="2"/>
      <c r="K902" s="90"/>
      <c r="L902" s="2"/>
      <c r="N902" s="2"/>
      <c r="O902" s="2"/>
      <c r="P902" s="2"/>
      <c r="Q902" s="2"/>
      <c r="R902" s="2"/>
      <c r="S902" s="2"/>
      <c r="T902" s="2"/>
      <c r="U902" s="222"/>
      <c r="V902" s="2"/>
      <c r="W902" s="2"/>
      <c r="X902" s="2"/>
      <c r="Z902" s="2"/>
      <c r="AA902" s="2"/>
      <c r="AB902" s="2"/>
      <c r="AC902" s="2"/>
    </row>
    <row r="903" spans="1:29" ht="15.75" customHeight="1" x14ac:dyDescent="0.3">
      <c r="A903" s="2"/>
      <c r="C903" s="2"/>
      <c r="D903" s="2"/>
      <c r="E903" s="2"/>
      <c r="F903" s="2"/>
      <c r="G903" s="92"/>
      <c r="H903" s="2"/>
      <c r="I903" s="2"/>
      <c r="J903" s="2"/>
      <c r="K903" s="90"/>
      <c r="L903" s="2"/>
      <c r="N903" s="2"/>
      <c r="O903" s="2"/>
      <c r="P903" s="2"/>
      <c r="Q903" s="2"/>
      <c r="R903" s="2"/>
      <c r="S903" s="2"/>
      <c r="T903" s="2"/>
      <c r="U903" s="222"/>
      <c r="V903" s="2"/>
      <c r="W903" s="2"/>
      <c r="X903" s="2"/>
      <c r="Z903" s="2"/>
      <c r="AA903" s="2"/>
      <c r="AB903" s="2"/>
      <c r="AC903" s="2"/>
    </row>
    <row r="904" spans="1:29" ht="15.75" customHeight="1" x14ac:dyDescent="0.3">
      <c r="A904" s="2"/>
      <c r="C904" s="2"/>
      <c r="D904" s="2"/>
      <c r="E904" s="2"/>
      <c r="F904" s="2"/>
      <c r="G904" s="92"/>
      <c r="H904" s="2"/>
      <c r="I904" s="2"/>
      <c r="J904" s="2"/>
      <c r="K904" s="90"/>
      <c r="L904" s="2"/>
      <c r="N904" s="2"/>
      <c r="O904" s="2"/>
      <c r="P904" s="2"/>
      <c r="Q904" s="2"/>
      <c r="R904" s="2"/>
      <c r="S904" s="2"/>
      <c r="T904" s="2"/>
      <c r="U904" s="222"/>
      <c r="V904" s="2"/>
      <c r="W904" s="2"/>
      <c r="X904" s="2"/>
      <c r="Z904" s="2"/>
      <c r="AA904" s="2"/>
      <c r="AB904" s="2"/>
      <c r="AC904" s="2"/>
    </row>
    <row r="905" spans="1:29" ht="15.75" customHeight="1" x14ac:dyDescent="0.3">
      <c r="A905" s="2"/>
      <c r="C905" s="2"/>
      <c r="D905" s="2"/>
      <c r="E905" s="2"/>
      <c r="F905" s="2"/>
      <c r="G905" s="92"/>
      <c r="H905" s="2"/>
      <c r="I905" s="2"/>
      <c r="J905" s="2"/>
      <c r="K905" s="90"/>
      <c r="L905" s="2"/>
      <c r="N905" s="2"/>
      <c r="O905" s="2"/>
      <c r="P905" s="2"/>
      <c r="Q905" s="2"/>
      <c r="R905" s="2"/>
      <c r="S905" s="2"/>
      <c r="T905" s="2"/>
      <c r="U905" s="222"/>
      <c r="V905" s="2"/>
      <c r="W905" s="2"/>
      <c r="X905" s="2"/>
      <c r="Z905" s="2"/>
      <c r="AA905" s="2"/>
      <c r="AB905" s="2"/>
      <c r="AC905" s="2"/>
    </row>
    <row r="906" spans="1:29" ht="15.75" customHeight="1" x14ac:dyDescent="0.3">
      <c r="A906" s="2"/>
      <c r="C906" s="2"/>
      <c r="D906" s="2"/>
      <c r="E906" s="2"/>
      <c r="F906" s="2"/>
      <c r="G906" s="92"/>
      <c r="H906" s="2"/>
      <c r="I906" s="2"/>
      <c r="J906" s="2"/>
      <c r="K906" s="90"/>
      <c r="L906" s="2"/>
      <c r="N906" s="2"/>
      <c r="O906" s="2"/>
      <c r="P906" s="2"/>
      <c r="Q906" s="2"/>
      <c r="R906" s="2"/>
      <c r="S906" s="2"/>
      <c r="T906" s="2"/>
      <c r="U906" s="222"/>
      <c r="V906" s="2"/>
      <c r="W906" s="2"/>
      <c r="X906" s="2"/>
      <c r="Z906" s="2"/>
      <c r="AA906" s="2"/>
      <c r="AB906" s="2"/>
      <c r="AC906" s="2"/>
    </row>
    <row r="907" spans="1:29" ht="15.75" customHeight="1" x14ac:dyDescent="0.3">
      <c r="A907" s="2"/>
      <c r="C907" s="2"/>
      <c r="D907" s="2"/>
      <c r="E907" s="2"/>
      <c r="F907" s="2"/>
      <c r="G907" s="92"/>
      <c r="H907" s="2"/>
      <c r="I907" s="2"/>
      <c r="J907" s="2"/>
      <c r="K907" s="90"/>
      <c r="L907" s="2"/>
      <c r="N907" s="2"/>
      <c r="O907" s="2"/>
      <c r="P907" s="2"/>
      <c r="Q907" s="2"/>
      <c r="R907" s="2"/>
      <c r="S907" s="2"/>
      <c r="T907" s="2"/>
      <c r="U907" s="222"/>
      <c r="V907" s="2"/>
      <c r="W907" s="2"/>
      <c r="X907" s="2"/>
      <c r="Z907" s="2"/>
      <c r="AA907" s="2"/>
      <c r="AB907" s="2"/>
      <c r="AC907" s="2"/>
    </row>
    <row r="908" spans="1:29" ht="15.75" customHeight="1" x14ac:dyDescent="0.3">
      <c r="A908" s="2"/>
      <c r="C908" s="2"/>
      <c r="D908" s="2"/>
      <c r="E908" s="2"/>
      <c r="F908" s="2"/>
      <c r="G908" s="92"/>
      <c r="H908" s="2"/>
      <c r="I908" s="2"/>
      <c r="J908" s="2"/>
      <c r="K908" s="90"/>
      <c r="L908" s="2"/>
      <c r="N908" s="2"/>
      <c r="O908" s="2"/>
      <c r="P908" s="2"/>
      <c r="Q908" s="2"/>
      <c r="R908" s="2"/>
      <c r="S908" s="2"/>
      <c r="T908" s="2"/>
      <c r="U908" s="222"/>
      <c r="V908" s="2"/>
      <c r="W908" s="2"/>
      <c r="X908" s="2"/>
      <c r="Z908" s="2"/>
      <c r="AA908" s="2"/>
      <c r="AB908" s="2"/>
      <c r="AC908" s="2"/>
    </row>
    <row r="909" spans="1:29" ht="15.75" customHeight="1" x14ac:dyDescent="0.3">
      <c r="A909" s="2"/>
      <c r="C909" s="2"/>
      <c r="D909" s="2"/>
      <c r="E909" s="2"/>
      <c r="F909" s="2"/>
      <c r="G909" s="92"/>
      <c r="H909" s="2"/>
      <c r="I909" s="2"/>
      <c r="J909" s="2"/>
      <c r="K909" s="90"/>
      <c r="L909" s="2"/>
      <c r="N909" s="2"/>
      <c r="O909" s="2"/>
      <c r="P909" s="2"/>
      <c r="Q909" s="2"/>
      <c r="R909" s="2"/>
      <c r="S909" s="2"/>
      <c r="T909" s="2"/>
      <c r="U909" s="222"/>
      <c r="V909" s="2"/>
      <c r="W909" s="2"/>
      <c r="X909" s="2"/>
      <c r="Z909" s="2"/>
      <c r="AA909" s="2"/>
      <c r="AB909" s="2"/>
      <c r="AC909" s="2"/>
    </row>
    <row r="910" spans="1:29" ht="15.75" customHeight="1" x14ac:dyDescent="0.3">
      <c r="A910" s="2"/>
      <c r="C910" s="2"/>
      <c r="D910" s="2"/>
      <c r="E910" s="2"/>
      <c r="F910" s="2"/>
      <c r="G910" s="92"/>
      <c r="H910" s="2"/>
      <c r="I910" s="2"/>
      <c r="J910" s="2"/>
      <c r="K910" s="90"/>
      <c r="L910" s="2"/>
      <c r="N910" s="2"/>
      <c r="O910" s="2"/>
      <c r="P910" s="2"/>
      <c r="Q910" s="2"/>
      <c r="R910" s="2"/>
      <c r="S910" s="2"/>
      <c r="T910" s="2"/>
      <c r="U910" s="222"/>
      <c r="V910" s="2"/>
      <c r="W910" s="2"/>
      <c r="X910" s="2"/>
      <c r="Z910" s="2"/>
      <c r="AA910" s="2"/>
      <c r="AB910" s="2"/>
      <c r="AC910" s="2"/>
    </row>
    <row r="911" spans="1:29" ht="15.75" customHeight="1" x14ac:dyDescent="0.3">
      <c r="A911" s="2"/>
      <c r="C911" s="2"/>
      <c r="D911" s="2"/>
      <c r="E911" s="2"/>
      <c r="F911" s="2"/>
      <c r="G911" s="92"/>
      <c r="H911" s="2"/>
      <c r="I911" s="2"/>
      <c r="J911" s="2"/>
      <c r="K911" s="90"/>
      <c r="L911" s="2"/>
      <c r="N911" s="2"/>
      <c r="O911" s="2"/>
      <c r="P911" s="2"/>
      <c r="Q911" s="2"/>
      <c r="R911" s="2"/>
      <c r="S911" s="2"/>
      <c r="T911" s="2"/>
      <c r="U911" s="222"/>
      <c r="V911" s="2"/>
      <c r="W911" s="2"/>
      <c r="X911" s="2"/>
      <c r="Z911" s="2"/>
      <c r="AA911" s="2"/>
      <c r="AB911" s="2"/>
      <c r="AC911" s="2"/>
    </row>
    <row r="912" spans="1:29" ht="15.75" customHeight="1" x14ac:dyDescent="0.3">
      <c r="A912" s="2"/>
      <c r="C912" s="2"/>
      <c r="D912" s="2"/>
      <c r="E912" s="2"/>
      <c r="F912" s="2"/>
      <c r="G912" s="92"/>
      <c r="H912" s="2"/>
      <c r="I912" s="2"/>
      <c r="J912" s="2"/>
      <c r="K912" s="90"/>
      <c r="L912" s="2"/>
      <c r="N912" s="2"/>
      <c r="O912" s="2"/>
      <c r="P912" s="2"/>
      <c r="Q912" s="2"/>
      <c r="R912" s="2"/>
      <c r="S912" s="2"/>
      <c r="T912" s="2"/>
      <c r="U912" s="222"/>
      <c r="V912" s="2"/>
      <c r="W912" s="2"/>
      <c r="X912" s="2"/>
      <c r="Z912" s="2"/>
      <c r="AA912" s="2"/>
      <c r="AB912" s="2"/>
      <c r="AC912" s="2"/>
    </row>
    <row r="913" spans="1:29" ht="15.75" customHeight="1" x14ac:dyDescent="0.3">
      <c r="A913" s="2"/>
      <c r="C913" s="2"/>
      <c r="D913" s="2"/>
      <c r="E913" s="2"/>
      <c r="F913" s="2"/>
      <c r="G913" s="92"/>
      <c r="H913" s="2"/>
      <c r="I913" s="2"/>
      <c r="J913" s="2"/>
      <c r="K913" s="90"/>
      <c r="L913" s="2"/>
      <c r="N913" s="2"/>
      <c r="O913" s="2"/>
      <c r="P913" s="2"/>
      <c r="Q913" s="2"/>
      <c r="R913" s="2"/>
      <c r="S913" s="2"/>
      <c r="T913" s="2"/>
      <c r="U913" s="222"/>
      <c r="V913" s="2"/>
      <c r="W913" s="2"/>
      <c r="X913" s="2"/>
      <c r="Z913" s="2"/>
      <c r="AA913" s="2"/>
      <c r="AB913" s="2"/>
      <c r="AC913" s="2"/>
    </row>
    <row r="914" spans="1:29" ht="15.75" customHeight="1" x14ac:dyDescent="0.3">
      <c r="A914" s="2"/>
      <c r="C914" s="2"/>
      <c r="D914" s="2"/>
      <c r="E914" s="2"/>
      <c r="F914" s="2"/>
      <c r="G914" s="92"/>
      <c r="H914" s="2"/>
      <c r="I914" s="2"/>
      <c r="J914" s="2"/>
      <c r="K914" s="90"/>
      <c r="L914" s="2"/>
      <c r="N914" s="2"/>
      <c r="O914" s="2"/>
      <c r="P914" s="2"/>
      <c r="Q914" s="2"/>
      <c r="R914" s="2"/>
      <c r="S914" s="2"/>
      <c r="T914" s="2"/>
      <c r="U914" s="222"/>
      <c r="V914" s="2"/>
      <c r="W914" s="2"/>
      <c r="X914" s="2"/>
      <c r="Z914" s="2"/>
      <c r="AA914" s="2"/>
      <c r="AB914" s="2"/>
      <c r="AC914" s="2"/>
    </row>
    <row r="915" spans="1:29" ht="15.75" customHeight="1" x14ac:dyDescent="0.3">
      <c r="A915" s="2"/>
      <c r="C915" s="2"/>
      <c r="D915" s="2"/>
      <c r="E915" s="2"/>
      <c r="F915" s="2"/>
      <c r="G915" s="92"/>
      <c r="H915" s="2"/>
      <c r="I915" s="2"/>
      <c r="J915" s="2"/>
      <c r="K915" s="90"/>
      <c r="L915" s="2"/>
      <c r="N915" s="2"/>
      <c r="O915" s="2"/>
      <c r="P915" s="2"/>
      <c r="Q915" s="2"/>
      <c r="R915" s="2"/>
      <c r="S915" s="2"/>
      <c r="T915" s="2"/>
      <c r="U915" s="222"/>
      <c r="V915" s="2"/>
      <c r="W915" s="2"/>
      <c r="X915" s="2"/>
      <c r="Z915" s="2"/>
      <c r="AA915" s="2"/>
      <c r="AB915" s="2"/>
      <c r="AC915" s="2"/>
    </row>
    <row r="916" spans="1:29" ht="15.75" customHeight="1" x14ac:dyDescent="0.3">
      <c r="A916" s="2"/>
      <c r="C916" s="2"/>
      <c r="D916" s="2"/>
      <c r="E916" s="2"/>
      <c r="F916" s="2"/>
      <c r="G916" s="92"/>
      <c r="H916" s="2"/>
      <c r="I916" s="2"/>
      <c r="J916" s="2"/>
      <c r="K916" s="90"/>
      <c r="L916" s="2"/>
      <c r="N916" s="2"/>
      <c r="O916" s="2"/>
      <c r="P916" s="2"/>
      <c r="Q916" s="2"/>
      <c r="R916" s="2"/>
      <c r="S916" s="2"/>
      <c r="T916" s="2"/>
      <c r="U916" s="222"/>
      <c r="V916" s="2"/>
      <c r="W916" s="2"/>
      <c r="X916" s="2"/>
      <c r="Z916" s="2"/>
      <c r="AA916" s="2"/>
      <c r="AB916" s="2"/>
      <c r="AC916" s="2"/>
    </row>
    <row r="917" spans="1:29" ht="15.75" customHeight="1" x14ac:dyDescent="0.3">
      <c r="A917" s="2"/>
      <c r="C917" s="2"/>
      <c r="D917" s="2"/>
      <c r="E917" s="2"/>
      <c r="F917" s="2"/>
      <c r="G917" s="92"/>
      <c r="H917" s="2"/>
      <c r="I917" s="2"/>
      <c r="J917" s="2"/>
      <c r="K917" s="90"/>
      <c r="L917" s="2"/>
      <c r="N917" s="2"/>
      <c r="O917" s="2"/>
      <c r="P917" s="2"/>
      <c r="Q917" s="2"/>
      <c r="R917" s="2"/>
      <c r="S917" s="2"/>
      <c r="T917" s="2"/>
      <c r="U917" s="222"/>
      <c r="V917" s="2"/>
      <c r="W917" s="2"/>
      <c r="X917" s="2"/>
      <c r="Z917" s="2"/>
      <c r="AA917" s="2"/>
      <c r="AB917" s="2"/>
      <c r="AC917" s="2"/>
    </row>
    <row r="918" spans="1:29" ht="15.75" customHeight="1" x14ac:dyDescent="0.3">
      <c r="A918" s="2"/>
      <c r="C918" s="2"/>
      <c r="D918" s="2"/>
      <c r="E918" s="2"/>
      <c r="F918" s="2"/>
      <c r="G918" s="92"/>
      <c r="H918" s="2"/>
      <c r="I918" s="2"/>
      <c r="J918" s="2"/>
      <c r="K918" s="90"/>
      <c r="L918" s="2"/>
      <c r="N918" s="2"/>
      <c r="O918" s="2"/>
      <c r="P918" s="2"/>
      <c r="Q918" s="2"/>
      <c r="R918" s="2"/>
      <c r="S918" s="2"/>
      <c r="T918" s="2"/>
      <c r="U918" s="222"/>
      <c r="V918" s="2"/>
      <c r="W918" s="2"/>
      <c r="X918" s="2"/>
      <c r="Z918" s="2"/>
      <c r="AA918" s="2"/>
      <c r="AB918" s="2"/>
      <c r="AC918" s="2"/>
    </row>
    <row r="919" spans="1:29" ht="15.75" customHeight="1" x14ac:dyDescent="0.3">
      <c r="A919" s="2"/>
      <c r="C919" s="2"/>
      <c r="D919" s="2"/>
      <c r="E919" s="2"/>
      <c r="F919" s="2"/>
      <c r="G919" s="92"/>
      <c r="H919" s="2"/>
      <c r="I919" s="2"/>
      <c r="J919" s="2"/>
      <c r="K919" s="90"/>
      <c r="L919" s="2"/>
      <c r="N919" s="2"/>
      <c r="O919" s="2"/>
      <c r="P919" s="2"/>
      <c r="Q919" s="2"/>
      <c r="R919" s="2"/>
      <c r="S919" s="2"/>
      <c r="T919" s="2"/>
      <c r="U919" s="222"/>
      <c r="V919" s="2"/>
      <c r="W919" s="2"/>
      <c r="X919" s="2"/>
      <c r="Z919" s="2"/>
      <c r="AA919" s="2"/>
      <c r="AB919" s="2"/>
      <c r="AC919" s="2"/>
    </row>
    <row r="920" spans="1:29" ht="15.75" customHeight="1" x14ac:dyDescent="0.3">
      <c r="A920" s="2"/>
      <c r="C920" s="2"/>
      <c r="D920" s="2"/>
      <c r="E920" s="2"/>
      <c r="F920" s="2"/>
      <c r="G920" s="92"/>
      <c r="H920" s="2"/>
      <c r="I920" s="2"/>
      <c r="J920" s="2"/>
      <c r="K920" s="90"/>
      <c r="L920" s="2"/>
      <c r="N920" s="2"/>
      <c r="O920" s="2"/>
      <c r="P920" s="2"/>
      <c r="Q920" s="2"/>
      <c r="R920" s="2"/>
      <c r="S920" s="2"/>
      <c r="T920" s="2"/>
      <c r="U920" s="222"/>
      <c r="V920" s="2"/>
      <c r="W920" s="2"/>
      <c r="X920" s="2"/>
      <c r="Z920" s="2"/>
      <c r="AA920" s="2"/>
      <c r="AB920" s="2"/>
      <c r="AC920" s="2"/>
    </row>
    <row r="921" spans="1:29" ht="15.75" customHeight="1" x14ac:dyDescent="0.3">
      <c r="A921" s="2"/>
      <c r="C921" s="2"/>
      <c r="D921" s="2"/>
      <c r="E921" s="2"/>
      <c r="F921" s="2"/>
      <c r="G921" s="92"/>
      <c r="H921" s="2"/>
      <c r="I921" s="2"/>
      <c r="J921" s="2"/>
      <c r="K921" s="90"/>
      <c r="L921" s="2"/>
      <c r="N921" s="2"/>
      <c r="O921" s="2"/>
      <c r="P921" s="2"/>
      <c r="Q921" s="2"/>
      <c r="R921" s="2"/>
      <c r="S921" s="2"/>
      <c r="T921" s="2"/>
      <c r="U921" s="222"/>
      <c r="V921" s="2"/>
      <c r="W921" s="2"/>
      <c r="X921" s="2"/>
      <c r="Z921" s="2"/>
      <c r="AA921" s="2"/>
      <c r="AB921" s="2"/>
      <c r="AC921" s="2"/>
    </row>
    <row r="922" spans="1:29" ht="15.75" customHeight="1" x14ac:dyDescent="0.3">
      <c r="A922" s="2"/>
      <c r="C922" s="2"/>
      <c r="D922" s="2"/>
      <c r="E922" s="2"/>
      <c r="F922" s="2"/>
      <c r="G922" s="92"/>
      <c r="H922" s="2"/>
      <c r="I922" s="2"/>
      <c r="J922" s="2"/>
      <c r="K922" s="90"/>
      <c r="L922" s="2"/>
      <c r="N922" s="2"/>
      <c r="O922" s="2"/>
      <c r="P922" s="2"/>
      <c r="Q922" s="2"/>
      <c r="R922" s="2"/>
      <c r="S922" s="2"/>
      <c r="T922" s="2"/>
      <c r="U922" s="222"/>
      <c r="V922" s="2"/>
      <c r="W922" s="2"/>
      <c r="X922" s="2"/>
      <c r="Z922" s="2"/>
      <c r="AA922" s="2"/>
      <c r="AB922" s="2"/>
      <c r="AC922" s="2"/>
    </row>
    <row r="923" spans="1:29" ht="15.75" customHeight="1" x14ac:dyDescent="0.3">
      <c r="A923" s="2"/>
      <c r="C923" s="2"/>
      <c r="D923" s="2"/>
      <c r="E923" s="2"/>
      <c r="F923" s="2"/>
      <c r="G923" s="92"/>
      <c r="H923" s="2"/>
      <c r="I923" s="2"/>
      <c r="J923" s="2"/>
      <c r="K923" s="90"/>
      <c r="L923" s="2"/>
      <c r="N923" s="2"/>
      <c r="O923" s="2"/>
      <c r="P923" s="2"/>
      <c r="Q923" s="2"/>
      <c r="R923" s="2"/>
      <c r="S923" s="2"/>
      <c r="T923" s="2"/>
      <c r="U923" s="222"/>
      <c r="V923" s="2"/>
      <c r="W923" s="2"/>
      <c r="X923" s="2"/>
      <c r="Z923" s="2"/>
      <c r="AA923" s="2"/>
      <c r="AB923" s="2"/>
      <c r="AC923" s="2"/>
    </row>
    <row r="924" spans="1:29" ht="15.75" customHeight="1" x14ac:dyDescent="0.3">
      <c r="A924" s="2"/>
      <c r="C924" s="2"/>
      <c r="D924" s="2"/>
      <c r="E924" s="2"/>
      <c r="F924" s="2"/>
      <c r="G924" s="92"/>
      <c r="H924" s="2"/>
      <c r="I924" s="2"/>
      <c r="J924" s="2"/>
      <c r="K924" s="90"/>
      <c r="L924" s="2"/>
      <c r="N924" s="2"/>
      <c r="O924" s="2"/>
      <c r="P924" s="2"/>
      <c r="Q924" s="2"/>
      <c r="R924" s="2"/>
      <c r="S924" s="2"/>
      <c r="T924" s="2"/>
      <c r="U924" s="222"/>
      <c r="V924" s="2"/>
      <c r="W924" s="2"/>
      <c r="X924" s="2"/>
      <c r="Z924" s="2"/>
      <c r="AA924" s="2"/>
      <c r="AB924" s="2"/>
      <c r="AC924" s="2"/>
    </row>
    <row r="925" spans="1:29" ht="15.75" customHeight="1" x14ac:dyDescent="0.3">
      <c r="A925" s="2"/>
      <c r="C925" s="2"/>
      <c r="D925" s="2"/>
      <c r="E925" s="2"/>
      <c r="F925" s="2"/>
      <c r="G925" s="92"/>
      <c r="H925" s="2"/>
      <c r="I925" s="2"/>
      <c r="J925" s="2"/>
      <c r="K925" s="90"/>
      <c r="L925" s="2"/>
      <c r="N925" s="2"/>
      <c r="O925" s="2"/>
      <c r="P925" s="2"/>
      <c r="Q925" s="2"/>
      <c r="R925" s="2"/>
      <c r="S925" s="2"/>
      <c r="T925" s="2"/>
      <c r="U925" s="222"/>
      <c r="V925" s="2"/>
      <c r="W925" s="2"/>
      <c r="X925" s="2"/>
      <c r="Z925" s="2"/>
      <c r="AA925" s="2"/>
      <c r="AB925" s="2"/>
      <c r="AC925" s="2"/>
    </row>
    <row r="926" spans="1:29" ht="15.75" customHeight="1" x14ac:dyDescent="0.3">
      <c r="A926" s="2"/>
      <c r="C926" s="2"/>
      <c r="D926" s="2"/>
      <c r="E926" s="2"/>
      <c r="F926" s="2"/>
      <c r="G926" s="92"/>
      <c r="H926" s="2"/>
      <c r="I926" s="2"/>
      <c r="J926" s="2"/>
      <c r="K926" s="90"/>
      <c r="L926" s="2"/>
      <c r="N926" s="2"/>
      <c r="O926" s="2"/>
      <c r="P926" s="2"/>
      <c r="Q926" s="2"/>
      <c r="R926" s="2"/>
      <c r="S926" s="2"/>
      <c r="T926" s="2"/>
      <c r="U926" s="222"/>
      <c r="V926" s="2"/>
      <c r="W926" s="2"/>
      <c r="X926" s="2"/>
      <c r="Z926" s="2"/>
      <c r="AA926" s="2"/>
      <c r="AB926" s="2"/>
      <c r="AC926" s="2"/>
    </row>
    <row r="927" spans="1:29" ht="15.75" customHeight="1" x14ac:dyDescent="0.3">
      <c r="A927" s="2"/>
      <c r="C927" s="2"/>
      <c r="D927" s="2"/>
      <c r="E927" s="2"/>
      <c r="F927" s="2"/>
      <c r="G927" s="92"/>
      <c r="H927" s="2"/>
      <c r="I927" s="2"/>
      <c r="J927" s="2"/>
      <c r="K927" s="90"/>
      <c r="L927" s="2"/>
      <c r="N927" s="2"/>
      <c r="O927" s="2"/>
      <c r="P927" s="2"/>
      <c r="Q927" s="2"/>
      <c r="R927" s="2"/>
      <c r="S927" s="2"/>
      <c r="T927" s="2"/>
      <c r="U927" s="222"/>
      <c r="V927" s="2"/>
      <c r="W927" s="2"/>
      <c r="X927" s="2"/>
      <c r="Z927" s="2"/>
      <c r="AA927" s="2"/>
      <c r="AB927" s="2"/>
      <c r="AC927" s="2"/>
    </row>
    <row r="928" spans="1:29" ht="15.75" customHeight="1" x14ac:dyDescent="0.3">
      <c r="A928" s="2"/>
      <c r="C928" s="2"/>
      <c r="D928" s="2"/>
      <c r="E928" s="2"/>
      <c r="F928" s="2"/>
      <c r="G928" s="92"/>
      <c r="H928" s="2"/>
      <c r="I928" s="2"/>
      <c r="J928" s="2"/>
      <c r="K928" s="90"/>
      <c r="L928" s="2"/>
      <c r="N928" s="2"/>
      <c r="O928" s="2"/>
      <c r="P928" s="2"/>
      <c r="Q928" s="2"/>
      <c r="R928" s="2"/>
      <c r="S928" s="2"/>
      <c r="T928" s="2"/>
      <c r="U928" s="222"/>
      <c r="V928" s="2"/>
      <c r="W928" s="2"/>
      <c r="X928" s="2"/>
      <c r="Z928" s="2"/>
      <c r="AA928" s="2"/>
      <c r="AB928" s="2"/>
      <c r="AC928" s="2"/>
    </row>
    <row r="929" spans="1:29" ht="15.75" customHeight="1" x14ac:dyDescent="0.3">
      <c r="A929" s="2"/>
      <c r="C929" s="2"/>
      <c r="D929" s="2"/>
      <c r="E929" s="2"/>
      <c r="F929" s="2"/>
      <c r="G929" s="92"/>
      <c r="H929" s="2"/>
      <c r="I929" s="2"/>
      <c r="J929" s="2"/>
      <c r="K929" s="90"/>
      <c r="L929" s="2"/>
      <c r="N929" s="2"/>
      <c r="O929" s="2"/>
      <c r="P929" s="2"/>
      <c r="Q929" s="2"/>
      <c r="R929" s="2"/>
      <c r="S929" s="2"/>
      <c r="T929" s="2"/>
      <c r="U929" s="222"/>
      <c r="V929" s="2"/>
      <c r="W929" s="2"/>
      <c r="X929" s="2"/>
      <c r="Z929" s="2"/>
      <c r="AA929" s="2"/>
      <c r="AB929" s="2"/>
      <c r="AC929" s="2"/>
    </row>
    <row r="930" spans="1:29" ht="15.75" customHeight="1" x14ac:dyDescent="0.3">
      <c r="A930" s="2"/>
      <c r="C930" s="2"/>
      <c r="D930" s="2"/>
      <c r="E930" s="2"/>
      <c r="F930" s="2"/>
      <c r="G930" s="92"/>
      <c r="H930" s="2"/>
      <c r="I930" s="2"/>
      <c r="J930" s="2"/>
      <c r="K930" s="90"/>
      <c r="L930" s="2"/>
      <c r="N930" s="2"/>
      <c r="O930" s="2"/>
      <c r="P930" s="2"/>
      <c r="Q930" s="2"/>
      <c r="R930" s="2"/>
      <c r="S930" s="2"/>
      <c r="T930" s="2"/>
      <c r="U930" s="222"/>
      <c r="V930" s="2"/>
      <c r="W930" s="2"/>
      <c r="X930" s="2"/>
      <c r="Z930" s="2"/>
      <c r="AA930" s="2"/>
      <c r="AB930" s="2"/>
      <c r="AC930" s="2"/>
    </row>
    <row r="931" spans="1:29" ht="15.75" customHeight="1" x14ac:dyDescent="0.3">
      <c r="A931" s="2"/>
      <c r="C931" s="2"/>
      <c r="D931" s="2"/>
      <c r="E931" s="2"/>
      <c r="F931" s="2"/>
      <c r="G931" s="92"/>
      <c r="H931" s="2"/>
      <c r="I931" s="2"/>
      <c r="J931" s="2"/>
      <c r="K931" s="90"/>
      <c r="L931" s="2"/>
      <c r="N931" s="2"/>
      <c r="O931" s="2"/>
      <c r="P931" s="2"/>
      <c r="Q931" s="2"/>
      <c r="R931" s="2"/>
      <c r="S931" s="2"/>
      <c r="T931" s="2"/>
      <c r="U931" s="222"/>
      <c r="V931" s="2"/>
      <c r="W931" s="2"/>
      <c r="X931" s="2"/>
      <c r="Z931" s="2"/>
      <c r="AA931" s="2"/>
      <c r="AB931" s="2"/>
      <c r="AC931" s="2"/>
    </row>
    <row r="932" spans="1:29" ht="15.75" customHeight="1" x14ac:dyDescent="0.3">
      <c r="A932" s="2"/>
      <c r="C932" s="2"/>
      <c r="D932" s="2"/>
      <c r="E932" s="2"/>
      <c r="F932" s="2"/>
      <c r="G932" s="92"/>
      <c r="H932" s="2"/>
      <c r="I932" s="2"/>
      <c r="J932" s="2"/>
      <c r="K932" s="90"/>
      <c r="L932" s="2"/>
      <c r="N932" s="2"/>
      <c r="O932" s="2"/>
      <c r="P932" s="2"/>
      <c r="Q932" s="2"/>
      <c r="R932" s="2"/>
      <c r="S932" s="2"/>
      <c r="T932" s="2"/>
      <c r="U932" s="222"/>
      <c r="V932" s="2"/>
      <c r="W932" s="2"/>
      <c r="X932" s="2"/>
      <c r="Z932" s="2"/>
      <c r="AA932" s="2"/>
      <c r="AB932" s="2"/>
      <c r="AC932" s="2"/>
    </row>
    <row r="933" spans="1:29" ht="15.75" customHeight="1" x14ac:dyDescent="0.3">
      <c r="A933" s="2"/>
      <c r="C933" s="2"/>
      <c r="D933" s="2"/>
      <c r="E933" s="2"/>
      <c r="F933" s="2"/>
      <c r="G933" s="92"/>
      <c r="H933" s="2"/>
      <c r="I933" s="2"/>
      <c r="J933" s="2"/>
      <c r="K933" s="90"/>
      <c r="L933" s="2"/>
      <c r="N933" s="2"/>
      <c r="O933" s="2"/>
      <c r="P933" s="2"/>
      <c r="Q933" s="2"/>
      <c r="R933" s="2"/>
      <c r="S933" s="2"/>
      <c r="T933" s="2"/>
      <c r="U933" s="222"/>
      <c r="V933" s="2"/>
      <c r="W933" s="2"/>
      <c r="X933" s="2"/>
      <c r="Z933" s="2"/>
      <c r="AA933" s="2"/>
      <c r="AB933" s="2"/>
      <c r="AC933" s="2"/>
    </row>
    <row r="934" spans="1:29" ht="15.75" customHeight="1" x14ac:dyDescent="0.3">
      <c r="A934" s="2"/>
      <c r="C934" s="2"/>
      <c r="D934" s="2"/>
      <c r="E934" s="2"/>
      <c r="F934" s="2"/>
      <c r="G934" s="92"/>
      <c r="H934" s="2"/>
      <c r="I934" s="2"/>
      <c r="J934" s="2"/>
      <c r="K934" s="90"/>
      <c r="L934" s="2"/>
      <c r="N934" s="2"/>
      <c r="O934" s="2"/>
      <c r="P934" s="2"/>
      <c r="Q934" s="2"/>
      <c r="R934" s="2"/>
      <c r="S934" s="2"/>
      <c r="T934" s="2"/>
      <c r="U934" s="222"/>
      <c r="V934" s="2"/>
      <c r="W934" s="2"/>
      <c r="X934" s="2"/>
      <c r="Z934" s="2"/>
      <c r="AA934" s="2"/>
      <c r="AB934" s="2"/>
      <c r="AC934" s="2"/>
    </row>
    <row r="935" spans="1:29" ht="15.75" customHeight="1" x14ac:dyDescent="0.3">
      <c r="A935" s="2"/>
      <c r="C935" s="2"/>
      <c r="D935" s="2"/>
      <c r="E935" s="2"/>
      <c r="F935" s="2"/>
      <c r="G935" s="92"/>
      <c r="H935" s="2"/>
      <c r="I935" s="2"/>
      <c r="J935" s="2"/>
      <c r="K935" s="90"/>
      <c r="L935" s="2"/>
      <c r="N935" s="2"/>
      <c r="O935" s="2"/>
      <c r="P935" s="2"/>
      <c r="Q935" s="2"/>
      <c r="R935" s="2"/>
      <c r="S935" s="2"/>
      <c r="T935" s="2"/>
      <c r="U935" s="222"/>
      <c r="V935" s="2"/>
      <c r="W935" s="2"/>
      <c r="X935" s="2"/>
      <c r="Z935" s="2"/>
      <c r="AA935" s="2"/>
      <c r="AB935" s="2"/>
      <c r="AC935" s="2"/>
    </row>
    <row r="936" spans="1:29" ht="15.75" customHeight="1" x14ac:dyDescent="0.3">
      <c r="A936" s="2"/>
      <c r="C936" s="2"/>
      <c r="D936" s="2"/>
      <c r="E936" s="2"/>
      <c r="F936" s="2"/>
      <c r="G936" s="92"/>
      <c r="H936" s="2"/>
      <c r="I936" s="2"/>
      <c r="J936" s="2"/>
      <c r="K936" s="90"/>
      <c r="L936" s="2"/>
      <c r="N936" s="2"/>
      <c r="O936" s="2"/>
      <c r="P936" s="2"/>
      <c r="Q936" s="2"/>
      <c r="R936" s="2"/>
      <c r="S936" s="2"/>
      <c r="T936" s="2"/>
      <c r="U936" s="222"/>
      <c r="V936" s="2"/>
      <c r="W936" s="2"/>
      <c r="X936" s="2"/>
      <c r="Z936" s="2"/>
      <c r="AA936" s="2"/>
      <c r="AB936" s="2"/>
      <c r="AC936" s="2"/>
    </row>
    <row r="937" spans="1:29" ht="15.75" customHeight="1" x14ac:dyDescent="0.3">
      <c r="A937" s="2"/>
      <c r="C937" s="2"/>
      <c r="D937" s="2"/>
      <c r="E937" s="2"/>
      <c r="F937" s="2"/>
      <c r="G937" s="92"/>
      <c r="H937" s="2"/>
      <c r="I937" s="2"/>
      <c r="J937" s="2"/>
      <c r="K937" s="90"/>
      <c r="L937" s="2"/>
      <c r="N937" s="2"/>
      <c r="O937" s="2"/>
      <c r="P937" s="2"/>
      <c r="Q937" s="2"/>
      <c r="R937" s="2"/>
      <c r="S937" s="2"/>
      <c r="T937" s="2"/>
      <c r="U937" s="222"/>
      <c r="V937" s="2"/>
      <c r="W937" s="2"/>
      <c r="X937" s="2"/>
      <c r="Z937" s="2"/>
      <c r="AA937" s="2"/>
      <c r="AB937" s="2"/>
      <c r="AC937" s="2"/>
    </row>
    <row r="938" spans="1:29" ht="15.75" customHeight="1" x14ac:dyDescent="0.3">
      <c r="A938" s="2"/>
      <c r="C938" s="2"/>
      <c r="D938" s="2"/>
      <c r="E938" s="2"/>
      <c r="F938" s="2"/>
      <c r="G938" s="92"/>
      <c r="H938" s="2"/>
      <c r="I938" s="2"/>
      <c r="J938" s="2"/>
      <c r="K938" s="90"/>
      <c r="L938" s="2"/>
      <c r="N938" s="2"/>
      <c r="O938" s="2"/>
      <c r="P938" s="2"/>
      <c r="Q938" s="2"/>
      <c r="R938" s="2"/>
      <c r="S938" s="2"/>
      <c r="T938" s="2"/>
      <c r="U938" s="222"/>
      <c r="V938" s="2"/>
      <c r="W938" s="2"/>
      <c r="X938" s="2"/>
      <c r="Z938" s="2"/>
      <c r="AA938" s="2"/>
      <c r="AB938" s="2"/>
      <c r="AC938" s="2"/>
    </row>
    <row r="939" spans="1:29" ht="15.75" customHeight="1" x14ac:dyDescent="0.3">
      <c r="A939" s="2"/>
      <c r="C939" s="2"/>
      <c r="D939" s="2"/>
      <c r="E939" s="2"/>
      <c r="F939" s="2"/>
      <c r="G939" s="92"/>
      <c r="H939" s="2"/>
      <c r="I939" s="2"/>
      <c r="J939" s="2"/>
      <c r="K939" s="90"/>
      <c r="L939" s="2"/>
      <c r="N939" s="2"/>
      <c r="O939" s="2"/>
      <c r="P939" s="2"/>
      <c r="Q939" s="2"/>
      <c r="R939" s="2"/>
      <c r="S939" s="2"/>
      <c r="T939" s="2"/>
      <c r="U939" s="222"/>
      <c r="V939" s="2"/>
      <c r="W939" s="2"/>
      <c r="X939" s="2"/>
      <c r="Z939" s="2"/>
      <c r="AA939" s="2"/>
      <c r="AB939" s="2"/>
      <c r="AC939" s="2"/>
    </row>
    <row r="940" spans="1:29" ht="15.75" customHeight="1" x14ac:dyDescent="0.3">
      <c r="A940" s="2"/>
      <c r="C940" s="2"/>
      <c r="D940" s="2"/>
      <c r="E940" s="2"/>
      <c r="F940" s="2"/>
      <c r="G940" s="92"/>
      <c r="H940" s="2"/>
      <c r="I940" s="2"/>
      <c r="J940" s="2"/>
      <c r="K940" s="90"/>
      <c r="L940" s="2"/>
      <c r="N940" s="2"/>
      <c r="O940" s="2"/>
      <c r="P940" s="2"/>
      <c r="Q940" s="2"/>
      <c r="R940" s="2"/>
      <c r="S940" s="2"/>
      <c r="T940" s="2"/>
      <c r="U940" s="222"/>
      <c r="V940" s="2"/>
      <c r="W940" s="2"/>
      <c r="X940" s="2"/>
      <c r="Z940" s="2"/>
      <c r="AA940" s="2"/>
      <c r="AB940" s="2"/>
      <c r="AC940" s="2"/>
    </row>
    <row r="941" spans="1:29" ht="15.75" customHeight="1" x14ac:dyDescent="0.3">
      <c r="A941" s="2"/>
      <c r="C941" s="2"/>
      <c r="D941" s="2"/>
      <c r="E941" s="2"/>
      <c r="F941" s="2"/>
      <c r="G941" s="92"/>
      <c r="H941" s="2"/>
      <c r="I941" s="2"/>
      <c r="J941" s="2"/>
      <c r="K941" s="90"/>
      <c r="L941" s="2"/>
      <c r="N941" s="2"/>
      <c r="O941" s="2"/>
      <c r="P941" s="2"/>
      <c r="Q941" s="2"/>
      <c r="R941" s="2"/>
      <c r="S941" s="2"/>
      <c r="T941" s="2"/>
      <c r="U941" s="222"/>
      <c r="V941" s="2"/>
      <c r="W941" s="2"/>
      <c r="X941" s="2"/>
      <c r="Z941" s="2"/>
      <c r="AA941" s="2"/>
      <c r="AB941" s="2"/>
      <c r="AC941" s="2"/>
    </row>
    <row r="942" spans="1:29" ht="15.75" customHeight="1" x14ac:dyDescent="0.3">
      <c r="A942" s="2"/>
      <c r="C942" s="2"/>
      <c r="D942" s="2"/>
      <c r="E942" s="2"/>
      <c r="F942" s="2"/>
      <c r="G942" s="92"/>
      <c r="H942" s="2"/>
      <c r="I942" s="2"/>
      <c r="J942" s="2"/>
      <c r="K942" s="90"/>
      <c r="L942" s="2"/>
      <c r="N942" s="2"/>
      <c r="O942" s="2"/>
      <c r="P942" s="2"/>
      <c r="Q942" s="2"/>
      <c r="R942" s="2"/>
      <c r="S942" s="2"/>
      <c r="T942" s="2"/>
      <c r="U942" s="222"/>
      <c r="V942" s="2"/>
      <c r="W942" s="2"/>
      <c r="X942" s="2"/>
      <c r="Z942" s="2"/>
      <c r="AA942" s="2"/>
      <c r="AB942" s="2"/>
      <c r="AC942" s="2"/>
    </row>
    <row r="943" spans="1:29" ht="15.75" customHeight="1" x14ac:dyDescent="0.3">
      <c r="A943" s="2"/>
      <c r="C943" s="2"/>
      <c r="D943" s="2"/>
      <c r="E943" s="2"/>
      <c r="F943" s="2"/>
      <c r="G943" s="92"/>
      <c r="H943" s="2"/>
      <c r="I943" s="2"/>
      <c r="J943" s="2"/>
      <c r="K943" s="90"/>
      <c r="L943" s="2"/>
      <c r="N943" s="2"/>
      <c r="O943" s="2"/>
      <c r="P943" s="2"/>
      <c r="Q943" s="2"/>
      <c r="R943" s="2"/>
      <c r="S943" s="2"/>
      <c r="T943" s="2"/>
      <c r="U943" s="222"/>
      <c r="V943" s="2"/>
      <c r="W943" s="2"/>
      <c r="X943" s="2"/>
      <c r="Z943" s="2"/>
      <c r="AA943" s="2"/>
      <c r="AB943" s="2"/>
      <c r="AC943" s="2"/>
    </row>
    <row r="944" spans="1:29" ht="15.75" customHeight="1" x14ac:dyDescent="0.3">
      <c r="A944" s="2"/>
      <c r="C944" s="2"/>
      <c r="D944" s="2"/>
      <c r="E944" s="2"/>
      <c r="F944" s="2"/>
      <c r="G944" s="92"/>
      <c r="H944" s="2"/>
      <c r="I944" s="2"/>
      <c r="J944" s="2"/>
      <c r="K944" s="90"/>
      <c r="L944" s="2"/>
      <c r="N944" s="2"/>
      <c r="O944" s="2"/>
      <c r="P944" s="2"/>
      <c r="Q944" s="2"/>
      <c r="R944" s="2"/>
      <c r="S944" s="2"/>
      <c r="T944" s="2"/>
      <c r="U944" s="222"/>
      <c r="V944" s="2"/>
      <c r="W944" s="2"/>
      <c r="X944" s="2"/>
      <c r="Z944" s="2"/>
      <c r="AA944" s="2"/>
      <c r="AB944" s="2"/>
      <c r="AC944" s="2"/>
    </row>
    <row r="945" spans="1:29" ht="15.75" customHeight="1" x14ac:dyDescent="0.3">
      <c r="A945" s="2"/>
      <c r="C945" s="2"/>
      <c r="D945" s="2"/>
      <c r="E945" s="2"/>
      <c r="F945" s="2"/>
      <c r="G945" s="92"/>
      <c r="H945" s="2"/>
      <c r="I945" s="2"/>
      <c r="J945" s="2"/>
      <c r="K945" s="90"/>
      <c r="L945" s="2"/>
      <c r="N945" s="2"/>
      <c r="O945" s="2"/>
      <c r="P945" s="2"/>
      <c r="Q945" s="2"/>
      <c r="R945" s="2"/>
      <c r="S945" s="2"/>
      <c r="T945" s="2"/>
      <c r="U945" s="222"/>
      <c r="V945" s="2"/>
      <c r="W945" s="2"/>
      <c r="X945" s="2"/>
      <c r="Z945" s="2"/>
      <c r="AA945" s="2"/>
      <c r="AB945" s="2"/>
      <c r="AC945" s="2"/>
    </row>
    <row r="946" spans="1:29" ht="15.75" customHeight="1" x14ac:dyDescent="0.3">
      <c r="A946" s="2"/>
      <c r="C946" s="2"/>
      <c r="D946" s="2"/>
      <c r="E946" s="2"/>
      <c r="F946" s="2"/>
      <c r="G946" s="92"/>
      <c r="H946" s="2"/>
      <c r="I946" s="2"/>
      <c r="J946" s="2"/>
      <c r="K946" s="90"/>
      <c r="L946" s="2"/>
      <c r="N946" s="2"/>
      <c r="O946" s="2"/>
      <c r="P946" s="2"/>
      <c r="Q946" s="2"/>
      <c r="R946" s="2"/>
      <c r="S946" s="2"/>
      <c r="T946" s="2"/>
      <c r="U946" s="222"/>
      <c r="V946" s="2"/>
      <c r="W946" s="2"/>
      <c r="X946" s="2"/>
      <c r="Z946" s="2"/>
      <c r="AA946" s="2"/>
      <c r="AB946" s="2"/>
      <c r="AC946" s="2"/>
    </row>
    <row r="947" spans="1:29" ht="15.75" customHeight="1" x14ac:dyDescent="0.3">
      <c r="A947" s="2"/>
      <c r="C947" s="2"/>
      <c r="D947" s="2"/>
      <c r="E947" s="2"/>
      <c r="F947" s="2"/>
      <c r="G947" s="92"/>
      <c r="H947" s="2"/>
      <c r="I947" s="2"/>
      <c r="J947" s="2"/>
      <c r="K947" s="90"/>
      <c r="L947" s="2"/>
      <c r="N947" s="2"/>
      <c r="O947" s="2"/>
      <c r="P947" s="2"/>
      <c r="Q947" s="2"/>
      <c r="R947" s="2"/>
      <c r="S947" s="2"/>
      <c r="T947" s="2"/>
      <c r="U947" s="222"/>
      <c r="V947" s="2"/>
      <c r="W947" s="2"/>
      <c r="X947" s="2"/>
      <c r="Z947" s="2"/>
      <c r="AA947" s="2"/>
      <c r="AB947" s="2"/>
      <c r="AC947" s="2"/>
    </row>
    <row r="948" spans="1:29" ht="15.75" customHeight="1" x14ac:dyDescent="0.3">
      <c r="A948" s="2"/>
      <c r="C948" s="2"/>
      <c r="D948" s="2"/>
      <c r="E948" s="2"/>
      <c r="F948" s="2"/>
      <c r="G948" s="92"/>
      <c r="H948" s="2"/>
      <c r="I948" s="2"/>
      <c r="J948" s="2"/>
      <c r="K948" s="90"/>
      <c r="L948" s="2"/>
      <c r="N948" s="2"/>
      <c r="O948" s="2"/>
      <c r="P948" s="2"/>
      <c r="Q948" s="2"/>
      <c r="R948" s="2"/>
      <c r="S948" s="2"/>
      <c r="T948" s="2"/>
      <c r="U948" s="222"/>
      <c r="V948" s="2"/>
      <c r="W948" s="2"/>
      <c r="X948" s="2"/>
      <c r="Z948" s="2"/>
      <c r="AA948" s="2"/>
      <c r="AB948" s="2"/>
      <c r="AC948" s="2"/>
    </row>
    <row r="949" spans="1:29" ht="15.75" customHeight="1" x14ac:dyDescent="0.3">
      <c r="A949" s="2"/>
      <c r="C949" s="2"/>
      <c r="D949" s="2"/>
      <c r="E949" s="2"/>
      <c r="F949" s="2"/>
      <c r="G949" s="92"/>
      <c r="H949" s="2"/>
      <c r="I949" s="2"/>
      <c r="J949" s="2"/>
      <c r="K949" s="90"/>
      <c r="L949" s="2"/>
      <c r="N949" s="2"/>
      <c r="O949" s="2"/>
      <c r="P949" s="2"/>
      <c r="Q949" s="2"/>
      <c r="R949" s="2"/>
      <c r="S949" s="2"/>
      <c r="T949" s="2"/>
      <c r="U949" s="222"/>
      <c r="V949" s="2"/>
      <c r="W949" s="2"/>
      <c r="X949" s="2"/>
      <c r="Z949" s="2"/>
      <c r="AA949" s="2"/>
      <c r="AB949" s="2"/>
      <c r="AC949" s="2"/>
    </row>
    <row r="950" spans="1:29" ht="15.75" customHeight="1" x14ac:dyDescent="0.3">
      <c r="A950" s="2"/>
      <c r="C950" s="2"/>
      <c r="D950" s="2"/>
      <c r="E950" s="2"/>
      <c r="F950" s="2"/>
      <c r="G950" s="92"/>
      <c r="H950" s="2"/>
      <c r="I950" s="2"/>
      <c r="J950" s="2"/>
      <c r="K950" s="90"/>
      <c r="L950" s="2"/>
      <c r="N950" s="2"/>
      <c r="O950" s="2"/>
      <c r="P950" s="2"/>
      <c r="Q950" s="2"/>
      <c r="R950" s="2"/>
      <c r="S950" s="2"/>
      <c r="T950" s="2"/>
      <c r="U950" s="222"/>
      <c r="V950" s="2"/>
      <c r="W950" s="2"/>
      <c r="X950" s="2"/>
      <c r="Z950" s="2"/>
      <c r="AA950" s="2"/>
      <c r="AB950" s="2"/>
      <c r="AC950" s="2"/>
    </row>
    <row r="951" spans="1:29" ht="15.75" customHeight="1" x14ac:dyDescent="0.3">
      <c r="A951" s="2"/>
      <c r="C951" s="2"/>
      <c r="D951" s="2"/>
      <c r="E951" s="2"/>
      <c r="F951" s="2"/>
      <c r="G951" s="92"/>
      <c r="H951" s="2"/>
      <c r="I951" s="2"/>
      <c r="J951" s="2"/>
      <c r="K951" s="90"/>
      <c r="L951" s="2"/>
      <c r="N951" s="2"/>
      <c r="O951" s="2"/>
      <c r="P951" s="2"/>
      <c r="Q951" s="2"/>
      <c r="R951" s="2"/>
      <c r="S951" s="2"/>
      <c r="T951" s="2"/>
      <c r="U951" s="222"/>
      <c r="V951" s="2"/>
      <c r="W951" s="2"/>
      <c r="X951" s="2"/>
      <c r="Z951" s="2"/>
      <c r="AA951" s="2"/>
      <c r="AB951" s="2"/>
      <c r="AC951" s="2"/>
    </row>
    <row r="952" spans="1:29" ht="15.75" customHeight="1" x14ac:dyDescent="0.3">
      <c r="A952" s="2"/>
      <c r="C952" s="2"/>
      <c r="D952" s="2"/>
      <c r="E952" s="2"/>
      <c r="F952" s="2"/>
      <c r="G952" s="92"/>
      <c r="H952" s="2"/>
      <c r="I952" s="2"/>
      <c r="J952" s="2"/>
      <c r="K952" s="90"/>
      <c r="L952" s="2"/>
      <c r="N952" s="2"/>
      <c r="O952" s="2"/>
      <c r="P952" s="2"/>
      <c r="Q952" s="2"/>
      <c r="R952" s="2"/>
      <c r="S952" s="2"/>
      <c r="T952" s="2"/>
      <c r="U952" s="222"/>
      <c r="V952" s="2"/>
      <c r="W952" s="2"/>
      <c r="X952" s="2"/>
      <c r="Z952" s="2"/>
      <c r="AA952" s="2"/>
      <c r="AB952" s="2"/>
      <c r="AC952" s="2"/>
    </row>
    <row r="953" spans="1:29" ht="15.75" customHeight="1" x14ac:dyDescent="0.3">
      <c r="A953" s="2"/>
      <c r="C953" s="2"/>
      <c r="D953" s="2"/>
      <c r="E953" s="2"/>
      <c r="F953" s="2"/>
      <c r="G953" s="92"/>
      <c r="H953" s="2"/>
      <c r="I953" s="2"/>
      <c r="J953" s="2"/>
      <c r="K953" s="90"/>
      <c r="L953" s="2"/>
      <c r="N953" s="2"/>
      <c r="O953" s="2"/>
      <c r="P953" s="2"/>
      <c r="Q953" s="2"/>
      <c r="R953" s="2"/>
      <c r="S953" s="2"/>
      <c r="T953" s="2"/>
      <c r="U953" s="222"/>
      <c r="V953" s="2"/>
      <c r="W953" s="2"/>
      <c r="X953" s="2"/>
      <c r="Z953" s="2"/>
      <c r="AA953" s="2"/>
      <c r="AB953" s="2"/>
      <c r="AC953" s="2"/>
    </row>
    <row r="954" spans="1:29" ht="15.75" customHeight="1" x14ac:dyDescent="0.3">
      <c r="A954" s="2"/>
      <c r="C954" s="2"/>
      <c r="D954" s="2"/>
      <c r="E954" s="2"/>
      <c r="F954" s="2"/>
      <c r="G954" s="92"/>
      <c r="H954" s="2"/>
      <c r="I954" s="2"/>
      <c r="J954" s="2"/>
      <c r="K954" s="90"/>
      <c r="L954" s="2"/>
      <c r="N954" s="2"/>
      <c r="O954" s="2"/>
      <c r="P954" s="2"/>
      <c r="Q954" s="2"/>
      <c r="R954" s="2"/>
      <c r="S954" s="2"/>
      <c r="T954" s="2"/>
      <c r="U954" s="222"/>
      <c r="V954" s="2"/>
      <c r="W954" s="2"/>
      <c r="X954" s="2"/>
      <c r="Z954" s="2"/>
      <c r="AA954" s="2"/>
      <c r="AB954" s="2"/>
      <c r="AC954" s="2"/>
    </row>
    <row r="955" spans="1:29" ht="15.75" customHeight="1" x14ac:dyDescent="0.3">
      <c r="A955" s="2"/>
      <c r="C955" s="2"/>
      <c r="D955" s="2"/>
      <c r="E955" s="2"/>
      <c r="F955" s="2"/>
      <c r="G955" s="92"/>
      <c r="H955" s="2"/>
      <c r="I955" s="2"/>
      <c r="J955" s="2"/>
      <c r="K955" s="90"/>
      <c r="L955" s="2"/>
      <c r="N955" s="2"/>
      <c r="O955" s="2"/>
      <c r="P955" s="2"/>
      <c r="Q955" s="2"/>
      <c r="R955" s="2"/>
      <c r="S955" s="2"/>
      <c r="T955" s="2"/>
      <c r="U955" s="222"/>
      <c r="V955" s="2"/>
      <c r="W955" s="2"/>
      <c r="X955" s="2"/>
      <c r="Z955" s="2"/>
      <c r="AA955" s="2"/>
      <c r="AB955" s="2"/>
      <c r="AC955" s="2"/>
    </row>
    <row r="956" spans="1:29" ht="15.75" customHeight="1" x14ac:dyDescent="0.3">
      <c r="A956" s="2"/>
      <c r="C956" s="2"/>
      <c r="D956" s="2"/>
      <c r="E956" s="2"/>
      <c r="F956" s="2"/>
      <c r="G956" s="92"/>
      <c r="H956" s="2"/>
      <c r="I956" s="2"/>
      <c r="J956" s="2"/>
      <c r="K956" s="90"/>
      <c r="L956" s="2"/>
      <c r="N956" s="2"/>
      <c r="O956" s="2"/>
      <c r="P956" s="2"/>
      <c r="Q956" s="2"/>
      <c r="R956" s="2"/>
      <c r="S956" s="2"/>
      <c r="T956" s="2"/>
      <c r="U956" s="222"/>
      <c r="V956" s="2"/>
      <c r="W956" s="2"/>
      <c r="X956" s="2"/>
      <c r="Z956" s="2"/>
      <c r="AA956" s="2"/>
      <c r="AB956" s="2"/>
      <c r="AC956" s="2"/>
    </row>
    <row r="957" spans="1:29" ht="15.75" customHeight="1" x14ac:dyDescent="0.3">
      <c r="A957" s="2"/>
      <c r="C957" s="2"/>
      <c r="D957" s="2"/>
      <c r="E957" s="2"/>
      <c r="F957" s="2"/>
      <c r="G957" s="92"/>
      <c r="H957" s="2"/>
      <c r="I957" s="2"/>
      <c r="J957" s="2"/>
      <c r="K957" s="90"/>
      <c r="L957" s="2"/>
      <c r="N957" s="2"/>
      <c r="O957" s="2"/>
      <c r="P957" s="2"/>
      <c r="Q957" s="2"/>
      <c r="R957" s="2"/>
      <c r="S957" s="2"/>
      <c r="T957" s="2"/>
      <c r="U957" s="222"/>
      <c r="V957" s="2"/>
      <c r="W957" s="2"/>
      <c r="X957" s="2"/>
      <c r="Z957" s="2"/>
      <c r="AA957" s="2"/>
      <c r="AB957" s="2"/>
      <c r="AC957" s="2"/>
    </row>
    <row r="958" spans="1:29" ht="15.75" customHeight="1" x14ac:dyDescent="0.3">
      <c r="A958" s="2"/>
      <c r="C958" s="2"/>
      <c r="D958" s="2"/>
      <c r="E958" s="2"/>
      <c r="F958" s="2"/>
      <c r="G958" s="92"/>
      <c r="H958" s="2"/>
      <c r="I958" s="2"/>
      <c r="J958" s="2"/>
      <c r="K958" s="90"/>
      <c r="L958" s="2"/>
      <c r="N958" s="2"/>
      <c r="O958" s="2"/>
      <c r="P958" s="2"/>
      <c r="Q958" s="2"/>
      <c r="R958" s="2"/>
      <c r="S958" s="2"/>
      <c r="T958" s="2"/>
      <c r="U958" s="222"/>
      <c r="V958" s="2"/>
      <c r="W958" s="2"/>
      <c r="X958" s="2"/>
      <c r="Z958" s="2"/>
      <c r="AA958" s="2"/>
      <c r="AB958" s="2"/>
      <c r="AC958" s="2"/>
    </row>
    <row r="959" spans="1:29" ht="15.75" customHeight="1" x14ac:dyDescent="0.3">
      <c r="A959" s="2"/>
      <c r="C959" s="2"/>
      <c r="D959" s="2"/>
      <c r="E959" s="2"/>
      <c r="F959" s="2"/>
      <c r="G959" s="92"/>
      <c r="H959" s="2"/>
      <c r="I959" s="2"/>
      <c r="J959" s="2"/>
      <c r="K959" s="90"/>
      <c r="L959" s="2"/>
      <c r="N959" s="2"/>
      <c r="O959" s="2"/>
      <c r="P959" s="2"/>
      <c r="Q959" s="2"/>
      <c r="R959" s="2"/>
      <c r="S959" s="2"/>
      <c r="T959" s="2"/>
      <c r="U959" s="222"/>
      <c r="V959" s="2"/>
      <c r="W959" s="2"/>
      <c r="X959" s="2"/>
      <c r="Z959" s="2"/>
      <c r="AA959" s="2"/>
      <c r="AB959" s="2"/>
      <c r="AC959" s="2"/>
    </row>
    <row r="960" spans="1:29" ht="15.75" customHeight="1" x14ac:dyDescent="0.3">
      <c r="A960" s="2"/>
      <c r="C960" s="2"/>
      <c r="D960" s="2"/>
      <c r="E960" s="2"/>
      <c r="F960" s="2"/>
      <c r="G960" s="92"/>
      <c r="H960" s="2"/>
      <c r="I960" s="2"/>
      <c r="J960" s="2"/>
      <c r="K960" s="90"/>
      <c r="L960" s="2"/>
      <c r="N960" s="2"/>
      <c r="O960" s="2"/>
      <c r="P960" s="2"/>
      <c r="Q960" s="2"/>
      <c r="R960" s="2"/>
      <c r="S960" s="2"/>
      <c r="T960" s="2"/>
      <c r="U960" s="222"/>
      <c r="V960" s="2"/>
      <c r="W960" s="2"/>
      <c r="X960" s="2"/>
      <c r="Z960" s="2"/>
      <c r="AA960" s="2"/>
      <c r="AB960" s="2"/>
      <c r="AC960" s="2"/>
    </row>
    <row r="961" spans="1:29" ht="15.75" customHeight="1" x14ac:dyDescent="0.3">
      <c r="A961" s="2"/>
      <c r="C961" s="2"/>
      <c r="D961" s="2"/>
      <c r="E961" s="2"/>
      <c r="F961" s="2"/>
      <c r="G961" s="92"/>
      <c r="H961" s="2"/>
      <c r="I961" s="2"/>
      <c r="J961" s="2"/>
      <c r="K961" s="90"/>
      <c r="L961" s="2"/>
      <c r="N961" s="2"/>
      <c r="O961" s="2"/>
      <c r="P961" s="2"/>
      <c r="Q961" s="2"/>
      <c r="R961" s="2"/>
      <c r="S961" s="2"/>
      <c r="T961" s="2"/>
      <c r="U961" s="222"/>
      <c r="V961" s="2"/>
      <c r="W961" s="2"/>
      <c r="X961" s="2"/>
      <c r="Z961" s="2"/>
      <c r="AA961" s="2"/>
      <c r="AB961" s="2"/>
      <c r="AC961" s="2"/>
    </row>
    <row r="962" spans="1:29" ht="15.75" customHeight="1" x14ac:dyDescent="0.3">
      <c r="A962" s="2"/>
      <c r="C962" s="2"/>
      <c r="D962" s="2"/>
      <c r="E962" s="2"/>
      <c r="F962" s="2"/>
      <c r="G962" s="92"/>
      <c r="H962" s="2"/>
      <c r="I962" s="2"/>
      <c r="J962" s="2"/>
      <c r="K962" s="90"/>
      <c r="L962" s="2"/>
      <c r="N962" s="2"/>
      <c r="O962" s="2"/>
      <c r="P962" s="2"/>
      <c r="Q962" s="2"/>
      <c r="R962" s="2"/>
      <c r="S962" s="2"/>
      <c r="T962" s="2"/>
      <c r="U962" s="222"/>
      <c r="V962" s="2"/>
      <c r="W962" s="2"/>
      <c r="X962" s="2"/>
      <c r="Z962" s="2"/>
      <c r="AA962" s="2"/>
      <c r="AB962" s="2"/>
      <c r="AC962" s="2"/>
    </row>
    <row r="963" spans="1:29" ht="15.75" customHeight="1" x14ac:dyDescent="0.3">
      <c r="A963" s="2"/>
      <c r="C963" s="2"/>
      <c r="D963" s="2"/>
      <c r="E963" s="2"/>
      <c r="F963" s="2"/>
      <c r="G963" s="92"/>
      <c r="H963" s="2"/>
      <c r="I963" s="2"/>
      <c r="J963" s="2"/>
      <c r="K963" s="90"/>
      <c r="L963" s="2"/>
      <c r="N963" s="2"/>
      <c r="O963" s="2"/>
      <c r="P963" s="2"/>
      <c r="Q963" s="2"/>
      <c r="R963" s="2"/>
      <c r="S963" s="2"/>
      <c r="T963" s="2"/>
      <c r="U963" s="222"/>
      <c r="V963" s="2"/>
      <c r="W963" s="2"/>
      <c r="X963" s="2"/>
      <c r="Z963" s="2"/>
      <c r="AA963" s="2"/>
      <c r="AB963" s="2"/>
      <c r="AC963" s="2"/>
    </row>
    <row r="964" spans="1:29" ht="15.75" customHeight="1" x14ac:dyDescent="0.3">
      <c r="A964" s="2"/>
      <c r="C964" s="2"/>
      <c r="D964" s="2"/>
      <c r="E964" s="2"/>
      <c r="F964" s="2"/>
      <c r="G964" s="92"/>
      <c r="H964" s="2"/>
      <c r="I964" s="2"/>
      <c r="J964" s="2"/>
      <c r="K964" s="90"/>
      <c r="L964" s="2"/>
      <c r="N964" s="2"/>
      <c r="O964" s="2"/>
      <c r="P964" s="2"/>
      <c r="Q964" s="2"/>
      <c r="R964" s="2"/>
      <c r="S964" s="2"/>
      <c r="T964" s="2"/>
      <c r="U964" s="222"/>
      <c r="V964" s="2"/>
      <c r="W964" s="2"/>
      <c r="X964" s="2"/>
      <c r="Z964" s="2"/>
      <c r="AA964" s="2"/>
      <c r="AB964" s="2"/>
      <c r="AC964" s="2"/>
    </row>
    <row r="965" spans="1:29" ht="15.75" customHeight="1" x14ac:dyDescent="0.3">
      <c r="A965" s="2"/>
      <c r="C965" s="2"/>
      <c r="D965" s="2"/>
      <c r="E965" s="2"/>
      <c r="F965" s="2"/>
      <c r="G965" s="92"/>
      <c r="H965" s="2"/>
      <c r="I965" s="2"/>
      <c r="J965" s="2"/>
      <c r="K965" s="90"/>
      <c r="L965" s="2"/>
      <c r="N965" s="2"/>
      <c r="O965" s="2"/>
      <c r="P965" s="2"/>
      <c r="Q965" s="2"/>
      <c r="R965" s="2"/>
      <c r="S965" s="2"/>
      <c r="T965" s="2"/>
      <c r="U965" s="222"/>
      <c r="V965" s="2"/>
      <c r="W965" s="2"/>
      <c r="X965" s="2"/>
      <c r="Z965" s="2"/>
      <c r="AA965" s="2"/>
      <c r="AB965" s="2"/>
      <c r="AC965" s="2"/>
    </row>
    <row r="966" spans="1:29" ht="15.75" customHeight="1" x14ac:dyDescent="0.3">
      <c r="A966" s="2"/>
      <c r="C966" s="2"/>
      <c r="D966" s="2"/>
      <c r="E966" s="2"/>
      <c r="F966" s="2"/>
      <c r="G966" s="92"/>
      <c r="H966" s="2"/>
      <c r="I966" s="2"/>
      <c r="J966" s="2"/>
      <c r="K966" s="90"/>
      <c r="L966" s="2"/>
      <c r="N966" s="2"/>
      <c r="O966" s="2"/>
      <c r="P966" s="2"/>
      <c r="Q966" s="2"/>
      <c r="R966" s="2"/>
      <c r="S966" s="2"/>
      <c r="T966" s="2"/>
      <c r="U966" s="222"/>
      <c r="V966" s="2"/>
      <c r="W966" s="2"/>
      <c r="X966" s="2"/>
      <c r="Z966" s="2"/>
      <c r="AA966" s="2"/>
      <c r="AB966" s="2"/>
      <c r="AC966" s="2"/>
    </row>
    <row r="967" spans="1:29" ht="15.75" customHeight="1" x14ac:dyDescent="0.3">
      <c r="A967" s="2"/>
      <c r="C967" s="2"/>
      <c r="D967" s="2"/>
      <c r="E967" s="2"/>
      <c r="F967" s="2"/>
      <c r="G967" s="92"/>
      <c r="H967" s="2"/>
      <c r="I967" s="2"/>
      <c r="J967" s="2"/>
      <c r="K967" s="90"/>
      <c r="L967" s="2"/>
      <c r="N967" s="2"/>
      <c r="O967" s="2"/>
      <c r="P967" s="2"/>
      <c r="Q967" s="2"/>
      <c r="R967" s="2"/>
      <c r="S967" s="2"/>
      <c r="T967" s="2"/>
      <c r="U967" s="222"/>
      <c r="V967" s="2"/>
      <c r="W967" s="2"/>
      <c r="X967" s="2"/>
      <c r="Z967" s="2"/>
      <c r="AA967" s="2"/>
      <c r="AB967" s="2"/>
      <c r="AC967" s="2"/>
    </row>
    <row r="968" spans="1:29" ht="15.75" customHeight="1" x14ac:dyDescent="0.3">
      <c r="A968" s="2"/>
      <c r="C968" s="2"/>
      <c r="D968" s="2"/>
      <c r="E968" s="2"/>
      <c r="F968" s="2"/>
      <c r="G968" s="92"/>
      <c r="H968" s="2"/>
      <c r="I968" s="2"/>
      <c r="J968" s="2"/>
      <c r="K968" s="90"/>
      <c r="L968" s="2"/>
      <c r="N968" s="2"/>
      <c r="O968" s="2"/>
      <c r="P968" s="2"/>
      <c r="Q968" s="2"/>
      <c r="R968" s="2"/>
      <c r="S968" s="2"/>
      <c r="T968" s="2"/>
      <c r="U968" s="222"/>
      <c r="V968" s="2"/>
      <c r="W968" s="2"/>
      <c r="X968" s="2"/>
      <c r="Z968" s="2"/>
      <c r="AA968" s="2"/>
      <c r="AB968" s="2"/>
      <c r="AC968" s="2"/>
    </row>
    <row r="969" spans="1:29" ht="15.75" customHeight="1" x14ac:dyDescent="0.3">
      <c r="A969" s="2"/>
      <c r="C969" s="2"/>
      <c r="D969" s="2"/>
      <c r="E969" s="2"/>
      <c r="F969" s="2"/>
      <c r="G969" s="92"/>
      <c r="H969" s="2"/>
      <c r="I969" s="2"/>
      <c r="J969" s="2"/>
      <c r="K969" s="90"/>
      <c r="L969" s="2"/>
      <c r="N969" s="2"/>
      <c r="O969" s="2"/>
      <c r="P969" s="2"/>
      <c r="Q969" s="2"/>
      <c r="R969" s="2"/>
      <c r="S969" s="2"/>
      <c r="T969" s="2"/>
      <c r="U969" s="222"/>
      <c r="V969" s="2"/>
      <c r="W969" s="2"/>
      <c r="X969" s="2"/>
      <c r="Z969" s="2"/>
      <c r="AA969" s="2"/>
      <c r="AB969" s="2"/>
      <c r="AC969" s="2"/>
    </row>
    <row r="970" spans="1:29" ht="15.75" customHeight="1" x14ac:dyDescent="0.3">
      <c r="A970" s="2"/>
      <c r="C970" s="2"/>
      <c r="D970" s="2"/>
      <c r="E970" s="2"/>
      <c r="F970" s="2"/>
      <c r="G970" s="92"/>
      <c r="H970" s="2"/>
      <c r="I970" s="2"/>
      <c r="J970" s="2"/>
      <c r="K970" s="90"/>
      <c r="L970" s="2"/>
      <c r="N970" s="2"/>
      <c r="O970" s="2"/>
      <c r="P970" s="2"/>
      <c r="Q970" s="2"/>
      <c r="R970" s="2"/>
      <c r="S970" s="2"/>
      <c r="T970" s="2"/>
      <c r="U970" s="222"/>
      <c r="V970" s="2"/>
      <c r="W970" s="2"/>
      <c r="X970" s="2"/>
      <c r="Z970" s="2"/>
      <c r="AA970" s="2"/>
      <c r="AB970" s="2"/>
      <c r="AC970" s="2"/>
    </row>
    <row r="971" spans="1:29" ht="15.75" customHeight="1" x14ac:dyDescent="0.3">
      <c r="A971" s="2"/>
      <c r="C971" s="2"/>
      <c r="D971" s="2"/>
      <c r="E971" s="2"/>
      <c r="F971" s="2"/>
      <c r="G971" s="92"/>
      <c r="H971" s="2"/>
      <c r="I971" s="2"/>
      <c r="J971" s="2"/>
      <c r="K971" s="90"/>
      <c r="L971" s="2"/>
      <c r="N971" s="2"/>
      <c r="O971" s="2"/>
      <c r="P971" s="2"/>
      <c r="Q971" s="2"/>
      <c r="R971" s="2"/>
      <c r="S971" s="2"/>
      <c r="T971" s="2"/>
      <c r="U971" s="222"/>
      <c r="V971" s="2"/>
      <c r="W971" s="2"/>
      <c r="X971" s="2"/>
      <c r="Z971" s="2"/>
      <c r="AA971" s="2"/>
      <c r="AB971" s="2"/>
      <c r="AC971" s="2"/>
    </row>
    <row r="972" spans="1:29" ht="15.75" customHeight="1" x14ac:dyDescent="0.3">
      <c r="A972" s="2"/>
      <c r="C972" s="2"/>
      <c r="D972" s="2"/>
      <c r="E972" s="2"/>
      <c r="F972" s="2"/>
      <c r="G972" s="92"/>
      <c r="H972" s="2"/>
      <c r="I972" s="2"/>
      <c r="J972" s="2"/>
      <c r="K972" s="90"/>
      <c r="L972" s="2"/>
      <c r="N972" s="2"/>
      <c r="O972" s="2"/>
      <c r="P972" s="2"/>
      <c r="Q972" s="2"/>
      <c r="R972" s="2"/>
      <c r="S972" s="2"/>
      <c r="T972" s="2"/>
      <c r="U972" s="222"/>
      <c r="V972" s="2"/>
      <c r="W972" s="2"/>
      <c r="X972" s="2"/>
      <c r="Z972" s="2"/>
      <c r="AA972" s="2"/>
      <c r="AB972" s="2"/>
      <c r="AC972" s="2"/>
    </row>
    <row r="973" spans="1:29" ht="15.75" customHeight="1" x14ac:dyDescent="0.3">
      <c r="A973" s="2"/>
      <c r="C973" s="2"/>
      <c r="D973" s="2"/>
      <c r="E973" s="2"/>
      <c r="F973" s="2"/>
      <c r="G973" s="92"/>
      <c r="H973" s="2"/>
      <c r="I973" s="2"/>
      <c r="J973" s="2"/>
      <c r="K973" s="90"/>
      <c r="L973" s="2"/>
      <c r="N973" s="2"/>
      <c r="O973" s="2"/>
      <c r="P973" s="2"/>
      <c r="Q973" s="2"/>
      <c r="R973" s="2"/>
      <c r="S973" s="2"/>
      <c r="T973" s="2"/>
      <c r="U973" s="222"/>
      <c r="V973" s="2"/>
      <c r="W973" s="2"/>
      <c r="X973" s="2"/>
      <c r="Z973" s="2"/>
      <c r="AA973" s="2"/>
      <c r="AB973" s="2"/>
      <c r="AC973" s="2"/>
    </row>
    <row r="974" spans="1:29" ht="15.75" customHeight="1" x14ac:dyDescent="0.3">
      <c r="A974" s="2"/>
      <c r="C974" s="2"/>
      <c r="D974" s="2"/>
      <c r="E974" s="2"/>
      <c r="F974" s="2"/>
      <c r="G974" s="92"/>
      <c r="H974" s="2"/>
      <c r="I974" s="2"/>
      <c r="J974" s="2"/>
      <c r="K974" s="90"/>
      <c r="L974" s="2"/>
      <c r="N974" s="2"/>
      <c r="O974" s="2"/>
      <c r="P974" s="2"/>
      <c r="Q974" s="2"/>
      <c r="R974" s="2"/>
      <c r="S974" s="2"/>
      <c r="T974" s="2"/>
      <c r="U974" s="222"/>
      <c r="V974" s="2"/>
      <c r="W974" s="2"/>
      <c r="X974" s="2"/>
      <c r="Z974" s="2"/>
      <c r="AA974" s="2"/>
      <c r="AB974" s="2"/>
      <c r="AC974" s="2"/>
    </row>
    <row r="975" spans="1:29" ht="15.75" customHeight="1" x14ac:dyDescent="0.3">
      <c r="A975" s="2"/>
      <c r="C975" s="2"/>
      <c r="D975" s="2"/>
      <c r="E975" s="2"/>
      <c r="F975" s="2"/>
      <c r="G975" s="92"/>
      <c r="H975" s="2"/>
      <c r="I975" s="2"/>
      <c r="J975" s="2"/>
      <c r="K975" s="90"/>
      <c r="L975" s="2"/>
      <c r="N975" s="2"/>
      <c r="O975" s="2"/>
      <c r="P975" s="2"/>
      <c r="Q975" s="2"/>
      <c r="R975" s="2"/>
      <c r="S975" s="2"/>
      <c r="T975" s="2"/>
      <c r="U975" s="222"/>
      <c r="V975" s="2"/>
      <c r="W975" s="2"/>
      <c r="X975" s="2"/>
      <c r="Z975" s="2"/>
      <c r="AA975" s="2"/>
      <c r="AB975" s="2"/>
      <c r="AC975" s="2"/>
    </row>
    <row r="976" spans="1:29" ht="15.75" customHeight="1" x14ac:dyDescent="0.3">
      <c r="A976" s="2"/>
      <c r="C976" s="2"/>
      <c r="D976" s="2"/>
      <c r="E976" s="2"/>
      <c r="F976" s="2"/>
      <c r="G976" s="92"/>
      <c r="H976" s="2"/>
      <c r="I976" s="2"/>
      <c r="J976" s="2"/>
      <c r="K976" s="90"/>
      <c r="L976" s="2"/>
      <c r="N976" s="2"/>
      <c r="O976" s="2"/>
      <c r="P976" s="2"/>
      <c r="Q976" s="2"/>
      <c r="R976" s="2"/>
      <c r="S976" s="2"/>
      <c r="T976" s="2"/>
      <c r="U976" s="222"/>
      <c r="V976" s="2"/>
      <c r="W976" s="2"/>
      <c r="X976" s="2"/>
      <c r="Z976" s="2"/>
      <c r="AA976" s="2"/>
      <c r="AB976" s="2"/>
      <c r="AC976" s="2"/>
    </row>
    <row r="977" spans="1:29" ht="15.75" customHeight="1" x14ac:dyDescent="0.3">
      <c r="A977" s="2"/>
      <c r="C977" s="2"/>
      <c r="D977" s="2"/>
      <c r="E977" s="2"/>
      <c r="F977" s="2"/>
      <c r="G977" s="92"/>
      <c r="H977" s="2"/>
      <c r="I977" s="2"/>
      <c r="J977" s="2"/>
      <c r="K977" s="90"/>
      <c r="L977" s="2"/>
      <c r="N977" s="2"/>
      <c r="O977" s="2"/>
      <c r="P977" s="2"/>
      <c r="Q977" s="2"/>
      <c r="R977" s="2"/>
      <c r="S977" s="2"/>
      <c r="T977" s="2"/>
      <c r="U977" s="222"/>
      <c r="V977" s="2"/>
      <c r="W977" s="2"/>
      <c r="X977" s="2"/>
      <c r="Z977" s="2"/>
      <c r="AA977" s="2"/>
      <c r="AB977" s="2"/>
      <c r="AC977" s="2"/>
    </row>
    <row r="978" spans="1:29" ht="15.75" customHeight="1" x14ac:dyDescent="0.3">
      <c r="A978" s="2"/>
      <c r="C978" s="2"/>
      <c r="D978" s="2"/>
      <c r="E978" s="2"/>
      <c r="F978" s="2"/>
      <c r="G978" s="92"/>
      <c r="H978" s="2"/>
      <c r="I978" s="2"/>
      <c r="J978" s="2"/>
      <c r="K978" s="90"/>
      <c r="L978" s="2"/>
      <c r="N978" s="2"/>
      <c r="O978" s="2"/>
      <c r="P978" s="2"/>
      <c r="Q978" s="2"/>
      <c r="R978" s="2"/>
      <c r="S978" s="2"/>
      <c r="T978" s="2"/>
      <c r="U978" s="222"/>
      <c r="V978" s="2"/>
      <c r="W978" s="2"/>
      <c r="X978" s="2"/>
      <c r="Z978" s="2"/>
      <c r="AA978" s="2"/>
      <c r="AB978" s="2"/>
      <c r="AC978" s="2"/>
    </row>
    <row r="979" spans="1:29" ht="15.75" customHeight="1" x14ac:dyDescent="0.3">
      <c r="A979" s="2"/>
      <c r="C979" s="2"/>
      <c r="D979" s="2"/>
      <c r="E979" s="2"/>
      <c r="F979" s="2"/>
      <c r="G979" s="92"/>
      <c r="H979" s="2"/>
      <c r="I979" s="2"/>
      <c r="J979" s="2"/>
      <c r="K979" s="90"/>
      <c r="L979" s="2"/>
      <c r="N979" s="2"/>
      <c r="O979" s="2"/>
      <c r="P979" s="2"/>
      <c r="Q979" s="2"/>
      <c r="R979" s="2"/>
      <c r="S979" s="2"/>
      <c r="T979" s="2"/>
      <c r="U979" s="222"/>
      <c r="V979" s="2"/>
      <c r="W979" s="2"/>
      <c r="X979" s="2"/>
      <c r="Z979" s="2"/>
      <c r="AA979" s="2"/>
      <c r="AB979" s="2"/>
      <c r="AC979" s="2"/>
    </row>
    <row r="980" spans="1:29" ht="15.75" customHeight="1" x14ac:dyDescent="0.3">
      <c r="A980" s="2"/>
      <c r="C980" s="2"/>
      <c r="D980" s="2"/>
      <c r="E980" s="2"/>
      <c r="F980" s="2"/>
      <c r="G980" s="92"/>
      <c r="H980" s="2"/>
      <c r="I980" s="2"/>
      <c r="J980" s="2"/>
      <c r="K980" s="90"/>
      <c r="L980" s="2"/>
      <c r="N980" s="2"/>
      <c r="O980" s="2"/>
      <c r="P980" s="2"/>
      <c r="Q980" s="2"/>
      <c r="R980" s="2"/>
      <c r="S980" s="2"/>
      <c r="T980" s="2"/>
      <c r="U980" s="222"/>
      <c r="V980" s="2"/>
      <c r="W980" s="2"/>
      <c r="X980" s="2"/>
      <c r="Z980" s="2"/>
      <c r="AA980" s="2"/>
      <c r="AB980" s="2"/>
      <c r="AC980" s="2"/>
    </row>
    <row r="981" spans="1:29" ht="15.75" customHeight="1" x14ac:dyDescent="0.3">
      <c r="A981" s="2"/>
      <c r="C981" s="2"/>
      <c r="D981" s="2"/>
      <c r="E981" s="2"/>
      <c r="F981" s="2"/>
      <c r="G981" s="92"/>
      <c r="H981" s="2"/>
      <c r="I981" s="2"/>
      <c r="J981" s="2"/>
      <c r="K981" s="90"/>
      <c r="L981" s="2"/>
      <c r="N981" s="2"/>
      <c r="O981" s="2"/>
      <c r="P981" s="2"/>
      <c r="Q981" s="2"/>
      <c r="R981" s="2"/>
      <c r="S981" s="2"/>
      <c r="T981" s="2"/>
      <c r="U981" s="222"/>
      <c r="V981" s="2"/>
      <c r="W981" s="2"/>
      <c r="X981" s="2"/>
      <c r="Z981" s="2"/>
      <c r="AA981" s="2"/>
      <c r="AB981" s="2"/>
      <c r="AC981" s="2"/>
    </row>
    <row r="982" spans="1:29" ht="15.75" customHeight="1" x14ac:dyDescent="0.3">
      <c r="A982" s="2"/>
      <c r="C982" s="2"/>
      <c r="D982" s="2"/>
      <c r="E982" s="2"/>
      <c r="F982" s="2"/>
      <c r="G982" s="92"/>
      <c r="H982" s="2"/>
      <c r="I982" s="2"/>
      <c r="J982" s="2"/>
      <c r="K982" s="90"/>
      <c r="L982" s="2"/>
      <c r="N982" s="2"/>
      <c r="O982" s="2"/>
      <c r="P982" s="2"/>
      <c r="Q982" s="2"/>
      <c r="R982" s="2"/>
      <c r="S982" s="2"/>
      <c r="T982" s="2"/>
      <c r="U982" s="222"/>
      <c r="V982" s="2"/>
      <c r="W982" s="2"/>
      <c r="X982" s="2"/>
      <c r="Z982" s="2"/>
      <c r="AA982" s="2"/>
      <c r="AB982" s="2"/>
      <c r="AC982" s="2"/>
    </row>
    <row r="983" spans="1:29" ht="15.75" customHeight="1" x14ac:dyDescent="0.3">
      <c r="A983" s="2"/>
      <c r="C983" s="2"/>
      <c r="D983" s="2"/>
      <c r="E983" s="2"/>
      <c r="F983" s="2"/>
      <c r="G983" s="92"/>
      <c r="H983" s="2"/>
      <c r="I983" s="2"/>
      <c r="J983" s="2"/>
      <c r="K983" s="90"/>
      <c r="L983" s="2"/>
      <c r="N983" s="2"/>
      <c r="O983" s="2"/>
      <c r="P983" s="2"/>
      <c r="Q983" s="2"/>
      <c r="R983" s="2"/>
      <c r="S983" s="2"/>
      <c r="T983" s="2"/>
      <c r="U983" s="222"/>
      <c r="V983" s="2"/>
      <c r="W983" s="2"/>
      <c r="X983" s="2"/>
      <c r="Z983" s="2"/>
      <c r="AA983" s="2"/>
      <c r="AB983" s="2"/>
      <c r="AC983" s="2"/>
    </row>
    <row r="984" spans="1:29" ht="15.75" customHeight="1" x14ac:dyDescent="0.3">
      <c r="A984" s="2"/>
      <c r="C984" s="2"/>
      <c r="D984" s="2"/>
      <c r="E984" s="2"/>
      <c r="F984" s="2"/>
      <c r="G984" s="92"/>
      <c r="H984" s="2"/>
      <c r="I984" s="2"/>
      <c r="J984" s="2"/>
      <c r="K984" s="90"/>
      <c r="L984" s="2"/>
      <c r="N984" s="2"/>
      <c r="O984" s="2"/>
      <c r="P984" s="2"/>
      <c r="Q984" s="2"/>
      <c r="R984" s="2"/>
      <c r="S984" s="2"/>
      <c r="T984" s="2"/>
      <c r="U984" s="222"/>
      <c r="V984" s="2"/>
      <c r="W984" s="2"/>
      <c r="X984" s="2"/>
      <c r="Z984" s="2"/>
      <c r="AA984" s="2"/>
      <c r="AB984" s="2"/>
      <c r="AC984" s="2"/>
    </row>
    <row r="985" spans="1:29" ht="15.75" customHeight="1" x14ac:dyDescent="0.3">
      <c r="A985" s="2"/>
      <c r="C985" s="2"/>
      <c r="D985" s="2"/>
      <c r="E985" s="2"/>
      <c r="F985" s="2"/>
      <c r="G985" s="92"/>
      <c r="H985" s="2"/>
      <c r="I985" s="2"/>
      <c r="J985" s="2"/>
      <c r="K985" s="90"/>
      <c r="L985" s="2"/>
      <c r="N985" s="2"/>
      <c r="O985" s="2"/>
      <c r="P985" s="2"/>
      <c r="Q985" s="2"/>
      <c r="R985" s="2"/>
      <c r="S985" s="2"/>
      <c r="T985" s="2"/>
      <c r="U985" s="222"/>
      <c r="V985" s="2"/>
      <c r="W985" s="2"/>
      <c r="X985" s="2"/>
      <c r="Z985" s="2"/>
      <c r="AA985" s="2"/>
      <c r="AB985" s="2"/>
      <c r="AC985" s="2"/>
    </row>
    <row r="986" spans="1:29" ht="15.75" customHeight="1" x14ac:dyDescent="0.3">
      <c r="A986" s="2"/>
      <c r="C986" s="2"/>
      <c r="D986" s="2"/>
      <c r="E986" s="2"/>
      <c r="F986" s="2"/>
      <c r="G986" s="92"/>
      <c r="H986" s="2"/>
      <c r="I986" s="2"/>
      <c r="J986" s="2"/>
      <c r="K986" s="90"/>
      <c r="L986" s="2"/>
      <c r="N986" s="2"/>
      <c r="O986" s="2"/>
      <c r="P986" s="2"/>
      <c r="Q986" s="2"/>
      <c r="R986" s="2"/>
      <c r="S986" s="2"/>
      <c r="T986" s="2"/>
      <c r="U986" s="222"/>
      <c r="V986" s="2"/>
      <c r="W986" s="2"/>
      <c r="X986" s="2"/>
      <c r="Z986" s="2"/>
      <c r="AA986" s="2"/>
      <c r="AB986" s="2"/>
      <c r="AC986" s="2"/>
    </row>
    <row r="987" spans="1:29" ht="15.75" customHeight="1" x14ac:dyDescent="0.3">
      <c r="A987" s="2"/>
      <c r="C987" s="2"/>
      <c r="D987" s="2"/>
      <c r="E987" s="2"/>
      <c r="F987" s="2"/>
      <c r="G987" s="92"/>
      <c r="H987" s="2"/>
      <c r="I987" s="2"/>
      <c r="J987" s="2"/>
      <c r="K987" s="90"/>
      <c r="L987" s="2"/>
      <c r="N987" s="2"/>
      <c r="O987" s="2"/>
      <c r="P987" s="2"/>
      <c r="Q987" s="2"/>
      <c r="R987" s="2"/>
      <c r="S987" s="2"/>
      <c r="T987" s="2"/>
      <c r="U987" s="222"/>
      <c r="V987" s="2"/>
      <c r="W987" s="2"/>
      <c r="X987" s="2"/>
      <c r="Z987" s="2"/>
      <c r="AA987" s="2"/>
      <c r="AB987" s="2"/>
      <c r="AC987" s="2"/>
    </row>
    <row r="988" spans="1:29" ht="15.75" customHeight="1" x14ac:dyDescent="0.3">
      <c r="A988" s="2"/>
      <c r="C988" s="2"/>
      <c r="D988" s="2"/>
      <c r="E988" s="2"/>
      <c r="F988" s="2"/>
      <c r="G988" s="92"/>
      <c r="H988" s="2"/>
      <c r="I988" s="2"/>
      <c r="J988" s="2"/>
      <c r="K988" s="90"/>
      <c r="L988" s="2"/>
      <c r="N988" s="2"/>
      <c r="O988" s="2"/>
      <c r="P988" s="2"/>
      <c r="Q988" s="2"/>
      <c r="R988" s="2"/>
      <c r="S988" s="2"/>
      <c r="T988" s="2"/>
      <c r="U988" s="222"/>
      <c r="V988" s="2"/>
      <c r="W988" s="2"/>
      <c r="X988" s="2"/>
      <c r="Z988" s="2"/>
      <c r="AA988" s="2"/>
      <c r="AB988" s="2"/>
      <c r="AC988" s="2"/>
    </row>
    <row r="989" spans="1:29" ht="15.75" customHeight="1" x14ac:dyDescent="0.3">
      <c r="A989" s="2"/>
      <c r="C989" s="2"/>
      <c r="D989" s="2"/>
      <c r="E989" s="2"/>
      <c r="F989" s="2"/>
      <c r="G989" s="92"/>
      <c r="H989" s="2"/>
      <c r="I989" s="2"/>
      <c r="J989" s="2"/>
      <c r="K989" s="90"/>
      <c r="L989" s="2"/>
      <c r="N989" s="2"/>
      <c r="O989" s="2"/>
      <c r="P989" s="2"/>
      <c r="Q989" s="2"/>
      <c r="R989" s="2"/>
      <c r="S989" s="2"/>
      <c r="T989" s="2"/>
      <c r="U989" s="222"/>
      <c r="V989" s="2"/>
      <c r="W989" s="2"/>
      <c r="X989" s="2"/>
      <c r="Z989" s="2"/>
      <c r="AA989" s="2"/>
      <c r="AB989" s="2"/>
      <c r="AC989" s="2"/>
    </row>
    <row r="990" spans="1:29" ht="15.75" customHeight="1" x14ac:dyDescent="0.3">
      <c r="A990" s="2"/>
      <c r="C990" s="2"/>
      <c r="D990" s="2"/>
      <c r="E990" s="2"/>
      <c r="F990" s="2"/>
      <c r="G990" s="92"/>
      <c r="H990" s="2"/>
      <c r="I990" s="2"/>
      <c r="J990" s="2"/>
      <c r="K990" s="90"/>
      <c r="L990" s="2"/>
      <c r="N990" s="2"/>
      <c r="O990" s="2"/>
      <c r="P990" s="2"/>
      <c r="Q990" s="2"/>
      <c r="R990" s="2"/>
      <c r="S990" s="2"/>
      <c r="T990" s="2"/>
      <c r="U990" s="222"/>
      <c r="V990" s="2"/>
      <c r="W990" s="2"/>
      <c r="X990" s="2"/>
      <c r="Z990" s="2"/>
      <c r="AA990" s="2"/>
      <c r="AB990" s="2"/>
      <c r="AC990" s="2"/>
    </row>
    <row r="991" spans="1:29" ht="15.75" customHeight="1" x14ac:dyDescent="0.3">
      <c r="A991" s="2"/>
      <c r="C991" s="2"/>
      <c r="D991" s="2"/>
      <c r="E991" s="2"/>
      <c r="F991" s="2"/>
      <c r="G991" s="92"/>
      <c r="H991" s="2"/>
      <c r="I991" s="2"/>
      <c r="J991" s="2"/>
      <c r="K991" s="90"/>
      <c r="L991" s="2"/>
      <c r="N991" s="2"/>
      <c r="O991" s="2"/>
      <c r="P991" s="2"/>
      <c r="Q991" s="2"/>
      <c r="R991" s="2"/>
      <c r="S991" s="2"/>
      <c r="T991" s="2"/>
      <c r="U991" s="222"/>
      <c r="V991" s="2"/>
      <c r="W991" s="2"/>
      <c r="X991" s="2"/>
      <c r="Z991" s="2"/>
      <c r="AA991" s="2"/>
      <c r="AB991" s="2"/>
      <c r="AC991" s="2"/>
    </row>
    <row r="992" spans="1:29" ht="15.75" customHeight="1" x14ac:dyDescent="0.3">
      <c r="A992" s="2"/>
      <c r="C992" s="2"/>
      <c r="D992" s="2"/>
      <c r="E992" s="2"/>
      <c r="F992" s="2"/>
      <c r="G992" s="92"/>
      <c r="H992" s="2"/>
      <c r="I992" s="2"/>
      <c r="J992" s="2"/>
      <c r="K992" s="90"/>
      <c r="L992" s="2"/>
      <c r="N992" s="2"/>
      <c r="O992" s="2"/>
      <c r="P992" s="2"/>
      <c r="Q992" s="2"/>
      <c r="R992" s="2"/>
      <c r="S992" s="2"/>
      <c r="T992" s="2"/>
      <c r="U992" s="222"/>
      <c r="V992" s="2"/>
      <c r="W992" s="2"/>
      <c r="X992" s="2"/>
      <c r="Z992" s="2"/>
      <c r="AA992" s="2"/>
      <c r="AB992" s="2"/>
      <c r="AC992" s="2"/>
    </row>
    <row r="993" spans="1:29" ht="15.75" customHeight="1" x14ac:dyDescent="0.3">
      <c r="A993" s="2"/>
      <c r="C993" s="2"/>
      <c r="D993" s="2"/>
      <c r="E993" s="2"/>
      <c r="F993" s="2"/>
      <c r="G993" s="92"/>
      <c r="H993" s="2"/>
      <c r="I993" s="2"/>
      <c r="J993" s="2"/>
      <c r="K993" s="90"/>
      <c r="L993" s="2"/>
      <c r="N993" s="2"/>
      <c r="O993" s="2"/>
      <c r="P993" s="2"/>
      <c r="Q993" s="2"/>
      <c r="R993" s="2"/>
      <c r="S993" s="2"/>
      <c r="T993" s="2"/>
      <c r="U993" s="222"/>
      <c r="V993" s="2"/>
      <c r="W993" s="2"/>
      <c r="X993" s="2"/>
      <c r="Z993" s="2"/>
      <c r="AA993" s="2"/>
      <c r="AB993" s="2"/>
      <c r="AC993" s="2"/>
    </row>
    <row r="994" spans="1:29" ht="15.75" customHeight="1" x14ac:dyDescent="0.3">
      <c r="A994" s="2"/>
      <c r="C994" s="2"/>
      <c r="D994" s="2"/>
      <c r="E994" s="2"/>
      <c r="F994" s="2"/>
      <c r="G994" s="92"/>
      <c r="H994" s="2"/>
      <c r="I994" s="2"/>
      <c r="J994" s="2"/>
      <c r="K994" s="90"/>
      <c r="L994" s="2"/>
      <c r="N994" s="2"/>
      <c r="O994" s="2"/>
      <c r="P994" s="2"/>
      <c r="Q994" s="2"/>
      <c r="R994" s="2"/>
      <c r="S994" s="2"/>
      <c r="T994" s="2"/>
      <c r="U994" s="222"/>
      <c r="V994" s="2"/>
      <c r="W994" s="2"/>
      <c r="X994" s="2"/>
      <c r="Z994" s="2"/>
      <c r="AA994" s="2"/>
      <c r="AB994" s="2"/>
      <c r="AC994" s="2"/>
    </row>
    <row r="995" spans="1:29" ht="15.75" customHeight="1" x14ac:dyDescent="0.3">
      <c r="A995" s="2"/>
      <c r="C995" s="2"/>
      <c r="D995" s="2"/>
      <c r="E995" s="2"/>
      <c r="F995" s="2"/>
      <c r="G995" s="92"/>
      <c r="H995" s="2"/>
      <c r="I995" s="2"/>
      <c r="J995" s="2"/>
      <c r="K995" s="90"/>
      <c r="L995" s="2"/>
      <c r="N995" s="2"/>
      <c r="O995" s="2"/>
      <c r="P995" s="2"/>
      <c r="Q995" s="2"/>
      <c r="R995" s="2"/>
      <c r="S995" s="2"/>
      <c r="T995" s="2"/>
      <c r="U995" s="222"/>
      <c r="V995" s="2"/>
      <c r="W995" s="2"/>
      <c r="X995" s="2"/>
      <c r="Z995" s="2"/>
      <c r="AA995" s="2"/>
      <c r="AB995" s="2"/>
      <c r="AC995" s="2"/>
    </row>
    <row r="996" spans="1:29" ht="15.75" customHeight="1" x14ac:dyDescent="0.3">
      <c r="A996" s="2"/>
      <c r="C996" s="2"/>
      <c r="D996" s="2"/>
      <c r="E996" s="2"/>
      <c r="F996" s="2"/>
      <c r="G996" s="92"/>
      <c r="H996" s="2"/>
      <c r="I996" s="2"/>
      <c r="J996" s="2"/>
      <c r="K996" s="90"/>
      <c r="L996" s="2"/>
      <c r="N996" s="2"/>
      <c r="O996" s="2"/>
      <c r="P996" s="2"/>
      <c r="Q996" s="2"/>
      <c r="R996" s="2"/>
      <c r="S996" s="2"/>
      <c r="T996" s="2"/>
      <c r="U996" s="222"/>
      <c r="V996" s="2"/>
      <c r="W996" s="2"/>
      <c r="X996" s="2"/>
      <c r="Z996" s="2"/>
      <c r="AA996" s="2"/>
      <c r="AB996" s="2"/>
      <c r="AC996" s="2"/>
    </row>
    <row r="997" spans="1:29" ht="15.75" customHeight="1" x14ac:dyDescent="0.3">
      <c r="A997" s="2"/>
      <c r="C997" s="2"/>
      <c r="D997" s="2"/>
      <c r="E997" s="2"/>
      <c r="F997" s="2"/>
      <c r="G997" s="92"/>
      <c r="H997" s="2"/>
      <c r="I997" s="2"/>
      <c r="J997" s="2"/>
      <c r="K997" s="90"/>
      <c r="L997" s="2"/>
      <c r="N997" s="2"/>
      <c r="O997" s="2"/>
      <c r="P997" s="2"/>
      <c r="Q997" s="2"/>
      <c r="R997" s="2"/>
      <c r="S997" s="2"/>
      <c r="T997" s="2"/>
      <c r="U997" s="222"/>
      <c r="V997" s="2"/>
      <c r="W997" s="2"/>
      <c r="X997" s="2"/>
      <c r="Z997" s="2"/>
      <c r="AA997" s="2"/>
      <c r="AB997" s="2"/>
      <c r="AC997" s="2"/>
    </row>
    <row r="998" spans="1:29" ht="15.75" customHeight="1" x14ac:dyDescent="0.3">
      <c r="A998" s="2"/>
      <c r="C998" s="2"/>
      <c r="D998" s="2"/>
      <c r="E998" s="2"/>
      <c r="F998" s="2"/>
      <c r="G998" s="92"/>
      <c r="H998" s="2"/>
      <c r="I998" s="2"/>
      <c r="J998" s="2"/>
      <c r="K998" s="90"/>
      <c r="L998" s="2"/>
      <c r="N998" s="2"/>
      <c r="O998" s="2"/>
      <c r="P998" s="2"/>
      <c r="Q998" s="2"/>
      <c r="R998" s="2"/>
      <c r="S998" s="2"/>
      <c r="T998" s="2"/>
      <c r="U998" s="222"/>
      <c r="V998" s="2"/>
      <c r="W998" s="2"/>
      <c r="X998" s="2"/>
      <c r="Z998" s="2"/>
      <c r="AA998" s="2"/>
      <c r="AB998" s="2"/>
      <c r="AC998" s="2"/>
    </row>
    <row r="999" spans="1:29" ht="15.75" customHeight="1" x14ac:dyDescent="0.3">
      <c r="A999" s="2"/>
      <c r="C999" s="2"/>
      <c r="D999" s="2"/>
      <c r="E999" s="2"/>
      <c r="F999" s="2"/>
      <c r="G999" s="92"/>
      <c r="H999" s="2"/>
      <c r="I999" s="2"/>
      <c r="J999" s="2"/>
      <c r="K999" s="90"/>
      <c r="L999" s="2"/>
      <c r="N999" s="2"/>
      <c r="O999" s="2"/>
      <c r="P999" s="2"/>
      <c r="Q999" s="2"/>
      <c r="R999" s="2"/>
      <c r="S999" s="2"/>
      <c r="T999" s="2"/>
      <c r="U999" s="222"/>
      <c r="V999" s="2"/>
      <c r="W999" s="2"/>
      <c r="X999" s="2"/>
      <c r="Z999" s="2"/>
      <c r="AA999" s="2"/>
      <c r="AB999" s="2"/>
      <c r="AC999" s="2"/>
    </row>
    <row r="1000" spans="1:29" ht="15.75" customHeight="1" x14ac:dyDescent="0.3">
      <c r="A1000" s="2"/>
      <c r="C1000" s="2"/>
      <c r="D1000" s="2"/>
      <c r="E1000" s="2"/>
      <c r="F1000" s="2"/>
      <c r="G1000" s="92"/>
      <c r="H1000" s="2"/>
      <c r="I1000" s="2"/>
      <c r="J1000" s="2"/>
      <c r="K1000" s="90"/>
      <c r="L1000" s="2"/>
      <c r="N1000" s="2"/>
      <c r="O1000" s="2"/>
      <c r="P1000" s="2"/>
      <c r="Q1000" s="2"/>
      <c r="R1000" s="2"/>
      <c r="S1000" s="2"/>
      <c r="T1000" s="2"/>
      <c r="U1000" s="222"/>
      <c r="V1000" s="2"/>
      <c r="W1000" s="2"/>
      <c r="X1000" s="2"/>
      <c r="Z1000" s="2"/>
      <c r="AA1000" s="2"/>
      <c r="AB1000" s="2"/>
      <c r="AC1000" s="2"/>
    </row>
    <row r="1001" spans="1:29" ht="15.75" customHeight="1" x14ac:dyDescent="0.3">
      <c r="A1001" s="2"/>
      <c r="C1001" s="2"/>
      <c r="D1001" s="2"/>
      <c r="E1001" s="2"/>
      <c r="F1001" s="2"/>
      <c r="G1001" s="92"/>
      <c r="H1001" s="2"/>
      <c r="I1001" s="2"/>
      <c r="J1001" s="2"/>
      <c r="K1001" s="90"/>
      <c r="L1001" s="2"/>
      <c r="N1001" s="2"/>
      <c r="O1001" s="2"/>
      <c r="P1001" s="2"/>
      <c r="Q1001" s="2"/>
      <c r="R1001" s="2"/>
      <c r="S1001" s="2"/>
      <c r="T1001" s="2"/>
      <c r="U1001" s="222"/>
      <c r="V1001" s="2"/>
      <c r="W1001" s="2"/>
      <c r="X1001" s="2"/>
      <c r="Z1001" s="2"/>
      <c r="AA1001" s="2"/>
      <c r="AB1001" s="2"/>
      <c r="AC1001" s="2"/>
    </row>
    <row r="1002" spans="1:29" ht="15.75" customHeight="1" x14ac:dyDescent="0.3">
      <c r="A1002" s="2"/>
      <c r="C1002" s="2"/>
      <c r="D1002" s="2"/>
      <c r="E1002" s="2"/>
      <c r="F1002" s="2"/>
      <c r="G1002" s="92"/>
      <c r="H1002" s="2"/>
      <c r="I1002" s="2"/>
      <c r="J1002" s="2"/>
      <c r="K1002" s="90"/>
      <c r="L1002" s="2"/>
      <c r="N1002" s="2"/>
      <c r="O1002" s="2"/>
      <c r="P1002" s="2"/>
      <c r="Q1002" s="2"/>
      <c r="R1002" s="2"/>
      <c r="S1002" s="2"/>
      <c r="T1002" s="2"/>
      <c r="U1002" s="222"/>
      <c r="V1002" s="2"/>
      <c r="W1002" s="2"/>
      <c r="X1002" s="2"/>
      <c r="Z1002" s="2"/>
      <c r="AA1002" s="2"/>
      <c r="AB1002" s="2"/>
      <c r="AC1002" s="2"/>
    </row>
    <row r="1003" spans="1:29" ht="15.75" customHeight="1" x14ac:dyDescent="0.3">
      <c r="A1003" s="2"/>
      <c r="C1003" s="2"/>
      <c r="D1003" s="2"/>
      <c r="E1003" s="2"/>
      <c r="F1003" s="2"/>
      <c r="G1003" s="92"/>
      <c r="H1003" s="2"/>
      <c r="I1003" s="2"/>
      <c r="J1003" s="2"/>
      <c r="K1003" s="90"/>
      <c r="L1003" s="2"/>
      <c r="N1003" s="2"/>
      <c r="O1003" s="2"/>
      <c r="P1003" s="2"/>
      <c r="Q1003" s="2"/>
      <c r="R1003" s="2"/>
      <c r="S1003" s="2"/>
      <c r="T1003" s="2"/>
      <c r="U1003" s="222"/>
      <c r="V1003" s="2"/>
      <c r="W1003" s="2"/>
      <c r="X1003" s="2"/>
      <c r="Z1003" s="2"/>
      <c r="AA1003" s="2"/>
      <c r="AB1003" s="2"/>
      <c r="AC1003" s="2"/>
    </row>
    <row r="1004" spans="1:29" ht="15.75" customHeight="1" x14ac:dyDescent="0.3">
      <c r="A1004" s="2"/>
      <c r="C1004" s="2"/>
      <c r="D1004" s="2"/>
      <c r="E1004" s="2"/>
      <c r="F1004" s="2"/>
      <c r="G1004" s="92"/>
      <c r="H1004" s="2"/>
      <c r="I1004" s="2"/>
      <c r="J1004" s="2"/>
      <c r="K1004" s="90"/>
      <c r="L1004" s="2"/>
      <c r="N1004" s="2"/>
      <c r="O1004" s="2"/>
      <c r="P1004" s="2"/>
      <c r="Q1004" s="2"/>
      <c r="R1004" s="2"/>
      <c r="S1004" s="2"/>
      <c r="T1004" s="2"/>
      <c r="U1004" s="222"/>
      <c r="V1004" s="2"/>
      <c r="W1004" s="2"/>
      <c r="X1004" s="2"/>
      <c r="Z1004" s="2"/>
      <c r="AA1004" s="2"/>
      <c r="AB1004" s="2"/>
      <c r="AC1004" s="2"/>
    </row>
  </sheetData>
  <mergeCells count="3">
    <mergeCell ref="A29:B29"/>
    <mergeCell ref="D34:E34"/>
    <mergeCell ref="D35:E35"/>
  </mergeCells>
  <phoneticPr fontId="37" type="noConversion"/>
  <conditionalFormatting sqref="B8:B14 B17:B25">
    <cfRule type="duplicateValues" dxfId="2" priority="10"/>
    <cfRule type="duplicateValues" dxfId="1" priority="11"/>
    <cfRule type="duplicateValues" dxfId="0" priority="12"/>
  </conditionalFormatting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Z100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6" sqref="G16"/>
    </sheetView>
  </sheetViews>
  <sheetFormatPr defaultColWidth="14.44140625" defaultRowHeight="15" customHeight="1" x14ac:dyDescent="0.3"/>
  <cols>
    <col min="1" max="1" width="10.33203125" customWidth="1"/>
    <col min="2" max="2" width="10" customWidth="1"/>
    <col min="3" max="3" width="20.88671875" customWidth="1"/>
    <col min="4" max="5" width="13.6640625" customWidth="1"/>
    <col min="6" max="6" width="18" customWidth="1"/>
    <col min="7" max="7" width="13.5546875" customWidth="1"/>
    <col min="8" max="8" width="7.88671875" customWidth="1"/>
    <col min="9" max="9" width="12.33203125" customWidth="1"/>
    <col min="10" max="10" width="11" customWidth="1"/>
    <col min="11" max="12" width="10" customWidth="1"/>
    <col min="13" max="13" width="6.44140625" customWidth="1"/>
    <col min="14" max="14" width="42.88671875" customWidth="1"/>
    <col min="15" max="15" width="38.109375" customWidth="1"/>
    <col min="16" max="16" width="12.5546875" customWidth="1"/>
    <col min="17" max="17" width="8.88671875" customWidth="1"/>
    <col min="18" max="18" width="11.88671875" customWidth="1"/>
    <col min="19" max="19" width="83.6640625" customWidth="1"/>
    <col min="20" max="26" width="8.6640625" customWidth="1"/>
  </cols>
  <sheetData>
    <row r="1" spans="1:26" ht="27.6" x14ac:dyDescent="0.3">
      <c r="A1" s="95" t="s">
        <v>195</v>
      </c>
      <c r="B1" s="95" t="s">
        <v>121</v>
      </c>
      <c r="C1" s="95" t="s">
        <v>122</v>
      </c>
      <c r="D1" s="95" t="s">
        <v>196</v>
      </c>
      <c r="E1" s="95" t="s">
        <v>197</v>
      </c>
      <c r="F1" s="95" t="s">
        <v>198</v>
      </c>
      <c r="G1" s="95" t="s">
        <v>199</v>
      </c>
      <c r="H1" s="95" t="s">
        <v>171</v>
      </c>
      <c r="I1" s="95" t="s">
        <v>200</v>
      </c>
      <c r="J1" s="95" t="s">
        <v>201</v>
      </c>
      <c r="K1" s="95" t="s">
        <v>53</v>
      </c>
      <c r="L1" s="95" t="s">
        <v>202</v>
      </c>
      <c r="M1" s="95" t="s">
        <v>203</v>
      </c>
      <c r="N1" s="95" t="s">
        <v>204</v>
      </c>
      <c r="O1" s="95" t="s">
        <v>205</v>
      </c>
      <c r="P1" s="95" t="s">
        <v>206</v>
      </c>
      <c r="Q1" s="95" t="s">
        <v>207</v>
      </c>
      <c r="R1" s="95" t="s">
        <v>208</v>
      </c>
      <c r="S1" s="96" t="s">
        <v>209</v>
      </c>
      <c r="T1" s="96"/>
      <c r="U1" s="96"/>
      <c r="V1" s="96"/>
      <c r="W1" s="96"/>
      <c r="X1" s="96"/>
      <c r="Y1" s="96"/>
      <c r="Z1" s="96"/>
    </row>
    <row r="2" spans="1:26" ht="14.4" x14ac:dyDescent="0.3">
      <c r="A2" s="88"/>
      <c r="B2" s="88"/>
      <c r="C2" s="88"/>
      <c r="D2" s="87"/>
      <c r="E2" s="87"/>
      <c r="F2" s="87"/>
      <c r="G2" s="97"/>
      <c r="H2" s="87"/>
      <c r="I2" s="97"/>
      <c r="J2" s="88"/>
      <c r="K2" s="98"/>
      <c r="L2" s="98"/>
      <c r="M2" s="98"/>
      <c r="N2" s="99"/>
      <c r="O2" s="99"/>
      <c r="P2" s="88"/>
      <c r="Q2" s="88"/>
      <c r="R2" s="88"/>
      <c r="S2" s="100"/>
    </row>
    <row r="3" spans="1:26" ht="14.4" x14ac:dyDescent="0.3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101"/>
      <c r="O3" s="101"/>
      <c r="P3" s="102"/>
      <c r="Q3" s="102"/>
      <c r="R3" s="102"/>
      <c r="S3" s="5"/>
    </row>
    <row r="4" spans="1:26" ht="14.4" x14ac:dyDescent="0.3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101"/>
      <c r="O4" s="101"/>
      <c r="P4" s="102"/>
      <c r="Q4" s="102"/>
      <c r="R4" s="102"/>
      <c r="S4" s="5"/>
    </row>
    <row r="5" spans="1:26" ht="14.4" x14ac:dyDescent="0.3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101"/>
      <c r="O5" s="101"/>
      <c r="P5" s="102"/>
      <c r="Q5" s="102"/>
      <c r="R5" s="102"/>
      <c r="S5" s="5"/>
    </row>
    <row r="6" spans="1:26" ht="14.4" x14ac:dyDescent="0.3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101"/>
      <c r="O6" s="101"/>
      <c r="P6" s="102"/>
      <c r="Q6" s="102"/>
      <c r="R6" s="102"/>
      <c r="S6" s="5"/>
    </row>
    <row r="7" spans="1:26" ht="14.4" x14ac:dyDescent="0.3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101"/>
      <c r="O7" s="101"/>
      <c r="P7" s="102"/>
      <c r="Q7" s="102"/>
      <c r="R7" s="102"/>
      <c r="S7" s="5"/>
    </row>
    <row r="8" spans="1:26" ht="14.4" x14ac:dyDescent="0.3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101"/>
      <c r="O8" s="101"/>
      <c r="P8" s="102"/>
      <c r="Q8" s="102"/>
      <c r="R8" s="102"/>
      <c r="S8" s="5"/>
    </row>
    <row r="9" spans="1:26" ht="14.4" x14ac:dyDescent="0.3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101"/>
      <c r="O9" s="101"/>
      <c r="P9" s="102"/>
      <c r="Q9" s="102"/>
      <c r="R9" s="102"/>
      <c r="S9" s="5"/>
    </row>
    <row r="10" spans="1:26" ht="14.4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101"/>
      <c r="O10" s="101"/>
      <c r="P10" s="102"/>
      <c r="Q10" s="102"/>
      <c r="R10" s="102"/>
      <c r="S10" s="5"/>
    </row>
    <row r="11" spans="1:26" ht="14.4" x14ac:dyDescent="0.3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101"/>
      <c r="O11" s="101"/>
      <c r="P11" s="102"/>
      <c r="Q11" s="102"/>
      <c r="R11" s="102"/>
      <c r="S11" s="5"/>
    </row>
    <row r="12" spans="1:26" ht="14.4" x14ac:dyDescent="0.3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101"/>
      <c r="O12" s="101"/>
      <c r="P12" s="102"/>
      <c r="Q12" s="102"/>
      <c r="R12" s="102"/>
      <c r="S12" s="5"/>
    </row>
    <row r="13" spans="1:26" ht="14.4" x14ac:dyDescent="0.3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101"/>
      <c r="O13" s="101"/>
      <c r="P13" s="102"/>
      <c r="Q13" s="102"/>
      <c r="R13" s="102"/>
      <c r="S13" s="5"/>
    </row>
    <row r="14" spans="1:26" ht="14.4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101"/>
      <c r="O14" s="101"/>
      <c r="P14" s="102"/>
      <c r="Q14" s="102"/>
      <c r="R14" s="102"/>
      <c r="S14" s="5"/>
    </row>
    <row r="15" spans="1:26" ht="14.4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101"/>
      <c r="O15" s="101"/>
      <c r="P15" s="102"/>
      <c r="Q15" s="102"/>
      <c r="R15" s="102"/>
      <c r="S15" s="5"/>
    </row>
    <row r="16" spans="1:26" ht="14.4" x14ac:dyDescent="0.3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101"/>
      <c r="O16" s="101"/>
      <c r="P16" s="102"/>
      <c r="Q16" s="102"/>
      <c r="R16" s="102"/>
      <c r="S16" s="5"/>
    </row>
    <row r="17" spans="1:19" ht="14.4" x14ac:dyDescent="0.3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101"/>
      <c r="O17" s="101"/>
      <c r="P17" s="102"/>
      <c r="Q17" s="102"/>
      <c r="R17" s="102"/>
      <c r="S17" s="5"/>
    </row>
    <row r="18" spans="1:19" ht="14.4" x14ac:dyDescent="0.3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101"/>
      <c r="O18" s="101"/>
      <c r="P18" s="102"/>
      <c r="Q18" s="102"/>
      <c r="R18" s="102"/>
      <c r="S18" s="5"/>
    </row>
    <row r="19" spans="1:19" ht="14.4" x14ac:dyDescent="0.3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101"/>
      <c r="O19" s="101"/>
      <c r="P19" s="102"/>
      <c r="Q19" s="102"/>
      <c r="R19" s="102"/>
      <c r="S19" s="5"/>
    </row>
    <row r="20" spans="1:19" ht="14.4" x14ac:dyDescent="0.3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101"/>
      <c r="O20" s="101"/>
      <c r="P20" s="102"/>
      <c r="Q20" s="102"/>
      <c r="R20" s="102"/>
      <c r="S20" s="5"/>
    </row>
    <row r="21" spans="1:19" ht="15.75" customHeight="1" x14ac:dyDescent="0.3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101"/>
      <c r="O21" s="101"/>
      <c r="P21" s="102"/>
      <c r="Q21" s="102"/>
      <c r="R21" s="102"/>
      <c r="S21" s="5"/>
    </row>
    <row r="22" spans="1:19" ht="15.75" customHeight="1" x14ac:dyDescent="0.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101"/>
      <c r="O22" s="101"/>
      <c r="P22" s="102"/>
      <c r="Q22" s="102"/>
      <c r="R22" s="102"/>
      <c r="S22" s="5"/>
    </row>
    <row r="23" spans="1:19" ht="15.75" customHeight="1" x14ac:dyDescent="0.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101"/>
      <c r="O23" s="101"/>
      <c r="P23" s="102"/>
      <c r="Q23" s="102"/>
      <c r="R23" s="102"/>
      <c r="S23" s="5"/>
    </row>
    <row r="24" spans="1:19" ht="15.75" customHeight="1" x14ac:dyDescent="0.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101"/>
      <c r="O24" s="101"/>
      <c r="P24" s="102"/>
      <c r="Q24" s="102"/>
      <c r="R24" s="102"/>
      <c r="S24" s="5"/>
    </row>
    <row r="25" spans="1:19" ht="15.75" customHeight="1" x14ac:dyDescent="0.3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101"/>
      <c r="O25" s="101"/>
      <c r="P25" s="102"/>
      <c r="Q25" s="102"/>
      <c r="R25" s="102"/>
      <c r="S25" s="5"/>
    </row>
    <row r="26" spans="1:19" ht="15.75" customHeight="1" x14ac:dyDescent="0.3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101"/>
      <c r="O26" s="101"/>
      <c r="P26" s="102"/>
      <c r="Q26" s="102"/>
      <c r="R26" s="102"/>
      <c r="S26" s="5"/>
    </row>
    <row r="27" spans="1:19" ht="15.75" customHeight="1" x14ac:dyDescent="0.3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101"/>
      <c r="O27" s="101"/>
      <c r="P27" s="102"/>
      <c r="Q27" s="102"/>
      <c r="R27" s="102"/>
      <c r="S27" s="5"/>
    </row>
    <row r="28" spans="1:19" ht="15.75" customHeight="1" x14ac:dyDescent="0.3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101"/>
      <c r="O28" s="101"/>
      <c r="P28" s="102"/>
      <c r="Q28" s="102"/>
      <c r="R28" s="102"/>
      <c r="S28" s="5"/>
    </row>
    <row r="29" spans="1:19" ht="15.75" customHeight="1" x14ac:dyDescent="0.3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101"/>
      <c r="O29" s="101"/>
      <c r="P29" s="102"/>
      <c r="Q29" s="102"/>
      <c r="R29" s="102"/>
      <c r="S29" s="5"/>
    </row>
    <row r="30" spans="1:19" ht="15.75" customHeight="1" x14ac:dyDescent="0.3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101"/>
      <c r="O30" s="101"/>
      <c r="P30" s="102"/>
      <c r="Q30" s="102"/>
      <c r="R30" s="102"/>
      <c r="S30" s="5"/>
    </row>
    <row r="31" spans="1:19" ht="15.75" customHeight="1" x14ac:dyDescent="0.3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101"/>
      <c r="O31" s="101"/>
      <c r="P31" s="102"/>
      <c r="Q31" s="102"/>
      <c r="R31" s="102"/>
      <c r="S31" s="5"/>
    </row>
    <row r="32" spans="1:19" ht="15.75" customHeight="1" x14ac:dyDescent="0.3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101"/>
      <c r="O32" s="101"/>
      <c r="P32" s="102"/>
      <c r="Q32" s="102"/>
      <c r="R32" s="102"/>
      <c r="S32" s="5"/>
    </row>
    <row r="33" spans="1:19" ht="15.75" customHeight="1" x14ac:dyDescent="0.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101"/>
      <c r="O33" s="101"/>
      <c r="P33" s="102"/>
      <c r="Q33" s="102"/>
      <c r="R33" s="102"/>
      <c r="S33" s="5"/>
    </row>
    <row r="34" spans="1:19" ht="15.75" customHeight="1" x14ac:dyDescent="0.3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101"/>
      <c r="O34" s="101"/>
      <c r="P34" s="102"/>
      <c r="Q34" s="102"/>
      <c r="R34" s="102"/>
      <c r="S34" s="5"/>
    </row>
    <row r="35" spans="1:19" ht="15.75" customHeight="1" x14ac:dyDescent="0.3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101"/>
      <c r="O35" s="101"/>
      <c r="P35" s="102"/>
      <c r="Q35" s="102"/>
      <c r="R35" s="102"/>
      <c r="S35" s="5"/>
    </row>
    <row r="36" spans="1:19" ht="15.75" customHeight="1" x14ac:dyDescent="0.3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101"/>
      <c r="O36" s="101"/>
      <c r="P36" s="102"/>
      <c r="Q36" s="102"/>
      <c r="R36" s="102"/>
      <c r="S36" s="5"/>
    </row>
    <row r="37" spans="1:19" ht="15.75" customHeight="1" x14ac:dyDescent="0.3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101"/>
      <c r="O37" s="101"/>
      <c r="P37" s="102"/>
      <c r="Q37" s="102"/>
      <c r="R37" s="102"/>
      <c r="S37" s="5"/>
    </row>
    <row r="38" spans="1:19" ht="15.75" customHeight="1" x14ac:dyDescent="0.3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101"/>
      <c r="O38" s="101"/>
      <c r="P38" s="102"/>
      <c r="Q38" s="102"/>
      <c r="R38" s="102"/>
      <c r="S38" s="5"/>
    </row>
    <row r="39" spans="1:19" ht="15.75" customHeight="1" x14ac:dyDescent="0.3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101"/>
      <c r="O39" s="101"/>
      <c r="P39" s="102"/>
      <c r="Q39" s="102"/>
      <c r="R39" s="102"/>
      <c r="S39" s="5"/>
    </row>
    <row r="40" spans="1:19" ht="15.75" customHeight="1" x14ac:dyDescent="0.3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101"/>
      <c r="O40" s="101"/>
      <c r="P40" s="102"/>
      <c r="Q40" s="102"/>
      <c r="R40" s="102"/>
      <c r="S40" s="5"/>
    </row>
    <row r="41" spans="1:19" ht="15.75" customHeight="1" x14ac:dyDescent="0.3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101"/>
      <c r="O41" s="101"/>
      <c r="P41" s="102"/>
      <c r="Q41" s="102"/>
      <c r="R41" s="102"/>
      <c r="S41" s="5"/>
    </row>
    <row r="42" spans="1:19" ht="15.75" customHeight="1" x14ac:dyDescent="0.3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101"/>
      <c r="O42" s="101"/>
      <c r="P42" s="102"/>
      <c r="Q42" s="102"/>
      <c r="R42" s="102"/>
      <c r="S42" s="5"/>
    </row>
    <row r="43" spans="1:19" ht="15.75" customHeight="1" x14ac:dyDescent="0.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101"/>
      <c r="O43" s="101"/>
      <c r="P43" s="102"/>
      <c r="Q43" s="102"/>
      <c r="R43" s="102"/>
      <c r="S43" s="5"/>
    </row>
    <row r="44" spans="1:19" ht="15.75" customHeight="1" x14ac:dyDescent="0.3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101"/>
      <c r="O44" s="101"/>
      <c r="P44" s="102"/>
      <c r="Q44" s="102"/>
      <c r="R44" s="102"/>
      <c r="S44" s="5"/>
    </row>
    <row r="45" spans="1:19" ht="15.75" customHeight="1" x14ac:dyDescent="0.3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101"/>
      <c r="O45" s="101"/>
      <c r="P45" s="102"/>
      <c r="Q45" s="102"/>
      <c r="R45" s="102"/>
      <c r="S45" s="5"/>
    </row>
    <row r="46" spans="1:19" ht="15.75" customHeight="1" x14ac:dyDescent="0.3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101"/>
      <c r="O46" s="101"/>
      <c r="P46" s="102"/>
      <c r="Q46" s="102"/>
      <c r="R46" s="102"/>
      <c r="S46" s="5"/>
    </row>
    <row r="47" spans="1:19" ht="15.75" customHeight="1" x14ac:dyDescent="0.3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101"/>
      <c r="O47" s="101"/>
      <c r="P47" s="102"/>
      <c r="Q47" s="102"/>
      <c r="R47" s="102"/>
      <c r="S47" s="5"/>
    </row>
    <row r="48" spans="1:19" ht="15.75" customHeight="1" x14ac:dyDescent="0.3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101"/>
      <c r="O48" s="101"/>
      <c r="P48" s="102"/>
      <c r="Q48" s="102"/>
      <c r="R48" s="102"/>
      <c r="S48" s="5"/>
    </row>
    <row r="49" spans="1:19" ht="15.75" customHeight="1" x14ac:dyDescent="0.3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101"/>
      <c r="O49" s="101"/>
      <c r="P49" s="102"/>
      <c r="Q49" s="102"/>
      <c r="R49" s="102"/>
      <c r="S49" s="5"/>
    </row>
    <row r="50" spans="1:19" ht="15.75" customHeight="1" x14ac:dyDescent="0.3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101"/>
      <c r="O50" s="101"/>
      <c r="P50" s="102"/>
      <c r="Q50" s="102"/>
      <c r="R50" s="102"/>
      <c r="S50" s="5"/>
    </row>
    <row r="51" spans="1:19" ht="15.75" customHeight="1" x14ac:dyDescent="0.3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101"/>
      <c r="O51" s="101"/>
      <c r="P51" s="102"/>
      <c r="Q51" s="102"/>
      <c r="R51" s="102"/>
      <c r="S51" s="5"/>
    </row>
    <row r="52" spans="1:19" ht="15.75" customHeight="1" x14ac:dyDescent="0.3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101"/>
      <c r="O52" s="101"/>
      <c r="P52" s="102"/>
      <c r="Q52" s="102"/>
      <c r="R52" s="102"/>
      <c r="S52" s="5"/>
    </row>
    <row r="53" spans="1:19" ht="15.75" customHeight="1" x14ac:dyDescent="0.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101"/>
      <c r="O53" s="101"/>
      <c r="P53" s="102"/>
      <c r="Q53" s="102"/>
      <c r="R53" s="102"/>
      <c r="S53" s="5"/>
    </row>
    <row r="54" spans="1:19" ht="15.75" customHeight="1" x14ac:dyDescent="0.3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101"/>
      <c r="O54" s="101"/>
      <c r="P54" s="102"/>
      <c r="Q54" s="102"/>
      <c r="R54" s="102"/>
      <c r="S54" s="5"/>
    </row>
    <row r="55" spans="1:19" ht="15.75" customHeight="1" x14ac:dyDescent="0.3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101"/>
      <c r="O55" s="101"/>
      <c r="P55" s="102"/>
      <c r="Q55" s="102"/>
      <c r="R55" s="102"/>
      <c r="S55" s="5"/>
    </row>
    <row r="56" spans="1:19" ht="15.75" customHeight="1" x14ac:dyDescent="0.3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101"/>
      <c r="O56" s="101"/>
      <c r="P56" s="102"/>
      <c r="Q56" s="102"/>
      <c r="R56" s="102"/>
      <c r="S56" s="5"/>
    </row>
    <row r="57" spans="1:19" ht="15.75" customHeight="1" x14ac:dyDescent="0.3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101"/>
      <c r="O57" s="101"/>
      <c r="P57" s="102"/>
      <c r="Q57" s="102"/>
      <c r="R57" s="102"/>
      <c r="S57" s="5"/>
    </row>
    <row r="58" spans="1:19" ht="15.75" customHeight="1" x14ac:dyDescent="0.3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101"/>
      <c r="O58" s="101"/>
      <c r="P58" s="102"/>
      <c r="Q58" s="102"/>
      <c r="R58" s="102"/>
      <c r="S58" s="5"/>
    </row>
    <row r="59" spans="1:19" ht="15.75" customHeight="1" x14ac:dyDescent="0.3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101"/>
      <c r="O59" s="101"/>
      <c r="P59" s="102"/>
      <c r="Q59" s="102"/>
      <c r="R59" s="102"/>
      <c r="S59" s="5"/>
    </row>
    <row r="60" spans="1:19" ht="15.75" customHeight="1" x14ac:dyDescent="0.3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101"/>
      <c r="O60" s="101"/>
      <c r="P60" s="102"/>
      <c r="Q60" s="102"/>
      <c r="R60" s="102"/>
      <c r="S60" s="5"/>
    </row>
    <row r="61" spans="1:19" ht="15.75" customHeight="1" x14ac:dyDescent="0.3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101"/>
      <c r="O61" s="101"/>
      <c r="P61" s="102"/>
      <c r="Q61" s="102"/>
      <c r="R61" s="102"/>
      <c r="S61" s="5"/>
    </row>
    <row r="62" spans="1:19" ht="15.75" customHeight="1" x14ac:dyDescent="0.3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101"/>
      <c r="O62" s="101"/>
      <c r="P62" s="102"/>
      <c r="Q62" s="102"/>
      <c r="R62" s="102"/>
      <c r="S62" s="5"/>
    </row>
    <row r="63" spans="1:19" ht="15.75" customHeight="1" x14ac:dyDescent="0.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101"/>
      <c r="O63" s="101"/>
      <c r="P63" s="102"/>
      <c r="Q63" s="102"/>
      <c r="R63" s="102"/>
      <c r="S63" s="5"/>
    </row>
    <row r="64" spans="1:19" ht="15.75" customHeight="1" x14ac:dyDescent="0.3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101"/>
      <c r="O64" s="101"/>
      <c r="P64" s="102"/>
      <c r="Q64" s="102"/>
      <c r="R64" s="102"/>
      <c r="S64" s="5"/>
    </row>
    <row r="65" spans="1:19" ht="15.75" customHeight="1" x14ac:dyDescent="0.3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101"/>
      <c r="O65" s="101"/>
      <c r="P65" s="102"/>
      <c r="Q65" s="102"/>
      <c r="R65" s="102"/>
      <c r="S65" s="5"/>
    </row>
    <row r="66" spans="1:19" ht="15.75" customHeight="1" x14ac:dyDescent="0.3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101"/>
      <c r="O66" s="101"/>
      <c r="P66" s="102"/>
      <c r="Q66" s="102"/>
      <c r="R66" s="102"/>
      <c r="S66" s="5"/>
    </row>
    <row r="67" spans="1:19" ht="15.75" customHeight="1" x14ac:dyDescent="0.3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101"/>
      <c r="O67" s="101"/>
      <c r="P67" s="102"/>
      <c r="Q67" s="102"/>
      <c r="R67" s="102"/>
      <c r="S67" s="5"/>
    </row>
    <row r="68" spans="1:19" ht="15.75" customHeight="1" x14ac:dyDescent="0.3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101"/>
      <c r="O68" s="101"/>
      <c r="P68" s="102"/>
      <c r="Q68" s="102"/>
      <c r="R68" s="102"/>
      <c r="S68" s="5"/>
    </row>
    <row r="69" spans="1:19" ht="15.75" customHeight="1" x14ac:dyDescent="0.3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101"/>
      <c r="O69" s="101"/>
      <c r="P69" s="102"/>
      <c r="Q69" s="102"/>
      <c r="R69" s="102"/>
      <c r="S69" s="5"/>
    </row>
    <row r="70" spans="1:19" ht="15.75" customHeight="1" x14ac:dyDescent="0.3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101"/>
      <c r="O70" s="101"/>
      <c r="P70" s="102"/>
      <c r="Q70" s="102"/>
      <c r="R70" s="102"/>
      <c r="S70" s="5"/>
    </row>
    <row r="71" spans="1:19" ht="15.75" customHeight="1" x14ac:dyDescent="0.3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101"/>
      <c r="O71" s="101"/>
      <c r="P71" s="102"/>
      <c r="Q71" s="102"/>
      <c r="R71" s="102"/>
      <c r="S71" s="5"/>
    </row>
    <row r="72" spans="1:19" ht="15.75" customHeight="1" x14ac:dyDescent="0.3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101"/>
      <c r="O72" s="101"/>
      <c r="P72" s="102"/>
      <c r="Q72" s="102"/>
      <c r="R72" s="102"/>
      <c r="S72" s="5"/>
    </row>
    <row r="73" spans="1:19" ht="15.75" customHeight="1" x14ac:dyDescent="0.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101"/>
      <c r="O73" s="101"/>
      <c r="P73" s="102"/>
      <c r="Q73" s="102"/>
      <c r="R73" s="102"/>
      <c r="S73" s="5"/>
    </row>
    <row r="74" spans="1:19" ht="15.75" customHeight="1" x14ac:dyDescent="0.3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101"/>
      <c r="O74" s="101"/>
      <c r="P74" s="102"/>
      <c r="Q74" s="102"/>
      <c r="R74" s="102"/>
      <c r="S74" s="5"/>
    </row>
    <row r="75" spans="1:19" ht="15.75" customHeight="1" x14ac:dyDescent="0.3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101"/>
      <c r="O75" s="101"/>
      <c r="P75" s="102"/>
      <c r="Q75" s="102"/>
      <c r="R75" s="102"/>
      <c r="S75" s="5"/>
    </row>
    <row r="76" spans="1:19" ht="15.75" customHeight="1" x14ac:dyDescent="0.3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101"/>
      <c r="O76" s="101"/>
      <c r="P76" s="102"/>
      <c r="Q76" s="102"/>
      <c r="R76" s="102"/>
      <c r="S76" s="5"/>
    </row>
    <row r="77" spans="1:19" ht="15.75" customHeight="1" x14ac:dyDescent="0.3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101"/>
      <c r="O77" s="101"/>
      <c r="P77" s="102"/>
      <c r="Q77" s="102"/>
      <c r="R77" s="102"/>
      <c r="S77" s="5"/>
    </row>
    <row r="78" spans="1:19" ht="15.75" customHeight="1" x14ac:dyDescent="0.3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101"/>
      <c r="O78" s="101"/>
      <c r="P78" s="102"/>
      <c r="Q78" s="102"/>
      <c r="R78" s="102"/>
      <c r="S78" s="5"/>
    </row>
    <row r="79" spans="1:19" ht="15.75" customHeight="1" x14ac:dyDescent="0.3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101"/>
      <c r="O79" s="101"/>
      <c r="P79" s="102"/>
      <c r="Q79" s="102"/>
      <c r="R79" s="102"/>
      <c r="S79" s="5"/>
    </row>
    <row r="80" spans="1:19" ht="15.75" customHeight="1" x14ac:dyDescent="0.3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101"/>
      <c r="O80" s="101"/>
      <c r="P80" s="102"/>
      <c r="Q80" s="102"/>
      <c r="R80" s="102"/>
      <c r="S80" s="5"/>
    </row>
    <row r="81" spans="1:19" ht="15.75" customHeight="1" x14ac:dyDescent="0.3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101"/>
      <c r="O81" s="101"/>
      <c r="P81" s="102"/>
      <c r="Q81" s="102"/>
      <c r="R81" s="102"/>
      <c r="S81" s="5"/>
    </row>
    <row r="82" spans="1:19" ht="15.75" customHeight="1" x14ac:dyDescent="0.3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101"/>
      <c r="O82" s="101"/>
      <c r="P82" s="102"/>
      <c r="Q82" s="102"/>
      <c r="R82" s="102"/>
      <c r="S82" s="5"/>
    </row>
    <row r="83" spans="1:19" ht="15.75" customHeight="1" x14ac:dyDescent="0.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101"/>
      <c r="O83" s="101"/>
      <c r="P83" s="102"/>
      <c r="Q83" s="102"/>
      <c r="R83" s="102"/>
      <c r="S83" s="5"/>
    </row>
    <row r="84" spans="1:19" ht="15.75" customHeight="1" x14ac:dyDescent="0.3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101"/>
      <c r="O84" s="101"/>
      <c r="P84" s="102"/>
      <c r="Q84" s="102"/>
      <c r="R84" s="102"/>
      <c r="S84" s="5"/>
    </row>
    <row r="85" spans="1:19" ht="15.75" customHeight="1" x14ac:dyDescent="0.3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101"/>
      <c r="O85" s="101"/>
      <c r="P85" s="102"/>
      <c r="Q85" s="102"/>
      <c r="R85" s="102"/>
      <c r="S85" s="5"/>
    </row>
    <row r="86" spans="1:19" ht="15.75" customHeight="1" x14ac:dyDescent="0.3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101"/>
      <c r="O86" s="101"/>
      <c r="P86" s="102"/>
      <c r="Q86" s="102"/>
      <c r="R86" s="102"/>
      <c r="S86" s="5"/>
    </row>
    <row r="87" spans="1:19" ht="15.75" customHeight="1" x14ac:dyDescent="0.3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101"/>
      <c r="O87" s="101"/>
      <c r="P87" s="102"/>
      <c r="Q87" s="102"/>
      <c r="R87" s="102"/>
      <c r="S87" s="5"/>
    </row>
    <row r="88" spans="1:19" ht="15.75" customHeight="1" x14ac:dyDescent="0.3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101"/>
      <c r="O88" s="101"/>
      <c r="P88" s="102"/>
      <c r="Q88" s="102"/>
      <c r="R88" s="102"/>
      <c r="S88" s="5"/>
    </row>
    <row r="89" spans="1:19" ht="15.75" customHeight="1" x14ac:dyDescent="0.3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101"/>
      <c r="O89" s="101"/>
      <c r="P89" s="102"/>
      <c r="Q89" s="102"/>
      <c r="R89" s="102"/>
      <c r="S89" s="5"/>
    </row>
    <row r="90" spans="1:19" ht="15.75" customHeight="1" x14ac:dyDescent="0.3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101"/>
      <c r="O90" s="101"/>
      <c r="P90" s="102"/>
      <c r="Q90" s="102"/>
      <c r="R90" s="102"/>
      <c r="S90" s="5"/>
    </row>
    <row r="91" spans="1:19" ht="15.75" customHeight="1" x14ac:dyDescent="0.3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101"/>
      <c r="O91" s="101"/>
      <c r="P91" s="102"/>
      <c r="Q91" s="102"/>
      <c r="R91" s="102"/>
      <c r="S91" s="5"/>
    </row>
    <row r="92" spans="1:19" ht="15.75" customHeight="1" x14ac:dyDescent="0.3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101"/>
      <c r="O92" s="101"/>
      <c r="P92" s="102"/>
      <c r="Q92" s="102"/>
      <c r="R92" s="102"/>
      <c r="S92" s="5"/>
    </row>
    <row r="93" spans="1:19" ht="15.75" customHeight="1" x14ac:dyDescent="0.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101"/>
      <c r="O93" s="101"/>
      <c r="P93" s="102"/>
      <c r="Q93" s="102"/>
      <c r="R93" s="102"/>
      <c r="S93" s="5"/>
    </row>
    <row r="94" spans="1:19" ht="15.75" customHeight="1" x14ac:dyDescent="0.3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101"/>
      <c r="O94" s="101"/>
      <c r="P94" s="102"/>
      <c r="Q94" s="102"/>
      <c r="R94" s="102"/>
      <c r="S94" s="5"/>
    </row>
    <row r="95" spans="1:19" ht="15.75" customHeight="1" x14ac:dyDescent="0.3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101"/>
      <c r="O95" s="101"/>
      <c r="P95" s="102"/>
      <c r="Q95" s="102"/>
      <c r="R95" s="102"/>
      <c r="S95" s="5"/>
    </row>
    <row r="96" spans="1:19" ht="15.75" customHeight="1" x14ac:dyDescent="0.3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101"/>
      <c r="O96" s="101"/>
      <c r="P96" s="102"/>
      <c r="Q96" s="102"/>
      <c r="R96" s="102"/>
      <c r="S96" s="5"/>
    </row>
    <row r="97" spans="1:19" ht="15.75" customHeight="1" x14ac:dyDescent="0.3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101"/>
      <c r="O97" s="101"/>
      <c r="P97" s="102"/>
      <c r="Q97" s="102"/>
      <c r="R97" s="102"/>
      <c r="S97" s="5"/>
    </row>
    <row r="98" spans="1:19" ht="15.75" customHeight="1" x14ac:dyDescent="0.3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101"/>
      <c r="O98" s="101"/>
      <c r="P98" s="102"/>
      <c r="Q98" s="102"/>
      <c r="R98" s="102"/>
      <c r="S98" s="5"/>
    </row>
    <row r="99" spans="1:19" ht="15.75" customHeight="1" x14ac:dyDescent="0.3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101"/>
      <c r="O99" s="101"/>
      <c r="P99" s="102"/>
      <c r="Q99" s="102"/>
      <c r="R99" s="102"/>
      <c r="S99" s="5"/>
    </row>
    <row r="100" spans="1:19" ht="15.75" customHeight="1" x14ac:dyDescent="0.3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101"/>
      <c r="O100" s="101"/>
      <c r="P100" s="102"/>
      <c r="Q100" s="102"/>
      <c r="R100" s="102"/>
      <c r="S100" s="5"/>
    </row>
    <row r="101" spans="1:19" ht="15.75" customHeight="1" x14ac:dyDescent="0.3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101"/>
      <c r="O101" s="101"/>
      <c r="P101" s="102"/>
      <c r="Q101" s="102"/>
      <c r="R101" s="102"/>
      <c r="S101" s="5"/>
    </row>
    <row r="102" spans="1:19" ht="15.75" customHeight="1" x14ac:dyDescent="0.3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101"/>
      <c r="O102" s="101"/>
      <c r="P102" s="102"/>
      <c r="Q102" s="102"/>
      <c r="R102" s="102"/>
      <c r="S102" s="5"/>
    </row>
    <row r="103" spans="1:19" ht="15.75" customHeight="1" x14ac:dyDescent="0.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101"/>
      <c r="O103" s="101"/>
      <c r="P103" s="102"/>
      <c r="Q103" s="102"/>
      <c r="R103" s="102"/>
      <c r="S103" s="5"/>
    </row>
    <row r="104" spans="1:19" ht="15.75" customHeigh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101"/>
      <c r="O104" s="101"/>
      <c r="P104" s="102"/>
      <c r="Q104" s="102"/>
      <c r="R104" s="102"/>
      <c r="S104" s="5"/>
    </row>
    <row r="105" spans="1:19" ht="15.75" customHeigh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101"/>
      <c r="O105" s="101"/>
      <c r="P105" s="102"/>
      <c r="Q105" s="102"/>
      <c r="R105" s="102"/>
      <c r="S105" s="5"/>
    </row>
    <row r="106" spans="1:19" ht="15.75" customHeigh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101"/>
      <c r="O106" s="101"/>
      <c r="P106" s="102"/>
      <c r="Q106" s="102"/>
      <c r="R106" s="102"/>
      <c r="S106" s="5"/>
    </row>
    <row r="107" spans="1:19" ht="15.75" customHeigh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101"/>
      <c r="O107" s="101"/>
      <c r="P107" s="102"/>
      <c r="Q107" s="102"/>
      <c r="R107" s="102"/>
      <c r="S107" s="5"/>
    </row>
    <row r="108" spans="1:19" ht="15.75" customHeigh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101"/>
      <c r="O108" s="101"/>
      <c r="P108" s="102"/>
      <c r="Q108" s="102"/>
      <c r="R108" s="102"/>
      <c r="S108" s="5"/>
    </row>
    <row r="109" spans="1:19" ht="15.75" customHeigh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101"/>
      <c r="O109" s="101"/>
      <c r="P109" s="102"/>
      <c r="Q109" s="102"/>
      <c r="R109" s="102"/>
      <c r="S109" s="5"/>
    </row>
    <row r="110" spans="1:19" ht="15.75" customHeigh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101"/>
      <c r="O110" s="101"/>
      <c r="P110" s="102"/>
      <c r="Q110" s="102"/>
      <c r="R110" s="102"/>
      <c r="S110" s="5"/>
    </row>
    <row r="111" spans="1:19" ht="15.75" customHeigh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101"/>
      <c r="O111" s="101"/>
      <c r="P111" s="102"/>
      <c r="Q111" s="102"/>
      <c r="R111" s="102"/>
      <c r="S111" s="5"/>
    </row>
    <row r="112" spans="1:19" ht="15.75" customHeight="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101"/>
      <c r="O112" s="101"/>
      <c r="P112" s="102"/>
      <c r="Q112" s="102"/>
      <c r="R112" s="102"/>
      <c r="S112" s="5"/>
    </row>
    <row r="113" spans="1:19" ht="15.75" customHeight="1" x14ac:dyDescent="0.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101"/>
      <c r="O113" s="101"/>
      <c r="P113" s="102"/>
      <c r="Q113" s="102"/>
      <c r="R113" s="102"/>
      <c r="S113" s="5"/>
    </row>
    <row r="114" spans="1:19" ht="15.75" customHeight="1" x14ac:dyDescent="0.3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101"/>
      <c r="O114" s="101"/>
      <c r="P114" s="102"/>
      <c r="Q114" s="102"/>
      <c r="R114" s="102"/>
      <c r="S114" s="5"/>
    </row>
    <row r="115" spans="1:19" ht="15.75" customHeight="1" x14ac:dyDescent="0.3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101"/>
      <c r="O115" s="101"/>
      <c r="P115" s="102"/>
      <c r="Q115" s="102"/>
      <c r="R115" s="102"/>
      <c r="S115" s="5"/>
    </row>
    <row r="116" spans="1:19" ht="15.75" customHeight="1" x14ac:dyDescent="0.3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101"/>
      <c r="O116" s="101"/>
      <c r="P116" s="102"/>
      <c r="Q116" s="102"/>
      <c r="R116" s="102"/>
      <c r="S116" s="5"/>
    </row>
    <row r="117" spans="1:19" ht="15.75" customHeight="1" x14ac:dyDescent="0.3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101"/>
      <c r="O117" s="101"/>
      <c r="P117" s="102"/>
      <c r="Q117" s="102"/>
      <c r="R117" s="102"/>
      <c r="S117" s="5"/>
    </row>
    <row r="118" spans="1:19" ht="15.75" customHeight="1" x14ac:dyDescent="0.3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101"/>
      <c r="O118" s="101"/>
      <c r="P118" s="102"/>
      <c r="Q118" s="102"/>
      <c r="R118" s="102"/>
      <c r="S118" s="5"/>
    </row>
    <row r="119" spans="1:19" ht="15.75" customHeight="1" x14ac:dyDescent="0.3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101"/>
      <c r="O119" s="101"/>
      <c r="P119" s="102"/>
      <c r="Q119" s="102"/>
      <c r="R119" s="102"/>
      <c r="S119" s="5"/>
    </row>
    <row r="120" spans="1:19" ht="15.75" customHeight="1" x14ac:dyDescent="0.3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101"/>
      <c r="O120" s="101"/>
      <c r="P120" s="102"/>
      <c r="Q120" s="102"/>
      <c r="R120" s="102"/>
      <c r="S120" s="5"/>
    </row>
    <row r="121" spans="1:19" ht="15.75" customHeight="1" x14ac:dyDescent="0.3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101"/>
      <c r="O121" s="101"/>
      <c r="P121" s="102"/>
      <c r="Q121" s="102"/>
      <c r="R121" s="102"/>
      <c r="S121" s="5"/>
    </row>
    <row r="122" spans="1:19" ht="15.75" customHeight="1" x14ac:dyDescent="0.3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101"/>
      <c r="O122" s="101"/>
      <c r="P122" s="102"/>
      <c r="Q122" s="102"/>
      <c r="R122" s="102"/>
      <c r="S122" s="5"/>
    </row>
    <row r="123" spans="1:19" ht="15.75" customHeight="1" x14ac:dyDescent="0.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101"/>
      <c r="O123" s="101"/>
      <c r="P123" s="102"/>
      <c r="Q123" s="102"/>
      <c r="R123" s="102"/>
      <c r="S123" s="5"/>
    </row>
    <row r="124" spans="1:19" ht="15.75" customHeight="1" x14ac:dyDescent="0.3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101"/>
      <c r="O124" s="101"/>
      <c r="P124" s="102"/>
      <c r="Q124" s="102"/>
      <c r="R124" s="102"/>
      <c r="S124" s="5"/>
    </row>
    <row r="125" spans="1:19" ht="15.75" customHeight="1" x14ac:dyDescent="0.3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101"/>
      <c r="O125" s="101"/>
      <c r="P125" s="102"/>
      <c r="Q125" s="102"/>
      <c r="R125" s="102"/>
      <c r="S125" s="5"/>
    </row>
    <row r="126" spans="1:19" ht="15.75" customHeight="1" x14ac:dyDescent="0.3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101"/>
      <c r="O126" s="101"/>
      <c r="P126" s="102"/>
      <c r="Q126" s="102"/>
      <c r="R126" s="102"/>
      <c r="S126" s="5"/>
    </row>
    <row r="127" spans="1:19" ht="15.75" customHeight="1" x14ac:dyDescent="0.3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101"/>
      <c r="O127" s="101"/>
      <c r="P127" s="102"/>
      <c r="Q127" s="102"/>
      <c r="R127" s="102"/>
      <c r="S127" s="5"/>
    </row>
    <row r="128" spans="1:19" ht="15.75" customHeight="1" x14ac:dyDescent="0.3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101"/>
      <c r="O128" s="101"/>
      <c r="P128" s="102"/>
      <c r="Q128" s="102"/>
      <c r="R128" s="102"/>
      <c r="S128" s="5"/>
    </row>
    <row r="129" spans="1:19" ht="15.75" customHeight="1" x14ac:dyDescent="0.3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101"/>
      <c r="O129" s="101"/>
      <c r="P129" s="102"/>
      <c r="Q129" s="102"/>
      <c r="R129" s="102"/>
      <c r="S129" s="5"/>
    </row>
    <row r="130" spans="1:19" ht="15.75" customHeight="1" x14ac:dyDescent="0.3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101"/>
      <c r="O130" s="101"/>
      <c r="P130" s="102"/>
      <c r="Q130" s="102"/>
      <c r="R130" s="102"/>
      <c r="S130" s="5"/>
    </row>
    <row r="131" spans="1:19" ht="15.75" customHeight="1" x14ac:dyDescent="0.3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101"/>
      <c r="O131" s="101"/>
      <c r="P131" s="102"/>
      <c r="Q131" s="102"/>
      <c r="R131" s="102"/>
      <c r="S131" s="5"/>
    </row>
    <row r="132" spans="1:19" ht="15.75" customHeight="1" x14ac:dyDescent="0.3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101"/>
      <c r="O132" s="101"/>
      <c r="P132" s="102"/>
      <c r="Q132" s="102"/>
      <c r="R132" s="102"/>
      <c r="S132" s="5"/>
    </row>
    <row r="133" spans="1:19" ht="15.75" customHeight="1" x14ac:dyDescent="0.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101"/>
      <c r="O133" s="101"/>
      <c r="P133" s="102"/>
      <c r="Q133" s="102"/>
      <c r="R133" s="102"/>
      <c r="S133" s="5"/>
    </row>
    <row r="134" spans="1:19" ht="15.75" customHeight="1" x14ac:dyDescent="0.3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101"/>
      <c r="O134" s="101"/>
      <c r="P134" s="102"/>
      <c r="Q134" s="102"/>
      <c r="R134" s="102"/>
      <c r="S134" s="5"/>
    </row>
    <row r="135" spans="1:19" ht="15.75" customHeight="1" x14ac:dyDescent="0.3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101"/>
      <c r="O135" s="101"/>
      <c r="P135" s="102"/>
      <c r="Q135" s="102"/>
      <c r="R135" s="102"/>
      <c r="S135" s="5"/>
    </row>
    <row r="136" spans="1:19" ht="15.75" customHeight="1" x14ac:dyDescent="0.3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101"/>
      <c r="O136" s="101"/>
      <c r="P136" s="102"/>
      <c r="Q136" s="102"/>
      <c r="R136" s="102"/>
      <c r="S136" s="5"/>
    </row>
    <row r="137" spans="1:19" ht="15.75" customHeight="1" x14ac:dyDescent="0.3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101"/>
      <c r="O137" s="101"/>
      <c r="P137" s="102"/>
      <c r="Q137" s="102"/>
      <c r="R137" s="102"/>
      <c r="S137" s="5"/>
    </row>
    <row r="138" spans="1:19" ht="15.75" customHeight="1" x14ac:dyDescent="0.3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101"/>
      <c r="O138" s="101"/>
      <c r="P138" s="102"/>
      <c r="Q138" s="102"/>
      <c r="R138" s="102"/>
      <c r="S138" s="5"/>
    </row>
    <row r="139" spans="1:19" ht="15.75" customHeight="1" x14ac:dyDescent="0.3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101"/>
      <c r="O139" s="101"/>
      <c r="P139" s="102"/>
      <c r="Q139" s="102"/>
      <c r="R139" s="102"/>
      <c r="S139" s="5"/>
    </row>
    <row r="140" spans="1:19" ht="15.75" customHeight="1" x14ac:dyDescent="0.3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101"/>
      <c r="O140" s="101"/>
      <c r="P140" s="102"/>
      <c r="Q140" s="102"/>
      <c r="R140" s="102"/>
      <c r="S140" s="5"/>
    </row>
    <row r="141" spans="1:19" ht="15.75" customHeight="1" x14ac:dyDescent="0.3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101"/>
      <c r="O141" s="101"/>
      <c r="P141" s="102"/>
      <c r="Q141" s="102"/>
      <c r="R141" s="102"/>
      <c r="S141" s="5"/>
    </row>
    <row r="142" spans="1:19" ht="15.75" customHeight="1" x14ac:dyDescent="0.3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101"/>
      <c r="O142" s="101"/>
      <c r="P142" s="102"/>
      <c r="Q142" s="102"/>
      <c r="R142" s="102"/>
      <c r="S142" s="5"/>
    </row>
    <row r="143" spans="1:19" ht="15.75" customHeight="1" x14ac:dyDescent="0.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101"/>
      <c r="O143" s="101"/>
      <c r="P143" s="102"/>
      <c r="Q143" s="102"/>
      <c r="R143" s="102"/>
      <c r="S143" s="5"/>
    </row>
    <row r="144" spans="1:19" ht="15.75" customHeight="1" x14ac:dyDescent="0.3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101"/>
      <c r="O144" s="101"/>
      <c r="P144" s="102"/>
      <c r="Q144" s="102"/>
      <c r="R144" s="102"/>
      <c r="S144" s="5"/>
    </row>
    <row r="145" spans="1:19" ht="15.75" customHeight="1" x14ac:dyDescent="0.3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101"/>
      <c r="O145" s="101"/>
      <c r="P145" s="102"/>
      <c r="Q145" s="102"/>
      <c r="R145" s="102"/>
      <c r="S145" s="5"/>
    </row>
    <row r="146" spans="1:19" ht="15.75" customHeight="1" x14ac:dyDescent="0.3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101"/>
      <c r="O146" s="101"/>
      <c r="P146" s="102"/>
      <c r="Q146" s="102"/>
      <c r="R146" s="102"/>
      <c r="S146" s="5"/>
    </row>
    <row r="147" spans="1:19" ht="15.75" customHeight="1" x14ac:dyDescent="0.3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101"/>
      <c r="O147" s="101"/>
      <c r="P147" s="102"/>
      <c r="Q147" s="102"/>
      <c r="R147" s="102"/>
      <c r="S147" s="5"/>
    </row>
    <row r="148" spans="1:19" ht="15.75" customHeight="1" x14ac:dyDescent="0.3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101"/>
      <c r="O148" s="101"/>
      <c r="P148" s="102"/>
      <c r="Q148" s="102"/>
      <c r="R148" s="102"/>
      <c r="S148" s="5"/>
    </row>
    <row r="149" spans="1:19" ht="15.75" customHeight="1" x14ac:dyDescent="0.3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101"/>
      <c r="O149" s="101"/>
      <c r="P149" s="102"/>
      <c r="Q149" s="102"/>
      <c r="R149" s="102"/>
      <c r="S149" s="5"/>
    </row>
    <row r="150" spans="1:19" ht="15.75" customHeight="1" x14ac:dyDescent="0.3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101"/>
      <c r="O150" s="101"/>
      <c r="P150" s="102"/>
      <c r="Q150" s="102"/>
      <c r="R150" s="102"/>
      <c r="S150" s="5"/>
    </row>
    <row r="151" spans="1:19" ht="15.75" customHeight="1" x14ac:dyDescent="0.3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101"/>
      <c r="O151" s="101"/>
      <c r="P151" s="102"/>
      <c r="Q151" s="102"/>
      <c r="R151" s="102"/>
      <c r="S151" s="5"/>
    </row>
    <row r="152" spans="1:19" ht="15.75" customHeight="1" x14ac:dyDescent="0.3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101"/>
      <c r="O152" s="101"/>
      <c r="P152" s="102"/>
      <c r="Q152" s="102"/>
      <c r="R152" s="102"/>
      <c r="S152" s="5"/>
    </row>
    <row r="153" spans="1:19" ht="15.75" customHeight="1" x14ac:dyDescent="0.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101"/>
      <c r="O153" s="101"/>
      <c r="P153" s="102"/>
      <c r="Q153" s="102"/>
      <c r="R153" s="102"/>
      <c r="S153" s="5"/>
    </row>
    <row r="154" spans="1:19" ht="15.75" customHeight="1" x14ac:dyDescent="0.3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101"/>
      <c r="O154" s="101"/>
      <c r="P154" s="102"/>
      <c r="Q154" s="102"/>
      <c r="R154" s="102"/>
      <c r="S154" s="5"/>
    </row>
    <row r="155" spans="1:19" ht="15.75" customHeight="1" x14ac:dyDescent="0.3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101"/>
      <c r="O155" s="101"/>
      <c r="P155" s="102"/>
      <c r="Q155" s="102"/>
      <c r="R155" s="102"/>
      <c r="S155" s="5"/>
    </row>
    <row r="156" spans="1:19" ht="15.75" customHeight="1" x14ac:dyDescent="0.3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101"/>
      <c r="O156" s="101"/>
      <c r="P156" s="102"/>
      <c r="Q156" s="102"/>
      <c r="R156" s="102"/>
      <c r="S156" s="5"/>
    </row>
    <row r="157" spans="1:19" ht="15.75" customHeight="1" x14ac:dyDescent="0.3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101"/>
      <c r="O157" s="101"/>
      <c r="P157" s="102"/>
      <c r="Q157" s="102"/>
      <c r="R157" s="102"/>
      <c r="S157" s="5"/>
    </row>
    <row r="158" spans="1:19" ht="15.75" customHeight="1" x14ac:dyDescent="0.3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101"/>
      <c r="O158" s="101"/>
      <c r="P158" s="102"/>
      <c r="Q158" s="102"/>
      <c r="R158" s="102"/>
      <c r="S158" s="5"/>
    </row>
    <row r="159" spans="1:19" ht="15.75" customHeight="1" x14ac:dyDescent="0.3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101"/>
      <c r="O159" s="101"/>
      <c r="P159" s="102"/>
      <c r="Q159" s="102"/>
      <c r="R159" s="102"/>
      <c r="S159" s="5"/>
    </row>
    <row r="160" spans="1:19" ht="15.75" customHeight="1" x14ac:dyDescent="0.3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101"/>
      <c r="O160" s="101"/>
      <c r="P160" s="102"/>
      <c r="Q160" s="102"/>
      <c r="R160" s="102"/>
      <c r="S160" s="5"/>
    </row>
    <row r="161" spans="1:19" ht="15.75" customHeight="1" x14ac:dyDescent="0.3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101"/>
      <c r="O161" s="101"/>
      <c r="P161" s="102"/>
      <c r="Q161" s="102"/>
      <c r="R161" s="102"/>
      <c r="S161" s="5"/>
    </row>
    <row r="162" spans="1:19" ht="15.75" customHeight="1" x14ac:dyDescent="0.3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101"/>
      <c r="O162" s="101"/>
      <c r="P162" s="102"/>
      <c r="Q162" s="102"/>
      <c r="R162" s="102"/>
      <c r="S162" s="5"/>
    </row>
    <row r="163" spans="1:19" ht="15.75" customHeight="1" x14ac:dyDescent="0.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101"/>
      <c r="O163" s="101"/>
      <c r="P163" s="102"/>
      <c r="Q163" s="102"/>
      <c r="R163" s="102"/>
      <c r="S163" s="5"/>
    </row>
    <row r="164" spans="1:19" ht="15.75" customHeight="1" x14ac:dyDescent="0.3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101"/>
      <c r="O164" s="101"/>
      <c r="P164" s="102"/>
      <c r="Q164" s="102"/>
      <c r="R164" s="102"/>
      <c r="S164" s="5"/>
    </row>
    <row r="165" spans="1:19" ht="15.75" customHeight="1" x14ac:dyDescent="0.3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101"/>
      <c r="O165" s="101"/>
      <c r="P165" s="102"/>
      <c r="Q165" s="102"/>
      <c r="R165" s="102"/>
      <c r="S165" s="5"/>
    </row>
    <row r="166" spans="1:19" ht="15.75" customHeight="1" x14ac:dyDescent="0.3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101"/>
      <c r="O166" s="101"/>
      <c r="P166" s="102"/>
      <c r="Q166" s="102"/>
      <c r="R166" s="102"/>
      <c r="S166" s="5"/>
    </row>
    <row r="167" spans="1:19" ht="15.75" customHeight="1" x14ac:dyDescent="0.3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101"/>
      <c r="O167" s="101"/>
      <c r="P167" s="102"/>
      <c r="Q167" s="102"/>
      <c r="R167" s="102"/>
      <c r="S167" s="5"/>
    </row>
    <row r="168" spans="1:19" ht="15.75" customHeight="1" x14ac:dyDescent="0.3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101"/>
      <c r="O168" s="101"/>
      <c r="P168" s="102"/>
      <c r="Q168" s="102"/>
      <c r="R168" s="102"/>
      <c r="S168" s="5"/>
    </row>
    <row r="169" spans="1:19" ht="15.75" customHeight="1" x14ac:dyDescent="0.3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101"/>
      <c r="O169" s="101"/>
      <c r="P169" s="102"/>
      <c r="Q169" s="102"/>
      <c r="R169" s="102"/>
      <c r="S169" s="5"/>
    </row>
    <row r="170" spans="1:19" ht="15.75" customHeight="1" x14ac:dyDescent="0.3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101"/>
      <c r="O170" s="101"/>
      <c r="P170" s="102"/>
      <c r="Q170" s="102"/>
      <c r="R170" s="102"/>
      <c r="S170" s="5"/>
    </row>
    <row r="171" spans="1:19" ht="15.75" customHeight="1" x14ac:dyDescent="0.3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101"/>
      <c r="O171" s="101"/>
      <c r="P171" s="102"/>
      <c r="Q171" s="102"/>
      <c r="R171" s="102"/>
      <c r="S171" s="5"/>
    </row>
    <row r="172" spans="1:19" ht="15.75" customHeight="1" x14ac:dyDescent="0.3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101"/>
      <c r="O172" s="101"/>
      <c r="P172" s="102"/>
      <c r="Q172" s="102"/>
      <c r="R172" s="102"/>
      <c r="S172" s="5"/>
    </row>
    <row r="173" spans="1:19" ht="15.75" customHeight="1" x14ac:dyDescent="0.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101"/>
      <c r="O173" s="101"/>
      <c r="P173" s="102"/>
      <c r="Q173" s="102"/>
      <c r="R173" s="102"/>
      <c r="S173" s="5"/>
    </row>
    <row r="174" spans="1:19" ht="15.75" customHeight="1" x14ac:dyDescent="0.3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101"/>
      <c r="O174" s="101"/>
      <c r="P174" s="102"/>
      <c r="Q174" s="102"/>
      <c r="R174" s="102"/>
      <c r="S174" s="5"/>
    </row>
    <row r="175" spans="1:19" ht="15.75" customHeight="1" x14ac:dyDescent="0.3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101"/>
      <c r="O175" s="101"/>
      <c r="P175" s="102"/>
      <c r="Q175" s="102"/>
      <c r="R175" s="102"/>
      <c r="S175" s="5"/>
    </row>
    <row r="176" spans="1:19" ht="15.75" customHeight="1" x14ac:dyDescent="0.3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101"/>
      <c r="O176" s="101"/>
      <c r="P176" s="102"/>
      <c r="Q176" s="102"/>
      <c r="R176" s="102"/>
      <c r="S176" s="5"/>
    </row>
    <row r="177" spans="1:19" ht="15.75" customHeight="1" x14ac:dyDescent="0.3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101"/>
      <c r="O177" s="101"/>
      <c r="P177" s="102"/>
      <c r="Q177" s="102"/>
      <c r="R177" s="102"/>
      <c r="S177" s="5"/>
    </row>
    <row r="178" spans="1:19" ht="15.75" customHeight="1" x14ac:dyDescent="0.3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101"/>
      <c r="O178" s="101"/>
      <c r="P178" s="102"/>
      <c r="Q178" s="102"/>
      <c r="R178" s="102"/>
      <c r="S178" s="5"/>
    </row>
    <row r="179" spans="1:19" ht="15.75" customHeight="1" x14ac:dyDescent="0.3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101"/>
      <c r="O179" s="101"/>
      <c r="P179" s="102"/>
      <c r="Q179" s="102"/>
      <c r="R179" s="102"/>
      <c r="S179" s="5"/>
    </row>
    <row r="180" spans="1:19" ht="15.75" customHeight="1" x14ac:dyDescent="0.3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101"/>
      <c r="O180" s="101"/>
      <c r="P180" s="102"/>
      <c r="Q180" s="102"/>
      <c r="R180" s="102"/>
      <c r="S180" s="5"/>
    </row>
    <row r="181" spans="1:19" ht="15.75" customHeight="1" x14ac:dyDescent="0.3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101"/>
      <c r="O181" s="101"/>
      <c r="P181" s="102"/>
      <c r="Q181" s="102"/>
      <c r="R181" s="102"/>
      <c r="S181" s="5"/>
    </row>
    <row r="182" spans="1:19" ht="15.75" customHeight="1" x14ac:dyDescent="0.3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101"/>
      <c r="O182" s="101"/>
      <c r="P182" s="102"/>
      <c r="Q182" s="102"/>
      <c r="R182" s="102"/>
      <c r="S182" s="5"/>
    </row>
    <row r="183" spans="1:19" ht="15.75" customHeight="1" x14ac:dyDescent="0.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101"/>
      <c r="O183" s="101"/>
      <c r="P183" s="102"/>
      <c r="Q183" s="102"/>
      <c r="R183" s="102"/>
      <c r="S183" s="5"/>
    </row>
    <row r="184" spans="1:19" ht="15.75" customHeight="1" x14ac:dyDescent="0.3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101"/>
      <c r="O184" s="101"/>
      <c r="P184" s="102"/>
      <c r="Q184" s="102"/>
      <c r="R184" s="102"/>
      <c r="S184" s="5"/>
    </row>
    <row r="185" spans="1:19" ht="15.75" customHeight="1" x14ac:dyDescent="0.3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101"/>
      <c r="O185" s="101"/>
      <c r="P185" s="102"/>
      <c r="Q185" s="102"/>
      <c r="R185" s="102"/>
      <c r="S185" s="5"/>
    </row>
    <row r="186" spans="1:19" ht="15.75" customHeight="1" x14ac:dyDescent="0.3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101"/>
      <c r="O186" s="101"/>
      <c r="P186" s="102"/>
      <c r="Q186" s="102"/>
      <c r="R186" s="102"/>
      <c r="S186" s="5"/>
    </row>
    <row r="187" spans="1:19" ht="15.75" customHeight="1" x14ac:dyDescent="0.3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101"/>
      <c r="O187" s="101"/>
      <c r="P187" s="102"/>
      <c r="Q187" s="102"/>
      <c r="R187" s="102"/>
      <c r="S187" s="5"/>
    </row>
    <row r="188" spans="1:19" ht="15.75" customHeight="1" x14ac:dyDescent="0.3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101"/>
      <c r="O188" s="101"/>
      <c r="P188" s="102"/>
      <c r="Q188" s="102"/>
      <c r="R188" s="102"/>
      <c r="S188" s="5"/>
    </row>
    <row r="189" spans="1:19" ht="15.75" customHeight="1" x14ac:dyDescent="0.3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101"/>
      <c r="O189" s="101"/>
      <c r="P189" s="102"/>
      <c r="Q189" s="102"/>
      <c r="R189" s="102"/>
      <c r="S189" s="5"/>
    </row>
    <row r="190" spans="1:19" ht="15.75" customHeight="1" x14ac:dyDescent="0.3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101"/>
      <c r="O190" s="101"/>
      <c r="P190" s="102"/>
      <c r="Q190" s="102"/>
      <c r="R190" s="102"/>
      <c r="S190" s="5"/>
    </row>
    <row r="191" spans="1:19" ht="15.75" customHeight="1" x14ac:dyDescent="0.3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101"/>
      <c r="O191" s="101"/>
      <c r="P191" s="102"/>
      <c r="Q191" s="102"/>
      <c r="R191" s="102"/>
      <c r="S191" s="5"/>
    </row>
    <row r="192" spans="1:19" ht="15.75" customHeight="1" x14ac:dyDescent="0.3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101"/>
      <c r="O192" s="101"/>
      <c r="P192" s="102"/>
      <c r="Q192" s="102"/>
      <c r="R192" s="102"/>
      <c r="S192" s="5"/>
    </row>
    <row r="193" spans="1:19" ht="15.75" customHeight="1" x14ac:dyDescent="0.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101"/>
      <c r="O193" s="101"/>
      <c r="P193" s="102"/>
      <c r="Q193" s="102"/>
      <c r="R193" s="102"/>
      <c r="S193" s="5"/>
    </row>
    <row r="194" spans="1:19" ht="15.75" customHeight="1" x14ac:dyDescent="0.3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101"/>
      <c r="O194" s="101"/>
      <c r="P194" s="102"/>
      <c r="Q194" s="102"/>
      <c r="R194" s="102"/>
      <c r="S194" s="5"/>
    </row>
    <row r="195" spans="1:19" ht="15.75" customHeight="1" x14ac:dyDescent="0.3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101"/>
      <c r="O195" s="101"/>
      <c r="P195" s="102"/>
      <c r="Q195" s="102"/>
      <c r="R195" s="102"/>
      <c r="S195" s="5"/>
    </row>
    <row r="196" spans="1:19" ht="15.75" customHeight="1" x14ac:dyDescent="0.3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101"/>
      <c r="O196" s="101"/>
      <c r="P196" s="102"/>
      <c r="Q196" s="102"/>
      <c r="R196" s="102"/>
      <c r="S196" s="5"/>
    </row>
    <row r="197" spans="1:19" ht="15.75" customHeight="1" x14ac:dyDescent="0.3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101"/>
      <c r="O197" s="101"/>
      <c r="P197" s="102"/>
      <c r="Q197" s="102"/>
      <c r="R197" s="102"/>
      <c r="S197" s="5"/>
    </row>
    <row r="198" spans="1:19" ht="15.75" customHeight="1" x14ac:dyDescent="0.3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101"/>
      <c r="O198" s="101"/>
      <c r="P198" s="102"/>
      <c r="Q198" s="102"/>
      <c r="R198" s="102"/>
      <c r="S198" s="5"/>
    </row>
    <row r="199" spans="1:19" ht="15.75" customHeight="1" x14ac:dyDescent="0.3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101"/>
      <c r="O199" s="101"/>
      <c r="P199" s="102"/>
      <c r="Q199" s="102"/>
      <c r="R199" s="102"/>
      <c r="S199" s="5"/>
    </row>
    <row r="200" spans="1:19" ht="15.75" customHeight="1" x14ac:dyDescent="0.3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101"/>
      <c r="O200" s="101"/>
      <c r="P200" s="102"/>
      <c r="Q200" s="102"/>
      <c r="R200" s="102"/>
      <c r="S200" s="5"/>
    </row>
    <row r="201" spans="1:19" ht="15.75" customHeight="1" x14ac:dyDescent="0.3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101"/>
      <c r="O201" s="101"/>
      <c r="P201" s="102"/>
      <c r="Q201" s="102"/>
      <c r="R201" s="102"/>
      <c r="S201" s="5"/>
    </row>
    <row r="202" spans="1:19" ht="15.75" customHeight="1" x14ac:dyDescent="0.3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101"/>
      <c r="O202" s="101"/>
      <c r="P202" s="102"/>
      <c r="Q202" s="102"/>
      <c r="R202" s="102"/>
      <c r="S202" s="5"/>
    </row>
    <row r="203" spans="1:19" ht="15.75" customHeight="1" x14ac:dyDescent="0.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101"/>
      <c r="O203" s="101"/>
      <c r="P203" s="102"/>
      <c r="Q203" s="102"/>
      <c r="R203" s="102"/>
      <c r="S203" s="5"/>
    </row>
    <row r="204" spans="1:19" ht="15.75" customHeight="1" x14ac:dyDescent="0.3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101"/>
      <c r="O204" s="101"/>
      <c r="P204" s="102"/>
      <c r="Q204" s="102"/>
      <c r="R204" s="102"/>
      <c r="S204" s="5"/>
    </row>
    <row r="205" spans="1:19" ht="15.75" customHeight="1" x14ac:dyDescent="0.3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101"/>
      <c r="O205" s="101"/>
      <c r="P205" s="102"/>
      <c r="Q205" s="102"/>
      <c r="R205" s="102"/>
      <c r="S205" s="5"/>
    </row>
    <row r="206" spans="1:19" ht="15.75" customHeight="1" x14ac:dyDescent="0.3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101"/>
      <c r="O206" s="101"/>
      <c r="P206" s="102"/>
      <c r="Q206" s="102"/>
      <c r="R206" s="102"/>
      <c r="S206" s="5"/>
    </row>
    <row r="207" spans="1:19" ht="15.75" customHeight="1" x14ac:dyDescent="0.3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101"/>
      <c r="O207" s="101"/>
      <c r="P207" s="102"/>
      <c r="Q207" s="102"/>
      <c r="R207" s="102"/>
      <c r="S207" s="5"/>
    </row>
    <row r="208" spans="1:19" ht="15.75" customHeight="1" x14ac:dyDescent="0.3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101"/>
      <c r="O208" s="101"/>
      <c r="P208" s="102"/>
      <c r="Q208" s="102"/>
      <c r="R208" s="102"/>
      <c r="S208" s="5"/>
    </row>
    <row r="209" spans="1:19" ht="15.75" customHeight="1" x14ac:dyDescent="0.3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101"/>
      <c r="O209" s="101"/>
      <c r="P209" s="102"/>
      <c r="Q209" s="102"/>
      <c r="R209" s="102"/>
      <c r="S209" s="5"/>
    </row>
    <row r="210" spans="1:19" ht="15.75" customHeight="1" x14ac:dyDescent="0.3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101"/>
      <c r="O210" s="101"/>
      <c r="P210" s="102"/>
      <c r="Q210" s="102"/>
      <c r="R210" s="102"/>
      <c r="S210" s="5"/>
    </row>
    <row r="211" spans="1:19" ht="15.75" customHeight="1" x14ac:dyDescent="0.3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101"/>
      <c r="O211" s="101"/>
      <c r="P211" s="102"/>
      <c r="Q211" s="102"/>
      <c r="R211" s="102"/>
      <c r="S211" s="5"/>
    </row>
    <row r="212" spans="1:19" ht="15.75" customHeight="1" x14ac:dyDescent="0.3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101"/>
      <c r="O212" s="101"/>
      <c r="P212" s="102"/>
      <c r="Q212" s="102"/>
      <c r="R212" s="102"/>
      <c r="S212" s="5"/>
    </row>
    <row r="213" spans="1:19" ht="15.75" customHeight="1" x14ac:dyDescent="0.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101"/>
      <c r="O213" s="101"/>
      <c r="P213" s="102"/>
      <c r="Q213" s="102"/>
      <c r="R213" s="102"/>
      <c r="S213" s="5"/>
    </row>
    <row r="214" spans="1:19" ht="15.75" customHeight="1" x14ac:dyDescent="0.3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101"/>
      <c r="O214" s="101"/>
      <c r="P214" s="102"/>
      <c r="Q214" s="102"/>
      <c r="R214" s="102"/>
      <c r="S214" s="5"/>
    </row>
    <row r="215" spans="1:19" ht="15.75" customHeight="1" x14ac:dyDescent="0.3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101"/>
      <c r="O215" s="101"/>
      <c r="P215" s="102"/>
      <c r="Q215" s="102"/>
      <c r="R215" s="102"/>
      <c r="S215" s="5"/>
    </row>
    <row r="216" spans="1:19" ht="15.75" customHeight="1" x14ac:dyDescent="0.3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101"/>
      <c r="O216" s="101"/>
      <c r="P216" s="102"/>
      <c r="Q216" s="102"/>
      <c r="R216" s="102"/>
      <c r="S216" s="5"/>
    </row>
    <row r="217" spans="1:19" ht="15.75" customHeight="1" x14ac:dyDescent="0.3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101"/>
      <c r="O217" s="101"/>
      <c r="P217" s="102"/>
      <c r="Q217" s="102"/>
      <c r="R217" s="102"/>
      <c r="S217" s="5"/>
    </row>
    <row r="218" spans="1:19" ht="15.75" customHeight="1" x14ac:dyDescent="0.3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101"/>
      <c r="O218" s="101"/>
      <c r="P218" s="102"/>
      <c r="Q218" s="102"/>
      <c r="R218" s="102"/>
      <c r="S218" s="5"/>
    </row>
    <row r="219" spans="1:19" ht="15.75" customHeight="1" x14ac:dyDescent="0.3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101"/>
      <c r="O219" s="101"/>
      <c r="P219" s="102"/>
      <c r="Q219" s="102"/>
      <c r="R219" s="102"/>
      <c r="S219" s="5"/>
    </row>
    <row r="220" spans="1:19" ht="15.75" customHeight="1" x14ac:dyDescent="0.3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101"/>
      <c r="O220" s="101"/>
      <c r="P220" s="102"/>
      <c r="Q220" s="102"/>
      <c r="R220" s="102"/>
      <c r="S220" s="5"/>
    </row>
    <row r="221" spans="1:19" ht="15.75" customHeight="1" x14ac:dyDescent="0.3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101"/>
      <c r="O221" s="101"/>
      <c r="P221" s="102"/>
      <c r="Q221" s="102"/>
      <c r="R221" s="102"/>
      <c r="S221" s="5"/>
    </row>
    <row r="222" spans="1:19" ht="15.75" customHeight="1" x14ac:dyDescent="0.3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101"/>
      <c r="O222" s="101"/>
      <c r="P222" s="102"/>
      <c r="Q222" s="102"/>
      <c r="R222" s="102"/>
      <c r="S222" s="5"/>
    </row>
    <row r="223" spans="1:19" ht="15.75" customHeight="1" x14ac:dyDescent="0.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101"/>
      <c r="O223" s="101"/>
      <c r="P223" s="102"/>
      <c r="Q223" s="102"/>
      <c r="R223" s="102"/>
      <c r="S223" s="5"/>
    </row>
    <row r="224" spans="1:19" ht="15.75" customHeight="1" x14ac:dyDescent="0.3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101"/>
      <c r="O224" s="101"/>
      <c r="P224" s="102"/>
      <c r="Q224" s="102"/>
      <c r="R224" s="102"/>
      <c r="S224" s="5"/>
    </row>
    <row r="225" spans="1:19" ht="15.75" customHeight="1" x14ac:dyDescent="0.3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101"/>
      <c r="O225" s="101"/>
      <c r="P225" s="102"/>
      <c r="Q225" s="102"/>
      <c r="R225" s="102"/>
      <c r="S225" s="5"/>
    </row>
    <row r="226" spans="1:19" ht="15.75" customHeight="1" x14ac:dyDescent="0.3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101"/>
      <c r="O226" s="101"/>
      <c r="P226" s="102"/>
      <c r="Q226" s="102"/>
      <c r="R226" s="102"/>
      <c r="S226" s="5"/>
    </row>
    <row r="227" spans="1:19" ht="15.75" customHeight="1" x14ac:dyDescent="0.3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101"/>
      <c r="O227" s="101"/>
      <c r="P227" s="102"/>
      <c r="Q227" s="102"/>
      <c r="R227" s="102"/>
      <c r="S227" s="5"/>
    </row>
    <row r="228" spans="1:19" ht="15.75" customHeight="1" x14ac:dyDescent="0.3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101"/>
      <c r="O228" s="101"/>
      <c r="P228" s="102"/>
      <c r="Q228" s="102"/>
      <c r="R228" s="102"/>
      <c r="S228" s="5"/>
    </row>
    <row r="229" spans="1:19" ht="15.75" customHeight="1" x14ac:dyDescent="0.3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101"/>
      <c r="O229" s="101"/>
      <c r="P229" s="102"/>
      <c r="Q229" s="102"/>
      <c r="R229" s="102"/>
      <c r="S229" s="5"/>
    </row>
    <row r="230" spans="1:19" ht="15.75" customHeight="1" x14ac:dyDescent="0.3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101"/>
      <c r="O230" s="101"/>
      <c r="P230" s="102"/>
      <c r="Q230" s="102"/>
      <c r="R230" s="102"/>
      <c r="S230" s="5"/>
    </row>
    <row r="231" spans="1:19" ht="15.75" customHeight="1" x14ac:dyDescent="0.3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101"/>
      <c r="O231" s="101"/>
      <c r="P231" s="102"/>
      <c r="Q231" s="102"/>
      <c r="R231" s="102"/>
      <c r="S231" s="5"/>
    </row>
    <row r="232" spans="1:19" ht="15.75" customHeight="1" x14ac:dyDescent="0.3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101"/>
      <c r="O232" s="101"/>
      <c r="P232" s="102"/>
      <c r="Q232" s="102"/>
      <c r="R232" s="102"/>
      <c r="S232" s="5"/>
    </row>
    <row r="233" spans="1:19" ht="15.75" customHeight="1" x14ac:dyDescent="0.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101"/>
      <c r="O233" s="101"/>
      <c r="P233" s="102"/>
      <c r="Q233" s="102"/>
      <c r="R233" s="102"/>
      <c r="S233" s="5"/>
    </row>
    <row r="234" spans="1:19" ht="15.75" customHeight="1" x14ac:dyDescent="0.3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101"/>
      <c r="O234" s="101"/>
      <c r="P234" s="102"/>
      <c r="Q234" s="102"/>
      <c r="R234" s="102"/>
      <c r="S234" s="5"/>
    </row>
    <row r="235" spans="1:19" ht="15.75" customHeight="1" x14ac:dyDescent="0.3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101"/>
      <c r="O235" s="101"/>
      <c r="P235" s="102"/>
      <c r="Q235" s="102"/>
      <c r="R235" s="102"/>
      <c r="S235" s="5"/>
    </row>
    <row r="236" spans="1:19" ht="15.75" customHeight="1" x14ac:dyDescent="0.3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101"/>
      <c r="O236" s="101"/>
      <c r="P236" s="102"/>
      <c r="Q236" s="102"/>
      <c r="R236" s="102"/>
      <c r="S236" s="5"/>
    </row>
    <row r="237" spans="1:19" ht="15.75" customHeight="1" x14ac:dyDescent="0.3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101"/>
      <c r="O237" s="101"/>
      <c r="P237" s="102"/>
      <c r="Q237" s="102"/>
      <c r="R237" s="102"/>
      <c r="S237" s="5"/>
    </row>
    <row r="238" spans="1:19" ht="15.75" customHeight="1" x14ac:dyDescent="0.3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101"/>
      <c r="O238" s="101"/>
      <c r="P238" s="102"/>
      <c r="Q238" s="102"/>
      <c r="R238" s="102"/>
      <c r="S238" s="5"/>
    </row>
    <row r="239" spans="1:19" ht="15.75" customHeight="1" x14ac:dyDescent="0.3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101"/>
      <c r="O239" s="101"/>
      <c r="P239" s="102"/>
      <c r="Q239" s="102"/>
      <c r="R239" s="102"/>
      <c r="S239" s="5"/>
    </row>
    <row r="240" spans="1:19" ht="15.75" customHeight="1" x14ac:dyDescent="0.3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101"/>
      <c r="O240" s="101"/>
      <c r="P240" s="102"/>
      <c r="Q240" s="102"/>
      <c r="R240" s="102"/>
      <c r="S240" s="5"/>
    </row>
    <row r="241" spans="1:19" ht="15.75" customHeight="1" x14ac:dyDescent="0.3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101"/>
      <c r="O241" s="101"/>
      <c r="P241" s="102"/>
      <c r="Q241" s="102"/>
      <c r="R241" s="102"/>
      <c r="S241" s="5"/>
    </row>
    <row r="242" spans="1:19" ht="15.75" customHeight="1" x14ac:dyDescent="0.3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101"/>
      <c r="O242" s="101"/>
      <c r="P242" s="102"/>
      <c r="Q242" s="102"/>
      <c r="R242" s="102"/>
      <c r="S242" s="5"/>
    </row>
    <row r="243" spans="1:19" ht="15.75" customHeight="1" x14ac:dyDescent="0.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101"/>
      <c r="O243" s="101"/>
      <c r="P243" s="102"/>
      <c r="Q243" s="102"/>
      <c r="R243" s="102"/>
      <c r="S243" s="5"/>
    </row>
    <row r="244" spans="1:19" ht="15.75" customHeight="1" x14ac:dyDescent="0.3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101"/>
      <c r="O244" s="101"/>
      <c r="P244" s="102"/>
      <c r="Q244" s="102"/>
      <c r="R244" s="102"/>
      <c r="S244" s="5"/>
    </row>
    <row r="245" spans="1:19" ht="15.75" customHeight="1" x14ac:dyDescent="0.3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101"/>
      <c r="O245" s="101"/>
      <c r="P245" s="102"/>
      <c r="Q245" s="102"/>
      <c r="R245" s="102"/>
      <c r="S245" s="5"/>
    </row>
    <row r="246" spans="1:19" ht="15.75" customHeight="1" x14ac:dyDescent="0.3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101"/>
      <c r="O246" s="101"/>
      <c r="P246" s="102"/>
      <c r="Q246" s="102"/>
      <c r="R246" s="102"/>
      <c r="S246" s="5"/>
    </row>
    <row r="247" spans="1:19" ht="15.75" customHeight="1" x14ac:dyDescent="0.3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101"/>
      <c r="O247" s="101"/>
      <c r="P247" s="102"/>
      <c r="Q247" s="102"/>
      <c r="R247" s="102"/>
      <c r="S247" s="5"/>
    </row>
    <row r="248" spans="1:19" ht="15.75" customHeight="1" x14ac:dyDescent="0.3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101"/>
      <c r="O248" s="101"/>
      <c r="P248" s="102"/>
      <c r="Q248" s="102"/>
      <c r="R248" s="102"/>
      <c r="S248" s="5"/>
    </row>
    <row r="249" spans="1:19" ht="15.75" customHeight="1" x14ac:dyDescent="0.3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101"/>
      <c r="O249" s="101"/>
      <c r="P249" s="102"/>
      <c r="Q249" s="102"/>
      <c r="R249" s="102"/>
      <c r="S249" s="5"/>
    </row>
    <row r="250" spans="1:19" ht="15.75" customHeight="1" x14ac:dyDescent="0.3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101"/>
      <c r="O250" s="101"/>
      <c r="P250" s="102"/>
      <c r="Q250" s="102"/>
      <c r="R250" s="102"/>
      <c r="S250" s="5"/>
    </row>
    <row r="251" spans="1:19" ht="15.75" customHeight="1" x14ac:dyDescent="0.3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101"/>
      <c r="O251" s="101"/>
      <c r="P251" s="102"/>
      <c r="Q251" s="102"/>
      <c r="R251" s="102"/>
      <c r="S251" s="5"/>
    </row>
    <row r="252" spans="1:19" ht="15.75" customHeight="1" x14ac:dyDescent="0.3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101"/>
      <c r="O252" s="101"/>
      <c r="P252" s="102"/>
      <c r="Q252" s="102"/>
      <c r="R252" s="102"/>
      <c r="S252" s="5"/>
    </row>
    <row r="253" spans="1:19" ht="15.75" customHeight="1" x14ac:dyDescent="0.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101"/>
      <c r="O253" s="101"/>
      <c r="P253" s="102"/>
      <c r="Q253" s="102"/>
      <c r="R253" s="102"/>
      <c r="S253" s="5"/>
    </row>
    <row r="254" spans="1:19" ht="15.75" customHeight="1" x14ac:dyDescent="0.3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101"/>
      <c r="O254" s="101"/>
      <c r="P254" s="102"/>
      <c r="Q254" s="102"/>
      <c r="R254" s="102"/>
      <c r="S254" s="5"/>
    </row>
    <row r="255" spans="1:19" ht="15.75" customHeight="1" x14ac:dyDescent="0.3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101"/>
      <c r="O255" s="101"/>
      <c r="P255" s="102"/>
      <c r="Q255" s="102"/>
      <c r="R255" s="102"/>
      <c r="S255" s="5"/>
    </row>
    <row r="256" spans="1:19" ht="15.75" customHeight="1" x14ac:dyDescent="0.3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101"/>
      <c r="O256" s="101"/>
      <c r="P256" s="102"/>
      <c r="Q256" s="102"/>
      <c r="R256" s="102"/>
      <c r="S256" s="5"/>
    </row>
    <row r="257" spans="1:19" ht="15.75" customHeight="1" x14ac:dyDescent="0.3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101"/>
      <c r="O257" s="101"/>
      <c r="P257" s="102"/>
      <c r="Q257" s="102"/>
      <c r="R257" s="102"/>
      <c r="S257" s="5"/>
    </row>
    <row r="258" spans="1:19" ht="15.75" customHeight="1" x14ac:dyDescent="0.3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101"/>
      <c r="O258" s="101"/>
      <c r="P258" s="102"/>
      <c r="Q258" s="102"/>
      <c r="R258" s="102"/>
      <c r="S258" s="5"/>
    </row>
    <row r="259" spans="1:19" ht="15.75" customHeight="1" x14ac:dyDescent="0.3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101"/>
      <c r="O259" s="101"/>
      <c r="P259" s="102"/>
      <c r="Q259" s="102"/>
      <c r="R259" s="102"/>
      <c r="S259" s="5"/>
    </row>
    <row r="260" spans="1:19" ht="15.75" customHeight="1" x14ac:dyDescent="0.3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101"/>
      <c r="O260" s="101"/>
      <c r="P260" s="102"/>
      <c r="Q260" s="102"/>
      <c r="R260" s="102"/>
      <c r="S260" s="5"/>
    </row>
    <row r="261" spans="1:19" ht="15.75" customHeight="1" x14ac:dyDescent="0.3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101"/>
      <c r="O261" s="101"/>
      <c r="P261" s="102"/>
      <c r="Q261" s="102"/>
      <c r="R261" s="102"/>
      <c r="S261" s="5"/>
    </row>
    <row r="262" spans="1:19" ht="15.75" customHeight="1" x14ac:dyDescent="0.3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101"/>
      <c r="O262" s="101"/>
      <c r="P262" s="102"/>
      <c r="Q262" s="102"/>
      <c r="R262" s="102"/>
      <c r="S262" s="5"/>
    </row>
    <row r="263" spans="1:19" ht="15.75" customHeight="1" x14ac:dyDescent="0.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101"/>
      <c r="O263" s="101"/>
      <c r="P263" s="102"/>
      <c r="Q263" s="102"/>
      <c r="R263" s="102"/>
      <c r="S263" s="5"/>
    </row>
    <row r="264" spans="1:19" ht="15.75" customHeight="1" x14ac:dyDescent="0.3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101"/>
      <c r="O264" s="101"/>
      <c r="P264" s="102"/>
      <c r="Q264" s="102"/>
      <c r="R264" s="102"/>
      <c r="S264" s="5"/>
    </row>
    <row r="265" spans="1:19" ht="15.75" customHeight="1" x14ac:dyDescent="0.3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101"/>
      <c r="O265" s="101"/>
      <c r="P265" s="102"/>
      <c r="Q265" s="102"/>
      <c r="R265" s="102"/>
      <c r="S265" s="5"/>
    </row>
    <row r="266" spans="1:19" ht="15.75" customHeight="1" x14ac:dyDescent="0.3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101"/>
      <c r="O266" s="101"/>
      <c r="P266" s="102"/>
      <c r="Q266" s="102"/>
      <c r="R266" s="102"/>
      <c r="S266" s="5"/>
    </row>
    <row r="267" spans="1:19" ht="15.75" customHeight="1" x14ac:dyDescent="0.3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101"/>
      <c r="O267" s="101"/>
      <c r="P267" s="102"/>
      <c r="Q267" s="102"/>
      <c r="R267" s="102"/>
      <c r="S267" s="5"/>
    </row>
    <row r="268" spans="1:19" ht="15.75" customHeight="1" x14ac:dyDescent="0.3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101"/>
      <c r="O268" s="101"/>
      <c r="P268" s="102"/>
      <c r="Q268" s="102"/>
      <c r="R268" s="102"/>
      <c r="S268" s="5"/>
    </row>
    <row r="269" spans="1:19" ht="15.75" customHeight="1" x14ac:dyDescent="0.3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101"/>
      <c r="O269" s="101"/>
      <c r="P269" s="102"/>
      <c r="Q269" s="102"/>
      <c r="R269" s="102"/>
      <c r="S269" s="5"/>
    </row>
    <row r="270" spans="1:19" ht="15.75" customHeight="1" x14ac:dyDescent="0.3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101"/>
      <c r="O270" s="101"/>
      <c r="P270" s="102"/>
      <c r="Q270" s="102"/>
      <c r="R270" s="102"/>
      <c r="S270" s="5"/>
    </row>
    <row r="271" spans="1:19" ht="15.75" customHeight="1" x14ac:dyDescent="0.3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101"/>
      <c r="O271" s="101"/>
      <c r="P271" s="102"/>
      <c r="Q271" s="102"/>
      <c r="R271" s="102"/>
      <c r="S271" s="5"/>
    </row>
    <row r="272" spans="1:19" ht="15.75" customHeight="1" x14ac:dyDescent="0.3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101"/>
      <c r="O272" s="101"/>
      <c r="P272" s="102"/>
      <c r="Q272" s="102"/>
      <c r="R272" s="102"/>
      <c r="S272" s="5"/>
    </row>
    <row r="273" spans="1:19" ht="15.75" customHeight="1" x14ac:dyDescent="0.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101"/>
      <c r="O273" s="101"/>
      <c r="P273" s="102"/>
      <c r="Q273" s="102"/>
      <c r="R273" s="102"/>
      <c r="S273" s="5"/>
    </row>
    <row r="274" spans="1:19" ht="15.75" customHeight="1" x14ac:dyDescent="0.3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101"/>
      <c r="O274" s="101"/>
      <c r="P274" s="102"/>
      <c r="Q274" s="102"/>
      <c r="R274" s="102"/>
      <c r="S274" s="5"/>
    </row>
    <row r="275" spans="1:19" ht="15.75" customHeight="1" x14ac:dyDescent="0.3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101"/>
      <c r="O275" s="101"/>
      <c r="P275" s="102"/>
      <c r="Q275" s="102"/>
      <c r="R275" s="102"/>
      <c r="S275" s="5"/>
    </row>
    <row r="276" spans="1:19" ht="15.75" customHeight="1" x14ac:dyDescent="0.3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101"/>
      <c r="O276" s="101"/>
      <c r="P276" s="102"/>
      <c r="Q276" s="102"/>
      <c r="R276" s="102"/>
      <c r="S276" s="5"/>
    </row>
    <row r="277" spans="1:19" ht="15.75" customHeight="1" x14ac:dyDescent="0.3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101"/>
      <c r="O277" s="101"/>
      <c r="P277" s="102"/>
      <c r="Q277" s="102"/>
      <c r="R277" s="102"/>
      <c r="S277" s="5"/>
    </row>
    <row r="278" spans="1:19" ht="15.75" customHeight="1" x14ac:dyDescent="0.3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101"/>
      <c r="O278" s="101"/>
      <c r="P278" s="102"/>
      <c r="Q278" s="102"/>
      <c r="R278" s="102"/>
      <c r="S278" s="5"/>
    </row>
    <row r="279" spans="1:19" ht="15.75" customHeight="1" x14ac:dyDescent="0.3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101"/>
      <c r="O279" s="101"/>
      <c r="P279" s="102"/>
      <c r="Q279" s="102"/>
      <c r="R279" s="102"/>
      <c r="S279" s="5"/>
    </row>
    <row r="280" spans="1:19" ht="15.75" customHeight="1" x14ac:dyDescent="0.3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101"/>
      <c r="O280" s="101"/>
      <c r="P280" s="102"/>
      <c r="Q280" s="102"/>
      <c r="R280" s="102"/>
      <c r="S280" s="5"/>
    </row>
    <row r="281" spans="1:19" ht="15.75" customHeight="1" x14ac:dyDescent="0.3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101"/>
      <c r="O281" s="101"/>
      <c r="P281" s="102"/>
      <c r="Q281" s="102"/>
      <c r="R281" s="102"/>
      <c r="S281" s="5"/>
    </row>
    <row r="282" spans="1:19" ht="15.75" customHeight="1" x14ac:dyDescent="0.3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101"/>
      <c r="O282" s="101"/>
      <c r="P282" s="102"/>
      <c r="Q282" s="102"/>
      <c r="R282" s="102"/>
      <c r="S282" s="5"/>
    </row>
    <row r="283" spans="1:19" ht="15.75" customHeight="1" x14ac:dyDescent="0.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101"/>
      <c r="O283" s="101"/>
      <c r="P283" s="102"/>
      <c r="Q283" s="102"/>
      <c r="R283" s="102"/>
      <c r="S283" s="5"/>
    </row>
    <row r="284" spans="1:19" ht="15.75" customHeight="1" x14ac:dyDescent="0.3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101"/>
      <c r="O284" s="101"/>
      <c r="P284" s="102"/>
      <c r="Q284" s="102"/>
      <c r="R284" s="102"/>
      <c r="S284" s="5"/>
    </row>
    <row r="285" spans="1:19" ht="15.75" customHeight="1" x14ac:dyDescent="0.3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101"/>
      <c r="O285" s="101"/>
      <c r="P285" s="102"/>
      <c r="Q285" s="102"/>
      <c r="R285" s="102"/>
      <c r="S285" s="5"/>
    </row>
    <row r="286" spans="1:19" ht="15.75" customHeight="1" x14ac:dyDescent="0.3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101"/>
      <c r="O286" s="101"/>
      <c r="P286" s="102"/>
      <c r="Q286" s="102"/>
      <c r="R286" s="102"/>
      <c r="S286" s="5"/>
    </row>
    <row r="287" spans="1:19" ht="15.75" customHeight="1" x14ac:dyDescent="0.3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101"/>
      <c r="O287" s="101"/>
      <c r="P287" s="102"/>
      <c r="Q287" s="102"/>
      <c r="R287" s="102"/>
      <c r="S287" s="5"/>
    </row>
    <row r="288" spans="1:19" ht="15.75" customHeight="1" x14ac:dyDescent="0.3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101"/>
      <c r="O288" s="101"/>
      <c r="P288" s="102"/>
      <c r="Q288" s="102"/>
      <c r="R288" s="102"/>
      <c r="S288" s="5"/>
    </row>
    <row r="289" spans="1:19" ht="15.75" customHeight="1" x14ac:dyDescent="0.3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101"/>
      <c r="O289" s="101"/>
      <c r="P289" s="102"/>
      <c r="Q289" s="102"/>
      <c r="R289" s="102"/>
      <c r="S289" s="5"/>
    </row>
    <row r="290" spans="1:19" ht="15.75" customHeight="1" x14ac:dyDescent="0.3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101"/>
      <c r="O290" s="101"/>
      <c r="P290" s="102"/>
      <c r="Q290" s="102"/>
      <c r="R290" s="102"/>
      <c r="S290" s="5"/>
    </row>
    <row r="291" spans="1:19" ht="15.75" customHeight="1" x14ac:dyDescent="0.3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101"/>
      <c r="O291" s="101"/>
      <c r="P291" s="102"/>
      <c r="Q291" s="102"/>
      <c r="R291" s="102"/>
      <c r="S291" s="5"/>
    </row>
    <row r="292" spans="1:19" ht="15.75" customHeight="1" x14ac:dyDescent="0.3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101"/>
      <c r="O292" s="101"/>
      <c r="P292" s="102"/>
      <c r="Q292" s="102"/>
      <c r="R292" s="102"/>
      <c r="S292" s="5"/>
    </row>
    <row r="293" spans="1:19" ht="15.75" customHeight="1" x14ac:dyDescent="0.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101"/>
      <c r="O293" s="101"/>
      <c r="P293" s="102"/>
      <c r="Q293" s="102"/>
      <c r="R293" s="102"/>
      <c r="S293" s="5"/>
    </row>
    <row r="294" spans="1:19" ht="15.75" customHeight="1" x14ac:dyDescent="0.3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101"/>
      <c r="O294" s="101"/>
      <c r="P294" s="102"/>
      <c r="Q294" s="102"/>
      <c r="R294" s="102"/>
      <c r="S294" s="5"/>
    </row>
    <row r="295" spans="1:19" ht="15.75" customHeight="1" x14ac:dyDescent="0.3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101"/>
      <c r="O295" s="101"/>
      <c r="P295" s="102"/>
      <c r="Q295" s="102"/>
      <c r="R295" s="102"/>
      <c r="S295" s="5"/>
    </row>
    <row r="296" spans="1:19" ht="15.75" customHeight="1" x14ac:dyDescent="0.3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101"/>
      <c r="O296" s="101"/>
      <c r="P296" s="102"/>
      <c r="Q296" s="102"/>
      <c r="R296" s="102"/>
      <c r="S296" s="5"/>
    </row>
    <row r="297" spans="1:19" ht="15.75" customHeight="1" x14ac:dyDescent="0.3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101"/>
      <c r="O297" s="101"/>
      <c r="P297" s="102"/>
      <c r="Q297" s="102"/>
      <c r="R297" s="102"/>
      <c r="S297" s="5"/>
    </row>
    <row r="298" spans="1:19" ht="15.75" customHeight="1" x14ac:dyDescent="0.3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101"/>
      <c r="O298" s="101"/>
      <c r="P298" s="102"/>
      <c r="Q298" s="102"/>
      <c r="R298" s="102"/>
      <c r="S298" s="5"/>
    </row>
    <row r="299" spans="1:19" ht="15.75" customHeight="1" x14ac:dyDescent="0.3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101"/>
      <c r="O299" s="101"/>
      <c r="P299" s="102"/>
      <c r="Q299" s="102"/>
      <c r="R299" s="102"/>
      <c r="S299" s="5"/>
    </row>
    <row r="300" spans="1:19" ht="15.75" customHeight="1" x14ac:dyDescent="0.3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101"/>
      <c r="O300" s="101"/>
      <c r="P300" s="102"/>
      <c r="Q300" s="102"/>
      <c r="R300" s="102"/>
      <c r="S300" s="5"/>
    </row>
    <row r="301" spans="1:19" ht="15.75" customHeight="1" x14ac:dyDescent="0.3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101"/>
      <c r="O301" s="101"/>
      <c r="P301" s="102"/>
      <c r="Q301" s="102"/>
      <c r="R301" s="102"/>
      <c r="S301" s="5"/>
    </row>
    <row r="302" spans="1:19" ht="15.75" customHeight="1" x14ac:dyDescent="0.3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101"/>
      <c r="O302" s="101"/>
      <c r="P302" s="102"/>
      <c r="Q302" s="102"/>
      <c r="R302" s="102"/>
      <c r="S302" s="5"/>
    </row>
    <row r="303" spans="1:19" ht="15.75" customHeight="1" x14ac:dyDescent="0.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101"/>
      <c r="O303" s="101"/>
      <c r="P303" s="102"/>
      <c r="Q303" s="102"/>
      <c r="R303" s="102"/>
      <c r="S303" s="5"/>
    </row>
    <row r="304" spans="1:19" ht="15.75" customHeight="1" x14ac:dyDescent="0.3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101"/>
      <c r="O304" s="101"/>
      <c r="P304" s="102"/>
      <c r="Q304" s="102"/>
      <c r="R304" s="102"/>
      <c r="S304" s="5"/>
    </row>
    <row r="305" spans="1:19" ht="15.75" customHeight="1" x14ac:dyDescent="0.3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101"/>
      <c r="O305" s="101"/>
      <c r="P305" s="102"/>
      <c r="Q305" s="102"/>
      <c r="R305" s="102"/>
      <c r="S305" s="5"/>
    </row>
    <row r="306" spans="1:19" ht="15.75" customHeight="1" x14ac:dyDescent="0.3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101"/>
      <c r="O306" s="101"/>
      <c r="P306" s="102"/>
      <c r="Q306" s="102"/>
      <c r="R306" s="102"/>
      <c r="S306" s="5"/>
    </row>
    <row r="307" spans="1:19" ht="15.75" customHeight="1" x14ac:dyDescent="0.3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101"/>
      <c r="O307" s="101"/>
      <c r="P307" s="102"/>
      <c r="Q307" s="102"/>
      <c r="R307" s="102"/>
      <c r="S307" s="5"/>
    </row>
    <row r="308" spans="1:19" ht="15.75" customHeight="1" x14ac:dyDescent="0.3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101"/>
      <c r="O308" s="101"/>
      <c r="P308" s="102"/>
      <c r="Q308" s="102"/>
      <c r="R308" s="102"/>
      <c r="S308" s="5"/>
    </row>
    <row r="309" spans="1:19" ht="15.75" customHeight="1" x14ac:dyDescent="0.3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101"/>
      <c r="O309" s="101"/>
      <c r="P309" s="102"/>
      <c r="Q309" s="102"/>
      <c r="R309" s="102"/>
      <c r="S309" s="5"/>
    </row>
    <row r="310" spans="1:19" ht="15.75" customHeight="1" x14ac:dyDescent="0.3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101"/>
      <c r="O310" s="101"/>
      <c r="P310" s="102"/>
      <c r="Q310" s="102"/>
      <c r="R310" s="102"/>
      <c r="S310" s="5"/>
    </row>
    <row r="311" spans="1:19" ht="15.75" customHeight="1" x14ac:dyDescent="0.3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101"/>
      <c r="O311" s="101"/>
      <c r="P311" s="102"/>
      <c r="Q311" s="102"/>
      <c r="R311" s="102"/>
      <c r="S311" s="5"/>
    </row>
    <row r="312" spans="1:19" ht="15.75" customHeight="1" x14ac:dyDescent="0.3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101"/>
      <c r="O312" s="101"/>
      <c r="P312" s="102"/>
      <c r="Q312" s="102"/>
      <c r="R312" s="102"/>
      <c r="S312" s="5"/>
    </row>
    <row r="313" spans="1:19" ht="15.75" customHeight="1" x14ac:dyDescent="0.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101"/>
      <c r="O313" s="101"/>
      <c r="P313" s="102"/>
      <c r="Q313" s="102"/>
      <c r="R313" s="102"/>
      <c r="S313" s="5"/>
    </row>
    <row r="314" spans="1:19" ht="15.75" customHeight="1" x14ac:dyDescent="0.3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101"/>
      <c r="O314" s="101"/>
      <c r="P314" s="102"/>
      <c r="Q314" s="102"/>
      <c r="R314" s="102"/>
      <c r="S314" s="5"/>
    </row>
    <row r="315" spans="1:19" ht="15.75" customHeight="1" x14ac:dyDescent="0.3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101"/>
      <c r="O315" s="101"/>
      <c r="P315" s="102"/>
      <c r="Q315" s="102"/>
      <c r="R315" s="102"/>
      <c r="S315" s="5"/>
    </row>
    <row r="316" spans="1:19" ht="15.75" customHeight="1" x14ac:dyDescent="0.3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101"/>
      <c r="O316" s="101"/>
      <c r="P316" s="102"/>
      <c r="Q316" s="102"/>
      <c r="R316" s="102"/>
      <c r="S316" s="5"/>
    </row>
    <row r="317" spans="1:19" ht="15.75" customHeight="1" x14ac:dyDescent="0.3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101"/>
      <c r="O317" s="101"/>
      <c r="P317" s="102"/>
      <c r="Q317" s="102"/>
      <c r="R317" s="102"/>
      <c r="S317" s="5"/>
    </row>
    <row r="318" spans="1:19" ht="15.75" customHeight="1" x14ac:dyDescent="0.3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101"/>
      <c r="O318" s="101"/>
      <c r="P318" s="102"/>
      <c r="Q318" s="102"/>
      <c r="R318" s="102"/>
      <c r="S318" s="5"/>
    </row>
    <row r="319" spans="1:19" ht="15.75" customHeight="1" x14ac:dyDescent="0.3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101"/>
      <c r="O319" s="101"/>
      <c r="P319" s="102"/>
      <c r="Q319" s="102"/>
      <c r="R319" s="102"/>
      <c r="S319" s="5"/>
    </row>
    <row r="320" spans="1:19" ht="15.75" customHeight="1" x14ac:dyDescent="0.3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101"/>
      <c r="O320" s="101"/>
      <c r="P320" s="102"/>
      <c r="Q320" s="102"/>
      <c r="R320" s="102"/>
      <c r="S320" s="5"/>
    </row>
    <row r="321" spans="1:19" ht="15.75" customHeight="1" x14ac:dyDescent="0.3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101"/>
      <c r="O321" s="101"/>
      <c r="P321" s="102"/>
      <c r="Q321" s="102"/>
      <c r="R321" s="102"/>
      <c r="S321" s="5"/>
    </row>
    <row r="322" spans="1:19" ht="15.75" customHeight="1" x14ac:dyDescent="0.3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101"/>
      <c r="O322" s="101"/>
      <c r="P322" s="102"/>
      <c r="Q322" s="102"/>
      <c r="R322" s="102"/>
      <c r="S322" s="5"/>
    </row>
    <row r="323" spans="1:19" ht="15.75" customHeight="1" x14ac:dyDescent="0.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101"/>
      <c r="O323" s="101"/>
      <c r="P323" s="102"/>
      <c r="Q323" s="102"/>
      <c r="R323" s="102"/>
      <c r="S323" s="5"/>
    </row>
    <row r="324" spans="1:19" ht="15.75" customHeight="1" x14ac:dyDescent="0.3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101"/>
      <c r="O324" s="101"/>
      <c r="P324" s="102"/>
      <c r="Q324" s="102"/>
      <c r="R324" s="102"/>
      <c r="S324" s="5"/>
    </row>
    <row r="325" spans="1:19" ht="15.75" customHeight="1" x14ac:dyDescent="0.3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101"/>
      <c r="O325" s="101"/>
      <c r="P325" s="102"/>
      <c r="Q325" s="102"/>
      <c r="R325" s="102"/>
      <c r="S325" s="5"/>
    </row>
    <row r="326" spans="1:19" ht="15.75" customHeight="1" x14ac:dyDescent="0.3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101"/>
      <c r="O326" s="101"/>
      <c r="P326" s="102"/>
      <c r="Q326" s="102"/>
      <c r="R326" s="102"/>
      <c r="S326" s="5"/>
    </row>
    <row r="327" spans="1:19" ht="15.75" customHeight="1" x14ac:dyDescent="0.3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101"/>
      <c r="O327" s="101"/>
      <c r="P327" s="102"/>
      <c r="Q327" s="102"/>
      <c r="R327" s="102"/>
      <c r="S327" s="5"/>
    </row>
    <row r="328" spans="1:19" ht="15.75" customHeight="1" x14ac:dyDescent="0.3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101"/>
      <c r="O328" s="101"/>
      <c r="P328" s="102"/>
      <c r="Q328" s="102"/>
      <c r="R328" s="102"/>
      <c r="S328" s="5"/>
    </row>
    <row r="329" spans="1:19" ht="15.75" customHeight="1" x14ac:dyDescent="0.3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101"/>
      <c r="O329" s="101"/>
      <c r="P329" s="102"/>
      <c r="Q329" s="102"/>
      <c r="R329" s="102"/>
      <c r="S329" s="5"/>
    </row>
    <row r="330" spans="1:19" ht="15.75" customHeight="1" x14ac:dyDescent="0.3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101"/>
      <c r="O330" s="101"/>
      <c r="P330" s="102"/>
      <c r="Q330" s="102"/>
      <c r="R330" s="102"/>
      <c r="S330" s="5"/>
    </row>
    <row r="331" spans="1:19" ht="15.75" customHeight="1" x14ac:dyDescent="0.3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101"/>
      <c r="O331" s="101"/>
      <c r="P331" s="102"/>
      <c r="Q331" s="102"/>
      <c r="R331" s="102"/>
      <c r="S331" s="5"/>
    </row>
    <row r="332" spans="1:19" ht="15.75" customHeight="1" x14ac:dyDescent="0.3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101"/>
      <c r="O332" s="101"/>
      <c r="P332" s="102"/>
      <c r="Q332" s="102"/>
      <c r="R332" s="102"/>
      <c r="S332" s="5"/>
    </row>
    <row r="333" spans="1:19" ht="15.75" customHeight="1" x14ac:dyDescent="0.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101"/>
      <c r="O333" s="101"/>
      <c r="P333" s="102"/>
      <c r="Q333" s="102"/>
      <c r="R333" s="102"/>
      <c r="S333" s="5"/>
    </row>
    <row r="334" spans="1:19" ht="15.75" customHeight="1" x14ac:dyDescent="0.3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101"/>
      <c r="O334" s="101"/>
      <c r="P334" s="102"/>
      <c r="Q334" s="102"/>
      <c r="R334" s="102"/>
      <c r="S334" s="5"/>
    </row>
    <row r="335" spans="1:19" ht="15.75" customHeight="1" x14ac:dyDescent="0.3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101"/>
      <c r="O335" s="101"/>
      <c r="P335" s="102"/>
      <c r="Q335" s="102"/>
      <c r="R335" s="102"/>
      <c r="S335" s="5"/>
    </row>
    <row r="336" spans="1:19" ht="15.75" customHeight="1" x14ac:dyDescent="0.3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101"/>
      <c r="O336" s="101"/>
      <c r="P336" s="102"/>
      <c r="Q336" s="102"/>
      <c r="R336" s="102"/>
      <c r="S336" s="5"/>
    </row>
    <row r="337" spans="1:19" ht="15.75" customHeight="1" x14ac:dyDescent="0.3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101"/>
      <c r="O337" s="101"/>
      <c r="P337" s="102"/>
      <c r="Q337" s="102"/>
      <c r="R337" s="102"/>
      <c r="S337" s="5"/>
    </row>
    <row r="338" spans="1:19" ht="15.75" customHeight="1" x14ac:dyDescent="0.3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101"/>
      <c r="O338" s="101"/>
      <c r="P338" s="102"/>
      <c r="Q338" s="102"/>
      <c r="R338" s="102"/>
      <c r="S338" s="5"/>
    </row>
    <row r="339" spans="1:19" ht="15.75" customHeight="1" x14ac:dyDescent="0.3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101"/>
      <c r="O339" s="101"/>
      <c r="P339" s="102"/>
      <c r="Q339" s="102"/>
      <c r="R339" s="102"/>
      <c r="S339" s="5"/>
    </row>
    <row r="340" spans="1:19" ht="15.75" customHeight="1" x14ac:dyDescent="0.3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101"/>
      <c r="O340" s="101"/>
      <c r="P340" s="102"/>
      <c r="Q340" s="102"/>
      <c r="R340" s="102"/>
      <c r="S340" s="5"/>
    </row>
    <row r="341" spans="1:19" ht="15.75" customHeight="1" x14ac:dyDescent="0.3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101"/>
      <c r="O341" s="101"/>
      <c r="P341" s="102"/>
      <c r="Q341" s="102"/>
      <c r="R341" s="102"/>
      <c r="S341" s="5"/>
    </row>
    <row r="342" spans="1:19" ht="15.75" customHeight="1" x14ac:dyDescent="0.3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101"/>
      <c r="O342" s="101"/>
      <c r="P342" s="102"/>
      <c r="Q342" s="102"/>
      <c r="R342" s="102"/>
      <c r="S342" s="5"/>
    </row>
    <row r="343" spans="1:19" ht="15.75" customHeight="1" x14ac:dyDescent="0.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101"/>
      <c r="O343" s="101"/>
      <c r="P343" s="102"/>
      <c r="Q343" s="102"/>
      <c r="R343" s="102"/>
      <c r="S343" s="5"/>
    </row>
    <row r="344" spans="1:19" ht="15.75" customHeight="1" x14ac:dyDescent="0.3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101"/>
      <c r="O344" s="101"/>
      <c r="P344" s="102"/>
      <c r="Q344" s="102"/>
      <c r="R344" s="102"/>
      <c r="S344" s="5"/>
    </row>
    <row r="345" spans="1:19" ht="15.75" customHeight="1" x14ac:dyDescent="0.3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101"/>
      <c r="O345" s="101"/>
      <c r="P345" s="102"/>
      <c r="Q345" s="102"/>
      <c r="R345" s="102"/>
      <c r="S345" s="5"/>
    </row>
    <row r="346" spans="1:19" ht="15.75" customHeight="1" x14ac:dyDescent="0.3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101"/>
      <c r="O346" s="101"/>
      <c r="P346" s="102"/>
      <c r="Q346" s="102"/>
      <c r="R346" s="102"/>
      <c r="S346" s="5"/>
    </row>
    <row r="347" spans="1:19" ht="15.75" customHeight="1" x14ac:dyDescent="0.3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101"/>
      <c r="O347" s="101"/>
      <c r="P347" s="102"/>
      <c r="Q347" s="102"/>
      <c r="R347" s="102"/>
      <c r="S347" s="5"/>
    </row>
    <row r="348" spans="1:19" ht="15.75" customHeight="1" x14ac:dyDescent="0.3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101"/>
      <c r="O348" s="101"/>
      <c r="P348" s="102"/>
      <c r="Q348" s="102"/>
      <c r="R348" s="102"/>
      <c r="S348" s="5"/>
    </row>
    <row r="349" spans="1:19" ht="15.75" customHeight="1" x14ac:dyDescent="0.3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101"/>
      <c r="O349" s="101"/>
      <c r="P349" s="102"/>
      <c r="Q349" s="102"/>
      <c r="R349" s="102"/>
      <c r="S349" s="5"/>
    </row>
    <row r="350" spans="1:19" ht="15.75" customHeight="1" x14ac:dyDescent="0.3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101"/>
      <c r="O350" s="101"/>
      <c r="P350" s="102"/>
      <c r="Q350" s="102"/>
      <c r="R350" s="102"/>
      <c r="S350" s="5"/>
    </row>
    <row r="351" spans="1:19" ht="15.75" customHeight="1" x14ac:dyDescent="0.3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101"/>
      <c r="O351" s="101"/>
      <c r="P351" s="102"/>
      <c r="Q351" s="102"/>
      <c r="R351" s="102"/>
      <c r="S351" s="5"/>
    </row>
    <row r="352" spans="1:19" ht="15.75" customHeight="1" x14ac:dyDescent="0.3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101"/>
      <c r="O352" s="101"/>
      <c r="P352" s="102"/>
      <c r="Q352" s="102"/>
      <c r="R352" s="102"/>
      <c r="S352" s="5"/>
    </row>
    <row r="353" spans="1:19" ht="15.75" customHeight="1" x14ac:dyDescent="0.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101"/>
      <c r="O353" s="101"/>
      <c r="P353" s="102"/>
      <c r="Q353" s="102"/>
      <c r="R353" s="102"/>
      <c r="S353" s="5"/>
    </row>
    <row r="354" spans="1:19" ht="15.75" customHeight="1" x14ac:dyDescent="0.3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101"/>
      <c r="O354" s="101"/>
      <c r="P354" s="102"/>
      <c r="Q354" s="102"/>
      <c r="R354" s="102"/>
      <c r="S354" s="5"/>
    </row>
    <row r="355" spans="1:19" ht="15.75" customHeight="1" x14ac:dyDescent="0.3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101"/>
      <c r="O355" s="101"/>
      <c r="P355" s="102"/>
      <c r="Q355" s="102"/>
      <c r="R355" s="102"/>
      <c r="S355" s="5"/>
    </row>
    <row r="356" spans="1:19" ht="15.75" customHeight="1" x14ac:dyDescent="0.3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101"/>
      <c r="O356" s="101"/>
      <c r="P356" s="102"/>
      <c r="Q356" s="102"/>
      <c r="R356" s="102"/>
      <c r="S356" s="5"/>
    </row>
    <row r="357" spans="1:19" ht="15.75" customHeight="1" x14ac:dyDescent="0.3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101"/>
      <c r="O357" s="101"/>
      <c r="P357" s="102"/>
      <c r="Q357" s="102"/>
      <c r="R357" s="102"/>
      <c r="S357" s="5"/>
    </row>
    <row r="358" spans="1:19" ht="15.75" customHeight="1" x14ac:dyDescent="0.3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101"/>
      <c r="O358" s="101"/>
      <c r="P358" s="102"/>
      <c r="Q358" s="102"/>
      <c r="R358" s="102"/>
      <c r="S358" s="5"/>
    </row>
    <row r="359" spans="1:19" ht="15.75" customHeight="1" x14ac:dyDescent="0.3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101"/>
      <c r="O359" s="101"/>
      <c r="P359" s="102"/>
      <c r="Q359" s="102"/>
      <c r="R359" s="102"/>
      <c r="S359" s="5"/>
    </row>
    <row r="360" spans="1:19" ht="15.75" customHeight="1" x14ac:dyDescent="0.3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101"/>
      <c r="O360" s="101"/>
      <c r="P360" s="102"/>
      <c r="Q360" s="102"/>
      <c r="R360" s="102"/>
      <c r="S360" s="5"/>
    </row>
    <row r="361" spans="1:19" ht="15.75" customHeight="1" x14ac:dyDescent="0.3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101"/>
      <c r="O361" s="101"/>
      <c r="P361" s="102"/>
      <c r="Q361" s="102"/>
      <c r="R361" s="102"/>
      <c r="S361" s="5"/>
    </row>
    <row r="362" spans="1:19" ht="15.75" customHeight="1" x14ac:dyDescent="0.3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101"/>
      <c r="O362" s="101"/>
      <c r="P362" s="102"/>
      <c r="Q362" s="102"/>
      <c r="R362" s="102"/>
      <c r="S362" s="5"/>
    </row>
    <row r="363" spans="1:19" ht="15.75" customHeight="1" x14ac:dyDescent="0.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101"/>
      <c r="O363" s="101"/>
      <c r="P363" s="102"/>
      <c r="Q363" s="102"/>
      <c r="R363" s="102"/>
      <c r="S363" s="5"/>
    </row>
    <row r="364" spans="1:19" ht="15.75" customHeight="1" x14ac:dyDescent="0.3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101"/>
      <c r="O364" s="101"/>
      <c r="P364" s="102"/>
      <c r="Q364" s="102"/>
      <c r="R364" s="102"/>
      <c r="S364" s="5"/>
    </row>
    <row r="365" spans="1:19" ht="15.75" customHeight="1" x14ac:dyDescent="0.3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101"/>
      <c r="O365" s="101"/>
      <c r="P365" s="102"/>
      <c r="Q365" s="102"/>
      <c r="R365" s="102"/>
      <c r="S365" s="5"/>
    </row>
    <row r="366" spans="1:19" ht="15.75" customHeight="1" x14ac:dyDescent="0.3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101"/>
      <c r="O366" s="101"/>
      <c r="P366" s="102"/>
      <c r="Q366" s="102"/>
      <c r="R366" s="102"/>
      <c r="S366" s="5"/>
    </row>
    <row r="367" spans="1:19" ht="15.75" customHeight="1" x14ac:dyDescent="0.3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101"/>
      <c r="O367" s="101"/>
      <c r="P367" s="102"/>
      <c r="Q367" s="102"/>
      <c r="R367" s="102"/>
      <c r="S367" s="5"/>
    </row>
    <row r="368" spans="1:19" ht="15.75" customHeight="1" x14ac:dyDescent="0.3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101"/>
      <c r="O368" s="101"/>
      <c r="P368" s="102"/>
      <c r="Q368" s="102"/>
      <c r="R368" s="102"/>
      <c r="S368" s="5"/>
    </row>
    <row r="369" spans="1:19" ht="15.75" customHeight="1" x14ac:dyDescent="0.3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101"/>
      <c r="O369" s="101"/>
      <c r="P369" s="102"/>
      <c r="Q369" s="102"/>
      <c r="R369" s="102"/>
      <c r="S369" s="5"/>
    </row>
    <row r="370" spans="1:19" ht="15.75" customHeight="1" x14ac:dyDescent="0.3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101"/>
      <c r="O370" s="101"/>
      <c r="P370" s="102"/>
      <c r="Q370" s="102"/>
      <c r="R370" s="102"/>
      <c r="S370" s="5"/>
    </row>
    <row r="371" spans="1:19" ht="15.75" customHeight="1" x14ac:dyDescent="0.3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101"/>
      <c r="O371" s="101"/>
      <c r="P371" s="102"/>
      <c r="Q371" s="102"/>
      <c r="R371" s="102"/>
      <c r="S371" s="5"/>
    </row>
    <row r="372" spans="1:19" ht="15.75" customHeight="1" x14ac:dyDescent="0.3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101"/>
      <c r="O372" s="101"/>
      <c r="P372" s="102"/>
      <c r="Q372" s="102"/>
      <c r="R372" s="102"/>
      <c r="S372" s="5"/>
    </row>
    <row r="373" spans="1:19" ht="15.75" customHeight="1" x14ac:dyDescent="0.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101"/>
      <c r="O373" s="101"/>
      <c r="P373" s="102"/>
      <c r="Q373" s="102"/>
      <c r="R373" s="102"/>
      <c r="S373" s="5"/>
    </row>
    <row r="374" spans="1:19" ht="15.75" customHeight="1" x14ac:dyDescent="0.3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101"/>
      <c r="O374" s="101"/>
      <c r="P374" s="102"/>
      <c r="Q374" s="102"/>
      <c r="R374" s="102"/>
      <c r="S374" s="5"/>
    </row>
    <row r="375" spans="1:19" ht="15.75" customHeight="1" x14ac:dyDescent="0.3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101"/>
      <c r="O375" s="101"/>
      <c r="P375" s="102"/>
      <c r="Q375" s="102"/>
      <c r="R375" s="102"/>
      <c r="S375" s="5"/>
    </row>
    <row r="376" spans="1:19" ht="15.75" customHeight="1" x14ac:dyDescent="0.3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101"/>
      <c r="O376" s="101"/>
      <c r="P376" s="102"/>
      <c r="Q376" s="102"/>
      <c r="R376" s="102"/>
      <c r="S376" s="5"/>
    </row>
    <row r="377" spans="1:19" ht="15.75" customHeight="1" x14ac:dyDescent="0.3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101"/>
      <c r="O377" s="101"/>
      <c r="P377" s="102"/>
      <c r="Q377" s="102"/>
      <c r="R377" s="102"/>
      <c r="S377" s="5"/>
    </row>
    <row r="378" spans="1:19" ht="15.75" customHeight="1" x14ac:dyDescent="0.3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101"/>
      <c r="O378" s="101"/>
      <c r="P378" s="102"/>
      <c r="Q378" s="102"/>
      <c r="R378" s="102"/>
      <c r="S378" s="5"/>
    </row>
    <row r="379" spans="1:19" ht="15.75" customHeight="1" x14ac:dyDescent="0.3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101"/>
      <c r="O379" s="101"/>
      <c r="P379" s="102"/>
      <c r="Q379" s="102"/>
      <c r="R379" s="102"/>
      <c r="S379" s="5"/>
    </row>
    <row r="380" spans="1:19" ht="15.75" customHeight="1" x14ac:dyDescent="0.3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101"/>
      <c r="O380" s="101"/>
      <c r="P380" s="102"/>
      <c r="Q380" s="102"/>
      <c r="R380" s="102"/>
      <c r="S380" s="5"/>
    </row>
    <row r="381" spans="1:19" ht="15.75" customHeight="1" x14ac:dyDescent="0.3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101"/>
      <c r="O381" s="101"/>
      <c r="P381" s="102"/>
      <c r="Q381" s="102"/>
      <c r="R381" s="102"/>
      <c r="S381" s="5"/>
    </row>
    <row r="382" spans="1:19" ht="15.75" customHeight="1" x14ac:dyDescent="0.3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101"/>
      <c r="O382" s="101"/>
      <c r="P382" s="102"/>
      <c r="Q382" s="102"/>
      <c r="R382" s="102"/>
      <c r="S382" s="5"/>
    </row>
    <row r="383" spans="1:19" ht="15.75" customHeight="1" x14ac:dyDescent="0.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101"/>
      <c r="O383" s="101"/>
      <c r="P383" s="102"/>
      <c r="Q383" s="102"/>
      <c r="R383" s="102"/>
      <c r="S383" s="5"/>
    </row>
    <row r="384" spans="1:19" ht="15.75" customHeight="1" x14ac:dyDescent="0.3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101"/>
      <c r="O384" s="101"/>
      <c r="P384" s="102"/>
      <c r="Q384" s="102"/>
      <c r="R384" s="102"/>
      <c r="S384" s="5"/>
    </row>
    <row r="385" spans="1:19" ht="15.75" customHeight="1" x14ac:dyDescent="0.3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101"/>
      <c r="O385" s="101"/>
      <c r="P385" s="102"/>
      <c r="Q385" s="102"/>
      <c r="R385" s="102"/>
      <c r="S385" s="5"/>
    </row>
    <row r="386" spans="1:19" ht="15.75" customHeight="1" x14ac:dyDescent="0.3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101"/>
      <c r="O386" s="101"/>
      <c r="P386" s="102"/>
      <c r="Q386" s="102"/>
      <c r="R386" s="102"/>
      <c r="S386" s="5"/>
    </row>
    <row r="387" spans="1:19" ht="15.75" customHeight="1" x14ac:dyDescent="0.3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101"/>
      <c r="O387" s="101"/>
      <c r="P387" s="102"/>
      <c r="Q387" s="102"/>
      <c r="R387" s="102"/>
      <c r="S387" s="5"/>
    </row>
    <row r="388" spans="1:19" ht="15.75" customHeight="1" x14ac:dyDescent="0.3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101"/>
      <c r="O388" s="101"/>
      <c r="P388" s="102"/>
      <c r="Q388" s="102"/>
      <c r="R388" s="102"/>
      <c r="S388" s="5"/>
    </row>
    <row r="389" spans="1:19" ht="15.75" customHeight="1" x14ac:dyDescent="0.3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101"/>
      <c r="O389" s="101"/>
      <c r="P389" s="102"/>
      <c r="Q389" s="102"/>
      <c r="R389" s="102"/>
      <c r="S389" s="5"/>
    </row>
    <row r="390" spans="1:19" ht="15.75" customHeight="1" x14ac:dyDescent="0.3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101"/>
      <c r="O390" s="101"/>
      <c r="P390" s="102"/>
      <c r="Q390" s="102"/>
      <c r="R390" s="102"/>
      <c r="S390" s="5"/>
    </row>
    <row r="391" spans="1:19" ht="15.75" customHeight="1" x14ac:dyDescent="0.3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101"/>
      <c r="O391" s="101"/>
      <c r="P391" s="102"/>
      <c r="Q391" s="102"/>
      <c r="R391" s="102"/>
      <c r="S391" s="5"/>
    </row>
    <row r="392" spans="1:19" ht="15.75" customHeight="1" x14ac:dyDescent="0.3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101"/>
      <c r="O392" s="101"/>
      <c r="P392" s="102"/>
      <c r="Q392" s="102"/>
      <c r="R392" s="102"/>
      <c r="S392" s="5"/>
    </row>
    <row r="393" spans="1:19" ht="15.75" customHeight="1" x14ac:dyDescent="0.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101"/>
      <c r="O393" s="101"/>
      <c r="P393" s="102"/>
      <c r="Q393" s="102"/>
      <c r="R393" s="102"/>
      <c r="S393" s="5"/>
    </row>
    <row r="394" spans="1:19" ht="15.75" customHeight="1" x14ac:dyDescent="0.3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101"/>
      <c r="O394" s="101"/>
      <c r="P394" s="102"/>
      <c r="Q394" s="102"/>
      <c r="R394" s="102"/>
      <c r="S394" s="5"/>
    </row>
    <row r="395" spans="1:19" ht="15.75" customHeight="1" x14ac:dyDescent="0.3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101"/>
      <c r="O395" s="101"/>
      <c r="P395" s="102"/>
      <c r="Q395" s="102"/>
      <c r="R395" s="102"/>
      <c r="S395" s="5"/>
    </row>
    <row r="396" spans="1:19" ht="15.75" customHeight="1" x14ac:dyDescent="0.3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101"/>
      <c r="O396" s="101"/>
      <c r="P396" s="102"/>
      <c r="Q396" s="102"/>
      <c r="R396" s="102"/>
      <c r="S396" s="5"/>
    </row>
    <row r="397" spans="1:19" ht="15.75" customHeight="1" x14ac:dyDescent="0.3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101"/>
      <c r="O397" s="101"/>
      <c r="P397" s="102"/>
      <c r="Q397" s="102"/>
      <c r="R397" s="102"/>
      <c r="S397" s="5"/>
    </row>
    <row r="398" spans="1:19" ht="15.75" customHeight="1" x14ac:dyDescent="0.3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101"/>
      <c r="O398" s="101"/>
      <c r="P398" s="102"/>
      <c r="Q398" s="102"/>
      <c r="R398" s="102"/>
      <c r="S398" s="5"/>
    </row>
    <row r="399" spans="1:19" ht="15.75" customHeight="1" x14ac:dyDescent="0.3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101"/>
      <c r="O399" s="101"/>
      <c r="P399" s="102"/>
      <c r="Q399" s="102"/>
      <c r="R399" s="102"/>
      <c r="S399" s="5"/>
    </row>
    <row r="400" spans="1:19" ht="15.75" customHeight="1" x14ac:dyDescent="0.3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101"/>
      <c r="O400" s="101"/>
      <c r="P400" s="102"/>
      <c r="Q400" s="102"/>
      <c r="R400" s="102"/>
      <c r="S400" s="5"/>
    </row>
    <row r="401" spans="1:19" ht="15.75" customHeight="1" x14ac:dyDescent="0.3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101"/>
      <c r="O401" s="101"/>
      <c r="P401" s="102"/>
      <c r="Q401" s="102"/>
      <c r="R401" s="102"/>
      <c r="S401" s="5"/>
    </row>
    <row r="402" spans="1:19" ht="15.75" customHeight="1" x14ac:dyDescent="0.3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101"/>
      <c r="O402" s="101"/>
      <c r="P402" s="102"/>
      <c r="Q402" s="102"/>
      <c r="R402" s="102"/>
      <c r="S402" s="5"/>
    </row>
    <row r="403" spans="1:19" ht="15.75" customHeight="1" x14ac:dyDescent="0.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101"/>
      <c r="O403" s="101"/>
      <c r="P403" s="102"/>
      <c r="Q403" s="102"/>
      <c r="R403" s="102"/>
      <c r="S403" s="5"/>
    </row>
    <row r="404" spans="1:19" ht="15.75" customHeight="1" x14ac:dyDescent="0.3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101"/>
      <c r="O404" s="101"/>
      <c r="P404" s="102"/>
      <c r="Q404" s="102"/>
      <c r="R404" s="102"/>
      <c r="S404" s="5"/>
    </row>
    <row r="405" spans="1:19" ht="15.75" customHeight="1" x14ac:dyDescent="0.3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101"/>
      <c r="O405" s="101"/>
      <c r="P405" s="102"/>
      <c r="Q405" s="102"/>
      <c r="R405" s="102"/>
      <c r="S405" s="5"/>
    </row>
    <row r="406" spans="1:19" ht="15.75" customHeight="1" x14ac:dyDescent="0.3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101"/>
      <c r="O406" s="101"/>
      <c r="P406" s="102"/>
      <c r="Q406" s="102"/>
      <c r="R406" s="102"/>
      <c r="S406" s="5"/>
    </row>
    <row r="407" spans="1:19" ht="15.75" customHeight="1" x14ac:dyDescent="0.3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101"/>
      <c r="O407" s="101"/>
      <c r="P407" s="102"/>
      <c r="Q407" s="102"/>
      <c r="R407" s="102"/>
      <c r="S407" s="5"/>
    </row>
    <row r="408" spans="1:19" ht="15.75" customHeight="1" x14ac:dyDescent="0.3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101"/>
      <c r="O408" s="101"/>
      <c r="P408" s="102"/>
      <c r="Q408" s="102"/>
      <c r="R408" s="102"/>
      <c r="S408" s="5"/>
    </row>
    <row r="409" spans="1:19" ht="15.75" customHeight="1" x14ac:dyDescent="0.3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101"/>
      <c r="O409" s="101"/>
      <c r="P409" s="102"/>
      <c r="Q409" s="102"/>
      <c r="R409" s="102"/>
      <c r="S409" s="5"/>
    </row>
    <row r="410" spans="1:19" ht="15.75" customHeight="1" x14ac:dyDescent="0.3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101"/>
      <c r="O410" s="101"/>
      <c r="P410" s="102"/>
      <c r="Q410" s="102"/>
      <c r="R410" s="102"/>
      <c r="S410" s="5"/>
    </row>
    <row r="411" spans="1:19" ht="15.75" customHeight="1" x14ac:dyDescent="0.3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101"/>
      <c r="O411" s="101"/>
      <c r="P411" s="102"/>
      <c r="Q411" s="102"/>
      <c r="R411" s="102"/>
      <c r="S411" s="5"/>
    </row>
    <row r="412" spans="1:19" ht="15.75" customHeight="1" x14ac:dyDescent="0.3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101"/>
      <c r="O412" s="101"/>
      <c r="P412" s="102"/>
      <c r="Q412" s="102"/>
      <c r="R412" s="102"/>
      <c r="S412" s="5"/>
    </row>
    <row r="413" spans="1:19" ht="15.75" customHeight="1" x14ac:dyDescent="0.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101"/>
      <c r="O413" s="101"/>
      <c r="P413" s="102"/>
      <c r="Q413" s="102"/>
      <c r="R413" s="102"/>
      <c r="S413" s="5"/>
    </row>
    <row r="414" spans="1:19" ht="15.75" customHeight="1" x14ac:dyDescent="0.3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101"/>
      <c r="O414" s="101"/>
      <c r="P414" s="102"/>
      <c r="Q414" s="102"/>
      <c r="R414" s="102"/>
      <c r="S414" s="5"/>
    </row>
    <row r="415" spans="1:19" ht="15.75" customHeight="1" x14ac:dyDescent="0.3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101"/>
      <c r="O415" s="101"/>
      <c r="P415" s="102"/>
      <c r="Q415" s="102"/>
      <c r="R415" s="102"/>
      <c r="S415" s="5"/>
    </row>
    <row r="416" spans="1:19" ht="15.75" customHeight="1" x14ac:dyDescent="0.3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101"/>
      <c r="O416" s="101"/>
      <c r="P416" s="102"/>
      <c r="Q416" s="102"/>
      <c r="R416" s="102"/>
      <c r="S416" s="5"/>
    </row>
    <row r="417" spans="1:19" ht="15.75" customHeight="1" x14ac:dyDescent="0.3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101"/>
      <c r="O417" s="101"/>
      <c r="P417" s="102"/>
      <c r="Q417" s="102"/>
      <c r="R417" s="102"/>
      <c r="S417" s="5"/>
    </row>
    <row r="418" spans="1:19" ht="15.75" customHeight="1" x14ac:dyDescent="0.3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101"/>
      <c r="O418" s="101"/>
      <c r="P418" s="102"/>
      <c r="Q418" s="102"/>
      <c r="R418" s="102"/>
      <c r="S418" s="5"/>
    </row>
    <row r="419" spans="1:19" ht="15.75" customHeight="1" x14ac:dyDescent="0.3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101"/>
      <c r="O419" s="101"/>
      <c r="P419" s="102"/>
      <c r="Q419" s="102"/>
      <c r="R419" s="102"/>
      <c r="S419" s="5"/>
    </row>
    <row r="420" spans="1:19" ht="15.75" customHeight="1" x14ac:dyDescent="0.3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101"/>
      <c r="O420" s="101"/>
      <c r="P420" s="102"/>
      <c r="Q420" s="102"/>
      <c r="R420" s="102"/>
      <c r="S420" s="5"/>
    </row>
    <row r="421" spans="1:19" ht="15.75" customHeight="1" x14ac:dyDescent="0.3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101"/>
      <c r="O421" s="101"/>
      <c r="P421" s="102"/>
      <c r="Q421" s="102"/>
      <c r="R421" s="102"/>
      <c r="S421" s="5"/>
    </row>
    <row r="422" spans="1:19" ht="15.75" customHeight="1" x14ac:dyDescent="0.3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101"/>
      <c r="O422" s="101"/>
      <c r="P422" s="102"/>
      <c r="Q422" s="102"/>
      <c r="R422" s="102"/>
      <c r="S422" s="5"/>
    </row>
    <row r="423" spans="1:19" ht="15.75" customHeight="1" x14ac:dyDescent="0.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101"/>
      <c r="O423" s="101"/>
      <c r="P423" s="102"/>
      <c r="Q423" s="102"/>
      <c r="R423" s="102"/>
      <c r="S423" s="5"/>
    </row>
    <row r="424" spans="1:19" ht="15.75" customHeight="1" x14ac:dyDescent="0.3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101"/>
      <c r="O424" s="101"/>
      <c r="P424" s="102"/>
      <c r="Q424" s="102"/>
      <c r="R424" s="102"/>
      <c r="S424" s="5"/>
    </row>
    <row r="425" spans="1:19" ht="15.75" customHeight="1" x14ac:dyDescent="0.3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101"/>
      <c r="O425" s="101"/>
      <c r="P425" s="102"/>
      <c r="Q425" s="102"/>
      <c r="R425" s="102"/>
      <c r="S425" s="5"/>
    </row>
    <row r="426" spans="1:19" ht="15.75" customHeight="1" x14ac:dyDescent="0.3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101"/>
      <c r="O426" s="101"/>
      <c r="P426" s="102"/>
      <c r="Q426" s="102"/>
      <c r="R426" s="102"/>
      <c r="S426" s="5"/>
    </row>
    <row r="427" spans="1:19" ht="15.75" customHeight="1" x14ac:dyDescent="0.3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101"/>
      <c r="O427" s="101"/>
      <c r="P427" s="102"/>
      <c r="Q427" s="102"/>
      <c r="R427" s="102"/>
      <c r="S427" s="5"/>
    </row>
    <row r="428" spans="1:19" ht="15.75" customHeight="1" x14ac:dyDescent="0.3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101"/>
      <c r="O428" s="101"/>
      <c r="P428" s="102"/>
      <c r="Q428" s="102"/>
      <c r="R428" s="102"/>
      <c r="S428" s="5"/>
    </row>
    <row r="429" spans="1:19" ht="15.75" customHeight="1" x14ac:dyDescent="0.3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101"/>
      <c r="O429" s="101"/>
      <c r="P429" s="102"/>
      <c r="Q429" s="102"/>
      <c r="R429" s="102"/>
      <c r="S429" s="5"/>
    </row>
    <row r="430" spans="1:19" ht="15.75" customHeight="1" x14ac:dyDescent="0.3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101"/>
      <c r="O430" s="101"/>
      <c r="P430" s="102"/>
      <c r="Q430" s="102"/>
      <c r="R430" s="102"/>
      <c r="S430" s="5"/>
    </row>
    <row r="431" spans="1:19" ht="15.75" customHeight="1" x14ac:dyDescent="0.3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101"/>
      <c r="O431" s="101"/>
      <c r="P431" s="102"/>
      <c r="Q431" s="102"/>
      <c r="R431" s="102"/>
      <c r="S431" s="5"/>
    </row>
    <row r="432" spans="1:19" ht="15.75" customHeight="1" x14ac:dyDescent="0.3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101"/>
      <c r="O432" s="101"/>
      <c r="P432" s="102"/>
      <c r="Q432" s="102"/>
      <c r="R432" s="102"/>
      <c r="S432" s="5"/>
    </row>
    <row r="433" spans="1:19" ht="15.75" customHeight="1" x14ac:dyDescent="0.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101"/>
      <c r="O433" s="101"/>
      <c r="P433" s="102"/>
      <c r="Q433" s="102"/>
      <c r="R433" s="102"/>
      <c r="S433" s="5"/>
    </row>
    <row r="434" spans="1:19" ht="15.75" customHeight="1" x14ac:dyDescent="0.3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101"/>
      <c r="O434" s="101"/>
      <c r="P434" s="102"/>
      <c r="Q434" s="102"/>
      <c r="R434" s="102"/>
      <c r="S434" s="5"/>
    </row>
    <row r="435" spans="1:19" ht="15.75" customHeight="1" x14ac:dyDescent="0.3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101"/>
      <c r="O435" s="101"/>
      <c r="P435" s="102"/>
      <c r="Q435" s="102"/>
      <c r="R435" s="102"/>
      <c r="S435" s="5"/>
    </row>
    <row r="436" spans="1:19" ht="15.75" customHeight="1" x14ac:dyDescent="0.3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101"/>
      <c r="O436" s="101"/>
      <c r="P436" s="102"/>
      <c r="Q436" s="102"/>
      <c r="R436" s="102"/>
      <c r="S436" s="5"/>
    </row>
    <row r="437" spans="1:19" ht="15.75" customHeight="1" x14ac:dyDescent="0.3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101"/>
      <c r="O437" s="101"/>
      <c r="P437" s="102"/>
      <c r="Q437" s="102"/>
      <c r="R437" s="102"/>
      <c r="S437" s="5"/>
    </row>
    <row r="438" spans="1:19" ht="15.75" customHeight="1" x14ac:dyDescent="0.3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101"/>
      <c r="O438" s="101"/>
      <c r="P438" s="102"/>
      <c r="Q438" s="102"/>
      <c r="R438" s="102"/>
      <c r="S438" s="5"/>
    </row>
    <row r="439" spans="1:19" ht="15.75" customHeight="1" x14ac:dyDescent="0.3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101"/>
      <c r="O439" s="101"/>
      <c r="P439" s="102"/>
      <c r="Q439" s="102"/>
      <c r="R439" s="102"/>
      <c r="S439" s="5"/>
    </row>
    <row r="440" spans="1:19" ht="15.75" customHeight="1" x14ac:dyDescent="0.3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101"/>
      <c r="O440" s="101"/>
      <c r="P440" s="102"/>
      <c r="Q440" s="102"/>
      <c r="R440" s="102"/>
      <c r="S440" s="5"/>
    </row>
    <row r="441" spans="1:19" ht="15.75" customHeight="1" x14ac:dyDescent="0.3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101"/>
      <c r="O441" s="101"/>
      <c r="P441" s="102"/>
      <c r="Q441" s="102"/>
      <c r="R441" s="102"/>
      <c r="S441" s="5"/>
    </row>
    <row r="442" spans="1:19" ht="15.75" customHeight="1" x14ac:dyDescent="0.3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101"/>
      <c r="O442" s="101"/>
      <c r="P442" s="102"/>
      <c r="Q442" s="102"/>
      <c r="R442" s="102"/>
      <c r="S442" s="5"/>
    </row>
    <row r="443" spans="1:19" ht="15.75" customHeight="1" x14ac:dyDescent="0.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101"/>
      <c r="O443" s="101"/>
      <c r="P443" s="102"/>
      <c r="Q443" s="102"/>
      <c r="R443" s="102"/>
      <c r="S443" s="5"/>
    </row>
    <row r="444" spans="1:19" ht="15.75" customHeight="1" x14ac:dyDescent="0.3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101"/>
      <c r="O444" s="101"/>
      <c r="P444" s="102"/>
      <c r="Q444" s="102"/>
      <c r="R444" s="102"/>
      <c r="S444" s="5"/>
    </row>
    <row r="445" spans="1:19" ht="15.75" customHeight="1" x14ac:dyDescent="0.3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101"/>
      <c r="O445" s="101"/>
      <c r="P445" s="102"/>
      <c r="Q445" s="102"/>
      <c r="R445" s="102"/>
      <c r="S445" s="5"/>
    </row>
    <row r="446" spans="1:19" ht="15.75" customHeight="1" x14ac:dyDescent="0.3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101"/>
      <c r="O446" s="101"/>
      <c r="P446" s="102"/>
      <c r="Q446" s="102"/>
      <c r="R446" s="102"/>
      <c r="S446" s="5"/>
    </row>
    <row r="447" spans="1:19" ht="15.75" customHeight="1" x14ac:dyDescent="0.3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101"/>
      <c r="O447" s="101"/>
      <c r="P447" s="102"/>
      <c r="Q447" s="102"/>
      <c r="R447" s="102"/>
      <c r="S447" s="5"/>
    </row>
    <row r="448" spans="1:19" ht="15.75" customHeight="1" x14ac:dyDescent="0.3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101"/>
      <c r="O448" s="101"/>
      <c r="P448" s="102"/>
      <c r="Q448" s="102"/>
      <c r="R448" s="102"/>
      <c r="S448" s="5"/>
    </row>
    <row r="449" spans="1:19" ht="15.75" customHeight="1" x14ac:dyDescent="0.3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101"/>
      <c r="O449" s="101"/>
      <c r="P449" s="102"/>
      <c r="Q449" s="102"/>
      <c r="R449" s="102"/>
      <c r="S449" s="5"/>
    </row>
    <row r="450" spans="1:19" ht="15.75" customHeight="1" x14ac:dyDescent="0.3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101"/>
      <c r="O450" s="101"/>
      <c r="P450" s="102"/>
      <c r="Q450" s="102"/>
      <c r="R450" s="102"/>
      <c r="S450" s="5"/>
    </row>
    <row r="451" spans="1:19" ht="15.75" customHeight="1" x14ac:dyDescent="0.3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101"/>
      <c r="O451" s="101"/>
      <c r="P451" s="102"/>
      <c r="Q451" s="102"/>
      <c r="R451" s="102"/>
      <c r="S451" s="5"/>
    </row>
    <row r="452" spans="1:19" ht="15.75" customHeight="1" x14ac:dyDescent="0.3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101"/>
      <c r="O452" s="101"/>
      <c r="P452" s="102"/>
      <c r="Q452" s="102"/>
      <c r="R452" s="102"/>
      <c r="S452" s="5"/>
    </row>
    <row r="453" spans="1:19" ht="15.75" customHeight="1" x14ac:dyDescent="0.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101"/>
      <c r="O453" s="101"/>
      <c r="P453" s="102"/>
      <c r="Q453" s="102"/>
      <c r="R453" s="102"/>
      <c r="S453" s="5"/>
    </row>
    <row r="454" spans="1:19" ht="15.75" customHeight="1" x14ac:dyDescent="0.3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101"/>
      <c r="O454" s="101"/>
      <c r="P454" s="102"/>
      <c r="Q454" s="102"/>
      <c r="R454" s="102"/>
      <c r="S454" s="5"/>
    </row>
    <row r="455" spans="1:19" ht="15.75" customHeight="1" x14ac:dyDescent="0.3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101"/>
      <c r="O455" s="101"/>
      <c r="P455" s="102"/>
      <c r="Q455" s="102"/>
      <c r="R455" s="102"/>
      <c r="S455" s="5"/>
    </row>
    <row r="456" spans="1:19" ht="15.75" customHeight="1" x14ac:dyDescent="0.3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101"/>
      <c r="O456" s="101"/>
      <c r="P456" s="102"/>
      <c r="Q456" s="102"/>
      <c r="R456" s="102"/>
      <c r="S456" s="5"/>
    </row>
    <row r="457" spans="1:19" ht="15.75" customHeight="1" x14ac:dyDescent="0.3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101"/>
      <c r="O457" s="101"/>
      <c r="P457" s="102"/>
      <c r="Q457" s="102"/>
      <c r="R457" s="102"/>
      <c r="S457" s="5"/>
    </row>
    <row r="458" spans="1:19" ht="15.75" customHeight="1" x14ac:dyDescent="0.3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101"/>
      <c r="O458" s="101"/>
      <c r="P458" s="102"/>
      <c r="Q458" s="102"/>
      <c r="R458" s="102"/>
      <c r="S458" s="5"/>
    </row>
    <row r="459" spans="1:19" ht="15.75" customHeight="1" x14ac:dyDescent="0.3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101"/>
      <c r="O459" s="101"/>
      <c r="P459" s="102"/>
      <c r="Q459" s="102"/>
      <c r="R459" s="102"/>
      <c r="S459" s="5"/>
    </row>
    <row r="460" spans="1:19" ht="15.75" customHeight="1" x14ac:dyDescent="0.3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101"/>
      <c r="O460" s="101"/>
      <c r="P460" s="102"/>
      <c r="Q460" s="102"/>
      <c r="R460" s="102"/>
      <c r="S460" s="5"/>
    </row>
    <row r="461" spans="1:19" ht="15.75" customHeight="1" x14ac:dyDescent="0.3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101"/>
      <c r="O461" s="101"/>
      <c r="P461" s="102"/>
      <c r="Q461" s="102"/>
      <c r="R461" s="102"/>
      <c r="S461" s="5"/>
    </row>
    <row r="462" spans="1:19" ht="15.75" customHeight="1" x14ac:dyDescent="0.3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101"/>
      <c r="O462" s="101"/>
      <c r="P462" s="102"/>
      <c r="Q462" s="102"/>
      <c r="R462" s="102"/>
      <c r="S462" s="5"/>
    </row>
    <row r="463" spans="1:19" ht="15.75" customHeight="1" x14ac:dyDescent="0.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101"/>
      <c r="O463" s="101"/>
      <c r="P463" s="102"/>
      <c r="Q463" s="102"/>
      <c r="R463" s="102"/>
      <c r="S463" s="5"/>
    </row>
    <row r="464" spans="1:19" ht="15.75" customHeight="1" x14ac:dyDescent="0.3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101"/>
      <c r="O464" s="101"/>
      <c r="P464" s="102"/>
      <c r="Q464" s="102"/>
      <c r="R464" s="102"/>
      <c r="S464" s="5"/>
    </row>
    <row r="465" spans="1:19" ht="15.75" customHeight="1" x14ac:dyDescent="0.3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101"/>
      <c r="O465" s="101"/>
      <c r="P465" s="102"/>
      <c r="Q465" s="102"/>
      <c r="R465" s="102"/>
      <c r="S465" s="5"/>
    </row>
    <row r="466" spans="1:19" ht="15.75" customHeight="1" x14ac:dyDescent="0.3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101"/>
      <c r="O466" s="101"/>
      <c r="P466" s="102"/>
      <c r="Q466" s="102"/>
      <c r="R466" s="102"/>
      <c r="S466" s="5"/>
    </row>
    <row r="467" spans="1:19" ht="15.75" customHeight="1" x14ac:dyDescent="0.3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101"/>
      <c r="O467" s="101"/>
      <c r="P467" s="102"/>
      <c r="Q467" s="102"/>
      <c r="R467" s="102"/>
      <c r="S467" s="5"/>
    </row>
    <row r="468" spans="1:19" ht="15.75" customHeight="1" x14ac:dyDescent="0.3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101"/>
      <c r="O468" s="101"/>
      <c r="P468" s="102"/>
      <c r="Q468" s="102"/>
      <c r="R468" s="102"/>
      <c r="S468" s="5"/>
    </row>
    <row r="469" spans="1:19" ht="15.75" customHeight="1" x14ac:dyDescent="0.3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101"/>
      <c r="O469" s="101"/>
      <c r="P469" s="102"/>
      <c r="Q469" s="102"/>
      <c r="R469" s="102"/>
      <c r="S469" s="5"/>
    </row>
    <row r="470" spans="1:19" ht="15.75" customHeight="1" x14ac:dyDescent="0.3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101"/>
      <c r="O470" s="101"/>
      <c r="P470" s="102"/>
      <c r="Q470" s="102"/>
      <c r="R470" s="102"/>
      <c r="S470" s="5"/>
    </row>
    <row r="471" spans="1:19" ht="15.75" customHeight="1" x14ac:dyDescent="0.3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101"/>
      <c r="O471" s="101"/>
      <c r="P471" s="102"/>
      <c r="Q471" s="102"/>
      <c r="R471" s="102"/>
      <c r="S471" s="5"/>
    </row>
    <row r="472" spans="1:19" ht="15.75" customHeight="1" x14ac:dyDescent="0.3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101"/>
      <c r="O472" s="101"/>
      <c r="P472" s="102"/>
      <c r="Q472" s="102"/>
      <c r="R472" s="102"/>
      <c r="S472" s="5"/>
    </row>
    <row r="473" spans="1:19" ht="15.75" customHeight="1" x14ac:dyDescent="0.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101"/>
      <c r="O473" s="101"/>
      <c r="P473" s="102"/>
      <c r="Q473" s="102"/>
      <c r="R473" s="102"/>
      <c r="S473" s="5"/>
    </row>
    <row r="474" spans="1:19" ht="15.75" customHeight="1" x14ac:dyDescent="0.3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101"/>
      <c r="O474" s="101"/>
      <c r="P474" s="102"/>
      <c r="Q474" s="102"/>
      <c r="R474" s="102"/>
      <c r="S474" s="5"/>
    </row>
    <row r="475" spans="1:19" ht="15.75" customHeight="1" x14ac:dyDescent="0.3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101"/>
      <c r="O475" s="101"/>
      <c r="P475" s="102"/>
      <c r="Q475" s="102"/>
      <c r="R475" s="102"/>
      <c r="S475" s="5"/>
    </row>
    <row r="476" spans="1:19" ht="15.75" customHeight="1" x14ac:dyDescent="0.3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101"/>
      <c r="O476" s="101"/>
      <c r="P476" s="102"/>
      <c r="Q476" s="102"/>
      <c r="R476" s="102"/>
      <c r="S476" s="5"/>
    </row>
    <row r="477" spans="1:19" ht="15.75" customHeight="1" x14ac:dyDescent="0.3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101"/>
      <c r="O477" s="101"/>
      <c r="P477" s="102"/>
      <c r="Q477" s="102"/>
      <c r="R477" s="102"/>
      <c r="S477" s="5"/>
    </row>
    <row r="478" spans="1:19" ht="15.75" customHeight="1" x14ac:dyDescent="0.3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101"/>
      <c r="O478" s="101"/>
      <c r="P478" s="102"/>
      <c r="Q478" s="102"/>
      <c r="R478" s="102"/>
      <c r="S478" s="5"/>
    </row>
    <row r="479" spans="1:19" ht="15.75" customHeight="1" x14ac:dyDescent="0.3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101"/>
      <c r="O479" s="101"/>
      <c r="P479" s="102"/>
      <c r="Q479" s="102"/>
      <c r="R479" s="102"/>
      <c r="S479" s="5"/>
    </row>
    <row r="480" spans="1:19" ht="15.75" customHeight="1" x14ac:dyDescent="0.3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101"/>
      <c r="O480" s="101"/>
      <c r="P480" s="102"/>
      <c r="Q480" s="102"/>
      <c r="R480" s="102"/>
      <c r="S480" s="5"/>
    </row>
    <row r="481" spans="1:19" ht="15.75" customHeight="1" x14ac:dyDescent="0.3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101"/>
      <c r="O481" s="101"/>
      <c r="P481" s="102"/>
      <c r="Q481" s="102"/>
      <c r="R481" s="102"/>
      <c r="S481" s="5"/>
    </row>
    <row r="482" spans="1:19" ht="15.75" customHeight="1" x14ac:dyDescent="0.3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101"/>
      <c r="O482" s="101"/>
      <c r="P482" s="102"/>
      <c r="Q482" s="102"/>
      <c r="R482" s="102"/>
      <c r="S482" s="5"/>
    </row>
    <row r="483" spans="1:19" ht="15.75" customHeight="1" x14ac:dyDescent="0.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101"/>
      <c r="O483" s="101"/>
      <c r="P483" s="102"/>
      <c r="Q483" s="102"/>
      <c r="R483" s="102"/>
      <c r="S483" s="5"/>
    </row>
    <row r="484" spans="1:19" ht="15.75" customHeight="1" x14ac:dyDescent="0.3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101"/>
      <c r="O484" s="101"/>
      <c r="P484" s="102"/>
      <c r="Q484" s="102"/>
      <c r="R484" s="102"/>
      <c r="S484" s="5"/>
    </row>
    <row r="485" spans="1:19" ht="15.75" customHeight="1" x14ac:dyDescent="0.3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101"/>
      <c r="O485" s="101"/>
      <c r="P485" s="102"/>
      <c r="Q485" s="102"/>
      <c r="R485" s="102"/>
      <c r="S485" s="5"/>
    </row>
    <row r="486" spans="1:19" ht="15.75" customHeight="1" x14ac:dyDescent="0.3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101"/>
      <c r="O486" s="101"/>
      <c r="P486" s="102"/>
      <c r="Q486" s="102"/>
      <c r="R486" s="102"/>
      <c r="S486" s="5"/>
    </row>
    <row r="487" spans="1:19" ht="15.75" customHeight="1" x14ac:dyDescent="0.3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101"/>
      <c r="O487" s="101"/>
      <c r="P487" s="102"/>
      <c r="Q487" s="102"/>
      <c r="R487" s="102"/>
      <c r="S487" s="5"/>
    </row>
    <row r="488" spans="1:19" ht="15.75" customHeight="1" x14ac:dyDescent="0.3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101"/>
      <c r="O488" s="101"/>
      <c r="P488" s="102"/>
      <c r="Q488" s="102"/>
      <c r="R488" s="102"/>
      <c r="S488" s="5"/>
    </row>
    <row r="489" spans="1:19" ht="15.75" customHeight="1" x14ac:dyDescent="0.3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101"/>
      <c r="O489" s="101"/>
      <c r="P489" s="102"/>
      <c r="Q489" s="102"/>
      <c r="R489" s="102"/>
      <c r="S489" s="5"/>
    </row>
    <row r="490" spans="1:19" ht="15.75" customHeight="1" x14ac:dyDescent="0.3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101"/>
      <c r="O490" s="101"/>
      <c r="P490" s="102"/>
      <c r="Q490" s="102"/>
      <c r="R490" s="102"/>
      <c r="S490" s="5"/>
    </row>
    <row r="491" spans="1:19" ht="15.75" customHeight="1" x14ac:dyDescent="0.3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101"/>
      <c r="O491" s="101"/>
      <c r="P491" s="102"/>
      <c r="Q491" s="102"/>
      <c r="R491" s="102"/>
      <c r="S491" s="5"/>
    </row>
    <row r="492" spans="1:19" ht="15.75" customHeight="1" x14ac:dyDescent="0.3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101"/>
      <c r="O492" s="101"/>
      <c r="P492" s="102"/>
      <c r="Q492" s="102"/>
      <c r="R492" s="102"/>
      <c r="S492" s="5"/>
    </row>
    <row r="493" spans="1:19" ht="15.75" customHeight="1" x14ac:dyDescent="0.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101"/>
      <c r="O493" s="101"/>
      <c r="P493" s="102"/>
      <c r="Q493" s="102"/>
      <c r="R493" s="102"/>
      <c r="S493" s="5"/>
    </row>
    <row r="494" spans="1:19" ht="15.75" customHeight="1" x14ac:dyDescent="0.3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101"/>
      <c r="O494" s="101"/>
      <c r="P494" s="102"/>
      <c r="Q494" s="102"/>
      <c r="R494" s="102"/>
      <c r="S494" s="5"/>
    </row>
    <row r="495" spans="1:19" ht="15.75" customHeight="1" x14ac:dyDescent="0.3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101"/>
      <c r="O495" s="101"/>
      <c r="P495" s="102"/>
      <c r="Q495" s="102"/>
      <c r="R495" s="102"/>
      <c r="S495" s="5"/>
    </row>
    <row r="496" spans="1:19" ht="15.75" customHeight="1" x14ac:dyDescent="0.3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101"/>
      <c r="O496" s="101"/>
      <c r="P496" s="102"/>
      <c r="Q496" s="102"/>
      <c r="R496" s="102"/>
      <c r="S496" s="5"/>
    </row>
    <row r="497" spans="1:19" ht="15.75" customHeight="1" x14ac:dyDescent="0.3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101"/>
      <c r="O497" s="101"/>
      <c r="P497" s="102"/>
      <c r="Q497" s="102"/>
      <c r="R497" s="102"/>
      <c r="S497" s="5"/>
    </row>
    <row r="498" spans="1:19" ht="15.75" customHeight="1" x14ac:dyDescent="0.3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101"/>
      <c r="O498" s="101"/>
      <c r="P498" s="102"/>
      <c r="Q498" s="102"/>
      <c r="R498" s="102"/>
      <c r="S498" s="5"/>
    </row>
    <row r="499" spans="1:19" ht="15.75" customHeight="1" x14ac:dyDescent="0.3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101"/>
      <c r="O499" s="101"/>
      <c r="P499" s="102"/>
      <c r="Q499" s="102"/>
      <c r="R499" s="102"/>
      <c r="S499" s="5"/>
    </row>
    <row r="500" spans="1:19" ht="15.75" customHeight="1" x14ac:dyDescent="0.3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101"/>
      <c r="O500" s="101"/>
      <c r="P500" s="102"/>
      <c r="Q500" s="102"/>
      <c r="R500" s="102"/>
      <c r="S500" s="5"/>
    </row>
    <row r="501" spans="1:19" ht="15.75" customHeight="1" x14ac:dyDescent="0.3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101"/>
      <c r="O501" s="101"/>
      <c r="P501" s="102"/>
      <c r="Q501" s="102"/>
      <c r="R501" s="102"/>
      <c r="S501" s="5"/>
    </row>
    <row r="502" spans="1:19" ht="15.75" customHeight="1" x14ac:dyDescent="0.3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101"/>
      <c r="O502" s="101"/>
      <c r="P502" s="102"/>
      <c r="Q502" s="102"/>
      <c r="R502" s="102"/>
      <c r="S502" s="5"/>
    </row>
    <row r="503" spans="1:19" ht="15.75" customHeight="1" x14ac:dyDescent="0.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101"/>
      <c r="O503" s="101"/>
      <c r="P503" s="102"/>
      <c r="Q503" s="102"/>
      <c r="R503" s="102"/>
      <c r="S503" s="5"/>
    </row>
    <row r="504" spans="1:19" ht="15.75" customHeight="1" x14ac:dyDescent="0.3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101"/>
      <c r="O504" s="101"/>
      <c r="P504" s="102"/>
      <c r="Q504" s="102"/>
      <c r="R504" s="102"/>
      <c r="S504" s="5"/>
    </row>
    <row r="505" spans="1:19" ht="15.75" customHeight="1" x14ac:dyDescent="0.3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101"/>
      <c r="O505" s="101"/>
      <c r="P505" s="102"/>
      <c r="Q505" s="102"/>
      <c r="R505" s="102"/>
      <c r="S505" s="5"/>
    </row>
    <row r="506" spans="1:19" ht="15.75" customHeight="1" x14ac:dyDescent="0.3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101"/>
      <c r="O506" s="101"/>
      <c r="P506" s="102"/>
      <c r="Q506" s="102"/>
      <c r="R506" s="102"/>
      <c r="S506" s="5"/>
    </row>
    <row r="507" spans="1:19" ht="15.75" customHeight="1" x14ac:dyDescent="0.3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101"/>
      <c r="O507" s="101"/>
      <c r="P507" s="102"/>
      <c r="Q507" s="102"/>
      <c r="R507" s="102"/>
      <c r="S507" s="5"/>
    </row>
    <row r="508" spans="1:19" ht="15.75" customHeight="1" x14ac:dyDescent="0.3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101"/>
      <c r="O508" s="101"/>
      <c r="P508" s="102"/>
      <c r="Q508" s="102"/>
      <c r="R508" s="102"/>
      <c r="S508" s="5"/>
    </row>
    <row r="509" spans="1:19" ht="15.75" customHeight="1" x14ac:dyDescent="0.3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101"/>
      <c r="O509" s="101"/>
      <c r="P509" s="102"/>
      <c r="Q509" s="102"/>
      <c r="R509" s="102"/>
      <c r="S509" s="5"/>
    </row>
    <row r="510" spans="1:19" ht="15.75" customHeight="1" x14ac:dyDescent="0.3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101"/>
      <c r="O510" s="101"/>
      <c r="P510" s="102"/>
      <c r="Q510" s="102"/>
      <c r="R510" s="102"/>
      <c r="S510" s="5"/>
    </row>
    <row r="511" spans="1:19" ht="15.75" customHeight="1" x14ac:dyDescent="0.3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101"/>
      <c r="O511" s="101"/>
      <c r="P511" s="102"/>
      <c r="Q511" s="102"/>
      <c r="R511" s="102"/>
      <c r="S511" s="5"/>
    </row>
    <row r="512" spans="1:19" ht="15.75" customHeight="1" x14ac:dyDescent="0.3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101"/>
      <c r="O512" s="101"/>
      <c r="P512" s="102"/>
      <c r="Q512" s="102"/>
      <c r="R512" s="102"/>
      <c r="S512" s="5"/>
    </row>
    <row r="513" spans="1:19" ht="15.75" customHeight="1" x14ac:dyDescent="0.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101"/>
      <c r="O513" s="101"/>
      <c r="P513" s="102"/>
      <c r="Q513" s="102"/>
      <c r="R513" s="102"/>
      <c r="S513" s="5"/>
    </row>
    <row r="514" spans="1:19" ht="15.75" customHeight="1" x14ac:dyDescent="0.3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101"/>
      <c r="O514" s="101"/>
      <c r="P514" s="102"/>
      <c r="Q514" s="102"/>
      <c r="R514" s="102"/>
      <c r="S514" s="5"/>
    </row>
    <row r="515" spans="1:19" ht="15.75" customHeight="1" x14ac:dyDescent="0.3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101"/>
      <c r="O515" s="101"/>
      <c r="P515" s="102"/>
      <c r="Q515" s="102"/>
      <c r="R515" s="102"/>
      <c r="S515" s="5"/>
    </row>
    <row r="516" spans="1:19" ht="15.75" customHeight="1" x14ac:dyDescent="0.3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101"/>
      <c r="O516" s="101"/>
      <c r="P516" s="102"/>
      <c r="Q516" s="102"/>
      <c r="R516" s="102"/>
      <c r="S516" s="5"/>
    </row>
    <row r="517" spans="1:19" ht="15.75" customHeight="1" x14ac:dyDescent="0.3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101"/>
      <c r="O517" s="101"/>
      <c r="P517" s="102"/>
      <c r="Q517" s="102"/>
      <c r="R517" s="102"/>
      <c r="S517" s="5"/>
    </row>
    <row r="518" spans="1:19" ht="15.75" customHeight="1" x14ac:dyDescent="0.3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101"/>
      <c r="O518" s="101"/>
      <c r="P518" s="102"/>
      <c r="Q518" s="102"/>
      <c r="R518" s="102"/>
      <c r="S518" s="5"/>
    </row>
    <row r="519" spans="1:19" ht="15.75" customHeight="1" x14ac:dyDescent="0.3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101"/>
      <c r="O519" s="101"/>
      <c r="P519" s="102"/>
      <c r="Q519" s="102"/>
      <c r="R519" s="102"/>
      <c r="S519" s="5"/>
    </row>
    <row r="520" spans="1:19" ht="15.75" customHeight="1" x14ac:dyDescent="0.3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101"/>
      <c r="O520" s="101"/>
      <c r="P520" s="102"/>
      <c r="Q520" s="102"/>
      <c r="R520" s="102"/>
      <c r="S520" s="5"/>
    </row>
    <row r="521" spans="1:19" ht="15.75" customHeight="1" x14ac:dyDescent="0.3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101"/>
      <c r="O521" s="101"/>
      <c r="P521" s="102"/>
      <c r="Q521" s="102"/>
      <c r="R521" s="102"/>
      <c r="S521" s="5"/>
    </row>
    <row r="522" spans="1:19" ht="15.75" customHeight="1" x14ac:dyDescent="0.3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101"/>
      <c r="O522" s="101"/>
      <c r="P522" s="102"/>
      <c r="Q522" s="102"/>
      <c r="R522" s="102"/>
      <c r="S522" s="5"/>
    </row>
    <row r="523" spans="1:19" ht="15.75" customHeight="1" x14ac:dyDescent="0.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101"/>
      <c r="O523" s="101"/>
      <c r="P523" s="102"/>
      <c r="Q523" s="102"/>
      <c r="R523" s="102"/>
      <c r="S523" s="5"/>
    </row>
    <row r="524" spans="1:19" ht="15.75" customHeight="1" x14ac:dyDescent="0.3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101"/>
      <c r="O524" s="101"/>
      <c r="P524" s="102"/>
      <c r="Q524" s="102"/>
      <c r="R524" s="102"/>
      <c r="S524" s="5"/>
    </row>
    <row r="525" spans="1:19" ht="15.75" customHeight="1" x14ac:dyDescent="0.3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101"/>
      <c r="O525" s="101"/>
      <c r="P525" s="102"/>
      <c r="Q525" s="102"/>
      <c r="R525" s="102"/>
      <c r="S525" s="5"/>
    </row>
    <row r="526" spans="1:19" ht="15.75" customHeight="1" x14ac:dyDescent="0.3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101"/>
      <c r="O526" s="101"/>
      <c r="P526" s="102"/>
      <c r="Q526" s="102"/>
      <c r="R526" s="102"/>
      <c r="S526" s="5"/>
    </row>
    <row r="527" spans="1:19" ht="15.75" customHeight="1" x14ac:dyDescent="0.3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101"/>
      <c r="O527" s="101"/>
      <c r="P527" s="102"/>
      <c r="Q527" s="102"/>
      <c r="R527" s="102"/>
      <c r="S527" s="5"/>
    </row>
    <row r="528" spans="1:19" ht="15.75" customHeight="1" x14ac:dyDescent="0.3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101"/>
      <c r="O528" s="101"/>
      <c r="P528" s="102"/>
      <c r="Q528" s="102"/>
      <c r="R528" s="102"/>
      <c r="S528" s="5"/>
    </row>
    <row r="529" spans="1:19" ht="15.75" customHeight="1" x14ac:dyDescent="0.3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101"/>
      <c r="O529" s="101"/>
      <c r="P529" s="102"/>
      <c r="Q529" s="102"/>
      <c r="R529" s="102"/>
      <c r="S529" s="5"/>
    </row>
    <row r="530" spans="1:19" ht="15.75" customHeight="1" x14ac:dyDescent="0.3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101"/>
      <c r="O530" s="101"/>
      <c r="P530" s="102"/>
      <c r="Q530" s="102"/>
      <c r="R530" s="102"/>
      <c r="S530" s="5"/>
    </row>
    <row r="531" spans="1:19" ht="15.75" customHeight="1" x14ac:dyDescent="0.3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101"/>
      <c r="O531" s="101"/>
      <c r="P531" s="102"/>
      <c r="Q531" s="102"/>
      <c r="R531" s="102"/>
      <c r="S531" s="5"/>
    </row>
    <row r="532" spans="1:19" ht="15.75" customHeight="1" x14ac:dyDescent="0.3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101"/>
      <c r="O532" s="101"/>
      <c r="P532" s="102"/>
      <c r="Q532" s="102"/>
      <c r="R532" s="102"/>
      <c r="S532" s="5"/>
    </row>
    <row r="533" spans="1:19" ht="15.75" customHeight="1" x14ac:dyDescent="0.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101"/>
      <c r="O533" s="101"/>
      <c r="P533" s="102"/>
      <c r="Q533" s="102"/>
      <c r="R533" s="102"/>
      <c r="S533" s="5"/>
    </row>
    <row r="534" spans="1:19" ht="15.75" customHeight="1" x14ac:dyDescent="0.3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101"/>
      <c r="O534" s="101"/>
      <c r="P534" s="102"/>
      <c r="Q534" s="102"/>
      <c r="R534" s="102"/>
      <c r="S534" s="5"/>
    </row>
    <row r="535" spans="1:19" ht="15.75" customHeight="1" x14ac:dyDescent="0.3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101"/>
      <c r="O535" s="101"/>
      <c r="P535" s="102"/>
      <c r="Q535" s="102"/>
      <c r="R535" s="102"/>
      <c r="S535" s="5"/>
    </row>
    <row r="536" spans="1:19" ht="15.75" customHeight="1" x14ac:dyDescent="0.3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101"/>
      <c r="O536" s="101"/>
      <c r="P536" s="102"/>
      <c r="Q536" s="102"/>
      <c r="R536" s="102"/>
      <c r="S536" s="5"/>
    </row>
    <row r="537" spans="1:19" ht="15.75" customHeight="1" x14ac:dyDescent="0.3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101"/>
      <c r="O537" s="101"/>
      <c r="P537" s="102"/>
      <c r="Q537" s="102"/>
      <c r="R537" s="102"/>
      <c r="S537" s="5"/>
    </row>
    <row r="538" spans="1:19" ht="15.75" customHeight="1" x14ac:dyDescent="0.3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101"/>
      <c r="O538" s="101"/>
      <c r="P538" s="102"/>
      <c r="Q538" s="102"/>
      <c r="R538" s="102"/>
      <c r="S538" s="5"/>
    </row>
    <row r="539" spans="1:19" ht="15.75" customHeight="1" x14ac:dyDescent="0.3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101"/>
      <c r="O539" s="101"/>
      <c r="P539" s="102"/>
      <c r="Q539" s="102"/>
      <c r="R539" s="102"/>
      <c r="S539" s="5"/>
    </row>
    <row r="540" spans="1:19" ht="15.75" customHeight="1" x14ac:dyDescent="0.3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101"/>
      <c r="O540" s="101"/>
      <c r="P540" s="102"/>
      <c r="Q540" s="102"/>
      <c r="R540" s="102"/>
      <c r="S540" s="5"/>
    </row>
    <row r="541" spans="1:19" ht="15.75" customHeight="1" x14ac:dyDescent="0.3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101"/>
      <c r="O541" s="101"/>
      <c r="P541" s="102"/>
      <c r="Q541" s="102"/>
      <c r="R541" s="102"/>
      <c r="S541" s="5"/>
    </row>
    <row r="542" spans="1:19" ht="15.75" customHeight="1" x14ac:dyDescent="0.3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101"/>
      <c r="O542" s="101"/>
      <c r="P542" s="102"/>
      <c r="Q542" s="102"/>
      <c r="R542" s="102"/>
      <c r="S542" s="5"/>
    </row>
    <row r="543" spans="1:19" ht="15.75" customHeight="1" x14ac:dyDescent="0.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101"/>
      <c r="O543" s="101"/>
      <c r="P543" s="102"/>
      <c r="Q543" s="102"/>
      <c r="R543" s="102"/>
      <c r="S543" s="5"/>
    </row>
    <row r="544" spans="1:19" ht="15.75" customHeight="1" x14ac:dyDescent="0.3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101"/>
      <c r="O544" s="101"/>
      <c r="P544" s="102"/>
      <c r="Q544" s="102"/>
      <c r="R544" s="102"/>
      <c r="S544" s="5"/>
    </row>
    <row r="545" spans="1:19" ht="15.75" customHeight="1" x14ac:dyDescent="0.3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101"/>
      <c r="O545" s="101"/>
      <c r="P545" s="102"/>
      <c r="Q545" s="102"/>
      <c r="R545" s="102"/>
      <c r="S545" s="5"/>
    </row>
    <row r="546" spans="1:19" ht="15.75" customHeight="1" x14ac:dyDescent="0.3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101"/>
      <c r="O546" s="101"/>
      <c r="P546" s="102"/>
      <c r="Q546" s="102"/>
      <c r="R546" s="102"/>
      <c r="S546" s="5"/>
    </row>
    <row r="547" spans="1:19" ht="15.75" customHeight="1" x14ac:dyDescent="0.3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101"/>
      <c r="O547" s="101"/>
      <c r="P547" s="102"/>
      <c r="Q547" s="102"/>
      <c r="R547" s="102"/>
      <c r="S547" s="5"/>
    </row>
    <row r="548" spans="1:19" ht="15.75" customHeight="1" x14ac:dyDescent="0.3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101"/>
      <c r="O548" s="101"/>
      <c r="P548" s="102"/>
      <c r="Q548" s="102"/>
      <c r="R548" s="102"/>
      <c r="S548" s="5"/>
    </row>
    <row r="549" spans="1:19" ht="15.75" customHeight="1" x14ac:dyDescent="0.3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101"/>
      <c r="O549" s="101"/>
      <c r="P549" s="102"/>
      <c r="Q549" s="102"/>
      <c r="R549" s="102"/>
      <c r="S549" s="5"/>
    </row>
    <row r="550" spans="1:19" ht="15.75" customHeight="1" x14ac:dyDescent="0.3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101"/>
      <c r="O550" s="101"/>
      <c r="P550" s="102"/>
      <c r="Q550" s="102"/>
      <c r="R550" s="102"/>
      <c r="S550" s="5"/>
    </row>
    <row r="551" spans="1:19" ht="15.75" customHeight="1" x14ac:dyDescent="0.3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101"/>
      <c r="O551" s="101"/>
      <c r="P551" s="102"/>
      <c r="Q551" s="102"/>
      <c r="R551" s="102"/>
      <c r="S551" s="5"/>
    </row>
    <row r="552" spans="1:19" ht="15.75" customHeight="1" x14ac:dyDescent="0.3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101"/>
      <c r="O552" s="101"/>
      <c r="P552" s="102"/>
      <c r="Q552" s="102"/>
      <c r="R552" s="102"/>
      <c r="S552" s="5"/>
    </row>
    <row r="553" spans="1:19" ht="15.75" customHeight="1" x14ac:dyDescent="0.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101"/>
      <c r="O553" s="101"/>
      <c r="P553" s="102"/>
      <c r="Q553" s="102"/>
      <c r="R553" s="102"/>
      <c r="S553" s="5"/>
    </row>
    <row r="554" spans="1:19" ht="15.75" customHeight="1" x14ac:dyDescent="0.3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101"/>
      <c r="O554" s="101"/>
      <c r="P554" s="102"/>
      <c r="Q554" s="102"/>
      <c r="R554" s="102"/>
      <c r="S554" s="5"/>
    </row>
    <row r="555" spans="1:19" ht="15.75" customHeight="1" x14ac:dyDescent="0.3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101"/>
      <c r="O555" s="101"/>
      <c r="P555" s="102"/>
      <c r="Q555" s="102"/>
      <c r="R555" s="102"/>
      <c r="S555" s="5"/>
    </row>
    <row r="556" spans="1:19" ht="15.75" customHeight="1" x14ac:dyDescent="0.3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101"/>
      <c r="O556" s="101"/>
      <c r="P556" s="102"/>
      <c r="Q556" s="102"/>
      <c r="R556" s="102"/>
      <c r="S556" s="5"/>
    </row>
    <row r="557" spans="1:19" ht="15.75" customHeight="1" x14ac:dyDescent="0.3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101"/>
      <c r="O557" s="101"/>
      <c r="P557" s="102"/>
      <c r="Q557" s="102"/>
      <c r="R557" s="102"/>
      <c r="S557" s="5"/>
    </row>
    <row r="558" spans="1:19" ht="15.75" customHeight="1" x14ac:dyDescent="0.3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101"/>
      <c r="O558" s="101"/>
      <c r="P558" s="102"/>
      <c r="Q558" s="102"/>
      <c r="R558" s="102"/>
      <c r="S558" s="5"/>
    </row>
    <row r="559" spans="1:19" ht="15.75" customHeight="1" x14ac:dyDescent="0.3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101"/>
      <c r="O559" s="101"/>
      <c r="P559" s="102"/>
      <c r="Q559" s="102"/>
      <c r="R559" s="102"/>
      <c r="S559" s="5"/>
    </row>
    <row r="560" spans="1:19" ht="15.75" customHeight="1" x14ac:dyDescent="0.3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101"/>
      <c r="O560" s="101"/>
      <c r="P560" s="102"/>
      <c r="Q560" s="102"/>
      <c r="R560" s="102"/>
      <c r="S560" s="5"/>
    </row>
    <row r="561" spans="1:19" ht="15.75" customHeight="1" x14ac:dyDescent="0.3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101"/>
      <c r="O561" s="101"/>
      <c r="P561" s="102"/>
      <c r="Q561" s="102"/>
      <c r="R561" s="102"/>
      <c r="S561" s="5"/>
    </row>
    <row r="562" spans="1:19" ht="15.75" customHeight="1" x14ac:dyDescent="0.3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101"/>
      <c r="O562" s="101"/>
      <c r="P562" s="102"/>
      <c r="Q562" s="102"/>
      <c r="R562" s="102"/>
      <c r="S562" s="5"/>
    </row>
    <row r="563" spans="1:19" ht="15.75" customHeight="1" x14ac:dyDescent="0.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101"/>
      <c r="O563" s="101"/>
      <c r="P563" s="102"/>
      <c r="Q563" s="102"/>
      <c r="R563" s="102"/>
      <c r="S563" s="5"/>
    </row>
    <row r="564" spans="1:19" ht="15.75" customHeight="1" x14ac:dyDescent="0.3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101"/>
      <c r="O564" s="101"/>
      <c r="P564" s="102"/>
      <c r="Q564" s="102"/>
      <c r="R564" s="102"/>
      <c r="S564" s="5"/>
    </row>
    <row r="565" spans="1:19" ht="15.75" customHeight="1" x14ac:dyDescent="0.3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101"/>
      <c r="O565" s="101"/>
      <c r="P565" s="102"/>
      <c r="Q565" s="102"/>
      <c r="R565" s="102"/>
      <c r="S565" s="5"/>
    </row>
    <row r="566" spans="1:19" ht="15.75" customHeight="1" x14ac:dyDescent="0.3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101"/>
      <c r="O566" s="101"/>
      <c r="P566" s="102"/>
      <c r="Q566" s="102"/>
      <c r="R566" s="102"/>
      <c r="S566" s="5"/>
    </row>
    <row r="567" spans="1:19" ht="15.75" customHeight="1" x14ac:dyDescent="0.3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101"/>
      <c r="O567" s="101"/>
      <c r="P567" s="102"/>
      <c r="Q567" s="102"/>
      <c r="R567" s="102"/>
      <c r="S567" s="5"/>
    </row>
    <row r="568" spans="1:19" ht="15.75" customHeight="1" x14ac:dyDescent="0.3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101"/>
      <c r="O568" s="101"/>
      <c r="P568" s="102"/>
      <c r="Q568" s="102"/>
      <c r="R568" s="102"/>
      <c r="S568" s="5"/>
    </row>
    <row r="569" spans="1:19" ht="15.75" customHeight="1" x14ac:dyDescent="0.3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101"/>
      <c r="O569" s="101"/>
      <c r="P569" s="102"/>
      <c r="Q569" s="102"/>
      <c r="R569" s="102"/>
      <c r="S569" s="5"/>
    </row>
    <row r="570" spans="1:19" ht="15.75" customHeight="1" x14ac:dyDescent="0.3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101"/>
      <c r="O570" s="101"/>
      <c r="P570" s="102"/>
      <c r="Q570" s="102"/>
      <c r="R570" s="102"/>
      <c r="S570" s="5"/>
    </row>
    <row r="571" spans="1:19" ht="15.75" customHeight="1" x14ac:dyDescent="0.3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101"/>
      <c r="O571" s="101"/>
      <c r="P571" s="102"/>
      <c r="Q571" s="102"/>
      <c r="R571" s="102"/>
      <c r="S571" s="5"/>
    </row>
    <row r="572" spans="1:19" ht="15.75" customHeight="1" x14ac:dyDescent="0.3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101"/>
      <c r="O572" s="101"/>
      <c r="P572" s="102"/>
      <c r="Q572" s="102"/>
      <c r="R572" s="102"/>
      <c r="S572" s="5"/>
    </row>
    <row r="573" spans="1:19" ht="15.75" customHeight="1" x14ac:dyDescent="0.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101"/>
      <c r="O573" s="101"/>
      <c r="P573" s="102"/>
      <c r="Q573" s="102"/>
      <c r="R573" s="102"/>
      <c r="S573" s="5"/>
    </row>
    <row r="574" spans="1:19" ht="15.75" customHeight="1" x14ac:dyDescent="0.3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101"/>
      <c r="O574" s="101"/>
      <c r="P574" s="102"/>
      <c r="Q574" s="102"/>
      <c r="R574" s="102"/>
      <c r="S574" s="5"/>
    </row>
    <row r="575" spans="1:19" ht="15.75" customHeight="1" x14ac:dyDescent="0.3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101"/>
      <c r="O575" s="101"/>
      <c r="P575" s="102"/>
      <c r="Q575" s="102"/>
      <c r="R575" s="102"/>
      <c r="S575" s="5"/>
    </row>
    <row r="576" spans="1:19" ht="15.75" customHeight="1" x14ac:dyDescent="0.3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101"/>
      <c r="O576" s="101"/>
      <c r="P576" s="102"/>
      <c r="Q576" s="102"/>
      <c r="R576" s="102"/>
      <c r="S576" s="5"/>
    </row>
    <row r="577" spans="1:19" ht="15.75" customHeight="1" x14ac:dyDescent="0.3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101"/>
      <c r="O577" s="101"/>
      <c r="P577" s="102"/>
      <c r="Q577" s="102"/>
      <c r="R577" s="102"/>
      <c r="S577" s="5"/>
    </row>
    <row r="578" spans="1:19" ht="15.75" customHeight="1" x14ac:dyDescent="0.3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101"/>
      <c r="O578" s="101"/>
      <c r="P578" s="102"/>
      <c r="Q578" s="102"/>
      <c r="R578" s="102"/>
      <c r="S578" s="5"/>
    </row>
    <row r="579" spans="1:19" ht="15.75" customHeight="1" x14ac:dyDescent="0.3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101"/>
      <c r="O579" s="101"/>
      <c r="P579" s="102"/>
      <c r="Q579" s="102"/>
      <c r="R579" s="102"/>
      <c r="S579" s="5"/>
    </row>
    <row r="580" spans="1:19" ht="15.75" customHeight="1" x14ac:dyDescent="0.3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101"/>
      <c r="O580" s="101"/>
      <c r="P580" s="102"/>
      <c r="Q580" s="102"/>
      <c r="R580" s="102"/>
      <c r="S580" s="5"/>
    </row>
    <row r="581" spans="1:19" ht="15.75" customHeight="1" x14ac:dyDescent="0.3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101"/>
      <c r="O581" s="101"/>
      <c r="P581" s="102"/>
      <c r="Q581" s="102"/>
      <c r="R581" s="102"/>
      <c r="S581" s="5"/>
    </row>
    <row r="582" spans="1:19" ht="15.75" customHeight="1" x14ac:dyDescent="0.3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101"/>
      <c r="O582" s="101"/>
      <c r="P582" s="102"/>
      <c r="Q582" s="102"/>
      <c r="R582" s="102"/>
      <c r="S582" s="5"/>
    </row>
    <row r="583" spans="1:19" ht="15.75" customHeight="1" x14ac:dyDescent="0.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101"/>
      <c r="O583" s="101"/>
      <c r="P583" s="102"/>
      <c r="Q583" s="102"/>
      <c r="R583" s="102"/>
      <c r="S583" s="5"/>
    </row>
    <row r="584" spans="1:19" ht="15.75" customHeight="1" x14ac:dyDescent="0.3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101"/>
      <c r="O584" s="101"/>
      <c r="P584" s="102"/>
      <c r="Q584" s="102"/>
      <c r="R584" s="102"/>
      <c r="S584" s="5"/>
    </row>
    <row r="585" spans="1:19" ht="15.75" customHeight="1" x14ac:dyDescent="0.3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101"/>
      <c r="O585" s="101"/>
      <c r="P585" s="102"/>
      <c r="Q585" s="102"/>
      <c r="R585" s="102"/>
      <c r="S585" s="5"/>
    </row>
    <row r="586" spans="1:19" ht="15.75" customHeight="1" x14ac:dyDescent="0.3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101"/>
      <c r="O586" s="101"/>
      <c r="P586" s="102"/>
      <c r="Q586" s="102"/>
      <c r="R586" s="102"/>
      <c r="S586" s="5"/>
    </row>
    <row r="587" spans="1:19" ht="15.75" customHeight="1" x14ac:dyDescent="0.3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101"/>
      <c r="O587" s="101"/>
      <c r="P587" s="102"/>
      <c r="Q587" s="102"/>
      <c r="R587" s="102"/>
      <c r="S587" s="5"/>
    </row>
    <row r="588" spans="1:19" ht="15.75" customHeight="1" x14ac:dyDescent="0.3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101"/>
      <c r="O588" s="101"/>
      <c r="P588" s="102"/>
      <c r="Q588" s="102"/>
      <c r="R588" s="102"/>
      <c r="S588" s="5"/>
    </row>
    <row r="589" spans="1:19" ht="15.75" customHeight="1" x14ac:dyDescent="0.3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101"/>
      <c r="O589" s="101"/>
      <c r="P589" s="102"/>
      <c r="Q589" s="102"/>
      <c r="R589" s="102"/>
      <c r="S589" s="5"/>
    </row>
    <row r="590" spans="1:19" ht="15.75" customHeight="1" x14ac:dyDescent="0.3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101"/>
      <c r="O590" s="101"/>
      <c r="P590" s="102"/>
      <c r="Q590" s="102"/>
      <c r="R590" s="102"/>
      <c r="S590" s="5"/>
    </row>
    <row r="591" spans="1:19" ht="15.75" customHeight="1" x14ac:dyDescent="0.3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101"/>
      <c r="O591" s="101"/>
      <c r="P591" s="102"/>
      <c r="Q591" s="102"/>
      <c r="R591" s="102"/>
      <c r="S591" s="5"/>
    </row>
    <row r="592" spans="1:19" ht="15.75" customHeight="1" x14ac:dyDescent="0.3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101"/>
      <c r="O592" s="101"/>
      <c r="P592" s="102"/>
      <c r="Q592" s="102"/>
      <c r="R592" s="102"/>
      <c r="S592" s="5"/>
    </row>
    <row r="593" spans="1:19" ht="15.75" customHeight="1" x14ac:dyDescent="0.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101"/>
      <c r="O593" s="101"/>
      <c r="P593" s="102"/>
      <c r="Q593" s="102"/>
      <c r="R593" s="102"/>
      <c r="S593" s="5"/>
    </row>
    <row r="594" spans="1:19" ht="15.75" customHeight="1" x14ac:dyDescent="0.3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101"/>
      <c r="O594" s="101"/>
      <c r="P594" s="102"/>
      <c r="Q594" s="102"/>
      <c r="R594" s="102"/>
      <c r="S594" s="5"/>
    </row>
    <row r="595" spans="1:19" ht="15.75" customHeight="1" x14ac:dyDescent="0.3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101"/>
      <c r="O595" s="101"/>
      <c r="P595" s="102"/>
      <c r="Q595" s="102"/>
      <c r="R595" s="102"/>
      <c r="S595" s="5"/>
    </row>
    <row r="596" spans="1:19" ht="15.75" customHeight="1" x14ac:dyDescent="0.3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101"/>
      <c r="O596" s="101"/>
      <c r="P596" s="102"/>
      <c r="Q596" s="102"/>
      <c r="R596" s="102"/>
      <c r="S596" s="5"/>
    </row>
    <row r="597" spans="1:19" ht="15.75" customHeight="1" x14ac:dyDescent="0.3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101"/>
      <c r="O597" s="101"/>
      <c r="P597" s="102"/>
      <c r="Q597" s="102"/>
      <c r="R597" s="102"/>
      <c r="S597" s="5"/>
    </row>
    <row r="598" spans="1:19" ht="15.75" customHeight="1" x14ac:dyDescent="0.3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101"/>
      <c r="O598" s="101"/>
      <c r="P598" s="102"/>
      <c r="Q598" s="102"/>
      <c r="R598" s="102"/>
      <c r="S598" s="5"/>
    </row>
    <row r="599" spans="1:19" ht="15.75" customHeight="1" x14ac:dyDescent="0.3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101"/>
      <c r="O599" s="101"/>
      <c r="P599" s="102"/>
      <c r="Q599" s="102"/>
      <c r="R599" s="102"/>
      <c r="S599" s="5"/>
    </row>
    <row r="600" spans="1:19" ht="15.75" customHeight="1" x14ac:dyDescent="0.3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101"/>
      <c r="O600" s="101"/>
      <c r="P600" s="102"/>
      <c r="Q600" s="102"/>
      <c r="R600" s="102"/>
      <c r="S600" s="5"/>
    </row>
    <row r="601" spans="1:19" ht="15.75" customHeight="1" x14ac:dyDescent="0.3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101"/>
      <c r="O601" s="101"/>
      <c r="P601" s="102"/>
      <c r="Q601" s="102"/>
      <c r="R601" s="102"/>
      <c r="S601" s="5"/>
    </row>
    <row r="602" spans="1:19" ht="15.75" customHeight="1" x14ac:dyDescent="0.3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101"/>
      <c r="O602" s="101"/>
      <c r="P602" s="102"/>
      <c r="Q602" s="102"/>
      <c r="R602" s="102"/>
      <c r="S602" s="5"/>
    </row>
    <row r="603" spans="1:19" ht="15.75" customHeight="1" x14ac:dyDescent="0.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101"/>
      <c r="O603" s="101"/>
      <c r="P603" s="102"/>
      <c r="Q603" s="102"/>
      <c r="R603" s="102"/>
      <c r="S603" s="5"/>
    </row>
    <row r="604" spans="1:19" ht="15.75" customHeight="1" x14ac:dyDescent="0.3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101"/>
      <c r="O604" s="101"/>
      <c r="P604" s="102"/>
      <c r="Q604" s="102"/>
      <c r="R604" s="102"/>
      <c r="S604" s="5"/>
    </row>
    <row r="605" spans="1:19" ht="15.75" customHeight="1" x14ac:dyDescent="0.3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101"/>
      <c r="O605" s="101"/>
      <c r="P605" s="102"/>
      <c r="Q605" s="102"/>
      <c r="R605" s="102"/>
      <c r="S605" s="5"/>
    </row>
    <row r="606" spans="1:19" ht="15.75" customHeight="1" x14ac:dyDescent="0.3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101"/>
      <c r="O606" s="101"/>
      <c r="P606" s="102"/>
      <c r="Q606" s="102"/>
      <c r="R606" s="102"/>
      <c r="S606" s="5"/>
    </row>
    <row r="607" spans="1:19" ht="15.75" customHeight="1" x14ac:dyDescent="0.3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101"/>
      <c r="O607" s="101"/>
      <c r="P607" s="102"/>
      <c r="Q607" s="102"/>
      <c r="R607" s="102"/>
      <c r="S607" s="5"/>
    </row>
    <row r="608" spans="1:19" ht="15.75" customHeight="1" x14ac:dyDescent="0.3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101"/>
      <c r="O608" s="101"/>
      <c r="P608" s="102"/>
      <c r="Q608" s="102"/>
      <c r="R608" s="102"/>
      <c r="S608" s="5"/>
    </row>
    <row r="609" spans="1:19" ht="15.75" customHeight="1" x14ac:dyDescent="0.3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101"/>
      <c r="O609" s="101"/>
      <c r="P609" s="102"/>
      <c r="Q609" s="102"/>
      <c r="R609" s="102"/>
      <c r="S609" s="5"/>
    </row>
    <row r="610" spans="1:19" ht="15.75" customHeight="1" x14ac:dyDescent="0.3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101"/>
      <c r="O610" s="101"/>
      <c r="P610" s="102"/>
      <c r="Q610" s="102"/>
      <c r="R610" s="102"/>
      <c r="S610" s="5"/>
    </row>
    <row r="611" spans="1:19" ht="15.75" customHeight="1" x14ac:dyDescent="0.3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101"/>
      <c r="O611" s="101"/>
      <c r="P611" s="102"/>
      <c r="Q611" s="102"/>
      <c r="R611" s="102"/>
      <c r="S611" s="5"/>
    </row>
    <row r="612" spans="1:19" ht="15.75" customHeight="1" x14ac:dyDescent="0.3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101"/>
      <c r="O612" s="101"/>
      <c r="P612" s="102"/>
      <c r="Q612" s="102"/>
      <c r="R612" s="102"/>
      <c r="S612" s="5"/>
    </row>
    <row r="613" spans="1:19" ht="15.75" customHeight="1" x14ac:dyDescent="0.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101"/>
      <c r="O613" s="101"/>
      <c r="P613" s="102"/>
      <c r="Q613" s="102"/>
      <c r="R613" s="102"/>
      <c r="S613" s="5"/>
    </row>
    <row r="614" spans="1:19" ht="15.75" customHeight="1" x14ac:dyDescent="0.3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101"/>
      <c r="O614" s="101"/>
      <c r="P614" s="102"/>
      <c r="Q614" s="102"/>
      <c r="R614" s="102"/>
      <c r="S614" s="5"/>
    </row>
    <row r="615" spans="1:19" ht="15.75" customHeight="1" x14ac:dyDescent="0.3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101"/>
      <c r="O615" s="101"/>
      <c r="P615" s="102"/>
      <c r="Q615" s="102"/>
      <c r="R615" s="102"/>
      <c r="S615" s="5"/>
    </row>
    <row r="616" spans="1:19" ht="15.75" customHeight="1" x14ac:dyDescent="0.3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101"/>
      <c r="O616" s="101"/>
      <c r="P616" s="102"/>
      <c r="Q616" s="102"/>
      <c r="R616" s="102"/>
      <c r="S616" s="5"/>
    </row>
    <row r="617" spans="1:19" ht="15.75" customHeight="1" x14ac:dyDescent="0.3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101"/>
      <c r="O617" s="101"/>
      <c r="P617" s="102"/>
      <c r="Q617" s="102"/>
      <c r="R617" s="102"/>
      <c r="S617" s="5"/>
    </row>
    <row r="618" spans="1:19" ht="15.75" customHeight="1" x14ac:dyDescent="0.3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101"/>
      <c r="O618" s="101"/>
      <c r="P618" s="102"/>
      <c r="Q618" s="102"/>
      <c r="R618" s="102"/>
      <c r="S618" s="5"/>
    </row>
    <row r="619" spans="1:19" ht="15.75" customHeight="1" x14ac:dyDescent="0.3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101"/>
      <c r="O619" s="101"/>
      <c r="P619" s="102"/>
      <c r="Q619" s="102"/>
      <c r="R619" s="102"/>
      <c r="S619" s="5"/>
    </row>
    <row r="620" spans="1:19" ht="15.75" customHeight="1" x14ac:dyDescent="0.3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101"/>
      <c r="O620" s="101"/>
      <c r="P620" s="102"/>
      <c r="Q620" s="102"/>
      <c r="R620" s="102"/>
      <c r="S620" s="5"/>
    </row>
    <row r="621" spans="1:19" ht="15.75" customHeight="1" x14ac:dyDescent="0.3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101"/>
      <c r="O621" s="101"/>
      <c r="P621" s="102"/>
      <c r="Q621" s="102"/>
      <c r="R621" s="102"/>
      <c r="S621" s="5"/>
    </row>
    <row r="622" spans="1:19" ht="15.75" customHeight="1" x14ac:dyDescent="0.3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101"/>
      <c r="O622" s="101"/>
      <c r="P622" s="102"/>
      <c r="Q622" s="102"/>
      <c r="R622" s="102"/>
      <c r="S622" s="5"/>
    </row>
    <row r="623" spans="1:19" ht="15.75" customHeight="1" x14ac:dyDescent="0.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101"/>
      <c r="O623" s="101"/>
      <c r="P623" s="102"/>
      <c r="Q623" s="102"/>
      <c r="R623" s="102"/>
      <c r="S623" s="5"/>
    </row>
    <row r="624" spans="1:19" ht="15.75" customHeight="1" x14ac:dyDescent="0.3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101"/>
      <c r="O624" s="101"/>
      <c r="P624" s="102"/>
      <c r="Q624" s="102"/>
      <c r="R624" s="102"/>
      <c r="S624" s="5"/>
    </row>
    <row r="625" spans="1:19" ht="15.75" customHeight="1" x14ac:dyDescent="0.3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101"/>
      <c r="O625" s="101"/>
      <c r="P625" s="102"/>
      <c r="Q625" s="102"/>
      <c r="R625" s="102"/>
      <c r="S625" s="5"/>
    </row>
    <row r="626" spans="1:19" ht="15.75" customHeight="1" x14ac:dyDescent="0.3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101"/>
      <c r="O626" s="101"/>
      <c r="P626" s="102"/>
      <c r="Q626" s="102"/>
      <c r="R626" s="102"/>
      <c r="S626" s="5"/>
    </row>
    <row r="627" spans="1:19" ht="15.75" customHeight="1" x14ac:dyDescent="0.3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101"/>
      <c r="O627" s="101"/>
      <c r="P627" s="102"/>
      <c r="Q627" s="102"/>
      <c r="R627" s="102"/>
      <c r="S627" s="5"/>
    </row>
    <row r="628" spans="1:19" ht="15.75" customHeight="1" x14ac:dyDescent="0.3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101"/>
      <c r="O628" s="101"/>
      <c r="P628" s="102"/>
      <c r="Q628" s="102"/>
      <c r="R628" s="102"/>
      <c r="S628" s="5"/>
    </row>
    <row r="629" spans="1:19" ht="15.75" customHeight="1" x14ac:dyDescent="0.3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101"/>
      <c r="O629" s="101"/>
      <c r="P629" s="102"/>
      <c r="Q629" s="102"/>
      <c r="R629" s="102"/>
      <c r="S629" s="5"/>
    </row>
    <row r="630" spans="1:19" ht="15.75" customHeight="1" x14ac:dyDescent="0.3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101"/>
      <c r="O630" s="101"/>
      <c r="P630" s="102"/>
      <c r="Q630" s="102"/>
      <c r="R630" s="102"/>
      <c r="S630" s="5"/>
    </row>
    <row r="631" spans="1:19" ht="15.75" customHeight="1" x14ac:dyDescent="0.3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101"/>
      <c r="O631" s="101"/>
      <c r="P631" s="102"/>
      <c r="Q631" s="102"/>
      <c r="R631" s="102"/>
      <c r="S631" s="5"/>
    </row>
    <row r="632" spans="1:19" ht="15.75" customHeight="1" x14ac:dyDescent="0.3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101"/>
      <c r="O632" s="101"/>
      <c r="P632" s="102"/>
      <c r="Q632" s="102"/>
      <c r="R632" s="102"/>
      <c r="S632" s="5"/>
    </row>
    <row r="633" spans="1:19" ht="15.75" customHeight="1" x14ac:dyDescent="0.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101"/>
      <c r="O633" s="101"/>
      <c r="P633" s="102"/>
      <c r="Q633" s="102"/>
      <c r="R633" s="102"/>
      <c r="S633" s="5"/>
    </row>
    <row r="634" spans="1:19" ht="15.75" customHeight="1" x14ac:dyDescent="0.3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101"/>
      <c r="O634" s="101"/>
      <c r="P634" s="102"/>
      <c r="Q634" s="102"/>
      <c r="R634" s="102"/>
      <c r="S634" s="5"/>
    </row>
    <row r="635" spans="1:19" ht="15.75" customHeight="1" x14ac:dyDescent="0.3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101"/>
      <c r="O635" s="101"/>
      <c r="P635" s="102"/>
      <c r="Q635" s="102"/>
      <c r="R635" s="102"/>
      <c r="S635" s="5"/>
    </row>
    <row r="636" spans="1:19" ht="15.75" customHeight="1" x14ac:dyDescent="0.3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101"/>
      <c r="O636" s="101"/>
      <c r="P636" s="102"/>
      <c r="Q636" s="102"/>
      <c r="R636" s="102"/>
      <c r="S636" s="5"/>
    </row>
    <row r="637" spans="1:19" ht="15.75" customHeight="1" x14ac:dyDescent="0.3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101"/>
      <c r="O637" s="101"/>
      <c r="P637" s="102"/>
      <c r="Q637" s="102"/>
      <c r="R637" s="102"/>
      <c r="S637" s="5"/>
    </row>
    <row r="638" spans="1:19" ht="15.75" customHeight="1" x14ac:dyDescent="0.3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101"/>
      <c r="O638" s="101"/>
      <c r="P638" s="102"/>
      <c r="Q638" s="102"/>
      <c r="R638" s="102"/>
      <c r="S638" s="5"/>
    </row>
    <row r="639" spans="1:19" ht="15.75" customHeight="1" x14ac:dyDescent="0.3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101"/>
      <c r="O639" s="101"/>
      <c r="P639" s="102"/>
      <c r="Q639" s="102"/>
      <c r="R639" s="102"/>
      <c r="S639" s="5"/>
    </row>
    <row r="640" spans="1:19" ht="15.75" customHeight="1" x14ac:dyDescent="0.3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101"/>
      <c r="O640" s="101"/>
      <c r="P640" s="102"/>
      <c r="Q640" s="102"/>
      <c r="R640" s="102"/>
      <c r="S640" s="5"/>
    </row>
    <row r="641" spans="1:19" ht="15.75" customHeight="1" x14ac:dyDescent="0.3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101"/>
      <c r="O641" s="101"/>
      <c r="P641" s="102"/>
      <c r="Q641" s="102"/>
      <c r="R641" s="102"/>
      <c r="S641" s="5"/>
    </row>
    <row r="642" spans="1:19" ht="15.75" customHeight="1" x14ac:dyDescent="0.3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101"/>
      <c r="O642" s="101"/>
      <c r="P642" s="102"/>
      <c r="Q642" s="102"/>
      <c r="R642" s="102"/>
      <c r="S642" s="5"/>
    </row>
    <row r="643" spans="1:19" ht="15.75" customHeight="1" x14ac:dyDescent="0.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101"/>
      <c r="O643" s="101"/>
      <c r="P643" s="102"/>
      <c r="Q643" s="102"/>
      <c r="R643" s="102"/>
      <c r="S643" s="5"/>
    </row>
    <row r="644" spans="1:19" ht="15.75" customHeight="1" x14ac:dyDescent="0.3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101"/>
      <c r="O644" s="101"/>
      <c r="P644" s="102"/>
      <c r="Q644" s="102"/>
      <c r="R644" s="102"/>
      <c r="S644" s="5"/>
    </row>
    <row r="645" spans="1:19" ht="15.75" customHeight="1" x14ac:dyDescent="0.3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101"/>
      <c r="O645" s="101"/>
      <c r="P645" s="102"/>
      <c r="Q645" s="102"/>
      <c r="R645" s="102"/>
      <c r="S645" s="5"/>
    </row>
    <row r="646" spans="1:19" ht="15.75" customHeight="1" x14ac:dyDescent="0.3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101"/>
      <c r="O646" s="101"/>
      <c r="P646" s="102"/>
      <c r="Q646" s="102"/>
      <c r="R646" s="102"/>
      <c r="S646" s="5"/>
    </row>
    <row r="647" spans="1:19" ht="15.75" customHeight="1" x14ac:dyDescent="0.3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101"/>
      <c r="O647" s="101"/>
      <c r="P647" s="102"/>
      <c r="Q647" s="102"/>
      <c r="R647" s="102"/>
      <c r="S647" s="5"/>
    </row>
    <row r="648" spans="1:19" ht="15.75" customHeight="1" x14ac:dyDescent="0.3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101"/>
      <c r="O648" s="101"/>
      <c r="P648" s="102"/>
      <c r="Q648" s="102"/>
      <c r="R648" s="102"/>
      <c r="S648" s="5"/>
    </row>
    <row r="649" spans="1:19" ht="15.75" customHeight="1" x14ac:dyDescent="0.3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101"/>
      <c r="O649" s="101"/>
      <c r="P649" s="102"/>
      <c r="Q649" s="102"/>
      <c r="R649" s="102"/>
      <c r="S649" s="5"/>
    </row>
    <row r="650" spans="1:19" ht="15.75" customHeight="1" x14ac:dyDescent="0.3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101"/>
      <c r="O650" s="101"/>
      <c r="P650" s="102"/>
      <c r="Q650" s="102"/>
      <c r="R650" s="102"/>
      <c r="S650" s="5"/>
    </row>
    <row r="651" spans="1:19" ht="15.75" customHeight="1" x14ac:dyDescent="0.3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101"/>
      <c r="O651" s="101"/>
      <c r="P651" s="102"/>
      <c r="Q651" s="102"/>
      <c r="R651" s="102"/>
      <c r="S651" s="5"/>
    </row>
    <row r="652" spans="1:19" ht="15.75" customHeight="1" x14ac:dyDescent="0.3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101"/>
      <c r="O652" s="101"/>
      <c r="P652" s="102"/>
      <c r="Q652" s="102"/>
      <c r="R652" s="102"/>
      <c r="S652" s="5"/>
    </row>
    <row r="653" spans="1:19" ht="15.75" customHeight="1" x14ac:dyDescent="0.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101"/>
      <c r="O653" s="101"/>
      <c r="P653" s="102"/>
      <c r="Q653" s="102"/>
      <c r="R653" s="102"/>
      <c r="S653" s="5"/>
    </row>
    <row r="654" spans="1:19" ht="15.75" customHeight="1" x14ac:dyDescent="0.3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101"/>
      <c r="O654" s="101"/>
      <c r="P654" s="102"/>
      <c r="Q654" s="102"/>
      <c r="R654" s="102"/>
      <c r="S654" s="5"/>
    </row>
    <row r="655" spans="1:19" ht="15.75" customHeight="1" x14ac:dyDescent="0.3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101"/>
      <c r="O655" s="101"/>
      <c r="P655" s="102"/>
      <c r="Q655" s="102"/>
      <c r="R655" s="102"/>
      <c r="S655" s="5"/>
    </row>
    <row r="656" spans="1:19" ht="15.75" customHeight="1" x14ac:dyDescent="0.3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101"/>
      <c r="O656" s="101"/>
      <c r="P656" s="102"/>
      <c r="Q656" s="102"/>
      <c r="R656" s="102"/>
      <c r="S656" s="5"/>
    </row>
    <row r="657" spans="1:19" ht="15.75" customHeight="1" x14ac:dyDescent="0.3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101"/>
      <c r="O657" s="101"/>
      <c r="P657" s="102"/>
      <c r="Q657" s="102"/>
      <c r="R657" s="102"/>
      <c r="S657" s="5"/>
    </row>
    <row r="658" spans="1:19" ht="15.75" customHeight="1" x14ac:dyDescent="0.3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101"/>
      <c r="O658" s="101"/>
      <c r="P658" s="102"/>
      <c r="Q658" s="102"/>
      <c r="R658" s="102"/>
      <c r="S658" s="5"/>
    </row>
    <row r="659" spans="1:19" ht="15.75" customHeight="1" x14ac:dyDescent="0.3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101"/>
      <c r="O659" s="101"/>
      <c r="P659" s="102"/>
      <c r="Q659" s="102"/>
      <c r="R659" s="102"/>
      <c r="S659" s="5"/>
    </row>
    <row r="660" spans="1:19" ht="15.75" customHeight="1" x14ac:dyDescent="0.3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101"/>
      <c r="O660" s="101"/>
      <c r="P660" s="102"/>
      <c r="Q660" s="102"/>
      <c r="R660" s="102"/>
      <c r="S660" s="5"/>
    </row>
    <row r="661" spans="1:19" ht="15.75" customHeight="1" x14ac:dyDescent="0.3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101"/>
      <c r="O661" s="101"/>
      <c r="P661" s="102"/>
      <c r="Q661" s="102"/>
      <c r="R661" s="102"/>
      <c r="S661" s="5"/>
    </row>
    <row r="662" spans="1:19" ht="15.75" customHeight="1" x14ac:dyDescent="0.3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101"/>
      <c r="O662" s="101"/>
      <c r="P662" s="102"/>
      <c r="Q662" s="102"/>
      <c r="R662" s="102"/>
      <c r="S662" s="5"/>
    </row>
    <row r="663" spans="1:19" ht="15.75" customHeight="1" x14ac:dyDescent="0.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101"/>
      <c r="O663" s="101"/>
      <c r="P663" s="102"/>
      <c r="Q663" s="102"/>
      <c r="R663" s="102"/>
      <c r="S663" s="5"/>
    </row>
    <row r="664" spans="1:19" ht="15.75" customHeight="1" x14ac:dyDescent="0.3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101"/>
      <c r="O664" s="101"/>
      <c r="P664" s="102"/>
      <c r="Q664" s="102"/>
      <c r="R664" s="102"/>
      <c r="S664" s="5"/>
    </row>
    <row r="665" spans="1:19" ht="15.75" customHeight="1" x14ac:dyDescent="0.3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101"/>
      <c r="O665" s="101"/>
      <c r="P665" s="102"/>
      <c r="Q665" s="102"/>
      <c r="R665" s="102"/>
      <c r="S665" s="5"/>
    </row>
    <row r="666" spans="1:19" ht="15.75" customHeight="1" x14ac:dyDescent="0.3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101"/>
      <c r="O666" s="101"/>
      <c r="P666" s="102"/>
      <c r="Q666" s="102"/>
      <c r="R666" s="102"/>
      <c r="S666" s="5"/>
    </row>
    <row r="667" spans="1:19" ht="15.75" customHeight="1" x14ac:dyDescent="0.3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101"/>
      <c r="O667" s="101"/>
      <c r="P667" s="102"/>
      <c r="Q667" s="102"/>
      <c r="R667" s="102"/>
      <c r="S667" s="5"/>
    </row>
    <row r="668" spans="1:19" ht="15.75" customHeight="1" x14ac:dyDescent="0.3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101"/>
      <c r="O668" s="101"/>
      <c r="P668" s="102"/>
      <c r="Q668" s="102"/>
      <c r="R668" s="102"/>
      <c r="S668" s="5"/>
    </row>
    <row r="669" spans="1:19" ht="15.75" customHeight="1" x14ac:dyDescent="0.3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101"/>
      <c r="O669" s="101"/>
      <c r="P669" s="102"/>
      <c r="Q669" s="102"/>
      <c r="R669" s="102"/>
      <c r="S669" s="5"/>
    </row>
    <row r="670" spans="1:19" ht="15.75" customHeight="1" x14ac:dyDescent="0.3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101"/>
      <c r="O670" s="101"/>
      <c r="P670" s="102"/>
      <c r="Q670" s="102"/>
      <c r="R670" s="102"/>
      <c r="S670" s="5"/>
    </row>
    <row r="671" spans="1:19" ht="15.75" customHeight="1" x14ac:dyDescent="0.3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101"/>
      <c r="O671" s="101"/>
      <c r="P671" s="102"/>
      <c r="Q671" s="102"/>
      <c r="R671" s="102"/>
      <c r="S671" s="5"/>
    </row>
    <row r="672" spans="1:19" ht="15.75" customHeight="1" x14ac:dyDescent="0.3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101"/>
      <c r="O672" s="101"/>
      <c r="P672" s="102"/>
      <c r="Q672" s="102"/>
      <c r="R672" s="102"/>
      <c r="S672" s="5"/>
    </row>
    <row r="673" spans="1:19" ht="15.75" customHeight="1" x14ac:dyDescent="0.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101"/>
      <c r="O673" s="101"/>
      <c r="P673" s="102"/>
      <c r="Q673" s="102"/>
      <c r="R673" s="102"/>
      <c r="S673" s="5"/>
    </row>
    <row r="674" spans="1:19" ht="15.75" customHeight="1" x14ac:dyDescent="0.3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101"/>
      <c r="O674" s="101"/>
      <c r="P674" s="102"/>
      <c r="Q674" s="102"/>
      <c r="R674" s="102"/>
      <c r="S674" s="5"/>
    </row>
    <row r="675" spans="1:19" ht="15.75" customHeight="1" x14ac:dyDescent="0.3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101"/>
      <c r="O675" s="101"/>
      <c r="P675" s="102"/>
      <c r="Q675" s="102"/>
      <c r="R675" s="102"/>
      <c r="S675" s="5"/>
    </row>
    <row r="676" spans="1:19" ht="15.75" customHeight="1" x14ac:dyDescent="0.3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101"/>
      <c r="O676" s="101"/>
      <c r="P676" s="102"/>
      <c r="Q676" s="102"/>
      <c r="R676" s="102"/>
      <c r="S676" s="5"/>
    </row>
    <row r="677" spans="1:19" ht="15.75" customHeight="1" x14ac:dyDescent="0.3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101"/>
      <c r="O677" s="101"/>
      <c r="P677" s="102"/>
      <c r="Q677" s="102"/>
      <c r="R677" s="102"/>
      <c r="S677" s="5"/>
    </row>
    <row r="678" spans="1:19" ht="15.75" customHeight="1" x14ac:dyDescent="0.3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101"/>
      <c r="O678" s="101"/>
      <c r="P678" s="102"/>
      <c r="Q678" s="102"/>
      <c r="R678" s="102"/>
      <c r="S678" s="5"/>
    </row>
    <row r="679" spans="1:19" ht="15.75" customHeight="1" x14ac:dyDescent="0.3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101"/>
      <c r="O679" s="101"/>
      <c r="P679" s="102"/>
      <c r="Q679" s="102"/>
      <c r="R679" s="102"/>
      <c r="S679" s="5"/>
    </row>
    <row r="680" spans="1:19" ht="15.75" customHeight="1" x14ac:dyDescent="0.3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101"/>
      <c r="O680" s="101"/>
      <c r="P680" s="102"/>
      <c r="Q680" s="102"/>
      <c r="R680" s="102"/>
      <c r="S680" s="5"/>
    </row>
    <row r="681" spans="1:19" ht="15.75" customHeight="1" x14ac:dyDescent="0.3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101"/>
      <c r="O681" s="101"/>
      <c r="P681" s="102"/>
      <c r="Q681" s="102"/>
      <c r="R681" s="102"/>
      <c r="S681" s="5"/>
    </row>
    <row r="682" spans="1:19" ht="15.75" customHeight="1" x14ac:dyDescent="0.3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101"/>
      <c r="O682" s="101"/>
      <c r="P682" s="102"/>
      <c r="Q682" s="102"/>
      <c r="R682" s="102"/>
      <c r="S682" s="5"/>
    </row>
    <row r="683" spans="1:19" ht="15.75" customHeight="1" x14ac:dyDescent="0.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101"/>
      <c r="O683" s="101"/>
      <c r="P683" s="102"/>
      <c r="Q683" s="102"/>
      <c r="R683" s="102"/>
      <c r="S683" s="5"/>
    </row>
    <row r="684" spans="1:19" ht="15.75" customHeight="1" x14ac:dyDescent="0.3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101"/>
      <c r="O684" s="101"/>
      <c r="P684" s="102"/>
      <c r="Q684" s="102"/>
      <c r="R684" s="102"/>
      <c r="S684" s="5"/>
    </row>
    <row r="685" spans="1:19" ht="15.75" customHeight="1" x14ac:dyDescent="0.3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101"/>
      <c r="O685" s="101"/>
      <c r="P685" s="102"/>
      <c r="Q685" s="102"/>
      <c r="R685" s="102"/>
      <c r="S685" s="5"/>
    </row>
    <row r="686" spans="1:19" ht="15.75" customHeight="1" x14ac:dyDescent="0.3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101"/>
      <c r="O686" s="101"/>
      <c r="P686" s="102"/>
      <c r="Q686" s="102"/>
      <c r="R686" s="102"/>
      <c r="S686" s="5"/>
    </row>
    <row r="687" spans="1:19" ht="15.75" customHeight="1" x14ac:dyDescent="0.3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101"/>
      <c r="O687" s="101"/>
      <c r="P687" s="102"/>
      <c r="Q687" s="102"/>
      <c r="R687" s="102"/>
      <c r="S687" s="5"/>
    </row>
    <row r="688" spans="1:19" ht="15.75" customHeight="1" x14ac:dyDescent="0.3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101"/>
      <c r="O688" s="101"/>
      <c r="P688" s="102"/>
      <c r="Q688" s="102"/>
      <c r="R688" s="102"/>
      <c r="S688" s="5"/>
    </row>
    <row r="689" spans="1:19" ht="15.75" customHeight="1" x14ac:dyDescent="0.3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101"/>
      <c r="O689" s="101"/>
      <c r="P689" s="102"/>
      <c r="Q689" s="102"/>
      <c r="R689" s="102"/>
      <c r="S689" s="5"/>
    </row>
    <row r="690" spans="1:19" ht="15.75" customHeight="1" x14ac:dyDescent="0.3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101"/>
      <c r="O690" s="101"/>
      <c r="P690" s="102"/>
      <c r="Q690" s="102"/>
      <c r="R690" s="102"/>
      <c r="S690" s="5"/>
    </row>
    <row r="691" spans="1:19" ht="15.75" customHeight="1" x14ac:dyDescent="0.3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101"/>
      <c r="O691" s="101"/>
      <c r="P691" s="102"/>
      <c r="Q691" s="102"/>
      <c r="R691" s="102"/>
      <c r="S691" s="5"/>
    </row>
    <row r="692" spans="1:19" ht="15.75" customHeight="1" x14ac:dyDescent="0.3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101"/>
      <c r="O692" s="101"/>
      <c r="P692" s="102"/>
      <c r="Q692" s="102"/>
      <c r="R692" s="102"/>
      <c r="S692" s="5"/>
    </row>
    <row r="693" spans="1:19" ht="15.75" customHeight="1" x14ac:dyDescent="0.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101"/>
      <c r="O693" s="101"/>
      <c r="P693" s="102"/>
      <c r="Q693" s="102"/>
      <c r="R693" s="102"/>
      <c r="S693" s="5"/>
    </row>
    <row r="694" spans="1:19" ht="15.75" customHeight="1" x14ac:dyDescent="0.3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101"/>
      <c r="O694" s="101"/>
      <c r="P694" s="102"/>
      <c r="Q694" s="102"/>
      <c r="R694" s="102"/>
      <c r="S694" s="5"/>
    </row>
    <row r="695" spans="1:19" ht="15.75" customHeight="1" x14ac:dyDescent="0.3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101"/>
      <c r="O695" s="101"/>
      <c r="P695" s="102"/>
      <c r="Q695" s="102"/>
      <c r="R695" s="102"/>
      <c r="S695" s="5"/>
    </row>
    <row r="696" spans="1:19" ht="15.75" customHeight="1" x14ac:dyDescent="0.3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101"/>
      <c r="O696" s="101"/>
      <c r="P696" s="102"/>
      <c r="Q696" s="102"/>
      <c r="R696" s="102"/>
      <c r="S696" s="5"/>
    </row>
    <row r="697" spans="1:19" ht="15.75" customHeight="1" x14ac:dyDescent="0.3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101"/>
      <c r="O697" s="101"/>
      <c r="P697" s="102"/>
      <c r="Q697" s="102"/>
      <c r="R697" s="102"/>
      <c r="S697" s="5"/>
    </row>
    <row r="698" spans="1:19" ht="15.75" customHeight="1" x14ac:dyDescent="0.3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101"/>
      <c r="O698" s="101"/>
      <c r="P698" s="102"/>
      <c r="Q698" s="102"/>
      <c r="R698" s="102"/>
      <c r="S698" s="5"/>
    </row>
    <row r="699" spans="1:19" ht="15.75" customHeight="1" x14ac:dyDescent="0.3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101"/>
      <c r="O699" s="101"/>
      <c r="P699" s="102"/>
      <c r="Q699" s="102"/>
      <c r="R699" s="102"/>
      <c r="S699" s="5"/>
    </row>
    <row r="700" spans="1:19" ht="15.75" customHeight="1" x14ac:dyDescent="0.3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101"/>
      <c r="O700" s="101"/>
      <c r="P700" s="102"/>
      <c r="Q700" s="102"/>
      <c r="R700" s="102"/>
      <c r="S700" s="5"/>
    </row>
    <row r="701" spans="1:19" ht="15.75" customHeight="1" x14ac:dyDescent="0.3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101"/>
      <c r="O701" s="101"/>
      <c r="P701" s="102"/>
      <c r="Q701" s="102"/>
      <c r="R701" s="102"/>
      <c r="S701" s="5"/>
    </row>
    <row r="702" spans="1:19" ht="15.75" customHeight="1" x14ac:dyDescent="0.3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101"/>
      <c r="O702" s="101"/>
      <c r="P702" s="102"/>
      <c r="Q702" s="102"/>
      <c r="R702" s="102"/>
      <c r="S702" s="5"/>
    </row>
    <row r="703" spans="1:19" ht="15.75" customHeight="1" x14ac:dyDescent="0.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101"/>
      <c r="O703" s="101"/>
      <c r="P703" s="102"/>
      <c r="Q703" s="102"/>
      <c r="R703" s="102"/>
      <c r="S703" s="5"/>
    </row>
    <row r="704" spans="1:19" ht="15.75" customHeight="1" x14ac:dyDescent="0.3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101"/>
      <c r="O704" s="101"/>
      <c r="P704" s="102"/>
      <c r="Q704" s="102"/>
      <c r="R704" s="102"/>
      <c r="S704" s="5"/>
    </row>
    <row r="705" spans="1:19" ht="15.75" customHeight="1" x14ac:dyDescent="0.3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101"/>
      <c r="O705" s="101"/>
      <c r="P705" s="102"/>
      <c r="Q705" s="102"/>
      <c r="R705" s="102"/>
      <c r="S705" s="5"/>
    </row>
    <row r="706" spans="1:19" ht="15.75" customHeight="1" x14ac:dyDescent="0.3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101"/>
      <c r="O706" s="101"/>
      <c r="P706" s="102"/>
      <c r="Q706" s="102"/>
      <c r="R706" s="102"/>
      <c r="S706" s="5"/>
    </row>
    <row r="707" spans="1:19" ht="15.75" customHeight="1" x14ac:dyDescent="0.3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101"/>
      <c r="O707" s="101"/>
      <c r="P707" s="102"/>
      <c r="Q707" s="102"/>
      <c r="R707" s="102"/>
      <c r="S707" s="5"/>
    </row>
    <row r="708" spans="1:19" ht="15.75" customHeight="1" x14ac:dyDescent="0.3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101"/>
      <c r="O708" s="101"/>
      <c r="P708" s="102"/>
      <c r="Q708" s="102"/>
      <c r="R708" s="102"/>
      <c r="S708" s="5"/>
    </row>
    <row r="709" spans="1:19" ht="15.75" customHeight="1" x14ac:dyDescent="0.3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101"/>
      <c r="O709" s="101"/>
      <c r="P709" s="102"/>
      <c r="Q709" s="102"/>
      <c r="R709" s="102"/>
      <c r="S709" s="5"/>
    </row>
    <row r="710" spans="1:19" ht="15.75" customHeight="1" x14ac:dyDescent="0.3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101"/>
      <c r="O710" s="101"/>
      <c r="P710" s="102"/>
      <c r="Q710" s="102"/>
      <c r="R710" s="102"/>
      <c r="S710" s="5"/>
    </row>
    <row r="711" spans="1:19" ht="15.75" customHeight="1" x14ac:dyDescent="0.3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101"/>
      <c r="O711" s="101"/>
      <c r="P711" s="102"/>
      <c r="Q711" s="102"/>
      <c r="R711" s="102"/>
      <c r="S711" s="5"/>
    </row>
    <row r="712" spans="1:19" ht="15.75" customHeight="1" x14ac:dyDescent="0.3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101"/>
      <c r="O712" s="101"/>
      <c r="P712" s="102"/>
      <c r="Q712" s="102"/>
      <c r="R712" s="102"/>
      <c r="S712" s="5"/>
    </row>
    <row r="713" spans="1:19" ht="15.75" customHeight="1" x14ac:dyDescent="0.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101"/>
      <c r="O713" s="101"/>
      <c r="P713" s="102"/>
      <c r="Q713" s="102"/>
      <c r="R713" s="102"/>
      <c r="S713" s="5"/>
    </row>
    <row r="714" spans="1:19" ht="15.75" customHeight="1" x14ac:dyDescent="0.3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101"/>
      <c r="O714" s="101"/>
      <c r="P714" s="102"/>
      <c r="Q714" s="102"/>
      <c r="R714" s="102"/>
      <c r="S714" s="5"/>
    </row>
    <row r="715" spans="1:19" ht="15.75" customHeight="1" x14ac:dyDescent="0.3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101"/>
      <c r="O715" s="101"/>
      <c r="P715" s="102"/>
      <c r="Q715" s="102"/>
      <c r="R715" s="102"/>
      <c r="S715" s="5"/>
    </row>
    <row r="716" spans="1:19" ht="15.75" customHeight="1" x14ac:dyDescent="0.3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101"/>
      <c r="O716" s="101"/>
      <c r="P716" s="102"/>
      <c r="Q716" s="102"/>
      <c r="R716" s="102"/>
      <c r="S716" s="5"/>
    </row>
    <row r="717" spans="1:19" ht="15.75" customHeight="1" x14ac:dyDescent="0.3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101"/>
      <c r="O717" s="101"/>
      <c r="P717" s="102"/>
      <c r="Q717" s="102"/>
      <c r="R717" s="102"/>
      <c r="S717" s="5"/>
    </row>
    <row r="718" spans="1:19" ht="15.75" customHeight="1" x14ac:dyDescent="0.3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101"/>
      <c r="O718" s="101"/>
      <c r="P718" s="102"/>
      <c r="Q718" s="102"/>
      <c r="R718" s="102"/>
      <c r="S718" s="5"/>
    </row>
    <row r="719" spans="1:19" ht="15.75" customHeight="1" x14ac:dyDescent="0.3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101"/>
      <c r="O719" s="101"/>
      <c r="P719" s="102"/>
      <c r="Q719" s="102"/>
      <c r="R719" s="102"/>
      <c r="S719" s="5"/>
    </row>
    <row r="720" spans="1:19" ht="15.75" customHeight="1" x14ac:dyDescent="0.3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101"/>
      <c r="O720" s="101"/>
      <c r="P720" s="102"/>
      <c r="Q720" s="102"/>
      <c r="R720" s="102"/>
      <c r="S720" s="5"/>
    </row>
    <row r="721" spans="1:19" ht="15.75" customHeight="1" x14ac:dyDescent="0.3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101"/>
      <c r="O721" s="101"/>
      <c r="P721" s="102"/>
      <c r="Q721" s="102"/>
      <c r="R721" s="102"/>
      <c r="S721" s="5"/>
    </row>
    <row r="722" spans="1:19" ht="15.75" customHeight="1" x14ac:dyDescent="0.3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101"/>
      <c r="O722" s="101"/>
      <c r="P722" s="102"/>
      <c r="Q722" s="102"/>
      <c r="R722" s="102"/>
      <c r="S722" s="5"/>
    </row>
    <row r="723" spans="1:19" ht="15.75" customHeight="1" x14ac:dyDescent="0.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101"/>
      <c r="O723" s="101"/>
      <c r="P723" s="102"/>
      <c r="Q723" s="102"/>
      <c r="R723" s="102"/>
      <c r="S723" s="5"/>
    </row>
    <row r="724" spans="1:19" ht="15.75" customHeight="1" x14ac:dyDescent="0.3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101"/>
      <c r="O724" s="101"/>
      <c r="P724" s="102"/>
      <c r="Q724" s="102"/>
      <c r="R724" s="102"/>
      <c r="S724" s="5"/>
    </row>
    <row r="725" spans="1:19" ht="15.75" customHeight="1" x14ac:dyDescent="0.3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101"/>
      <c r="O725" s="101"/>
      <c r="P725" s="102"/>
      <c r="Q725" s="102"/>
      <c r="R725" s="102"/>
      <c r="S725" s="5"/>
    </row>
    <row r="726" spans="1:19" ht="15.75" customHeight="1" x14ac:dyDescent="0.3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101"/>
      <c r="O726" s="101"/>
      <c r="P726" s="102"/>
      <c r="Q726" s="102"/>
      <c r="R726" s="102"/>
      <c r="S726" s="5"/>
    </row>
    <row r="727" spans="1:19" ht="15.75" customHeight="1" x14ac:dyDescent="0.3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101"/>
      <c r="O727" s="101"/>
      <c r="P727" s="102"/>
      <c r="Q727" s="102"/>
      <c r="R727" s="102"/>
      <c r="S727" s="5"/>
    </row>
    <row r="728" spans="1:19" ht="15.75" customHeight="1" x14ac:dyDescent="0.3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101"/>
      <c r="O728" s="101"/>
      <c r="P728" s="102"/>
      <c r="Q728" s="102"/>
      <c r="R728" s="102"/>
      <c r="S728" s="5"/>
    </row>
    <row r="729" spans="1:19" ht="15.75" customHeight="1" x14ac:dyDescent="0.3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101"/>
      <c r="O729" s="101"/>
      <c r="P729" s="102"/>
      <c r="Q729" s="102"/>
      <c r="R729" s="102"/>
      <c r="S729" s="5"/>
    </row>
    <row r="730" spans="1:19" ht="15.75" customHeight="1" x14ac:dyDescent="0.3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101"/>
      <c r="O730" s="101"/>
      <c r="P730" s="102"/>
      <c r="Q730" s="102"/>
      <c r="R730" s="102"/>
      <c r="S730" s="5"/>
    </row>
    <row r="731" spans="1:19" ht="15.75" customHeight="1" x14ac:dyDescent="0.3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101"/>
      <c r="O731" s="101"/>
      <c r="P731" s="102"/>
      <c r="Q731" s="102"/>
      <c r="R731" s="102"/>
      <c r="S731" s="5"/>
    </row>
    <row r="732" spans="1:19" ht="15.75" customHeight="1" x14ac:dyDescent="0.3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101"/>
      <c r="O732" s="101"/>
      <c r="P732" s="102"/>
      <c r="Q732" s="102"/>
      <c r="R732" s="102"/>
      <c r="S732" s="5"/>
    </row>
    <row r="733" spans="1:19" ht="15.75" customHeight="1" x14ac:dyDescent="0.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101"/>
      <c r="O733" s="101"/>
      <c r="P733" s="102"/>
      <c r="Q733" s="102"/>
      <c r="R733" s="102"/>
      <c r="S733" s="5"/>
    </row>
    <row r="734" spans="1:19" ht="15.75" customHeight="1" x14ac:dyDescent="0.3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101"/>
      <c r="O734" s="101"/>
      <c r="P734" s="102"/>
      <c r="Q734" s="102"/>
      <c r="R734" s="102"/>
      <c r="S734" s="5"/>
    </row>
    <row r="735" spans="1:19" ht="15.75" customHeight="1" x14ac:dyDescent="0.3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101"/>
      <c r="O735" s="101"/>
      <c r="P735" s="102"/>
      <c r="Q735" s="102"/>
      <c r="R735" s="102"/>
      <c r="S735" s="5"/>
    </row>
    <row r="736" spans="1:19" ht="15.75" customHeight="1" x14ac:dyDescent="0.3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101"/>
      <c r="O736" s="101"/>
      <c r="P736" s="102"/>
      <c r="Q736" s="102"/>
      <c r="R736" s="102"/>
      <c r="S736" s="5"/>
    </row>
    <row r="737" spans="1:19" ht="15.75" customHeight="1" x14ac:dyDescent="0.3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101"/>
      <c r="O737" s="101"/>
      <c r="P737" s="102"/>
      <c r="Q737" s="102"/>
      <c r="R737" s="102"/>
      <c r="S737" s="5"/>
    </row>
    <row r="738" spans="1:19" ht="15.75" customHeight="1" x14ac:dyDescent="0.3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101"/>
      <c r="O738" s="101"/>
      <c r="P738" s="102"/>
      <c r="Q738" s="102"/>
      <c r="R738" s="102"/>
      <c r="S738" s="5"/>
    </row>
    <row r="739" spans="1:19" ht="15.75" customHeight="1" x14ac:dyDescent="0.3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101"/>
      <c r="O739" s="101"/>
      <c r="P739" s="102"/>
      <c r="Q739" s="102"/>
      <c r="R739" s="102"/>
      <c r="S739" s="5"/>
    </row>
    <row r="740" spans="1:19" ht="15.75" customHeight="1" x14ac:dyDescent="0.3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101"/>
      <c r="O740" s="101"/>
      <c r="P740" s="102"/>
      <c r="Q740" s="102"/>
      <c r="R740" s="102"/>
      <c r="S740" s="5"/>
    </row>
    <row r="741" spans="1:19" ht="15.75" customHeight="1" x14ac:dyDescent="0.3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101"/>
      <c r="O741" s="101"/>
      <c r="P741" s="102"/>
      <c r="Q741" s="102"/>
      <c r="R741" s="102"/>
      <c r="S741" s="5"/>
    </row>
    <row r="742" spans="1:19" ht="15.75" customHeight="1" x14ac:dyDescent="0.3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101"/>
      <c r="O742" s="101"/>
      <c r="P742" s="102"/>
      <c r="Q742" s="102"/>
      <c r="R742" s="102"/>
      <c r="S742" s="5"/>
    </row>
    <row r="743" spans="1:19" ht="15.75" customHeight="1" x14ac:dyDescent="0.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101"/>
      <c r="O743" s="101"/>
      <c r="P743" s="102"/>
      <c r="Q743" s="102"/>
      <c r="R743" s="102"/>
      <c r="S743" s="5"/>
    </row>
    <row r="744" spans="1:19" ht="15.75" customHeight="1" x14ac:dyDescent="0.3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101"/>
      <c r="O744" s="101"/>
      <c r="P744" s="102"/>
      <c r="Q744" s="102"/>
      <c r="R744" s="102"/>
      <c r="S744" s="5"/>
    </row>
    <row r="745" spans="1:19" ht="15.75" customHeight="1" x14ac:dyDescent="0.3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101"/>
      <c r="O745" s="101"/>
      <c r="P745" s="102"/>
      <c r="Q745" s="102"/>
      <c r="R745" s="102"/>
      <c r="S745" s="5"/>
    </row>
    <row r="746" spans="1:19" ht="15.75" customHeight="1" x14ac:dyDescent="0.3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101"/>
      <c r="O746" s="101"/>
      <c r="P746" s="102"/>
      <c r="Q746" s="102"/>
      <c r="R746" s="102"/>
      <c r="S746" s="5"/>
    </row>
    <row r="747" spans="1:19" ht="15.75" customHeight="1" x14ac:dyDescent="0.3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101"/>
      <c r="O747" s="101"/>
      <c r="P747" s="102"/>
      <c r="Q747" s="102"/>
      <c r="R747" s="102"/>
      <c r="S747" s="5"/>
    </row>
    <row r="748" spans="1:19" ht="15.75" customHeight="1" x14ac:dyDescent="0.3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101"/>
      <c r="O748" s="101"/>
      <c r="P748" s="102"/>
      <c r="Q748" s="102"/>
      <c r="R748" s="102"/>
      <c r="S748" s="5"/>
    </row>
    <row r="749" spans="1:19" ht="15.75" customHeight="1" x14ac:dyDescent="0.3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101"/>
      <c r="O749" s="101"/>
      <c r="P749" s="102"/>
      <c r="Q749" s="102"/>
      <c r="R749" s="102"/>
      <c r="S749" s="5"/>
    </row>
    <row r="750" spans="1:19" ht="15.75" customHeight="1" x14ac:dyDescent="0.3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101"/>
      <c r="O750" s="101"/>
      <c r="P750" s="102"/>
      <c r="Q750" s="102"/>
      <c r="R750" s="102"/>
      <c r="S750" s="5"/>
    </row>
    <row r="751" spans="1:19" ht="15.75" customHeight="1" x14ac:dyDescent="0.3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101"/>
      <c r="O751" s="101"/>
      <c r="P751" s="102"/>
      <c r="Q751" s="102"/>
      <c r="R751" s="102"/>
      <c r="S751" s="5"/>
    </row>
    <row r="752" spans="1:19" ht="15.75" customHeight="1" x14ac:dyDescent="0.3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101"/>
      <c r="O752" s="101"/>
      <c r="P752" s="102"/>
      <c r="Q752" s="102"/>
      <c r="R752" s="102"/>
      <c r="S752" s="5"/>
    </row>
    <row r="753" spans="1:19" ht="15.75" customHeight="1" x14ac:dyDescent="0.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101"/>
      <c r="O753" s="101"/>
      <c r="P753" s="102"/>
      <c r="Q753" s="102"/>
      <c r="R753" s="102"/>
      <c r="S753" s="5"/>
    </row>
    <row r="754" spans="1:19" ht="15.75" customHeight="1" x14ac:dyDescent="0.3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101"/>
      <c r="O754" s="101"/>
      <c r="P754" s="102"/>
      <c r="Q754" s="102"/>
      <c r="R754" s="102"/>
      <c r="S754" s="5"/>
    </row>
    <row r="755" spans="1:19" ht="15.75" customHeight="1" x14ac:dyDescent="0.3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101"/>
      <c r="O755" s="101"/>
      <c r="P755" s="102"/>
      <c r="Q755" s="102"/>
      <c r="R755" s="102"/>
      <c r="S755" s="5"/>
    </row>
    <row r="756" spans="1:19" ht="15.75" customHeight="1" x14ac:dyDescent="0.3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101"/>
      <c r="O756" s="101"/>
      <c r="P756" s="102"/>
      <c r="Q756" s="102"/>
      <c r="R756" s="102"/>
      <c r="S756" s="5"/>
    </row>
    <row r="757" spans="1:19" ht="15.75" customHeight="1" x14ac:dyDescent="0.3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101"/>
      <c r="O757" s="101"/>
      <c r="P757" s="102"/>
      <c r="Q757" s="102"/>
      <c r="R757" s="102"/>
      <c r="S757" s="5"/>
    </row>
    <row r="758" spans="1:19" ht="15.75" customHeight="1" x14ac:dyDescent="0.3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101"/>
      <c r="O758" s="101"/>
      <c r="P758" s="102"/>
      <c r="Q758" s="102"/>
      <c r="R758" s="102"/>
      <c r="S758" s="5"/>
    </row>
    <row r="759" spans="1:19" ht="15.75" customHeight="1" x14ac:dyDescent="0.3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101"/>
      <c r="O759" s="101"/>
      <c r="P759" s="102"/>
      <c r="Q759" s="102"/>
      <c r="R759" s="102"/>
      <c r="S759" s="5"/>
    </row>
    <row r="760" spans="1:19" ht="15.75" customHeight="1" x14ac:dyDescent="0.3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101"/>
      <c r="O760" s="101"/>
      <c r="P760" s="102"/>
      <c r="Q760" s="102"/>
      <c r="R760" s="102"/>
      <c r="S760" s="5"/>
    </row>
    <row r="761" spans="1:19" ht="15.75" customHeight="1" x14ac:dyDescent="0.3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101"/>
      <c r="O761" s="101"/>
      <c r="P761" s="102"/>
      <c r="Q761" s="102"/>
      <c r="R761" s="102"/>
      <c r="S761" s="5"/>
    </row>
    <row r="762" spans="1:19" ht="15.75" customHeight="1" x14ac:dyDescent="0.3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101"/>
      <c r="O762" s="101"/>
      <c r="P762" s="102"/>
      <c r="Q762" s="102"/>
      <c r="R762" s="102"/>
      <c r="S762" s="5"/>
    </row>
    <row r="763" spans="1:19" ht="15.75" customHeight="1" x14ac:dyDescent="0.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101"/>
      <c r="O763" s="101"/>
      <c r="P763" s="102"/>
      <c r="Q763" s="102"/>
      <c r="R763" s="102"/>
      <c r="S763" s="5"/>
    </row>
    <row r="764" spans="1:19" ht="15.75" customHeight="1" x14ac:dyDescent="0.3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101"/>
      <c r="O764" s="101"/>
      <c r="P764" s="102"/>
      <c r="Q764" s="102"/>
      <c r="R764" s="102"/>
      <c r="S764" s="5"/>
    </row>
    <row r="765" spans="1:19" ht="15.75" customHeight="1" x14ac:dyDescent="0.3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101"/>
      <c r="O765" s="101"/>
      <c r="P765" s="102"/>
      <c r="Q765" s="102"/>
      <c r="R765" s="102"/>
      <c r="S765" s="5"/>
    </row>
    <row r="766" spans="1:19" ht="15.75" customHeight="1" x14ac:dyDescent="0.3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101"/>
      <c r="O766" s="101"/>
      <c r="P766" s="102"/>
      <c r="Q766" s="102"/>
      <c r="R766" s="102"/>
      <c r="S766" s="5"/>
    </row>
    <row r="767" spans="1:19" ht="15.75" customHeight="1" x14ac:dyDescent="0.3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101"/>
      <c r="O767" s="101"/>
      <c r="P767" s="102"/>
      <c r="Q767" s="102"/>
      <c r="R767" s="102"/>
      <c r="S767" s="5"/>
    </row>
    <row r="768" spans="1:19" ht="15.75" customHeight="1" x14ac:dyDescent="0.3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101"/>
      <c r="O768" s="101"/>
      <c r="P768" s="102"/>
      <c r="Q768" s="102"/>
      <c r="R768" s="102"/>
      <c r="S768" s="5"/>
    </row>
    <row r="769" spans="1:19" ht="15.75" customHeight="1" x14ac:dyDescent="0.3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101"/>
      <c r="O769" s="101"/>
      <c r="P769" s="102"/>
      <c r="Q769" s="102"/>
      <c r="R769" s="102"/>
      <c r="S769" s="5"/>
    </row>
    <row r="770" spans="1:19" ht="15.75" customHeight="1" x14ac:dyDescent="0.3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101"/>
      <c r="O770" s="101"/>
      <c r="P770" s="102"/>
      <c r="Q770" s="102"/>
      <c r="R770" s="102"/>
      <c r="S770" s="5"/>
    </row>
    <row r="771" spans="1:19" ht="15.75" customHeight="1" x14ac:dyDescent="0.3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101"/>
      <c r="O771" s="101"/>
      <c r="P771" s="102"/>
      <c r="Q771" s="102"/>
      <c r="R771" s="102"/>
      <c r="S771" s="5"/>
    </row>
    <row r="772" spans="1:19" ht="15.75" customHeight="1" x14ac:dyDescent="0.3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101"/>
      <c r="O772" s="101"/>
      <c r="P772" s="102"/>
      <c r="Q772" s="102"/>
      <c r="R772" s="102"/>
      <c r="S772" s="5"/>
    </row>
    <row r="773" spans="1:19" ht="15.75" customHeight="1" x14ac:dyDescent="0.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101"/>
      <c r="O773" s="101"/>
      <c r="P773" s="102"/>
      <c r="Q773" s="102"/>
      <c r="R773" s="102"/>
      <c r="S773" s="5"/>
    </row>
    <row r="774" spans="1:19" ht="15.75" customHeight="1" x14ac:dyDescent="0.3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101"/>
      <c r="O774" s="101"/>
      <c r="P774" s="102"/>
      <c r="Q774" s="102"/>
      <c r="R774" s="102"/>
      <c r="S774" s="5"/>
    </row>
    <row r="775" spans="1:19" ht="15.75" customHeight="1" x14ac:dyDescent="0.3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101"/>
      <c r="O775" s="101"/>
      <c r="P775" s="102"/>
      <c r="Q775" s="102"/>
      <c r="R775" s="102"/>
      <c r="S775" s="5"/>
    </row>
    <row r="776" spans="1:19" ht="15.75" customHeight="1" x14ac:dyDescent="0.3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101"/>
      <c r="O776" s="101"/>
      <c r="P776" s="102"/>
      <c r="Q776" s="102"/>
      <c r="R776" s="102"/>
      <c r="S776" s="5"/>
    </row>
    <row r="777" spans="1:19" ht="15.75" customHeight="1" x14ac:dyDescent="0.3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101"/>
      <c r="O777" s="101"/>
      <c r="P777" s="102"/>
      <c r="Q777" s="102"/>
      <c r="R777" s="102"/>
      <c r="S777" s="5"/>
    </row>
    <row r="778" spans="1:19" ht="15.75" customHeight="1" x14ac:dyDescent="0.3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101"/>
      <c r="O778" s="101"/>
      <c r="P778" s="102"/>
      <c r="Q778" s="102"/>
      <c r="R778" s="102"/>
      <c r="S778" s="5"/>
    </row>
    <row r="779" spans="1:19" ht="15.75" customHeight="1" x14ac:dyDescent="0.3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101"/>
      <c r="O779" s="101"/>
      <c r="P779" s="102"/>
      <c r="Q779" s="102"/>
      <c r="R779" s="102"/>
      <c r="S779" s="5"/>
    </row>
    <row r="780" spans="1:19" ht="15.75" customHeight="1" x14ac:dyDescent="0.3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101"/>
      <c r="O780" s="101"/>
      <c r="P780" s="102"/>
      <c r="Q780" s="102"/>
      <c r="R780" s="102"/>
      <c r="S780" s="5"/>
    </row>
    <row r="781" spans="1:19" ht="15.75" customHeight="1" x14ac:dyDescent="0.3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101"/>
      <c r="O781" s="101"/>
      <c r="P781" s="102"/>
      <c r="Q781" s="102"/>
      <c r="R781" s="102"/>
      <c r="S781" s="5"/>
    </row>
    <row r="782" spans="1:19" ht="15.75" customHeight="1" x14ac:dyDescent="0.3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101"/>
      <c r="O782" s="101"/>
      <c r="P782" s="102"/>
      <c r="Q782" s="102"/>
      <c r="R782" s="102"/>
      <c r="S782" s="5"/>
    </row>
    <row r="783" spans="1:19" ht="15.75" customHeight="1" x14ac:dyDescent="0.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101"/>
      <c r="O783" s="101"/>
      <c r="P783" s="102"/>
      <c r="Q783" s="102"/>
      <c r="R783" s="102"/>
      <c r="S783" s="5"/>
    </row>
    <row r="784" spans="1:19" ht="15.75" customHeight="1" x14ac:dyDescent="0.3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101"/>
      <c r="O784" s="101"/>
      <c r="P784" s="102"/>
      <c r="Q784" s="102"/>
      <c r="R784" s="102"/>
      <c r="S784" s="5"/>
    </row>
    <row r="785" spans="1:19" ht="15.75" customHeight="1" x14ac:dyDescent="0.3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101"/>
      <c r="O785" s="101"/>
      <c r="P785" s="102"/>
      <c r="Q785" s="102"/>
      <c r="R785" s="102"/>
      <c r="S785" s="5"/>
    </row>
    <row r="786" spans="1:19" ht="15.75" customHeight="1" x14ac:dyDescent="0.3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101"/>
      <c r="O786" s="101"/>
      <c r="P786" s="102"/>
      <c r="Q786" s="102"/>
      <c r="R786" s="102"/>
      <c r="S786" s="5"/>
    </row>
    <row r="787" spans="1:19" ht="15.75" customHeight="1" x14ac:dyDescent="0.3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101"/>
      <c r="O787" s="101"/>
      <c r="P787" s="102"/>
      <c r="Q787" s="102"/>
      <c r="R787" s="102"/>
      <c r="S787" s="5"/>
    </row>
    <row r="788" spans="1:19" ht="15.75" customHeight="1" x14ac:dyDescent="0.3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101"/>
      <c r="O788" s="101"/>
      <c r="P788" s="102"/>
      <c r="Q788" s="102"/>
      <c r="R788" s="102"/>
      <c r="S788" s="5"/>
    </row>
    <row r="789" spans="1:19" ht="15.75" customHeight="1" x14ac:dyDescent="0.3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101"/>
      <c r="O789" s="101"/>
      <c r="P789" s="102"/>
      <c r="Q789" s="102"/>
      <c r="R789" s="102"/>
      <c r="S789" s="5"/>
    </row>
    <row r="790" spans="1:19" ht="15.75" customHeight="1" x14ac:dyDescent="0.3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101"/>
      <c r="O790" s="101"/>
      <c r="P790" s="102"/>
      <c r="Q790" s="102"/>
      <c r="R790" s="102"/>
      <c r="S790" s="5"/>
    </row>
    <row r="791" spans="1:19" ht="15.75" customHeight="1" x14ac:dyDescent="0.3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101"/>
      <c r="O791" s="101"/>
      <c r="P791" s="102"/>
      <c r="Q791" s="102"/>
      <c r="R791" s="102"/>
      <c r="S791" s="5"/>
    </row>
    <row r="792" spans="1:19" ht="15.75" customHeight="1" x14ac:dyDescent="0.3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101"/>
      <c r="O792" s="101"/>
      <c r="P792" s="102"/>
      <c r="Q792" s="102"/>
      <c r="R792" s="102"/>
      <c r="S792" s="5"/>
    </row>
    <row r="793" spans="1:19" ht="15.75" customHeight="1" x14ac:dyDescent="0.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101"/>
      <c r="O793" s="101"/>
      <c r="P793" s="102"/>
      <c r="Q793" s="102"/>
      <c r="R793" s="102"/>
      <c r="S793" s="5"/>
    </row>
    <row r="794" spans="1:19" ht="15.75" customHeight="1" x14ac:dyDescent="0.3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101"/>
      <c r="O794" s="101"/>
      <c r="P794" s="102"/>
      <c r="Q794" s="102"/>
      <c r="R794" s="102"/>
      <c r="S794" s="5"/>
    </row>
    <row r="795" spans="1:19" ht="15.75" customHeight="1" x14ac:dyDescent="0.3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101"/>
      <c r="O795" s="101"/>
      <c r="P795" s="102"/>
      <c r="Q795" s="102"/>
      <c r="R795" s="102"/>
      <c r="S795" s="5"/>
    </row>
    <row r="796" spans="1:19" ht="15.75" customHeight="1" x14ac:dyDescent="0.3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101"/>
      <c r="O796" s="101"/>
      <c r="P796" s="102"/>
      <c r="Q796" s="102"/>
      <c r="R796" s="102"/>
      <c r="S796" s="5"/>
    </row>
    <row r="797" spans="1:19" ht="15.75" customHeight="1" x14ac:dyDescent="0.3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101"/>
      <c r="O797" s="101"/>
      <c r="P797" s="102"/>
      <c r="Q797" s="102"/>
      <c r="R797" s="102"/>
      <c r="S797" s="5"/>
    </row>
    <row r="798" spans="1:19" ht="15.75" customHeight="1" x14ac:dyDescent="0.3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101"/>
      <c r="O798" s="101"/>
      <c r="P798" s="102"/>
      <c r="Q798" s="102"/>
      <c r="R798" s="102"/>
      <c r="S798" s="5"/>
    </row>
    <row r="799" spans="1:19" ht="15.75" customHeight="1" x14ac:dyDescent="0.3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101"/>
      <c r="O799" s="101"/>
      <c r="P799" s="102"/>
      <c r="Q799" s="102"/>
      <c r="R799" s="102"/>
      <c r="S799" s="5"/>
    </row>
    <row r="800" spans="1:19" ht="15.75" customHeight="1" x14ac:dyDescent="0.3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101"/>
      <c r="O800" s="101"/>
      <c r="P800" s="102"/>
      <c r="Q800" s="102"/>
      <c r="R800" s="102"/>
      <c r="S800" s="5"/>
    </row>
    <row r="801" spans="1:19" ht="15.75" customHeight="1" x14ac:dyDescent="0.3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101"/>
      <c r="O801" s="101"/>
      <c r="P801" s="102"/>
      <c r="Q801" s="102"/>
      <c r="R801" s="102"/>
      <c r="S801" s="5"/>
    </row>
    <row r="802" spans="1:19" ht="15.75" customHeight="1" x14ac:dyDescent="0.3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101"/>
      <c r="O802" s="101"/>
      <c r="P802" s="102"/>
      <c r="Q802" s="102"/>
      <c r="R802" s="102"/>
      <c r="S802" s="5"/>
    </row>
    <row r="803" spans="1:19" ht="15.75" customHeight="1" x14ac:dyDescent="0.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101"/>
      <c r="O803" s="101"/>
      <c r="P803" s="102"/>
      <c r="Q803" s="102"/>
      <c r="R803" s="102"/>
      <c r="S803" s="5"/>
    </row>
    <row r="804" spans="1:19" ht="15.75" customHeight="1" x14ac:dyDescent="0.3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101"/>
      <c r="O804" s="101"/>
      <c r="P804" s="102"/>
      <c r="Q804" s="102"/>
      <c r="R804" s="102"/>
      <c r="S804" s="5"/>
    </row>
    <row r="805" spans="1:19" ht="15.75" customHeight="1" x14ac:dyDescent="0.3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101"/>
      <c r="O805" s="101"/>
      <c r="P805" s="102"/>
      <c r="Q805" s="102"/>
      <c r="R805" s="102"/>
      <c r="S805" s="5"/>
    </row>
    <row r="806" spans="1:19" ht="15.75" customHeight="1" x14ac:dyDescent="0.3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101"/>
      <c r="O806" s="101"/>
      <c r="P806" s="102"/>
      <c r="Q806" s="102"/>
      <c r="R806" s="102"/>
      <c r="S806" s="5"/>
    </row>
    <row r="807" spans="1:19" ht="15.75" customHeight="1" x14ac:dyDescent="0.3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101"/>
      <c r="O807" s="101"/>
      <c r="P807" s="102"/>
      <c r="Q807" s="102"/>
      <c r="R807" s="102"/>
      <c r="S807" s="5"/>
    </row>
    <row r="808" spans="1:19" ht="15.75" customHeight="1" x14ac:dyDescent="0.3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101"/>
      <c r="O808" s="101"/>
      <c r="P808" s="102"/>
      <c r="Q808" s="102"/>
      <c r="R808" s="102"/>
      <c r="S808" s="5"/>
    </row>
    <row r="809" spans="1:19" ht="15.75" customHeight="1" x14ac:dyDescent="0.3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101"/>
      <c r="O809" s="101"/>
      <c r="P809" s="102"/>
      <c r="Q809" s="102"/>
      <c r="R809" s="102"/>
      <c r="S809" s="5"/>
    </row>
    <row r="810" spans="1:19" ht="15.75" customHeight="1" x14ac:dyDescent="0.3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101"/>
      <c r="O810" s="101"/>
      <c r="P810" s="102"/>
      <c r="Q810" s="102"/>
      <c r="R810" s="102"/>
      <c r="S810" s="5"/>
    </row>
    <row r="811" spans="1:19" ht="15.75" customHeight="1" x14ac:dyDescent="0.3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101"/>
      <c r="O811" s="101"/>
      <c r="P811" s="102"/>
      <c r="Q811" s="102"/>
      <c r="R811" s="102"/>
      <c r="S811" s="5"/>
    </row>
    <row r="812" spans="1:19" ht="15.75" customHeight="1" x14ac:dyDescent="0.3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101"/>
      <c r="O812" s="101"/>
      <c r="P812" s="102"/>
      <c r="Q812" s="102"/>
      <c r="R812" s="102"/>
      <c r="S812" s="5"/>
    </row>
    <row r="813" spans="1:19" ht="15.75" customHeight="1" x14ac:dyDescent="0.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101"/>
      <c r="O813" s="101"/>
      <c r="P813" s="102"/>
      <c r="Q813" s="102"/>
      <c r="R813" s="102"/>
      <c r="S813" s="5"/>
    </row>
    <row r="814" spans="1:19" ht="15.75" customHeight="1" x14ac:dyDescent="0.3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101"/>
      <c r="O814" s="101"/>
      <c r="P814" s="102"/>
      <c r="Q814" s="102"/>
      <c r="R814" s="102"/>
      <c r="S814" s="5"/>
    </row>
    <row r="815" spans="1:19" ht="15.75" customHeight="1" x14ac:dyDescent="0.3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101"/>
      <c r="O815" s="101"/>
      <c r="P815" s="102"/>
      <c r="Q815" s="102"/>
      <c r="R815" s="102"/>
      <c r="S815" s="5"/>
    </row>
    <row r="816" spans="1:19" ht="15.75" customHeight="1" x14ac:dyDescent="0.3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101"/>
      <c r="O816" s="101"/>
      <c r="P816" s="102"/>
      <c r="Q816" s="102"/>
      <c r="R816" s="102"/>
      <c r="S816" s="5"/>
    </row>
    <row r="817" spans="1:19" ht="15.75" customHeight="1" x14ac:dyDescent="0.3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101"/>
      <c r="O817" s="101"/>
      <c r="P817" s="102"/>
      <c r="Q817" s="102"/>
      <c r="R817" s="102"/>
      <c r="S817" s="5"/>
    </row>
    <row r="818" spans="1:19" ht="15.75" customHeight="1" x14ac:dyDescent="0.3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101"/>
      <c r="O818" s="101"/>
      <c r="P818" s="102"/>
      <c r="Q818" s="102"/>
      <c r="R818" s="102"/>
      <c r="S818" s="5"/>
    </row>
    <row r="819" spans="1:19" ht="15.75" customHeight="1" x14ac:dyDescent="0.3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101"/>
      <c r="O819" s="101"/>
      <c r="P819" s="102"/>
      <c r="Q819" s="102"/>
      <c r="R819" s="102"/>
      <c r="S819" s="5"/>
    </row>
    <row r="820" spans="1:19" ht="15.75" customHeight="1" x14ac:dyDescent="0.3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101"/>
      <c r="O820" s="101"/>
      <c r="P820" s="102"/>
      <c r="Q820" s="102"/>
      <c r="R820" s="102"/>
      <c r="S820" s="5"/>
    </row>
    <row r="821" spans="1:19" ht="15.75" customHeight="1" x14ac:dyDescent="0.3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101"/>
      <c r="O821" s="101"/>
      <c r="P821" s="102"/>
      <c r="Q821" s="102"/>
      <c r="R821" s="102"/>
      <c r="S821" s="5"/>
    </row>
    <row r="822" spans="1:19" ht="15.75" customHeight="1" x14ac:dyDescent="0.3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101"/>
      <c r="O822" s="101"/>
      <c r="P822" s="102"/>
      <c r="Q822" s="102"/>
      <c r="R822" s="102"/>
      <c r="S822" s="5"/>
    </row>
    <row r="823" spans="1:19" ht="15.75" customHeight="1" x14ac:dyDescent="0.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101"/>
      <c r="O823" s="101"/>
      <c r="P823" s="102"/>
      <c r="Q823" s="102"/>
      <c r="R823" s="102"/>
      <c r="S823" s="5"/>
    </row>
    <row r="824" spans="1:19" ht="15.75" customHeight="1" x14ac:dyDescent="0.3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101"/>
      <c r="O824" s="101"/>
      <c r="P824" s="102"/>
      <c r="Q824" s="102"/>
      <c r="R824" s="102"/>
      <c r="S824" s="5"/>
    </row>
    <row r="825" spans="1:19" ht="15.75" customHeight="1" x14ac:dyDescent="0.3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101"/>
      <c r="O825" s="101"/>
      <c r="P825" s="102"/>
      <c r="Q825" s="102"/>
      <c r="R825" s="102"/>
      <c r="S825" s="5"/>
    </row>
    <row r="826" spans="1:19" ht="15.75" customHeight="1" x14ac:dyDescent="0.3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101"/>
      <c r="O826" s="101"/>
      <c r="P826" s="102"/>
      <c r="Q826" s="102"/>
      <c r="R826" s="102"/>
      <c r="S826" s="5"/>
    </row>
    <row r="827" spans="1:19" ht="15.75" customHeight="1" x14ac:dyDescent="0.3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101"/>
      <c r="O827" s="101"/>
      <c r="P827" s="102"/>
      <c r="Q827" s="102"/>
      <c r="R827" s="102"/>
      <c r="S827" s="5"/>
    </row>
    <row r="828" spans="1:19" ht="15.75" customHeight="1" x14ac:dyDescent="0.3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101"/>
      <c r="O828" s="101"/>
      <c r="P828" s="102"/>
      <c r="Q828" s="102"/>
      <c r="R828" s="102"/>
      <c r="S828" s="5"/>
    </row>
    <row r="829" spans="1:19" ht="15.75" customHeight="1" x14ac:dyDescent="0.3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101"/>
      <c r="O829" s="101"/>
      <c r="P829" s="102"/>
      <c r="Q829" s="102"/>
      <c r="R829" s="102"/>
      <c r="S829" s="5"/>
    </row>
    <row r="830" spans="1:19" ht="15.75" customHeight="1" x14ac:dyDescent="0.3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101"/>
      <c r="O830" s="101"/>
      <c r="P830" s="102"/>
      <c r="Q830" s="102"/>
      <c r="R830" s="102"/>
      <c r="S830" s="5"/>
    </row>
    <row r="831" spans="1:19" ht="15.75" customHeight="1" x14ac:dyDescent="0.3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101"/>
      <c r="O831" s="101"/>
      <c r="P831" s="102"/>
      <c r="Q831" s="102"/>
      <c r="R831" s="102"/>
      <c r="S831" s="5"/>
    </row>
    <row r="832" spans="1:19" ht="15.75" customHeight="1" x14ac:dyDescent="0.3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101"/>
      <c r="O832" s="101"/>
      <c r="P832" s="102"/>
      <c r="Q832" s="102"/>
      <c r="R832" s="102"/>
      <c r="S832" s="5"/>
    </row>
    <row r="833" spans="1:19" ht="15.75" customHeight="1" x14ac:dyDescent="0.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101"/>
      <c r="O833" s="101"/>
      <c r="P833" s="102"/>
      <c r="Q833" s="102"/>
      <c r="R833" s="102"/>
      <c r="S833" s="5"/>
    </row>
    <row r="834" spans="1:19" ht="15.75" customHeight="1" x14ac:dyDescent="0.3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101"/>
      <c r="O834" s="101"/>
      <c r="P834" s="102"/>
      <c r="Q834" s="102"/>
      <c r="R834" s="102"/>
      <c r="S834" s="5"/>
    </row>
    <row r="835" spans="1:19" ht="15.75" customHeight="1" x14ac:dyDescent="0.3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101"/>
      <c r="O835" s="101"/>
      <c r="P835" s="102"/>
      <c r="Q835" s="102"/>
      <c r="R835" s="102"/>
      <c r="S835" s="5"/>
    </row>
    <row r="836" spans="1:19" ht="15.75" customHeight="1" x14ac:dyDescent="0.3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101"/>
      <c r="O836" s="101"/>
      <c r="P836" s="102"/>
      <c r="Q836" s="102"/>
      <c r="R836" s="102"/>
      <c r="S836" s="5"/>
    </row>
    <row r="837" spans="1:19" ht="15.75" customHeight="1" x14ac:dyDescent="0.3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101"/>
      <c r="O837" s="101"/>
      <c r="P837" s="102"/>
      <c r="Q837" s="102"/>
      <c r="R837" s="102"/>
      <c r="S837" s="5"/>
    </row>
    <row r="838" spans="1:19" ht="15.75" customHeight="1" x14ac:dyDescent="0.3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101"/>
      <c r="O838" s="101"/>
      <c r="P838" s="102"/>
      <c r="Q838" s="102"/>
      <c r="R838" s="102"/>
      <c r="S838" s="5"/>
    </row>
    <row r="839" spans="1:19" ht="15.75" customHeight="1" x14ac:dyDescent="0.3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101"/>
      <c r="O839" s="101"/>
      <c r="P839" s="102"/>
      <c r="Q839" s="102"/>
      <c r="R839" s="102"/>
      <c r="S839" s="5"/>
    </row>
    <row r="840" spans="1:19" ht="15.75" customHeight="1" x14ac:dyDescent="0.3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101"/>
      <c r="O840" s="101"/>
      <c r="P840" s="102"/>
      <c r="Q840" s="102"/>
      <c r="R840" s="102"/>
      <c r="S840" s="5"/>
    </row>
    <row r="841" spans="1:19" ht="15.75" customHeight="1" x14ac:dyDescent="0.3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101"/>
      <c r="O841" s="101"/>
      <c r="P841" s="102"/>
      <c r="Q841" s="102"/>
      <c r="R841" s="102"/>
      <c r="S841" s="5"/>
    </row>
    <row r="842" spans="1:19" ht="15.75" customHeight="1" x14ac:dyDescent="0.3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101"/>
      <c r="O842" s="101"/>
      <c r="P842" s="102"/>
      <c r="Q842" s="102"/>
      <c r="R842" s="102"/>
      <c r="S842" s="5"/>
    </row>
    <row r="843" spans="1:19" ht="15.75" customHeight="1" x14ac:dyDescent="0.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101"/>
      <c r="O843" s="101"/>
      <c r="P843" s="102"/>
      <c r="Q843" s="102"/>
      <c r="R843" s="102"/>
      <c r="S843" s="5"/>
    </row>
    <row r="844" spans="1:19" ht="15.75" customHeight="1" x14ac:dyDescent="0.3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101"/>
      <c r="O844" s="101"/>
      <c r="P844" s="102"/>
      <c r="Q844" s="102"/>
      <c r="R844" s="102"/>
      <c r="S844" s="5"/>
    </row>
    <row r="845" spans="1:19" ht="15.75" customHeight="1" x14ac:dyDescent="0.3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101"/>
      <c r="O845" s="101"/>
      <c r="P845" s="102"/>
      <c r="Q845" s="102"/>
      <c r="R845" s="102"/>
      <c r="S845" s="5"/>
    </row>
    <row r="846" spans="1:19" ht="15.75" customHeight="1" x14ac:dyDescent="0.3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101"/>
      <c r="O846" s="101"/>
      <c r="P846" s="102"/>
      <c r="Q846" s="102"/>
      <c r="R846" s="102"/>
      <c r="S846" s="5"/>
    </row>
    <row r="847" spans="1:19" ht="15.75" customHeight="1" x14ac:dyDescent="0.3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101"/>
      <c r="O847" s="101"/>
      <c r="P847" s="102"/>
      <c r="Q847" s="102"/>
      <c r="R847" s="102"/>
      <c r="S847" s="5"/>
    </row>
    <row r="848" spans="1:19" ht="15.75" customHeight="1" x14ac:dyDescent="0.3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101"/>
      <c r="O848" s="101"/>
      <c r="P848" s="102"/>
      <c r="Q848" s="102"/>
      <c r="R848" s="102"/>
      <c r="S848" s="5"/>
    </row>
    <row r="849" spans="1:19" ht="15.75" customHeight="1" x14ac:dyDescent="0.3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101"/>
      <c r="O849" s="101"/>
      <c r="P849" s="102"/>
      <c r="Q849" s="102"/>
      <c r="R849" s="102"/>
      <c r="S849" s="5"/>
    </row>
    <row r="850" spans="1:19" ht="15.75" customHeight="1" x14ac:dyDescent="0.3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101"/>
      <c r="O850" s="101"/>
      <c r="P850" s="102"/>
      <c r="Q850" s="102"/>
      <c r="R850" s="102"/>
      <c r="S850" s="5"/>
    </row>
    <row r="851" spans="1:19" ht="15.75" customHeight="1" x14ac:dyDescent="0.3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101"/>
      <c r="O851" s="101"/>
      <c r="P851" s="102"/>
      <c r="Q851" s="102"/>
      <c r="R851" s="102"/>
      <c r="S851" s="5"/>
    </row>
    <row r="852" spans="1:19" ht="15.75" customHeight="1" x14ac:dyDescent="0.3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101"/>
      <c r="O852" s="101"/>
      <c r="P852" s="102"/>
      <c r="Q852" s="102"/>
      <c r="R852" s="102"/>
      <c r="S852" s="5"/>
    </row>
    <row r="853" spans="1:19" ht="15.75" customHeight="1" x14ac:dyDescent="0.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101"/>
      <c r="O853" s="101"/>
      <c r="P853" s="102"/>
      <c r="Q853" s="102"/>
      <c r="R853" s="102"/>
      <c r="S853" s="5"/>
    </row>
    <row r="854" spans="1:19" ht="15.75" customHeight="1" x14ac:dyDescent="0.3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101"/>
      <c r="O854" s="101"/>
      <c r="P854" s="102"/>
      <c r="Q854" s="102"/>
      <c r="R854" s="102"/>
      <c r="S854" s="5"/>
    </row>
    <row r="855" spans="1:19" ht="15.75" customHeight="1" x14ac:dyDescent="0.3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101"/>
      <c r="O855" s="101"/>
      <c r="P855" s="102"/>
      <c r="Q855" s="102"/>
      <c r="R855" s="102"/>
      <c r="S855" s="5"/>
    </row>
    <row r="856" spans="1:19" ht="15.75" customHeight="1" x14ac:dyDescent="0.3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101"/>
      <c r="O856" s="101"/>
      <c r="P856" s="102"/>
      <c r="Q856" s="102"/>
      <c r="R856" s="102"/>
      <c r="S856" s="5"/>
    </row>
    <row r="857" spans="1:19" ht="15.75" customHeight="1" x14ac:dyDescent="0.3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101"/>
      <c r="O857" s="101"/>
      <c r="P857" s="102"/>
      <c r="Q857" s="102"/>
      <c r="R857" s="102"/>
      <c r="S857" s="5"/>
    </row>
    <row r="858" spans="1:19" ht="15.75" customHeight="1" x14ac:dyDescent="0.3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101"/>
      <c r="O858" s="101"/>
      <c r="P858" s="102"/>
      <c r="Q858" s="102"/>
      <c r="R858" s="102"/>
      <c r="S858" s="5"/>
    </row>
    <row r="859" spans="1:19" ht="15.75" customHeight="1" x14ac:dyDescent="0.3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101"/>
      <c r="O859" s="101"/>
      <c r="P859" s="102"/>
      <c r="Q859" s="102"/>
      <c r="R859" s="102"/>
      <c r="S859" s="5"/>
    </row>
    <row r="860" spans="1:19" ht="15.75" customHeight="1" x14ac:dyDescent="0.3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101"/>
      <c r="O860" s="101"/>
      <c r="P860" s="102"/>
      <c r="Q860" s="102"/>
      <c r="R860" s="102"/>
      <c r="S860" s="5"/>
    </row>
    <row r="861" spans="1:19" ht="15.75" customHeight="1" x14ac:dyDescent="0.3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101"/>
      <c r="O861" s="101"/>
      <c r="P861" s="102"/>
      <c r="Q861" s="102"/>
      <c r="R861" s="102"/>
      <c r="S861" s="5"/>
    </row>
    <row r="862" spans="1:19" ht="15.75" customHeight="1" x14ac:dyDescent="0.3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101"/>
      <c r="O862" s="101"/>
      <c r="P862" s="102"/>
      <c r="Q862" s="102"/>
      <c r="R862" s="102"/>
      <c r="S862" s="5"/>
    </row>
    <row r="863" spans="1:19" ht="15.75" customHeight="1" x14ac:dyDescent="0.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101"/>
      <c r="O863" s="101"/>
      <c r="P863" s="102"/>
      <c r="Q863" s="102"/>
      <c r="R863" s="102"/>
      <c r="S863" s="5"/>
    </row>
    <row r="864" spans="1:19" ht="15.75" customHeight="1" x14ac:dyDescent="0.3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101"/>
      <c r="O864" s="101"/>
      <c r="P864" s="102"/>
      <c r="Q864" s="102"/>
      <c r="R864" s="102"/>
      <c r="S864" s="5"/>
    </row>
    <row r="865" spans="1:19" ht="15.75" customHeight="1" x14ac:dyDescent="0.3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101"/>
      <c r="O865" s="101"/>
      <c r="P865" s="102"/>
      <c r="Q865" s="102"/>
      <c r="R865" s="102"/>
      <c r="S865" s="5"/>
    </row>
    <row r="866" spans="1:19" ht="15.75" customHeight="1" x14ac:dyDescent="0.3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101"/>
      <c r="O866" s="101"/>
      <c r="P866" s="102"/>
      <c r="Q866" s="102"/>
      <c r="R866" s="102"/>
      <c r="S866" s="5"/>
    </row>
    <row r="867" spans="1:19" ht="15.75" customHeight="1" x14ac:dyDescent="0.3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101"/>
      <c r="O867" s="101"/>
      <c r="P867" s="102"/>
      <c r="Q867" s="102"/>
      <c r="R867" s="102"/>
      <c r="S867" s="5"/>
    </row>
    <row r="868" spans="1:19" ht="15.75" customHeight="1" x14ac:dyDescent="0.3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101"/>
      <c r="O868" s="101"/>
      <c r="P868" s="102"/>
      <c r="Q868" s="102"/>
      <c r="R868" s="102"/>
      <c r="S868" s="5"/>
    </row>
    <row r="869" spans="1:19" ht="15.75" customHeight="1" x14ac:dyDescent="0.3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101"/>
      <c r="O869" s="101"/>
      <c r="P869" s="102"/>
      <c r="Q869" s="102"/>
      <c r="R869" s="102"/>
      <c r="S869" s="5"/>
    </row>
    <row r="870" spans="1:19" ht="15.75" customHeight="1" x14ac:dyDescent="0.3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101"/>
      <c r="O870" s="101"/>
      <c r="P870" s="102"/>
      <c r="Q870" s="102"/>
      <c r="R870" s="102"/>
      <c r="S870" s="5"/>
    </row>
    <row r="871" spans="1:19" ht="15.75" customHeight="1" x14ac:dyDescent="0.3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101"/>
      <c r="O871" s="101"/>
      <c r="P871" s="102"/>
      <c r="Q871" s="102"/>
      <c r="R871" s="102"/>
      <c r="S871" s="5"/>
    </row>
    <row r="872" spans="1:19" ht="15.75" customHeight="1" x14ac:dyDescent="0.3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101"/>
      <c r="O872" s="101"/>
      <c r="P872" s="102"/>
      <c r="Q872" s="102"/>
      <c r="R872" s="102"/>
      <c r="S872" s="5"/>
    </row>
    <row r="873" spans="1:19" ht="15.75" customHeight="1" x14ac:dyDescent="0.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101"/>
      <c r="O873" s="101"/>
      <c r="P873" s="102"/>
      <c r="Q873" s="102"/>
      <c r="R873" s="102"/>
      <c r="S873" s="5"/>
    </row>
    <row r="874" spans="1:19" ht="15.75" customHeight="1" x14ac:dyDescent="0.3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101"/>
      <c r="O874" s="101"/>
      <c r="P874" s="102"/>
      <c r="Q874" s="102"/>
      <c r="R874" s="102"/>
      <c r="S874" s="5"/>
    </row>
    <row r="875" spans="1:19" ht="15.75" customHeight="1" x14ac:dyDescent="0.3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101"/>
      <c r="O875" s="101"/>
      <c r="P875" s="102"/>
      <c r="Q875" s="102"/>
      <c r="R875" s="102"/>
      <c r="S875" s="5"/>
    </row>
    <row r="876" spans="1:19" ht="15.75" customHeight="1" x14ac:dyDescent="0.3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101"/>
      <c r="O876" s="101"/>
      <c r="P876" s="102"/>
      <c r="Q876" s="102"/>
      <c r="R876" s="102"/>
      <c r="S876" s="5"/>
    </row>
    <row r="877" spans="1:19" ht="15.75" customHeight="1" x14ac:dyDescent="0.3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101"/>
      <c r="O877" s="101"/>
      <c r="P877" s="102"/>
      <c r="Q877" s="102"/>
      <c r="R877" s="102"/>
      <c r="S877" s="5"/>
    </row>
    <row r="878" spans="1:19" ht="15.75" customHeight="1" x14ac:dyDescent="0.3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101"/>
      <c r="O878" s="101"/>
      <c r="P878" s="102"/>
      <c r="Q878" s="102"/>
      <c r="R878" s="102"/>
      <c r="S878" s="5"/>
    </row>
    <row r="879" spans="1:19" ht="15.75" customHeight="1" x14ac:dyDescent="0.3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101"/>
      <c r="O879" s="101"/>
      <c r="P879" s="102"/>
      <c r="Q879" s="102"/>
      <c r="R879" s="102"/>
      <c r="S879" s="5"/>
    </row>
    <row r="880" spans="1:19" ht="15.75" customHeight="1" x14ac:dyDescent="0.3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101"/>
      <c r="O880" s="101"/>
      <c r="P880" s="102"/>
      <c r="Q880" s="102"/>
      <c r="R880" s="102"/>
      <c r="S880" s="5"/>
    </row>
    <row r="881" spans="1:19" ht="15.75" customHeight="1" x14ac:dyDescent="0.3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101"/>
      <c r="O881" s="101"/>
      <c r="P881" s="102"/>
      <c r="Q881" s="102"/>
      <c r="R881" s="102"/>
      <c r="S881" s="5"/>
    </row>
    <row r="882" spans="1:19" ht="15.75" customHeight="1" x14ac:dyDescent="0.3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101"/>
      <c r="O882" s="101"/>
      <c r="P882" s="102"/>
      <c r="Q882" s="102"/>
      <c r="R882" s="102"/>
      <c r="S882" s="5"/>
    </row>
    <row r="883" spans="1:19" ht="15.75" customHeight="1" x14ac:dyDescent="0.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101"/>
      <c r="O883" s="101"/>
      <c r="P883" s="102"/>
      <c r="Q883" s="102"/>
      <c r="R883" s="102"/>
      <c r="S883" s="5"/>
    </row>
    <row r="884" spans="1:19" ht="15.75" customHeight="1" x14ac:dyDescent="0.3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101"/>
      <c r="O884" s="101"/>
      <c r="P884" s="102"/>
      <c r="Q884" s="102"/>
      <c r="R884" s="102"/>
      <c r="S884" s="5"/>
    </row>
    <row r="885" spans="1:19" ht="15.75" customHeight="1" x14ac:dyDescent="0.3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101"/>
      <c r="O885" s="101"/>
      <c r="P885" s="102"/>
      <c r="Q885" s="102"/>
      <c r="R885" s="102"/>
      <c r="S885" s="5"/>
    </row>
    <row r="886" spans="1:19" ht="15.75" customHeight="1" x14ac:dyDescent="0.3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101"/>
      <c r="O886" s="101"/>
      <c r="P886" s="102"/>
      <c r="Q886" s="102"/>
      <c r="R886" s="102"/>
      <c r="S886" s="5"/>
    </row>
    <row r="887" spans="1:19" ht="15.75" customHeight="1" x14ac:dyDescent="0.3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101"/>
      <c r="O887" s="101"/>
      <c r="P887" s="102"/>
      <c r="Q887" s="102"/>
      <c r="R887" s="102"/>
      <c r="S887" s="5"/>
    </row>
    <row r="888" spans="1:19" ht="15.75" customHeight="1" x14ac:dyDescent="0.3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101"/>
      <c r="O888" s="101"/>
      <c r="P888" s="102"/>
      <c r="Q888" s="102"/>
      <c r="R888" s="102"/>
      <c r="S888" s="5"/>
    </row>
    <row r="889" spans="1:19" ht="15.75" customHeight="1" x14ac:dyDescent="0.3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101"/>
      <c r="O889" s="101"/>
      <c r="P889" s="102"/>
      <c r="Q889" s="102"/>
      <c r="R889" s="102"/>
      <c r="S889" s="5"/>
    </row>
    <row r="890" spans="1:19" ht="15.75" customHeight="1" x14ac:dyDescent="0.3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101"/>
      <c r="O890" s="101"/>
      <c r="P890" s="102"/>
      <c r="Q890" s="102"/>
      <c r="R890" s="102"/>
      <c r="S890" s="5"/>
    </row>
    <row r="891" spans="1:19" ht="15.75" customHeight="1" x14ac:dyDescent="0.3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101"/>
      <c r="O891" s="101"/>
      <c r="P891" s="102"/>
      <c r="Q891" s="102"/>
      <c r="R891" s="102"/>
      <c r="S891" s="5"/>
    </row>
    <row r="892" spans="1:19" ht="15.75" customHeight="1" x14ac:dyDescent="0.3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101"/>
      <c r="O892" s="101"/>
      <c r="P892" s="102"/>
      <c r="Q892" s="102"/>
      <c r="R892" s="102"/>
      <c r="S892" s="5"/>
    </row>
    <row r="893" spans="1:19" ht="15.75" customHeight="1" x14ac:dyDescent="0.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101"/>
      <c r="O893" s="101"/>
      <c r="P893" s="102"/>
      <c r="Q893" s="102"/>
      <c r="R893" s="102"/>
      <c r="S893" s="5"/>
    </row>
    <row r="894" spans="1:19" ht="15.75" customHeight="1" x14ac:dyDescent="0.3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101"/>
      <c r="O894" s="101"/>
      <c r="P894" s="102"/>
      <c r="Q894" s="102"/>
      <c r="R894" s="102"/>
      <c r="S894" s="5"/>
    </row>
    <row r="895" spans="1:19" ht="15.75" customHeight="1" x14ac:dyDescent="0.3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101"/>
      <c r="O895" s="101"/>
      <c r="P895" s="102"/>
      <c r="Q895" s="102"/>
      <c r="R895" s="102"/>
      <c r="S895" s="5"/>
    </row>
    <row r="896" spans="1:19" ht="15.75" customHeight="1" x14ac:dyDescent="0.3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101"/>
      <c r="O896" s="101"/>
      <c r="P896" s="102"/>
      <c r="Q896" s="102"/>
      <c r="R896" s="102"/>
      <c r="S896" s="5"/>
    </row>
    <row r="897" spans="1:19" ht="15.75" customHeight="1" x14ac:dyDescent="0.3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101"/>
      <c r="O897" s="101"/>
      <c r="P897" s="102"/>
      <c r="Q897" s="102"/>
      <c r="R897" s="102"/>
      <c r="S897" s="5"/>
    </row>
    <row r="898" spans="1:19" ht="15.75" customHeight="1" x14ac:dyDescent="0.3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101"/>
      <c r="O898" s="101"/>
      <c r="P898" s="102"/>
      <c r="Q898" s="102"/>
      <c r="R898" s="102"/>
      <c r="S898" s="5"/>
    </row>
    <row r="899" spans="1:19" ht="15.75" customHeight="1" x14ac:dyDescent="0.3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101"/>
      <c r="O899" s="101"/>
      <c r="P899" s="102"/>
      <c r="Q899" s="102"/>
      <c r="R899" s="102"/>
      <c r="S899" s="5"/>
    </row>
    <row r="900" spans="1:19" ht="15.75" customHeight="1" x14ac:dyDescent="0.3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101"/>
      <c r="O900" s="101"/>
      <c r="P900" s="102"/>
      <c r="Q900" s="102"/>
      <c r="R900" s="102"/>
      <c r="S900" s="5"/>
    </row>
    <row r="901" spans="1:19" ht="15.75" customHeight="1" x14ac:dyDescent="0.3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101"/>
      <c r="O901" s="101"/>
      <c r="P901" s="102"/>
      <c r="Q901" s="102"/>
      <c r="R901" s="102"/>
      <c r="S901" s="5"/>
    </row>
    <row r="902" spans="1:19" ht="15.75" customHeight="1" x14ac:dyDescent="0.3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101"/>
      <c r="O902" s="101"/>
      <c r="P902" s="102"/>
      <c r="Q902" s="102"/>
      <c r="R902" s="102"/>
      <c r="S902" s="5"/>
    </row>
    <row r="903" spans="1:19" ht="15.75" customHeight="1" x14ac:dyDescent="0.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101"/>
      <c r="O903" s="101"/>
      <c r="P903" s="102"/>
      <c r="Q903" s="102"/>
      <c r="R903" s="102"/>
      <c r="S903" s="5"/>
    </row>
    <row r="904" spans="1:19" ht="15.75" customHeight="1" x14ac:dyDescent="0.3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101"/>
      <c r="O904" s="101"/>
      <c r="P904" s="102"/>
      <c r="Q904" s="102"/>
      <c r="R904" s="102"/>
      <c r="S904" s="5"/>
    </row>
    <row r="905" spans="1:19" ht="15.75" customHeight="1" x14ac:dyDescent="0.3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101"/>
      <c r="O905" s="101"/>
      <c r="P905" s="102"/>
      <c r="Q905" s="102"/>
      <c r="R905" s="102"/>
      <c r="S905" s="5"/>
    </row>
    <row r="906" spans="1:19" ht="15.75" customHeight="1" x14ac:dyDescent="0.3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101"/>
      <c r="O906" s="101"/>
      <c r="P906" s="102"/>
      <c r="Q906" s="102"/>
      <c r="R906" s="102"/>
      <c r="S906" s="5"/>
    </row>
    <row r="907" spans="1:19" ht="15.75" customHeight="1" x14ac:dyDescent="0.3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101"/>
      <c r="O907" s="101"/>
      <c r="P907" s="102"/>
      <c r="Q907" s="102"/>
      <c r="R907" s="102"/>
      <c r="S907" s="5"/>
    </row>
    <row r="908" spans="1:19" ht="15.75" customHeight="1" x14ac:dyDescent="0.3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101"/>
      <c r="O908" s="101"/>
      <c r="P908" s="102"/>
      <c r="Q908" s="102"/>
      <c r="R908" s="102"/>
      <c r="S908" s="5"/>
    </row>
    <row r="909" spans="1:19" ht="15.75" customHeight="1" x14ac:dyDescent="0.3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101"/>
      <c r="O909" s="101"/>
      <c r="P909" s="102"/>
      <c r="Q909" s="102"/>
      <c r="R909" s="102"/>
      <c r="S909" s="5"/>
    </row>
    <row r="910" spans="1:19" ht="15.75" customHeight="1" x14ac:dyDescent="0.3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101"/>
      <c r="O910" s="101"/>
      <c r="P910" s="102"/>
      <c r="Q910" s="102"/>
      <c r="R910" s="102"/>
      <c r="S910" s="5"/>
    </row>
    <row r="911" spans="1:19" ht="15.75" customHeight="1" x14ac:dyDescent="0.3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101"/>
      <c r="O911" s="101"/>
      <c r="P911" s="102"/>
      <c r="Q911" s="102"/>
      <c r="R911" s="102"/>
      <c r="S911" s="5"/>
    </row>
    <row r="912" spans="1:19" ht="15.75" customHeight="1" x14ac:dyDescent="0.3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101"/>
      <c r="O912" s="101"/>
      <c r="P912" s="102"/>
      <c r="Q912" s="102"/>
      <c r="R912" s="102"/>
      <c r="S912" s="5"/>
    </row>
    <row r="913" spans="1:19" ht="15.75" customHeight="1" x14ac:dyDescent="0.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101"/>
      <c r="O913" s="101"/>
      <c r="P913" s="102"/>
      <c r="Q913" s="102"/>
      <c r="R913" s="102"/>
      <c r="S913" s="5"/>
    </row>
    <row r="914" spans="1:19" ht="15.75" customHeight="1" x14ac:dyDescent="0.3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101"/>
      <c r="O914" s="101"/>
      <c r="P914" s="102"/>
      <c r="Q914" s="102"/>
      <c r="R914" s="102"/>
      <c r="S914" s="5"/>
    </row>
    <row r="915" spans="1:19" ht="15.75" customHeight="1" x14ac:dyDescent="0.3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101"/>
      <c r="O915" s="101"/>
      <c r="P915" s="102"/>
      <c r="Q915" s="102"/>
      <c r="R915" s="102"/>
      <c r="S915" s="5"/>
    </row>
    <row r="916" spans="1:19" ht="15.75" customHeight="1" x14ac:dyDescent="0.3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101"/>
      <c r="O916" s="101"/>
      <c r="P916" s="102"/>
      <c r="Q916" s="102"/>
      <c r="R916" s="102"/>
      <c r="S916" s="5"/>
    </row>
    <row r="917" spans="1:19" ht="15.75" customHeight="1" x14ac:dyDescent="0.3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101"/>
      <c r="O917" s="101"/>
      <c r="P917" s="102"/>
      <c r="Q917" s="102"/>
      <c r="R917" s="102"/>
      <c r="S917" s="5"/>
    </row>
    <row r="918" spans="1:19" ht="15.75" customHeight="1" x14ac:dyDescent="0.3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101"/>
      <c r="O918" s="101"/>
      <c r="P918" s="102"/>
      <c r="Q918" s="102"/>
      <c r="R918" s="102"/>
      <c r="S918" s="5"/>
    </row>
    <row r="919" spans="1:19" ht="15.75" customHeight="1" x14ac:dyDescent="0.3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101"/>
      <c r="O919" s="101"/>
      <c r="P919" s="102"/>
      <c r="Q919" s="102"/>
      <c r="R919" s="102"/>
      <c r="S919" s="5"/>
    </row>
    <row r="920" spans="1:19" ht="15.75" customHeight="1" x14ac:dyDescent="0.3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101"/>
      <c r="O920" s="101"/>
      <c r="P920" s="102"/>
      <c r="Q920" s="102"/>
      <c r="R920" s="102"/>
      <c r="S920" s="5"/>
    </row>
    <row r="921" spans="1:19" ht="15.75" customHeight="1" x14ac:dyDescent="0.3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101"/>
      <c r="O921" s="101"/>
      <c r="P921" s="102"/>
      <c r="Q921" s="102"/>
      <c r="R921" s="102"/>
      <c r="S921" s="5"/>
    </row>
    <row r="922" spans="1:19" ht="15.75" customHeight="1" x14ac:dyDescent="0.3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101"/>
      <c r="O922" s="101"/>
      <c r="P922" s="102"/>
      <c r="Q922" s="102"/>
      <c r="R922" s="102"/>
      <c r="S922" s="5"/>
    </row>
    <row r="923" spans="1:19" ht="15.75" customHeight="1" x14ac:dyDescent="0.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101"/>
      <c r="O923" s="101"/>
      <c r="P923" s="102"/>
      <c r="Q923" s="102"/>
      <c r="R923" s="102"/>
      <c r="S923" s="5"/>
    </row>
    <row r="924" spans="1:19" ht="15.75" customHeight="1" x14ac:dyDescent="0.3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101"/>
      <c r="O924" s="101"/>
      <c r="P924" s="102"/>
      <c r="Q924" s="102"/>
      <c r="R924" s="102"/>
      <c r="S924" s="5"/>
    </row>
    <row r="925" spans="1:19" ht="15.75" customHeight="1" x14ac:dyDescent="0.3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101"/>
      <c r="O925" s="101"/>
      <c r="P925" s="102"/>
      <c r="Q925" s="102"/>
      <c r="R925" s="102"/>
      <c r="S925" s="5"/>
    </row>
    <row r="926" spans="1:19" ht="15.75" customHeight="1" x14ac:dyDescent="0.3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101"/>
      <c r="O926" s="101"/>
      <c r="P926" s="102"/>
      <c r="Q926" s="102"/>
      <c r="R926" s="102"/>
      <c r="S926" s="5"/>
    </row>
    <row r="927" spans="1:19" ht="15.75" customHeight="1" x14ac:dyDescent="0.3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101"/>
      <c r="O927" s="101"/>
      <c r="P927" s="102"/>
      <c r="Q927" s="102"/>
      <c r="R927" s="102"/>
      <c r="S927" s="5"/>
    </row>
    <row r="928" spans="1:19" ht="15.75" customHeight="1" x14ac:dyDescent="0.3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101"/>
      <c r="O928" s="101"/>
      <c r="P928" s="102"/>
      <c r="Q928" s="102"/>
      <c r="R928" s="102"/>
      <c r="S928" s="5"/>
    </row>
    <row r="929" spans="1:19" ht="15.75" customHeight="1" x14ac:dyDescent="0.3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101"/>
      <c r="O929" s="101"/>
      <c r="P929" s="102"/>
      <c r="Q929" s="102"/>
      <c r="R929" s="102"/>
      <c r="S929" s="5"/>
    </row>
    <row r="930" spans="1:19" ht="15.75" customHeight="1" x14ac:dyDescent="0.3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101"/>
      <c r="O930" s="101"/>
      <c r="P930" s="102"/>
      <c r="Q930" s="102"/>
      <c r="R930" s="102"/>
      <c r="S930" s="5"/>
    </row>
    <row r="931" spans="1:19" ht="15.75" customHeight="1" x14ac:dyDescent="0.3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101"/>
      <c r="O931" s="101"/>
      <c r="P931" s="102"/>
      <c r="Q931" s="102"/>
      <c r="R931" s="102"/>
      <c r="S931" s="5"/>
    </row>
    <row r="932" spans="1:19" ht="15.75" customHeight="1" x14ac:dyDescent="0.3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101"/>
      <c r="O932" s="101"/>
      <c r="P932" s="102"/>
      <c r="Q932" s="102"/>
      <c r="R932" s="102"/>
      <c r="S932" s="5"/>
    </row>
    <row r="933" spans="1:19" ht="15.75" customHeight="1" x14ac:dyDescent="0.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101"/>
      <c r="O933" s="101"/>
      <c r="P933" s="102"/>
      <c r="Q933" s="102"/>
      <c r="R933" s="102"/>
      <c r="S933" s="5"/>
    </row>
    <row r="934" spans="1:19" ht="15.75" customHeight="1" x14ac:dyDescent="0.3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101"/>
      <c r="O934" s="101"/>
      <c r="P934" s="102"/>
      <c r="Q934" s="102"/>
      <c r="R934" s="102"/>
      <c r="S934" s="5"/>
    </row>
    <row r="935" spans="1:19" ht="15.75" customHeight="1" x14ac:dyDescent="0.3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101"/>
      <c r="O935" s="101"/>
      <c r="P935" s="102"/>
      <c r="Q935" s="102"/>
      <c r="R935" s="102"/>
      <c r="S935" s="5"/>
    </row>
    <row r="936" spans="1:19" ht="15.75" customHeight="1" x14ac:dyDescent="0.3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101"/>
      <c r="O936" s="101"/>
      <c r="P936" s="102"/>
      <c r="Q936" s="102"/>
      <c r="R936" s="102"/>
      <c r="S936" s="5"/>
    </row>
    <row r="937" spans="1:19" ht="15.75" customHeight="1" x14ac:dyDescent="0.3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101"/>
      <c r="O937" s="101"/>
      <c r="P937" s="102"/>
      <c r="Q937" s="102"/>
      <c r="R937" s="102"/>
      <c r="S937" s="5"/>
    </row>
    <row r="938" spans="1:19" ht="15.75" customHeight="1" x14ac:dyDescent="0.3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101"/>
      <c r="O938" s="101"/>
      <c r="P938" s="102"/>
      <c r="Q938" s="102"/>
      <c r="R938" s="102"/>
      <c r="S938" s="5"/>
    </row>
    <row r="939" spans="1:19" ht="15.75" customHeight="1" x14ac:dyDescent="0.3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101"/>
      <c r="O939" s="101"/>
      <c r="P939" s="102"/>
      <c r="Q939" s="102"/>
      <c r="R939" s="102"/>
      <c r="S939" s="5"/>
    </row>
    <row r="940" spans="1:19" ht="15.75" customHeight="1" x14ac:dyDescent="0.3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101"/>
      <c r="O940" s="101"/>
      <c r="P940" s="102"/>
      <c r="Q940" s="102"/>
      <c r="R940" s="102"/>
      <c r="S940" s="5"/>
    </row>
    <row r="941" spans="1:19" ht="15.75" customHeight="1" x14ac:dyDescent="0.3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101"/>
      <c r="O941" s="101"/>
      <c r="P941" s="102"/>
      <c r="Q941" s="102"/>
      <c r="R941" s="102"/>
      <c r="S941" s="5"/>
    </row>
    <row r="942" spans="1:19" ht="15.75" customHeight="1" x14ac:dyDescent="0.3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101"/>
      <c r="O942" s="101"/>
      <c r="P942" s="102"/>
      <c r="Q942" s="102"/>
      <c r="R942" s="102"/>
      <c r="S942" s="5"/>
    </row>
    <row r="943" spans="1:19" ht="15.75" customHeight="1" x14ac:dyDescent="0.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101"/>
      <c r="O943" s="101"/>
      <c r="P943" s="102"/>
      <c r="Q943" s="102"/>
      <c r="R943" s="102"/>
      <c r="S943" s="5"/>
    </row>
    <row r="944" spans="1:19" ht="15.75" customHeight="1" x14ac:dyDescent="0.3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101"/>
      <c r="O944" s="101"/>
      <c r="P944" s="102"/>
      <c r="Q944" s="102"/>
      <c r="R944" s="102"/>
      <c r="S944" s="5"/>
    </row>
    <row r="945" spans="1:19" ht="15.75" customHeight="1" x14ac:dyDescent="0.3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101"/>
      <c r="O945" s="101"/>
      <c r="P945" s="102"/>
      <c r="Q945" s="102"/>
      <c r="R945" s="102"/>
      <c r="S945" s="5"/>
    </row>
    <row r="946" spans="1:19" ht="15.75" customHeight="1" x14ac:dyDescent="0.3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101"/>
      <c r="O946" s="101"/>
      <c r="P946" s="102"/>
      <c r="Q946" s="102"/>
      <c r="R946" s="102"/>
      <c r="S946" s="5"/>
    </row>
    <row r="947" spans="1:19" ht="15.75" customHeight="1" x14ac:dyDescent="0.3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101"/>
      <c r="O947" s="101"/>
      <c r="P947" s="102"/>
      <c r="Q947" s="102"/>
      <c r="R947" s="102"/>
      <c r="S947" s="5"/>
    </row>
    <row r="948" spans="1:19" ht="15.75" customHeight="1" x14ac:dyDescent="0.3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101"/>
      <c r="O948" s="101"/>
      <c r="P948" s="102"/>
      <c r="Q948" s="102"/>
      <c r="R948" s="102"/>
      <c r="S948" s="5"/>
    </row>
    <row r="949" spans="1:19" ht="15.75" customHeight="1" x14ac:dyDescent="0.3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101"/>
      <c r="O949" s="101"/>
      <c r="P949" s="102"/>
      <c r="Q949" s="102"/>
      <c r="R949" s="102"/>
      <c r="S949" s="5"/>
    </row>
    <row r="950" spans="1:19" ht="15.75" customHeight="1" x14ac:dyDescent="0.3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101"/>
      <c r="O950" s="101"/>
      <c r="P950" s="102"/>
      <c r="Q950" s="102"/>
      <c r="R950" s="102"/>
      <c r="S950" s="5"/>
    </row>
    <row r="951" spans="1:19" ht="15.75" customHeight="1" x14ac:dyDescent="0.3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101"/>
      <c r="O951" s="101"/>
      <c r="P951" s="102"/>
      <c r="Q951" s="102"/>
      <c r="R951" s="102"/>
      <c r="S951" s="5"/>
    </row>
    <row r="952" spans="1:19" ht="15.75" customHeight="1" x14ac:dyDescent="0.3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101"/>
      <c r="O952" s="101"/>
      <c r="P952" s="102"/>
      <c r="Q952" s="102"/>
      <c r="R952" s="102"/>
      <c r="S952" s="5"/>
    </row>
    <row r="953" spans="1:19" ht="15.75" customHeight="1" x14ac:dyDescent="0.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101"/>
      <c r="O953" s="101"/>
      <c r="P953" s="102"/>
      <c r="Q953" s="102"/>
      <c r="R953" s="102"/>
      <c r="S953" s="5"/>
    </row>
    <row r="954" spans="1:19" ht="15.75" customHeight="1" x14ac:dyDescent="0.3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101"/>
      <c r="O954" s="101"/>
      <c r="P954" s="102"/>
      <c r="Q954" s="102"/>
      <c r="R954" s="102"/>
      <c r="S954" s="5"/>
    </row>
    <row r="955" spans="1:19" ht="15.75" customHeight="1" x14ac:dyDescent="0.3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101"/>
      <c r="O955" s="101"/>
      <c r="P955" s="102"/>
      <c r="Q955" s="102"/>
      <c r="R955" s="102"/>
      <c r="S955" s="5"/>
    </row>
    <row r="956" spans="1:19" ht="15.75" customHeight="1" x14ac:dyDescent="0.3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101"/>
      <c r="O956" s="101"/>
      <c r="P956" s="102"/>
      <c r="Q956" s="102"/>
      <c r="R956" s="102"/>
      <c r="S956" s="5"/>
    </row>
    <row r="957" spans="1:19" ht="15.75" customHeight="1" x14ac:dyDescent="0.3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101"/>
      <c r="O957" s="101"/>
      <c r="P957" s="102"/>
      <c r="Q957" s="102"/>
      <c r="R957" s="102"/>
      <c r="S957" s="5"/>
    </row>
    <row r="958" spans="1:19" ht="15.75" customHeight="1" x14ac:dyDescent="0.3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101"/>
      <c r="O958" s="101"/>
      <c r="P958" s="102"/>
      <c r="Q958" s="102"/>
      <c r="R958" s="102"/>
      <c r="S958" s="5"/>
    </row>
    <row r="959" spans="1:19" ht="15.75" customHeight="1" x14ac:dyDescent="0.3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101"/>
      <c r="O959" s="101"/>
      <c r="P959" s="102"/>
      <c r="Q959" s="102"/>
      <c r="R959" s="102"/>
      <c r="S959" s="5"/>
    </row>
    <row r="960" spans="1:19" ht="15.75" customHeight="1" x14ac:dyDescent="0.3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101"/>
      <c r="O960" s="101"/>
      <c r="P960" s="102"/>
      <c r="Q960" s="102"/>
      <c r="R960" s="102"/>
      <c r="S960" s="5"/>
    </row>
    <row r="961" spans="1:19" ht="15.75" customHeight="1" x14ac:dyDescent="0.3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101"/>
      <c r="O961" s="101"/>
      <c r="P961" s="102"/>
      <c r="Q961" s="102"/>
      <c r="R961" s="102"/>
      <c r="S961" s="5"/>
    </row>
    <row r="962" spans="1:19" ht="15.75" customHeight="1" x14ac:dyDescent="0.3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101"/>
      <c r="O962" s="101"/>
      <c r="P962" s="102"/>
      <c r="Q962" s="102"/>
      <c r="R962" s="102"/>
      <c r="S962" s="5"/>
    </row>
    <row r="963" spans="1:19" ht="15.75" customHeight="1" x14ac:dyDescent="0.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101"/>
      <c r="O963" s="101"/>
      <c r="P963" s="102"/>
      <c r="Q963" s="102"/>
      <c r="R963" s="102"/>
      <c r="S963" s="5"/>
    </row>
    <row r="964" spans="1:19" ht="15.75" customHeight="1" x14ac:dyDescent="0.3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101"/>
      <c r="O964" s="101"/>
      <c r="P964" s="102"/>
      <c r="Q964" s="102"/>
      <c r="R964" s="102"/>
      <c r="S964" s="5"/>
    </row>
    <row r="965" spans="1:19" ht="15.75" customHeight="1" x14ac:dyDescent="0.3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101"/>
      <c r="O965" s="101"/>
      <c r="P965" s="102"/>
      <c r="Q965" s="102"/>
      <c r="R965" s="102"/>
      <c r="S965" s="5"/>
    </row>
    <row r="966" spans="1:19" ht="15.75" customHeight="1" x14ac:dyDescent="0.3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101"/>
      <c r="O966" s="101"/>
      <c r="P966" s="102"/>
      <c r="Q966" s="102"/>
      <c r="R966" s="102"/>
      <c r="S966" s="5"/>
    </row>
    <row r="967" spans="1:19" ht="15.75" customHeight="1" x14ac:dyDescent="0.3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101"/>
      <c r="O967" s="101"/>
      <c r="P967" s="102"/>
      <c r="Q967" s="102"/>
      <c r="R967" s="102"/>
      <c r="S967" s="5"/>
    </row>
    <row r="968" spans="1:19" ht="15.75" customHeight="1" x14ac:dyDescent="0.3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101"/>
      <c r="O968" s="101"/>
      <c r="P968" s="102"/>
      <c r="Q968" s="102"/>
      <c r="R968" s="102"/>
      <c r="S968" s="5"/>
    </row>
    <row r="969" spans="1:19" ht="15.75" customHeight="1" x14ac:dyDescent="0.3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101"/>
      <c r="O969" s="101"/>
      <c r="P969" s="102"/>
      <c r="Q969" s="102"/>
      <c r="R969" s="102"/>
      <c r="S969" s="5"/>
    </row>
    <row r="970" spans="1:19" ht="15.75" customHeight="1" x14ac:dyDescent="0.3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101"/>
      <c r="O970" s="101"/>
      <c r="P970" s="102"/>
      <c r="Q970" s="102"/>
      <c r="R970" s="102"/>
      <c r="S970" s="5"/>
    </row>
    <row r="971" spans="1:19" ht="15.75" customHeight="1" x14ac:dyDescent="0.3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101"/>
      <c r="O971" s="101"/>
      <c r="P971" s="102"/>
      <c r="Q971" s="102"/>
      <c r="R971" s="102"/>
      <c r="S971" s="5"/>
    </row>
    <row r="972" spans="1:19" ht="15.75" customHeight="1" x14ac:dyDescent="0.3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101"/>
      <c r="O972" s="101"/>
      <c r="P972" s="102"/>
      <c r="Q972" s="102"/>
      <c r="R972" s="102"/>
      <c r="S972" s="5"/>
    </row>
    <row r="973" spans="1:19" ht="15.75" customHeight="1" x14ac:dyDescent="0.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101"/>
      <c r="O973" s="101"/>
      <c r="P973" s="102"/>
      <c r="Q973" s="102"/>
      <c r="R973" s="102"/>
      <c r="S973" s="5"/>
    </row>
    <row r="974" spans="1:19" ht="15.75" customHeight="1" x14ac:dyDescent="0.3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101"/>
      <c r="O974" s="101"/>
      <c r="P974" s="102"/>
      <c r="Q974" s="102"/>
      <c r="R974" s="102"/>
      <c r="S974" s="5"/>
    </row>
    <row r="975" spans="1:19" ht="15.75" customHeight="1" x14ac:dyDescent="0.3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101"/>
      <c r="O975" s="101"/>
      <c r="P975" s="102"/>
      <c r="Q975" s="102"/>
      <c r="R975" s="102"/>
      <c r="S975" s="5"/>
    </row>
    <row r="976" spans="1:19" ht="15.75" customHeight="1" x14ac:dyDescent="0.3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101"/>
      <c r="O976" s="101"/>
      <c r="P976" s="102"/>
      <c r="Q976" s="102"/>
      <c r="R976" s="102"/>
      <c r="S976" s="5"/>
    </row>
    <row r="977" spans="1:19" ht="15.75" customHeight="1" x14ac:dyDescent="0.3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101"/>
      <c r="O977" s="101"/>
      <c r="P977" s="102"/>
      <c r="Q977" s="102"/>
      <c r="R977" s="102"/>
      <c r="S977" s="5"/>
    </row>
    <row r="978" spans="1:19" ht="15.75" customHeight="1" x14ac:dyDescent="0.3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101"/>
      <c r="O978" s="101"/>
      <c r="P978" s="102"/>
      <c r="Q978" s="102"/>
      <c r="R978" s="102"/>
      <c r="S978" s="5"/>
    </row>
    <row r="979" spans="1:19" ht="15.75" customHeight="1" x14ac:dyDescent="0.3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101"/>
      <c r="O979" s="101"/>
      <c r="P979" s="102"/>
      <c r="Q979" s="102"/>
      <c r="R979" s="102"/>
      <c r="S979" s="5"/>
    </row>
    <row r="980" spans="1:19" ht="15.75" customHeight="1" x14ac:dyDescent="0.3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101"/>
      <c r="O980" s="101"/>
      <c r="P980" s="102"/>
      <c r="Q980" s="102"/>
      <c r="R980" s="102"/>
      <c r="S980" s="5"/>
    </row>
    <row r="981" spans="1:19" ht="15.75" customHeight="1" x14ac:dyDescent="0.3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101"/>
      <c r="O981" s="101"/>
      <c r="P981" s="102"/>
      <c r="Q981" s="102"/>
      <c r="R981" s="102"/>
      <c r="S981" s="5"/>
    </row>
    <row r="982" spans="1:19" ht="15.75" customHeight="1" x14ac:dyDescent="0.3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101"/>
      <c r="O982" s="101"/>
      <c r="P982" s="102"/>
      <c r="Q982" s="102"/>
      <c r="R982" s="102"/>
      <c r="S982" s="5"/>
    </row>
    <row r="983" spans="1:19" ht="15.75" customHeight="1" x14ac:dyDescent="0.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101"/>
      <c r="O983" s="101"/>
      <c r="P983" s="102"/>
      <c r="Q983" s="102"/>
      <c r="R983" s="102"/>
      <c r="S983" s="5"/>
    </row>
    <row r="984" spans="1:19" ht="15.75" customHeight="1" x14ac:dyDescent="0.3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101"/>
      <c r="O984" s="101"/>
      <c r="P984" s="102"/>
      <c r="Q984" s="102"/>
      <c r="R984" s="102"/>
      <c r="S984" s="5"/>
    </row>
    <row r="985" spans="1:19" ht="15.75" customHeight="1" x14ac:dyDescent="0.3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101"/>
      <c r="O985" s="101"/>
      <c r="P985" s="102"/>
      <c r="Q985" s="102"/>
      <c r="R985" s="102"/>
      <c r="S985" s="5"/>
    </row>
    <row r="986" spans="1:19" ht="15.75" customHeight="1" x14ac:dyDescent="0.3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101"/>
      <c r="O986" s="101"/>
      <c r="P986" s="102"/>
      <c r="Q986" s="102"/>
      <c r="R986" s="102"/>
      <c r="S986" s="5"/>
    </row>
    <row r="987" spans="1:19" ht="15.75" customHeight="1" x14ac:dyDescent="0.3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101"/>
      <c r="O987" s="101"/>
      <c r="P987" s="102"/>
      <c r="Q987" s="102"/>
      <c r="R987" s="102"/>
      <c r="S987" s="5"/>
    </row>
    <row r="988" spans="1:19" ht="15.75" customHeight="1" x14ac:dyDescent="0.3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101"/>
      <c r="O988" s="101"/>
      <c r="P988" s="102"/>
      <c r="Q988" s="102"/>
      <c r="R988" s="102"/>
      <c r="S988" s="5"/>
    </row>
    <row r="989" spans="1:19" ht="15.75" customHeight="1" x14ac:dyDescent="0.3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101"/>
      <c r="O989" s="101"/>
      <c r="P989" s="102"/>
      <c r="Q989" s="102"/>
      <c r="R989" s="102"/>
      <c r="S989" s="5"/>
    </row>
    <row r="990" spans="1:19" ht="15.75" customHeight="1" x14ac:dyDescent="0.3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101"/>
      <c r="O990" s="101"/>
      <c r="P990" s="102"/>
      <c r="Q990" s="102"/>
      <c r="R990" s="102"/>
      <c r="S990" s="5"/>
    </row>
    <row r="991" spans="1:19" ht="15.75" customHeight="1" x14ac:dyDescent="0.3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101"/>
      <c r="O991" s="101"/>
      <c r="P991" s="102"/>
      <c r="Q991" s="102"/>
      <c r="R991" s="102"/>
      <c r="S991" s="5"/>
    </row>
    <row r="992" spans="1:19" ht="15.75" customHeight="1" x14ac:dyDescent="0.3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101"/>
      <c r="O992" s="101"/>
      <c r="P992" s="102"/>
      <c r="Q992" s="102"/>
      <c r="R992" s="102"/>
      <c r="S992" s="5"/>
    </row>
    <row r="993" spans="1:19" ht="15.75" customHeight="1" x14ac:dyDescent="0.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101"/>
      <c r="O993" s="101"/>
      <c r="P993" s="102"/>
      <c r="Q993" s="102"/>
      <c r="R993" s="102"/>
      <c r="S993" s="5"/>
    </row>
    <row r="994" spans="1:19" ht="15.75" customHeight="1" x14ac:dyDescent="0.3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101"/>
      <c r="O994" s="101"/>
      <c r="P994" s="102"/>
      <c r="Q994" s="102"/>
      <c r="R994" s="102"/>
      <c r="S994" s="5"/>
    </row>
    <row r="995" spans="1:19" ht="15.75" customHeight="1" x14ac:dyDescent="0.3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101"/>
      <c r="O995" s="101"/>
      <c r="P995" s="102"/>
      <c r="Q995" s="102"/>
      <c r="R995" s="102"/>
      <c r="S995" s="5"/>
    </row>
    <row r="996" spans="1:19" ht="15.75" customHeight="1" x14ac:dyDescent="0.3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101"/>
      <c r="O996" s="101"/>
      <c r="P996" s="102"/>
      <c r="Q996" s="102"/>
      <c r="R996" s="102"/>
      <c r="S996" s="5"/>
    </row>
    <row r="997" spans="1:19" ht="15.75" customHeight="1" x14ac:dyDescent="0.3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101"/>
      <c r="O997" s="101"/>
      <c r="P997" s="102"/>
      <c r="Q997" s="102"/>
      <c r="R997" s="102"/>
      <c r="S997" s="5"/>
    </row>
    <row r="998" spans="1:19" ht="15.75" customHeight="1" x14ac:dyDescent="0.3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101"/>
      <c r="O998" s="101"/>
      <c r="P998" s="102"/>
      <c r="Q998" s="102"/>
      <c r="R998" s="102"/>
      <c r="S998" s="5"/>
    </row>
    <row r="999" spans="1:19" ht="15.75" customHeight="1" x14ac:dyDescent="0.3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101"/>
      <c r="O999" s="101"/>
      <c r="P999" s="102"/>
      <c r="Q999" s="102"/>
      <c r="R999" s="102"/>
      <c r="S999" s="5"/>
    </row>
    <row r="1000" spans="1:19" ht="15.75" customHeight="1" x14ac:dyDescent="0.3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101"/>
      <c r="O1000" s="101"/>
      <c r="P1000" s="102"/>
      <c r="Q1000" s="102"/>
      <c r="R1000" s="102"/>
      <c r="S1000" s="5"/>
    </row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2:L1590"/>
  <sheetViews>
    <sheetView showGridLines="0" workbookViewId="0">
      <selection activeCell="B5" sqref="B5"/>
    </sheetView>
  </sheetViews>
  <sheetFormatPr defaultColWidth="0" defaultRowHeight="15" customHeight="1" x14ac:dyDescent="0.3"/>
  <cols>
    <col min="1" max="1" width="2.33203125" customWidth="1"/>
    <col min="2" max="2" width="21" customWidth="1"/>
    <col min="3" max="3" width="15.44140625" bestFit="1" customWidth="1"/>
    <col min="4" max="4" width="13.33203125" bestFit="1" customWidth="1"/>
    <col min="5" max="5" width="11.44140625" bestFit="1" customWidth="1"/>
    <col min="6" max="6" width="37" customWidth="1"/>
    <col min="7" max="7" width="13.88671875" bestFit="1" customWidth="1"/>
    <col min="8" max="8" width="11.88671875" bestFit="1" customWidth="1"/>
    <col min="9" max="9" width="10.88671875" bestFit="1" customWidth="1"/>
    <col min="10" max="10" width="9.109375" customWidth="1"/>
    <col min="11" max="11" width="11.6640625" bestFit="1" customWidth="1"/>
    <col min="12" max="12" width="9.109375" customWidth="1"/>
    <col min="13" max="16384" width="9.109375" hidden="1"/>
  </cols>
  <sheetData>
    <row r="2" spans="2:11" ht="15" customHeight="1" x14ac:dyDescent="0.3">
      <c r="B2" s="306" t="s">
        <v>2533</v>
      </c>
      <c r="C2" s="124"/>
      <c r="G2" s="125" t="s">
        <v>304</v>
      </c>
      <c r="H2" s="125" t="s">
        <v>299</v>
      </c>
      <c r="I2" s="125" t="s">
        <v>73</v>
      </c>
      <c r="J2" s="125" t="s">
        <v>2532</v>
      </c>
      <c r="K2" s="125" t="s">
        <v>305</v>
      </c>
    </row>
    <row r="3" spans="2:11" ht="14.4" x14ac:dyDescent="0.3">
      <c r="B3" s="264"/>
      <c r="C3" s="124"/>
      <c r="G3" s="126">
        <f>SUM(G7:G1590)</f>
        <v>5688.8200000000206</v>
      </c>
      <c r="H3" s="126">
        <f>G3*13.45</f>
        <v>76514.629000000277</v>
      </c>
      <c r="I3" s="127">
        <v>1584</v>
      </c>
      <c r="J3" s="127">
        <v>1584</v>
      </c>
      <c r="K3" s="127">
        <v>3</v>
      </c>
    </row>
    <row r="4" spans="2:11" ht="14.4" x14ac:dyDescent="0.3">
      <c r="B4" s="264"/>
      <c r="C4" s="124"/>
      <c r="G4" s="128"/>
      <c r="H4" s="129">
        <f>H3*0.14</f>
        <v>10712.048060000039</v>
      </c>
      <c r="I4" s="129">
        <f>I3*0.7</f>
        <v>1108.8</v>
      </c>
      <c r="J4" s="129">
        <f>J3/60*25</f>
        <v>660</v>
      </c>
      <c r="K4" s="129">
        <f>K3*0.25</f>
        <v>0.75</v>
      </c>
    </row>
    <row r="6" spans="2:11" ht="41.4" x14ac:dyDescent="0.3">
      <c r="B6" s="130" t="s">
        <v>309</v>
      </c>
      <c r="C6" s="130" t="s">
        <v>310</v>
      </c>
      <c r="D6" s="130" t="s">
        <v>311</v>
      </c>
      <c r="E6" s="130" t="s">
        <v>312</v>
      </c>
      <c r="F6" s="130" t="s">
        <v>309</v>
      </c>
      <c r="G6" s="131" t="s">
        <v>313</v>
      </c>
      <c r="H6" s="131" t="s">
        <v>314</v>
      </c>
      <c r="I6" s="131" t="s">
        <v>315</v>
      </c>
      <c r="J6" s="131" t="s">
        <v>316</v>
      </c>
    </row>
    <row r="7" spans="2:11" ht="14.4" x14ac:dyDescent="0.3">
      <c r="B7" s="132" t="s">
        <v>317</v>
      </c>
      <c r="C7" s="132" t="s">
        <v>318</v>
      </c>
      <c r="D7" s="132" t="s">
        <v>319</v>
      </c>
      <c r="E7" s="132" t="s">
        <v>320</v>
      </c>
      <c r="F7" s="133" t="s">
        <v>321</v>
      </c>
      <c r="G7" s="134">
        <v>2.92</v>
      </c>
      <c r="H7" s="135">
        <v>13.45</v>
      </c>
      <c r="I7" s="136">
        <f>G7*H7</f>
        <v>39.273999999999994</v>
      </c>
      <c r="J7" s="137">
        <v>1</v>
      </c>
    </row>
    <row r="8" spans="2:11" ht="14.4" x14ac:dyDescent="0.3">
      <c r="B8" s="132" t="s">
        <v>317</v>
      </c>
      <c r="C8" s="132" t="s">
        <v>318</v>
      </c>
      <c r="D8" s="132" t="s">
        <v>319</v>
      </c>
      <c r="E8" s="132" t="s">
        <v>320</v>
      </c>
      <c r="F8" s="133" t="s">
        <v>322</v>
      </c>
      <c r="G8" s="134">
        <v>3.55</v>
      </c>
      <c r="H8" s="135">
        <v>13.45</v>
      </c>
      <c r="I8" s="136">
        <f t="shared" ref="I8:I71" si="0">G8*H8</f>
        <v>47.747499999999995</v>
      </c>
      <c r="J8" s="137">
        <v>1</v>
      </c>
    </row>
    <row r="9" spans="2:11" ht="14.4" x14ac:dyDescent="0.3">
      <c r="B9" s="132" t="s">
        <v>323</v>
      </c>
      <c r="C9" s="132" t="s">
        <v>318</v>
      </c>
      <c r="D9" s="132" t="s">
        <v>319</v>
      </c>
      <c r="E9" s="132" t="s">
        <v>320</v>
      </c>
      <c r="F9" s="133" t="s">
        <v>324</v>
      </c>
      <c r="G9" s="134">
        <v>2.54</v>
      </c>
      <c r="H9" s="135">
        <v>13.45</v>
      </c>
      <c r="I9" s="136">
        <f t="shared" si="0"/>
        <v>34.162999999999997</v>
      </c>
      <c r="J9" s="137">
        <v>1</v>
      </c>
    </row>
    <row r="10" spans="2:11" ht="14.4" x14ac:dyDescent="0.3">
      <c r="B10" s="132" t="s">
        <v>323</v>
      </c>
      <c r="C10" s="132" t="s">
        <v>318</v>
      </c>
      <c r="D10" s="132" t="s">
        <v>319</v>
      </c>
      <c r="E10" s="132" t="s">
        <v>320</v>
      </c>
      <c r="F10" s="133" t="s">
        <v>325</v>
      </c>
      <c r="G10" s="134">
        <v>2.54</v>
      </c>
      <c r="H10" s="135">
        <v>13.45</v>
      </c>
      <c r="I10" s="136">
        <f t="shared" si="0"/>
        <v>34.162999999999997</v>
      </c>
      <c r="J10" s="137">
        <v>1</v>
      </c>
    </row>
    <row r="11" spans="2:11" ht="14.4" x14ac:dyDescent="0.3">
      <c r="B11" s="132" t="s">
        <v>323</v>
      </c>
      <c r="C11" s="132" t="s">
        <v>318</v>
      </c>
      <c r="D11" s="132" t="s">
        <v>319</v>
      </c>
      <c r="E11" s="132" t="s">
        <v>320</v>
      </c>
      <c r="F11" s="133" t="s">
        <v>326</v>
      </c>
      <c r="G11" s="134">
        <v>2.2200000000000002</v>
      </c>
      <c r="H11" s="135">
        <v>13.45</v>
      </c>
      <c r="I11" s="136">
        <f t="shared" si="0"/>
        <v>29.859000000000002</v>
      </c>
      <c r="J11" s="137">
        <v>1</v>
      </c>
    </row>
    <row r="12" spans="2:11" ht="14.4" x14ac:dyDescent="0.3">
      <c r="B12" s="132" t="s">
        <v>323</v>
      </c>
      <c r="C12" s="132" t="s">
        <v>318</v>
      </c>
      <c r="D12" s="132" t="s">
        <v>319</v>
      </c>
      <c r="E12" s="132" t="s">
        <v>320</v>
      </c>
      <c r="F12" s="133" t="s">
        <v>327</v>
      </c>
      <c r="G12" s="134">
        <v>2.38</v>
      </c>
      <c r="H12" s="135">
        <v>13.45</v>
      </c>
      <c r="I12" s="136">
        <f t="shared" si="0"/>
        <v>32.010999999999996</v>
      </c>
      <c r="J12" s="137">
        <v>1</v>
      </c>
    </row>
    <row r="13" spans="2:11" ht="14.4" x14ac:dyDescent="0.3">
      <c r="B13" s="132" t="s">
        <v>328</v>
      </c>
      <c r="C13" s="132" t="s">
        <v>318</v>
      </c>
      <c r="D13" s="132" t="s">
        <v>319</v>
      </c>
      <c r="E13" s="132" t="s">
        <v>320</v>
      </c>
      <c r="F13" s="133" t="s">
        <v>329</v>
      </c>
      <c r="G13" s="134">
        <v>2</v>
      </c>
      <c r="H13" s="135">
        <v>13.45</v>
      </c>
      <c r="I13" s="136">
        <f t="shared" si="0"/>
        <v>26.9</v>
      </c>
      <c r="J13" s="137">
        <v>1</v>
      </c>
    </row>
    <row r="14" spans="2:11" ht="14.4" x14ac:dyDescent="0.3">
      <c r="B14" s="132" t="s">
        <v>330</v>
      </c>
      <c r="C14" s="132" t="s">
        <v>318</v>
      </c>
      <c r="D14" s="132" t="s">
        <v>319</v>
      </c>
      <c r="E14" s="132" t="s">
        <v>320</v>
      </c>
      <c r="F14" s="133" t="s">
        <v>331</v>
      </c>
      <c r="G14" s="134">
        <v>2.39</v>
      </c>
      <c r="H14" s="135">
        <v>13.45</v>
      </c>
      <c r="I14" s="136">
        <f t="shared" si="0"/>
        <v>32.145499999999998</v>
      </c>
      <c r="J14" s="137">
        <v>1</v>
      </c>
    </row>
    <row r="15" spans="2:11" ht="14.4" x14ac:dyDescent="0.3">
      <c r="B15" s="132" t="s">
        <v>330</v>
      </c>
      <c r="C15" s="132" t="s">
        <v>318</v>
      </c>
      <c r="D15" s="132" t="s">
        <v>319</v>
      </c>
      <c r="E15" s="132" t="s">
        <v>320</v>
      </c>
      <c r="F15" s="133" t="s">
        <v>332</v>
      </c>
      <c r="G15" s="134">
        <v>4.8</v>
      </c>
      <c r="H15" s="135">
        <v>13.45</v>
      </c>
      <c r="I15" s="136">
        <f t="shared" si="0"/>
        <v>64.559999999999988</v>
      </c>
      <c r="J15" s="137">
        <v>1</v>
      </c>
    </row>
    <row r="16" spans="2:11" ht="14.4" x14ac:dyDescent="0.3">
      <c r="B16" s="132" t="s">
        <v>330</v>
      </c>
      <c r="C16" s="132" t="s">
        <v>318</v>
      </c>
      <c r="D16" s="132" t="s">
        <v>319</v>
      </c>
      <c r="E16" s="132" t="s">
        <v>320</v>
      </c>
      <c r="F16" s="133" t="s">
        <v>333</v>
      </c>
      <c r="G16" s="134">
        <v>3.7</v>
      </c>
      <c r="H16" s="135">
        <v>13.45</v>
      </c>
      <c r="I16" s="136">
        <f t="shared" si="0"/>
        <v>49.765000000000001</v>
      </c>
      <c r="J16" s="137">
        <v>1</v>
      </c>
    </row>
    <row r="17" spans="2:10" ht="14.4" x14ac:dyDescent="0.3">
      <c r="B17" s="132" t="s">
        <v>334</v>
      </c>
      <c r="C17" s="132" t="s">
        <v>318</v>
      </c>
      <c r="D17" s="132" t="s">
        <v>319</v>
      </c>
      <c r="E17" s="132" t="s">
        <v>320</v>
      </c>
      <c r="F17" s="133" t="s">
        <v>335</v>
      </c>
      <c r="G17" s="134">
        <v>4.32</v>
      </c>
      <c r="H17" s="135">
        <v>13.45</v>
      </c>
      <c r="I17" s="136">
        <f t="shared" si="0"/>
        <v>58.103999999999999</v>
      </c>
      <c r="J17" s="137">
        <v>1</v>
      </c>
    </row>
    <row r="18" spans="2:10" ht="14.4" x14ac:dyDescent="0.3">
      <c r="B18" s="132" t="s">
        <v>336</v>
      </c>
      <c r="C18" s="132" t="s">
        <v>318</v>
      </c>
      <c r="D18" s="132" t="s">
        <v>319</v>
      </c>
      <c r="E18" s="132" t="s">
        <v>320</v>
      </c>
      <c r="F18" s="133" t="s">
        <v>337</v>
      </c>
      <c r="G18" s="134">
        <v>1.02</v>
      </c>
      <c r="H18" s="135">
        <v>13.45</v>
      </c>
      <c r="I18" s="136">
        <f t="shared" si="0"/>
        <v>13.718999999999999</v>
      </c>
      <c r="J18" s="137">
        <v>1</v>
      </c>
    </row>
    <row r="19" spans="2:10" ht="14.4" x14ac:dyDescent="0.3">
      <c r="B19" s="132" t="s">
        <v>338</v>
      </c>
      <c r="C19" s="132" t="s">
        <v>318</v>
      </c>
      <c r="D19" s="132" t="s">
        <v>319</v>
      </c>
      <c r="E19" s="132" t="s">
        <v>320</v>
      </c>
      <c r="F19" s="133" t="s">
        <v>339</v>
      </c>
      <c r="G19" s="134">
        <v>1.21</v>
      </c>
      <c r="H19" s="135">
        <v>13.45</v>
      </c>
      <c r="I19" s="136">
        <f t="shared" si="0"/>
        <v>16.2745</v>
      </c>
      <c r="J19" s="137">
        <v>1</v>
      </c>
    </row>
    <row r="20" spans="2:10" ht="14.4" x14ac:dyDescent="0.3">
      <c r="B20" s="132" t="s">
        <v>338</v>
      </c>
      <c r="C20" s="132" t="s">
        <v>318</v>
      </c>
      <c r="D20" s="132" t="s">
        <v>319</v>
      </c>
      <c r="E20" s="132" t="s">
        <v>320</v>
      </c>
      <c r="F20" s="133" t="s">
        <v>340</v>
      </c>
      <c r="G20" s="134">
        <v>6.64</v>
      </c>
      <c r="H20" s="135">
        <v>13.45</v>
      </c>
      <c r="I20" s="136">
        <f t="shared" si="0"/>
        <v>89.307999999999993</v>
      </c>
      <c r="J20" s="137">
        <v>1</v>
      </c>
    </row>
    <row r="21" spans="2:10" ht="14.4" x14ac:dyDescent="0.3">
      <c r="B21" s="132" t="s">
        <v>338</v>
      </c>
      <c r="C21" s="132" t="s">
        <v>318</v>
      </c>
      <c r="D21" s="132" t="s">
        <v>319</v>
      </c>
      <c r="E21" s="132" t="s">
        <v>320</v>
      </c>
      <c r="F21" s="133" t="s">
        <v>341</v>
      </c>
      <c r="G21" s="134">
        <v>1.28</v>
      </c>
      <c r="H21" s="135">
        <v>13.45</v>
      </c>
      <c r="I21" s="136">
        <f t="shared" si="0"/>
        <v>17.216000000000001</v>
      </c>
      <c r="J21" s="137">
        <v>1</v>
      </c>
    </row>
    <row r="22" spans="2:10" ht="14.4" x14ac:dyDescent="0.3">
      <c r="B22" s="132" t="s">
        <v>342</v>
      </c>
      <c r="C22" s="132" t="s">
        <v>318</v>
      </c>
      <c r="D22" s="132" t="s">
        <v>319</v>
      </c>
      <c r="E22" s="132" t="s">
        <v>320</v>
      </c>
      <c r="F22" s="133" t="s">
        <v>343</v>
      </c>
      <c r="G22" s="134">
        <v>2.86</v>
      </c>
      <c r="H22" s="135">
        <v>13.45</v>
      </c>
      <c r="I22" s="136">
        <f t="shared" si="0"/>
        <v>38.466999999999999</v>
      </c>
      <c r="J22" s="137">
        <v>1</v>
      </c>
    </row>
    <row r="23" spans="2:10" ht="14.4" x14ac:dyDescent="0.3">
      <c r="B23" s="132" t="s">
        <v>342</v>
      </c>
      <c r="C23" s="132" t="s">
        <v>318</v>
      </c>
      <c r="D23" s="132" t="s">
        <v>319</v>
      </c>
      <c r="E23" s="132" t="s">
        <v>320</v>
      </c>
      <c r="F23" s="133" t="s">
        <v>344</v>
      </c>
      <c r="G23" s="134">
        <v>2.86</v>
      </c>
      <c r="H23" s="135">
        <v>13.45</v>
      </c>
      <c r="I23" s="136">
        <f t="shared" si="0"/>
        <v>38.466999999999999</v>
      </c>
      <c r="J23" s="137">
        <v>1</v>
      </c>
    </row>
    <row r="24" spans="2:10" ht="14.4" x14ac:dyDescent="0.3">
      <c r="B24" s="132" t="s">
        <v>345</v>
      </c>
      <c r="C24" s="132" t="s">
        <v>318</v>
      </c>
      <c r="D24" s="132" t="s">
        <v>319</v>
      </c>
      <c r="E24" s="132" t="s">
        <v>320</v>
      </c>
      <c r="F24" s="133" t="s">
        <v>346</v>
      </c>
      <c r="G24" s="134">
        <v>6.38</v>
      </c>
      <c r="H24" s="135">
        <v>13.45</v>
      </c>
      <c r="I24" s="136">
        <f t="shared" si="0"/>
        <v>85.810999999999993</v>
      </c>
      <c r="J24" s="137">
        <v>1</v>
      </c>
    </row>
    <row r="25" spans="2:10" ht="14.4" x14ac:dyDescent="0.3">
      <c r="B25" s="132" t="s">
        <v>345</v>
      </c>
      <c r="C25" s="132" t="s">
        <v>318</v>
      </c>
      <c r="D25" s="132" t="s">
        <v>319</v>
      </c>
      <c r="E25" s="132" t="s">
        <v>320</v>
      </c>
      <c r="F25" s="133" t="s">
        <v>347</v>
      </c>
      <c r="G25" s="134">
        <v>6.37</v>
      </c>
      <c r="H25" s="135">
        <v>13.45</v>
      </c>
      <c r="I25" s="136">
        <f t="shared" si="0"/>
        <v>85.67649999999999</v>
      </c>
      <c r="J25" s="137">
        <v>1</v>
      </c>
    </row>
    <row r="26" spans="2:10" ht="14.4" x14ac:dyDescent="0.3">
      <c r="B26" s="132" t="s">
        <v>348</v>
      </c>
      <c r="C26" s="132" t="s">
        <v>318</v>
      </c>
      <c r="D26" s="132" t="s">
        <v>319</v>
      </c>
      <c r="E26" s="132" t="s">
        <v>320</v>
      </c>
      <c r="F26" s="133" t="s">
        <v>349</v>
      </c>
      <c r="G26" s="134">
        <v>9.7899999999999991</v>
      </c>
      <c r="H26" s="135">
        <v>13.45</v>
      </c>
      <c r="I26" s="136">
        <f t="shared" si="0"/>
        <v>131.67549999999997</v>
      </c>
      <c r="J26" s="137">
        <v>1</v>
      </c>
    </row>
    <row r="27" spans="2:10" ht="14.4" x14ac:dyDescent="0.3">
      <c r="B27" s="132" t="s">
        <v>348</v>
      </c>
      <c r="C27" s="132" t="s">
        <v>318</v>
      </c>
      <c r="D27" s="132" t="s">
        <v>319</v>
      </c>
      <c r="E27" s="132" t="s">
        <v>320</v>
      </c>
      <c r="F27" s="133" t="s">
        <v>350</v>
      </c>
      <c r="G27" s="134">
        <v>1.32</v>
      </c>
      <c r="H27" s="135">
        <v>13.45</v>
      </c>
      <c r="I27" s="136">
        <f t="shared" si="0"/>
        <v>17.754000000000001</v>
      </c>
      <c r="J27" s="137">
        <v>1</v>
      </c>
    </row>
    <row r="28" spans="2:10" ht="14.4" x14ac:dyDescent="0.3">
      <c r="B28" s="132" t="s">
        <v>348</v>
      </c>
      <c r="C28" s="132" t="s">
        <v>318</v>
      </c>
      <c r="D28" s="132" t="s">
        <v>319</v>
      </c>
      <c r="E28" s="132" t="s">
        <v>320</v>
      </c>
      <c r="F28" s="133" t="s">
        <v>351</v>
      </c>
      <c r="G28" s="134">
        <v>1.64</v>
      </c>
      <c r="H28" s="135">
        <v>13.45</v>
      </c>
      <c r="I28" s="136">
        <f t="shared" si="0"/>
        <v>22.057999999999996</v>
      </c>
      <c r="J28" s="137">
        <v>1</v>
      </c>
    </row>
    <row r="29" spans="2:10" ht="14.4" x14ac:dyDescent="0.3">
      <c r="B29" s="132" t="s">
        <v>348</v>
      </c>
      <c r="C29" s="132" t="s">
        <v>318</v>
      </c>
      <c r="D29" s="132" t="s">
        <v>319</v>
      </c>
      <c r="E29" s="132" t="s">
        <v>320</v>
      </c>
      <c r="F29" s="133" t="s">
        <v>352</v>
      </c>
      <c r="G29" s="134">
        <v>1.31</v>
      </c>
      <c r="H29" s="135">
        <v>13.45</v>
      </c>
      <c r="I29" s="136">
        <f t="shared" si="0"/>
        <v>17.619499999999999</v>
      </c>
      <c r="J29" s="137">
        <v>1</v>
      </c>
    </row>
    <row r="30" spans="2:10" ht="14.4" x14ac:dyDescent="0.3">
      <c r="B30" s="132" t="s">
        <v>348</v>
      </c>
      <c r="C30" s="132" t="s">
        <v>318</v>
      </c>
      <c r="D30" s="132" t="s">
        <v>319</v>
      </c>
      <c r="E30" s="132" t="s">
        <v>320</v>
      </c>
      <c r="F30" s="133" t="s">
        <v>353</v>
      </c>
      <c r="G30" s="134">
        <v>1.31</v>
      </c>
      <c r="H30" s="135">
        <v>13.45</v>
      </c>
      <c r="I30" s="136">
        <f t="shared" si="0"/>
        <v>17.619499999999999</v>
      </c>
      <c r="J30" s="137">
        <v>1</v>
      </c>
    </row>
    <row r="31" spans="2:10" ht="14.4" x14ac:dyDescent="0.3">
      <c r="B31" s="132" t="s">
        <v>348</v>
      </c>
      <c r="C31" s="132" t="s">
        <v>318</v>
      </c>
      <c r="D31" s="132" t="s">
        <v>319</v>
      </c>
      <c r="E31" s="132" t="s">
        <v>320</v>
      </c>
      <c r="F31" s="133" t="s">
        <v>354</v>
      </c>
      <c r="G31" s="134">
        <v>4.33</v>
      </c>
      <c r="H31" s="135">
        <v>13.45</v>
      </c>
      <c r="I31" s="136">
        <f t="shared" si="0"/>
        <v>58.238499999999995</v>
      </c>
      <c r="J31" s="137">
        <v>1</v>
      </c>
    </row>
    <row r="32" spans="2:10" ht="14.4" x14ac:dyDescent="0.3">
      <c r="B32" s="132" t="s">
        <v>348</v>
      </c>
      <c r="C32" s="132" t="s">
        <v>318</v>
      </c>
      <c r="D32" s="132" t="s">
        <v>319</v>
      </c>
      <c r="E32" s="132" t="s">
        <v>320</v>
      </c>
      <c r="F32" s="133" t="s">
        <v>355</v>
      </c>
      <c r="G32" s="134">
        <v>2.0099999999999998</v>
      </c>
      <c r="H32" s="135">
        <v>13.45</v>
      </c>
      <c r="I32" s="136">
        <f t="shared" si="0"/>
        <v>27.034499999999994</v>
      </c>
      <c r="J32" s="137">
        <v>1</v>
      </c>
    </row>
    <row r="33" spans="2:10" ht="14.4" x14ac:dyDescent="0.3">
      <c r="B33" s="132" t="s">
        <v>356</v>
      </c>
      <c r="C33" s="132" t="s">
        <v>318</v>
      </c>
      <c r="D33" s="132" t="s">
        <v>319</v>
      </c>
      <c r="E33" s="132" t="s">
        <v>320</v>
      </c>
      <c r="F33" s="133" t="s">
        <v>357</v>
      </c>
      <c r="G33" s="134">
        <v>1.48</v>
      </c>
      <c r="H33" s="135">
        <v>13.45</v>
      </c>
      <c r="I33" s="136">
        <f t="shared" si="0"/>
        <v>19.905999999999999</v>
      </c>
      <c r="J33" s="137">
        <v>1</v>
      </c>
    </row>
    <row r="34" spans="2:10" ht="14.4" x14ac:dyDescent="0.3">
      <c r="B34" s="132" t="s">
        <v>356</v>
      </c>
      <c r="C34" s="132" t="s">
        <v>318</v>
      </c>
      <c r="D34" s="132" t="s">
        <v>319</v>
      </c>
      <c r="E34" s="132" t="s">
        <v>320</v>
      </c>
      <c r="F34" s="133" t="s">
        <v>358</v>
      </c>
      <c r="G34" s="134">
        <v>1.48</v>
      </c>
      <c r="H34" s="135">
        <v>13.45</v>
      </c>
      <c r="I34" s="136">
        <f t="shared" si="0"/>
        <v>19.905999999999999</v>
      </c>
      <c r="J34" s="137">
        <v>1</v>
      </c>
    </row>
    <row r="35" spans="2:10" ht="14.4" x14ac:dyDescent="0.3">
      <c r="B35" s="132" t="s">
        <v>356</v>
      </c>
      <c r="C35" s="132" t="s">
        <v>318</v>
      </c>
      <c r="D35" s="132" t="s">
        <v>319</v>
      </c>
      <c r="E35" s="132" t="s">
        <v>320</v>
      </c>
      <c r="F35" s="133" t="s">
        <v>359</v>
      </c>
      <c r="G35" s="134">
        <v>3.65</v>
      </c>
      <c r="H35" s="135">
        <v>13.45</v>
      </c>
      <c r="I35" s="136">
        <f t="shared" si="0"/>
        <v>49.092499999999994</v>
      </c>
      <c r="J35" s="137">
        <v>1</v>
      </c>
    </row>
    <row r="36" spans="2:10" ht="14.4" x14ac:dyDescent="0.3">
      <c r="B36" s="132" t="s">
        <v>360</v>
      </c>
      <c r="C36" s="132" t="s">
        <v>318</v>
      </c>
      <c r="D36" s="132" t="s">
        <v>319</v>
      </c>
      <c r="E36" s="132" t="s">
        <v>320</v>
      </c>
      <c r="F36" s="133" t="s">
        <v>361</v>
      </c>
      <c r="G36" s="134">
        <v>3.64</v>
      </c>
      <c r="H36" s="135">
        <v>13.45</v>
      </c>
      <c r="I36" s="136">
        <f t="shared" si="0"/>
        <v>48.957999999999998</v>
      </c>
      <c r="J36" s="137">
        <v>1</v>
      </c>
    </row>
    <row r="37" spans="2:10" ht="14.4" x14ac:dyDescent="0.3">
      <c r="B37" s="132" t="s">
        <v>362</v>
      </c>
      <c r="C37" s="132" t="s">
        <v>318</v>
      </c>
      <c r="D37" s="132" t="s">
        <v>319</v>
      </c>
      <c r="E37" s="132" t="s">
        <v>320</v>
      </c>
      <c r="F37" s="133" t="s">
        <v>363</v>
      </c>
      <c r="G37" s="134">
        <v>3.23</v>
      </c>
      <c r="H37" s="135">
        <v>13.45</v>
      </c>
      <c r="I37" s="136">
        <f t="shared" si="0"/>
        <v>43.4435</v>
      </c>
      <c r="J37" s="137">
        <v>1</v>
      </c>
    </row>
    <row r="38" spans="2:10" ht="14.4" x14ac:dyDescent="0.3">
      <c r="B38" s="132" t="s">
        <v>362</v>
      </c>
      <c r="C38" s="132" t="s">
        <v>318</v>
      </c>
      <c r="D38" s="132" t="s">
        <v>319</v>
      </c>
      <c r="E38" s="132" t="s">
        <v>320</v>
      </c>
      <c r="F38" s="133" t="s">
        <v>364</v>
      </c>
      <c r="G38" s="134">
        <v>3.24</v>
      </c>
      <c r="H38" s="135">
        <v>13.45</v>
      </c>
      <c r="I38" s="136">
        <f t="shared" si="0"/>
        <v>43.578000000000003</v>
      </c>
      <c r="J38" s="137">
        <v>1</v>
      </c>
    </row>
    <row r="39" spans="2:10" ht="14.4" x14ac:dyDescent="0.3">
      <c r="B39" s="132" t="s">
        <v>362</v>
      </c>
      <c r="C39" s="132" t="s">
        <v>318</v>
      </c>
      <c r="D39" s="132" t="s">
        <v>319</v>
      </c>
      <c r="E39" s="132" t="s">
        <v>320</v>
      </c>
      <c r="F39" s="133" t="s">
        <v>365</v>
      </c>
      <c r="G39" s="134">
        <v>2.61</v>
      </c>
      <c r="H39" s="135">
        <v>13.45</v>
      </c>
      <c r="I39" s="136">
        <f t="shared" si="0"/>
        <v>35.104499999999994</v>
      </c>
      <c r="J39" s="137">
        <v>1</v>
      </c>
    </row>
    <row r="40" spans="2:10" ht="14.4" x14ac:dyDescent="0.3">
      <c r="B40" s="132" t="s">
        <v>362</v>
      </c>
      <c r="C40" s="132" t="s">
        <v>318</v>
      </c>
      <c r="D40" s="132" t="s">
        <v>319</v>
      </c>
      <c r="E40" s="132" t="s">
        <v>320</v>
      </c>
      <c r="F40" s="133" t="s">
        <v>366</v>
      </c>
      <c r="G40" s="134">
        <v>3.28</v>
      </c>
      <c r="H40" s="135">
        <v>13.45</v>
      </c>
      <c r="I40" s="136">
        <f t="shared" si="0"/>
        <v>44.115999999999993</v>
      </c>
      <c r="J40" s="137">
        <v>1</v>
      </c>
    </row>
    <row r="41" spans="2:10" ht="14.4" x14ac:dyDescent="0.3">
      <c r="B41" s="132" t="s">
        <v>367</v>
      </c>
      <c r="C41" s="132" t="s">
        <v>318</v>
      </c>
      <c r="D41" s="132" t="s">
        <v>319</v>
      </c>
      <c r="E41" s="132" t="s">
        <v>320</v>
      </c>
      <c r="F41" s="133" t="s">
        <v>368</v>
      </c>
      <c r="G41" s="134">
        <v>2.2200000000000002</v>
      </c>
      <c r="H41" s="135">
        <v>13.45</v>
      </c>
      <c r="I41" s="136">
        <f t="shared" si="0"/>
        <v>29.859000000000002</v>
      </c>
      <c r="J41" s="137">
        <v>1</v>
      </c>
    </row>
    <row r="42" spans="2:10" ht="14.4" x14ac:dyDescent="0.3">
      <c r="B42" s="132" t="s">
        <v>367</v>
      </c>
      <c r="C42" s="132" t="s">
        <v>318</v>
      </c>
      <c r="D42" s="132" t="s">
        <v>319</v>
      </c>
      <c r="E42" s="132" t="s">
        <v>320</v>
      </c>
      <c r="F42" s="133" t="s">
        <v>369</v>
      </c>
      <c r="G42" s="132">
        <v>1.28</v>
      </c>
      <c r="H42" s="135">
        <v>13.45</v>
      </c>
      <c r="I42" s="136">
        <f t="shared" si="0"/>
        <v>17.216000000000001</v>
      </c>
      <c r="J42" s="137">
        <v>1</v>
      </c>
    </row>
    <row r="43" spans="2:10" ht="14.4" x14ac:dyDescent="0.3">
      <c r="B43" s="132" t="s">
        <v>367</v>
      </c>
      <c r="C43" s="132" t="s">
        <v>318</v>
      </c>
      <c r="D43" s="132" t="s">
        <v>319</v>
      </c>
      <c r="E43" s="132" t="s">
        <v>320</v>
      </c>
      <c r="F43" s="133" t="s">
        <v>370</v>
      </c>
      <c r="G43" s="132">
        <v>1.27</v>
      </c>
      <c r="H43" s="135">
        <v>13.45</v>
      </c>
      <c r="I43" s="136">
        <f t="shared" si="0"/>
        <v>17.081499999999998</v>
      </c>
      <c r="J43" s="137">
        <v>1</v>
      </c>
    </row>
    <row r="44" spans="2:10" ht="14.4" x14ac:dyDescent="0.3">
      <c r="B44" s="132" t="s">
        <v>367</v>
      </c>
      <c r="C44" s="132" t="s">
        <v>318</v>
      </c>
      <c r="D44" s="132" t="s">
        <v>319</v>
      </c>
      <c r="E44" s="132" t="s">
        <v>320</v>
      </c>
      <c r="F44" s="133" t="s">
        <v>371</v>
      </c>
      <c r="G44" s="132">
        <v>2.23</v>
      </c>
      <c r="H44" s="135">
        <v>13.45</v>
      </c>
      <c r="I44" s="136">
        <f t="shared" si="0"/>
        <v>29.993499999999997</v>
      </c>
      <c r="J44" s="137">
        <v>1</v>
      </c>
    </row>
    <row r="45" spans="2:10" ht="14.4" x14ac:dyDescent="0.3">
      <c r="B45" s="132" t="s">
        <v>372</v>
      </c>
      <c r="C45" s="132" t="s">
        <v>318</v>
      </c>
      <c r="D45" s="132" t="s">
        <v>319</v>
      </c>
      <c r="E45" s="132" t="s">
        <v>320</v>
      </c>
      <c r="F45" s="133" t="s">
        <v>373</v>
      </c>
      <c r="G45" s="132">
        <v>2.87</v>
      </c>
      <c r="H45" s="135">
        <v>13.45</v>
      </c>
      <c r="I45" s="136">
        <f t="shared" si="0"/>
        <v>38.601500000000001</v>
      </c>
      <c r="J45" s="137">
        <v>1</v>
      </c>
    </row>
    <row r="46" spans="2:10" ht="14.4" x14ac:dyDescent="0.3">
      <c r="B46" s="132" t="s">
        <v>372</v>
      </c>
      <c r="C46" s="132" t="s">
        <v>318</v>
      </c>
      <c r="D46" s="132" t="s">
        <v>319</v>
      </c>
      <c r="E46" s="132" t="s">
        <v>320</v>
      </c>
      <c r="F46" s="133" t="s">
        <v>374</v>
      </c>
      <c r="G46" s="132">
        <v>2.85</v>
      </c>
      <c r="H46" s="135">
        <v>13.45</v>
      </c>
      <c r="I46" s="136">
        <f t="shared" si="0"/>
        <v>38.332499999999996</v>
      </c>
      <c r="J46" s="137">
        <v>1</v>
      </c>
    </row>
    <row r="47" spans="2:10" ht="14.4" x14ac:dyDescent="0.3">
      <c r="B47" s="132" t="s">
        <v>372</v>
      </c>
      <c r="C47" s="132" t="s">
        <v>318</v>
      </c>
      <c r="D47" s="132" t="s">
        <v>319</v>
      </c>
      <c r="E47" s="132" t="s">
        <v>320</v>
      </c>
      <c r="F47" s="133" t="s">
        <v>375</v>
      </c>
      <c r="G47" s="132">
        <v>2.87</v>
      </c>
      <c r="H47" s="135">
        <v>13.45</v>
      </c>
      <c r="I47" s="136">
        <f t="shared" si="0"/>
        <v>38.601500000000001</v>
      </c>
      <c r="J47" s="137">
        <v>1</v>
      </c>
    </row>
    <row r="48" spans="2:10" ht="14.4" x14ac:dyDescent="0.3">
      <c r="B48" s="132" t="s">
        <v>372</v>
      </c>
      <c r="C48" s="132" t="s">
        <v>318</v>
      </c>
      <c r="D48" s="132" t="s">
        <v>319</v>
      </c>
      <c r="E48" s="132" t="s">
        <v>320</v>
      </c>
      <c r="F48" s="133" t="s">
        <v>376</v>
      </c>
      <c r="G48" s="132">
        <v>3.02</v>
      </c>
      <c r="H48" s="135">
        <v>13.45</v>
      </c>
      <c r="I48" s="136">
        <f t="shared" si="0"/>
        <v>40.619</v>
      </c>
      <c r="J48" s="137">
        <v>1</v>
      </c>
    </row>
    <row r="49" spans="2:10" ht="14.4" x14ac:dyDescent="0.3">
      <c r="B49" s="132" t="s">
        <v>372</v>
      </c>
      <c r="C49" s="132" t="s">
        <v>318</v>
      </c>
      <c r="D49" s="132" t="s">
        <v>319</v>
      </c>
      <c r="E49" s="132" t="s">
        <v>320</v>
      </c>
      <c r="F49" s="133" t="s">
        <v>377</v>
      </c>
      <c r="G49" s="132">
        <v>2.54</v>
      </c>
      <c r="H49" s="135">
        <v>13.45</v>
      </c>
      <c r="I49" s="136">
        <f t="shared" si="0"/>
        <v>34.162999999999997</v>
      </c>
      <c r="J49" s="137">
        <v>1</v>
      </c>
    </row>
    <row r="50" spans="2:10" ht="14.4" x14ac:dyDescent="0.3">
      <c r="B50" s="132" t="s">
        <v>372</v>
      </c>
      <c r="C50" s="132" t="s">
        <v>318</v>
      </c>
      <c r="D50" s="132" t="s">
        <v>319</v>
      </c>
      <c r="E50" s="132" t="s">
        <v>320</v>
      </c>
      <c r="F50" s="133" t="s">
        <v>378</v>
      </c>
      <c r="G50" s="132">
        <v>2.2799999999999998</v>
      </c>
      <c r="H50" s="135">
        <v>13.45</v>
      </c>
      <c r="I50" s="136">
        <f t="shared" si="0"/>
        <v>30.665999999999997</v>
      </c>
      <c r="J50" s="137">
        <v>1</v>
      </c>
    </row>
    <row r="51" spans="2:10" ht="14.4" x14ac:dyDescent="0.3">
      <c r="B51" s="132" t="s">
        <v>372</v>
      </c>
      <c r="C51" s="132" t="s">
        <v>318</v>
      </c>
      <c r="D51" s="132" t="s">
        <v>319</v>
      </c>
      <c r="E51" s="132" t="s">
        <v>320</v>
      </c>
      <c r="F51" s="133" t="s">
        <v>379</v>
      </c>
      <c r="G51" s="132">
        <v>2.27</v>
      </c>
      <c r="H51" s="135">
        <v>13.45</v>
      </c>
      <c r="I51" s="136">
        <f t="shared" si="0"/>
        <v>30.531499999999998</v>
      </c>
      <c r="J51" s="137">
        <v>1</v>
      </c>
    </row>
    <row r="52" spans="2:10" ht="14.4" x14ac:dyDescent="0.3">
      <c r="B52" s="132" t="s">
        <v>372</v>
      </c>
      <c r="C52" s="132" t="s">
        <v>318</v>
      </c>
      <c r="D52" s="132" t="s">
        <v>319</v>
      </c>
      <c r="E52" s="132" t="s">
        <v>320</v>
      </c>
      <c r="F52" s="133" t="s">
        <v>380</v>
      </c>
      <c r="G52" s="132">
        <v>2.87</v>
      </c>
      <c r="H52" s="135">
        <v>13.45</v>
      </c>
      <c r="I52" s="136">
        <f t="shared" si="0"/>
        <v>38.601500000000001</v>
      </c>
      <c r="J52" s="137">
        <v>1</v>
      </c>
    </row>
    <row r="53" spans="2:10" ht="14.4" x14ac:dyDescent="0.3">
      <c r="B53" s="132" t="s">
        <v>372</v>
      </c>
      <c r="C53" s="132" t="s">
        <v>318</v>
      </c>
      <c r="D53" s="132" t="s">
        <v>319</v>
      </c>
      <c r="E53" s="132" t="s">
        <v>320</v>
      </c>
      <c r="F53" s="133" t="s">
        <v>381</v>
      </c>
      <c r="G53" s="132">
        <v>1.43</v>
      </c>
      <c r="H53" s="135">
        <v>13.45</v>
      </c>
      <c r="I53" s="136">
        <f t="shared" si="0"/>
        <v>19.233499999999999</v>
      </c>
      <c r="J53" s="137">
        <v>1</v>
      </c>
    </row>
    <row r="54" spans="2:10" ht="14.4" x14ac:dyDescent="0.3">
      <c r="B54" s="132" t="s">
        <v>382</v>
      </c>
      <c r="C54" s="132" t="s">
        <v>318</v>
      </c>
      <c r="D54" s="132" t="s">
        <v>319</v>
      </c>
      <c r="E54" s="132" t="s">
        <v>320</v>
      </c>
      <c r="F54" s="133" t="s">
        <v>383</v>
      </c>
      <c r="G54" s="132">
        <v>2.86</v>
      </c>
      <c r="H54" s="135">
        <v>13.45</v>
      </c>
      <c r="I54" s="136">
        <f t="shared" si="0"/>
        <v>38.466999999999999</v>
      </c>
      <c r="J54" s="137">
        <v>1</v>
      </c>
    </row>
    <row r="55" spans="2:10" ht="14.4" x14ac:dyDescent="0.3">
      <c r="B55" s="132" t="s">
        <v>382</v>
      </c>
      <c r="C55" s="132" t="s">
        <v>318</v>
      </c>
      <c r="D55" s="132" t="s">
        <v>319</v>
      </c>
      <c r="E55" s="132" t="s">
        <v>320</v>
      </c>
      <c r="F55" s="133" t="s">
        <v>384</v>
      </c>
      <c r="G55" s="134">
        <v>2.86</v>
      </c>
      <c r="H55" s="135">
        <v>13.45</v>
      </c>
      <c r="I55" s="136">
        <f t="shared" si="0"/>
        <v>38.466999999999999</v>
      </c>
      <c r="J55" s="137">
        <v>1</v>
      </c>
    </row>
    <row r="56" spans="2:10" ht="14.4" x14ac:dyDescent="0.3">
      <c r="B56" s="132" t="s">
        <v>385</v>
      </c>
      <c r="C56" s="132" t="s">
        <v>318</v>
      </c>
      <c r="D56" s="132" t="s">
        <v>319</v>
      </c>
      <c r="E56" s="132" t="s">
        <v>320</v>
      </c>
      <c r="F56" s="133" t="s">
        <v>386</v>
      </c>
      <c r="G56" s="134">
        <v>2.04</v>
      </c>
      <c r="H56" s="135">
        <v>13.45</v>
      </c>
      <c r="I56" s="136">
        <f t="shared" si="0"/>
        <v>27.437999999999999</v>
      </c>
      <c r="J56" s="137">
        <v>1</v>
      </c>
    </row>
    <row r="57" spans="2:10" ht="14.4" x14ac:dyDescent="0.3">
      <c r="B57" s="132" t="s">
        <v>385</v>
      </c>
      <c r="C57" s="132" t="s">
        <v>318</v>
      </c>
      <c r="D57" s="132" t="s">
        <v>319</v>
      </c>
      <c r="E57" s="132" t="s">
        <v>320</v>
      </c>
      <c r="F57" s="133" t="s">
        <v>387</v>
      </c>
      <c r="G57" s="134">
        <v>2.77</v>
      </c>
      <c r="H57" s="135">
        <v>13.45</v>
      </c>
      <c r="I57" s="136">
        <f t="shared" si="0"/>
        <v>37.256499999999996</v>
      </c>
      <c r="J57" s="137">
        <v>1</v>
      </c>
    </row>
    <row r="58" spans="2:10" ht="14.4" x14ac:dyDescent="0.3">
      <c r="B58" s="132" t="s">
        <v>385</v>
      </c>
      <c r="C58" s="132" t="s">
        <v>318</v>
      </c>
      <c r="D58" s="132" t="s">
        <v>319</v>
      </c>
      <c r="E58" s="132" t="s">
        <v>320</v>
      </c>
      <c r="F58" s="133" t="s">
        <v>388</v>
      </c>
      <c r="G58" s="134">
        <v>1.6</v>
      </c>
      <c r="H58" s="135">
        <v>13.45</v>
      </c>
      <c r="I58" s="136">
        <f t="shared" si="0"/>
        <v>21.52</v>
      </c>
      <c r="J58" s="137">
        <v>1</v>
      </c>
    </row>
    <row r="59" spans="2:10" ht="14.4" x14ac:dyDescent="0.3">
      <c r="B59" s="132" t="s">
        <v>385</v>
      </c>
      <c r="C59" s="132" t="s">
        <v>318</v>
      </c>
      <c r="D59" s="132" t="s">
        <v>319</v>
      </c>
      <c r="E59" s="132" t="s">
        <v>320</v>
      </c>
      <c r="F59" s="133" t="s">
        <v>389</v>
      </c>
      <c r="G59" s="134">
        <v>1.19</v>
      </c>
      <c r="H59" s="135">
        <v>13.45</v>
      </c>
      <c r="I59" s="136">
        <f t="shared" si="0"/>
        <v>16.005499999999998</v>
      </c>
      <c r="J59" s="137">
        <v>1</v>
      </c>
    </row>
    <row r="60" spans="2:10" ht="14.4" x14ac:dyDescent="0.3">
      <c r="B60" s="132" t="s">
        <v>385</v>
      </c>
      <c r="C60" s="132" t="s">
        <v>318</v>
      </c>
      <c r="D60" s="132" t="s">
        <v>319</v>
      </c>
      <c r="E60" s="132" t="s">
        <v>320</v>
      </c>
      <c r="F60" s="133" t="s">
        <v>390</v>
      </c>
      <c r="G60" s="134">
        <v>1.03</v>
      </c>
      <c r="H60" s="135">
        <v>13.45</v>
      </c>
      <c r="I60" s="136">
        <f t="shared" si="0"/>
        <v>13.8535</v>
      </c>
      <c r="J60" s="137">
        <v>1</v>
      </c>
    </row>
    <row r="61" spans="2:10" ht="14.4" x14ac:dyDescent="0.3">
      <c r="B61" s="132" t="s">
        <v>385</v>
      </c>
      <c r="C61" s="132" t="s">
        <v>318</v>
      </c>
      <c r="D61" s="132" t="s">
        <v>319</v>
      </c>
      <c r="E61" s="132" t="s">
        <v>320</v>
      </c>
      <c r="F61" s="133" t="s">
        <v>391</v>
      </c>
      <c r="G61" s="134">
        <v>5.51</v>
      </c>
      <c r="H61" s="135">
        <v>13.45</v>
      </c>
      <c r="I61" s="136">
        <f t="shared" si="0"/>
        <v>74.109499999999997</v>
      </c>
      <c r="J61" s="137">
        <v>1</v>
      </c>
    </row>
    <row r="62" spans="2:10" ht="14.4" x14ac:dyDescent="0.3">
      <c r="B62" s="132" t="s">
        <v>385</v>
      </c>
      <c r="C62" s="132" t="s">
        <v>318</v>
      </c>
      <c r="D62" s="132" t="s">
        <v>319</v>
      </c>
      <c r="E62" s="132" t="s">
        <v>320</v>
      </c>
      <c r="F62" s="133" t="s">
        <v>392</v>
      </c>
      <c r="G62" s="134">
        <v>1.92</v>
      </c>
      <c r="H62" s="135">
        <v>13.45</v>
      </c>
      <c r="I62" s="136">
        <f t="shared" si="0"/>
        <v>25.823999999999998</v>
      </c>
      <c r="J62" s="137">
        <v>1</v>
      </c>
    </row>
    <row r="63" spans="2:10" ht="14.4" x14ac:dyDescent="0.3">
      <c r="B63" s="132" t="s">
        <v>385</v>
      </c>
      <c r="C63" s="132" t="s">
        <v>318</v>
      </c>
      <c r="D63" s="132" t="s">
        <v>319</v>
      </c>
      <c r="E63" s="132" t="s">
        <v>320</v>
      </c>
      <c r="F63" s="133" t="s">
        <v>393</v>
      </c>
      <c r="G63" s="134">
        <v>2.68</v>
      </c>
      <c r="H63" s="135">
        <v>13.45</v>
      </c>
      <c r="I63" s="136">
        <f t="shared" si="0"/>
        <v>36.045999999999999</v>
      </c>
      <c r="J63" s="137">
        <v>1</v>
      </c>
    </row>
    <row r="64" spans="2:10" ht="14.4" x14ac:dyDescent="0.3">
      <c r="B64" s="132" t="s">
        <v>394</v>
      </c>
      <c r="C64" s="132" t="s">
        <v>318</v>
      </c>
      <c r="D64" s="132" t="s">
        <v>319</v>
      </c>
      <c r="E64" s="132" t="s">
        <v>320</v>
      </c>
      <c r="F64" s="133" t="s">
        <v>395</v>
      </c>
      <c r="G64" s="134">
        <v>8.16</v>
      </c>
      <c r="H64" s="135">
        <v>13.45</v>
      </c>
      <c r="I64" s="136">
        <f t="shared" si="0"/>
        <v>109.752</v>
      </c>
      <c r="J64" s="137">
        <v>1</v>
      </c>
    </row>
    <row r="65" spans="2:10" ht="14.4" x14ac:dyDescent="0.3">
      <c r="B65" s="132" t="s">
        <v>396</v>
      </c>
      <c r="C65" s="132" t="s">
        <v>318</v>
      </c>
      <c r="D65" s="132" t="s">
        <v>319</v>
      </c>
      <c r="E65" s="132" t="s">
        <v>320</v>
      </c>
      <c r="F65" s="133" t="s">
        <v>397</v>
      </c>
      <c r="G65" s="134">
        <v>6.67</v>
      </c>
      <c r="H65" s="135">
        <v>13.45</v>
      </c>
      <c r="I65" s="136">
        <f t="shared" si="0"/>
        <v>89.711500000000001</v>
      </c>
      <c r="J65" s="137">
        <v>1</v>
      </c>
    </row>
    <row r="66" spans="2:10" ht="14.4" x14ac:dyDescent="0.3">
      <c r="B66" s="132" t="s">
        <v>398</v>
      </c>
      <c r="C66" s="132" t="s">
        <v>318</v>
      </c>
      <c r="D66" s="132" t="s">
        <v>319</v>
      </c>
      <c r="E66" s="132" t="s">
        <v>320</v>
      </c>
      <c r="F66" s="133" t="s">
        <v>399</v>
      </c>
      <c r="G66" s="134">
        <v>5.17</v>
      </c>
      <c r="H66" s="135">
        <v>13.45</v>
      </c>
      <c r="I66" s="136">
        <f t="shared" si="0"/>
        <v>69.53649999999999</v>
      </c>
      <c r="J66" s="137">
        <v>1</v>
      </c>
    </row>
    <row r="67" spans="2:10" ht="14.4" x14ac:dyDescent="0.3">
      <c r="B67" s="132" t="s">
        <v>398</v>
      </c>
      <c r="C67" s="132" t="s">
        <v>318</v>
      </c>
      <c r="D67" s="132" t="s">
        <v>319</v>
      </c>
      <c r="E67" s="132" t="s">
        <v>320</v>
      </c>
      <c r="F67" s="133" t="s">
        <v>400</v>
      </c>
      <c r="G67" s="134">
        <v>5.16</v>
      </c>
      <c r="H67" s="135">
        <v>13.45</v>
      </c>
      <c r="I67" s="136">
        <f t="shared" si="0"/>
        <v>69.402000000000001</v>
      </c>
      <c r="J67" s="137">
        <v>1</v>
      </c>
    </row>
    <row r="68" spans="2:10" ht="14.4" x14ac:dyDescent="0.3">
      <c r="B68" s="132" t="s">
        <v>401</v>
      </c>
      <c r="C68" s="132" t="s">
        <v>402</v>
      </c>
      <c r="D68" s="132" t="s">
        <v>403</v>
      </c>
      <c r="E68" s="132" t="s">
        <v>320</v>
      </c>
      <c r="F68" s="133" t="s">
        <v>404</v>
      </c>
      <c r="G68" s="134">
        <v>9.59</v>
      </c>
      <c r="H68" s="135">
        <v>13.45</v>
      </c>
      <c r="I68" s="136">
        <f t="shared" si="0"/>
        <v>128.9855</v>
      </c>
      <c r="J68" s="137">
        <v>1</v>
      </c>
    </row>
    <row r="69" spans="2:10" ht="14.4" x14ac:dyDescent="0.3">
      <c r="B69" s="132" t="s">
        <v>401</v>
      </c>
      <c r="C69" s="132" t="s">
        <v>402</v>
      </c>
      <c r="D69" s="132" t="s">
        <v>403</v>
      </c>
      <c r="E69" s="132" t="s">
        <v>320</v>
      </c>
      <c r="F69" s="133" t="s">
        <v>405</v>
      </c>
      <c r="G69" s="134">
        <v>3.67</v>
      </c>
      <c r="H69" s="135">
        <v>13.45</v>
      </c>
      <c r="I69" s="136">
        <f t="shared" si="0"/>
        <v>49.361499999999999</v>
      </c>
      <c r="J69" s="137">
        <v>1</v>
      </c>
    </row>
    <row r="70" spans="2:10" ht="14.4" x14ac:dyDescent="0.3">
      <c r="B70" s="132" t="s">
        <v>406</v>
      </c>
      <c r="C70" s="132" t="s">
        <v>402</v>
      </c>
      <c r="D70" s="132" t="s">
        <v>403</v>
      </c>
      <c r="E70" s="132" t="s">
        <v>320</v>
      </c>
      <c r="F70" s="133" t="s">
        <v>407</v>
      </c>
      <c r="G70" s="134">
        <v>1.6</v>
      </c>
      <c r="H70" s="135">
        <v>13.45</v>
      </c>
      <c r="I70" s="136">
        <f t="shared" si="0"/>
        <v>21.52</v>
      </c>
      <c r="J70" s="137">
        <v>1</v>
      </c>
    </row>
    <row r="71" spans="2:10" ht="14.4" x14ac:dyDescent="0.3">
      <c r="B71" s="132" t="s">
        <v>408</v>
      </c>
      <c r="C71" s="132" t="s">
        <v>402</v>
      </c>
      <c r="D71" s="132" t="s">
        <v>403</v>
      </c>
      <c r="E71" s="132" t="s">
        <v>320</v>
      </c>
      <c r="F71" s="133" t="s">
        <v>409</v>
      </c>
      <c r="G71" s="134">
        <v>3.2</v>
      </c>
      <c r="H71" s="135">
        <v>13.45</v>
      </c>
      <c r="I71" s="136">
        <f t="shared" si="0"/>
        <v>43.04</v>
      </c>
      <c r="J71" s="137">
        <v>1</v>
      </c>
    </row>
    <row r="72" spans="2:10" ht="14.4" x14ac:dyDescent="0.3">
      <c r="B72" s="132" t="s">
        <v>408</v>
      </c>
      <c r="C72" s="132" t="s">
        <v>402</v>
      </c>
      <c r="D72" s="132" t="s">
        <v>403</v>
      </c>
      <c r="E72" s="132" t="s">
        <v>320</v>
      </c>
      <c r="F72" s="133" t="s">
        <v>410</v>
      </c>
      <c r="G72" s="134">
        <v>3.18</v>
      </c>
      <c r="H72" s="135">
        <v>13.45</v>
      </c>
      <c r="I72" s="136">
        <f t="shared" ref="I72:I135" si="1">G72*H72</f>
        <v>42.771000000000001</v>
      </c>
      <c r="J72" s="137">
        <v>1</v>
      </c>
    </row>
    <row r="73" spans="2:10" ht="14.4" x14ac:dyDescent="0.3">
      <c r="B73" s="132" t="s">
        <v>408</v>
      </c>
      <c r="C73" s="132" t="s">
        <v>402</v>
      </c>
      <c r="D73" s="132" t="s">
        <v>403</v>
      </c>
      <c r="E73" s="132" t="s">
        <v>320</v>
      </c>
      <c r="F73" s="133" t="s">
        <v>411</v>
      </c>
      <c r="G73" s="134">
        <v>3.19</v>
      </c>
      <c r="H73" s="135">
        <v>13.45</v>
      </c>
      <c r="I73" s="136">
        <f t="shared" si="1"/>
        <v>42.905499999999996</v>
      </c>
      <c r="J73" s="137">
        <v>1</v>
      </c>
    </row>
    <row r="74" spans="2:10" ht="14.4" x14ac:dyDescent="0.3">
      <c r="B74" s="132" t="s">
        <v>408</v>
      </c>
      <c r="C74" s="132" t="s">
        <v>402</v>
      </c>
      <c r="D74" s="132" t="s">
        <v>403</v>
      </c>
      <c r="E74" s="132" t="s">
        <v>320</v>
      </c>
      <c r="F74" s="133" t="s">
        <v>412</v>
      </c>
      <c r="G74" s="134">
        <v>2.39</v>
      </c>
      <c r="H74" s="135">
        <v>13.45</v>
      </c>
      <c r="I74" s="136">
        <f t="shared" si="1"/>
        <v>32.145499999999998</v>
      </c>
      <c r="J74" s="137">
        <v>1</v>
      </c>
    </row>
    <row r="75" spans="2:10" ht="14.4" x14ac:dyDescent="0.3">
      <c r="B75" s="132" t="s">
        <v>408</v>
      </c>
      <c r="C75" s="132" t="s">
        <v>402</v>
      </c>
      <c r="D75" s="132" t="s">
        <v>403</v>
      </c>
      <c r="E75" s="132" t="s">
        <v>320</v>
      </c>
      <c r="F75" s="133" t="s">
        <v>413</v>
      </c>
      <c r="G75" s="134">
        <v>2.4</v>
      </c>
      <c r="H75" s="135">
        <v>13.45</v>
      </c>
      <c r="I75" s="136">
        <f t="shared" si="1"/>
        <v>32.279999999999994</v>
      </c>
      <c r="J75" s="137">
        <v>1</v>
      </c>
    </row>
    <row r="76" spans="2:10" ht="14.4" x14ac:dyDescent="0.3">
      <c r="B76" s="132" t="s">
        <v>414</v>
      </c>
      <c r="C76" s="132" t="s">
        <v>402</v>
      </c>
      <c r="D76" s="132" t="s">
        <v>403</v>
      </c>
      <c r="E76" s="132" t="s">
        <v>320</v>
      </c>
      <c r="F76" s="133" t="s">
        <v>415</v>
      </c>
      <c r="G76" s="134">
        <v>2.0699999999999998</v>
      </c>
      <c r="H76" s="135">
        <v>13.45</v>
      </c>
      <c r="I76" s="136">
        <f t="shared" si="1"/>
        <v>27.841499999999996</v>
      </c>
      <c r="J76" s="137">
        <v>1</v>
      </c>
    </row>
    <row r="77" spans="2:10" ht="14.4" x14ac:dyDescent="0.3">
      <c r="B77" s="132" t="s">
        <v>416</v>
      </c>
      <c r="C77" s="132" t="s">
        <v>402</v>
      </c>
      <c r="D77" s="132" t="s">
        <v>403</v>
      </c>
      <c r="E77" s="132" t="s">
        <v>320</v>
      </c>
      <c r="F77" s="133" t="s">
        <v>417</v>
      </c>
      <c r="G77" s="134">
        <v>2.5499999999999998</v>
      </c>
      <c r="H77" s="135">
        <v>13.45</v>
      </c>
      <c r="I77" s="136">
        <f t="shared" si="1"/>
        <v>34.297499999999992</v>
      </c>
      <c r="J77" s="137">
        <v>1</v>
      </c>
    </row>
    <row r="78" spans="2:10" ht="14.4" x14ac:dyDescent="0.3">
      <c r="B78" s="132" t="s">
        <v>416</v>
      </c>
      <c r="C78" s="132" t="s">
        <v>402</v>
      </c>
      <c r="D78" s="132" t="s">
        <v>403</v>
      </c>
      <c r="E78" s="132" t="s">
        <v>320</v>
      </c>
      <c r="F78" s="133" t="s">
        <v>418</v>
      </c>
      <c r="G78" s="134">
        <v>2.56</v>
      </c>
      <c r="H78" s="135">
        <v>13.45</v>
      </c>
      <c r="I78" s="136">
        <f t="shared" si="1"/>
        <v>34.432000000000002</v>
      </c>
      <c r="J78" s="137">
        <v>1</v>
      </c>
    </row>
    <row r="79" spans="2:10" ht="14.4" x14ac:dyDescent="0.3">
      <c r="B79" s="132" t="s">
        <v>419</v>
      </c>
      <c r="C79" s="132" t="s">
        <v>402</v>
      </c>
      <c r="D79" s="132" t="s">
        <v>403</v>
      </c>
      <c r="E79" s="132" t="s">
        <v>320</v>
      </c>
      <c r="F79" s="133" t="s">
        <v>420</v>
      </c>
      <c r="G79" s="134">
        <v>2.2200000000000002</v>
      </c>
      <c r="H79" s="135">
        <v>13.45</v>
      </c>
      <c r="I79" s="136">
        <f t="shared" si="1"/>
        <v>29.859000000000002</v>
      </c>
      <c r="J79" s="137">
        <v>1</v>
      </c>
    </row>
    <row r="80" spans="2:10" ht="14.4" x14ac:dyDescent="0.3">
      <c r="B80" s="132" t="s">
        <v>419</v>
      </c>
      <c r="C80" s="132" t="s">
        <v>402</v>
      </c>
      <c r="D80" s="132" t="s">
        <v>403</v>
      </c>
      <c r="E80" s="132" t="s">
        <v>320</v>
      </c>
      <c r="F80" s="133" t="s">
        <v>421</v>
      </c>
      <c r="G80" s="134">
        <v>2.38</v>
      </c>
      <c r="H80" s="135">
        <v>13.45</v>
      </c>
      <c r="I80" s="136">
        <f t="shared" si="1"/>
        <v>32.010999999999996</v>
      </c>
      <c r="J80" s="137">
        <v>1</v>
      </c>
    </row>
    <row r="81" spans="2:10" ht="14.4" x14ac:dyDescent="0.3">
      <c r="B81" s="132" t="s">
        <v>422</v>
      </c>
      <c r="C81" s="132" t="s">
        <v>402</v>
      </c>
      <c r="D81" s="132" t="s">
        <v>403</v>
      </c>
      <c r="E81" s="132" t="s">
        <v>320</v>
      </c>
      <c r="F81" s="133" t="s">
        <v>423</v>
      </c>
      <c r="G81" s="134">
        <v>5.14</v>
      </c>
      <c r="H81" s="135">
        <v>13.45</v>
      </c>
      <c r="I81" s="136">
        <f t="shared" si="1"/>
        <v>69.132999999999996</v>
      </c>
      <c r="J81" s="137">
        <v>1</v>
      </c>
    </row>
    <row r="82" spans="2:10" ht="14.4" x14ac:dyDescent="0.3">
      <c r="B82" s="132" t="s">
        <v>422</v>
      </c>
      <c r="C82" s="132" t="s">
        <v>402</v>
      </c>
      <c r="D82" s="132" t="s">
        <v>403</v>
      </c>
      <c r="E82" s="132" t="s">
        <v>320</v>
      </c>
      <c r="F82" s="133" t="s">
        <v>424</v>
      </c>
      <c r="G82" s="134">
        <v>2.23</v>
      </c>
      <c r="H82" s="135">
        <v>13.45</v>
      </c>
      <c r="I82" s="136">
        <f t="shared" si="1"/>
        <v>29.993499999999997</v>
      </c>
      <c r="J82" s="137">
        <v>1</v>
      </c>
    </row>
    <row r="83" spans="2:10" ht="14.4" x14ac:dyDescent="0.3">
      <c r="B83" s="132" t="s">
        <v>422</v>
      </c>
      <c r="C83" s="132" t="s">
        <v>402</v>
      </c>
      <c r="D83" s="132" t="s">
        <v>403</v>
      </c>
      <c r="E83" s="132" t="s">
        <v>320</v>
      </c>
      <c r="F83" s="133" t="s">
        <v>425</v>
      </c>
      <c r="G83" s="134">
        <v>2.88</v>
      </c>
      <c r="H83" s="135">
        <v>13.45</v>
      </c>
      <c r="I83" s="136">
        <f t="shared" si="1"/>
        <v>38.735999999999997</v>
      </c>
      <c r="J83" s="137">
        <v>1</v>
      </c>
    </row>
    <row r="84" spans="2:10" ht="14.4" x14ac:dyDescent="0.3">
      <c r="B84" s="132" t="s">
        <v>422</v>
      </c>
      <c r="C84" s="132" t="s">
        <v>402</v>
      </c>
      <c r="D84" s="132" t="s">
        <v>403</v>
      </c>
      <c r="E84" s="132" t="s">
        <v>320</v>
      </c>
      <c r="F84" s="133" t="s">
        <v>426</v>
      </c>
      <c r="G84" s="134">
        <v>5.12</v>
      </c>
      <c r="H84" s="135">
        <v>13.45</v>
      </c>
      <c r="I84" s="136">
        <f t="shared" si="1"/>
        <v>68.864000000000004</v>
      </c>
      <c r="J84" s="137">
        <v>1</v>
      </c>
    </row>
    <row r="85" spans="2:10" ht="14.4" x14ac:dyDescent="0.3">
      <c r="B85" s="132" t="s">
        <v>427</v>
      </c>
      <c r="C85" s="132" t="s">
        <v>402</v>
      </c>
      <c r="D85" s="132" t="s">
        <v>403</v>
      </c>
      <c r="E85" s="132" t="s">
        <v>320</v>
      </c>
      <c r="F85" s="133" t="s">
        <v>428</v>
      </c>
      <c r="G85" s="134">
        <v>7.04</v>
      </c>
      <c r="H85" s="135">
        <v>13.45</v>
      </c>
      <c r="I85" s="136">
        <f t="shared" si="1"/>
        <v>94.688000000000002</v>
      </c>
      <c r="J85" s="137">
        <v>1</v>
      </c>
    </row>
    <row r="86" spans="2:10" ht="14.4" x14ac:dyDescent="0.3">
      <c r="B86" s="132" t="s">
        <v>429</v>
      </c>
      <c r="C86" s="132" t="s">
        <v>402</v>
      </c>
      <c r="D86" s="132" t="s">
        <v>403</v>
      </c>
      <c r="E86" s="132" t="s">
        <v>320</v>
      </c>
      <c r="F86" s="133" t="s">
        <v>430</v>
      </c>
      <c r="G86" s="134">
        <v>3.82</v>
      </c>
      <c r="H86" s="135">
        <v>13.45</v>
      </c>
      <c r="I86" s="136">
        <f t="shared" si="1"/>
        <v>51.378999999999998</v>
      </c>
      <c r="J86" s="137">
        <v>1</v>
      </c>
    </row>
    <row r="87" spans="2:10" ht="14.4" x14ac:dyDescent="0.3">
      <c r="B87" s="132" t="s">
        <v>429</v>
      </c>
      <c r="C87" s="132" t="s">
        <v>402</v>
      </c>
      <c r="D87" s="132" t="s">
        <v>403</v>
      </c>
      <c r="E87" s="132" t="s">
        <v>320</v>
      </c>
      <c r="F87" s="133" t="s">
        <v>431</v>
      </c>
      <c r="G87" s="134">
        <v>2.57</v>
      </c>
      <c r="H87" s="135">
        <v>13.45</v>
      </c>
      <c r="I87" s="136">
        <f t="shared" si="1"/>
        <v>34.566499999999998</v>
      </c>
      <c r="J87" s="137">
        <v>1</v>
      </c>
    </row>
    <row r="88" spans="2:10" ht="14.4" x14ac:dyDescent="0.3">
      <c r="B88" s="132" t="s">
        <v>429</v>
      </c>
      <c r="C88" s="132" t="s">
        <v>402</v>
      </c>
      <c r="D88" s="132" t="s">
        <v>403</v>
      </c>
      <c r="E88" s="132" t="s">
        <v>320</v>
      </c>
      <c r="F88" s="133" t="s">
        <v>432</v>
      </c>
      <c r="G88" s="134">
        <v>3.52</v>
      </c>
      <c r="H88" s="135">
        <v>13.45</v>
      </c>
      <c r="I88" s="136">
        <f t="shared" si="1"/>
        <v>47.344000000000001</v>
      </c>
      <c r="J88" s="137">
        <v>1</v>
      </c>
    </row>
    <row r="89" spans="2:10" ht="14.4" x14ac:dyDescent="0.3">
      <c r="B89" s="132" t="s">
        <v>433</v>
      </c>
      <c r="C89" s="132" t="s">
        <v>402</v>
      </c>
      <c r="D89" s="132" t="s">
        <v>403</v>
      </c>
      <c r="E89" s="132" t="s">
        <v>320</v>
      </c>
      <c r="F89" s="133" t="s">
        <v>434</v>
      </c>
      <c r="G89" s="134">
        <v>1.59</v>
      </c>
      <c r="H89" s="135">
        <v>13.45</v>
      </c>
      <c r="I89" s="136">
        <f t="shared" si="1"/>
        <v>21.3855</v>
      </c>
      <c r="J89" s="137">
        <v>1</v>
      </c>
    </row>
    <row r="90" spans="2:10" ht="14.4" x14ac:dyDescent="0.3">
      <c r="B90" s="132" t="s">
        <v>433</v>
      </c>
      <c r="C90" s="132" t="s">
        <v>402</v>
      </c>
      <c r="D90" s="132" t="s">
        <v>403</v>
      </c>
      <c r="E90" s="132" t="s">
        <v>320</v>
      </c>
      <c r="F90" s="133" t="s">
        <v>435</v>
      </c>
      <c r="G90" s="134">
        <v>2.5499999999999998</v>
      </c>
      <c r="H90" s="135">
        <v>13.45</v>
      </c>
      <c r="I90" s="136">
        <f t="shared" si="1"/>
        <v>34.297499999999992</v>
      </c>
      <c r="J90" s="137">
        <v>1</v>
      </c>
    </row>
    <row r="91" spans="2:10" ht="14.4" x14ac:dyDescent="0.3">
      <c r="B91" s="132" t="s">
        <v>433</v>
      </c>
      <c r="C91" s="132" t="s">
        <v>402</v>
      </c>
      <c r="D91" s="132" t="s">
        <v>403</v>
      </c>
      <c r="E91" s="132" t="s">
        <v>320</v>
      </c>
      <c r="F91" s="133" t="s">
        <v>436</v>
      </c>
      <c r="G91" s="134">
        <v>2.5499999999999998</v>
      </c>
      <c r="H91" s="135">
        <v>13.45</v>
      </c>
      <c r="I91" s="136">
        <f t="shared" si="1"/>
        <v>34.297499999999992</v>
      </c>
      <c r="J91" s="137">
        <v>1</v>
      </c>
    </row>
    <row r="92" spans="2:10" ht="14.4" x14ac:dyDescent="0.3">
      <c r="B92" s="132" t="s">
        <v>433</v>
      </c>
      <c r="C92" s="132" t="s">
        <v>402</v>
      </c>
      <c r="D92" s="132" t="s">
        <v>403</v>
      </c>
      <c r="E92" s="132" t="s">
        <v>320</v>
      </c>
      <c r="F92" s="133" t="s">
        <v>437</v>
      </c>
      <c r="G92" s="134">
        <v>1.59</v>
      </c>
      <c r="H92" s="135">
        <v>13.45</v>
      </c>
      <c r="I92" s="136">
        <f t="shared" si="1"/>
        <v>21.3855</v>
      </c>
      <c r="J92" s="137">
        <v>1</v>
      </c>
    </row>
    <row r="93" spans="2:10" ht="14.4" x14ac:dyDescent="0.3">
      <c r="B93" s="132" t="s">
        <v>433</v>
      </c>
      <c r="C93" s="132" t="s">
        <v>402</v>
      </c>
      <c r="D93" s="132" t="s">
        <v>403</v>
      </c>
      <c r="E93" s="132" t="s">
        <v>320</v>
      </c>
      <c r="F93" s="133" t="s">
        <v>438</v>
      </c>
      <c r="G93" s="134">
        <v>1.58</v>
      </c>
      <c r="H93" s="135">
        <v>13.45</v>
      </c>
      <c r="I93" s="136">
        <f t="shared" si="1"/>
        <v>21.251000000000001</v>
      </c>
      <c r="J93" s="137">
        <v>1</v>
      </c>
    </row>
    <row r="94" spans="2:10" ht="14.4" x14ac:dyDescent="0.3">
      <c r="B94" s="132" t="s">
        <v>439</v>
      </c>
      <c r="C94" s="132" t="s">
        <v>402</v>
      </c>
      <c r="D94" s="132" t="s">
        <v>403</v>
      </c>
      <c r="E94" s="132" t="s">
        <v>320</v>
      </c>
      <c r="F94" s="133" t="s">
        <v>440</v>
      </c>
      <c r="G94" s="134">
        <v>3.35</v>
      </c>
      <c r="H94" s="135">
        <v>13.45</v>
      </c>
      <c r="I94" s="136">
        <f t="shared" si="1"/>
        <v>45.057499999999997</v>
      </c>
      <c r="J94" s="137">
        <v>1</v>
      </c>
    </row>
    <row r="95" spans="2:10" ht="14.4" x14ac:dyDescent="0.3">
      <c r="B95" s="132" t="s">
        <v>439</v>
      </c>
      <c r="C95" s="132" t="s">
        <v>402</v>
      </c>
      <c r="D95" s="132" t="s">
        <v>403</v>
      </c>
      <c r="E95" s="132" t="s">
        <v>320</v>
      </c>
      <c r="F95" s="133" t="s">
        <v>441</v>
      </c>
      <c r="G95" s="134">
        <v>3.36</v>
      </c>
      <c r="H95" s="135">
        <v>13.45</v>
      </c>
      <c r="I95" s="136">
        <f t="shared" si="1"/>
        <v>45.191999999999993</v>
      </c>
      <c r="J95" s="137">
        <v>1</v>
      </c>
    </row>
    <row r="96" spans="2:10" ht="14.4" x14ac:dyDescent="0.3">
      <c r="B96" s="132" t="s">
        <v>439</v>
      </c>
      <c r="C96" s="132" t="s">
        <v>402</v>
      </c>
      <c r="D96" s="132" t="s">
        <v>403</v>
      </c>
      <c r="E96" s="132" t="s">
        <v>320</v>
      </c>
      <c r="F96" s="133" t="s">
        <v>442</v>
      </c>
      <c r="G96" s="134">
        <v>1.1100000000000001</v>
      </c>
      <c r="H96" s="135">
        <v>13.45</v>
      </c>
      <c r="I96" s="136">
        <f t="shared" si="1"/>
        <v>14.929500000000001</v>
      </c>
      <c r="J96" s="137">
        <v>1</v>
      </c>
    </row>
    <row r="97" spans="2:10" ht="14.4" x14ac:dyDescent="0.3">
      <c r="B97" s="132" t="s">
        <v>443</v>
      </c>
      <c r="C97" s="132" t="s">
        <v>402</v>
      </c>
      <c r="D97" s="132" t="s">
        <v>403</v>
      </c>
      <c r="E97" s="132" t="s">
        <v>320</v>
      </c>
      <c r="F97" s="133" t="s">
        <v>444</v>
      </c>
      <c r="G97" s="134">
        <v>2.5499999999999998</v>
      </c>
      <c r="H97" s="135">
        <v>13.45</v>
      </c>
      <c r="I97" s="136">
        <f t="shared" si="1"/>
        <v>34.297499999999992</v>
      </c>
      <c r="J97" s="137">
        <v>1</v>
      </c>
    </row>
    <row r="98" spans="2:10" ht="14.4" x14ac:dyDescent="0.3">
      <c r="B98" s="132" t="s">
        <v>443</v>
      </c>
      <c r="C98" s="132" t="s">
        <v>402</v>
      </c>
      <c r="D98" s="132" t="s">
        <v>403</v>
      </c>
      <c r="E98" s="132" t="s">
        <v>320</v>
      </c>
      <c r="F98" s="133" t="s">
        <v>445</v>
      </c>
      <c r="G98" s="134">
        <v>2.57</v>
      </c>
      <c r="H98" s="135">
        <v>13.45</v>
      </c>
      <c r="I98" s="136">
        <f t="shared" si="1"/>
        <v>34.566499999999998</v>
      </c>
      <c r="J98" s="137">
        <v>1</v>
      </c>
    </row>
    <row r="99" spans="2:10" ht="14.4" x14ac:dyDescent="0.3">
      <c r="B99" s="132" t="s">
        <v>446</v>
      </c>
      <c r="C99" s="132" t="s">
        <v>402</v>
      </c>
      <c r="D99" s="132" t="s">
        <v>403</v>
      </c>
      <c r="E99" s="132" t="s">
        <v>320</v>
      </c>
      <c r="F99" s="133" t="s">
        <v>447</v>
      </c>
      <c r="G99" s="134">
        <v>3.18</v>
      </c>
      <c r="H99" s="135">
        <v>13.45</v>
      </c>
      <c r="I99" s="136">
        <f t="shared" si="1"/>
        <v>42.771000000000001</v>
      </c>
      <c r="J99" s="137">
        <v>1</v>
      </c>
    </row>
    <row r="100" spans="2:10" ht="14.4" x14ac:dyDescent="0.3">
      <c r="B100" s="132" t="s">
        <v>446</v>
      </c>
      <c r="C100" s="132" t="s">
        <v>402</v>
      </c>
      <c r="D100" s="132" t="s">
        <v>403</v>
      </c>
      <c r="E100" s="132" t="s">
        <v>320</v>
      </c>
      <c r="F100" s="133" t="s">
        <v>448</v>
      </c>
      <c r="G100" s="134">
        <v>6.7</v>
      </c>
      <c r="H100" s="135">
        <v>13.45</v>
      </c>
      <c r="I100" s="136">
        <f t="shared" si="1"/>
        <v>90.114999999999995</v>
      </c>
      <c r="J100" s="137">
        <v>1</v>
      </c>
    </row>
    <row r="101" spans="2:10" ht="14.4" x14ac:dyDescent="0.3">
      <c r="B101" s="132" t="s">
        <v>446</v>
      </c>
      <c r="C101" s="132" t="s">
        <v>402</v>
      </c>
      <c r="D101" s="132" t="s">
        <v>403</v>
      </c>
      <c r="E101" s="132" t="s">
        <v>320</v>
      </c>
      <c r="F101" s="133" t="s">
        <v>449</v>
      </c>
      <c r="G101" s="134">
        <v>3.19</v>
      </c>
      <c r="H101" s="135">
        <v>13.45</v>
      </c>
      <c r="I101" s="136">
        <f t="shared" si="1"/>
        <v>42.905499999999996</v>
      </c>
      <c r="J101" s="137">
        <v>1</v>
      </c>
    </row>
    <row r="102" spans="2:10" ht="14.4" x14ac:dyDescent="0.3">
      <c r="B102" s="132" t="s">
        <v>446</v>
      </c>
      <c r="C102" s="132" t="s">
        <v>402</v>
      </c>
      <c r="D102" s="132" t="s">
        <v>403</v>
      </c>
      <c r="E102" s="132" t="s">
        <v>320</v>
      </c>
      <c r="F102" s="133" t="s">
        <v>450</v>
      </c>
      <c r="G102" s="134">
        <v>6.72</v>
      </c>
      <c r="H102" s="135">
        <v>13.45</v>
      </c>
      <c r="I102" s="136">
        <f t="shared" si="1"/>
        <v>90.383999999999986</v>
      </c>
      <c r="J102" s="137">
        <v>1</v>
      </c>
    </row>
    <row r="103" spans="2:10" ht="14.4" x14ac:dyDescent="0.3">
      <c r="B103" s="132" t="s">
        <v>451</v>
      </c>
      <c r="C103" s="132" t="s">
        <v>402</v>
      </c>
      <c r="D103" s="132" t="s">
        <v>403</v>
      </c>
      <c r="E103" s="132" t="s">
        <v>320</v>
      </c>
      <c r="F103" s="133" t="s">
        <v>452</v>
      </c>
      <c r="G103" s="134">
        <v>1.1299999999999999</v>
      </c>
      <c r="H103" s="135">
        <v>13.45</v>
      </c>
      <c r="I103" s="136">
        <f t="shared" si="1"/>
        <v>15.198499999999997</v>
      </c>
      <c r="J103" s="137">
        <v>1</v>
      </c>
    </row>
    <row r="104" spans="2:10" ht="14.4" x14ac:dyDescent="0.3">
      <c r="B104" s="132" t="s">
        <v>451</v>
      </c>
      <c r="C104" s="132" t="s">
        <v>402</v>
      </c>
      <c r="D104" s="132" t="s">
        <v>403</v>
      </c>
      <c r="E104" s="132" t="s">
        <v>320</v>
      </c>
      <c r="F104" s="133" t="s">
        <v>453</v>
      </c>
      <c r="G104" s="134">
        <v>6.08</v>
      </c>
      <c r="H104" s="135">
        <v>13.45</v>
      </c>
      <c r="I104" s="136">
        <f t="shared" si="1"/>
        <v>81.775999999999996</v>
      </c>
      <c r="J104" s="137">
        <v>1</v>
      </c>
    </row>
    <row r="105" spans="2:10" ht="14.4" x14ac:dyDescent="0.3">
      <c r="B105" s="132" t="s">
        <v>451</v>
      </c>
      <c r="C105" s="132" t="s">
        <v>402</v>
      </c>
      <c r="D105" s="132" t="s">
        <v>403</v>
      </c>
      <c r="E105" s="132" t="s">
        <v>320</v>
      </c>
      <c r="F105" s="133" t="s">
        <v>454</v>
      </c>
      <c r="G105" s="134">
        <v>6.1</v>
      </c>
      <c r="H105" s="135">
        <v>13.45</v>
      </c>
      <c r="I105" s="136">
        <f t="shared" si="1"/>
        <v>82.044999999999987</v>
      </c>
      <c r="J105" s="137">
        <v>1</v>
      </c>
    </row>
    <row r="106" spans="2:10" ht="14.4" x14ac:dyDescent="0.3">
      <c r="B106" s="132" t="s">
        <v>451</v>
      </c>
      <c r="C106" s="132" t="s">
        <v>402</v>
      </c>
      <c r="D106" s="132" t="s">
        <v>403</v>
      </c>
      <c r="E106" s="132" t="s">
        <v>320</v>
      </c>
      <c r="F106" s="133" t="s">
        <v>455</v>
      </c>
      <c r="G106" s="134">
        <v>2.88</v>
      </c>
      <c r="H106" s="135">
        <v>13.45</v>
      </c>
      <c r="I106" s="136">
        <f t="shared" si="1"/>
        <v>38.735999999999997</v>
      </c>
      <c r="J106" s="137">
        <v>1</v>
      </c>
    </row>
    <row r="107" spans="2:10" ht="14.4" x14ac:dyDescent="0.3">
      <c r="B107" s="132" t="s">
        <v>451</v>
      </c>
      <c r="C107" s="132" t="s">
        <v>402</v>
      </c>
      <c r="D107" s="132" t="s">
        <v>403</v>
      </c>
      <c r="E107" s="132" t="s">
        <v>320</v>
      </c>
      <c r="F107" s="133" t="s">
        <v>456</v>
      </c>
      <c r="G107" s="134">
        <v>2.88</v>
      </c>
      <c r="H107" s="135">
        <v>13.45</v>
      </c>
      <c r="I107" s="136">
        <f t="shared" si="1"/>
        <v>38.735999999999997</v>
      </c>
      <c r="J107" s="137">
        <v>1</v>
      </c>
    </row>
    <row r="108" spans="2:10" ht="14.4" x14ac:dyDescent="0.3">
      <c r="B108" s="132" t="s">
        <v>457</v>
      </c>
      <c r="C108" s="132" t="s">
        <v>402</v>
      </c>
      <c r="D108" s="132" t="s">
        <v>403</v>
      </c>
      <c r="E108" s="132" t="s">
        <v>320</v>
      </c>
      <c r="F108" s="133" t="s">
        <v>458</v>
      </c>
      <c r="G108" s="134">
        <v>1.58</v>
      </c>
      <c r="H108" s="135">
        <v>13.45</v>
      </c>
      <c r="I108" s="136">
        <f t="shared" si="1"/>
        <v>21.251000000000001</v>
      </c>
      <c r="J108" s="137">
        <v>1</v>
      </c>
    </row>
    <row r="109" spans="2:10" ht="14.4" x14ac:dyDescent="0.3">
      <c r="B109" s="132" t="s">
        <v>457</v>
      </c>
      <c r="C109" s="132" t="s">
        <v>402</v>
      </c>
      <c r="D109" s="132" t="s">
        <v>403</v>
      </c>
      <c r="E109" s="132" t="s">
        <v>320</v>
      </c>
      <c r="F109" s="133" t="s">
        <v>459</v>
      </c>
      <c r="G109" s="134">
        <v>1.58</v>
      </c>
      <c r="H109" s="135">
        <v>13.45</v>
      </c>
      <c r="I109" s="136">
        <f t="shared" si="1"/>
        <v>21.251000000000001</v>
      </c>
      <c r="J109" s="137">
        <v>1</v>
      </c>
    </row>
    <row r="110" spans="2:10" ht="14.4" x14ac:dyDescent="0.3">
      <c r="B110" s="132" t="s">
        <v>460</v>
      </c>
      <c r="C110" s="132" t="s">
        <v>402</v>
      </c>
      <c r="D110" s="132" t="s">
        <v>403</v>
      </c>
      <c r="E110" s="132" t="s">
        <v>320</v>
      </c>
      <c r="F110" s="133" t="s">
        <v>461</v>
      </c>
      <c r="G110" s="134">
        <v>7.64</v>
      </c>
      <c r="H110" s="135">
        <v>13.45</v>
      </c>
      <c r="I110" s="136">
        <f t="shared" si="1"/>
        <v>102.758</v>
      </c>
      <c r="J110" s="137">
        <v>1</v>
      </c>
    </row>
    <row r="111" spans="2:10" ht="14.4" x14ac:dyDescent="0.3">
      <c r="B111" s="132" t="s">
        <v>460</v>
      </c>
      <c r="C111" s="132" t="s">
        <v>402</v>
      </c>
      <c r="D111" s="132" t="s">
        <v>403</v>
      </c>
      <c r="E111" s="132" t="s">
        <v>320</v>
      </c>
      <c r="F111" s="133" t="s">
        <v>462</v>
      </c>
      <c r="G111" s="134">
        <v>7.65</v>
      </c>
      <c r="H111" s="135">
        <v>13.45</v>
      </c>
      <c r="I111" s="136">
        <f t="shared" si="1"/>
        <v>102.8925</v>
      </c>
      <c r="J111" s="137">
        <v>1</v>
      </c>
    </row>
    <row r="112" spans="2:10" ht="14.4" x14ac:dyDescent="0.3">
      <c r="B112" s="132" t="s">
        <v>463</v>
      </c>
      <c r="C112" s="132" t="s">
        <v>402</v>
      </c>
      <c r="D112" s="132" t="s">
        <v>403</v>
      </c>
      <c r="E112" s="132" t="s">
        <v>320</v>
      </c>
      <c r="F112" s="133" t="s">
        <v>464</v>
      </c>
      <c r="G112" s="134">
        <v>3.17</v>
      </c>
      <c r="H112" s="135">
        <v>13.45</v>
      </c>
      <c r="I112" s="136">
        <f t="shared" si="1"/>
        <v>42.636499999999998</v>
      </c>
      <c r="J112" s="137">
        <v>1</v>
      </c>
    </row>
    <row r="113" spans="2:10" ht="14.4" x14ac:dyDescent="0.3">
      <c r="B113" s="132" t="s">
        <v>463</v>
      </c>
      <c r="C113" s="132" t="s">
        <v>402</v>
      </c>
      <c r="D113" s="132" t="s">
        <v>403</v>
      </c>
      <c r="E113" s="132" t="s">
        <v>320</v>
      </c>
      <c r="F113" s="133" t="s">
        <v>465</v>
      </c>
      <c r="G113" s="134">
        <v>3.17</v>
      </c>
      <c r="H113" s="135">
        <v>13.45</v>
      </c>
      <c r="I113" s="136">
        <f t="shared" si="1"/>
        <v>42.636499999999998</v>
      </c>
      <c r="J113" s="137">
        <v>1</v>
      </c>
    </row>
    <row r="114" spans="2:10" ht="14.4" x14ac:dyDescent="0.3">
      <c r="B114" s="132" t="s">
        <v>463</v>
      </c>
      <c r="C114" s="132" t="s">
        <v>402</v>
      </c>
      <c r="D114" s="132" t="s">
        <v>403</v>
      </c>
      <c r="E114" s="132" t="s">
        <v>320</v>
      </c>
      <c r="F114" s="133" t="s">
        <v>466</v>
      </c>
      <c r="G114" s="134">
        <v>1.91</v>
      </c>
      <c r="H114" s="135">
        <v>13.45</v>
      </c>
      <c r="I114" s="136">
        <f t="shared" si="1"/>
        <v>25.689499999999999</v>
      </c>
      <c r="J114" s="137">
        <v>1</v>
      </c>
    </row>
    <row r="115" spans="2:10" ht="14.4" x14ac:dyDescent="0.3">
      <c r="B115" s="132" t="s">
        <v>463</v>
      </c>
      <c r="C115" s="132" t="s">
        <v>402</v>
      </c>
      <c r="D115" s="132" t="s">
        <v>403</v>
      </c>
      <c r="E115" s="132" t="s">
        <v>320</v>
      </c>
      <c r="F115" s="133" t="s">
        <v>467</v>
      </c>
      <c r="G115" s="134">
        <v>1.91</v>
      </c>
      <c r="H115" s="135">
        <v>13.45</v>
      </c>
      <c r="I115" s="136">
        <f t="shared" si="1"/>
        <v>25.689499999999999</v>
      </c>
      <c r="J115" s="137">
        <v>1</v>
      </c>
    </row>
    <row r="116" spans="2:10" ht="14.4" x14ac:dyDescent="0.3">
      <c r="B116" s="132" t="s">
        <v>468</v>
      </c>
      <c r="C116" s="132" t="s">
        <v>402</v>
      </c>
      <c r="D116" s="132" t="s">
        <v>403</v>
      </c>
      <c r="E116" s="132" t="s">
        <v>320</v>
      </c>
      <c r="F116" s="133" t="s">
        <v>469</v>
      </c>
      <c r="G116" s="134">
        <v>3.51</v>
      </c>
      <c r="H116" s="135">
        <v>13.45</v>
      </c>
      <c r="I116" s="136">
        <f t="shared" si="1"/>
        <v>47.209499999999991</v>
      </c>
      <c r="J116" s="137">
        <v>1</v>
      </c>
    </row>
    <row r="117" spans="2:10" ht="14.4" x14ac:dyDescent="0.3">
      <c r="B117" s="132" t="s">
        <v>468</v>
      </c>
      <c r="C117" s="132" t="s">
        <v>402</v>
      </c>
      <c r="D117" s="132" t="s">
        <v>403</v>
      </c>
      <c r="E117" s="132" t="s">
        <v>320</v>
      </c>
      <c r="F117" s="133" t="s">
        <v>470</v>
      </c>
      <c r="G117" s="134">
        <v>3.54</v>
      </c>
      <c r="H117" s="135">
        <v>13.45</v>
      </c>
      <c r="I117" s="136">
        <f t="shared" si="1"/>
        <v>47.613</v>
      </c>
      <c r="J117" s="137">
        <v>1</v>
      </c>
    </row>
    <row r="118" spans="2:10" ht="14.4" x14ac:dyDescent="0.3">
      <c r="B118" s="132" t="s">
        <v>471</v>
      </c>
      <c r="C118" s="132" t="s">
        <v>402</v>
      </c>
      <c r="D118" s="132" t="s">
        <v>403</v>
      </c>
      <c r="E118" s="132" t="s">
        <v>320</v>
      </c>
      <c r="F118" s="133" t="s">
        <v>472</v>
      </c>
      <c r="G118" s="134">
        <v>1.75</v>
      </c>
      <c r="H118" s="135">
        <v>13.45</v>
      </c>
      <c r="I118" s="136">
        <f t="shared" si="1"/>
        <v>23.537499999999998</v>
      </c>
      <c r="J118" s="137">
        <v>1</v>
      </c>
    </row>
    <row r="119" spans="2:10" ht="14.4" x14ac:dyDescent="0.3">
      <c r="B119" s="132" t="s">
        <v>473</v>
      </c>
      <c r="C119" s="132" t="s">
        <v>402</v>
      </c>
      <c r="D119" s="132" t="s">
        <v>403</v>
      </c>
      <c r="E119" s="132" t="s">
        <v>320</v>
      </c>
      <c r="F119" s="133" t="s">
        <v>474</v>
      </c>
      <c r="G119" s="134">
        <v>1.91</v>
      </c>
      <c r="H119" s="135">
        <v>13.45</v>
      </c>
      <c r="I119" s="136">
        <f t="shared" si="1"/>
        <v>25.689499999999999</v>
      </c>
      <c r="J119" s="137">
        <v>1</v>
      </c>
    </row>
    <row r="120" spans="2:10" ht="14.4" x14ac:dyDescent="0.3">
      <c r="B120" s="132" t="s">
        <v>475</v>
      </c>
      <c r="C120" s="132" t="s">
        <v>402</v>
      </c>
      <c r="D120" s="132" t="s">
        <v>403</v>
      </c>
      <c r="E120" s="132" t="s">
        <v>320</v>
      </c>
      <c r="F120" s="133" t="s">
        <v>476</v>
      </c>
      <c r="G120" s="134">
        <v>2.86</v>
      </c>
      <c r="H120" s="135">
        <v>13.45</v>
      </c>
      <c r="I120" s="136">
        <f t="shared" si="1"/>
        <v>38.466999999999999</v>
      </c>
      <c r="J120" s="137">
        <v>1</v>
      </c>
    </row>
    <row r="121" spans="2:10" ht="14.4" x14ac:dyDescent="0.3">
      <c r="B121" s="132" t="s">
        <v>475</v>
      </c>
      <c r="C121" s="132" t="s">
        <v>402</v>
      </c>
      <c r="D121" s="132" t="s">
        <v>403</v>
      </c>
      <c r="E121" s="132" t="s">
        <v>320</v>
      </c>
      <c r="F121" s="133" t="s">
        <v>477</v>
      </c>
      <c r="G121" s="134">
        <v>2.87</v>
      </c>
      <c r="H121" s="135">
        <v>13.45</v>
      </c>
      <c r="I121" s="136">
        <f t="shared" si="1"/>
        <v>38.601500000000001</v>
      </c>
      <c r="J121" s="137">
        <v>1</v>
      </c>
    </row>
    <row r="122" spans="2:10" ht="14.4" x14ac:dyDescent="0.3">
      <c r="B122" s="132" t="s">
        <v>475</v>
      </c>
      <c r="C122" s="132" t="s">
        <v>402</v>
      </c>
      <c r="D122" s="132" t="s">
        <v>403</v>
      </c>
      <c r="E122" s="132" t="s">
        <v>320</v>
      </c>
      <c r="F122" s="133" t="s">
        <v>478</v>
      </c>
      <c r="G122" s="134">
        <v>2.88</v>
      </c>
      <c r="H122" s="135">
        <v>13.45</v>
      </c>
      <c r="I122" s="136">
        <f t="shared" si="1"/>
        <v>38.735999999999997</v>
      </c>
      <c r="J122" s="137">
        <v>1</v>
      </c>
    </row>
    <row r="123" spans="2:10" ht="14.4" x14ac:dyDescent="0.3">
      <c r="B123" s="132" t="s">
        <v>475</v>
      </c>
      <c r="C123" s="132" t="s">
        <v>402</v>
      </c>
      <c r="D123" s="132" t="s">
        <v>403</v>
      </c>
      <c r="E123" s="132" t="s">
        <v>320</v>
      </c>
      <c r="F123" s="133" t="s">
        <v>479</v>
      </c>
      <c r="G123" s="134">
        <v>2.87</v>
      </c>
      <c r="H123" s="135">
        <v>13.45</v>
      </c>
      <c r="I123" s="136">
        <f t="shared" si="1"/>
        <v>38.601500000000001</v>
      </c>
      <c r="J123" s="137">
        <v>1</v>
      </c>
    </row>
    <row r="124" spans="2:10" ht="14.4" x14ac:dyDescent="0.3">
      <c r="B124" s="132" t="s">
        <v>475</v>
      </c>
      <c r="C124" s="132" t="s">
        <v>402</v>
      </c>
      <c r="D124" s="132" t="s">
        <v>403</v>
      </c>
      <c r="E124" s="132" t="s">
        <v>320</v>
      </c>
      <c r="F124" s="133" t="s">
        <v>480</v>
      </c>
      <c r="G124" s="134">
        <v>3.2</v>
      </c>
      <c r="H124" s="135">
        <v>13.45</v>
      </c>
      <c r="I124" s="136">
        <f t="shared" si="1"/>
        <v>43.04</v>
      </c>
      <c r="J124" s="137">
        <v>1</v>
      </c>
    </row>
    <row r="125" spans="2:10" ht="14.4" x14ac:dyDescent="0.3">
      <c r="B125" s="132" t="s">
        <v>475</v>
      </c>
      <c r="C125" s="132" t="s">
        <v>402</v>
      </c>
      <c r="D125" s="132" t="s">
        <v>403</v>
      </c>
      <c r="E125" s="132" t="s">
        <v>320</v>
      </c>
      <c r="F125" s="133" t="s">
        <v>481</v>
      </c>
      <c r="G125" s="134">
        <v>3.03</v>
      </c>
      <c r="H125" s="135">
        <v>13.45</v>
      </c>
      <c r="I125" s="136">
        <f t="shared" si="1"/>
        <v>40.753499999999995</v>
      </c>
      <c r="J125" s="137">
        <v>1</v>
      </c>
    </row>
    <row r="126" spans="2:10" ht="14.4" x14ac:dyDescent="0.3">
      <c r="B126" s="132" t="s">
        <v>482</v>
      </c>
      <c r="C126" s="132" t="s">
        <v>402</v>
      </c>
      <c r="D126" s="132" t="s">
        <v>403</v>
      </c>
      <c r="E126" s="132" t="s">
        <v>320</v>
      </c>
      <c r="F126" s="133" t="s">
        <v>483</v>
      </c>
      <c r="G126" s="134">
        <v>2.56</v>
      </c>
      <c r="H126" s="135">
        <v>13.45</v>
      </c>
      <c r="I126" s="136">
        <f t="shared" si="1"/>
        <v>34.432000000000002</v>
      </c>
      <c r="J126" s="137">
        <v>1</v>
      </c>
    </row>
    <row r="127" spans="2:10" ht="14.4" x14ac:dyDescent="0.3">
      <c r="B127" s="132" t="s">
        <v>484</v>
      </c>
      <c r="C127" s="132" t="s">
        <v>402</v>
      </c>
      <c r="D127" s="132" t="s">
        <v>403</v>
      </c>
      <c r="E127" s="132" t="s">
        <v>320</v>
      </c>
      <c r="F127" s="133" t="s">
        <v>485</v>
      </c>
      <c r="G127" s="134">
        <v>2.4</v>
      </c>
      <c r="H127" s="135">
        <v>13.45</v>
      </c>
      <c r="I127" s="136">
        <f t="shared" si="1"/>
        <v>32.279999999999994</v>
      </c>
      <c r="J127" s="137">
        <v>1</v>
      </c>
    </row>
    <row r="128" spans="2:10" ht="14.4" x14ac:dyDescent="0.3">
      <c r="B128" s="132" t="s">
        <v>486</v>
      </c>
      <c r="C128" s="132" t="s">
        <v>402</v>
      </c>
      <c r="D128" s="132" t="s">
        <v>403</v>
      </c>
      <c r="E128" s="132" t="s">
        <v>320</v>
      </c>
      <c r="F128" s="133" t="s">
        <v>487</v>
      </c>
      <c r="G128" s="134">
        <v>7.98</v>
      </c>
      <c r="H128" s="135">
        <v>13.45</v>
      </c>
      <c r="I128" s="136">
        <f t="shared" si="1"/>
        <v>107.331</v>
      </c>
      <c r="J128" s="137">
        <v>1</v>
      </c>
    </row>
    <row r="129" spans="2:10" ht="14.4" x14ac:dyDescent="0.3">
      <c r="B129" s="132" t="s">
        <v>486</v>
      </c>
      <c r="C129" s="132" t="s">
        <v>402</v>
      </c>
      <c r="D129" s="132" t="s">
        <v>403</v>
      </c>
      <c r="E129" s="132" t="s">
        <v>320</v>
      </c>
      <c r="F129" s="133" t="s">
        <v>488</v>
      </c>
      <c r="G129" s="134">
        <v>8.01</v>
      </c>
      <c r="H129" s="135">
        <v>13.45</v>
      </c>
      <c r="I129" s="136">
        <f t="shared" si="1"/>
        <v>107.7345</v>
      </c>
      <c r="J129" s="137">
        <v>1</v>
      </c>
    </row>
    <row r="130" spans="2:10" ht="14.4" x14ac:dyDescent="0.3">
      <c r="B130" s="132" t="s">
        <v>489</v>
      </c>
      <c r="C130" s="132" t="s">
        <v>402</v>
      </c>
      <c r="D130" s="132" t="s">
        <v>403</v>
      </c>
      <c r="E130" s="132" t="s">
        <v>320</v>
      </c>
      <c r="F130" s="133" t="s">
        <v>490</v>
      </c>
      <c r="G130" s="134">
        <v>1.44</v>
      </c>
      <c r="H130" s="135">
        <v>13.45</v>
      </c>
      <c r="I130" s="136">
        <f t="shared" si="1"/>
        <v>19.367999999999999</v>
      </c>
      <c r="J130" s="137">
        <v>1</v>
      </c>
    </row>
    <row r="131" spans="2:10" ht="14.4" x14ac:dyDescent="0.3">
      <c r="B131" s="132" t="s">
        <v>491</v>
      </c>
      <c r="C131" s="132" t="s">
        <v>402</v>
      </c>
      <c r="D131" s="132" t="s">
        <v>403</v>
      </c>
      <c r="E131" s="132" t="s">
        <v>320</v>
      </c>
      <c r="F131" s="133" t="s">
        <v>492</v>
      </c>
      <c r="G131" s="134">
        <v>3.03</v>
      </c>
      <c r="H131" s="135">
        <v>13.45</v>
      </c>
      <c r="I131" s="136">
        <f t="shared" si="1"/>
        <v>40.753499999999995</v>
      </c>
      <c r="J131" s="137">
        <v>1</v>
      </c>
    </row>
    <row r="132" spans="2:10" ht="14.4" x14ac:dyDescent="0.3">
      <c r="B132" s="132" t="s">
        <v>493</v>
      </c>
      <c r="C132" s="132" t="s">
        <v>402</v>
      </c>
      <c r="D132" s="132" t="s">
        <v>403</v>
      </c>
      <c r="E132" s="132" t="s">
        <v>320</v>
      </c>
      <c r="F132" s="133" t="s">
        <v>494</v>
      </c>
      <c r="G132" s="134">
        <v>1.43</v>
      </c>
      <c r="H132" s="135">
        <v>13.45</v>
      </c>
      <c r="I132" s="136">
        <f t="shared" si="1"/>
        <v>19.233499999999999</v>
      </c>
      <c r="J132" s="137">
        <v>1</v>
      </c>
    </row>
    <row r="133" spans="2:10" ht="14.4" x14ac:dyDescent="0.3">
      <c r="B133" s="132" t="s">
        <v>495</v>
      </c>
      <c r="C133" s="132" t="s">
        <v>402</v>
      </c>
      <c r="D133" s="132" t="s">
        <v>403</v>
      </c>
      <c r="E133" s="132" t="s">
        <v>320</v>
      </c>
      <c r="F133" s="133" t="s">
        <v>496</v>
      </c>
      <c r="G133" s="134">
        <v>2.73</v>
      </c>
      <c r="H133" s="135">
        <v>13.45</v>
      </c>
      <c r="I133" s="136">
        <f t="shared" si="1"/>
        <v>36.718499999999999</v>
      </c>
      <c r="J133" s="137">
        <v>1</v>
      </c>
    </row>
    <row r="134" spans="2:10" ht="14.4" x14ac:dyDescent="0.3">
      <c r="B134" s="132" t="s">
        <v>497</v>
      </c>
      <c r="C134" s="132" t="s">
        <v>402</v>
      </c>
      <c r="D134" s="132" t="s">
        <v>403</v>
      </c>
      <c r="E134" s="132" t="s">
        <v>320</v>
      </c>
      <c r="F134" s="133" t="s">
        <v>498</v>
      </c>
      <c r="G134" s="134">
        <v>2.7</v>
      </c>
      <c r="H134" s="135">
        <v>13.45</v>
      </c>
      <c r="I134" s="136">
        <f t="shared" si="1"/>
        <v>36.314999999999998</v>
      </c>
      <c r="J134" s="137">
        <v>1</v>
      </c>
    </row>
    <row r="135" spans="2:10" ht="14.4" x14ac:dyDescent="0.3">
      <c r="B135" s="132" t="s">
        <v>497</v>
      </c>
      <c r="C135" s="132" t="s">
        <v>402</v>
      </c>
      <c r="D135" s="132" t="s">
        <v>403</v>
      </c>
      <c r="E135" s="132" t="s">
        <v>320</v>
      </c>
      <c r="F135" s="133" t="s">
        <v>499</v>
      </c>
      <c r="G135" s="134">
        <v>2.71</v>
      </c>
      <c r="H135" s="135">
        <v>13.45</v>
      </c>
      <c r="I135" s="136">
        <f t="shared" si="1"/>
        <v>36.4495</v>
      </c>
      <c r="J135" s="137">
        <v>1</v>
      </c>
    </row>
    <row r="136" spans="2:10" ht="14.4" x14ac:dyDescent="0.3">
      <c r="B136" s="132" t="s">
        <v>497</v>
      </c>
      <c r="C136" s="132" t="s">
        <v>402</v>
      </c>
      <c r="D136" s="132" t="s">
        <v>403</v>
      </c>
      <c r="E136" s="132" t="s">
        <v>320</v>
      </c>
      <c r="F136" s="133" t="s">
        <v>500</v>
      </c>
      <c r="G136" s="134">
        <v>1.91</v>
      </c>
      <c r="H136" s="135">
        <v>13.45</v>
      </c>
      <c r="I136" s="136">
        <f t="shared" ref="I136:I199" si="2">G136*H136</f>
        <v>25.689499999999999</v>
      </c>
      <c r="J136" s="137">
        <v>1</v>
      </c>
    </row>
    <row r="137" spans="2:10" ht="14.4" x14ac:dyDescent="0.3">
      <c r="B137" s="132" t="s">
        <v>497</v>
      </c>
      <c r="C137" s="132" t="s">
        <v>402</v>
      </c>
      <c r="D137" s="132" t="s">
        <v>403</v>
      </c>
      <c r="E137" s="132" t="s">
        <v>320</v>
      </c>
      <c r="F137" s="133" t="s">
        <v>501</v>
      </c>
      <c r="G137" s="134">
        <v>2.0699999999999998</v>
      </c>
      <c r="H137" s="135">
        <v>13.45</v>
      </c>
      <c r="I137" s="136">
        <f t="shared" si="2"/>
        <v>27.841499999999996</v>
      </c>
      <c r="J137" s="137">
        <v>1</v>
      </c>
    </row>
    <row r="138" spans="2:10" ht="14.4" x14ac:dyDescent="0.3">
      <c r="B138" s="132" t="s">
        <v>497</v>
      </c>
      <c r="C138" s="132" t="s">
        <v>402</v>
      </c>
      <c r="D138" s="132" t="s">
        <v>403</v>
      </c>
      <c r="E138" s="132" t="s">
        <v>320</v>
      </c>
      <c r="F138" s="133" t="s">
        <v>502</v>
      </c>
      <c r="G138" s="134">
        <v>2.08</v>
      </c>
      <c r="H138" s="135">
        <v>13.45</v>
      </c>
      <c r="I138" s="136">
        <f t="shared" si="2"/>
        <v>27.975999999999999</v>
      </c>
      <c r="J138" s="137">
        <v>1</v>
      </c>
    </row>
    <row r="139" spans="2:10" ht="14.4" x14ac:dyDescent="0.3">
      <c r="B139" s="132" t="s">
        <v>503</v>
      </c>
      <c r="C139" s="132" t="s">
        <v>402</v>
      </c>
      <c r="D139" s="132" t="s">
        <v>403</v>
      </c>
      <c r="E139" s="132" t="s">
        <v>320</v>
      </c>
      <c r="F139" s="133" t="s">
        <v>504</v>
      </c>
      <c r="G139" s="134">
        <v>2.23</v>
      </c>
      <c r="H139" s="135">
        <v>13.45</v>
      </c>
      <c r="I139" s="136">
        <f t="shared" si="2"/>
        <v>29.993499999999997</v>
      </c>
      <c r="J139" s="137">
        <v>1</v>
      </c>
    </row>
    <row r="140" spans="2:10" ht="14.4" x14ac:dyDescent="0.3">
      <c r="B140" s="132" t="s">
        <v>503</v>
      </c>
      <c r="C140" s="132" t="s">
        <v>402</v>
      </c>
      <c r="D140" s="132" t="s">
        <v>403</v>
      </c>
      <c r="E140" s="132" t="s">
        <v>320</v>
      </c>
      <c r="F140" s="133" t="s">
        <v>505</v>
      </c>
      <c r="G140" s="134">
        <v>2.23</v>
      </c>
      <c r="H140" s="135">
        <v>13.45</v>
      </c>
      <c r="I140" s="136">
        <f t="shared" si="2"/>
        <v>29.993499999999997</v>
      </c>
      <c r="J140" s="137">
        <v>1</v>
      </c>
    </row>
    <row r="141" spans="2:10" ht="14.4" x14ac:dyDescent="0.3">
      <c r="B141" s="132" t="s">
        <v>506</v>
      </c>
      <c r="C141" s="132" t="s">
        <v>402</v>
      </c>
      <c r="D141" s="132" t="s">
        <v>403</v>
      </c>
      <c r="E141" s="132" t="s">
        <v>320</v>
      </c>
      <c r="F141" s="133" t="s">
        <v>507</v>
      </c>
      <c r="G141" s="134">
        <v>1.27</v>
      </c>
      <c r="H141" s="135">
        <v>13.45</v>
      </c>
      <c r="I141" s="136">
        <f t="shared" si="2"/>
        <v>17.081499999999998</v>
      </c>
      <c r="J141" s="137">
        <v>1</v>
      </c>
    </row>
    <row r="142" spans="2:10" ht="14.4" x14ac:dyDescent="0.3">
      <c r="B142" s="132" t="s">
        <v>508</v>
      </c>
      <c r="C142" s="132" t="s">
        <v>402</v>
      </c>
      <c r="D142" s="132" t="s">
        <v>403</v>
      </c>
      <c r="E142" s="132" t="s">
        <v>320</v>
      </c>
      <c r="F142" s="133" t="s">
        <v>509</v>
      </c>
      <c r="G142" s="134">
        <v>1.28</v>
      </c>
      <c r="H142" s="135">
        <v>13.45</v>
      </c>
      <c r="I142" s="136">
        <f t="shared" si="2"/>
        <v>17.216000000000001</v>
      </c>
      <c r="J142" s="137">
        <v>1</v>
      </c>
    </row>
    <row r="143" spans="2:10" ht="14.4" x14ac:dyDescent="0.3">
      <c r="B143" s="132" t="s">
        <v>508</v>
      </c>
      <c r="C143" s="132" t="s">
        <v>402</v>
      </c>
      <c r="D143" s="132" t="s">
        <v>403</v>
      </c>
      <c r="E143" s="132" t="s">
        <v>320</v>
      </c>
      <c r="F143" s="133" t="s">
        <v>510</v>
      </c>
      <c r="G143" s="134">
        <v>2.87</v>
      </c>
      <c r="H143" s="135">
        <v>13.45</v>
      </c>
      <c r="I143" s="136">
        <f t="shared" si="2"/>
        <v>38.601500000000001</v>
      </c>
      <c r="J143" s="137">
        <v>1</v>
      </c>
    </row>
    <row r="144" spans="2:10" ht="14.4" x14ac:dyDescent="0.3">
      <c r="B144" s="132" t="s">
        <v>508</v>
      </c>
      <c r="C144" s="132" t="s">
        <v>402</v>
      </c>
      <c r="D144" s="132" t="s">
        <v>403</v>
      </c>
      <c r="E144" s="132" t="s">
        <v>320</v>
      </c>
      <c r="F144" s="133" t="s">
        <v>511</v>
      </c>
      <c r="G144" s="134">
        <v>2.88</v>
      </c>
      <c r="H144" s="135">
        <v>13.45</v>
      </c>
      <c r="I144" s="136">
        <f t="shared" si="2"/>
        <v>38.735999999999997</v>
      </c>
      <c r="J144" s="137">
        <v>1</v>
      </c>
    </row>
    <row r="145" spans="2:10" ht="14.4" x14ac:dyDescent="0.3">
      <c r="B145" s="132" t="s">
        <v>508</v>
      </c>
      <c r="C145" s="132" t="s">
        <v>402</v>
      </c>
      <c r="D145" s="132" t="s">
        <v>403</v>
      </c>
      <c r="E145" s="132" t="s">
        <v>320</v>
      </c>
      <c r="F145" s="133" t="s">
        <v>512</v>
      </c>
      <c r="G145" s="134">
        <v>1.59</v>
      </c>
      <c r="H145" s="135">
        <v>13.45</v>
      </c>
      <c r="I145" s="136">
        <f t="shared" si="2"/>
        <v>21.3855</v>
      </c>
      <c r="J145" s="137">
        <v>1</v>
      </c>
    </row>
    <row r="146" spans="2:10" ht="14.4" x14ac:dyDescent="0.3">
      <c r="B146" s="132" t="s">
        <v>508</v>
      </c>
      <c r="C146" s="132" t="s">
        <v>402</v>
      </c>
      <c r="D146" s="132" t="s">
        <v>403</v>
      </c>
      <c r="E146" s="132" t="s">
        <v>320</v>
      </c>
      <c r="F146" s="133" t="s">
        <v>513</v>
      </c>
      <c r="G146" s="134">
        <v>1.6</v>
      </c>
      <c r="H146" s="135">
        <v>13.45</v>
      </c>
      <c r="I146" s="136">
        <f t="shared" si="2"/>
        <v>21.52</v>
      </c>
      <c r="J146" s="137">
        <v>1</v>
      </c>
    </row>
    <row r="147" spans="2:10" ht="14.4" x14ac:dyDescent="0.3">
      <c r="B147" s="132" t="s">
        <v>508</v>
      </c>
      <c r="C147" s="132" t="s">
        <v>402</v>
      </c>
      <c r="D147" s="132" t="s">
        <v>403</v>
      </c>
      <c r="E147" s="132" t="s">
        <v>320</v>
      </c>
      <c r="F147" s="133" t="s">
        <v>514</v>
      </c>
      <c r="G147" s="134">
        <v>1.43</v>
      </c>
      <c r="H147" s="135">
        <v>13.45</v>
      </c>
      <c r="I147" s="136">
        <f t="shared" si="2"/>
        <v>19.233499999999999</v>
      </c>
      <c r="J147" s="137">
        <v>1</v>
      </c>
    </row>
    <row r="148" spans="2:10" ht="14.4" x14ac:dyDescent="0.3">
      <c r="B148" s="132" t="s">
        <v>508</v>
      </c>
      <c r="C148" s="132" t="s">
        <v>402</v>
      </c>
      <c r="D148" s="132" t="s">
        <v>403</v>
      </c>
      <c r="E148" s="132" t="s">
        <v>320</v>
      </c>
      <c r="F148" s="133" t="s">
        <v>515</v>
      </c>
      <c r="G148" s="134">
        <v>1.43</v>
      </c>
      <c r="H148" s="135">
        <v>13.45</v>
      </c>
      <c r="I148" s="136">
        <f t="shared" si="2"/>
        <v>19.233499999999999</v>
      </c>
      <c r="J148" s="137">
        <v>1</v>
      </c>
    </row>
    <row r="149" spans="2:10" ht="14.4" x14ac:dyDescent="0.3">
      <c r="B149" s="132" t="s">
        <v>516</v>
      </c>
      <c r="C149" s="132" t="s">
        <v>402</v>
      </c>
      <c r="D149" s="132" t="s">
        <v>403</v>
      </c>
      <c r="E149" s="132" t="s">
        <v>320</v>
      </c>
      <c r="F149" s="133" t="s">
        <v>517</v>
      </c>
      <c r="G149" s="134">
        <v>2.56</v>
      </c>
      <c r="H149" s="135">
        <v>13.45</v>
      </c>
      <c r="I149" s="136">
        <f t="shared" si="2"/>
        <v>34.432000000000002</v>
      </c>
      <c r="J149" s="137">
        <v>1</v>
      </c>
    </row>
    <row r="150" spans="2:10" ht="14.4" x14ac:dyDescent="0.3">
      <c r="B150" s="132" t="s">
        <v>516</v>
      </c>
      <c r="C150" s="132" t="s">
        <v>402</v>
      </c>
      <c r="D150" s="132" t="s">
        <v>403</v>
      </c>
      <c r="E150" s="132" t="s">
        <v>320</v>
      </c>
      <c r="F150" s="133" t="s">
        <v>518</v>
      </c>
      <c r="G150" s="134">
        <v>2.56</v>
      </c>
      <c r="H150" s="135">
        <v>13.45</v>
      </c>
      <c r="I150" s="136">
        <f t="shared" si="2"/>
        <v>34.432000000000002</v>
      </c>
      <c r="J150" s="137">
        <v>1</v>
      </c>
    </row>
    <row r="151" spans="2:10" ht="14.4" x14ac:dyDescent="0.3">
      <c r="B151" s="132" t="s">
        <v>516</v>
      </c>
      <c r="C151" s="132" t="s">
        <v>402</v>
      </c>
      <c r="D151" s="132" t="s">
        <v>403</v>
      </c>
      <c r="E151" s="132" t="s">
        <v>320</v>
      </c>
      <c r="F151" s="133" t="s">
        <v>519</v>
      </c>
      <c r="G151" s="134">
        <v>2.23</v>
      </c>
      <c r="H151" s="135">
        <v>13.45</v>
      </c>
      <c r="I151" s="136">
        <f t="shared" si="2"/>
        <v>29.993499999999997</v>
      </c>
      <c r="J151" s="137">
        <v>1</v>
      </c>
    </row>
    <row r="152" spans="2:10" ht="14.4" x14ac:dyDescent="0.3">
      <c r="B152" s="132" t="s">
        <v>516</v>
      </c>
      <c r="C152" s="132" t="s">
        <v>402</v>
      </c>
      <c r="D152" s="132" t="s">
        <v>403</v>
      </c>
      <c r="E152" s="132" t="s">
        <v>320</v>
      </c>
      <c r="F152" s="133" t="s">
        <v>520</v>
      </c>
      <c r="G152" s="134">
        <v>2.23</v>
      </c>
      <c r="H152" s="135">
        <v>13.45</v>
      </c>
      <c r="I152" s="136">
        <f t="shared" si="2"/>
        <v>29.993499999999997</v>
      </c>
      <c r="J152" s="137">
        <v>1</v>
      </c>
    </row>
    <row r="153" spans="2:10" ht="14.4" x14ac:dyDescent="0.3">
      <c r="B153" s="132" t="s">
        <v>521</v>
      </c>
      <c r="C153" s="132" t="s">
        <v>402</v>
      </c>
      <c r="D153" s="132" t="s">
        <v>403</v>
      </c>
      <c r="E153" s="132" t="s">
        <v>320</v>
      </c>
      <c r="F153" s="133" t="s">
        <v>522</v>
      </c>
      <c r="G153" s="134">
        <v>1.1100000000000001</v>
      </c>
      <c r="H153" s="135">
        <v>13.45</v>
      </c>
      <c r="I153" s="136">
        <f t="shared" si="2"/>
        <v>14.929500000000001</v>
      </c>
      <c r="J153" s="137">
        <v>1</v>
      </c>
    </row>
    <row r="154" spans="2:10" ht="14.4" x14ac:dyDescent="0.3">
      <c r="B154" s="132" t="s">
        <v>521</v>
      </c>
      <c r="C154" s="132" t="s">
        <v>402</v>
      </c>
      <c r="D154" s="132" t="s">
        <v>403</v>
      </c>
      <c r="E154" s="132" t="s">
        <v>320</v>
      </c>
      <c r="F154" s="133" t="s">
        <v>523</v>
      </c>
      <c r="G154" s="134">
        <v>1.1100000000000001</v>
      </c>
      <c r="H154" s="135">
        <v>13.45</v>
      </c>
      <c r="I154" s="136">
        <f t="shared" si="2"/>
        <v>14.929500000000001</v>
      </c>
      <c r="J154" s="137">
        <v>1</v>
      </c>
    </row>
    <row r="155" spans="2:10" ht="14.4" x14ac:dyDescent="0.3">
      <c r="B155" s="132" t="s">
        <v>524</v>
      </c>
      <c r="C155" s="132" t="s">
        <v>402</v>
      </c>
      <c r="D155" s="132" t="s">
        <v>403</v>
      </c>
      <c r="E155" s="132" t="s">
        <v>320</v>
      </c>
      <c r="F155" s="133" t="s">
        <v>525</v>
      </c>
      <c r="G155" s="134">
        <v>7.99</v>
      </c>
      <c r="H155" s="135">
        <v>13.45</v>
      </c>
      <c r="I155" s="136">
        <f t="shared" si="2"/>
        <v>107.46549999999999</v>
      </c>
      <c r="J155" s="137">
        <v>1</v>
      </c>
    </row>
    <row r="156" spans="2:10" ht="14.4" x14ac:dyDescent="0.3">
      <c r="B156" s="132" t="s">
        <v>524</v>
      </c>
      <c r="C156" s="132" t="s">
        <v>402</v>
      </c>
      <c r="D156" s="132" t="s">
        <v>403</v>
      </c>
      <c r="E156" s="132" t="s">
        <v>320</v>
      </c>
      <c r="F156" s="133" t="s">
        <v>526</v>
      </c>
      <c r="G156" s="134">
        <v>7.99</v>
      </c>
      <c r="H156" s="135">
        <v>13.45</v>
      </c>
      <c r="I156" s="136">
        <f t="shared" si="2"/>
        <v>107.46549999999999</v>
      </c>
      <c r="J156" s="137">
        <v>1</v>
      </c>
    </row>
    <row r="157" spans="2:10" ht="14.4" x14ac:dyDescent="0.3">
      <c r="B157" s="132" t="s">
        <v>524</v>
      </c>
      <c r="C157" s="132" t="s">
        <v>402</v>
      </c>
      <c r="D157" s="132" t="s">
        <v>403</v>
      </c>
      <c r="E157" s="132" t="s">
        <v>320</v>
      </c>
      <c r="F157" s="133" t="s">
        <v>527</v>
      </c>
      <c r="G157" s="134">
        <v>2.2400000000000002</v>
      </c>
      <c r="H157" s="135">
        <v>13.45</v>
      </c>
      <c r="I157" s="136">
        <f t="shared" si="2"/>
        <v>30.128</v>
      </c>
      <c r="J157" s="137">
        <v>1</v>
      </c>
    </row>
    <row r="158" spans="2:10" ht="14.4" x14ac:dyDescent="0.3">
      <c r="B158" s="132" t="s">
        <v>524</v>
      </c>
      <c r="C158" s="132" t="s">
        <v>402</v>
      </c>
      <c r="D158" s="132" t="s">
        <v>403</v>
      </c>
      <c r="E158" s="132" t="s">
        <v>320</v>
      </c>
      <c r="F158" s="133" t="s">
        <v>528</v>
      </c>
      <c r="G158" s="134">
        <v>2.23</v>
      </c>
      <c r="H158" s="135">
        <v>13.45</v>
      </c>
      <c r="I158" s="136">
        <f t="shared" si="2"/>
        <v>29.993499999999997</v>
      </c>
      <c r="J158" s="137">
        <v>1</v>
      </c>
    </row>
    <row r="159" spans="2:10" ht="14.4" x14ac:dyDescent="0.3">
      <c r="B159" s="132" t="s">
        <v>529</v>
      </c>
      <c r="C159" s="132" t="s">
        <v>402</v>
      </c>
      <c r="D159" s="132" t="s">
        <v>403</v>
      </c>
      <c r="E159" s="132" t="s">
        <v>320</v>
      </c>
      <c r="F159" s="133" t="s">
        <v>530</v>
      </c>
      <c r="G159" s="134">
        <v>1.91</v>
      </c>
      <c r="H159" s="135">
        <v>13.45</v>
      </c>
      <c r="I159" s="136">
        <f t="shared" si="2"/>
        <v>25.689499999999999</v>
      </c>
      <c r="J159" s="137">
        <v>1</v>
      </c>
    </row>
    <row r="160" spans="2:10" ht="14.4" x14ac:dyDescent="0.3">
      <c r="B160" s="132" t="s">
        <v>529</v>
      </c>
      <c r="C160" s="132" t="s">
        <v>402</v>
      </c>
      <c r="D160" s="132" t="s">
        <v>403</v>
      </c>
      <c r="E160" s="132" t="s">
        <v>320</v>
      </c>
      <c r="F160" s="133" t="s">
        <v>531</v>
      </c>
      <c r="G160" s="134">
        <v>1.91</v>
      </c>
      <c r="H160" s="135">
        <v>13.45</v>
      </c>
      <c r="I160" s="136">
        <f t="shared" si="2"/>
        <v>25.689499999999999</v>
      </c>
      <c r="J160" s="137">
        <v>1</v>
      </c>
    </row>
    <row r="161" spans="2:10" ht="14.4" x14ac:dyDescent="0.3">
      <c r="B161" s="132" t="s">
        <v>532</v>
      </c>
      <c r="C161" s="132" t="s">
        <v>402</v>
      </c>
      <c r="D161" s="132" t="s">
        <v>533</v>
      </c>
      <c r="E161" s="132" t="s">
        <v>320</v>
      </c>
      <c r="F161" s="133" t="s">
        <v>534</v>
      </c>
      <c r="G161" s="134">
        <v>2.71</v>
      </c>
      <c r="H161" s="135">
        <v>13.45</v>
      </c>
      <c r="I161" s="136">
        <f t="shared" si="2"/>
        <v>36.4495</v>
      </c>
      <c r="J161" s="137">
        <v>1</v>
      </c>
    </row>
    <row r="162" spans="2:10" ht="14.4" x14ac:dyDescent="0.3">
      <c r="B162" s="132" t="s">
        <v>532</v>
      </c>
      <c r="C162" s="132" t="s">
        <v>402</v>
      </c>
      <c r="D162" s="132" t="s">
        <v>533</v>
      </c>
      <c r="E162" s="132" t="s">
        <v>320</v>
      </c>
      <c r="F162" s="133" t="s">
        <v>535</v>
      </c>
      <c r="G162" s="134">
        <v>2.87</v>
      </c>
      <c r="H162" s="135">
        <v>13.45</v>
      </c>
      <c r="I162" s="136">
        <f t="shared" si="2"/>
        <v>38.601500000000001</v>
      </c>
      <c r="J162" s="137">
        <v>1</v>
      </c>
    </row>
    <row r="163" spans="2:10" ht="14.4" x14ac:dyDescent="0.3">
      <c r="B163" s="132" t="s">
        <v>532</v>
      </c>
      <c r="C163" s="132" t="s">
        <v>402</v>
      </c>
      <c r="D163" s="132" t="s">
        <v>533</v>
      </c>
      <c r="E163" s="132" t="s">
        <v>320</v>
      </c>
      <c r="F163" s="133" t="s">
        <v>536</v>
      </c>
      <c r="G163" s="134">
        <v>1.76</v>
      </c>
      <c r="H163" s="135">
        <v>13.45</v>
      </c>
      <c r="I163" s="136">
        <f t="shared" si="2"/>
        <v>23.672000000000001</v>
      </c>
      <c r="J163" s="137">
        <v>1</v>
      </c>
    </row>
    <row r="164" spans="2:10" ht="14.4" x14ac:dyDescent="0.3">
      <c r="B164" s="132" t="s">
        <v>532</v>
      </c>
      <c r="C164" s="132" t="s">
        <v>402</v>
      </c>
      <c r="D164" s="132" t="s">
        <v>533</v>
      </c>
      <c r="E164" s="132" t="s">
        <v>320</v>
      </c>
      <c r="F164" s="133" t="s">
        <v>537</v>
      </c>
      <c r="G164" s="134">
        <v>2.72</v>
      </c>
      <c r="H164" s="135">
        <v>13.45</v>
      </c>
      <c r="I164" s="136">
        <f t="shared" si="2"/>
        <v>36.584000000000003</v>
      </c>
      <c r="J164" s="137">
        <v>1</v>
      </c>
    </row>
    <row r="165" spans="2:10" ht="14.4" x14ac:dyDescent="0.3">
      <c r="B165" s="132" t="s">
        <v>532</v>
      </c>
      <c r="C165" s="132" t="s">
        <v>402</v>
      </c>
      <c r="D165" s="132" t="s">
        <v>533</v>
      </c>
      <c r="E165" s="132" t="s">
        <v>320</v>
      </c>
      <c r="F165" s="133" t="s">
        <v>538</v>
      </c>
      <c r="G165" s="134">
        <v>2.72</v>
      </c>
      <c r="H165" s="135">
        <v>13.45</v>
      </c>
      <c r="I165" s="136">
        <f t="shared" si="2"/>
        <v>36.584000000000003</v>
      </c>
      <c r="J165" s="137">
        <v>1</v>
      </c>
    </row>
    <row r="166" spans="2:10" ht="14.4" x14ac:dyDescent="0.3">
      <c r="B166" s="132" t="s">
        <v>532</v>
      </c>
      <c r="C166" s="132" t="s">
        <v>402</v>
      </c>
      <c r="D166" s="132" t="s">
        <v>533</v>
      </c>
      <c r="E166" s="132" t="s">
        <v>320</v>
      </c>
      <c r="F166" s="133" t="s">
        <v>539</v>
      </c>
      <c r="G166" s="134">
        <v>1.59</v>
      </c>
      <c r="H166" s="135">
        <v>13.45</v>
      </c>
      <c r="I166" s="136">
        <f t="shared" si="2"/>
        <v>21.3855</v>
      </c>
      <c r="J166" s="137">
        <v>1</v>
      </c>
    </row>
    <row r="167" spans="2:10" ht="14.4" x14ac:dyDescent="0.3">
      <c r="B167" s="132" t="s">
        <v>540</v>
      </c>
      <c r="C167" s="132" t="s">
        <v>402</v>
      </c>
      <c r="D167" s="132" t="s">
        <v>533</v>
      </c>
      <c r="E167" s="132" t="s">
        <v>320</v>
      </c>
      <c r="F167" s="133" t="s">
        <v>541</v>
      </c>
      <c r="G167" s="134">
        <v>8.02</v>
      </c>
      <c r="H167" s="135">
        <v>13.45</v>
      </c>
      <c r="I167" s="136">
        <f t="shared" si="2"/>
        <v>107.86899999999999</v>
      </c>
      <c r="J167" s="137">
        <v>1</v>
      </c>
    </row>
    <row r="168" spans="2:10" ht="14.4" x14ac:dyDescent="0.3">
      <c r="B168" s="132" t="s">
        <v>540</v>
      </c>
      <c r="C168" s="132" t="s">
        <v>402</v>
      </c>
      <c r="D168" s="132" t="s">
        <v>533</v>
      </c>
      <c r="E168" s="132" t="s">
        <v>320</v>
      </c>
      <c r="F168" s="133" t="s">
        <v>542</v>
      </c>
      <c r="G168" s="134">
        <v>3.53</v>
      </c>
      <c r="H168" s="135">
        <v>13.45</v>
      </c>
      <c r="I168" s="136">
        <f t="shared" si="2"/>
        <v>47.478499999999997</v>
      </c>
      <c r="J168" s="137">
        <v>1</v>
      </c>
    </row>
    <row r="169" spans="2:10" ht="14.4" x14ac:dyDescent="0.3">
      <c r="B169" s="132" t="s">
        <v>540</v>
      </c>
      <c r="C169" s="132" t="s">
        <v>402</v>
      </c>
      <c r="D169" s="132" t="s">
        <v>533</v>
      </c>
      <c r="E169" s="132" t="s">
        <v>320</v>
      </c>
      <c r="F169" s="133" t="s">
        <v>543</v>
      </c>
      <c r="G169" s="134">
        <v>3.51</v>
      </c>
      <c r="H169" s="135">
        <v>13.45</v>
      </c>
      <c r="I169" s="136">
        <f t="shared" si="2"/>
        <v>47.209499999999991</v>
      </c>
      <c r="J169" s="137">
        <v>1</v>
      </c>
    </row>
    <row r="170" spans="2:10" ht="14.4" x14ac:dyDescent="0.3">
      <c r="B170" s="132" t="s">
        <v>540</v>
      </c>
      <c r="C170" s="132" t="s">
        <v>402</v>
      </c>
      <c r="D170" s="132" t="s">
        <v>533</v>
      </c>
      <c r="E170" s="132" t="s">
        <v>320</v>
      </c>
      <c r="F170" s="133" t="s">
        <v>544</v>
      </c>
      <c r="G170" s="134">
        <v>1.06</v>
      </c>
      <c r="H170" s="135">
        <v>13.45</v>
      </c>
      <c r="I170" s="136">
        <f t="shared" si="2"/>
        <v>14.257</v>
      </c>
      <c r="J170" s="137">
        <v>1</v>
      </c>
    </row>
    <row r="171" spans="2:10" ht="14.4" x14ac:dyDescent="0.3">
      <c r="B171" s="132" t="s">
        <v>540</v>
      </c>
      <c r="C171" s="132" t="s">
        <v>402</v>
      </c>
      <c r="D171" s="132" t="s">
        <v>533</v>
      </c>
      <c r="E171" s="132" t="s">
        <v>320</v>
      </c>
      <c r="F171" s="133" t="s">
        <v>545</v>
      </c>
      <c r="G171" s="134">
        <v>1.07</v>
      </c>
      <c r="H171" s="135">
        <v>13.45</v>
      </c>
      <c r="I171" s="136">
        <f t="shared" si="2"/>
        <v>14.391500000000001</v>
      </c>
      <c r="J171" s="137">
        <v>1</v>
      </c>
    </row>
    <row r="172" spans="2:10" ht="14.4" x14ac:dyDescent="0.3">
      <c r="B172" s="132" t="s">
        <v>540</v>
      </c>
      <c r="C172" s="132" t="s">
        <v>402</v>
      </c>
      <c r="D172" s="132" t="s">
        <v>533</v>
      </c>
      <c r="E172" s="132" t="s">
        <v>320</v>
      </c>
      <c r="F172" s="133" t="s">
        <v>546</v>
      </c>
      <c r="G172" s="134">
        <v>4.1900000000000004</v>
      </c>
      <c r="H172" s="135">
        <v>13.45</v>
      </c>
      <c r="I172" s="136">
        <f t="shared" si="2"/>
        <v>56.355499999999999</v>
      </c>
      <c r="J172" s="137">
        <v>1</v>
      </c>
    </row>
    <row r="173" spans="2:10" ht="14.4" x14ac:dyDescent="0.3">
      <c r="B173" s="132" t="s">
        <v>540</v>
      </c>
      <c r="C173" s="132" t="s">
        <v>402</v>
      </c>
      <c r="D173" s="132" t="s">
        <v>533</v>
      </c>
      <c r="E173" s="132" t="s">
        <v>320</v>
      </c>
      <c r="F173" s="133" t="s">
        <v>547</v>
      </c>
      <c r="G173" s="134">
        <v>4</v>
      </c>
      <c r="H173" s="135">
        <v>13.45</v>
      </c>
      <c r="I173" s="136">
        <f t="shared" si="2"/>
        <v>53.8</v>
      </c>
      <c r="J173" s="137">
        <v>1</v>
      </c>
    </row>
    <row r="174" spans="2:10" ht="14.4" x14ac:dyDescent="0.3">
      <c r="B174" s="132" t="s">
        <v>548</v>
      </c>
      <c r="C174" s="132" t="s">
        <v>402</v>
      </c>
      <c r="D174" s="132" t="s">
        <v>533</v>
      </c>
      <c r="E174" s="132" t="s">
        <v>320</v>
      </c>
      <c r="F174" s="133" t="s">
        <v>549</v>
      </c>
      <c r="G174" s="134">
        <v>7.37</v>
      </c>
      <c r="H174" s="135">
        <v>13.45</v>
      </c>
      <c r="I174" s="136">
        <f t="shared" si="2"/>
        <v>99.126499999999993</v>
      </c>
      <c r="J174" s="137">
        <v>1</v>
      </c>
    </row>
    <row r="175" spans="2:10" ht="14.4" x14ac:dyDescent="0.3">
      <c r="B175" s="132" t="s">
        <v>548</v>
      </c>
      <c r="C175" s="132" t="s">
        <v>402</v>
      </c>
      <c r="D175" s="132" t="s">
        <v>533</v>
      </c>
      <c r="E175" s="132" t="s">
        <v>320</v>
      </c>
      <c r="F175" s="133" t="s">
        <v>550</v>
      </c>
      <c r="G175" s="134">
        <v>7.24</v>
      </c>
      <c r="H175" s="135">
        <v>13.45</v>
      </c>
      <c r="I175" s="136">
        <f t="shared" si="2"/>
        <v>97.378</v>
      </c>
      <c r="J175" s="137">
        <v>1</v>
      </c>
    </row>
    <row r="176" spans="2:10" ht="14.4" x14ac:dyDescent="0.3">
      <c r="B176" s="132" t="s">
        <v>551</v>
      </c>
      <c r="C176" s="132" t="s">
        <v>402</v>
      </c>
      <c r="D176" s="132" t="s">
        <v>533</v>
      </c>
      <c r="E176" s="132" t="s">
        <v>320</v>
      </c>
      <c r="F176" s="133" t="s">
        <v>552</v>
      </c>
      <c r="G176" s="134">
        <v>2.57</v>
      </c>
      <c r="H176" s="135">
        <v>13.45</v>
      </c>
      <c r="I176" s="136">
        <f t="shared" si="2"/>
        <v>34.566499999999998</v>
      </c>
      <c r="J176" s="137">
        <v>1</v>
      </c>
    </row>
    <row r="177" spans="2:10" ht="14.4" x14ac:dyDescent="0.3">
      <c r="B177" s="132" t="s">
        <v>551</v>
      </c>
      <c r="C177" s="132" t="s">
        <v>402</v>
      </c>
      <c r="D177" s="132" t="s">
        <v>533</v>
      </c>
      <c r="E177" s="132" t="s">
        <v>320</v>
      </c>
      <c r="F177" s="133" t="s">
        <v>553</v>
      </c>
      <c r="G177" s="134">
        <v>2.58</v>
      </c>
      <c r="H177" s="135">
        <v>13.45</v>
      </c>
      <c r="I177" s="136">
        <f t="shared" si="2"/>
        <v>34.701000000000001</v>
      </c>
      <c r="J177" s="137">
        <v>1</v>
      </c>
    </row>
    <row r="178" spans="2:10" ht="14.4" x14ac:dyDescent="0.3">
      <c r="B178" s="132" t="s">
        <v>551</v>
      </c>
      <c r="C178" s="132" t="s">
        <v>402</v>
      </c>
      <c r="D178" s="132" t="s">
        <v>533</v>
      </c>
      <c r="E178" s="132" t="s">
        <v>320</v>
      </c>
      <c r="F178" s="133" t="s">
        <v>554</v>
      </c>
      <c r="G178" s="138">
        <v>3.74</v>
      </c>
      <c r="H178" s="135">
        <v>13.45</v>
      </c>
      <c r="I178" s="136">
        <f t="shared" si="2"/>
        <v>50.302999999999997</v>
      </c>
      <c r="J178" s="137">
        <v>1</v>
      </c>
    </row>
    <row r="179" spans="2:10" ht="14.4" x14ac:dyDescent="0.3">
      <c r="B179" s="132" t="s">
        <v>555</v>
      </c>
      <c r="C179" s="132" t="s">
        <v>402</v>
      </c>
      <c r="D179" s="132" t="s">
        <v>533</v>
      </c>
      <c r="E179" s="132" t="s">
        <v>320</v>
      </c>
      <c r="F179" s="133" t="s">
        <v>556</v>
      </c>
      <c r="G179" s="134">
        <v>1.79</v>
      </c>
      <c r="H179" s="135">
        <v>13.45</v>
      </c>
      <c r="I179" s="136">
        <f t="shared" si="2"/>
        <v>24.075499999999998</v>
      </c>
      <c r="J179" s="137">
        <v>1</v>
      </c>
    </row>
    <row r="180" spans="2:10" ht="14.4" x14ac:dyDescent="0.3">
      <c r="B180" s="132" t="s">
        <v>557</v>
      </c>
      <c r="C180" s="132" t="s">
        <v>402</v>
      </c>
      <c r="D180" s="132" t="s">
        <v>533</v>
      </c>
      <c r="E180" s="132" t="s">
        <v>320</v>
      </c>
      <c r="F180" s="133" t="s">
        <v>558</v>
      </c>
      <c r="G180" s="134">
        <v>8.15</v>
      </c>
      <c r="H180" s="135">
        <v>13.45</v>
      </c>
      <c r="I180" s="136">
        <f t="shared" si="2"/>
        <v>109.61749999999999</v>
      </c>
      <c r="J180" s="137">
        <v>1</v>
      </c>
    </row>
    <row r="181" spans="2:10" ht="14.4" x14ac:dyDescent="0.3">
      <c r="B181" s="132" t="s">
        <v>559</v>
      </c>
      <c r="C181" s="132" t="s">
        <v>402</v>
      </c>
      <c r="D181" s="132" t="s">
        <v>533</v>
      </c>
      <c r="E181" s="132" t="s">
        <v>320</v>
      </c>
      <c r="F181" s="133" t="s">
        <v>560</v>
      </c>
      <c r="G181" s="134">
        <v>1.94</v>
      </c>
      <c r="H181" s="135">
        <v>13.45</v>
      </c>
      <c r="I181" s="136">
        <f t="shared" si="2"/>
        <v>26.092999999999996</v>
      </c>
      <c r="J181" s="137">
        <v>1</v>
      </c>
    </row>
    <row r="182" spans="2:10" ht="14.4" x14ac:dyDescent="0.3">
      <c r="B182" s="132" t="s">
        <v>559</v>
      </c>
      <c r="C182" s="132" t="s">
        <v>402</v>
      </c>
      <c r="D182" s="132" t="s">
        <v>533</v>
      </c>
      <c r="E182" s="132" t="s">
        <v>320</v>
      </c>
      <c r="F182" s="133" t="s">
        <v>561</v>
      </c>
      <c r="G182" s="134">
        <v>1.1100000000000001</v>
      </c>
      <c r="H182" s="135">
        <v>13.45</v>
      </c>
      <c r="I182" s="136">
        <f t="shared" si="2"/>
        <v>14.929500000000001</v>
      </c>
      <c r="J182" s="137">
        <v>1</v>
      </c>
    </row>
    <row r="183" spans="2:10" ht="14.4" x14ac:dyDescent="0.3">
      <c r="B183" s="132" t="s">
        <v>559</v>
      </c>
      <c r="C183" s="132" t="s">
        <v>402</v>
      </c>
      <c r="D183" s="132" t="s">
        <v>533</v>
      </c>
      <c r="E183" s="132" t="s">
        <v>320</v>
      </c>
      <c r="F183" s="133" t="s">
        <v>562</v>
      </c>
      <c r="G183" s="134">
        <v>1.1100000000000001</v>
      </c>
      <c r="H183" s="135">
        <v>13.45</v>
      </c>
      <c r="I183" s="136">
        <f t="shared" si="2"/>
        <v>14.929500000000001</v>
      </c>
      <c r="J183" s="137">
        <v>1</v>
      </c>
    </row>
    <row r="184" spans="2:10" ht="14.4" x14ac:dyDescent="0.3">
      <c r="B184" s="132" t="s">
        <v>559</v>
      </c>
      <c r="C184" s="132" t="s">
        <v>402</v>
      </c>
      <c r="D184" s="132" t="s">
        <v>533</v>
      </c>
      <c r="E184" s="132" t="s">
        <v>320</v>
      </c>
      <c r="F184" s="133" t="s">
        <v>563</v>
      </c>
      <c r="G184" s="134">
        <v>2.2799999999999998</v>
      </c>
      <c r="H184" s="135">
        <v>13.45</v>
      </c>
      <c r="I184" s="136">
        <f t="shared" si="2"/>
        <v>30.665999999999997</v>
      </c>
      <c r="J184" s="137">
        <v>1</v>
      </c>
    </row>
    <row r="185" spans="2:10" ht="14.4" x14ac:dyDescent="0.3">
      <c r="B185" s="132" t="s">
        <v>559</v>
      </c>
      <c r="C185" s="132" t="s">
        <v>402</v>
      </c>
      <c r="D185" s="132" t="s">
        <v>533</v>
      </c>
      <c r="E185" s="132" t="s">
        <v>320</v>
      </c>
      <c r="F185" s="133" t="s">
        <v>564</v>
      </c>
      <c r="G185" s="134">
        <v>2.59</v>
      </c>
      <c r="H185" s="135">
        <v>13.45</v>
      </c>
      <c r="I185" s="136">
        <f t="shared" si="2"/>
        <v>34.835499999999996</v>
      </c>
      <c r="J185" s="137">
        <v>1</v>
      </c>
    </row>
    <row r="186" spans="2:10" ht="14.4" x14ac:dyDescent="0.3">
      <c r="B186" s="132" t="s">
        <v>565</v>
      </c>
      <c r="C186" s="132" t="s">
        <v>402</v>
      </c>
      <c r="D186" s="132" t="s">
        <v>533</v>
      </c>
      <c r="E186" s="132" t="s">
        <v>320</v>
      </c>
      <c r="F186" s="133" t="s">
        <v>566</v>
      </c>
      <c r="G186" s="134">
        <v>4.0599999999999996</v>
      </c>
      <c r="H186" s="135">
        <v>13.45</v>
      </c>
      <c r="I186" s="136">
        <f t="shared" si="2"/>
        <v>54.606999999999992</v>
      </c>
      <c r="J186" s="137">
        <v>1</v>
      </c>
    </row>
    <row r="187" spans="2:10" ht="14.4" x14ac:dyDescent="0.3">
      <c r="B187" s="132" t="s">
        <v>565</v>
      </c>
      <c r="C187" s="132" t="s">
        <v>402</v>
      </c>
      <c r="D187" s="132" t="s">
        <v>533</v>
      </c>
      <c r="E187" s="132" t="s">
        <v>320</v>
      </c>
      <c r="F187" s="133" t="s">
        <v>567</v>
      </c>
      <c r="G187" s="134">
        <v>4.1100000000000003</v>
      </c>
      <c r="H187" s="135">
        <v>13.45</v>
      </c>
      <c r="I187" s="136">
        <f t="shared" si="2"/>
        <v>55.279499999999999</v>
      </c>
      <c r="J187" s="137">
        <v>1</v>
      </c>
    </row>
    <row r="188" spans="2:10" ht="14.4" x14ac:dyDescent="0.3">
      <c r="B188" s="132" t="s">
        <v>568</v>
      </c>
      <c r="C188" s="132" t="s">
        <v>402</v>
      </c>
      <c r="D188" s="132" t="s">
        <v>533</v>
      </c>
      <c r="E188" s="132" t="s">
        <v>320</v>
      </c>
      <c r="F188" s="133" t="s">
        <v>569</v>
      </c>
      <c r="G188" s="134">
        <v>6.28</v>
      </c>
      <c r="H188" s="135">
        <v>13.45</v>
      </c>
      <c r="I188" s="136">
        <f t="shared" si="2"/>
        <v>84.465999999999994</v>
      </c>
      <c r="J188" s="137">
        <v>1</v>
      </c>
    </row>
    <row r="189" spans="2:10" ht="14.4" x14ac:dyDescent="0.3">
      <c r="B189" s="132" t="s">
        <v>568</v>
      </c>
      <c r="C189" s="132" t="s">
        <v>402</v>
      </c>
      <c r="D189" s="132" t="s">
        <v>533</v>
      </c>
      <c r="E189" s="132" t="s">
        <v>320</v>
      </c>
      <c r="F189" s="133" t="s">
        <v>570</v>
      </c>
      <c r="G189" s="134">
        <v>6.3</v>
      </c>
      <c r="H189" s="135">
        <v>13.45</v>
      </c>
      <c r="I189" s="136">
        <f t="shared" si="2"/>
        <v>84.734999999999999</v>
      </c>
      <c r="J189" s="137">
        <v>1</v>
      </c>
    </row>
    <row r="190" spans="2:10" ht="14.4" x14ac:dyDescent="0.3">
      <c r="B190" s="132" t="s">
        <v>568</v>
      </c>
      <c r="C190" s="132" t="s">
        <v>402</v>
      </c>
      <c r="D190" s="132" t="s">
        <v>533</v>
      </c>
      <c r="E190" s="132" t="s">
        <v>320</v>
      </c>
      <c r="F190" s="133" t="s">
        <v>571</v>
      </c>
      <c r="G190" s="134">
        <v>6.14</v>
      </c>
      <c r="H190" s="135">
        <v>13.45</v>
      </c>
      <c r="I190" s="136">
        <f t="shared" si="2"/>
        <v>82.582999999999998</v>
      </c>
      <c r="J190" s="137">
        <v>1</v>
      </c>
    </row>
    <row r="191" spans="2:10" ht="14.4" x14ac:dyDescent="0.3">
      <c r="B191" s="132" t="s">
        <v>568</v>
      </c>
      <c r="C191" s="132" t="s">
        <v>402</v>
      </c>
      <c r="D191" s="132" t="s">
        <v>533</v>
      </c>
      <c r="E191" s="132" t="s">
        <v>320</v>
      </c>
      <c r="F191" s="133" t="s">
        <v>572</v>
      </c>
      <c r="G191" s="134">
        <v>6.14</v>
      </c>
      <c r="H191" s="135">
        <v>13.45</v>
      </c>
      <c r="I191" s="136">
        <f t="shared" si="2"/>
        <v>82.582999999999998</v>
      </c>
      <c r="J191" s="137">
        <v>1</v>
      </c>
    </row>
    <row r="192" spans="2:10" ht="14.4" x14ac:dyDescent="0.3">
      <c r="B192" s="132" t="s">
        <v>568</v>
      </c>
      <c r="C192" s="132" t="s">
        <v>402</v>
      </c>
      <c r="D192" s="132" t="s">
        <v>533</v>
      </c>
      <c r="E192" s="132" t="s">
        <v>320</v>
      </c>
      <c r="F192" s="133" t="s">
        <v>573</v>
      </c>
      <c r="G192" s="134">
        <v>1.78</v>
      </c>
      <c r="H192" s="135">
        <v>13.45</v>
      </c>
      <c r="I192" s="136">
        <f t="shared" si="2"/>
        <v>23.940999999999999</v>
      </c>
      <c r="J192" s="137">
        <v>1</v>
      </c>
    </row>
    <row r="193" spans="2:10" ht="14.4" x14ac:dyDescent="0.3">
      <c r="B193" s="132" t="s">
        <v>574</v>
      </c>
      <c r="C193" s="132" t="s">
        <v>402</v>
      </c>
      <c r="D193" s="132" t="s">
        <v>533</v>
      </c>
      <c r="E193" s="132" t="s">
        <v>320</v>
      </c>
      <c r="F193" s="133" t="s">
        <v>575</v>
      </c>
      <c r="G193" s="134">
        <v>1.45</v>
      </c>
      <c r="H193" s="135">
        <v>13.45</v>
      </c>
      <c r="I193" s="136">
        <f t="shared" si="2"/>
        <v>19.502499999999998</v>
      </c>
      <c r="J193" s="137">
        <v>1</v>
      </c>
    </row>
    <row r="194" spans="2:10" ht="14.4" x14ac:dyDescent="0.3">
      <c r="B194" s="132" t="s">
        <v>574</v>
      </c>
      <c r="C194" s="132" t="s">
        <v>402</v>
      </c>
      <c r="D194" s="132" t="s">
        <v>533</v>
      </c>
      <c r="E194" s="132" t="s">
        <v>320</v>
      </c>
      <c r="F194" s="133" t="s">
        <v>576</v>
      </c>
      <c r="G194" s="134">
        <v>4.18</v>
      </c>
      <c r="H194" s="135">
        <v>13.45</v>
      </c>
      <c r="I194" s="136">
        <f t="shared" si="2"/>
        <v>56.220999999999997</v>
      </c>
      <c r="J194" s="137">
        <v>1</v>
      </c>
    </row>
    <row r="195" spans="2:10" ht="14.4" x14ac:dyDescent="0.3">
      <c r="B195" s="132" t="s">
        <v>574</v>
      </c>
      <c r="C195" s="132" t="s">
        <v>402</v>
      </c>
      <c r="D195" s="132" t="s">
        <v>533</v>
      </c>
      <c r="E195" s="132" t="s">
        <v>320</v>
      </c>
      <c r="F195" s="133" t="s">
        <v>577</v>
      </c>
      <c r="G195" s="134">
        <v>6.07</v>
      </c>
      <c r="H195" s="135">
        <v>13.45</v>
      </c>
      <c r="I195" s="136">
        <f t="shared" si="2"/>
        <v>81.641499999999994</v>
      </c>
      <c r="J195" s="137">
        <v>1</v>
      </c>
    </row>
    <row r="196" spans="2:10" ht="14.4" x14ac:dyDescent="0.3">
      <c r="B196" s="132" t="s">
        <v>574</v>
      </c>
      <c r="C196" s="132" t="s">
        <v>402</v>
      </c>
      <c r="D196" s="132" t="s">
        <v>533</v>
      </c>
      <c r="E196" s="132" t="s">
        <v>320</v>
      </c>
      <c r="F196" s="133" t="s">
        <v>578</v>
      </c>
      <c r="G196" s="134">
        <v>2.08</v>
      </c>
      <c r="H196" s="135">
        <v>13.45</v>
      </c>
      <c r="I196" s="136">
        <f t="shared" si="2"/>
        <v>27.975999999999999</v>
      </c>
      <c r="J196" s="137">
        <v>1</v>
      </c>
    </row>
    <row r="197" spans="2:10" ht="14.4" x14ac:dyDescent="0.3">
      <c r="B197" s="132" t="s">
        <v>579</v>
      </c>
      <c r="C197" s="132" t="s">
        <v>402</v>
      </c>
      <c r="D197" s="132" t="s">
        <v>533</v>
      </c>
      <c r="E197" s="132" t="s">
        <v>320</v>
      </c>
      <c r="F197" s="133" t="s">
        <v>580</v>
      </c>
      <c r="G197" s="134">
        <v>5.37</v>
      </c>
      <c r="H197" s="135">
        <v>13.45</v>
      </c>
      <c r="I197" s="136">
        <f t="shared" si="2"/>
        <v>72.226500000000001</v>
      </c>
      <c r="J197" s="137">
        <v>1</v>
      </c>
    </row>
    <row r="198" spans="2:10" ht="14.4" x14ac:dyDescent="0.3">
      <c r="B198" s="132" t="s">
        <v>579</v>
      </c>
      <c r="C198" s="132" t="s">
        <v>402</v>
      </c>
      <c r="D198" s="132" t="s">
        <v>533</v>
      </c>
      <c r="E198" s="132" t="s">
        <v>320</v>
      </c>
      <c r="F198" s="133" t="s">
        <v>581</v>
      </c>
      <c r="G198" s="134">
        <v>5.48</v>
      </c>
      <c r="H198" s="135">
        <v>13.45</v>
      </c>
      <c r="I198" s="136">
        <f t="shared" si="2"/>
        <v>73.706000000000003</v>
      </c>
      <c r="J198" s="137">
        <v>1</v>
      </c>
    </row>
    <row r="199" spans="2:10" ht="14.4" x14ac:dyDescent="0.3">
      <c r="B199" s="132" t="s">
        <v>582</v>
      </c>
      <c r="C199" s="132" t="s">
        <v>402</v>
      </c>
      <c r="D199" s="132" t="s">
        <v>533</v>
      </c>
      <c r="E199" s="132" t="s">
        <v>320</v>
      </c>
      <c r="F199" s="133" t="s">
        <v>583</v>
      </c>
      <c r="G199" s="134">
        <v>5.41</v>
      </c>
      <c r="H199" s="135">
        <v>13.45</v>
      </c>
      <c r="I199" s="136">
        <f t="shared" si="2"/>
        <v>72.764499999999998</v>
      </c>
      <c r="J199" s="137">
        <v>1</v>
      </c>
    </row>
    <row r="200" spans="2:10" ht="14.4" x14ac:dyDescent="0.3">
      <c r="B200" s="132" t="s">
        <v>584</v>
      </c>
      <c r="C200" s="132" t="s">
        <v>402</v>
      </c>
      <c r="D200" s="132" t="s">
        <v>533</v>
      </c>
      <c r="E200" s="132" t="s">
        <v>320</v>
      </c>
      <c r="F200" s="133" t="s">
        <v>585</v>
      </c>
      <c r="G200" s="134">
        <v>1.71</v>
      </c>
      <c r="H200" s="135">
        <v>13.45</v>
      </c>
      <c r="I200" s="136">
        <f t="shared" ref="I200:I263" si="3">G200*H200</f>
        <v>22.999499999999998</v>
      </c>
      <c r="J200" s="137">
        <v>1</v>
      </c>
    </row>
    <row r="201" spans="2:10" ht="14.4" x14ac:dyDescent="0.3">
      <c r="B201" s="132" t="s">
        <v>584</v>
      </c>
      <c r="C201" s="132" t="s">
        <v>402</v>
      </c>
      <c r="D201" s="132" t="s">
        <v>533</v>
      </c>
      <c r="E201" s="132" t="s">
        <v>320</v>
      </c>
      <c r="F201" s="133" t="s">
        <v>586</v>
      </c>
      <c r="G201" s="134">
        <v>8.5399999999999991</v>
      </c>
      <c r="H201" s="135">
        <v>13.45</v>
      </c>
      <c r="I201" s="136">
        <f t="shared" si="3"/>
        <v>114.86299999999999</v>
      </c>
      <c r="J201" s="137">
        <v>1</v>
      </c>
    </row>
    <row r="202" spans="2:10" ht="14.4" x14ac:dyDescent="0.3">
      <c r="B202" s="132" t="s">
        <v>584</v>
      </c>
      <c r="C202" s="132" t="s">
        <v>402</v>
      </c>
      <c r="D202" s="132" t="s">
        <v>533</v>
      </c>
      <c r="E202" s="132" t="s">
        <v>320</v>
      </c>
      <c r="F202" s="133" t="s">
        <v>587</v>
      </c>
      <c r="G202" s="134">
        <v>6.86</v>
      </c>
      <c r="H202" s="135">
        <v>13.45</v>
      </c>
      <c r="I202" s="136">
        <f t="shared" si="3"/>
        <v>92.266999999999996</v>
      </c>
      <c r="J202" s="137">
        <v>1</v>
      </c>
    </row>
    <row r="203" spans="2:10" ht="14.4" x14ac:dyDescent="0.3">
      <c r="B203" s="132" t="s">
        <v>588</v>
      </c>
      <c r="C203" s="132" t="s">
        <v>402</v>
      </c>
      <c r="D203" s="132" t="s">
        <v>533</v>
      </c>
      <c r="E203" s="132" t="s">
        <v>320</v>
      </c>
      <c r="F203" s="133" t="s">
        <v>589</v>
      </c>
      <c r="G203" s="134">
        <v>1.04</v>
      </c>
      <c r="H203" s="135">
        <v>13.45</v>
      </c>
      <c r="I203" s="136">
        <f t="shared" si="3"/>
        <v>13.988</v>
      </c>
      <c r="J203" s="137">
        <v>1</v>
      </c>
    </row>
    <row r="204" spans="2:10" ht="14.4" x14ac:dyDescent="0.3">
      <c r="B204" s="132" t="s">
        <v>588</v>
      </c>
      <c r="C204" s="132" t="s">
        <v>402</v>
      </c>
      <c r="D204" s="132" t="s">
        <v>533</v>
      </c>
      <c r="E204" s="132" t="s">
        <v>320</v>
      </c>
      <c r="F204" s="133" t="s">
        <v>590</v>
      </c>
      <c r="G204" s="134">
        <v>1.01</v>
      </c>
      <c r="H204" s="135">
        <v>13.45</v>
      </c>
      <c r="I204" s="136">
        <f t="shared" si="3"/>
        <v>13.5845</v>
      </c>
      <c r="J204" s="137">
        <v>1</v>
      </c>
    </row>
    <row r="205" spans="2:10" ht="14.4" x14ac:dyDescent="0.3">
      <c r="B205" s="132" t="s">
        <v>588</v>
      </c>
      <c r="C205" s="132" t="s">
        <v>402</v>
      </c>
      <c r="D205" s="132" t="s">
        <v>533</v>
      </c>
      <c r="E205" s="132" t="s">
        <v>320</v>
      </c>
      <c r="F205" s="133" t="s">
        <v>591</v>
      </c>
      <c r="G205" s="134">
        <v>2.82</v>
      </c>
      <c r="H205" s="135">
        <v>13.45</v>
      </c>
      <c r="I205" s="136">
        <f t="shared" si="3"/>
        <v>37.928999999999995</v>
      </c>
      <c r="J205" s="137">
        <v>1</v>
      </c>
    </row>
    <row r="206" spans="2:10" ht="14.4" x14ac:dyDescent="0.3">
      <c r="B206" s="132" t="s">
        <v>588</v>
      </c>
      <c r="C206" s="132" t="s">
        <v>402</v>
      </c>
      <c r="D206" s="132" t="s">
        <v>533</v>
      </c>
      <c r="E206" s="132" t="s">
        <v>320</v>
      </c>
      <c r="F206" s="133" t="s">
        <v>592</v>
      </c>
      <c r="G206" s="134">
        <v>2.6</v>
      </c>
      <c r="H206" s="135">
        <v>13.45</v>
      </c>
      <c r="I206" s="136">
        <f t="shared" si="3"/>
        <v>34.97</v>
      </c>
      <c r="J206" s="137">
        <v>1</v>
      </c>
    </row>
    <row r="207" spans="2:10" ht="14.4" x14ac:dyDescent="0.3">
      <c r="B207" s="132" t="s">
        <v>588</v>
      </c>
      <c r="C207" s="132" t="s">
        <v>402</v>
      </c>
      <c r="D207" s="132" t="s">
        <v>533</v>
      </c>
      <c r="E207" s="132" t="s">
        <v>320</v>
      </c>
      <c r="F207" s="133" t="s">
        <v>593</v>
      </c>
      <c r="G207" s="134">
        <v>3.11</v>
      </c>
      <c r="H207" s="135">
        <v>13.45</v>
      </c>
      <c r="I207" s="136">
        <f t="shared" si="3"/>
        <v>41.829499999999996</v>
      </c>
      <c r="J207" s="137">
        <v>1</v>
      </c>
    </row>
    <row r="208" spans="2:10" ht="14.4" x14ac:dyDescent="0.3">
      <c r="B208" s="132" t="s">
        <v>588</v>
      </c>
      <c r="C208" s="132" t="s">
        <v>402</v>
      </c>
      <c r="D208" s="132" t="s">
        <v>533</v>
      </c>
      <c r="E208" s="132" t="s">
        <v>320</v>
      </c>
      <c r="F208" s="133" t="s">
        <v>594</v>
      </c>
      <c r="G208" s="134">
        <v>1.72</v>
      </c>
      <c r="H208" s="135">
        <v>13.45</v>
      </c>
      <c r="I208" s="136">
        <f t="shared" si="3"/>
        <v>23.133999999999997</v>
      </c>
      <c r="J208" s="137">
        <v>1</v>
      </c>
    </row>
    <row r="209" spans="2:10" ht="14.4" x14ac:dyDescent="0.3">
      <c r="B209" s="132" t="s">
        <v>595</v>
      </c>
      <c r="C209" s="132" t="s">
        <v>402</v>
      </c>
      <c r="D209" s="132" t="s">
        <v>533</v>
      </c>
      <c r="E209" s="132" t="s">
        <v>320</v>
      </c>
      <c r="F209" s="133" t="s">
        <v>596</v>
      </c>
      <c r="G209" s="134">
        <v>2.2400000000000002</v>
      </c>
      <c r="H209" s="135">
        <v>13.45</v>
      </c>
      <c r="I209" s="136">
        <f t="shared" si="3"/>
        <v>30.128</v>
      </c>
      <c r="J209" s="137">
        <v>1</v>
      </c>
    </row>
    <row r="210" spans="2:10" ht="14.4" x14ac:dyDescent="0.3">
      <c r="B210" s="132" t="s">
        <v>595</v>
      </c>
      <c r="C210" s="132" t="s">
        <v>402</v>
      </c>
      <c r="D210" s="132" t="s">
        <v>533</v>
      </c>
      <c r="E210" s="132" t="s">
        <v>320</v>
      </c>
      <c r="F210" s="133" t="s">
        <v>597</v>
      </c>
      <c r="G210" s="134">
        <v>1.29</v>
      </c>
      <c r="H210" s="135">
        <v>13.45</v>
      </c>
      <c r="I210" s="136">
        <f t="shared" si="3"/>
        <v>17.3505</v>
      </c>
      <c r="J210" s="137">
        <v>1</v>
      </c>
    </row>
    <row r="211" spans="2:10" ht="14.4" x14ac:dyDescent="0.3">
      <c r="B211" s="132" t="s">
        <v>595</v>
      </c>
      <c r="C211" s="132" t="s">
        <v>402</v>
      </c>
      <c r="D211" s="132" t="s">
        <v>533</v>
      </c>
      <c r="E211" s="132" t="s">
        <v>320</v>
      </c>
      <c r="F211" s="133" t="s">
        <v>598</v>
      </c>
      <c r="G211" s="134">
        <v>1.3</v>
      </c>
      <c r="H211" s="135">
        <v>13.45</v>
      </c>
      <c r="I211" s="136">
        <f t="shared" si="3"/>
        <v>17.484999999999999</v>
      </c>
      <c r="J211" s="137">
        <v>1</v>
      </c>
    </row>
    <row r="212" spans="2:10" ht="14.4" x14ac:dyDescent="0.3">
      <c r="B212" s="132" t="s">
        <v>595</v>
      </c>
      <c r="C212" s="132" t="s">
        <v>402</v>
      </c>
      <c r="D212" s="132" t="s">
        <v>533</v>
      </c>
      <c r="E212" s="132" t="s">
        <v>320</v>
      </c>
      <c r="F212" s="133" t="s">
        <v>599</v>
      </c>
      <c r="G212" s="134">
        <v>1.72</v>
      </c>
      <c r="H212" s="135">
        <v>13.45</v>
      </c>
      <c r="I212" s="136">
        <f t="shared" si="3"/>
        <v>23.133999999999997</v>
      </c>
      <c r="J212" s="137">
        <v>1</v>
      </c>
    </row>
    <row r="213" spans="2:10" ht="14.4" x14ac:dyDescent="0.3">
      <c r="B213" s="132" t="s">
        <v>595</v>
      </c>
      <c r="C213" s="132" t="s">
        <v>402</v>
      </c>
      <c r="D213" s="132" t="s">
        <v>533</v>
      </c>
      <c r="E213" s="132" t="s">
        <v>320</v>
      </c>
      <c r="F213" s="133" t="s">
        <v>600</v>
      </c>
      <c r="G213" s="134">
        <v>1.06</v>
      </c>
      <c r="H213" s="135">
        <v>13.45</v>
      </c>
      <c r="I213" s="136">
        <f t="shared" si="3"/>
        <v>14.257</v>
      </c>
      <c r="J213" s="137">
        <v>1</v>
      </c>
    </row>
    <row r="214" spans="2:10" ht="14.4" x14ac:dyDescent="0.3">
      <c r="B214" s="132" t="s">
        <v>595</v>
      </c>
      <c r="C214" s="132" t="s">
        <v>402</v>
      </c>
      <c r="D214" s="132" t="s">
        <v>533</v>
      </c>
      <c r="E214" s="132" t="s">
        <v>320</v>
      </c>
      <c r="F214" s="133" t="s">
        <v>601</v>
      </c>
      <c r="G214" s="134">
        <v>6.27</v>
      </c>
      <c r="H214" s="135">
        <v>13.45</v>
      </c>
      <c r="I214" s="136">
        <f t="shared" si="3"/>
        <v>84.331499999999991</v>
      </c>
      <c r="J214" s="137">
        <v>1</v>
      </c>
    </row>
    <row r="215" spans="2:10" ht="14.4" x14ac:dyDescent="0.3">
      <c r="B215" s="132" t="s">
        <v>602</v>
      </c>
      <c r="C215" s="132" t="s">
        <v>402</v>
      </c>
      <c r="D215" s="132" t="s">
        <v>533</v>
      </c>
      <c r="E215" s="132" t="s">
        <v>320</v>
      </c>
      <c r="F215" s="133" t="s">
        <v>603</v>
      </c>
      <c r="G215" s="134">
        <v>7.29</v>
      </c>
      <c r="H215" s="135">
        <v>13.45</v>
      </c>
      <c r="I215" s="136">
        <f t="shared" si="3"/>
        <v>98.0505</v>
      </c>
      <c r="J215" s="137">
        <v>1</v>
      </c>
    </row>
    <row r="216" spans="2:10" ht="14.4" x14ac:dyDescent="0.3">
      <c r="B216" s="132" t="s">
        <v>602</v>
      </c>
      <c r="C216" s="132" t="s">
        <v>402</v>
      </c>
      <c r="D216" s="132" t="s">
        <v>533</v>
      </c>
      <c r="E216" s="132" t="s">
        <v>320</v>
      </c>
      <c r="F216" s="133" t="s">
        <v>604</v>
      </c>
      <c r="G216" s="134">
        <v>1.43</v>
      </c>
      <c r="H216" s="135">
        <v>13.45</v>
      </c>
      <c r="I216" s="136">
        <f t="shared" si="3"/>
        <v>19.233499999999999</v>
      </c>
      <c r="J216" s="137">
        <v>1</v>
      </c>
    </row>
    <row r="217" spans="2:10" ht="14.4" x14ac:dyDescent="0.3">
      <c r="B217" s="132" t="s">
        <v>602</v>
      </c>
      <c r="C217" s="132" t="s">
        <v>402</v>
      </c>
      <c r="D217" s="132" t="s">
        <v>533</v>
      </c>
      <c r="E217" s="132" t="s">
        <v>320</v>
      </c>
      <c r="F217" s="133" t="s">
        <v>605</v>
      </c>
      <c r="G217" s="134">
        <v>2.57</v>
      </c>
      <c r="H217" s="135">
        <v>13.45</v>
      </c>
      <c r="I217" s="136">
        <f t="shared" si="3"/>
        <v>34.566499999999998</v>
      </c>
      <c r="J217" s="137">
        <v>1</v>
      </c>
    </row>
    <row r="218" spans="2:10" ht="14.4" x14ac:dyDescent="0.3">
      <c r="B218" s="132" t="s">
        <v>602</v>
      </c>
      <c r="C218" s="132" t="s">
        <v>402</v>
      </c>
      <c r="D218" s="132" t="s">
        <v>533</v>
      </c>
      <c r="E218" s="132" t="s">
        <v>320</v>
      </c>
      <c r="F218" s="133" t="s">
        <v>606</v>
      </c>
      <c r="G218" s="134">
        <v>3.53</v>
      </c>
      <c r="H218" s="135">
        <v>13.45</v>
      </c>
      <c r="I218" s="136">
        <f t="shared" si="3"/>
        <v>47.478499999999997</v>
      </c>
      <c r="J218" s="137">
        <v>1</v>
      </c>
    </row>
    <row r="219" spans="2:10" ht="14.4" x14ac:dyDescent="0.3">
      <c r="B219" s="132" t="s">
        <v>602</v>
      </c>
      <c r="C219" s="132" t="s">
        <v>402</v>
      </c>
      <c r="D219" s="132" t="s">
        <v>533</v>
      </c>
      <c r="E219" s="132" t="s">
        <v>320</v>
      </c>
      <c r="F219" s="133" t="s">
        <v>607</v>
      </c>
      <c r="G219" s="134">
        <v>3.51</v>
      </c>
      <c r="H219" s="135">
        <v>13.45</v>
      </c>
      <c r="I219" s="136">
        <f t="shared" si="3"/>
        <v>47.209499999999991</v>
      </c>
      <c r="J219" s="137">
        <v>1</v>
      </c>
    </row>
    <row r="220" spans="2:10" ht="14.4" x14ac:dyDescent="0.3">
      <c r="B220" s="132" t="s">
        <v>602</v>
      </c>
      <c r="C220" s="132" t="s">
        <v>402</v>
      </c>
      <c r="D220" s="132" t="s">
        <v>533</v>
      </c>
      <c r="E220" s="132" t="s">
        <v>320</v>
      </c>
      <c r="F220" s="133" t="s">
        <v>608</v>
      </c>
      <c r="G220" s="134">
        <v>7.07</v>
      </c>
      <c r="H220" s="135">
        <v>13.45</v>
      </c>
      <c r="I220" s="136">
        <f t="shared" si="3"/>
        <v>95.091499999999996</v>
      </c>
      <c r="J220" s="137">
        <v>1</v>
      </c>
    </row>
    <row r="221" spans="2:10" ht="14.4" x14ac:dyDescent="0.3">
      <c r="B221" s="132" t="s">
        <v>602</v>
      </c>
      <c r="C221" s="132" t="s">
        <v>402</v>
      </c>
      <c r="D221" s="132" t="s">
        <v>533</v>
      </c>
      <c r="E221" s="132" t="s">
        <v>320</v>
      </c>
      <c r="F221" s="133" t="s">
        <v>609</v>
      </c>
      <c r="G221" s="134">
        <v>1.27</v>
      </c>
      <c r="H221" s="135">
        <v>13.45</v>
      </c>
      <c r="I221" s="136">
        <f t="shared" si="3"/>
        <v>17.081499999999998</v>
      </c>
      <c r="J221" s="137">
        <v>1</v>
      </c>
    </row>
    <row r="222" spans="2:10" ht="14.4" x14ac:dyDescent="0.3">
      <c r="B222" s="132" t="s">
        <v>602</v>
      </c>
      <c r="C222" s="132" t="s">
        <v>402</v>
      </c>
      <c r="D222" s="132" t="s">
        <v>533</v>
      </c>
      <c r="E222" s="132" t="s">
        <v>320</v>
      </c>
      <c r="F222" s="133" t="s">
        <v>610</v>
      </c>
      <c r="G222" s="134">
        <v>2.23</v>
      </c>
      <c r="H222" s="135">
        <v>13.45</v>
      </c>
      <c r="I222" s="136">
        <f t="shared" si="3"/>
        <v>29.993499999999997</v>
      </c>
      <c r="J222" s="137">
        <v>1</v>
      </c>
    </row>
    <row r="223" spans="2:10" ht="14.4" x14ac:dyDescent="0.3">
      <c r="B223" s="132" t="s">
        <v>602</v>
      </c>
      <c r="C223" s="132" t="s">
        <v>402</v>
      </c>
      <c r="D223" s="132" t="s">
        <v>533</v>
      </c>
      <c r="E223" s="132" t="s">
        <v>320</v>
      </c>
      <c r="F223" s="133" t="s">
        <v>611</v>
      </c>
      <c r="G223" s="134">
        <v>5.12</v>
      </c>
      <c r="H223" s="135">
        <v>13.45</v>
      </c>
      <c r="I223" s="136">
        <f t="shared" si="3"/>
        <v>68.864000000000004</v>
      </c>
      <c r="J223" s="137">
        <v>1</v>
      </c>
    </row>
    <row r="224" spans="2:10" ht="14.4" x14ac:dyDescent="0.3">
      <c r="B224" s="132" t="s">
        <v>602</v>
      </c>
      <c r="C224" s="132" t="s">
        <v>402</v>
      </c>
      <c r="D224" s="132" t="s">
        <v>533</v>
      </c>
      <c r="E224" s="132" t="s">
        <v>320</v>
      </c>
      <c r="F224" s="133" t="s">
        <v>612</v>
      </c>
      <c r="G224" s="134">
        <v>2.08</v>
      </c>
      <c r="H224" s="135">
        <v>13.45</v>
      </c>
      <c r="I224" s="136">
        <f t="shared" si="3"/>
        <v>27.975999999999999</v>
      </c>
      <c r="J224" s="137">
        <v>1</v>
      </c>
    </row>
    <row r="225" spans="2:10" ht="14.4" x14ac:dyDescent="0.3">
      <c r="B225" s="132" t="s">
        <v>602</v>
      </c>
      <c r="C225" s="132" t="s">
        <v>402</v>
      </c>
      <c r="D225" s="132" t="s">
        <v>533</v>
      </c>
      <c r="E225" s="132" t="s">
        <v>320</v>
      </c>
      <c r="F225" s="133" t="s">
        <v>613</v>
      </c>
      <c r="G225" s="134">
        <v>2.11</v>
      </c>
      <c r="H225" s="135">
        <v>13.45</v>
      </c>
      <c r="I225" s="136">
        <f t="shared" si="3"/>
        <v>28.379499999999997</v>
      </c>
      <c r="J225" s="137">
        <v>1</v>
      </c>
    </row>
    <row r="226" spans="2:10" ht="14.4" x14ac:dyDescent="0.3">
      <c r="B226" s="132" t="s">
        <v>614</v>
      </c>
      <c r="C226" s="132" t="s">
        <v>402</v>
      </c>
      <c r="D226" s="132" t="s">
        <v>533</v>
      </c>
      <c r="E226" s="132" t="s">
        <v>320</v>
      </c>
      <c r="F226" s="133" t="s">
        <v>615</v>
      </c>
      <c r="G226" s="134">
        <v>7.02</v>
      </c>
      <c r="H226" s="135">
        <v>13.45</v>
      </c>
      <c r="I226" s="136">
        <f t="shared" si="3"/>
        <v>94.418999999999983</v>
      </c>
      <c r="J226" s="137">
        <v>1</v>
      </c>
    </row>
    <row r="227" spans="2:10" ht="14.4" x14ac:dyDescent="0.3">
      <c r="B227" s="132" t="s">
        <v>614</v>
      </c>
      <c r="C227" s="132" t="s">
        <v>402</v>
      </c>
      <c r="D227" s="132" t="s">
        <v>533</v>
      </c>
      <c r="E227" s="132" t="s">
        <v>320</v>
      </c>
      <c r="F227" s="133" t="s">
        <v>616</v>
      </c>
      <c r="G227" s="134">
        <v>2.96</v>
      </c>
      <c r="H227" s="135">
        <v>13.45</v>
      </c>
      <c r="I227" s="136">
        <f t="shared" si="3"/>
        <v>39.811999999999998</v>
      </c>
      <c r="J227" s="137">
        <v>1</v>
      </c>
    </row>
    <row r="228" spans="2:10" ht="14.4" x14ac:dyDescent="0.3">
      <c r="B228" s="132" t="s">
        <v>614</v>
      </c>
      <c r="C228" s="132" t="s">
        <v>402</v>
      </c>
      <c r="D228" s="132" t="s">
        <v>533</v>
      </c>
      <c r="E228" s="132" t="s">
        <v>320</v>
      </c>
      <c r="F228" s="133" t="s">
        <v>617</v>
      </c>
      <c r="G228" s="134">
        <v>5.25</v>
      </c>
      <c r="H228" s="135">
        <v>13.45</v>
      </c>
      <c r="I228" s="136">
        <f t="shared" si="3"/>
        <v>70.612499999999997</v>
      </c>
      <c r="J228" s="137">
        <v>1</v>
      </c>
    </row>
    <row r="229" spans="2:10" ht="14.4" x14ac:dyDescent="0.3">
      <c r="B229" s="132" t="s">
        <v>618</v>
      </c>
      <c r="C229" s="132" t="s">
        <v>402</v>
      </c>
      <c r="D229" s="132" t="s">
        <v>533</v>
      </c>
      <c r="E229" s="132" t="s">
        <v>320</v>
      </c>
      <c r="F229" s="133" t="s">
        <v>619</v>
      </c>
      <c r="G229" s="134">
        <v>3.2</v>
      </c>
      <c r="H229" s="135">
        <v>13.45</v>
      </c>
      <c r="I229" s="136">
        <f t="shared" si="3"/>
        <v>43.04</v>
      </c>
      <c r="J229" s="137">
        <v>1</v>
      </c>
    </row>
    <row r="230" spans="2:10" ht="14.4" x14ac:dyDescent="0.3">
      <c r="B230" s="132" t="s">
        <v>618</v>
      </c>
      <c r="C230" s="132" t="s">
        <v>402</v>
      </c>
      <c r="D230" s="132" t="s">
        <v>533</v>
      </c>
      <c r="E230" s="132" t="s">
        <v>320</v>
      </c>
      <c r="F230" s="133" t="s">
        <v>620</v>
      </c>
      <c r="G230" s="134">
        <v>3.2</v>
      </c>
      <c r="H230" s="135">
        <v>13.45</v>
      </c>
      <c r="I230" s="136">
        <f t="shared" si="3"/>
        <v>43.04</v>
      </c>
      <c r="J230" s="137">
        <v>1</v>
      </c>
    </row>
    <row r="231" spans="2:10" ht="14.4" x14ac:dyDescent="0.3">
      <c r="B231" s="132" t="s">
        <v>621</v>
      </c>
      <c r="C231" s="132" t="s">
        <v>402</v>
      </c>
      <c r="D231" s="132" t="s">
        <v>533</v>
      </c>
      <c r="E231" s="132" t="s">
        <v>320</v>
      </c>
      <c r="F231" s="133" t="s">
        <v>622</v>
      </c>
      <c r="G231" s="134">
        <v>3.23</v>
      </c>
      <c r="H231" s="135">
        <v>13.45</v>
      </c>
      <c r="I231" s="136">
        <f t="shared" si="3"/>
        <v>43.4435</v>
      </c>
      <c r="J231" s="137">
        <v>1</v>
      </c>
    </row>
    <row r="232" spans="2:10" ht="14.4" x14ac:dyDescent="0.3">
      <c r="B232" s="132" t="s">
        <v>621</v>
      </c>
      <c r="C232" s="132" t="s">
        <v>402</v>
      </c>
      <c r="D232" s="132" t="s">
        <v>533</v>
      </c>
      <c r="E232" s="132" t="s">
        <v>320</v>
      </c>
      <c r="F232" s="133" t="s">
        <v>623</v>
      </c>
      <c r="G232" s="134">
        <v>2.93</v>
      </c>
      <c r="H232" s="135">
        <v>13.45</v>
      </c>
      <c r="I232" s="136">
        <f t="shared" si="3"/>
        <v>39.408499999999997</v>
      </c>
      <c r="J232" s="137">
        <v>1</v>
      </c>
    </row>
    <row r="233" spans="2:10" ht="14.4" x14ac:dyDescent="0.3">
      <c r="B233" s="132" t="s">
        <v>621</v>
      </c>
      <c r="C233" s="132" t="s">
        <v>402</v>
      </c>
      <c r="D233" s="132" t="s">
        <v>533</v>
      </c>
      <c r="E233" s="132" t="s">
        <v>320</v>
      </c>
      <c r="F233" s="133" t="s">
        <v>624</v>
      </c>
      <c r="G233" s="134">
        <v>3.23</v>
      </c>
      <c r="H233" s="135">
        <v>13.45</v>
      </c>
      <c r="I233" s="136">
        <f t="shared" si="3"/>
        <v>43.4435</v>
      </c>
      <c r="J233" s="137">
        <v>1</v>
      </c>
    </row>
    <row r="234" spans="2:10" ht="14.4" x14ac:dyDescent="0.3">
      <c r="B234" s="132" t="s">
        <v>621</v>
      </c>
      <c r="C234" s="132" t="s">
        <v>402</v>
      </c>
      <c r="D234" s="132" t="s">
        <v>533</v>
      </c>
      <c r="E234" s="132" t="s">
        <v>320</v>
      </c>
      <c r="F234" s="133" t="s">
        <v>625</v>
      </c>
      <c r="G234" s="134">
        <v>7.1</v>
      </c>
      <c r="H234" s="135">
        <v>13.45</v>
      </c>
      <c r="I234" s="136">
        <f t="shared" si="3"/>
        <v>95.49499999999999</v>
      </c>
      <c r="J234" s="137">
        <v>1</v>
      </c>
    </row>
    <row r="235" spans="2:10" ht="14.4" x14ac:dyDescent="0.3">
      <c r="B235" s="132" t="s">
        <v>621</v>
      </c>
      <c r="C235" s="132" t="s">
        <v>402</v>
      </c>
      <c r="D235" s="132" t="s">
        <v>533</v>
      </c>
      <c r="E235" s="132" t="s">
        <v>320</v>
      </c>
      <c r="F235" s="133" t="s">
        <v>626</v>
      </c>
      <c r="G235" s="134">
        <v>7.07</v>
      </c>
      <c r="H235" s="135">
        <v>13.45</v>
      </c>
      <c r="I235" s="136">
        <f t="shared" si="3"/>
        <v>95.091499999999996</v>
      </c>
      <c r="J235" s="137">
        <v>1</v>
      </c>
    </row>
    <row r="236" spans="2:10" ht="14.4" x14ac:dyDescent="0.3">
      <c r="B236" s="132" t="s">
        <v>627</v>
      </c>
      <c r="C236" s="132" t="s">
        <v>402</v>
      </c>
      <c r="D236" s="132" t="s">
        <v>533</v>
      </c>
      <c r="E236" s="132" t="s">
        <v>320</v>
      </c>
      <c r="F236" s="133" t="s">
        <v>628</v>
      </c>
      <c r="G236" s="134">
        <v>1.71</v>
      </c>
      <c r="H236" s="135">
        <v>13.45</v>
      </c>
      <c r="I236" s="136">
        <f t="shared" si="3"/>
        <v>22.999499999999998</v>
      </c>
      <c r="J236" s="137">
        <v>1</v>
      </c>
    </row>
    <row r="237" spans="2:10" ht="14.4" x14ac:dyDescent="0.3">
      <c r="B237" s="132" t="s">
        <v>627</v>
      </c>
      <c r="C237" s="132" t="s">
        <v>402</v>
      </c>
      <c r="D237" s="132" t="s">
        <v>533</v>
      </c>
      <c r="E237" s="132" t="s">
        <v>320</v>
      </c>
      <c r="F237" s="133" t="s">
        <v>629</v>
      </c>
      <c r="G237" s="134">
        <v>5.34</v>
      </c>
      <c r="H237" s="135">
        <v>13.45</v>
      </c>
      <c r="I237" s="136">
        <f t="shared" si="3"/>
        <v>71.822999999999993</v>
      </c>
      <c r="J237" s="137">
        <v>1</v>
      </c>
    </row>
    <row r="238" spans="2:10" ht="14.4" x14ac:dyDescent="0.3">
      <c r="B238" s="132" t="s">
        <v>627</v>
      </c>
      <c r="C238" s="132" t="s">
        <v>402</v>
      </c>
      <c r="D238" s="132" t="s">
        <v>533</v>
      </c>
      <c r="E238" s="132" t="s">
        <v>320</v>
      </c>
      <c r="F238" s="133" t="s">
        <v>630</v>
      </c>
      <c r="G238" s="134">
        <v>3.66</v>
      </c>
      <c r="H238" s="135">
        <v>13.45</v>
      </c>
      <c r="I238" s="136">
        <f t="shared" si="3"/>
        <v>49.226999999999997</v>
      </c>
      <c r="J238" s="137">
        <v>1</v>
      </c>
    </row>
    <row r="239" spans="2:10" ht="14.4" x14ac:dyDescent="0.3">
      <c r="B239" s="132" t="s">
        <v>627</v>
      </c>
      <c r="C239" s="132" t="s">
        <v>402</v>
      </c>
      <c r="D239" s="132" t="s">
        <v>533</v>
      </c>
      <c r="E239" s="132" t="s">
        <v>320</v>
      </c>
      <c r="F239" s="133" t="s">
        <v>631</v>
      </c>
      <c r="G239" s="134">
        <v>3.64</v>
      </c>
      <c r="H239" s="135">
        <v>13.45</v>
      </c>
      <c r="I239" s="136">
        <f t="shared" si="3"/>
        <v>48.957999999999998</v>
      </c>
      <c r="J239" s="137">
        <v>1</v>
      </c>
    </row>
    <row r="240" spans="2:10" ht="14.4" x14ac:dyDescent="0.3">
      <c r="B240" s="132" t="s">
        <v>627</v>
      </c>
      <c r="C240" s="132" t="s">
        <v>402</v>
      </c>
      <c r="D240" s="132" t="s">
        <v>533</v>
      </c>
      <c r="E240" s="132" t="s">
        <v>320</v>
      </c>
      <c r="F240" s="133" t="s">
        <v>632</v>
      </c>
      <c r="G240" s="134">
        <v>3.67</v>
      </c>
      <c r="H240" s="135">
        <v>13.45</v>
      </c>
      <c r="I240" s="136">
        <f t="shared" si="3"/>
        <v>49.361499999999999</v>
      </c>
      <c r="J240" s="137">
        <v>1</v>
      </c>
    </row>
    <row r="241" spans="2:10" ht="14.4" x14ac:dyDescent="0.3">
      <c r="B241" s="132" t="s">
        <v>627</v>
      </c>
      <c r="C241" s="132" t="s">
        <v>402</v>
      </c>
      <c r="D241" s="132" t="s">
        <v>533</v>
      </c>
      <c r="E241" s="132" t="s">
        <v>320</v>
      </c>
      <c r="F241" s="133" t="s">
        <v>633</v>
      </c>
      <c r="G241" s="134">
        <v>4.92</v>
      </c>
      <c r="H241" s="135">
        <v>13.45</v>
      </c>
      <c r="I241" s="136">
        <f t="shared" si="3"/>
        <v>66.173999999999992</v>
      </c>
      <c r="J241" s="137">
        <v>1</v>
      </c>
    </row>
    <row r="242" spans="2:10" ht="14.4" x14ac:dyDescent="0.3">
      <c r="B242" s="132" t="s">
        <v>627</v>
      </c>
      <c r="C242" s="132" t="s">
        <v>402</v>
      </c>
      <c r="D242" s="132" t="s">
        <v>533</v>
      </c>
      <c r="E242" s="132" t="s">
        <v>320</v>
      </c>
      <c r="F242" s="133" t="s">
        <v>634</v>
      </c>
      <c r="G242" s="134">
        <v>2</v>
      </c>
      <c r="H242" s="135">
        <v>13.45</v>
      </c>
      <c r="I242" s="136">
        <f t="shared" si="3"/>
        <v>26.9</v>
      </c>
      <c r="J242" s="137">
        <v>1</v>
      </c>
    </row>
    <row r="243" spans="2:10" ht="14.4" x14ac:dyDescent="0.3">
      <c r="B243" s="132" t="s">
        <v>627</v>
      </c>
      <c r="C243" s="132" t="s">
        <v>402</v>
      </c>
      <c r="D243" s="132" t="s">
        <v>533</v>
      </c>
      <c r="E243" s="132" t="s">
        <v>320</v>
      </c>
      <c r="F243" s="133" t="s">
        <v>635</v>
      </c>
      <c r="G243" s="134">
        <v>1.96</v>
      </c>
      <c r="H243" s="135">
        <v>13.45</v>
      </c>
      <c r="I243" s="136">
        <f t="shared" si="3"/>
        <v>26.361999999999998</v>
      </c>
      <c r="J243" s="137">
        <v>1</v>
      </c>
    </row>
    <row r="244" spans="2:10" ht="14.4" x14ac:dyDescent="0.3">
      <c r="B244" s="132" t="s">
        <v>627</v>
      </c>
      <c r="C244" s="132" t="s">
        <v>402</v>
      </c>
      <c r="D244" s="132" t="s">
        <v>533</v>
      </c>
      <c r="E244" s="132" t="s">
        <v>320</v>
      </c>
      <c r="F244" s="133" t="s">
        <v>636</v>
      </c>
      <c r="G244" s="134">
        <v>3.52</v>
      </c>
      <c r="H244" s="135">
        <v>13.45</v>
      </c>
      <c r="I244" s="136">
        <f t="shared" si="3"/>
        <v>47.344000000000001</v>
      </c>
      <c r="J244" s="137">
        <v>1</v>
      </c>
    </row>
    <row r="245" spans="2:10" ht="14.4" x14ac:dyDescent="0.3">
      <c r="B245" s="132" t="s">
        <v>627</v>
      </c>
      <c r="C245" s="132" t="s">
        <v>402</v>
      </c>
      <c r="D245" s="132" t="s">
        <v>533</v>
      </c>
      <c r="E245" s="132" t="s">
        <v>320</v>
      </c>
      <c r="F245" s="133" t="s">
        <v>637</v>
      </c>
      <c r="G245" s="134">
        <v>1.92</v>
      </c>
      <c r="H245" s="135">
        <v>13.45</v>
      </c>
      <c r="I245" s="136">
        <f t="shared" si="3"/>
        <v>25.823999999999998</v>
      </c>
      <c r="J245" s="137">
        <v>1</v>
      </c>
    </row>
    <row r="246" spans="2:10" ht="14.4" x14ac:dyDescent="0.3">
      <c r="B246" s="132" t="s">
        <v>627</v>
      </c>
      <c r="C246" s="132" t="s">
        <v>402</v>
      </c>
      <c r="D246" s="132" t="s">
        <v>533</v>
      </c>
      <c r="E246" s="132" t="s">
        <v>320</v>
      </c>
      <c r="F246" s="133" t="s">
        <v>638</v>
      </c>
      <c r="G246" s="134">
        <v>1.66</v>
      </c>
      <c r="H246" s="135">
        <v>13.45</v>
      </c>
      <c r="I246" s="136">
        <f t="shared" si="3"/>
        <v>22.326999999999998</v>
      </c>
      <c r="J246" s="137">
        <v>1</v>
      </c>
    </row>
    <row r="247" spans="2:10" ht="14.4" x14ac:dyDescent="0.3">
      <c r="B247" s="132" t="s">
        <v>627</v>
      </c>
      <c r="C247" s="132" t="s">
        <v>402</v>
      </c>
      <c r="D247" s="132" t="s">
        <v>533</v>
      </c>
      <c r="E247" s="132" t="s">
        <v>320</v>
      </c>
      <c r="F247" s="133" t="s">
        <v>639</v>
      </c>
      <c r="G247" s="134">
        <v>3.02</v>
      </c>
      <c r="H247" s="135">
        <v>13.45</v>
      </c>
      <c r="I247" s="136">
        <f t="shared" si="3"/>
        <v>40.619</v>
      </c>
      <c r="J247" s="137">
        <v>1</v>
      </c>
    </row>
    <row r="248" spans="2:10" ht="14.4" x14ac:dyDescent="0.3">
      <c r="B248" s="132" t="s">
        <v>627</v>
      </c>
      <c r="C248" s="132" t="s">
        <v>402</v>
      </c>
      <c r="D248" s="132" t="s">
        <v>533</v>
      </c>
      <c r="E248" s="132" t="s">
        <v>320</v>
      </c>
      <c r="F248" s="133" t="s">
        <v>640</v>
      </c>
      <c r="G248" s="134">
        <v>3.01</v>
      </c>
      <c r="H248" s="135">
        <v>13.45</v>
      </c>
      <c r="I248" s="136">
        <f t="shared" si="3"/>
        <v>40.484499999999997</v>
      </c>
      <c r="J248" s="137">
        <v>1</v>
      </c>
    </row>
    <row r="249" spans="2:10" ht="14.4" x14ac:dyDescent="0.3">
      <c r="B249" s="132" t="s">
        <v>641</v>
      </c>
      <c r="C249" s="132" t="s">
        <v>402</v>
      </c>
      <c r="D249" s="132" t="s">
        <v>533</v>
      </c>
      <c r="E249" s="132" t="s">
        <v>320</v>
      </c>
      <c r="F249" s="133" t="s">
        <v>642</v>
      </c>
      <c r="G249" s="134">
        <v>2.65</v>
      </c>
      <c r="H249" s="135">
        <v>13.45</v>
      </c>
      <c r="I249" s="136">
        <f t="shared" si="3"/>
        <v>35.642499999999998</v>
      </c>
      <c r="J249" s="137">
        <v>1</v>
      </c>
    </row>
    <row r="250" spans="2:10" ht="14.4" x14ac:dyDescent="0.3">
      <c r="B250" s="132" t="s">
        <v>641</v>
      </c>
      <c r="C250" s="132" t="s">
        <v>402</v>
      </c>
      <c r="D250" s="132" t="s">
        <v>533</v>
      </c>
      <c r="E250" s="132" t="s">
        <v>320</v>
      </c>
      <c r="F250" s="133" t="s">
        <v>643</v>
      </c>
      <c r="G250" s="134">
        <v>1.76</v>
      </c>
      <c r="H250" s="135">
        <v>13.45</v>
      </c>
      <c r="I250" s="136">
        <f t="shared" si="3"/>
        <v>23.672000000000001</v>
      </c>
      <c r="J250" s="137">
        <v>1</v>
      </c>
    </row>
    <row r="251" spans="2:10" ht="14.4" x14ac:dyDescent="0.3">
      <c r="B251" s="132" t="s">
        <v>644</v>
      </c>
      <c r="C251" s="132" t="s">
        <v>402</v>
      </c>
      <c r="D251" s="132" t="s">
        <v>533</v>
      </c>
      <c r="E251" s="132" t="s">
        <v>320</v>
      </c>
      <c r="F251" s="133" t="s">
        <v>645</v>
      </c>
      <c r="G251" s="134">
        <v>2.31</v>
      </c>
      <c r="H251" s="135">
        <v>13.45</v>
      </c>
      <c r="I251" s="136">
        <f t="shared" si="3"/>
        <v>31.069499999999998</v>
      </c>
      <c r="J251" s="137">
        <v>1</v>
      </c>
    </row>
    <row r="252" spans="2:10" ht="14.4" x14ac:dyDescent="0.3">
      <c r="B252" s="132" t="s">
        <v>646</v>
      </c>
      <c r="C252" s="132" t="s">
        <v>402</v>
      </c>
      <c r="D252" s="132" t="s">
        <v>533</v>
      </c>
      <c r="E252" s="132" t="s">
        <v>320</v>
      </c>
      <c r="F252" s="133" t="s">
        <v>647</v>
      </c>
      <c r="G252" s="134">
        <v>4.01</v>
      </c>
      <c r="H252" s="135">
        <v>13.45</v>
      </c>
      <c r="I252" s="136">
        <f t="shared" si="3"/>
        <v>53.934499999999993</v>
      </c>
      <c r="J252" s="137">
        <v>1</v>
      </c>
    </row>
    <row r="253" spans="2:10" ht="14.4" x14ac:dyDescent="0.3">
      <c r="B253" s="132" t="s">
        <v>648</v>
      </c>
      <c r="C253" s="132" t="s">
        <v>402</v>
      </c>
      <c r="D253" s="132" t="s">
        <v>533</v>
      </c>
      <c r="E253" s="132" t="s">
        <v>320</v>
      </c>
      <c r="F253" s="133" t="s">
        <v>649</v>
      </c>
      <c r="G253" s="134">
        <v>1.63</v>
      </c>
      <c r="H253" s="135">
        <v>13.45</v>
      </c>
      <c r="I253" s="136">
        <f t="shared" si="3"/>
        <v>21.923499999999997</v>
      </c>
      <c r="J253" s="137">
        <v>1</v>
      </c>
    </row>
    <row r="254" spans="2:10" ht="14.4" x14ac:dyDescent="0.3">
      <c r="B254" s="132" t="s">
        <v>648</v>
      </c>
      <c r="C254" s="132" t="s">
        <v>402</v>
      </c>
      <c r="D254" s="132" t="s">
        <v>533</v>
      </c>
      <c r="E254" s="132" t="s">
        <v>320</v>
      </c>
      <c r="F254" s="133" t="s">
        <v>650</v>
      </c>
      <c r="G254" s="134">
        <v>4.62</v>
      </c>
      <c r="H254" s="135">
        <v>13.45</v>
      </c>
      <c r="I254" s="136">
        <f t="shared" si="3"/>
        <v>62.138999999999996</v>
      </c>
      <c r="J254" s="137">
        <v>1</v>
      </c>
    </row>
    <row r="255" spans="2:10" ht="14.4" x14ac:dyDescent="0.3">
      <c r="B255" s="132" t="s">
        <v>651</v>
      </c>
      <c r="C255" s="132" t="s">
        <v>402</v>
      </c>
      <c r="D255" s="132" t="s">
        <v>533</v>
      </c>
      <c r="E255" s="132" t="s">
        <v>320</v>
      </c>
      <c r="F255" s="133" t="s">
        <v>652</v>
      </c>
      <c r="G255" s="134">
        <v>1.78</v>
      </c>
      <c r="H255" s="135">
        <v>13.45</v>
      </c>
      <c r="I255" s="136">
        <f t="shared" si="3"/>
        <v>23.940999999999999</v>
      </c>
      <c r="J255" s="137">
        <v>1</v>
      </c>
    </row>
    <row r="256" spans="2:10" ht="14.4" x14ac:dyDescent="0.3">
      <c r="B256" s="132" t="s">
        <v>651</v>
      </c>
      <c r="C256" s="132" t="s">
        <v>402</v>
      </c>
      <c r="D256" s="132" t="s">
        <v>533</v>
      </c>
      <c r="E256" s="132" t="s">
        <v>320</v>
      </c>
      <c r="F256" s="133" t="s">
        <v>653</v>
      </c>
      <c r="G256" s="134">
        <v>1.79</v>
      </c>
      <c r="H256" s="135">
        <v>13.45</v>
      </c>
      <c r="I256" s="136">
        <f t="shared" si="3"/>
        <v>24.075499999999998</v>
      </c>
      <c r="J256" s="137">
        <v>1</v>
      </c>
    </row>
    <row r="257" spans="2:10" ht="14.4" x14ac:dyDescent="0.3">
      <c r="B257" s="132" t="s">
        <v>654</v>
      </c>
      <c r="C257" s="132" t="s">
        <v>402</v>
      </c>
      <c r="D257" s="132" t="s">
        <v>533</v>
      </c>
      <c r="E257" s="132" t="s">
        <v>320</v>
      </c>
      <c r="F257" s="133" t="s">
        <v>655</v>
      </c>
      <c r="G257" s="134">
        <v>5.96</v>
      </c>
      <c r="H257" s="135">
        <v>13.45</v>
      </c>
      <c r="I257" s="136">
        <f t="shared" si="3"/>
        <v>80.161999999999992</v>
      </c>
      <c r="J257" s="137">
        <v>1</v>
      </c>
    </row>
    <row r="258" spans="2:10" ht="14.4" x14ac:dyDescent="0.3">
      <c r="B258" s="132" t="s">
        <v>654</v>
      </c>
      <c r="C258" s="132" t="s">
        <v>402</v>
      </c>
      <c r="D258" s="132" t="s">
        <v>533</v>
      </c>
      <c r="E258" s="132" t="s">
        <v>320</v>
      </c>
      <c r="F258" s="133" t="s">
        <v>656</v>
      </c>
      <c r="G258" s="134">
        <v>8.48</v>
      </c>
      <c r="H258" s="135">
        <v>13.45</v>
      </c>
      <c r="I258" s="136">
        <f t="shared" si="3"/>
        <v>114.056</v>
      </c>
      <c r="J258" s="137">
        <v>1</v>
      </c>
    </row>
    <row r="259" spans="2:10" ht="14.4" x14ac:dyDescent="0.3">
      <c r="B259" s="132" t="s">
        <v>657</v>
      </c>
      <c r="C259" s="132" t="s">
        <v>402</v>
      </c>
      <c r="D259" s="132" t="s">
        <v>533</v>
      </c>
      <c r="E259" s="132" t="s">
        <v>320</v>
      </c>
      <c r="F259" s="133" t="s">
        <v>658</v>
      </c>
      <c r="G259" s="134">
        <v>4.12</v>
      </c>
      <c r="H259" s="135">
        <v>13.45</v>
      </c>
      <c r="I259" s="136">
        <f t="shared" si="3"/>
        <v>55.414000000000001</v>
      </c>
      <c r="J259" s="137">
        <v>1</v>
      </c>
    </row>
    <row r="260" spans="2:10" ht="14.4" x14ac:dyDescent="0.3">
      <c r="B260" s="132" t="s">
        <v>657</v>
      </c>
      <c r="C260" s="132" t="s">
        <v>402</v>
      </c>
      <c r="D260" s="132" t="s">
        <v>533</v>
      </c>
      <c r="E260" s="132" t="s">
        <v>320</v>
      </c>
      <c r="F260" s="133" t="s">
        <v>659</v>
      </c>
      <c r="G260" s="134">
        <v>9.6199999999999992</v>
      </c>
      <c r="H260" s="135">
        <v>13.45</v>
      </c>
      <c r="I260" s="136">
        <f t="shared" si="3"/>
        <v>129.38899999999998</v>
      </c>
      <c r="J260" s="137">
        <v>1</v>
      </c>
    </row>
    <row r="261" spans="2:10" ht="14.4" x14ac:dyDescent="0.3">
      <c r="B261" s="132" t="s">
        <v>660</v>
      </c>
      <c r="C261" s="132" t="s">
        <v>402</v>
      </c>
      <c r="D261" s="132" t="s">
        <v>533</v>
      </c>
      <c r="E261" s="132" t="s">
        <v>320</v>
      </c>
      <c r="F261" s="133" t="s">
        <v>661</v>
      </c>
      <c r="G261" s="134">
        <v>3.85</v>
      </c>
      <c r="H261" s="135">
        <v>13.45</v>
      </c>
      <c r="I261" s="136">
        <f t="shared" si="3"/>
        <v>51.782499999999999</v>
      </c>
      <c r="J261" s="137">
        <v>1</v>
      </c>
    </row>
    <row r="262" spans="2:10" ht="14.4" x14ac:dyDescent="0.3">
      <c r="B262" s="132" t="s">
        <v>660</v>
      </c>
      <c r="C262" s="132" t="s">
        <v>402</v>
      </c>
      <c r="D262" s="132" t="s">
        <v>533</v>
      </c>
      <c r="E262" s="132" t="s">
        <v>320</v>
      </c>
      <c r="F262" s="133" t="s">
        <v>662</v>
      </c>
      <c r="G262" s="134">
        <v>6.3</v>
      </c>
      <c r="H262" s="135">
        <v>13.45</v>
      </c>
      <c r="I262" s="136">
        <f t="shared" si="3"/>
        <v>84.734999999999999</v>
      </c>
      <c r="J262" s="137">
        <v>1</v>
      </c>
    </row>
    <row r="263" spans="2:10" ht="14.4" x14ac:dyDescent="0.3">
      <c r="B263" s="132" t="s">
        <v>663</v>
      </c>
      <c r="C263" s="132" t="s">
        <v>402</v>
      </c>
      <c r="D263" s="132" t="s">
        <v>533</v>
      </c>
      <c r="E263" s="132" t="s">
        <v>320</v>
      </c>
      <c r="F263" s="133" t="s">
        <v>664</v>
      </c>
      <c r="G263" s="134">
        <v>4.57</v>
      </c>
      <c r="H263" s="135">
        <v>13.45</v>
      </c>
      <c r="I263" s="136">
        <f t="shared" si="3"/>
        <v>61.466500000000003</v>
      </c>
      <c r="J263" s="137">
        <v>1</v>
      </c>
    </row>
    <row r="264" spans="2:10" ht="14.4" x14ac:dyDescent="0.3">
      <c r="B264" s="132" t="s">
        <v>663</v>
      </c>
      <c r="C264" s="132" t="s">
        <v>402</v>
      </c>
      <c r="D264" s="132" t="s">
        <v>533</v>
      </c>
      <c r="E264" s="132" t="s">
        <v>320</v>
      </c>
      <c r="F264" s="133" t="s">
        <v>665</v>
      </c>
      <c r="G264" s="134">
        <v>4.54</v>
      </c>
      <c r="H264" s="135">
        <v>13.45</v>
      </c>
      <c r="I264" s="136">
        <f t="shared" ref="I264:I327" si="4">G264*H264</f>
        <v>61.062999999999995</v>
      </c>
      <c r="J264" s="137">
        <v>1</v>
      </c>
    </row>
    <row r="265" spans="2:10" ht="14.4" x14ac:dyDescent="0.3">
      <c r="B265" s="132" t="s">
        <v>663</v>
      </c>
      <c r="C265" s="132" t="s">
        <v>402</v>
      </c>
      <c r="D265" s="132" t="s">
        <v>533</v>
      </c>
      <c r="E265" s="132" t="s">
        <v>320</v>
      </c>
      <c r="F265" s="133" t="s">
        <v>666</v>
      </c>
      <c r="G265" s="134">
        <v>3.69</v>
      </c>
      <c r="H265" s="135">
        <v>13.45</v>
      </c>
      <c r="I265" s="136">
        <f t="shared" si="4"/>
        <v>49.630499999999998</v>
      </c>
      <c r="J265" s="137">
        <v>1</v>
      </c>
    </row>
    <row r="266" spans="2:10" ht="14.4" x14ac:dyDescent="0.3">
      <c r="B266" s="132" t="s">
        <v>663</v>
      </c>
      <c r="C266" s="132" t="s">
        <v>402</v>
      </c>
      <c r="D266" s="132" t="s">
        <v>533</v>
      </c>
      <c r="E266" s="132" t="s">
        <v>320</v>
      </c>
      <c r="F266" s="133" t="s">
        <v>667</v>
      </c>
      <c r="G266" s="134">
        <v>3.7</v>
      </c>
      <c r="H266" s="135">
        <v>13.45</v>
      </c>
      <c r="I266" s="136">
        <f t="shared" si="4"/>
        <v>49.765000000000001</v>
      </c>
      <c r="J266" s="137">
        <v>1</v>
      </c>
    </row>
    <row r="267" spans="2:10" ht="14.4" x14ac:dyDescent="0.3">
      <c r="B267" s="132" t="s">
        <v>668</v>
      </c>
      <c r="C267" s="132" t="s">
        <v>402</v>
      </c>
      <c r="D267" s="132" t="s">
        <v>533</v>
      </c>
      <c r="E267" s="132" t="s">
        <v>320</v>
      </c>
      <c r="F267" s="133" t="s">
        <v>669</v>
      </c>
      <c r="G267" s="134">
        <v>9.6300000000000008</v>
      </c>
      <c r="H267" s="135">
        <v>13.45</v>
      </c>
      <c r="I267" s="136">
        <f t="shared" si="4"/>
        <v>129.52350000000001</v>
      </c>
      <c r="J267" s="137">
        <v>1</v>
      </c>
    </row>
    <row r="268" spans="2:10" ht="14.4" x14ac:dyDescent="0.3">
      <c r="B268" s="132" t="s">
        <v>670</v>
      </c>
      <c r="C268" s="132" t="s">
        <v>402</v>
      </c>
      <c r="D268" s="132" t="s">
        <v>533</v>
      </c>
      <c r="E268" s="132" t="s">
        <v>320</v>
      </c>
      <c r="F268" s="133" t="s">
        <v>671</v>
      </c>
      <c r="G268" s="134">
        <v>8.6</v>
      </c>
      <c r="H268" s="135">
        <v>13.45</v>
      </c>
      <c r="I268" s="136">
        <f t="shared" si="4"/>
        <v>115.66999999999999</v>
      </c>
      <c r="J268" s="137">
        <v>1</v>
      </c>
    </row>
    <row r="269" spans="2:10" ht="14.4" x14ac:dyDescent="0.3">
      <c r="B269" s="132" t="s">
        <v>672</v>
      </c>
      <c r="C269" s="132" t="s">
        <v>402</v>
      </c>
      <c r="D269" s="132" t="s">
        <v>673</v>
      </c>
      <c r="E269" s="132" t="s">
        <v>320</v>
      </c>
      <c r="F269" s="133" t="s">
        <v>672</v>
      </c>
      <c r="G269" s="134">
        <v>7.96</v>
      </c>
      <c r="H269" s="135">
        <v>13.45</v>
      </c>
      <c r="I269" s="136">
        <f t="shared" si="4"/>
        <v>107.062</v>
      </c>
      <c r="J269" s="137">
        <v>1</v>
      </c>
    </row>
    <row r="270" spans="2:10" ht="14.4" x14ac:dyDescent="0.3">
      <c r="B270" s="132" t="s">
        <v>674</v>
      </c>
      <c r="C270" s="132" t="s">
        <v>402</v>
      </c>
      <c r="D270" s="132" t="s">
        <v>673</v>
      </c>
      <c r="E270" s="132" t="s">
        <v>320</v>
      </c>
      <c r="F270" s="133" t="s">
        <v>675</v>
      </c>
      <c r="G270" s="134">
        <v>3.94</v>
      </c>
      <c r="H270" s="135">
        <v>13.45</v>
      </c>
      <c r="I270" s="136">
        <f t="shared" si="4"/>
        <v>52.992999999999995</v>
      </c>
      <c r="J270" s="137">
        <v>1</v>
      </c>
    </row>
    <row r="271" spans="2:10" ht="14.4" x14ac:dyDescent="0.3">
      <c r="B271" s="132" t="s">
        <v>676</v>
      </c>
      <c r="C271" s="132" t="s">
        <v>402</v>
      </c>
      <c r="D271" s="132" t="s">
        <v>673</v>
      </c>
      <c r="E271" s="132" t="s">
        <v>320</v>
      </c>
      <c r="F271" s="133" t="s">
        <v>677</v>
      </c>
      <c r="G271" s="134">
        <v>6.49</v>
      </c>
      <c r="H271" s="135">
        <v>13.45</v>
      </c>
      <c r="I271" s="136">
        <f t="shared" si="4"/>
        <v>87.290499999999994</v>
      </c>
      <c r="J271" s="137">
        <v>1</v>
      </c>
    </row>
    <row r="272" spans="2:10" ht="14.4" x14ac:dyDescent="0.3">
      <c r="B272" s="132" t="s">
        <v>676</v>
      </c>
      <c r="C272" s="132" t="s">
        <v>402</v>
      </c>
      <c r="D272" s="132" t="s">
        <v>673</v>
      </c>
      <c r="E272" s="132" t="s">
        <v>320</v>
      </c>
      <c r="F272" s="133" t="s">
        <v>678</v>
      </c>
      <c r="G272" s="134">
        <v>2.92</v>
      </c>
      <c r="H272" s="135">
        <v>13.45</v>
      </c>
      <c r="I272" s="136">
        <f t="shared" si="4"/>
        <v>39.273999999999994</v>
      </c>
      <c r="J272" s="137">
        <v>1</v>
      </c>
    </row>
    <row r="273" spans="2:10" ht="14.4" x14ac:dyDescent="0.3">
      <c r="B273" s="132" t="s">
        <v>679</v>
      </c>
      <c r="C273" s="132" t="s">
        <v>402</v>
      </c>
      <c r="D273" s="132" t="s">
        <v>673</v>
      </c>
      <c r="E273" s="132" t="s">
        <v>320</v>
      </c>
      <c r="F273" s="133" t="s">
        <v>680</v>
      </c>
      <c r="G273" s="134">
        <v>4</v>
      </c>
      <c r="H273" s="135">
        <v>13.45</v>
      </c>
      <c r="I273" s="136">
        <f t="shared" si="4"/>
        <v>53.8</v>
      </c>
      <c r="J273" s="137">
        <v>1</v>
      </c>
    </row>
    <row r="274" spans="2:10" ht="14.4" x14ac:dyDescent="0.3">
      <c r="B274" s="132" t="s">
        <v>679</v>
      </c>
      <c r="C274" s="132" t="s">
        <v>402</v>
      </c>
      <c r="D274" s="132" t="s">
        <v>673</v>
      </c>
      <c r="E274" s="132" t="s">
        <v>320</v>
      </c>
      <c r="F274" s="133" t="s">
        <v>681</v>
      </c>
      <c r="G274" s="134">
        <v>4.8</v>
      </c>
      <c r="H274" s="135">
        <v>13.45</v>
      </c>
      <c r="I274" s="136">
        <f t="shared" si="4"/>
        <v>64.559999999999988</v>
      </c>
      <c r="J274" s="137">
        <v>1</v>
      </c>
    </row>
    <row r="275" spans="2:10" ht="14.4" x14ac:dyDescent="0.3">
      <c r="B275" s="132" t="s">
        <v>679</v>
      </c>
      <c r="C275" s="132" t="s">
        <v>402</v>
      </c>
      <c r="D275" s="132" t="s">
        <v>673</v>
      </c>
      <c r="E275" s="132" t="s">
        <v>320</v>
      </c>
      <c r="F275" s="133" t="s">
        <v>682</v>
      </c>
      <c r="G275" s="134">
        <v>6.04</v>
      </c>
      <c r="H275" s="135">
        <v>13.45</v>
      </c>
      <c r="I275" s="136">
        <f t="shared" si="4"/>
        <v>81.238</v>
      </c>
      <c r="J275" s="137">
        <v>1</v>
      </c>
    </row>
    <row r="276" spans="2:10" ht="14.4" x14ac:dyDescent="0.3">
      <c r="B276" s="132" t="s">
        <v>679</v>
      </c>
      <c r="C276" s="132" t="s">
        <v>402</v>
      </c>
      <c r="D276" s="132" t="s">
        <v>673</v>
      </c>
      <c r="E276" s="132" t="s">
        <v>320</v>
      </c>
      <c r="F276" s="133" t="s">
        <v>683</v>
      </c>
      <c r="G276" s="134">
        <v>6.06</v>
      </c>
      <c r="H276" s="135">
        <v>13.45</v>
      </c>
      <c r="I276" s="136">
        <f t="shared" si="4"/>
        <v>81.506999999999991</v>
      </c>
      <c r="J276" s="137">
        <v>1</v>
      </c>
    </row>
    <row r="277" spans="2:10" ht="14.4" x14ac:dyDescent="0.3">
      <c r="B277" s="132" t="s">
        <v>684</v>
      </c>
      <c r="C277" s="132" t="s">
        <v>402</v>
      </c>
      <c r="D277" s="132" t="s">
        <v>673</v>
      </c>
      <c r="E277" s="132" t="s">
        <v>320</v>
      </c>
      <c r="F277" s="133" t="s">
        <v>685</v>
      </c>
      <c r="G277" s="134">
        <v>1.6</v>
      </c>
      <c r="H277" s="135">
        <v>13.45</v>
      </c>
      <c r="I277" s="136">
        <f t="shared" si="4"/>
        <v>21.52</v>
      </c>
      <c r="J277" s="137">
        <v>1</v>
      </c>
    </row>
    <row r="278" spans="2:10" ht="14.4" x14ac:dyDescent="0.3">
      <c r="B278" s="132" t="s">
        <v>686</v>
      </c>
      <c r="C278" s="132" t="s">
        <v>402</v>
      </c>
      <c r="D278" s="132" t="s">
        <v>673</v>
      </c>
      <c r="E278" s="132" t="s">
        <v>320</v>
      </c>
      <c r="F278" s="133" t="s">
        <v>687</v>
      </c>
      <c r="G278" s="134">
        <v>5.39</v>
      </c>
      <c r="H278" s="135">
        <v>13.45</v>
      </c>
      <c r="I278" s="136">
        <f t="shared" si="4"/>
        <v>72.495499999999993</v>
      </c>
      <c r="J278" s="137">
        <v>1</v>
      </c>
    </row>
    <row r="279" spans="2:10" ht="14.4" x14ac:dyDescent="0.3">
      <c r="B279" s="132" t="s">
        <v>686</v>
      </c>
      <c r="C279" s="132" t="s">
        <v>402</v>
      </c>
      <c r="D279" s="132" t="s">
        <v>673</v>
      </c>
      <c r="E279" s="132" t="s">
        <v>320</v>
      </c>
      <c r="F279" s="133" t="s">
        <v>688</v>
      </c>
      <c r="G279" s="134">
        <v>1.36</v>
      </c>
      <c r="H279" s="135">
        <v>13.45</v>
      </c>
      <c r="I279" s="136">
        <f t="shared" si="4"/>
        <v>18.292000000000002</v>
      </c>
      <c r="J279" s="137">
        <v>1</v>
      </c>
    </row>
    <row r="280" spans="2:10" ht="14.4" x14ac:dyDescent="0.3">
      <c r="B280" s="132" t="s">
        <v>689</v>
      </c>
      <c r="C280" s="132" t="s">
        <v>402</v>
      </c>
      <c r="D280" s="132" t="s">
        <v>673</v>
      </c>
      <c r="E280" s="132" t="s">
        <v>320</v>
      </c>
      <c r="F280" s="133" t="s">
        <v>690</v>
      </c>
      <c r="G280" s="134">
        <v>1.27</v>
      </c>
      <c r="H280" s="135">
        <v>13.45</v>
      </c>
      <c r="I280" s="136">
        <f t="shared" si="4"/>
        <v>17.081499999999998</v>
      </c>
      <c r="J280" s="137">
        <v>1</v>
      </c>
    </row>
    <row r="281" spans="2:10" ht="14.4" x14ac:dyDescent="0.3">
      <c r="B281" s="132" t="s">
        <v>689</v>
      </c>
      <c r="C281" s="132" t="s">
        <v>402</v>
      </c>
      <c r="D281" s="132" t="s">
        <v>673</v>
      </c>
      <c r="E281" s="132" t="s">
        <v>320</v>
      </c>
      <c r="F281" s="133" t="s">
        <v>691</v>
      </c>
      <c r="G281" s="134">
        <v>1.27</v>
      </c>
      <c r="H281" s="135">
        <v>13.45</v>
      </c>
      <c r="I281" s="136">
        <f t="shared" si="4"/>
        <v>17.081499999999998</v>
      </c>
      <c r="J281" s="137">
        <v>1</v>
      </c>
    </row>
    <row r="282" spans="2:10" ht="14.4" x14ac:dyDescent="0.3">
      <c r="B282" s="132" t="s">
        <v>689</v>
      </c>
      <c r="C282" s="132" t="s">
        <v>402</v>
      </c>
      <c r="D282" s="132" t="s">
        <v>673</v>
      </c>
      <c r="E282" s="132" t="s">
        <v>320</v>
      </c>
      <c r="F282" s="133" t="s">
        <v>692</v>
      </c>
      <c r="G282" s="134">
        <v>4.3</v>
      </c>
      <c r="H282" s="135">
        <v>13.45</v>
      </c>
      <c r="I282" s="136">
        <f t="shared" si="4"/>
        <v>57.834999999999994</v>
      </c>
      <c r="J282" s="137">
        <v>1</v>
      </c>
    </row>
    <row r="283" spans="2:10" ht="14.4" x14ac:dyDescent="0.3">
      <c r="B283" s="132" t="s">
        <v>689</v>
      </c>
      <c r="C283" s="132" t="s">
        <v>402</v>
      </c>
      <c r="D283" s="132" t="s">
        <v>673</v>
      </c>
      <c r="E283" s="132" t="s">
        <v>320</v>
      </c>
      <c r="F283" s="133" t="s">
        <v>693</v>
      </c>
      <c r="G283" s="134">
        <v>3.18</v>
      </c>
      <c r="H283" s="135">
        <v>13.45</v>
      </c>
      <c r="I283" s="136">
        <f t="shared" si="4"/>
        <v>42.771000000000001</v>
      </c>
      <c r="J283" s="137">
        <v>1</v>
      </c>
    </row>
    <row r="284" spans="2:10" ht="14.4" x14ac:dyDescent="0.3">
      <c r="B284" s="132" t="s">
        <v>689</v>
      </c>
      <c r="C284" s="132" t="s">
        <v>402</v>
      </c>
      <c r="D284" s="132" t="s">
        <v>673</v>
      </c>
      <c r="E284" s="132" t="s">
        <v>320</v>
      </c>
      <c r="F284" s="133" t="s">
        <v>694</v>
      </c>
      <c r="G284" s="134">
        <v>1.27</v>
      </c>
      <c r="H284" s="135">
        <v>13.45</v>
      </c>
      <c r="I284" s="136">
        <f t="shared" si="4"/>
        <v>17.081499999999998</v>
      </c>
      <c r="J284" s="137">
        <v>1</v>
      </c>
    </row>
    <row r="285" spans="2:10" ht="14.4" x14ac:dyDescent="0.3">
      <c r="B285" s="132" t="s">
        <v>689</v>
      </c>
      <c r="C285" s="132" t="s">
        <v>402</v>
      </c>
      <c r="D285" s="132" t="s">
        <v>673</v>
      </c>
      <c r="E285" s="132" t="s">
        <v>320</v>
      </c>
      <c r="F285" s="133" t="s">
        <v>695</v>
      </c>
      <c r="G285" s="134">
        <v>3.19</v>
      </c>
      <c r="H285" s="135">
        <v>13.45</v>
      </c>
      <c r="I285" s="136">
        <f t="shared" si="4"/>
        <v>42.905499999999996</v>
      </c>
      <c r="J285" s="137">
        <v>1</v>
      </c>
    </row>
    <row r="286" spans="2:10" ht="14.4" x14ac:dyDescent="0.3">
      <c r="B286" s="132" t="s">
        <v>689</v>
      </c>
      <c r="C286" s="132" t="s">
        <v>402</v>
      </c>
      <c r="D286" s="132" t="s">
        <v>673</v>
      </c>
      <c r="E286" s="132" t="s">
        <v>320</v>
      </c>
      <c r="F286" s="133" t="s">
        <v>696</v>
      </c>
      <c r="G286" s="134">
        <v>3.19</v>
      </c>
      <c r="H286" s="135">
        <v>13.45</v>
      </c>
      <c r="I286" s="136">
        <f t="shared" si="4"/>
        <v>42.905499999999996</v>
      </c>
      <c r="J286" s="137">
        <v>1</v>
      </c>
    </row>
    <row r="287" spans="2:10" ht="14.4" x14ac:dyDescent="0.3">
      <c r="B287" s="132" t="s">
        <v>689</v>
      </c>
      <c r="C287" s="132" t="s">
        <v>402</v>
      </c>
      <c r="D287" s="132" t="s">
        <v>673</v>
      </c>
      <c r="E287" s="132" t="s">
        <v>320</v>
      </c>
      <c r="F287" s="133" t="s">
        <v>697</v>
      </c>
      <c r="G287" s="134">
        <v>3.19</v>
      </c>
      <c r="H287" s="135">
        <v>13.45</v>
      </c>
      <c r="I287" s="136">
        <f t="shared" si="4"/>
        <v>42.905499999999996</v>
      </c>
      <c r="J287" s="137">
        <v>1</v>
      </c>
    </row>
    <row r="288" spans="2:10" ht="14.4" x14ac:dyDescent="0.3">
      <c r="B288" s="132" t="s">
        <v>689</v>
      </c>
      <c r="C288" s="132" t="s">
        <v>402</v>
      </c>
      <c r="D288" s="132" t="s">
        <v>673</v>
      </c>
      <c r="E288" s="132" t="s">
        <v>320</v>
      </c>
      <c r="F288" s="133" t="s">
        <v>698</v>
      </c>
      <c r="G288" s="134">
        <v>3.83</v>
      </c>
      <c r="H288" s="135">
        <v>13.45</v>
      </c>
      <c r="I288" s="136">
        <f t="shared" si="4"/>
        <v>51.513500000000001</v>
      </c>
      <c r="J288" s="137">
        <v>1</v>
      </c>
    </row>
    <row r="289" spans="2:10" ht="14.4" x14ac:dyDescent="0.3">
      <c r="B289" s="132" t="s">
        <v>699</v>
      </c>
      <c r="C289" s="132" t="s">
        <v>402</v>
      </c>
      <c r="D289" s="132" t="s">
        <v>673</v>
      </c>
      <c r="E289" s="132" t="s">
        <v>320</v>
      </c>
      <c r="F289" s="133" t="s">
        <v>700</v>
      </c>
      <c r="G289" s="134">
        <v>3.56</v>
      </c>
      <c r="H289" s="135">
        <v>13.45</v>
      </c>
      <c r="I289" s="136">
        <f t="shared" si="4"/>
        <v>47.881999999999998</v>
      </c>
      <c r="J289" s="137">
        <v>1</v>
      </c>
    </row>
    <row r="290" spans="2:10" ht="14.4" x14ac:dyDescent="0.3">
      <c r="B290" s="132" t="s">
        <v>699</v>
      </c>
      <c r="C290" s="132" t="s">
        <v>402</v>
      </c>
      <c r="D290" s="132" t="s">
        <v>673</v>
      </c>
      <c r="E290" s="132" t="s">
        <v>320</v>
      </c>
      <c r="F290" s="133" t="s">
        <v>701</v>
      </c>
      <c r="G290" s="134">
        <v>3.56</v>
      </c>
      <c r="H290" s="135">
        <v>13.45</v>
      </c>
      <c r="I290" s="136">
        <f t="shared" si="4"/>
        <v>47.881999999999998</v>
      </c>
      <c r="J290" s="137">
        <v>1</v>
      </c>
    </row>
    <row r="291" spans="2:10" ht="14.4" x14ac:dyDescent="0.3">
      <c r="B291" s="132" t="s">
        <v>699</v>
      </c>
      <c r="C291" s="132" t="s">
        <v>402</v>
      </c>
      <c r="D291" s="132" t="s">
        <v>673</v>
      </c>
      <c r="E291" s="132" t="s">
        <v>320</v>
      </c>
      <c r="F291" s="133" t="s">
        <v>702</v>
      </c>
      <c r="G291" s="134">
        <v>3.56</v>
      </c>
      <c r="H291" s="135">
        <v>13.45</v>
      </c>
      <c r="I291" s="136">
        <f t="shared" si="4"/>
        <v>47.881999999999998</v>
      </c>
      <c r="J291" s="137">
        <v>1</v>
      </c>
    </row>
    <row r="292" spans="2:10" ht="14.4" x14ac:dyDescent="0.3">
      <c r="B292" s="132" t="s">
        <v>699</v>
      </c>
      <c r="C292" s="132" t="s">
        <v>402</v>
      </c>
      <c r="D292" s="132" t="s">
        <v>673</v>
      </c>
      <c r="E292" s="132" t="s">
        <v>320</v>
      </c>
      <c r="F292" s="133" t="s">
        <v>703</v>
      </c>
      <c r="G292" s="134">
        <v>2.93</v>
      </c>
      <c r="H292" s="135">
        <v>13.45</v>
      </c>
      <c r="I292" s="136">
        <f t="shared" si="4"/>
        <v>39.408499999999997</v>
      </c>
      <c r="J292" s="137">
        <v>1</v>
      </c>
    </row>
    <row r="293" spans="2:10" ht="14.4" x14ac:dyDescent="0.3">
      <c r="B293" s="132" t="s">
        <v>704</v>
      </c>
      <c r="C293" s="132" t="s">
        <v>402</v>
      </c>
      <c r="D293" s="132" t="s">
        <v>673</v>
      </c>
      <c r="E293" s="132" t="s">
        <v>320</v>
      </c>
      <c r="F293" s="133" t="s">
        <v>705</v>
      </c>
      <c r="G293" s="134">
        <v>6.8</v>
      </c>
      <c r="H293" s="135">
        <v>13.45</v>
      </c>
      <c r="I293" s="136">
        <f t="shared" si="4"/>
        <v>91.46</v>
      </c>
      <c r="J293" s="137">
        <v>1</v>
      </c>
    </row>
    <row r="294" spans="2:10" ht="14.4" x14ac:dyDescent="0.3">
      <c r="B294" s="132" t="s">
        <v>704</v>
      </c>
      <c r="C294" s="132" t="s">
        <v>402</v>
      </c>
      <c r="D294" s="132" t="s">
        <v>673</v>
      </c>
      <c r="E294" s="132" t="s">
        <v>320</v>
      </c>
      <c r="F294" s="133" t="s">
        <v>706</v>
      </c>
      <c r="G294" s="134">
        <v>1.31</v>
      </c>
      <c r="H294" s="135">
        <v>13.45</v>
      </c>
      <c r="I294" s="136">
        <f t="shared" si="4"/>
        <v>17.619499999999999</v>
      </c>
      <c r="J294" s="137">
        <v>1</v>
      </c>
    </row>
    <row r="295" spans="2:10" ht="14.4" x14ac:dyDescent="0.3">
      <c r="B295" s="132" t="s">
        <v>704</v>
      </c>
      <c r="C295" s="132" t="s">
        <v>402</v>
      </c>
      <c r="D295" s="132" t="s">
        <v>673</v>
      </c>
      <c r="E295" s="132" t="s">
        <v>320</v>
      </c>
      <c r="F295" s="133" t="s">
        <v>707</v>
      </c>
      <c r="G295" s="134">
        <v>5.81</v>
      </c>
      <c r="H295" s="135">
        <v>13.45</v>
      </c>
      <c r="I295" s="136">
        <f t="shared" si="4"/>
        <v>78.144499999999994</v>
      </c>
      <c r="J295" s="137">
        <v>1</v>
      </c>
    </row>
    <row r="296" spans="2:10" ht="14.4" x14ac:dyDescent="0.3">
      <c r="B296" s="132" t="s">
        <v>704</v>
      </c>
      <c r="C296" s="132" t="s">
        <v>402</v>
      </c>
      <c r="D296" s="132" t="s">
        <v>673</v>
      </c>
      <c r="E296" s="132" t="s">
        <v>320</v>
      </c>
      <c r="F296" s="133" t="s">
        <v>708</v>
      </c>
      <c r="G296" s="134">
        <v>1.95</v>
      </c>
      <c r="H296" s="135">
        <v>13.45</v>
      </c>
      <c r="I296" s="136">
        <f t="shared" si="4"/>
        <v>26.227499999999999</v>
      </c>
      <c r="J296" s="137">
        <v>1</v>
      </c>
    </row>
    <row r="297" spans="2:10" ht="14.4" x14ac:dyDescent="0.3">
      <c r="B297" s="132" t="s">
        <v>704</v>
      </c>
      <c r="C297" s="132" t="s">
        <v>402</v>
      </c>
      <c r="D297" s="132" t="s">
        <v>673</v>
      </c>
      <c r="E297" s="132" t="s">
        <v>320</v>
      </c>
      <c r="F297" s="133" t="s">
        <v>709</v>
      </c>
      <c r="G297" s="134">
        <v>1.95</v>
      </c>
      <c r="H297" s="135">
        <v>13.45</v>
      </c>
      <c r="I297" s="136">
        <f t="shared" si="4"/>
        <v>26.227499999999999</v>
      </c>
      <c r="J297" s="137">
        <v>1</v>
      </c>
    </row>
    <row r="298" spans="2:10" ht="14.4" x14ac:dyDescent="0.3">
      <c r="B298" s="132" t="s">
        <v>704</v>
      </c>
      <c r="C298" s="132" t="s">
        <v>402</v>
      </c>
      <c r="D298" s="132" t="s">
        <v>673</v>
      </c>
      <c r="E298" s="132" t="s">
        <v>320</v>
      </c>
      <c r="F298" s="133" t="s">
        <v>710</v>
      </c>
      <c r="G298" s="134">
        <v>1.46</v>
      </c>
      <c r="H298" s="135">
        <v>13.45</v>
      </c>
      <c r="I298" s="136">
        <f t="shared" si="4"/>
        <v>19.636999999999997</v>
      </c>
      <c r="J298" s="137">
        <v>1</v>
      </c>
    </row>
    <row r="299" spans="2:10" ht="14.4" x14ac:dyDescent="0.3">
      <c r="B299" s="132" t="s">
        <v>704</v>
      </c>
      <c r="C299" s="132" t="s">
        <v>402</v>
      </c>
      <c r="D299" s="132" t="s">
        <v>673</v>
      </c>
      <c r="E299" s="132" t="s">
        <v>320</v>
      </c>
      <c r="F299" s="133" t="s">
        <v>711</v>
      </c>
      <c r="G299" s="134">
        <v>1.46</v>
      </c>
      <c r="H299" s="135">
        <v>13.45</v>
      </c>
      <c r="I299" s="136">
        <f t="shared" si="4"/>
        <v>19.636999999999997</v>
      </c>
      <c r="J299" s="137">
        <v>1</v>
      </c>
    </row>
    <row r="300" spans="2:10" ht="14.4" x14ac:dyDescent="0.3">
      <c r="B300" s="132" t="s">
        <v>704</v>
      </c>
      <c r="C300" s="132" t="s">
        <v>402</v>
      </c>
      <c r="D300" s="132" t="s">
        <v>673</v>
      </c>
      <c r="E300" s="132" t="s">
        <v>320</v>
      </c>
      <c r="F300" s="133" t="s">
        <v>712</v>
      </c>
      <c r="G300" s="134">
        <v>7.13</v>
      </c>
      <c r="H300" s="135">
        <v>13.45</v>
      </c>
      <c r="I300" s="136">
        <f t="shared" si="4"/>
        <v>95.898499999999999</v>
      </c>
      <c r="J300" s="137">
        <v>1</v>
      </c>
    </row>
    <row r="301" spans="2:10" ht="14.4" x14ac:dyDescent="0.3">
      <c r="B301" s="132" t="s">
        <v>713</v>
      </c>
      <c r="C301" s="132" t="s">
        <v>402</v>
      </c>
      <c r="D301" s="132" t="s">
        <v>673</v>
      </c>
      <c r="E301" s="132" t="s">
        <v>320</v>
      </c>
      <c r="F301" s="133" t="s">
        <v>714</v>
      </c>
      <c r="G301" s="134">
        <v>4.6100000000000003</v>
      </c>
      <c r="H301" s="135">
        <v>13.45</v>
      </c>
      <c r="I301" s="136">
        <f t="shared" si="4"/>
        <v>62.0045</v>
      </c>
      <c r="J301" s="137">
        <v>1</v>
      </c>
    </row>
    <row r="302" spans="2:10" ht="14.4" x14ac:dyDescent="0.3">
      <c r="B302" s="132" t="s">
        <v>713</v>
      </c>
      <c r="C302" s="132" t="s">
        <v>402</v>
      </c>
      <c r="D302" s="132" t="s">
        <v>673</v>
      </c>
      <c r="E302" s="132" t="s">
        <v>320</v>
      </c>
      <c r="F302" s="133" t="s">
        <v>715</v>
      </c>
      <c r="G302" s="134">
        <v>3.63</v>
      </c>
      <c r="H302" s="135">
        <v>13.45</v>
      </c>
      <c r="I302" s="136">
        <f t="shared" si="4"/>
        <v>48.823499999999996</v>
      </c>
      <c r="J302" s="137">
        <v>1</v>
      </c>
    </row>
    <row r="303" spans="2:10" ht="14.4" x14ac:dyDescent="0.3">
      <c r="B303" s="132" t="s">
        <v>716</v>
      </c>
      <c r="C303" s="132" t="s">
        <v>402</v>
      </c>
      <c r="D303" s="132" t="s">
        <v>673</v>
      </c>
      <c r="E303" s="132" t="s">
        <v>320</v>
      </c>
      <c r="F303" s="133" t="s">
        <v>717</v>
      </c>
      <c r="G303" s="134">
        <v>2.2599999999999998</v>
      </c>
      <c r="H303" s="135">
        <v>13.45</v>
      </c>
      <c r="I303" s="136">
        <f t="shared" si="4"/>
        <v>30.396999999999995</v>
      </c>
      <c r="J303" s="137">
        <v>1</v>
      </c>
    </row>
    <row r="304" spans="2:10" ht="14.4" x14ac:dyDescent="0.3">
      <c r="B304" s="132" t="s">
        <v>716</v>
      </c>
      <c r="C304" s="132" t="s">
        <v>402</v>
      </c>
      <c r="D304" s="132" t="s">
        <v>673</v>
      </c>
      <c r="E304" s="132" t="s">
        <v>320</v>
      </c>
      <c r="F304" s="133" t="s">
        <v>718</v>
      </c>
      <c r="G304" s="134">
        <v>2.2599999999999998</v>
      </c>
      <c r="H304" s="135">
        <v>13.45</v>
      </c>
      <c r="I304" s="136">
        <f t="shared" si="4"/>
        <v>30.396999999999995</v>
      </c>
      <c r="J304" s="137">
        <v>1</v>
      </c>
    </row>
    <row r="305" spans="2:10" ht="14.4" x14ac:dyDescent="0.3">
      <c r="B305" s="132" t="s">
        <v>719</v>
      </c>
      <c r="C305" s="132" t="s">
        <v>402</v>
      </c>
      <c r="D305" s="132" t="s">
        <v>673</v>
      </c>
      <c r="E305" s="132" t="s">
        <v>320</v>
      </c>
      <c r="F305" s="133" t="s">
        <v>720</v>
      </c>
      <c r="G305" s="134">
        <v>2.57</v>
      </c>
      <c r="H305" s="135">
        <v>13.45</v>
      </c>
      <c r="I305" s="136">
        <f t="shared" si="4"/>
        <v>34.566499999999998</v>
      </c>
      <c r="J305" s="137">
        <v>1</v>
      </c>
    </row>
    <row r="306" spans="2:10" ht="14.4" x14ac:dyDescent="0.3">
      <c r="B306" s="132" t="s">
        <v>719</v>
      </c>
      <c r="C306" s="132" t="s">
        <v>402</v>
      </c>
      <c r="D306" s="132" t="s">
        <v>673</v>
      </c>
      <c r="E306" s="132" t="s">
        <v>320</v>
      </c>
      <c r="F306" s="133" t="s">
        <v>721</v>
      </c>
      <c r="G306" s="134">
        <v>2.58</v>
      </c>
      <c r="H306" s="135">
        <v>13.45</v>
      </c>
      <c r="I306" s="136">
        <f t="shared" si="4"/>
        <v>34.701000000000001</v>
      </c>
      <c r="J306" s="137">
        <v>1</v>
      </c>
    </row>
    <row r="307" spans="2:10" ht="14.4" x14ac:dyDescent="0.3">
      <c r="B307" s="132" t="s">
        <v>722</v>
      </c>
      <c r="C307" s="132" t="s">
        <v>402</v>
      </c>
      <c r="D307" s="132" t="s">
        <v>673</v>
      </c>
      <c r="E307" s="132" t="s">
        <v>320</v>
      </c>
      <c r="F307" s="133" t="s">
        <v>723</v>
      </c>
      <c r="G307" s="134">
        <v>1.28</v>
      </c>
      <c r="H307" s="135">
        <v>13.45</v>
      </c>
      <c r="I307" s="136">
        <f t="shared" si="4"/>
        <v>17.216000000000001</v>
      </c>
      <c r="J307" s="137">
        <v>1</v>
      </c>
    </row>
    <row r="308" spans="2:10" ht="14.4" x14ac:dyDescent="0.3">
      <c r="B308" s="132" t="s">
        <v>722</v>
      </c>
      <c r="C308" s="132" t="s">
        <v>402</v>
      </c>
      <c r="D308" s="132" t="s">
        <v>673</v>
      </c>
      <c r="E308" s="132" t="s">
        <v>320</v>
      </c>
      <c r="F308" s="133" t="s">
        <v>724</v>
      </c>
      <c r="G308" s="134">
        <v>1.1200000000000001</v>
      </c>
      <c r="H308" s="135">
        <v>13.45</v>
      </c>
      <c r="I308" s="136">
        <f t="shared" si="4"/>
        <v>15.064</v>
      </c>
      <c r="J308" s="137">
        <v>1</v>
      </c>
    </row>
    <row r="309" spans="2:10" ht="14.4" x14ac:dyDescent="0.3">
      <c r="B309" s="132" t="s">
        <v>725</v>
      </c>
      <c r="C309" s="132" t="s">
        <v>402</v>
      </c>
      <c r="D309" s="132" t="s">
        <v>673</v>
      </c>
      <c r="E309" s="132" t="s">
        <v>320</v>
      </c>
      <c r="F309" s="133" t="s">
        <v>726</v>
      </c>
      <c r="G309" s="134">
        <v>3.24</v>
      </c>
      <c r="H309" s="135">
        <v>13.45</v>
      </c>
      <c r="I309" s="136">
        <f t="shared" si="4"/>
        <v>43.578000000000003</v>
      </c>
      <c r="J309" s="137">
        <v>1</v>
      </c>
    </row>
    <row r="310" spans="2:10" ht="14.4" x14ac:dyDescent="0.3">
      <c r="B310" s="132" t="s">
        <v>725</v>
      </c>
      <c r="C310" s="132" t="s">
        <v>402</v>
      </c>
      <c r="D310" s="132" t="s">
        <v>673</v>
      </c>
      <c r="E310" s="132" t="s">
        <v>320</v>
      </c>
      <c r="F310" s="133" t="s">
        <v>727</v>
      </c>
      <c r="G310" s="134">
        <v>3.23</v>
      </c>
      <c r="H310" s="135">
        <v>13.45</v>
      </c>
      <c r="I310" s="136">
        <f t="shared" si="4"/>
        <v>43.4435</v>
      </c>
      <c r="J310" s="137">
        <v>1</v>
      </c>
    </row>
    <row r="311" spans="2:10" ht="14.4" x14ac:dyDescent="0.3">
      <c r="B311" s="132" t="s">
        <v>728</v>
      </c>
      <c r="C311" s="132" t="s">
        <v>402</v>
      </c>
      <c r="D311" s="132" t="s">
        <v>673</v>
      </c>
      <c r="E311" s="132" t="s">
        <v>320</v>
      </c>
      <c r="F311" s="133" t="s">
        <v>729</v>
      </c>
      <c r="G311" s="134">
        <v>2.94</v>
      </c>
      <c r="H311" s="135">
        <v>13.45</v>
      </c>
      <c r="I311" s="136">
        <f t="shared" si="4"/>
        <v>39.542999999999999</v>
      </c>
      <c r="J311" s="137">
        <v>1</v>
      </c>
    </row>
    <row r="312" spans="2:10" ht="14.4" x14ac:dyDescent="0.3">
      <c r="B312" s="132" t="s">
        <v>730</v>
      </c>
      <c r="C312" s="132" t="s">
        <v>402</v>
      </c>
      <c r="D312" s="132" t="s">
        <v>673</v>
      </c>
      <c r="E312" s="132" t="s">
        <v>320</v>
      </c>
      <c r="F312" s="133" t="s">
        <v>731</v>
      </c>
      <c r="G312" s="134">
        <v>2.57</v>
      </c>
      <c r="H312" s="135">
        <v>13.45</v>
      </c>
      <c r="I312" s="136">
        <f t="shared" si="4"/>
        <v>34.566499999999998</v>
      </c>
      <c r="J312" s="137">
        <v>1</v>
      </c>
    </row>
    <row r="313" spans="2:10" ht="14.4" x14ac:dyDescent="0.3">
      <c r="B313" s="132" t="s">
        <v>730</v>
      </c>
      <c r="C313" s="132" t="s">
        <v>402</v>
      </c>
      <c r="D313" s="132" t="s">
        <v>673</v>
      </c>
      <c r="E313" s="132" t="s">
        <v>320</v>
      </c>
      <c r="F313" s="133" t="s">
        <v>732</v>
      </c>
      <c r="G313" s="134">
        <v>2.58</v>
      </c>
      <c r="H313" s="135">
        <v>13.45</v>
      </c>
      <c r="I313" s="136">
        <f t="shared" si="4"/>
        <v>34.701000000000001</v>
      </c>
      <c r="J313" s="137">
        <v>1</v>
      </c>
    </row>
    <row r="314" spans="2:10" ht="14.4" x14ac:dyDescent="0.3">
      <c r="B314" s="132" t="s">
        <v>730</v>
      </c>
      <c r="C314" s="132" t="s">
        <v>402</v>
      </c>
      <c r="D314" s="132" t="s">
        <v>673</v>
      </c>
      <c r="E314" s="132" t="s">
        <v>320</v>
      </c>
      <c r="F314" s="133" t="s">
        <v>733</v>
      </c>
      <c r="G314" s="134">
        <v>2.25</v>
      </c>
      <c r="H314" s="135">
        <v>13.45</v>
      </c>
      <c r="I314" s="136">
        <f t="shared" si="4"/>
        <v>30.262499999999999</v>
      </c>
      <c r="J314" s="137">
        <v>1</v>
      </c>
    </row>
    <row r="315" spans="2:10" ht="14.4" x14ac:dyDescent="0.3">
      <c r="B315" s="132" t="s">
        <v>730</v>
      </c>
      <c r="C315" s="132" t="s">
        <v>402</v>
      </c>
      <c r="D315" s="132" t="s">
        <v>673</v>
      </c>
      <c r="E315" s="132" t="s">
        <v>320</v>
      </c>
      <c r="F315" s="133" t="s">
        <v>734</v>
      </c>
      <c r="G315" s="134">
        <v>2.58</v>
      </c>
      <c r="H315" s="135">
        <v>13.45</v>
      </c>
      <c r="I315" s="136">
        <f t="shared" si="4"/>
        <v>34.701000000000001</v>
      </c>
      <c r="J315" s="137">
        <v>1</v>
      </c>
    </row>
    <row r="316" spans="2:10" ht="14.4" x14ac:dyDescent="0.3">
      <c r="B316" s="132" t="s">
        <v>735</v>
      </c>
      <c r="C316" s="132" t="s">
        <v>402</v>
      </c>
      <c r="D316" s="132" t="s">
        <v>673</v>
      </c>
      <c r="E316" s="132" t="s">
        <v>320</v>
      </c>
      <c r="F316" s="133" t="s">
        <v>736</v>
      </c>
      <c r="G316" s="134">
        <v>1.91</v>
      </c>
      <c r="H316" s="135">
        <v>13.45</v>
      </c>
      <c r="I316" s="136">
        <f t="shared" si="4"/>
        <v>25.689499999999999</v>
      </c>
      <c r="J316" s="137">
        <v>1</v>
      </c>
    </row>
    <row r="317" spans="2:10" ht="14.4" x14ac:dyDescent="0.3">
      <c r="B317" s="132" t="s">
        <v>735</v>
      </c>
      <c r="C317" s="132" t="s">
        <v>402</v>
      </c>
      <c r="D317" s="132" t="s">
        <v>673</v>
      </c>
      <c r="E317" s="132" t="s">
        <v>320</v>
      </c>
      <c r="F317" s="133" t="s">
        <v>737</v>
      </c>
      <c r="G317" s="134">
        <v>1.94</v>
      </c>
      <c r="H317" s="135">
        <v>13.45</v>
      </c>
      <c r="I317" s="136">
        <f t="shared" si="4"/>
        <v>26.092999999999996</v>
      </c>
      <c r="J317" s="137">
        <v>1</v>
      </c>
    </row>
    <row r="318" spans="2:10" ht="14.4" x14ac:dyDescent="0.3">
      <c r="B318" s="132" t="s">
        <v>738</v>
      </c>
      <c r="C318" s="132" t="s">
        <v>402</v>
      </c>
      <c r="D318" s="132" t="s">
        <v>673</v>
      </c>
      <c r="E318" s="132" t="s">
        <v>320</v>
      </c>
      <c r="F318" s="133" t="s">
        <v>739</v>
      </c>
      <c r="G318" s="134">
        <v>2.57</v>
      </c>
      <c r="H318" s="135">
        <v>13.45</v>
      </c>
      <c r="I318" s="136">
        <f t="shared" si="4"/>
        <v>34.566499999999998</v>
      </c>
      <c r="J318" s="137">
        <v>1</v>
      </c>
    </row>
    <row r="319" spans="2:10" ht="14.4" x14ac:dyDescent="0.3">
      <c r="B319" s="132" t="s">
        <v>740</v>
      </c>
      <c r="C319" s="132" t="s">
        <v>402</v>
      </c>
      <c r="D319" s="132" t="s">
        <v>673</v>
      </c>
      <c r="E319" s="132" t="s">
        <v>320</v>
      </c>
      <c r="F319" s="133" t="s">
        <v>741</v>
      </c>
      <c r="G319" s="134">
        <v>6.41</v>
      </c>
      <c r="H319" s="135">
        <v>13.45</v>
      </c>
      <c r="I319" s="136">
        <f t="shared" si="4"/>
        <v>86.214500000000001</v>
      </c>
      <c r="J319" s="137">
        <v>1</v>
      </c>
    </row>
    <row r="320" spans="2:10" ht="14.4" x14ac:dyDescent="0.3">
      <c r="B320" s="132" t="s">
        <v>740</v>
      </c>
      <c r="C320" s="132" t="s">
        <v>402</v>
      </c>
      <c r="D320" s="132" t="s">
        <v>673</v>
      </c>
      <c r="E320" s="132" t="s">
        <v>320</v>
      </c>
      <c r="F320" s="133" t="s">
        <v>742</v>
      </c>
      <c r="G320" s="134">
        <v>9.82</v>
      </c>
      <c r="H320" s="135">
        <v>13.45</v>
      </c>
      <c r="I320" s="136">
        <f t="shared" si="4"/>
        <v>132.07900000000001</v>
      </c>
      <c r="J320" s="137">
        <v>1</v>
      </c>
    </row>
    <row r="321" spans="2:10" ht="14.4" x14ac:dyDescent="0.3">
      <c r="B321" s="132" t="s">
        <v>743</v>
      </c>
      <c r="C321" s="132" t="s">
        <v>402</v>
      </c>
      <c r="D321" s="132" t="s">
        <v>673</v>
      </c>
      <c r="E321" s="132" t="s">
        <v>320</v>
      </c>
      <c r="F321" s="133" t="s">
        <v>744</v>
      </c>
      <c r="G321" s="134">
        <v>3.55</v>
      </c>
      <c r="H321" s="135">
        <v>13.45</v>
      </c>
      <c r="I321" s="136">
        <f t="shared" si="4"/>
        <v>47.747499999999995</v>
      </c>
      <c r="J321" s="137">
        <v>1</v>
      </c>
    </row>
    <row r="322" spans="2:10" ht="14.4" x14ac:dyDescent="0.3">
      <c r="B322" s="132" t="s">
        <v>743</v>
      </c>
      <c r="C322" s="132" t="s">
        <v>402</v>
      </c>
      <c r="D322" s="132" t="s">
        <v>673</v>
      </c>
      <c r="E322" s="132" t="s">
        <v>320</v>
      </c>
      <c r="F322" s="133" t="s">
        <v>745</v>
      </c>
      <c r="G322" s="134">
        <v>3.55</v>
      </c>
      <c r="H322" s="135">
        <v>13.45</v>
      </c>
      <c r="I322" s="136">
        <f t="shared" si="4"/>
        <v>47.747499999999995</v>
      </c>
      <c r="J322" s="137">
        <v>1</v>
      </c>
    </row>
    <row r="323" spans="2:10" ht="14.4" x14ac:dyDescent="0.3">
      <c r="B323" s="132" t="s">
        <v>746</v>
      </c>
      <c r="C323" s="132" t="s">
        <v>402</v>
      </c>
      <c r="D323" s="132" t="s">
        <v>673</v>
      </c>
      <c r="E323" s="132" t="s">
        <v>320</v>
      </c>
      <c r="F323" s="133" t="s">
        <v>747</v>
      </c>
      <c r="G323" s="134">
        <v>8.6</v>
      </c>
      <c r="H323" s="135">
        <v>13.45</v>
      </c>
      <c r="I323" s="136">
        <f t="shared" si="4"/>
        <v>115.66999999999999</v>
      </c>
      <c r="J323" s="137">
        <v>1</v>
      </c>
    </row>
    <row r="324" spans="2:10" ht="14.4" x14ac:dyDescent="0.3">
      <c r="B324" s="132" t="s">
        <v>748</v>
      </c>
      <c r="C324" s="132" t="s">
        <v>402</v>
      </c>
      <c r="D324" s="132" t="s">
        <v>673</v>
      </c>
      <c r="E324" s="132" t="s">
        <v>320</v>
      </c>
      <c r="F324" s="133" t="s">
        <v>749</v>
      </c>
      <c r="G324" s="134">
        <v>2.93</v>
      </c>
      <c r="H324" s="135">
        <v>13.45</v>
      </c>
      <c r="I324" s="136">
        <f t="shared" si="4"/>
        <v>39.408499999999997</v>
      </c>
      <c r="J324" s="137">
        <v>1</v>
      </c>
    </row>
    <row r="325" spans="2:10" ht="14.4" x14ac:dyDescent="0.3">
      <c r="B325" s="132" t="s">
        <v>748</v>
      </c>
      <c r="C325" s="132" t="s">
        <v>402</v>
      </c>
      <c r="D325" s="132" t="s">
        <v>673</v>
      </c>
      <c r="E325" s="132" t="s">
        <v>320</v>
      </c>
      <c r="F325" s="133" t="s">
        <v>750</v>
      </c>
      <c r="G325" s="134">
        <v>2.92</v>
      </c>
      <c r="H325" s="135">
        <v>13.45</v>
      </c>
      <c r="I325" s="136">
        <f t="shared" si="4"/>
        <v>39.273999999999994</v>
      </c>
      <c r="J325" s="137">
        <v>1</v>
      </c>
    </row>
    <row r="326" spans="2:10" ht="14.4" x14ac:dyDescent="0.3">
      <c r="B326" s="132" t="s">
        <v>748</v>
      </c>
      <c r="C326" s="132" t="s">
        <v>402</v>
      </c>
      <c r="D326" s="132" t="s">
        <v>673</v>
      </c>
      <c r="E326" s="132" t="s">
        <v>320</v>
      </c>
      <c r="F326" s="133" t="s">
        <v>751</v>
      </c>
      <c r="G326" s="134">
        <v>2.93</v>
      </c>
      <c r="H326" s="135">
        <v>13.45</v>
      </c>
      <c r="I326" s="136">
        <f t="shared" si="4"/>
        <v>39.408499999999997</v>
      </c>
      <c r="J326" s="137">
        <v>1</v>
      </c>
    </row>
    <row r="327" spans="2:10" ht="14.4" x14ac:dyDescent="0.3">
      <c r="B327" s="132" t="s">
        <v>748</v>
      </c>
      <c r="C327" s="132" t="s">
        <v>402</v>
      </c>
      <c r="D327" s="132" t="s">
        <v>673</v>
      </c>
      <c r="E327" s="132" t="s">
        <v>320</v>
      </c>
      <c r="F327" s="133" t="s">
        <v>752</v>
      </c>
      <c r="G327" s="134">
        <v>2.93</v>
      </c>
      <c r="H327" s="135">
        <v>13.45</v>
      </c>
      <c r="I327" s="136">
        <f t="shared" si="4"/>
        <v>39.408499999999997</v>
      </c>
      <c r="J327" s="137">
        <v>1</v>
      </c>
    </row>
    <row r="328" spans="2:10" ht="14.4" x14ac:dyDescent="0.3">
      <c r="B328" s="132" t="s">
        <v>753</v>
      </c>
      <c r="C328" s="132" t="s">
        <v>402</v>
      </c>
      <c r="D328" s="132" t="s">
        <v>673</v>
      </c>
      <c r="E328" s="132" t="s">
        <v>320</v>
      </c>
      <c r="F328" s="133" t="s">
        <v>754</v>
      </c>
      <c r="G328" s="134">
        <v>1.6</v>
      </c>
      <c r="H328" s="135">
        <v>13.45</v>
      </c>
      <c r="I328" s="136">
        <f t="shared" ref="I328:I391" si="5">G328*H328</f>
        <v>21.52</v>
      </c>
      <c r="J328" s="137">
        <v>1</v>
      </c>
    </row>
    <row r="329" spans="2:10" ht="14.4" x14ac:dyDescent="0.3">
      <c r="B329" s="132" t="s">
        <v>753</v>
      </c>
      <c r="C329" s="132" t="s">
        <v>402</v>
      </c>
      <c r="D329" s="132" t="s">
        <v>673</v>
      </c>
      <c r="E329" s="132" t="s">
        <v>320</v>
      </c>
      <c r="F329" s="133" t="s">
        <v>755</v>
      </c>
      <c r="G329" s="134">
        <v>2.08</v>
      </c>
      <c r="H329" s="135">
        <v>13.45</v>
      </c>
      <c r="I329" s="136">
        <f t="shared" si="5"/>
        <v>27.975999999999999</v>
      </c>
      <c r="J329" s="137">
        <v>1</v>
      </c>
    </row>
    <row r="330" spans="2:10" ht="14.4" x14ac:dyDescent="0.3">
      <c r="B330" s="132" t="s">
        <v>753</v>
      </c>
      <c r="C330" s="132" t="s">
        <v>402</v>
      </c>
      <c r="D330" s="132" t="s">
        <v>673</v>
      </c>
      <c r="E330" s="132" t="s">
        <v>320</v>
      </c>
      <c r="F330" s="133" t="s">
        <v>756</v>
      </c>
      <c r="G330" s="134">
        <v>2.2400000000000002</v>
      </c>
      <c r="H330" s="135">
        <v>13.45</v>
      </c>
      <c r="I330" s="136">
        <f t="shared" si="5"/>
        <v>30.128</v>
      </c>
      <c r="J330" s="137">
        <v>1</v>
      </c>
    </row>
    <row r="331" spans="2:10" ht="14.4" x14ac:dyDescent="0.3">
      <c r="B331" s="132" t="s">
        <v>753</v>
      </c>
      <c r="C331" s="132" t="s">
        <v>402</v>
      </c>
      <c r="D331" s="132" t="s">
        <v>673</v>
      </c>
      <c r="E331" s="132" t="s">
        <v>320</v>
      </c>
      <c r="F331" s="133" t="s">
        <v>757</v>
      </c>
      <c r="G331" s="134">
        <v>1.92</v>
      </c>
      <c r="H331" s="135">
        <v>13.45</v>
      </c>
      <c r="I331" s="136">
        <f t="shared" si="5"/>
        <v>25.823999999999998</v>
      </c>
      <c r="J331" s="137">
        <v>1</v>
      </c>
    </row>
    <row r="332" spans="2:10" ht="14.4" x14ac:dyDescent="0.3">
      <c r="B332" s="132" t="s">
        <v>758</v>
      </c>
      <c r="C332" s="132" t="s">
        <v>402</v>
      </c>
      <c r="D332" s="132" t="s">
        <v>673</v>
      </c>
      <c r="E332" s="132" t="s">
        <v>320</v>
      </c>
      <c r="F332" s="133" t="s">
        <v>759</v>
      </c>
      <c r="G332" s="134">
        <v>2.96</v>
      </c>
      <c r="H332" s="135">
        <v>13.45</v>
      </c>
      <c r="I332" s="136">
        <f t="shared" si="5"/>
        <v>39.811999999999998</v>
      </c>
      <c r="J332" s="137">
        <v>1</v>
      </c>
    </row>
    <row r="333" spans="2:10" ht="14.4" x14ac:dyDescent="0.3">
      <c r="B333" s="132" t="s">
        <v>758</v>
      </c>
      <c r="C333" s="132" t="s">
        <v>402</v>
      </c>
      <c r="D333" s="132" t="s">
        <v>673</v>
      </c>
      <c r="E333" s="132" t="s">
        <v>320</v>
      </c>
      <c r="F333" s="133" t="s">
        <v>760</v>
      </c>
      <c r="G333" s="134">
        <v>1.95</v>
      </c>
      <c r="H333" s="135">
        <v>13.45</v>
      </c>
      <c r="I333" s="136">
        <f t="shared" si="5"/>
        <v>26.227499999999999</v>
      </c>
      <c r="J333" s="137">
        <v>1</v>
      </c>
    </row>
    <row r="334" spans="2:10" ht="14.4" x14ac:dyDescent="0.3">
      <c r="B334" s="132" t="s">
        <v>761</v>
      </c>
      <c r="C334" s="132" t="s">
        <v>402</v>
      </c>
      <c r="D334" s="132" t="s">
        <v>673</v>
      </c>
      <c r="E334" s="132" t="s">
        <v>320</v>
      </c>
      <c r="F334" s="133" t="s">
        <v>762</v>
      </c>
      <c r="G334" s="134">
        <v>1.46</v>
      </c>
      <c r="H334" s="135">
        <v>13.45</v>
      </c>
      <c r="I334" s="136">
        <f t="shared" si="5"/>
        <v>19.636999999999997</v>
      </c>
      <c r="J334" s="137">
        <v>1</v>
      </c>
    </row>
    <row r="335" spans="2:10" ht="14.4" x14ac:dyDescent="0.3">
      <c r="B335" s="132" t="s">
        <v>763</v>
      </c>
      <c r="C335" s="132" t="s">
        <v>402</v>
      </c>
      <c r="D335" s="132" t="s">
        <v>673</v>
      </c>
      <c r="E335" s="132" t="s">
        <v>320</v>
      </c>
      <c r="F335" s="133" t="s">
        <v>764</v>
      </c>
      <c r="G335" s="134">
        <v>2.2599999999999998</v>
      </c>
      <c r="H335" s="135">
        <v>13.45</v>
      </c>
      <c r="I335" s="136">
        <f t="shared" si="5"/>
        <v>30.396999999999995</v>
      </c>
      <c r="J335" s="137">
        <v>1</v>
      </c>
    </row>
    <row r="336" spans="2:10" ht="14.4" x14ac:dyDescent="0.3">
      <c r="B336" s="132" t="s">
        <v>763</v>
      </c>
      <c r="C336" s="132" t="s">
        <v>402</v>
      </c>
      <c r="D336" s="132" t="s">
        <v>673</v>
      </c>
      <c r="E336" s="132" t="s">
        <v>320</v>
      </c>
      <c r="F336" s="133" t="s">
        <v>765</v>
      </c>
      <c r="G336" s="134">
        <v>2.25</v>
      </c>
      <c r="H336" s="135">
        <v>13.45</v>
      </c>
      <c r="I336" s="136">
        <f t="shared" si="5"/>
        <v>30.262499999999999</v>
      </c>
      <c r="J336" s="137">
        <v>1</v>
      </c>
    </row>
    <row r="337" spans="2:10" ht="14.4" x14ac:dyDescent="0.3">
      <c r="B337" s="132" t="s">
        <v>766</v>
      </c>
      <c r="C337" s="132" t="s">
        <v>402</v>
      </c>
      <c r="D337" s="132" t="s">
        <v>673</v>
      </c>
      <c r="E337" s="132" t="s">
        <v>320</v>
      </c>
      <c r="F337" s="133" t="s">
        <v>767</v>
      </c>
      <c r="G337" s="134">
        <v>2.58</v>
      </c>
      <c r="H337" s="135">
        <v>13.45</v>
      </c>
      <c r="I337" s="136">
        <f t="shared" si="5"/>
        <v>34.701000000000001</v>
      </c>
      <c r="J337" s="137">
        <v>1</v>
      </c>
    </row>
    <row r="338" spans="2:10" ht="14.4" x14ac:dyDescent="0.3">
      <c r="B338" s="132" t="s">
        <v>766</v>
      </c>
      <c r="C338" s="132" t="s">
        <v>402</v>
      </c>
      <c r="D338" s="132" t="s">
        <v>673</v>
      </c>
      <c r="E338" s="132" t="s">
        <v>320</v>
      </c>
      <c r="F338" s="133" t="s">
        <v>768</v>
      </c>
      <c r="G338" s="134">
        <v>2.2599999999999998</v>
      </c>
      <c r="H338" s="135">
        <v>13.45</v>
      </c>
      <c r="I338" s="136">
        <f t="shared" si="5"/>
        <v>30.396999999999995</v>
      </c>
      <c r="J338" s="137">
        <v>1</v>
      </c>
    </row>
    <row r="339" spans="2:10" ht="14.4" x14ac:dyDescent="0.3">
      <c r="B339" s="132" t="s">
        <v>766</v>
      </c>
      <c r="C339" s="132" t="s">
        <v>402</v>
      </c>
      <c r="D339" s="132" t="s">
        <v>673</v>
      </c>
      <c r="E339" s="132" t="s">
        <v>320</v>
      </c>
      <c r="F339" s="133" t="s">
        <v>769</v>
      </c>
      <c r="G339" s="134">
        <v>4.22</v>
      </c>
      <c r="H339" s="135">
        <v>13.45</v>
      </c>
      <c r="I339" s="136">
        <f t="shared" si="5"/>
        <v>56.758999999999993</v>
      </c>
      <c r="J339" s="137">
        <v>1</v>
      </c>
    </row>
    <row r="340" spans="2:10" ht="14.4" x14ac:dyDescent="0.3">
      <c r="B340" s="132" t="s">
        <v>766</v>
      </c>
      <c r="C340" s="132" t="s">
        <v>402</v>
      </c>
      <c r="D340" s="132" t="s">
        <v>673</v>
      </c>
      <c r="E340" s="132" t="s">
        <v>320</v>
      </c>
      <c r="F340" s="133" t="s">
        <v>770</v>
      </c>
      <c r="G340" s="134">
        <v>1.95</v>
      </c>
      <c r="H340" s="135">
        <v>13.45</v>
      </c>
      <c r="I340" s="136">
        <f t="shared" si="5"/>
        <v>26.227499999999999</v>
      </c>
      <c r="J340" s="137">
        <v>1</v>
      </c>
    </row>
    <row r="341" spans="2:10" ht="14.4" x14ac:dyDescent="0.3">
      <c r="B341" s="132" t="s">
        <v>771</v>
      </c>
      <c r="C341" s="132" t="s">
        <v>402</v>
      </c>
      <c r="D341" s="132" t="s">
        <v>673</v>
      </c>
      <c r="E341" s="132" t="s">
        <v>320</v>
      </c>
      <c r="F341" s="133" t="s">
        <v>772</v>
      </c>
      <c r="G341" s="134">
        <v>7.97</v>
      </c>
      <c r="H341" s="135">
        <v>13.45</v>
      </c>
      <c r="I341" s="136">
        <f t="shared" si="5"/>
        <v>107.19649999999999</v>
      </c>
      <c r="J341" s="137">
        <v>1</v>
      </c>
    </row>
    <row r="342" spans="2:10" ht="14.4" x14ac:dyDescent="0.3">
      <c r="B342" s="132" t="s">
        <v>771</v>
      </c>
      <c r="C342" s="132" t="s">
        <v>402</v>
      </c>
      <c r="D342" s="132" t="s">
        <v>673</v>
      </c>
      <c r="E342" s="132" t="s">
        <v>320</v>
      </c>
      <c r="F342" s="133" t="s">
        <v>773</v>
      </c>
      <c r="G342" s="134">
        <v>8.11</v>
      </c>
      <c r="H342" s="135">
        <v>13.45</v>
      </c>
      <c r="I342" s="136">
        <f t="shared" si="5"/>
        <v>109.07949999999998</v>
      </c>
      <c r="J342" s="137">
        <v>1</v>
      </c>
    </row>
    <row r="343" spans="2:10" ht="14.4" x14ac:dyDescent="0.3">
      <c r="B343" s="132" t="s">
        <v>771</v>
      </c>
      <c r="C343" s="132" t="s">
        <v>402</v>
      </c>
      <c r="D343" s="132" t="s">
        <v>673</v>
      </c>
      <c r="E343" s="132" t="s">
        <v>320</v>
      </c>
      <c r="F343" s="133" t="s">
        <v>774</v>
      </c>
      <c r="G343" s="134">
        <v>7.97</v>
      </c>
      <c r="H343" s="135">
        <v>13.45</v>
      </c>
      <c r="I343" s="136">
        <f t="shared" si="5"/>
        <v>107.19649999999999</v>
      </c>
      <c r="J343" s="137">
        <v>1</v>
      </c>
    </row>
    <row r="344" spans="2:10" ht="14.4" x14ac:dyDescent="0.3">
      <c r="B344" s="132" t="s">
        <v>771</v>
      </c>
      <c r="C344" s="132" t="s">
        <v>402</v>
      </c>
      <c r="D344" s="132" t="s">
        <v>673</v>
      </c>
      <c r="E344" s="132" t="s">
        <v>320</v>
      </c>
      <c r="F344" s="133" t="s">
        <v>775</v>
      </c>
      <c r="G344" s="134">
        <v>1.44</v>
      </c>
      <c r="H344" s="135">
        <v>13.45</v>
      </c>
      <c r="I344" s="136">
        <f t="shared" si="5"/>
        <v>19.367999999999999</v>
      </c>
      <c r="J344" s="137">
        <v>1</v>
      </c>
    </row>
    <row r="345" spans="2:10" ht="14.4" x14ac:dyDescent="0.3">
      <c r="B345" s="132" t="s">
        <v>771</v>
      </c>
      <c r="C345" s="132" t="s">
        <v>402</v>
      </c>
      <c r="D345" s="132" t="s">
        <v>673</v>
      </c>
      <c r="E345" s="132" t="s">
        <v>320</v>
      </c>
      <c r="F345" s="133" t="s">
        <v>776</v>
      </c>
      <c r="G345" s="134">
        <v>1.44</v>
      </c>
      <c r="H345" s="135">
        <v>13.45</v>
      </c>
      <c r="I345" s="136">
        <f t="shared" si="5"/>
        <v>19.367999999999999</v>
      </c>
      <c r="J345" s="137">
        <v>1</v>
      </c>
    </row>
    <row r="346" spans="2:10" ht="14.4" x14ac:dyDescent="0.3">
      <c r="B346" s="132" t="s">
        <v>771</v>
      </c>
      <c r="C346" s="132" t="s">
        <v>402</v>
      </c>
      <c r="D346" s="132" t="s">
        <v>673</v>
      </c>
      <c r="E346" s="132" t="s">
        <v>320</v>
      </c>
      <c r="F346" s="133" t="s">
        <v>777</v>
      </c>
      <c r="G346" s="134">
        <v>3.05</v>
      </c>
      <c r="H346" s="135">
        <v>13.45</v>
      </c>
      <c r="I346" s="136">
        <f t="shared" si="5"/>
        <v>41.022499999999994</v>
      </c>
      <c r="J346" s="137">
        <v>1</v>
      </c>
    </row>
    <row r="347" spans="2:10" ht="14.4" x14ac:dyDescent="0.3">
      <c r="B347" s="132" t="s">
        <v>778</v>
      </c>
      <c r="C347" s="132" t="s">
        <v>402</v>
      </c>
      <c r="D347" s="132" t="s">
        <v>673</v>
      </c>
      <c r="E347" s="132" t="s">
        <v>320</v>
      </c>
      <c r="F347" s="133" t="s">
        <v>779</v>
      </c>
      <c r="G347" s="134">
        <v>6.39</v>
      </c>
      <c r="H347" s="135">
        <v>13.45</v>
      </c>
      <c r="I347" s="136">
        <f t="shared" si="5"/>
        <v>85.945499999999996</v>
      </c>
      <c r="J347" s="137">
        <v>1</v>
      </c>
    </row>
    <row r="348" spans="2:10" ht="14.4" x14ac:dyDescent="0.3">
      <c r="B348" s="132" t="s">
        <v>780</v>
      </c>
      <c r="C348" s="132" t="s">
        <v>402</v>
      </c>
      <c r="D348" s="132" t="s">
        <v>673</v>
      </c>
      <c r="E348" s="132" t="s">
        <v>320</v>
      </c>
      <c r="F348" s="133" t="s">
        <v>781</v>
      </c>
      <c r="G348" s="134">
        <v>2.2799999999999998</v>
      </c>
      <c r="H348" s="135">
        <v>13.45</v>
      </c>
      <c r="I348" s="136">
        <f t="shared" si="5"/>
        <v>30.665999999999997</v>
      </c>
      <c r="J348" s="137">
        <v>1</v>
      </c>
    </row>
    <row r="349" spans="2:10" ht="14.4" x14ac:dyDescent="0.3">
      <c r="B349" s="132" t="s">
        <v>780</v>
      </c>
      <c r="C349" s="132" t="s">
        <v>402</v>
      </c>
      <c r="D349" s="132" t="s">
        <v>673</v>
      </c>
      <c r="E349" s="132" t="s">
        <v>320</v>
      </c>
      <c r="F349" s="133" t="s">
        <v>782</v>
      </c>
      <c r="G349" s="134">
        <v>1.99</v>
      </c>
      <c r="H349" s="135">
        <v>13.45</v>
      </c>
      <c r="I349" s="136">
        <f t="shared" si="5"/>
        <v>26.765499999999999</v>
      </c>
      <c r="J349" s="137">
        <v>1</v>
      </c>
    </row>
    <row r="350" spans="2:10" ht="14.4" x14ac:dyDescent="0.3">
      <c r="B350" s="132" t="s">
        <v>780</v>
      </c>
      <c r="C350" s="132" t="s">
        <v>402</v>
      </c>
      <c r="D350" s="132" t="s">
        <v>673</v>
      </c>
      <c r="E350" s="132" t="s">
        <v>320</v>
      </c>
      <c r="F350" s="133" t="s">
        <v>783</v>
      </c>
      <c r="G350" s="134">
        <v>2.4700000000000002</v>
      </c>
      <c r="H350" s="135">
        <v>13.45</v>
      </c>
      <c r="I350" s="136">
        <f t="shared" si="5"/>
        <v>33.221499999999999</v>
      </c>
      <c r="J350" s="137">
        <v>1</v>
      </c>
    </row>
    <row r="351" spans="2:10" ht="14.4" x14ac:dyDescent="0.3">
      <c r="B351" s="132" t="s">
        <v>780</v>
      </c>
      <c r="C351" s="132" t="s">
        <v>402</v>
      </c>
      <c r="D351" s="132" t="s">
        <v>673</v>
      </c>
      <c r="E351" s="132" t="s">
        <v>320</v>
      </c>
      <c r="F351" s="133" t="s">
        <v>784</v>
      </c>
      <c r="G351" s="134">
        <v>2.64</v>
      </c>
      <c r="H351" s="135">
        <v>13.45</v>
      </c>
      <c r="I351" s="136">
        <f t="shared" si="5"/>
        <v>35.508000000000003</v>
      </c>
      <c r="J351" s="137">
        <v>1</v>
      </c>
    </row>
    <row r="352" spans="2:10" ht="14.4" x14ac:dyDescent="0.3">
      <c r="B352" s="132" t="s">
        <v>780</v>
      </c>
      <c r="C352" s="132" t="s">
        <v>402</v>
      </c>
      <c r="D352" s="132" t="s">
        <v>673</v>
      </c>
      <c r="E352" s="132" t="s">
        <v>320</v>
      </c>
      <c r="F352" s="133" t="s">
        <v>785</v>
      </c>
      <c r="G352" s="134">
        <v>1.79</v>
      </c>
      <c r="H352" s="135">
        <v>13.45</v>
      </c>
      <c r="I352" s="136">
        <f t="shared" si="5"/>
        <v>24.075499999999998</v>
      </c>
      <c r="J352" s="137">
        <v>1</v>
      </c>
    </row>
    <row r="353" spans="2:10" ht="14.4" x14ac:dyDescent="0.3">
      <c r="B353" s="132" t="s">
        <v>786</v>
      </c>
      <c r="C353" s="132" t="s">
        <v>402</v>
      </c>
      <c r="D353" s="132" t="s">
        <v>673</v>
      </c>
      <c r="E353" s="132" t="s">
        <v>320</v>
      </c>
      <c r="F353" s="133" t="s">
        <v>787</v>
      </c>
      <c r="G353" s="134">
        <v>6.28</v>
      </c>
      <c r="H353" s="135">
        <v>13.45</v>
      </c>
      <c r="I353" s="136">
        <f t="shared" si="5"/>
        <v>84.465999999999994</v>
      </c>
      <c r="J353" s="137">
        <v>1</v>
      </c>
    </row>
    <row r="354" spans="2:10" ht="14.4" x14ac:dyDescent="0.3">
      <c r="B354" s="132" t="s">
        <v>786</v>
      </c>
      <c r="C354" s="132" t="s">
        <v>402</v>
      </c>
      <c r="D354" s="132" t="s">
        <v>673</v>
      </c>
      <c r="E354" s="132" t="s">
        <v>320</v>
      </c>
      <c r="F354" s="133" t="s">
        <v>788</v>
      </c>
      <c r="G354" s="134">
        <v>3.89</v>
      </c>
      <c r="H354" s="135">
        <v>13.45</v>
      </c>
      <c r="I354" s="136">
        <f t="shared" si="5"/>
        <v>52.320499999999996</v>
      </c>
      <c r="J354" s="137">
        <v>1</v>
      </c>
    </row>
    <row r="355" spans="2:10" ht="14.4" x14ac:dyDescent="0.3">
      <c r="B355" s="132" t="s">
        <v>786</v>
      </c>
      <c r="C355" s="132" t="s">
        <v>402</v>
      </c>
      <c r="D355" s="132" t="s">
        <v>673</v>
      </c>
      <c r="E355" s="132" t="s">
        <v>320</v>
      </c>
      <c r="F355" s="133" t="s">
        <v>789</v>
      </c>
      <c r="G355" s="134">
        <v>1.94</v>
      </c>
      <c r="H355" s="135">
        <v>13.45</v>
      </c>
      <c r="I355" s="136">
        <f t="shared" si="5"/>
        <v>26.092999999999996</v>
      </c>
      <c r="J355" s="137">
        <v>1</v>
      </c>
    </row>
    <row r="356" spans="2:10" ht="14.4" x14ac:dyDescent="0.3">
      <c r="B356" s="132" t="s">
        <v>786</v>
      </c>
      <c r="C356" s="132" t="s">
        <v>402</v>
      </c>
      <c r="D356" s="132" t="s">
        <v>673</v>
      </c>
      <c r="E356" s="132" t="s">
        <v>320</v>
      </c>
      <c r="F356" s="133" t="s">
        <v>790</v>
      </c>
      <c r="G356" s="134">
        <v>2.09</v>
      </c>
      <c r="H356" s="135">
        <v>13.45</v>
      </c>
      <c r="I356" s="136">
        <f t="shared" si="5"/>
        <v>28.110499999999998</v>
      </c>
      <c r="J356" s="137">
        <v>1</v>
      </c>
    </row>
    <row r="357" spans="2:10" ht="14.4" x14ac:dyDescent="0.3">
      <c r="B357" s="132" t="s">
        <v>791</v>
      </c>
      <c r="C357" s="132" t="s">
        <v>402</v>
      </c>
      <c r="D357" s="132" t="s">
        <v>673</v>
      </c>
      <c r="E357" s="132" t="s">
        <v>320</v>
      </c>
      <c r="F357" s="133" t="s">
        <v>792</v>
      </c>
      <c r="G357" s="134">
        <v>9.65</v>
      </c>
      <c r="H357" s="135">
        <v>13.45</v>
      </c>
      <c r="I357" s="136">
        <f t="shared" si="5"/>
        <v>129.79249999999999</v>
      </c>
      <c r="J357" s="137">
        <v>1</v>
      </c>
    </row>
    <row r="358" spans="2:10" ht="14.4" x14ac:dyDescent="0.3">
      <c r="B358" s="132" t="s">
        <v>793</v>
      </c>
      <c r="C358" s="132" t="s">
        <v>402</v>
      </c>
      <c r="D358" s="132" t="s">
        <v>673</v>
      </c>
      <c r="E358" s="132" t="s">
        <v>320</v>
      </c>
      <c r="F358" s="133" t="s">
        <v>794</v>
      </c>
      <c r="G358" s="134">
        <v>9.76</v>
      </c>
      <c r="H358" s="135">
        <v>13.45</v>
      </c>
      <c r="I358" s="136">
        <f t="shared" si="5"/>
        <v>131.27199999999999</v>
      </c>
      <c r="J358" s="137">
        <v>1</v>
      </c>
    </row>
    <row r="359" spans="2:10" ht="14.4" x14ac:dyDescent="0.3">
      <c r="B359" s="132" t="s">
        <v>793</v>
      </c>
      <c r="C359" s="132" t="s">
        <v>402</v>
      </c>
      <c r="D359" s="132" t="s">
        <v>673</v>
      </c>
      <c r="E359" s="132" t="s">
        <v>320</v>
      </c>
      <c r="F359" s="133" t="s">
        <v>795</v>
      </c>
      <c r="G359" s="134">
        <v>9.77</v>
      </c>
      <c r="H359" s="135">
        <v>13.45</v>
      </c>
      <c r="I359" s="136">
        <f t="shared" si="5"/>
        <v>131.40649999999999</v>
      </c>
      <c r="J359" s="137">
        <v>1</v>
      </c>
    </row>
    <row r="360" spans="2:10" ht="14.4" x14ac:dyDescent="0.3">
      <c r="B360" s="132" t="s">
        <v>796</v>
      </c>
      <c r="C360" s="132" t="s">
        <v>402</v>
      </c>
      <c r="D360" s="132" t="s">
        <v>673</v>
      </c>
      <c r="E360" s="132" t="s">
        <v>320</v>
      </c>
      <c r="F360" s="133" t="s">
        <v>797</v>
      </c>
      <c r="G360" s="134">
        <v>4.21</v>
      </c>
      <c r="H360" s="135">
        <v>13.45</v>
      </c>
      <c r="I360" s="136">
        <f t="shared" si="5"/>
        <v>56.624499999999998</v>
      </c>
      <c r="J360" s="137">
        <v>1</v>
      </c>
    </row>
    <row r="361" spans="2:10" ht="14.4" x14ac:dyDescent="0.3">
      <c r="B361" s="132" t="s">
        <v>796</v>
      </c>
      <c r="C361" s="132" t="s">
        <v>402</v>
      </c>
      <c r="D361" s="132" t="s">
        <v>673</v>
      </c>
      <c r="E361" s="132" t="s">
        <v>320</v>
      </c>
      <c r="F361" s="133" t="s">
        <v>798</v>
      </c>
      <c r="G361" s="134">
        <v>4.22</v>
      </c>
      <c r="H361" s="135">
        <v>13.45</v>
      </c>
      <c r="I361" s="136">
        <f t="shared" si="5"/>
        <v>56.758999999999993</v>
      </c>
      <c r="J361" s="137">
        <v>1</v>
      </c>
    </row>
    <row r="362" spans="2:10" ht="14.4" x14ac:dyDescent="0.3">
      <c r="B362" s="132" t="s">
        <v>796</v>
      </c>
      <c r="C362" s="132" t="s">
        <v>402</v>
      </c>
      <c r="D362" s="132" t="s">
        <v>673</v>
      </c>
      <c r="E362" s="132" t="s">
        <v>320</v>
      </c>
      <c r="F362" s="133" t="s">
        <v>799</v>
      </c>
      <c r="G362" s="134">
        <v>2.44</v>
      </c>
      <c r="H362" s="135">
        <v>13.45</v>
      </c>
      <c r="I362" s="136">
        <f t="shared" si="5"/>
        <v>32.817999999999998</v>
      </c>
      <c r="J362" s="137">
        <v>1</v>
      </c>
    </row>
    <row r="363" spans="2:10" ht="14.4" x14ac:dyDescent="0.3">
      <c r="B363" s="132" t="s">
        <v>796</v>
      </c>
      <c r="C363" s="132" t="s">
        <v>402</v>
      </c>
      <c r="D363" s="132" t="s">
        <v>673</v>
      </c>
      <c r="E363" s="132" t="s">
        <v>320</v>
      </c>
      <c r="F363" s="133" t="s">
        <v>800</v>
      </c>
      <c r="G363" s="134">
        <v>2.74</v>
      </c>
      <c r="H363" s="135">
        <v>13.45</v>
      </c>
      <c r="I363" s="136">
        <f t="shared" si="5"/>
        <v>36.853000000000002</v>
      </c>
      <c r="J363" s="137">
        <v>1</v>
      </c>
    </row>
    <row r="364" spans="2:10" ht="14.4" x14ac:dyDescent="0.3">
      <c r="B364" s="132" t="s">
        <v>801</v>
      </c>
      <c r="C364" s="132" t="s">
        <v>402</v>
      </c>
      <c r="D364" s="132" t="s">
        <v>673</v>
      </c>
      <c r="E364" s="132" t="s">
        <v>320</v>
      </c>
      <c r="F364" s="133" t="s">
        <v>802</v>
      </c>
      <c r="G364" s="134">
        <v>3.08</v>
      </c>
      <c r="H364" s="135">
        <v>13.45</v>
      </c>
      <c r="I364" s="136">
        <f t="shared" si="5"/>
        <v>41.426000000000002</v>
      </c>
      <c r="J364" s="137">
        <v>1</v>
      </c>
    </row>
    <row r="365" spans="2:10" ht="14.4" x14ac:dyDescent="0.3">
      <c r="B365" s="132" t="s">
        <v>801</v>
      </c>
      <c r="C365" s="132" t="s">
        <v>402</v>
      </c>
      <c r="D365" s="132" t="s">
        <v>673</v>
      </c>
      <c r="E365" s="132" t="s">
        <v>320</v>
      </c>
      <c r="F365" s="133" t="s">
        <v>803</v>
      </c>
      <c r="G365" s="134">
        <v>2.91</v>
      </c>
      <c r="H365" s="135">
        <v>13.45</v>
      </c>
      <c r="I365" s="136">
        <f t="shared" si="5"/>
        <v>39.139499999999998</v>
      </c>
      <c r="J365" s="137">
        <v>1</v>
      </c>
    </row>
    <row r="366" spans="2:10" ht="14.4" x14ac:dyDescent="0.3">
      <c r="B366" s="132" t="s">
        <v>801</v>
      </c>
      <c r="C366" s="132" t="s">
        <v>402</v>
      </c>
      <c r="D366" s="132" t="s">
        <v>673</v>
      </c>
      <c r="E366" s="132" t="s">
        <v>320</v>
      </c>
      <c r="F366" s="133" t="s">
        <v>804</v>
      </c>
      <c r="G366" s="134">
        <v>3.08</v>
      </c>
      <c r="H366" s="135">
        <v>13.45</v>
      </c>
      <c r="I366" s="136">
        <f t="shared" si="5"/>
        <v>41.426000000000002</v>
      </c>
      <c r="J366" s="137">
        <v>1</v>
      </c>
    </row>
    <row r="367" spans="2:10" ht="14.4" x14ac:dyDescent="0.3">
      <c r="B367" s="132" t="s">
        <v>801</v>
      </c>
      <c r="C367" s="132" t="s">
        <v>402</v>
      </c>
      <c r="D367" s="132" t="s">
        <v>673</v>
      </c>
      <c r="E367" s="132" t="s">
        <v>320</v>
      </c>
      <c r="F367" s="133" t="s">
        <v>805</v>
      </c>
      <c r="G367" s="134">
        <v>7.03</v>
      </c>
      <c r="H367" s="135">
        <v>13.45</v>
      </c>
      <c r="I367" s="136">
        <f t="shared" si="5"/>
        <v>94.5535</v>
      </c>
      <c r="J367" s="137">
        <v>1</v>
      </c>
    </row>
    <row r="368" spans="2:10" ht="14.4" x14ac:dyDescent="0.3">
      <c r="B368" s="132" t="s">
        <v>806</v>
      </c>
      <c r="C368" s="132" t="s">
        <v>402</v>
      </c>
      <c r="D368" s="132" t="s">
        <v>673</v>
      </c>
      <c r="E368" s="132" t="s">
        <v>320</v>
      </c>
      <c r="F368" s="133" t="s">
        <v>807</v>
      </c>
      <c r="G368" s="134">
        <v>3.6</v>
      </c>
      <c r="H368" s="135">
        <v>13.45</v>
      </c>
      <c r="I368" s="136">
        <f t="shared" si="5"/>
        <v>48.42</v>
      </c>
      <c r="J368" s="137">
        <v>1</v>
      </c>
    </row>
    <row r="369" spans="2:10" ht="14.4" x14ac:dyDescent="0.3">
      <c r="B369" s="132" t="s">
        <v>806</v>
      </c>
      <c r="C369" s="132" t="s">
        <v>402</v>
      </c>
      <c r="D369" s="132" t="s">
        <v>673</v>
      </c>
      <c r="E369" s="132" t="s">
        <v>320</v>
      </c>
      <c r="F369" s="133" t="s">
        <v>808</v>
      </c>
      <c r="G369" s="134">
        <v>3.62</v>
      </c>
      <c r="H369" s="135">
        <v>13.45</v>
      </c>
      <c r="I369" s="136">
        <f t="shared" si="5"/>
        <v>48.689</v>
      </c>
      <c r="J369" s="137">
        <v>1</v>
      </c>
    </row>
    <row r="370" spans="2:10" ht="14.4" x14ac:dyDescent="0.3">
      <c r="B370" s="132" t="s">
        <v>809</v>
      </c>
      <c r="C370" s="132" t="s">
        <v>402</v>
      </c>
      <c r="D370" s="132" t="s">
        <v>673</v>
      </c>
      <c r="E370" s="132" t="s">
        <v>320</v>
      </c>
      <c r="F370" s="133" t="s">
        <v>810</v>
      </c>
      <c r="G370" s="134">
        <v>1.26</v>
      </c>
      <c r="H370" s="135">
        <v>13.45</v>
      </c>
      <c r="I370" s="136">
        <f t="shared" si="5"/>
        <v>16.946999999999999</v>
      </c>
      <c r="J370" s="137">
        <v>1</v>
      </c>
    </row>
    <row r="371" spans="2:10" ht="14.4" x14ac:dyDescent="0.3">
      <c r="B371" s="132" t="s">
        <v>809</v>
      </c>
      <c r="C371" s="132" t="s">
        <v>402</v>
      </c>
      <c r="D371" s="132" t="s">
        <v>673</v>
      </c>
      <c r="E371" s="132" t="s">
        <v>320</v>
      </c>
      <c r="F371" s="133" t="s">
        <v>811</v>
      </c>
      <c r="G371" s="134">
        <v>1.26</v>
      </c>
      <c r="H371" s="135">
        <v>13.45</v>
      </c>
      <c r="I371" s="136">
        <f t="shared" si="5"/>
        <v>16.946999999999999</v>
      </c>
      <c r="J371" s="137">
        <v>1</v>
      </c>
    </row>
    <row r="372" spans="2:10" ht="14.4" x14ac:dyDescent="0.3">
      <c r="B372" s="132" t="s">
        <v>812</v>
      </c>
      <c r="C372" s="132" t="s">
        <v>402</v>
      </c>
      <c r="D372" s="132" t="s">
        <v>673</v>
      </c>
      <c r="E372" s="132" t="s">
        <v>320</v>
      </c>
      <c r="F372" s="133" t="s">
        <v>813</v>
      </c>
      <c r="G372" s="134">
        <v>2.4300000000000002</v>
      </c>
      <c r="H372" s="135">
        <v>13.45</v>
      </c>
      <c r="I372" s="136">
        <f t="shared" si="5"/>
        <v>32.683500000000002</v>
      </c>
      <c r="J372" s="137">
        <v>1</v>
      </c>
    </row>
    <row r="373" spans="2:10" ht="14.4" x14ac:dyDescent="0.3">
      <c r="B373" s="132" t="s">
        <v>814</v>
      </c>
      <c r="C373" s="132" t="s">
        <v>402</v>
      </c>
      <c r="D373" s="132" t="s">
        <v>673</v>
      </c>
      <c r="E373" s="132" t="s">
        <v>320</v>
      </c>
      <c r="F373" s="133" t="s">
        <v>815</v>
      </c>
      <c r="G373" s="134">
        <v>2.2999999999999998</v>
      </c>
      <c r="H373" s="135">
        <v>13.45</v>
      </c>
      <c r="I373" s="136">
        <f t="shared" si="5"/>
        <v>30.934999999999995</v>
      </c>
      <c r="J373" s="137">
        <v>1</v>
      </c>
    </row>
    <row r="374" spans="2:10" ht="14.4" x14ac:dyDescent="0.3">
      <c r="B374" s="132" t="s">
        <v>816</v>
      </c>
      <c r="C374" s="132" t="s">
        <v>402</v>
      </c>
      <c r="D374" s="132" t="s">
        <v>673</v>
      </c>
      <c r="E374" s="132" t="s">
        <v>320</v>
      </c>
      <c r="F374" s="133" t="s">
        <v>817</v>
      </c>
      <c r="G374" s="134">
        <v>1.43</v>
      </c>
      <c r="H374" s="135">
        <v>13.45</v>
      </c>
      <c r="I374" s="136">
        <f t="shared" si="5"/>
        <v>19.233499999999999</v>
      </c>
      <c r="J374" s="137">
        <v>1</v>
      </c>
    </row>
    <row r="375" spans="2:10" ht="14.4" x14ac:dyDescent="0.3">
      <c r="B375" s="132" t="s">
        <v>818</v>
      </c>
      <c r="C375" s="132" t="s">
        <v>402</v>
      </c>
      <c r="D375" s="132" t="s">
        <v>673</v>
      </c>
      <c r="E375" s="132" t="s">
        <v>320</v>
      </c>
      <c r="F375" s="133" t="s">
        <v>819</v>
      </c>
      <c r="G375" s="134">
        <v>4.99</v>
      </c>
      <c r="H375" s="135">
        <v>13.45</v>
      </c>
      <c r="I375" s="136">
        <f t="shared" si="5"/>
        <v>67.115499999999997</v>
      </c>
      <c r="J375" s="137">
        <v>1</v>
      </c>
    </row>
    <row r="376" spans="2:10" ht="14.4" x14ac:dyDescent="0.3">
      <c r="B376" s="132" t="s">
        <v>818</v>
      </c>
      <c r="C376" s="132" t="s">
        <v>402</v>
      </c>
      <c r="D376" s="132" t="s">
        <v>673</v>
      </c>
      <c r="E376" s="132" t="s">
        <v>320</v>
      </c>
      <c r="F376" s="133" t="s">
        <v>820</v>
      </c>
      <c r="G376" s="134">
        <v>1.4</v>
      </c>
      <c r="H376" s="135">
        <v>13.45</v>
      </c>
      <c r="I376" s="136">
        <f t="shared" si="5"/>
        <v>18.829999999999998</v>
      </c>
      <c r="J376" s="137">
        <v>1</v>
      </c>
    </row>
    <row r="377" spans="2:10" ht="14.4" x14ac:dyDescent="0.3">
      <c r="B377" s="132" t="s">
        <v>821</v>
      </c>
      <c r="C377" s="132" t="s">
        <v>402</v>
      </c>
      <c r="D377" s="132" t="s">
        <v>673</v>
      </c>
      <c r="E377" s="132" t="s">
        <v>320</v>
      </c>
      <c r="F377" s="133" t="s">
        <v>822</v>
      </c>
      <c r="G377" s="134">
        <v>2.99</v>
      </c>
      <c r="H377" s="135">
        <v>13.45</v>
      </c>
      <c r="I377" s="136">
        <f t="shared" si="5"/>
        <v>40.215499999999999</v>
      </c>
      <c r="J377" s="137">
        <v>1</v>
      </c>
    </row>
    <row r="378" spans="2:10" ht="14.4" x14ac:dyDescent="0.3">
      <c r="B378" s="132" t="s">
        <v>823</v>
      </c>
      <c r="C378" s="132" t="s">
        <v>402</v>
      </c>
      <c r="D378" s="132" t="s">
        <v>673</v>
      </c>
      <c r="E378" s="132" t="s">
        <v>320</v>
      </c>
      <c r="F378" s="133" t="s">
        <v>824</v>
      </c>
      <c r="G378" s="134">
        <v>8.39</v>
      </c>
      <c r="H378" s="135">
        <v>13.45</v>
      </c>
      <c r="I378" s="136">
        <f t="shared" si="5"/>
        <v>112.8455</v>
      </c>
      <c r="J378" s="137">
        <v>1</v>
      </c>
    </row>
    <row r="379" spans="2:10" ht="14.4" x14ac:dyDescent="0.3">
      <c r="B379" s="132" t="s">
        <v>825</v>
      </c>
      <c r="C379" s="132" t="s">
        <v>402</v>
      </c>
      <c r="D379" s="132" t="s">
        <v>673</v>
      </c>
      <c r="E379" s="132" t="s">
        <v>320</v>
      </c>
      <c r="F379" s="133" t="s">
        <v>826</v>
      </c>
      <c r="G379" s="134">
        <v>8.24</v>
      </c>
      <c r="H379" s="135">
        <v>13.45</v>
      </c>
      <c r="I379" s="136">
        <f t="shared" si="5"/>
        <v>110.828</v>
      </c>
      <c r="J379" s="137">
        <v>1</v>
      </c>
    </row>
    <row r="380" spans="2:10" ht="14.4" x14ac:dyDescent="0.3">
      <c r="B380" s="132" t="s">
        <v>827</v>
      </c>
      <c r="C380" s="132" t="s">
        <v>402</v>
      </c>
      <c r="D380" s="132" t="s">
        <v>673</v>
      </c>
      <c r="E380" s="132" t="s">
        <v>320</v>
      </c>
      <c r="F380" s="133" t="s">
        <v>828</v>
      </c>
      <c r="G380" s="134">
        <v>4.2699999999999996</v>
      </c>
      <c r="H380" s="135">
        <v>13.45</v>
      </c>
      <c r="I380" s="136">
        <f t="shared" si="5"/>
        <v>57.431499999999993</v>
      </c>
      <c r="J380" s="137">
        <v>1</v>
      </c>
    </row>
    <row r="381" spans="2:10" ht="14.4" x14ac:dyDescent="0.3">
      <c r="B381" s="132" t="s">
        <v>829</v>
      </c>
      <c r="C381" s="132" t="s">
        <v>402</v>
      </c>
      <c r="D381" s="132" t="s">
        <v>673</v>
      </c>
      <c r="E381" s="132" t="s">
        <v>320</v>
      </c>
      <c r="F381" s="133" t="s">
        <v>830</v>
      </c>
      <c r="G381" s="134">
        <v>4.97</v>
      </c>
      <c r="H381" s="135">
        <v>13.45</v>
      </c>
      <c r="I381" s="136">
        <f t="shared" si="5"/>
        <v>66.846499999999992</v>
      </c>
      <c r="J381" s="137">
        <v>1</v>
      </c>
    </row>
    <row r="382" spans="2:10" ht="14.4" x14ac:dyDescent="0.3">
      <c r="B382" s="132" t="s">
        <v>829</v>
      </c>
      <c r="C382" s="132" t="s">
        <v>402</v>
      </c>
      <c r="D382" s="132" t="s">
        <v>673</v>
      </c>
      <c r="E382" s="132" t="s">
        <v>320</v>
      </c>
      <c r="F382" s="133" t="s">
        <v>831</v>
      </c>
      <c r="G382" s="134">
        <v>1.6</v>
      </c>
      <c r="H382" s="135">
        <v>13.45</v>
      </c>
      <c r="I382" s="136">
        <f t="shared" si="5"/>
        <v>21.52</v>
      </c>
      <c r="J382" s="137">
        <v>1</v>
      </c>
    </row>
    <row r="383" spans="2:10" ht="14.4" x14ac:dyDescent="0.3">
      <c r="B383" s="132" t="s">
        <v>832</v>
      </c>
      <c r="C383" s="132" t="s">
        <v>402</v>
      </c>
      <c r="D383" s="132" t="s">
        <v>673</v>
      </c>
      <c r="E383" s="132" t="s">
        <v>320</v>
      </c>
      <c r="F383" s="133" t="s">
        <v>833</v>
      </c>
      <c r="G383" s="134">
        <v>1.69</v>
      </c>
      <c r="H383" s="135">
        <v>13.45</v>
      </c>
      <c r="I383" s="136">
        <f t="shared" si="5"/>
        <v>22.730499999999999</v>
      </c>
      <c r="J383" s="137">
        <v>1</v>
      </c>
    </row>
    <row r="384" spans="2:10" ht="14.4" x14ac:dyDescent="0.3">
      <c r="B384" s="132" t="s">
        <v>832</v>
      </c>
      <c r="C384" s="132" t="s">
        <v>402</v>
      </c>
      <c r="D384" s="132" t="s">
        <v>673</v>
      </c>
      <c r="E384" s="132" t="s">
        <v>320</v>
      </c>
      <c r="F384" s="133" t="s">
        <v>834</v>
      </c>
      <c r="G384" s="134">
        <v>1.72</v>
      </c>
      <c r="H384" s="135">
        <v>13.45</v>
      </c>
      <c r="I384" s="136">
        <f t="shared" si="5"/>
        <v>23.133999999999997</v>
      </c>
      <c r="J384" s="137">
        <v>1</v>
      </c>
    </row>
    <row r="385" spans="2:10" ht="14.4" x14ac:dyDescent="0.3">
      <c r="B385" s="132" t="s">
        <v>835</v>
      </c>
      <c r="C385" s="132" t="s">
        <v>402</v>
      </c>
      <c r="D385" s="132" t="s">
        <v>673</v>
      </c>
      <c r="E385" s="132" t="s">
        <v>320</v>
      </c>
      <c r="F385" s="133" t="s">
        <v>836</v>
      </c>
      <c r="G385" s="134">
        <v>9.6199999999999992</v>
      </c>
      <c r="H385" s="135">
        <v>13.45</v>
      </c>
      <c r="I385" s="136">
        <f t="shared" si="5"/>
        <v>129.38899999999998</v>
      </c>
      <c r="J385" s="137">
        <v>1</v>
      </c>
    </row>
    <row r="386" spans="2:10" ht="14.4" x14ac:dyDescent="0.3">
      <c r="B386" s="132" t="s">
        <v>837</v>
      </c>
      <c r="C386" s="132" t="s">
        <v>402</v>
      </c>
      <c r="D386" s="132" t="s">
        <v>673</v>
      </c>
      <c r="E386" s="132" t="s">
        <v>320</v>
      </c>
      <c r="F386" s="133" t="s">
        <v>838</v>
      </c>
      <c r="G386" s="134">
        <v>1.18</v>
      </c>
      <c r="H386" s="135">
        <v>13.45</v>
      </c>
      <c r="I386" s="136">
        <f t="shared" si="5"/>
        <v>15.870999999999999</v>
      </c>
      <c r="J386" s="137">
        <v>1</v>
      </c>
    </row>
    <row r="387" spans="2:10" ht="14.4" x14ac:dyDescent="0.3">
      <c r="B387" s="132" t="s">
        <v>837</v>
      </c>
      <c r="C387" s="132" t="s">
        <v>402</v>
      </c>
      <c r="D387" s="132" t="s">
        <v>673</v>
      </c>
      <c r="E387" s="132" t="s">
        <v>320</v>
      </c>
      <c r="F387" s="133" t="s">
        <v>839</v>
      </c>
      <c r="G387" s="134">
        <v>2.1</v>
      </c>
      <c r="H387" s="135">
        <v>13.45</v>
      </c>
      <c r="I387" s="136">
        <f t="shared" si="5"/>
        <v>28.245000000000001</v>
      </c>
      <c r="J387" s="137">
        <v>1</v>
      </c>
    </row>
    <row r="388" spans="2:10" ht="14.4" x14ac:dyDescent="0.3">
      <c r="B388" s="132" t="s">
        <v>837</v>
      </c>
      <c r="C388" s="132" t="s">
        <v>402</v>
      </c>
      <c r="D388" s="132" t="s">
        <v>673</v>
      </c>
      <c r="E388" s="132" t="s">
        <v>320</v>
      </c>
      <c r="F388" s="133" t="s">
        <v>840</v>
      </c>
      <c r="G388" s="134">
        <v>5.49</v>
      </c>
      <c r="H388" s="135">
        <v>13.45</v>
      </c>
      <c r="I388" s="136">
        <f t="shared" si="5"/>
        <v>73.840500000000006</v>
      </c>
      <c r="J388" s="137">
        <v>1</v>
      </c>
    </row>
    <row r="389" spans="2:10" ht="14.4" x14ac:dyDescent="0.3">
      <c r="B389" s="132" t="s">
        <v>837</v>
      </c>
      <c r="C389" s="132" t="s">
        <v>402</v>
      </c>
      <c r="D389" s="132" t="s">
        <v>673</v>
      </c>
      <c r="E389" s="132" t="s">
        <v>320</v>
      </c>
      <c r="F389" s="133" t="s">
        <v>841</v>
      </c>
      <c r="G389" s="134">
        <v>4.5199999999999996</v>
      </c>
      <c r="H389" s="135">
        <v>13.45</v>
      </c>
      <c r="I389" s="136">
        <f t="shared" si="5"/>
        <v>60.79399999999999</v>
      </c>
      <c r="J389" s="137">
        <v>1</v>
      </c>
    </row>
    <row r="390" spans="2:10" ht="14.4" x14ac:dyDescent="0.3">
      <c r="B390" s="132" t="s">
        <v>837</v>
      </c>
      <c r="C390" s="132" t="s">
        <v>402</v>
      </c>
      <c r="D390" s="132" t="s">
        <v>673</v>
      </c>
      <c r="E390" s="132" t="s">
        <v>320</v>
      </c>
      <c r="F390" s="133" t="s">
        <v>842</v>
      </c>
      <c r="G390" s="134">
        <v>4.51</v>
      </c>
      <c r="H390" s="135">
        <v>13.45</v>
      </c>
      <c r="I390" s="136">
        <f t="shared" si="5"/>
        <v>60.659499999999994</v>
      </c>
      <c r="J390" s="137">
        <v>1</v>
      </c>
    </row>
    <row r="391" spans="2:10" ht="14.4" x14ac:dyDescent="0.3">
      <c r="B391" s="132" t="s">
        <v>837</v>
      </c>
      <c r="C391" s="132" t="s">
        <v>402</v>
      </c>
      <c r="D391" s="132" t="s">
        <v>673</v>
      </c>
      <c r="E391" s="132" t="s">
        <v>320</v>
      </c>
      <c r="F391" s="133" t="s">
        <v>843</v>
      </c>
      <c r="G391" s="134">
        <v>1.98</v>
      </c>
      <c r="H391" s="135">
        <v>13.45</v>
      </c>
      <c r="I391" s="136">
        <f t="shared" si="5"/>
        <v>26.630999999999997</v>
      </c>
      <c r="J391" s="137">
        <v>1</v>
      </c>
    </row>
    <row r="392" spans="2:10" ht="14.4" x14ac:dyDescent="0.3">
      <c r="B392" s="132" t="s">
        <v>837</v>
      </c>
      <c r="C392" s="132" t="s">
        <v>402</v>
      </c>
      <c r="D392" s="132" t="s">
        <v>673</v>
      </c>
      <c r="E392" s="132" t="s">
        <v>320</v>
      </c>
      <c r="F392" s="133" t="s">
        <v>844</v>
      </c>
      <c r="G392" s="134">
        <v>1.43</v>
      </c>
      <c r="H392" s="135">
        <v>13.45</v>
      </c>
      <c r="I392" s="136">
        <f t="shared" ref="I392:I455" si="6">G392*H392</f>
        <v>19.233499999999999</v>
      </c>
      <c r="J392" s="137">
        <v>1</v>
      </c>
    </row>
    <row r="393" spans="2:10" ht="14.4" x14ac:dyDescent="0.3">
      <c r="B393" s="132" t="s">
        <v>837</v>
      </c>
      <c r="C393" s="132" t="s">
        <v>402</v>
      </c>
      <c r="D393" s="132" t="s">
        <v>673</v>
      </c>
      <c r="E393" s="132" t="s">
        <v>320</v>
      </c>
      <c r="F393" s="133" t="s">
        <v>845</v>
      </c>
      <c r="G393" s="134">
        <v>1.34</v>
      </c>
      <c r="H393" s="135">
        <v>13.45</v>
      </c>
      <c r="I393" s="136">
        <f t="shared" si="6"/>
        <v>18.023</v>
      </c>
      <c r="J393" s="137">
        <v>1</v>
      </c>
    </row>
    <row r="394" spans="2:10" ht="14.4" x14ac:dyDescent="0.3">
      <c r="B394" s="132" t="s">
        <v>846</v>
      </c>
      <c r="C394" s="132" t="s">
        <v>402</v>
      </c>
      <c r="D394" s="132" t="s">
        <v>673</v>
      </c>
      <c r="E394" s="132" t="s">
        <v>320</v>
      </c>
      <c r="F394" s="133" t="s">
        <v>847</v>
      </c>
      <c r="G394" s="134">
        <v>2.39</v>
      </c>
      <c r="H394" s="135">
        <v>13.45</v>
      </c>
      <c r="I394" s="136">
        <f t="shared" si="6"/>
        <v>32.145499999999998</v>
      </c>
      <c r="J394" s="137">
        <v>1</v>
      </c>
    </row>
    <row r="395" spans="2:10" ht="14.4" x14ac:dyDescent="0.3">
      <c r="B395" s="132" t="s">
        <v>848</v>
      </c>
      <c r="C395" s="132" t="s">
        <v>402</v>
      </c>
      <c r="D395" s="132" t="s">
        <v>849</v>
      </c>
      <c r="E395" s="132" t="s">
        <v>320</v>
      </c>
      <c r="F395" s="133" t="s">
        <v>850</v>
      </c>
      <c r="G395" s="134">
        <v>9.7200000000000006</v>
      </c>
      <c r="H395" s="135">
        <v>13.45</v>
      </c>
      <c r="I395" s="136">
        <f t="shared" si="6"/>
        <v>130.73400000000001</v>
      </c>
      <c r="J395" s="137">
        <v>1</v>
      </c>
    </row>
    <row r="396" spans="2:10" ht="14.4" x14ac:dyDescent="0.3">
      <c r="B396" s="132" t="s">
        <v>851</v>
      </c>
      <c r="C396" s="132" t="s">
        <v>402</v>
      </c>
      <c r="D396" s="132" t="s">
        <v>849</v>
      </c>
      <c r="E396" s="132" t="s">
        <v>320</v>
      </c>
      <c r="F396" s="133" t="s">
        <v>852</v>
      </c>
      <c r="G396" s="134">
        <v>2.2999999999999998</v>
      </c>
      <c r="H396" s="135">
        <v>13.45</v>
      </c>
      <c r="I396" s="136">
        <f t="shared" si="6"/>
        <v>30.934999999999995</v>
      </c>
      <c r="J396" s="137">
        <v>1</v>
      </c>
    </row>
    <row r="397" spans="2:10" ht="14.4" x14ac:dyDescent="0.3">
      <c r="B397" s="132" t="s">
        <v>853</v>
      </c>
      <c r="C397" s="132" t="s">
        <v>402</v>
      </c>
      <c r="D397" s="132" t="s">
        <v>849</v>
      </c>
      <c r="E397" s="132" t="s">
        <v>320</v>
      </c>
      <c r="F397" s="133" t="s">
        <v>854</v>
      </c>
      <c r="G397" s="134">
        <v>4.2300000000000004</v>
      </c>
      <c r="H397" s="135">
        <v>13.45</v>
      </c>
      <c r="I397" s="136">
        <f t="shared" si="6"/>
        <v>56.893500000000003</v>
      </c>
      <c r="J397" s="137">
        <v>1</v>
      </c>
    </row>
    <row r="398" spans="2:10" ht="14.4" x14ac:dyDescent="0.3">
      <c r="B398" s="132" t="s">
        <v>853</v>
      </c>
      <c r="C398" s="132" t="s">
        <v>402</v>
      </c>
      <c r="D398" s="132" t="s">
        <v>849</v>
      </c>
      <c r="E398" s="132" t="s">
        <v>320</v>
      </c>
      <c r="F398" s="133" t="s">
        <v>855</v>
      </c>
      <c r="G398" s="134">
        <v>4.22</v>
      </c>
      <c r="H398" s="135">
        <v>13.45</v>
      </c>
      <c r="I398" s="136">
        <f t="shared" si="6"/>
        <v>56.758999999999993</v>
      </c>
      <c r="J398" s="137">
        <v>1</v>
      </c>
    </row>
    <row r="399" spans="2:10" ht="14.4" x14ac:dyDescent="0.3">
      <c r="B399" s="132" t="s">
        <v>853</v>
      </c>
      <c r="C399" s="132" t="s">
        <v>402</v>
      </c>
      <c r="D399" s="132" t="s">
        <v>849</v>
      </c>
      <c r="E399" s="132" t="s">
        <v>320</v>
      </c>
      <c r="F399" s="133" t="s">
        <v>856</v>
      </c>
      <c r="G399" s="134">
        <v>2.94</v>
      </c>
      <c r="H399" s="135">
        <v>13.45</v>
      </c>
      <c r="I399" s="136">
        <f t="shared" si="6"/>
        <v>39.542999999999999</v>
      </c>
      <c r="J399" s="137">
        <v>1</v>
      </c>
    </row>
    <row r="400" spans="2:10" ht="14.4" x14ac:dyDescent="0.3">
      <c r="B400" s="132" t="s">
        <v>857</v>
      </c>
      <c r="C400" s="132" t="s">
        <v>402</v>
      </c>
      <c r="D400" s="132" t="s">
        <v>849</v>
      </c>
      <c r="E400" s="132" t="s">
        <v>320</v>
      </c>
      <c r="F400" s="133" t="s">
        <v>858</v>
      </c>
      <c r="G400" s="134">
        <v>5.68</v>
      </c>
      <c r="H400" s="135">
        <v>13.45</v>
      </c>
      <c r="I400" s="136">
        <f t="shared" si="6"/>
        <v>76.395999999999987</v>
      </c>
      <c r="J400" s="137">
        <v>1</v>
      </c>
    </row>
    <row r="401" spans="2:10" ht="14.4" x14ac:dyDescent="0.3">
      <c r="B401" s="132" t="s">
        <v>857</v>
      </c>
      <c r="C401" s="132" t="s">
        <v>402</v>
      </c>
      <c r="D401" s="132" t="s">
        <v>849</v>
      </c>
      <c r="E401" s="132" t="s">
        <v>320</v>
      </c>
      <c r="F401" s="133" t="s">
        <v>859</v>
      </c>
      <c r="G401" s="134">
        <v>6.12</v>
      </c>
      <c r="H401" s="135">
        <v>13.45</v>
      </c>
      <c r="I401" s="136">
        <f t="shared" si="6"/>
        <v>82.313999999999993</v>
      </c>
      <c r="J401" s="137">
        <v>1</v>
      </c>
    </row>
    <row r="402" spans="2:10" ht="14.4" x14ac:dyDescent="0.3">
      <c r="B402" s="132" t="s">
        <v>860</v>
      </c>
      <c r="C402" s="132" t="s">
        <v>402</v>
      </c>
      <c r="D402" s="132" t="s">
        <v>849</v>
      </c>
      <c r="E402" s="132" t="s">
        <v>320</v>
      </c>
      <c r="F402" s="133" t="s">
        <v>861</v>
      </c>
      <c r="G402" s="134">
        <v>1.1499999999999999</v>
      </c>
      <c r="H402" s="135">
        <v>13.45</v>
      </c>
      <c r="I402" s="136">
        <f t="shared" si="6"/>
        <v>15.467499999999998</v>
      </c>
      <c r="J402" s="137">
        <v>1</v>
      </c>
    </row>
    <row r="403" spans="2:10" ht="14.4" x14ac:dyDescent="0.3">
      <c r="B403" s="132" t="s">
        <v>860</v>
      </c>
      <c r="C403" s="132" t="s">
        <v>402</v>
      </c>
      <c r="D403" s="132" t="s">
        <v>849</v>
      </c>
      <c r="E403" s="132" t="s">
        <v>320</v>
      </c>
      <c r="F403" s="133" t="s">
        <v>862</v>
      </c>
      <c r="G403" s="134">
        <v>9.7799999999999994</v>
      </c>
      <c r="H403" s="135">
        <v>13.45</v>
      </c>
      <c r="I403" s="136">
        <f t="shared" si="6"/>
        <v>131.541</v>
      </c>
      <c r="J403" s="137">
        <v>1</v>
      </c>
    </row>
    <row r="404" spans="2:10" ht="14.4" x14ac:dyDescent="0.3">
      <c r="B404" s="132" t="s">
        <v>860</v>
      </c>
      <c r="C404" s="132" t="s">
        <v>402</v>
      </c>
      <c r="D404" s="132" t="s">
        <v>849</v>
      </c>
      <c r="E404" s="132" t="s">
        <v>320</v>
      </c>
      <c r="F404" s="133" t="s">
        <v>863</v>
      </c>
      <c r="G404" s="134">
        <v>9.7799999999999994</v>
      </c>
      <c r="H404" s="135">
        <v>13.45</v>
      </c>
      <c r="I404" s="136">
        <f t="shared" si="6"/>
        <v>131.541</v>
      </c>
      <c r="J404" s="137">
        <v>1</v>
      </c>
    </row>
    <row r="405" spans="2:10" ht="14.4" x14ac:dyDescent="0.3">
      <c r="B405" s="132" t="s">
        <v>860</v>
      </c>
      <c r="C405" s="132" t="s">
        <v>402</v>
      </c>
      <c r="D405" s="132" t="s">
        <v>849</v>
      </c>
      <c r="E405" s="132" t="s">
        <v>320</v>
      </c>
      <c r="F405" s="133" t="s">
        <v>864</v>
      </c>
      <c r="G405" s="134">
        <v>9.8000000000000007</v>
      </c>
      <c r="H405" s="135">
        <v>13.45</v>
      </c>
      <c r="I405" s="136">
        <f t="shared" si="6"/>
        <v>131.81</v>
      </c>
      <c r="J405" s="137">
        <v>1</v>
      </c>
    </row>
    <row r="406" spans="2:10" ht="14.4" x14ac:dyDescent="0.3">
      <c r="B406" s="132" t="s">
        <v>860</v>
      </c>
      <c r="C406" s="132" t="s">
        <v>402</v>
      </c>
      <c r="D406" s="132" t="s">
        <v>849</v>
      </c>
      <c r="E406" s="132" t="s">
        <v>320</v>
      </c>
      <c r="F406" s="133" t="s">
        <v>865</v>
      </c>
      <c r="G406" s="134">
        <v>1.3</v>
      </c>
      <c r="H406" s="135">
        <v>13.45</v>
      </c>
      <c r="I406" s="136">
        <f t="shared" si="6"/>
        <v>17.484999999999999</v>
      </c>
      <c r="J406" s="137">
        <v>1</v>
      </c>
    </row>
    <row r="407" spans="2:10" ht="14.4" x14ac:dyDescent="0.3">
      <c r="B407" s="132" t="s">
        <v>866</v>
      </c>
      <c r="C407" s="132" t="s">
        <v>402</v>
      </c>
      <c r="D407" s="132" t="s">
        <v>849</v>
      </c>
      <c r="E407" s="132" t="s">
        <v>320</v>
      </c>
      <c r="F407" s="133" t="s">
        <v>867</v>
      </c>
      <c r="G407" s="134">
        <v>1.1499999999999999</v>
      </c>
      <c r="H407" s="135">
        <v>13.45</v>
      </c>
      <c r="I407" s="136">
        <f t="shared" si="6"/>
        <v>15.467499999999998</v>
      </c>
      <c r="J407" s="137">
        <v>1</v>
      </c>
    </row>
    <row r="408" spans="2:10" ht="14.4" x14ac:dyDescent="0.3">
      <c r="B408" s="132" t="s">
        <v>866</v>
      </c>
      <c r="C408" s="132" t="s">
        <v>402</v>
      </c>
      <c r="D408" s="132" t="s">
        <v>849</v>
      </c>
      <c r="E408" s="132" t="s">
        <v>320</v>
      </c>
      <c r="F408" s="133" t="s">
        <v>868</v>
      </c>
      <c r="G408" s="134">
        <v>9.76</v>
      </c>
      <c r="H408" s="135">
        <v>13.45</v>
      </c>
      <c r="I408" s="136">
        <f t="shared" si="6"/>
        <v>131.27199999999999</v>
      </c>
      <c r="J408" s="137">
        <v>1</v>
      </c>
    </row>
    <row r="409" spans="2:10" ht="14.4" x14ac:dyDescent="0.3">
      <c r="B409" s="132" t="s">
        <v>866</v>
      </c>
      <c r="C409" s="132" t="s">
        <v>402</v>
      </c>
      <c r="D409" s="132" t="s">
        <v>849</v>
      </c>
      <c r="E409" s="132" t="s">
        <v>320</v>
      </c>
      <c r="F409" s="133" t="s">
        <v>869</v>
      </c>
      <c r="G409" s="134">
        <v>8.18</v>
      </c>
      <c r="H409" s="135">
        <v>13.45</v>
      </c>
      <c r="I409" s="136">
        <f t="shared" si="6"/>
        <v>110.02099999999999</v>
      </c>
      <c r="J409" s="137">
        <v>1</v>
      </c>
    </row>
    <row r="410" spans="2:10" ht="14.4" x14ac:dyDescent="0.3">
      <c r="B410" s="132" t="s">
        <v>866</v>
      </c>
      <c r="C410" s="132" t="s">
        <v>402</v>
      </c>
      <c r="D410" s="132" t="s">
        <v>849</v>
      </c>
      <c r="E410" s="132" t="s">
        <v>320</v>
      </c>
      <c r="F410" s="133" t="s">
        <v>870</v>
      </c>
      <c r="G410" s="134">
        <v>6.55</v>
      </c>
      <c r="H410" s="135">
        <v>13.45</v>
      </c>
      <c r="I410" s="136">
        <f t="shared" si="6"/>
        <v>88.097499999999997</v>
      </c>
      <c r="J410" s="137">
        <v>1</v>
      </c>
    </row>
    <row r="411" spans="2:10" ht="14.4" x14ac:dyDescent="0.3">
      <c r="B411" s="132" t="s">
        <v>866</v>
      </c>
      <c r="C411" s="132" t="s">
        <v>402</v>
      </c>
      <c r="D411" s="132" t="s">
        <v>849</v>
      </c>
      <c r="E411" s="132" t="s">
        <v>320</v>
      </c>
      <c r="F411" s="133" t="s">
        <v>871</v>
      </c>
      <c r="G411" s="134">
        <v>8.44</v>
      </c>
      <c r="H411" s="135">
        <v>13.45</v>
      </c>
      <c r="I411" s="136">
        <f t="shared" si="6"/>
        <v>113.51799999999999</v>
      </c>
      <c r="J411" s="137">
        <v>1</v>
      </c>
    </row>
    <row r="412" spans="2:10" ht="14.4" x14ac:dyDescent="0.3">
      <c r="B412" s="132" t="s">
        <v>866</v>
      </c>
      <c r="C412" s="132" t="s">
        <v>402</v>
      </c>
      <c r="D412" s="132" t="s">
        <v>849</v>
      </c>
      <c r="E412" s="132" t="s">
        <v>320</v>
      </c>
      <c r="F412" s="133" t="s">
        <v>872</v>
      </c>
      <c r="G412" s="134">
        <v>8.6199999999999992</v>
      </c>
      <c r="H412" s="135">
        <v>13.45</v>
      </c>
      <c r="I412" s="136">
        <f t="shared" si="6"/>
        <v>115.93899999999998</v>
      </c>
      <c r="J412" s="137">
        <v>1</v>
      </c>
    </row>
    <row r="413" spans="2:10" ht="14.4" x14ac:dyDescent="0.3">
      <c r="B413" s="132" t="s">
        <v>866</v>
      </c>
      <c r="C413" s="132" t="s">
        <v>402</v>
      </c>
      <c r="D413" s="132" t="s">
        <v>849</v>
      </c>
      <c r="E413" s="132" t="s">
        <v>320</v>
      </c>
      <c r="F413" s="133" t="s">
        <v>873</v>
      </c>
      <c r="G413" s="134">
        <v>1.8</v>
      </c>
      <c r="H413" s="135">
        <v>13.45</v>
      </c>
      <c r="I413" s="136">
        <f t="shared" si="6"/>
        <v>24.21</v>
      </c>
      <c r="J413" s="137">
        <v>1</v>
      </c>
    </row>
    <row r="414" spans="2:10" ht="14.4" x14ac:dyDescent="0.3">
      <c r="B414" s="132" t="s">
        <v>874</v>
      </c>
      <c r="C414" s="132" t="s">
        <v>402</v>
      </c>
      <c r="D414" s="132" t="s">
        <v>849</v>
      </c>
      <c r="E414" s="132" t="s">
        <v>320</v>
      </c>
      <c r="F414" s="133" t="s">
        <v>875</v>
      </c>
      <c r="G414" s="134">
        <v>9.81</v>
      </c>
      <c r="H414" s="135">
        <v>13.45</v>
      </c>
      <c r="I414" s="136">
        <f t="shared" si="6"/>
        <v>131.94450000000001</v>
      </c>
      <c r="J414" s="137">
        <v>1</v>
      </c>
    </row>
    <row r="415" spans="2:10" ht="14.4" x14ac:dyDescent="0.3">
      <c r="B415" s="132" t="s">
        <v>874</v>
      </c>
      <c r="C415" s="132" t="s">
        <v>402</v>
      </c>
      <c r="D415" s="132" t="s">
        <v>849</v>
      </c>
      <c r="E415" s="132" t="s">
        <v>320</v>
      </c>
      <c r="F415" s="133" t="s">
        <v>876</v>
      </c>
      <c r="G415" s="134">
        <v>1.3</v>
      </c>
      <c r="H415" s="135">
        <v>13.45</v>
      </c>
      <c r="I415" s="136">
        <f t="shared" si="6"/>
        <v>17.484999999999999</v>
      </c>
      <c r="J415" s="137">
        <v>1</v>
      </c>
    </row>
    <row r="416" spans="2:10" ht="14.4" x14ac:dyDescent="0.3">
      <c r="B416" s="132" t="s">
        <v>874</v>
      </c>
      <c r="C416" s="132" t="s">
        <v>402</v>
      </c>
      <c r="D416" s="132" t="s">
        <v>849</v>
      </c>
      <c r="E416" s="132" t="s">
        <v>320</v>
      </c>
      <c r="F416" s="133" t="s">
        <v>877</v>
      </c>
      <c r="G416" s="134">
        <v>9.75</v>
      </c>
      <c r="H416" s="135">
        <v>13.45</v>
      </c>
      <c r="I416" s="136">
        <f t="shared" si="6"/>
        <v>131.13749999999999</v>
      </c>
      <c r="J416" s="137">
        <v>1</v>
      </c>
    </row>
    <row r="417" spans="2:10" ht="14.4" x14ac:dyDescent="0.3">
      <c r="B417" s="132" t="s">
        <v>878</v>
      </c>
      <c r="C417" s="132" t="s">
        <v>402</v>
      </c>
      <c r="D417" s="132" t="s">
        <v>849</v>
      </c>
      <c r="E417" s="132" t="s">
        <v>320</v>
      </c>
      <c r="F417" s="133" t="s">
        <v>879</v>
      </c>
      <c r="G417" s="134">
        <v>3.22</v>
      </c>
      <c r="H417" s="135">
        <v>13.45</v>
      </c>
      <c r="I417" s="136">
        <f t="shared" si="6"/>
        <v>43.308999999999997</v>
      </c>
      <c r="J417" s="137">
        <v>1</v>
      </c>
    </row>
    <row r="418" spans="2:10" ht="14.4" x14ac:dyDescent="0.3">
      <c r="B418" s="132" t="s">
        <v>878</v>
      </c>
      <c r="C418" s="132" t="s">
        <v>402</v>
      </c>
      <c r="D418" s="132" t="s">
        <v>849</v>
      </c>
      <c r="E418" s="132" t="s">
        <v>320</v>
      </c>
      <c r="F418" s="133" t="s">
        <v>880</v>
      </c>
      <c r="G418" s="134">
        <v>3.24</v>
      </c>
      <c r="H418" s="135">
        <v>13.45</v>
      </c>
      <c r="I418" s="136">
        <f t="shared" si="6"/>
        <v>43.578000000000003</v>
      </c>
      <c r="J418" s="137">
        <v>1</v>
      </c>
    </row>
    <row r="419" spans="2:10" ht="14.4" x14ac:dyDescent="0.3">
      <c r="B419" s="132" t="s">
        <v>881</v>
      </c>
      <c r="C419" s="132" t="s">
        <v>402</v>
      </c>
      <c r="D419" s="132" t="s">
        <v>849</v>
      </c>
      <c r="E419" s="132" t="s">
        <v>320</v>
      </c>
      <c r="F419" s="133" t="s">
        <v>882</v>
      </c>
      <c r="G419" s="134">
        <v>4.0999999999999996</v>
      </c>
      <c r="H419" s="135">
        <v>13.45</v>
      </c>
      <c r="I419" s="136">
        <f t="shared" si="6"/>
        <v>55.144999999999989</v>
      </c>
      <c r="J419" s="137">
        <v>1</v>
      </c>
    </row>
    <row r="420" spans="2:10" ht="14.4" x14ac:dyDescent="0.3">
      <c r="B420" s="132" t="s">
        <v>883</v>
      </c>
      <c r="C420" s="132" t="s">
        <v>402</v>
      </c>
      <c r="D420" s="132" t="s">
        <v>849</v>
      </c>
      <c r="E420" s="132" t="s">
        <v>320</v>
      </c>
      <c r="F420" s="133" t="s">
        <v>884</v>
      </c>
      <c r="G420" s="134">
        <v>2.95</v>
      </c>
      <c r="H420" s="135">
        <v>13.45</v>
      </c>
      <c r="I420" s="136">
        <f t="shared" si="6"/>
        <v>39.677500000000002</v>
      </c>
      <c r="J420" s="137">
        <v>1</v>
      </c>
    </row>
    <row r="421" spans="2:10" ht="14.4" x14ac:dyDescent="0.3">
      <c r="B421" s="132" t="s">
        <v>883</v>
      </c>
      <c r="C421" s="132" t="s">
        <v>402</v>
      </c>
      <c r="D421" s="132" t="s">
        <v>849</v>
      </c>
      <c r="E421" s="132" t="s">
        <v>320</v>
      </c>
      <c r="F421" s="133" t="s">
        <v>885</v>
      </c>
      <c r="G421" s="134">
        <v>8.14</v>
      </c>
      <c r="H421" s="135">
        <v>13.45</v>
      </c>
      <c r="I421" s="136">
        <f t="shared" si="6"/>
        <v>109.483</v>
      </c>
      <c r="J421" s="137">
        <v>1</v>
      </c>
    </row>
    <row r="422" spans="2:10" ht="14.4" x14ac:dyDescent="0.3">
      <c r="B422" s="132" t="s">
        <v>886</v>
      </c>
      <c r="C422" s="132" t="s">
        <v>402</v>
      </c>
      <c r="D422" s="132" t="s">
        <v>849</v>
      </c>
      <c r="E422" s="132" t="s">
        <v>320</v>
      </c>
      <c r="F422" s="133" t="s">
        <v>887</v>
      </c>
      <c r="G422" s="134">
        <v>2.31</v>
      </c>
      <c r="H422" s="135">
        <v>13.45</v>
      </c>
      <c r="I422" s="136">
        <f t="shared" si="6"/>
        <v>31.069499999999998</v>
      </c>
      <c r="J422" s="137">
        <v>1</v>
      </c>
    </row>
    <row r="423" spans="2:10" ht="14.4" x14ac:dyDescent="0.3">
      <c r="B423" s="132" t="s">
        <v>886</v>
      </c>
      <c r="C423" s="132" t="s">
        <v>402</v>
      </c>
      <c r="D423" s="132" t="s">
        <v>849</v>
      </c>
      <c r="E423" s="132" t="s">
        <v>320</v>
      </c>
      <c r="F423" s="133" t="s">
        <v>888</v>
      </c>
      <c r="G423" s="134">
        <v>2.29</v>
      </c>
      <c r="H423" s="135">
        <v>13.45</v>
      </c>
      <c r="I423" s="136">
        <f t="shared" si="6"/>
        <v>30.8005</v>
      </c>
      <c r="J423" s="137">
        <v>1</v>
      </c>
    </row>
    <row r="424" spans="2:10" ht="14.4" x14ac:dyDescent="0.3">
      <c r="B424" s="132" t="s">
        <v>886</v>
      </c>
      <c r="C424" s="132" t="s">
        <v>402</v>
      </c>
      <c r="D424" s="132" t="s">
        <v>849</v>
      </c>
      <c r="E424" s="132" t="s">
        <v>320</v>
      </c>
      <c r="F424" s="133" t="s">
        <v>889</v>
      </c>
      <c r="G424" s="134">
        <v>1.1299999999999999</v>
      </c>
      <c r="H424" s="135">
        <v>13.45</v>
      </c>
      <c r="I424" s="136">
        <f t="shared" si="6"/>
        <v>15.198499999999997</v>
      </c>
      <c r="J424" s="137">
        <v>1</v>
      </c>
    </row>
    <row r="425" spans="2:10" ht="14.4" x14ac:dyDescent="0.3">
      <c r="B425" s="132" t="s">
        <v>886</v>
      </c>
      <c r="C425" s="132" t="s">
        <v>402</v>
      </c>
      <c r="D425" s="132" t="s">
        <v>849</v>
      </c>
      <c r="E425" s="132" t="s">
        <v>320</v>
      </c>
      <c r="F425" s="133" t="s">
        <v>890</v>
      </c>
      <c r="G425" s="134">
        <v>2.2799999999999998</v>
      </c>
      <c r="H425" s="135">
        <v>13.45</v>
      </c>
      <c r="I425" s="136">
        <f t="shared" si="6"/>
        <v>30.665999999999997</v>
      </c>
      <c r="J425" s="137">
        <v>1</v>
      </c>
    </row>
    <row r="426" spans="2:10" ht="14.4" x14ac:dyDescent="0.3">
      <c r="B426" s="132" t="s">
        <v>891</v>
      </c>
      <c r="C426" s="132" t="s">
        <v>402</v>
      </c>
      <c r="D426" s="132" t="s">
        <v>849</v>
      </c>
      <c r="E426" s="132" t="s">
        <v>320</v>
      </c>
      <c r="F426" s="133" t="s">
        <v>892</v>
      </c>
      <c r="G426" s="134">
        <v>9.6999999999999993</v>
      </c>
      <c r="H426" s="135">
        <v>13.45</v>
      </c>
      <c r="I426" s="136">
        <f t="shared" si="6"/>
        <v>130.46499999999997</v>
      </c>
      <c r="J426" s="137">
        <v>1</v>
      </c>
    </row>
    <row r="427" spans="2:10" ht="14.4" x14ac:dyDescent="0.3">
      <c r="B427" s="132" t="s">
        <v>891</v>
      </c>
      <c r="C427" s="132" t="s">
        <v>402</v>
      </c>
      <c r="D427" s="132" t="s">
        <v>849</v>
      </c>
      <c r="E427" s="132" t="s">
        <v>320</v>
      </c>
      <c r="F427" s="133" t="s">
        <v>893</v>
      </c>
      <c r="G427" s="134">
        <v>1.79</v>
      </c>
      <c r="H427" s="135">
        <v>13.45</v>
      </c>
      <c r="I427" s="136">
        <f t="shared" si="6"/>
        <v>24.075499999999998</v>
      </c>
      <c r="J427" s="137">
        <v>1</v>
      </c>
    </row>
    <row r="428" spans="2:10" ht="14.4" x14ac:dyDescent="0.3">
      <c r="B428" s="132" t="s">
        <v>894</v>
      </c>
      <c r="C428" s="132" t="s">
        <v>402</v>
      </c>
      <c r="D428" s="132" t="s">
        <v>849</v>
      </c>
      <c r="E428" s="132" t="s">
        <v>320</v>
      </c>
      <c r="F428" s="133" t="s">
        <v>895</v>
      </c>
      <c r="G428" s="134">
        <v>2.93</v>
      </c>
      <c r="H428" s="135">
        <v>13.45</v>
      </c>
      <c r="I428" s="136">
        <f t="shared" si="6"/>
        <v>39.408499999999997</v>
      </c>
      <c r="J428" s="137">
        <v>1</v>
      </c>
    </row>
    <row r="429" spans="2:10" ht="14.4" x14ac:dyDescent="0.3">
      <c r="B429" s="132" t="s">
        <v>894</v>
      </c>
      <c r="C429" s="132" t="s">
        <v>402</v>
      </c>
      <c r="D429" s="132" t="s">
        <v>849</v>
      </c>
      <c r="E429" s="132" t="s">
        <v>320</v>
      </c>
      <c r="F429" s="133" t="s">
        <v>896</v>
      </c>
      <c r="G429" s="134">
        <v>2.92</v>
      </c>
      <c r="H429" s="135">
        <v>13.45</v>
      </c>
      <c r="I429" s="136">
        <f t="shared" si="6"/>
        <v>39.273999999999994</v>
      </c>
      <c r="J429" s="137">
        <v>1</v>
      </c>
    </row>
    <row r="430" spans="2:10" ht="14.4" x14ac:dyDescent="0.3">
      <c r="B430" s="132" t="s">
        <v>894</v>
      </c>
      <c r="C430" s="132" t="s">
        <v>402</v>
      </c>
      <c r="D430" s="132" t="s">
        <v>849</v>
      </c>
      <c r="E430" s="132" t="s">
        <v>320</v>
      </c>
      <c r="F430" s="133" t="s">
        <v>897</v>
      </c>
      <c r="G430" s="134">
        <v>2.58</v>
      </c>
      <c r="H430" s="135">
        <v>13.45</v>
      </c>
      <c r="I430" s="136">
        <f t="shared" si="6"/>
        <v>34.701000000000001</v>
      </c>
      <c r="J430" s="137">
        <v>1</v>
      </c>
    </row>
    <row r="431" spans="2:10" ht="14.4" x14ac:dyDescent="0.3">
      <c r="B431" s="132" t="s">
        <v>894</v>
      </c>
      <c r="C431" s="132" t="s">
        <v>402</v>
      </c>
      <c r="D431" s="132" t="s">
        <v>849</v>
      </c>
      <c r="E431" s="132" t="s">
        <v>320</v>
      </c>
      <c r="F431" s="133" t="s">
        <v>898</v>
      </c>
      <c r="G431" s="134">
        <v>1.46</v>
      </c>
      <c r="H431" s="135">
        <v>13.45</v>
      </c>
      <c r="I431" s="136">
        <f t="shared" si="6"/>
        <v>19.636999999999997</v>
      </c>
      <c r="J431" s="137">
        <v>1</v>
      </c>
    </row>
    <row r="432" spans="2:10" ht="14.4" x14ac:dyDescent="0.3">
      <c r="B432" s="132" t="s">
        <v>894</v>
      </c>
      <c r="C432" s="132" t="s">
        <v>402</v>
      </c>
      <c r="D432" s="132" t="s">
        <v>849</v>
      </c>
      <c r="E432" s="132" t="s">
        <v>320</v>
      </c>
      <c r="F432" s="133" t="s">
        <v>899</v>
      </c>
      <c r="G432" s="134">
        <v>1.44</v>
      </c>
      <c r="H432" s="135">
        <v>13.45</v>
      </c>
      <c r="I432" s="136">
        <f t="shared" si="6"/>
        <v>19.367999999999999</v>
      </c>
      <c r="J432" s="137">
        <v>1</v>
      </c>
    </row>
    <row r="433" spans="2:10" ht="14.4" x14ac:dyDescent="0.3">
      <c r="B433" s="132" t="s">
        <v>900</v>
      </c>
      <c r="C433" s="132" t="s">
        <v>402</v>
      </c>
      <c r="D433" s="132" t="s">
        <v>849</v>
      </c>
      <c r="E433" s="132" t="s">
        <v>320</v>
      </c>
      <c r="F433" s="133" t="s">
        <v>901</v>
      </c>
      <c r="G433" s="134">
        <v>4.28</v>
      </c>
      <c r="H433" s="135">
        <v>13.45</v>
      </c>
      <c r="I433" s="136">
        <f t="shared" si="6"/>
        <v>57.566000000000003</v>
      </c>
      <c r="J433" s="137">
        <v>1</v>
      </c>
    </row>
    <row r="434" spans="2:10" ht="14.4" x14ac:dyDescent="0.3">
      <c r="B434" s="132" t="s">
        <v>902</v>
      </c>
      <c r="C434" s="132" t="s">
        <v>402</v>
      </c>
      <c r="D434" s="132" t="s">
        <v>849</v>
      </c>
      <c r="E434" s="132" t="s">
        <v>320</v>
      </c>
      <c r="F434" s="133" t="s">
        <v>903</v>
      </c>
      <c r="G434" s="134">
        <v>1.3</v>
      </c>
      <c r="H434" s="135">
        <v>13.45</v>
      </c>
      <c r="I434" s="136">
        <f t="shared" si="6"/>
        <v>17.484999999999999</v>
      </c>
      <c r="J434" s="137">
        <v>1</v>
      </c>
    </row>
    <row r="435" spans="2:10" ht="14.4" x14ac:dyDescent="0.3">
      <c r="B435" s="132" t="s">
        <v>902</v>
      </c>
      <c r="C435" s="132" t="s">
        <v>402</v>
      </c>
      <c r="D435" s="132" t="s">
        <v>849</v>
      </c>
      <c r="E435" s="132" t="s">
        <v>320</v>
      </c>
      <c r="F435" s="133" t="s">
        <v>904</v>
      </c>
      <c r="G435" s="134">
        <v>9.7799999999999994</v>
      </c>
      <c r="H435" s="135">
        <v>13.45</v>
      </c>
      <c r="I435" s="136">
        <f t="shared" si="6"/>
        <v>131.541</v>
      </c>
      <c r="J435" s="137">
        <v>1</v>
      </c>
    </row>
    <row r="436" spans="2:10" ht="14.4" x14ac:dyDescent="0.3">
      <c r="B436" s="132" t="s">
        <v>902</v>
      </c>
      <c r="C436" s="132" t="s">
        <v>402</v>
      </c>
      <c r="D436" s="132" t="s">
        <v>849</v>
      </c>
      <c r="E436" s="132" t="s">
        <v>320</v>
      </c>
      <c r="F436" s="133" t="s">
        <v>905</v>
      </c>
      <c r="G436" s="134">
        <v>9.65</v>
      </c>
      <c r="H436" s="135">
        <v>13.45</v>
      </c>
      <c r="I436" s="136">
        <f t="shared" si="6"/>
        <v>129.79249999999999</v>
      </c>
      <c r="J436" s="137">
        <v>1</v>
      </c>
    </row>
    <row r="437" spans="2:10" ht="14.4" x14ac:dyDescent="0.3">
      <c r="B437" s="132" t="s">
        <v>906</v>
      </c>
      <c r="C437" s="132" t="s">
        <v>402</v>
      </c>
      <c r="D437" s="132" t="s">
        <v>849</v>
      </c>
      <c r="E437" s="132" t="s">
        <v>320</v>
      </c>
      <c r="F437" s="133" t="s">
        <v>907</v>
      </c>
      <c r="G437" s="134">
        <v>9.81</v>
      </c>
      <c r="H437" s="135">
        <v>13.45</v>
      </c>
      <c r="I437" s="136">
        <f t="shared" si="6"/>
        <v>131.94450000000001</v>
      </c>
      <c r="J437" s="137">
        <v>1</v>
      </c>
    </row>
    <row r="438" spans="2:10" ht="14.4" x14ac:dyDescent="0.3">
      <c r="B438" s="132" t="s">
        <v>906</v>
      </c>
      <c r="C438" s="132" t="s">
        <v>402</v>
      </c>
      <c r="D438" s="132" t="s">
        <v>849</v>
      </c>
      <c r="E438" s="132" t="s">
        <v>320</v>
      </c>
      <c r="F438" s="133" t="s">
        <v>908</v>
      </c>
      <c r="G438" s="134">
        <v>9.83</v>
      </c>
      <c r="H438" s="135">
        <v>13.45</v>
      </c>
      <c r="I438" s="136">
        <f t="shared" si="6"/>
        <v>132.21349999999998</v>
      </c>
      <c r="J438" s="137">
        <v>1</v>
      </c>
    </row>
    <row r="439" spans="2:10" ht="14.4" x14ac:dyDescent="0.3">
      <c r="B439" s="132" t="s">
        <v>906</v>
      </c>
      <c r="C439" s="132" t="s">
        <v>402</v>
      </c>
      <c r="D439" s="132" t="s">
        <v>849</v>
      </c>
      <c r="E439" s="132" t="s">
        <v>320</v>
      </c>
      <c r="F439" s="133" t="s">
        <v>909</v>
      </c>
      <c r="G439" s="134">
        <v>9.7899999999999991</v>
      </c>
      <c r="H439" s="135">
        <v>13.45</v>
      </c>
      <c r="I439" s="136">
        <f t="shared" si="6"/>
        <v>131.67549999999997</v>
      </c>
      <c r="J439" s="137">
        <v>1</v>
      </c>
    </row>
    <row r="440" spans="2:10" ht="14.4" x14ac:dyDescent="0.3">
      <c r="B440" s="132" t="s">
        <v>906</v>
      </c>
      <c r="C440" s="132" t="s">
        <v>402</v>
      </c>
      <c r="D440" s="132" t="s">
        <v>849</v>
      </c>
      <c r="E440" s="132" t="s">
        <v>320</v>
      </c>
      <c r="F440" s="133" t="s">
        <v>910</v>
      </c>
      <c r="G440" s="134">
        <v>9.86</v>
      </c>
      <c r="H440" s="135">
        <v>13.45</v>
      </c>
      <c r="I440" s="136">
        <f t="shared" si="6"/>
        <v>132.61699999999999</v>
      </c>
      <c r="J440" s="137">
        <v>1</v>
      </c>
    </row>
    <row r="441" spans="2:10" ht="14.4" x14ac:dyDescent="0.3">
      <c r="B441" s="132" t="s">
        <v>906</v>
      </c>
      <c r="C441" s="132" t="s">
        <v>402</v>
      </c>
      <c r="D441" s="132" t="s">
        <v>849</v>
      </c>
      <c r="E441" s="132" t="s">
        <v>320</v>
      </c>
      <c r="F441" s="133" t="s">
        <v>911</v>
      </c>
      <c r="G441" s="134">
        <v>1.1399999999999999</v>
      </c>
      <c r="H441" s="135">
        <v>13.45</v>
      </c>
      <c r="I441" s="136">
        <f t="shared" si="6"/>
        <v>15.332999999999998</v>
      </c>
      <c r="J441" s="137">
        <v>1</v>
      </c>
    </row>
    <row r="442" spans="2:10" ht="14.4" x14ac:dyDescent="0.3">
      <c r="B442" s="132" t="s">
        <v>906</v>
      </c>
      <c r="C442" s="132" t="s">
        <v>402</v>
      </c>
      <c r="D442" s="132" t="s">
        <v>849</v>
      </c>
      <c r="E442" s="132" t="s">
        <v>320</v>
      </c>
      <c r="F442" s="133" t="s">
        <v>912</v>
      </c>
      <c r="G442" s="134">
        <v>3.96</v>
      </c>
      <c r="H442" s="135">
        <v>13.45</v>
      </c>
      <c r="I442" s="136">
        <f t="shared" si="6"/>
        <v>53.261999999999993</v>
      </c>
      <c r="J442" s="137">
        <v>1</v>
      </c>
    </row>
    <row r="443" spans="2:10" ht="14.4" x14ac:dyDescent="0.3">
      <c r="B443" s="132" t="s">
        <v>913</v>
      </c>
      <c r="C443" s="132" t="s">
        <v>402</v>
      </c>
      <c r="D443" s="132" t="s">
        <v>849</v>
      </c>
      <c r="E443" s="132" t="s">
        <v>320</v>
      </c>
      <c r="F443" s="133" t="s">
        <v>914</v>
      </c>
      <c r="G443" s="134">
        <v>8.15</v>
      </c>
      <c r="H443" s="135">
        <v>13.45</v>
      </c>
      <c r="I443" s="136">
        <f t="shared" si="6"/>
        <v>109.61749999999999</v>
      </c>
      <c r="J443" s="137">
        <v>1</v>
      </c>
    </row>
    <row r="444" spans="2:10" ht="14.4" x14ac:dyDescent="0.3">
      <c r="B444" s="132" t="s">
        <v>915</v>
      </c>
      <c r="C444" s="132" t="s">
        <v>402</v>
      </c>
      <c r="D444" s="132" t="s">
        <v>849</v>
      </c>
      <c r="E444" s="132" t="s">
        <v>320</v>
      </c>
      <c r="F444" s="133" t="s">
        <v>916</v>
      </c>
      <c r="G444" s="134">
        <v>6.55</v>
      </c>
      <c r="H444" s="135">
        <v>13.45</v>
      </c>
      <c r="I444" s="136">
        <f t="shared" si="6"/>
        <v>88.097499999999997</v>
      </c>
      <c r="J444" s="137">
        <v>1</v>
      </c>
    </row>
    <row r="445" spans="2:10" ht="14.4" x14ac:dyDescent="0.3">
      <c r="B445" s="132" t="s">
        <v>915</v>
      </c>
      <c r="C445" s="132" t="s">
        <v>402</v>
      </c>
      <c r="D445" s="132" t="s">
        <v>849</v>
      </c>
      <c r="E445" s="132" t="s">
        <v>320</v>
      </c>
      <c r="F445" s="133" t="s">
        <v>917</v>
      </c>
      <c r="G445" s="134">
        <v>1.31</v>
      </c>
      <c r="H445" s="135">
        <v>13.45</v>
      </c>
      <c r="I445" s="136">
        <f t="shared" si="6"/>
        <v>17.619499999999999</v>
      </c>
      <c r="J445" s="137">
        <v>1</v>
      </c>
    </row>
    <row r="446" spans="2:10" ht="14.4" x14ac:dyDescent="0.3">
      <c r="B446" s="132" t="s">
        <v>915</v>
      </c>
      <c r="C446" s="132" t="s">
        <v>402</v>
      </c>
      <c r="D446" s="132" t="s">
        <v>849</v>
      </c>
      <c r="E446" s="132" t="s">
        <v>320</v>
      </c>
      <c r="F446" s="133" t="s">
        <v>918</v>
      </c>
      <c r="G446" s="134">
        <v>6.53</v>
      </c>
      <c r="H446" s="135">
        <v>13.45</v>
      </c>
      <c r="I446" s="136">
        <f t="shared" si="6"/>
        <v>87.828500000000005</v>
      </c>
      <c r="J446" s="137">
        <v>1</v>
      </c>
    </row>
    <row r="447" spans="2:10" ht="14.4" x14ac:dyDescent="0.3">
      <c r="B447" s="132" t="s">
        <v>919</v>
      </c>
      <c r="C447" s="132" t="s">
        <v>402</v>
      </c>
      <c r="D447" s="132" t="s">
        <v>849</v>
      </c>
      <c r="E447" s="132" t="s">
        <v>320</v>
      </c>
      <c r="F447" s="133" t="s">
        <v>920</v>
      </c>
      <c r="G447" s="134">
        <v>9.77</v>
      </c>
      <c r="H447" s="135">
        <v>13.45</v>
      </c>
      <c r="I447" s="136">
        <f t="shared" si="6"/>
        <v>131.40649999999999</v>
      </c>
      <c r="J447" s="137">
        <v>1</v>
      </c>
    </row>
    <row r="448" spans="2:10" ht="14.4" x14ac:dyDescent="0.3">
      <c r="B448" s="132" t="s">
        <v>919</v>
      </c>
      <c r="C448" s="132" t="s">
        <v>402</v>
      </c>
      <c r="D448" s="132" t="s">
        <v>849</v>
      </c>
      <c r="E448" s="132" t="s">
        <v>320</v>
      </c>
      <c r="F448" s="133" t="s">
        <v>921</v>
      </c>
      <c r="G448" s="134">
        <v>9.75</v>
      </c>
      <c r="H448" s="135">
        <v>13.45</v>
      </c>
      <c r="I448" s="136">
        <f t="shared" si="6"/>
        <v>131.13749999999999</v>
      </c>
      <c r="J448" s="137">
        <v>1</v>
      </c>
    </row>
    <row r="449" spans="2:10" ht="14.4" x14ac:dyDescent="0.3">
      <c r="B449" s="132" t="s">
        <v>919</v>
      </c>
      <c r="C449" s="132" t="s">
        <v>402</v>
      </c>
      <c r="D449" s="132" t="s">
        <v>849</v>
      </c>
      <c r="E449" s="132" t="s">
        <v>320</v>
      </c>
      <c r="F449" s="133" t="s">
        <v>922</v>
      </c>
      <c r="G449" s="134">
        <v>9.76</v>
      </c>
      <c r="H449" s="135">
        <v>13.45</v>
      </c>
      <c r="I449" s="136">
        <f t="shared" si="6"/>
        <v>131.27199999999999</v>
      </c>
      <c r="J449" s="137">
        <v>1</v>
      </c>
    </row>
    <row r="450" spans="2:10" ht="14.4" x14ac:dyDescent="0.3">
      <c r="B450" s="132" t="s">
        <v>923</v>
      </c>
      <c r="C450" s="132" t="s">
        <v>402</v>
      </c>
      <c r="D450" s="132" t="s">
        <v>849</v>
      </c>
      <c r="E450" s="132" t="s">
        <v>320</v>
      </c>
      <c r="F450" s="133" t="s">
        <v>924</v>
      </c>
      <c r="G450" s="134">
        <v>1.46</v>
      </c>
      <c r="H450" s="135">
        <v>13.45</v>
      </c>
      <c r="I450" s="136">
        <f t="shared" si="6"/>
        <v>19.636999999999997</v>
      </c>
      <c r="J450" s="137">
        <v>1</v>
      </c>
    </row>
    <row r="451" spans="2:10" ht="14.4" x14ac:dyDescent="0.3">
      <c r="B451" s="132" t="s">
        <v>923</v>
      </c>
      <c r="C451" s="132" t="s">
        <v>402</v>
      </c>
      <c r="D451" s="132" t="s">
        <v>849</v>
      </c>
      <c r="E451" s="132" t="s">
        <v>320</v>
      </c>
      <c r="F451" s="133" t="s">
        <v>925</v>
      </c>
      <c r="G451" s="134">
        <v>9.83</v>
      </c>
      <c r="H451" s="135">
        <v>13.45</v>
      </c>
      <c r="I451" s="136">
        <f t="shared" si="6"/>
        <v>132.21349999999998</v>
      </c>
      <c r="J451" s="137">
        <v>1</v>
      </c>
    </row>
    <row r="452" spans="2:10" ht="14.4" x14ac:dyDescent="0.3">
      <c r="B452" s="132" t="s">
        <v>926</v>
      </c>
      <c r="C452" s="132" t="s">
        <v>402</v>
      </c>
      <c r="D452" s="132" t="s">
        <v>849</v>
      </c>
      <c r="E452" s="132" t="s">
        <v>320</v>
      </c>
      <c r="F452" s="133" t="s">
        <v>927</v>
      </c>
      <c r="G452" s="134">
        <v>8.1300000000000008</v>
      </c>
      <c r="H452" s="135">
        <v>13.45</v>
      </c>
      <c r="I452" s="136">
        <f t="shared" si="6"/>
        <v>109.3485</v>
      </c>
      <c r="J452" s="137">
        <v>1</v>
      </c>
    </row>
    <row r="453" spans="2:10" ht="14.4" x14ac:dyDescent="0.3">
      <c r="B453" s="132" t="s">
        <v>928</v>
      </c>
      <c r="C453" s="132" t="s">
        <v>402</v>
      </c>
      <c r="D453" s="132" t="s">
        <v>849</v>
      </c>
      <c r="E453" s="132" t="s">
        <v>320</v>
      </c>
      <c r="F453" s="133" t="s">
        <v>929</v>
      </c>
      <c r="G453" s="134">
        <v>2.62</v>
      </c>
      <c r="H453" s="135">
        <v>13.45</v>
      </c>
      <c r="I453" s="136">
        <f t="shared" si="6"/>
        <v>35.238999999999997</v>
      </c>
      <c r="J453" s="137">
        <v>1</v>
      </c>
    </row>
    <row r="454" spans="2:10" ht="14.4" x14ac:dyDescent="0.3">
      <c r="B454" s="132" t="s">
        <v>928</v>
      </c>
      <c r="C454" s="132" t="s">
        <v>402</v>
      </c>
      <c r="D454" s="132" t="s">
        <v>849</v>
      </c>
      <c r="E454" s="132" t="s">
        <v>320</v>
      </c>
      <c r="F454" s="133" t="s">
        <v>930</v>
      </c>
      <c r="G454" s="134">
        <v>2.58</v>
      </c>
      <c r="H454" s="135">
        <v>13.45</v>
      </c>
      <c r="I454" s="136">
        <f t="shared" si="6"/>
        <v>34.701000000000001</v>
      </c>
      <c r="J454" s="137">
        <v>1</v>
      </c>
    </row>
    <row r="455" spans="2:10" ht="14.4" x14ac:dyDescent="0.3">
      <c r="B455" s="132" t="s">
        <v>931</v>
      </c>
      <c r="C455" s="132" t="s">
        <v>402</v>
      </c>
      <c r="D455" s="132" t="s">
        <v>849</v>
      </c>
      <c r="E455" s="132" t="s">
        <v>320</v>
      </c>
      <c r="F455" s="133" t="s">
        <v>932</v>
      </c>
      <c r="G455" s="134">
        <v>1.29</v>
      </c>
      <c r="H455" s="135">
        <v>13.45</v>
      </c>
      <c r="I455" s="136">
        <f t="shared" si="6"/>
        <v>17.3505</v>
      </c>
      <c r="J455" s="137">
        <v>1</v>
      </c>
    </row>
    <row r="456" spans="2:10" ht="14.4" x14ac:dyDescent="0.3">
      <c r="B456" s="132" t="s">
        <v>931</v>
      </c>
      <c r="C456" s="132" t="s">
        <v>402</v>
      </c>
      <c r="D456" s="132" t="s">
        <v>849</v>
      </c>
      <c r="E456" s="132" t="s">
        <v>320</v>
      </c>
      <c r="F456" s="133" t="s">
        <v>933</v>
      </c>
      <c r="G456" s="134">
        <v>2.3199999999999998</v>
      </c>
      <c r="H456" s="135">
        <v>13.45</v>
      </c>
      <c r="I456" s="136">
        <f t="shared" ref="I456:I519" si="7">G456*H456</f>
        <v>31.203999999999997</v>
      </c>
      <c r="J456" s="137">
        <v>1</v>
      </c>
    </row>
    <row r="457" spans="2:10" ht="14.4" x14ac:dyDescent="0.3">
      <c r="B457" s="132" t="s">
        <v>934</v>
      </c>
      <c r="C457" s="132" t="s">
        <v>402</v>
      </c>
      <c r="D457" s="132" t="s">
        <v>849</v>
      </c>
      <c r="E457" s="132" t="s">
        <v>320</v>
      </c>
      <c r="F457" s="133" t="s">
        <v>935</v>
      </c>
      <c r="G457" s="134">
        <v>1.95</v>
      </c>
      <c r="H457" s="135">
        <v>13.45</v>
      </c>
      <c r="I457" s="136">
        <f t="shared" si="7"/>
        <v>26.227499999999999</v>
      </c>
      <c r="J457" s="137">
        <v>1</v>
      </c>
    </row>
    <row r="458" spans="2:10" ht="14.4" x14ac:dyDescent="0.3">
      <c r="B458" s="132" t="s">
        <v>934</v>
      </c>
      <c r="C458" s="132" t="s">
        <v>402</v>
      </c>
      <c r="D458" s="132" t="s">
        <v>849</v>
      </c>
      <c r="E458" s="132" t="s">
        <v>320</v>
      </c>
      <c r="F458" s="133" t="s">
        <v>936</v>
      </c>
      <c r="G458" s="134">
        <v>1.94</v>
      </c>
      <c r="H458" s="135">
        <v>13.45</v>
      </c>
      <c r="I458" s="136">
        <f t="shared" si="7"/>
        <v>26.092999999999996</v>
      </c>
      <c r="J458" s="137">
        <v>1</v>
      </c>
    </row>
    <row r="459" spans="2:10" ht="14.4" x14ac:dyDescent="0.3">
      <c r="B459" s="132" t="s">
        <v>934</v>
      </c>
      <c r="C459" s="132" t="s">
        <v>402</v>
      </c>
      <c r="D459" s="132" t="s">
        <v>849</v>
      </c>
      <c r="E459" s="132" t="s">
        <v>320</v>
      </c>
      <c r="F459" s="133" t="s">
        <v>937</v>
      </c>
      <c r="G459" s="134">
        <v>7.46</v>
      </c>
      <c r="H459" s="135">
        <v>13.45</v>
      </c>
      <c r="I459" s="136">
        <f t="shared" si="7"/>
        <v>100.33699999999999</v>
      </c>
      <c r="J459" s="137">
        <v>1</v>
      </c>
    </row>
    <row r="460" spans="2:10" ht="14.4" x14ac:dyDescent="0.3">
      <c r="B460" s="132" t="s">
        <v>934</v>
      </c>
      <c r="C460" s="132" t="s">
        <v>402</v>
      </c>
      <c r="D460" s="132" t="s">
        <v>849</v>
      </c>
      <c r="E460" s="132" t="s">
        <v>320</v>
      </c>
      <c r="F460" s="133" t="s">
        <v>938</v>
      </c>
      <c r="G460" s="134">
        <v>7.61</v>
      </c>
      <c r="H460" s="135">
        <v>13.45</v>
      </c>
      <c r="I460" s="136">
        <f t="shared" si="7"/>
        <v>102.3545</v>
      </c>
      <c r="J460" s="137">
        <v>1</v>
      </c>
    </row>
    <row r="461" spans="2:10" ht="14.4" x14ac:dyDescent="0.3">
      <c r="B461" s="132" t="s">
        <v>934</v>
      </c>
      <c r="C461" s="132" t="s">
        <v>402</v>
      </c>
      <c r="D461" s="132" t="s">
        <v>849</v>
      </c>
      <c r="E461" s="132" t="s">
        <v>320</v>
      </c>
      <c r="F461" s="133" t="s">
        <v>939</v>
      </c>
      <c r="G461" s="134">
        <v>3.56</v>
      </c>
      <c r="H461" s="135">
        <v>13.45</v>
      </c>
      <c r="I461" s="136">
        <f t="shared" si="7"/>
        <v>47.881999999999998</v>
      </c>
      <c r="J461" s="137">
        <v>1</v>
      </c>
    </row>
    <row r="462" spans="2:10" ht="14.4" x14ac:dyDescent="0.3">
      <c r="B462" s="132" t="s">
        <v>934</v>
      </c>
      <c r="C462" s="132" t="s">
        <v>402</v>
      </c>
      <c r="D462" s="132" t="s">
        <v>849</v>
      </c>
      <c r="E462" s="132" t="s">
        <v>320</v>
      </c>
      <c r="F462" s="133" t="s">
        <v>940</v>
      </c>
      <c r="G462" s="134">
        <v>3.4</v>
      </c>
      <c r="H462" s="135">
        <v>13.45</v>
      </c>
      <c r="I462" s="136">
        <f t="shared" si="7"/>
        <v>45.73</v>
      </c>
      <c r="J462" s="137">
        <v>1</v>
      </c>
    </row>
    <row r="463" spans="2:10" ht="14.4" x14ac:dyDescent="0.3">
      <c r="B463" s="132" t="s">
        <v>941</v>
      </c>
      <c r="C463" s="132" t="s">
        <v>402</v>
      </c>
      <c r="D463" s="132" t="s">
        <v>849</v>
      </c>
      <c r="E463" s="132" t="s">
        <v>320</v>
      </c>
      <c r="F463" s="133" t="s">
        <v>942</v>
      </c>
      <c r="G463" s="134">
        <v>3.24</v>
      </c>
      <c r="H463" s="135">
        <v>13.45</v>
      </c>
      <c r="I463" s="136">
        <f t="shared" si="7"/>
        <v>43.578000000000003</v>
      </c>
      <c r="J463" s="137">
        <v>1</v>
      </c>
    </row>
    <row r="464" spans="2:10" ht="14.4" x14ac:dyDescent="0.3">
      <c r="B464" s="132" t="s">
        <v>941</v>
      </c>
      <c r="C464" s="132" t="s">
        <v>402</v>
      </c>
      <c r="D464" s="132" t="s">
        <v>849</v>
      </c>
      <c r="E464" s="132" t="s">
        <v>320</v>
      </c>
      <c r="F464" s="133" t="s">
        <v>943</v>
      </c>
      <c r="G464" s="134">
        <v>3.24</v>
      </c>
      <c r="H464" s="135">
        <v>13.45</v>
      </c>
      <c r="I464" s="136">
        <f t="shared" si="7"/>
        <v>43.578000000000003</v>
      </c>
      <c r="J464" s="137">
        <v>1</v>
      </c>
    </row>
    <row r="465" spans="2:10" ht="14.4" x14ac:dyDescent="0.3">
      <c r="B465" s="132" t="s">
        <v>941</v>
      </c>
      <c r="C465" s="132" t="s">
        <v>402</v>
      </c>
      <c r="D465" s="132" t="s">
        <v>849</v>
      </c>
      <c r="E465" s="132" t="s">
        <v>320</v>
      </c>
      <c r="F465" s="133" t="s">
        <v>944</v>
      </c>
      <c r="G465" s="134">
        <v>1.3</v>
      </c>
      <c r="H465" s="135">
        <v>13.45</v>
      </c>
      <c r="I465" s="136">
        <f t="shared" si="7"/>
        <v>17.484999999999999</v>
      </c>
      <c r="J465" s="137">
        <v>1</v>
      </c>
    </row>
    <row r="466" spans="2:10" ht="14.4" x14ac:dyDescent="0.3">
      <c r="B466" s="132" t="s">
        <v>941</v>
      </c>
      <c r="C466" s="132" t="s">
        <v>402</v>
      </c>
      <c r="D466" s="132" t="s">
        <v>849</v>
      </c>
      <c r="E466" s="132" t="s">
        <v>320</v>
      </c>
      <c r="F466" s="133" t="s">
        <v>945</v>
      </c>
      <c r="G466" s="134">
        <v>9.65</v>
      </c>
      <c r="H466" s="135">
        <v>13.45</v>
      </c>
      <c r="I466" s="136">
        <f t="shared" si="7"/>
        <v>129.79249999999999</v>
      </c>
      <c r="J466" s="137">
        <v>1</v>
      </c>
    </row>
    <row r="467" spans="2:10" ht="14.4" x14ac:dyDescent="0.3">
      <c r="B467" s="132" t="s">
        <v>941</v>
      </c>
      <c r="C467" s="132" t="s">
        <v>402</v>
      </c>
      <c r="D467" s="132" t="s">
        <v>849</v>
      </c>
      <c r="E467" s="132" t="s">
        <v>320</v>
      </c>
      <c r="F467" s="133" t="s">
        <v>946</v>
      </c>
      <c r="G467" s="134">
        <v>9.7100000000000009</v>
      </c>
      <c r="H467" s="135">
        <v>13.45</v>
      </c>
      <c r="I467" s="136">
        <f t="shared" si="7"/>
        <v>130.59950000000001</v>
      </c>
      <c r="J467" s="137">
        <v>1</v>
      </c>
    </row>
    <row r="468" spans="2:10" ht="14.4" x14ac:dyDescent="0.3">
      <c r="B468" s="132" t="s">
        <v>941</v>
      </c>
      <c r="C468" s="132" t="s">
        <v>402</v>
      </c>
      <c r="D468" s="132" t="s">
        <v>849</v>
      </c>
      <c r="E468" s="132" t="s">
        <v>320</v>
      </c>
      <c r="F468" s="133" t="s">
        <v>947</v>
      </c>
      <c r="G468" s="134">
        <v>3.4</v>
      </c>
      <c r="H468" s="135">
        <v>13.45</v>
      </c>
      <c r="I468" s="136">
        <f t="shared" si="7"/>
        <v>45.73</v>
      </c>
      <c r="J468" s="137">
        <v>1</v>
      </c>
    </row>
    <row r="469" spans="2:10" ht="14.4" x14ac:dyDescent="0.3">
      <c r="B469" s="132" t="s">
        <v>941</v>
      </c>
      <c r="C469" s="132" t="s">
        <v>402</v>
      </c>
      <c r="D469" s="132" t="s">
        <v>849</v>
      </c>
      <c r="E469" s="132" t="s">
        <v>320</v>
      </c>
      <c r="F469" s="133" t="s">
        <v>948</v>
      </c>
      <c r="G469" s="134">
        <v>3.45</v>
      </c>
      <c r="H469" s="135">
        <v>13.45</v>
      </c>
      <c r="I469" s="136">
        <f t="shared" si="7"/>
        <v>46.402500000000003</v>
      </c>
      <c r="J469" s="137">
        <v>1</v>
      </c>
    </row>
    <row r="470" spans="2:10" ht="14.4" x14ac:dyDescent="0.3">
      <c r="B470" s="132" t="s">
        <v>949</v>
      </c>
      <c r="C470" s="132" t="s">
        <v>402</v>
      </c>
      <c r="D470" s="132" t="s">
        <v>849</v>
      </c>
      <c r="E470" s="132" t="s">
        <v>320</v>
      </c>
      <c r="F470" s="133" t="s">
        <v>950</v>
      </c>
      <c r="G470" s="134">
        <v>1.99</v>
      </c>
      <c r="H470" s="135">
        <v>13.45</v>
      </c>
      <c r="I470" s="136">
        <f t="shared" si="7"/>
        <v>26.765499999999999</v>
      </c>
      <c r="J470" s="137">
        <v>1</v>
      </c>
    </row>
    <row r="471" spans="2:10" ht="14.4" x14ac:dyDescent="0.3">
      <c r="B471" s="132" t="s">
        <v>949</v>
      </c>
      <c r="C471" s="132" t="s">
        <v>402</v>
      </c>
      <c r="D471" s="132" t="s">
        <v>849</v>
      </c>
      <c r="E471" s="132" t="s">
        <v>320</v>
      </c>
      <c r="F471" s="133" t="s">
        <v>951</v>
      </c>
      <c r="G471" s="134">
        <v>1.97</v>
      </c>
      <c r="H471" s="135">
        <v>13.45</v>
      </c>
      <c r="I471" s="136">
        <f t="shared" si="7"/>
        <v>26.496499999999997</v>
      </c>
      <c r="J471" s="137">
        <v>1</v>
      </c>
    </row>
    <row r="472" spans="2:10" ht="14.4" x14ac:dyDescent="0.3">
      <c r="B472" s="132" t="s">
        <v>952</v>
      </c>
      <c r="C472" s="132" t="s">
        <v>402</v>
      </c>
      <c r="D472" s="132" t="s">
        <v>849</v>
      </c>
      <c r="E472" s="132" t="s">
        <v>320</v>
      </c>
      <c r="F472" s="133" t="s">
        <v>953</v>
      </c>
      <c r="G472" s="134">
        <v>6.75</v>
      </c>
      <c r="H472" s="135">
        <v>13.45</v>
      </c>
      <c r="I472" s="136">
        <f t="shared" si="7"/>
        <v>90.787499999999994</v>
      </c>
      <c r="J472" s="137">
        <v>1</v>
      </c>
    </row>
    <row r="473" spans="2:10" ht="14.4" x14ac:dyDescent="0.3">
      <c r="B473" s="132" t="s">
        <v>952</v>
      </c>
      <c r="C473" s="132" t="s">
        <v>402</v>
      </c>
      <c r="D473" s="132" t="s">
        <v>849</v>
      </c>
      <c r="E473" s="132" t="s">
        <v>320</v>
      </c>
      <c r="F473" s="133" t="s">
        <v>954</v>
      </c>
      <c r="G473" s="134">
        <v>4.87</v>
      </c>
      <c r="H473" s="135">
        <v>13.45</v>
      </c>
      <c r="I473" s="136">
        <f t="shared" si="7"/>
        <v>65.501499999999993</v>
      </c>
      <c r="J473" s="137">
        <v>1</v>
      </c>
    </row>
    <row r="474" spans="2:10" ht="14.4" x14ac:dyDescent="0.3">
      <c r="B474" s="132" t="s">
        <v>952</v>
      </c>
      <c r="C474" s="132" t="s">
        <v>402</v>
      </c>
      <c r="D474" s="132" t="s">
        <v>849</v>
      </c>
      <c r="E474" s="132" t="s">
        <v>320</v>
      </c>
      <c r="F474" s="133" t="s">
        <v>955</v>
      </c>
      <c r="G474" s="134">
        <v>4.9000000000000004</v>
      </c>
      <c r="H474" s="135">
        <v>13.45</v>
      </c>
      <c r="I474" s="136">
        <f t="shared" si="7"/>
        <v>65.905000000000001</v>
      </c>
      <c r="J474" s="137">
        <v>1</v>
      </c>
    </row>
    <row r="475" spans="2:10" ht="14.4" x14ac:dyDescent="0.3">
      <c r="B475" s="132" t="s">
        <v>952</v>
      </c>
      <c r="C475" s="132" t="s">
        <v>402</v>
      </c>
      <c r="D475" s="132" t="s">
        <v>849</v>
      </c>
      <c r="E475" s="132" t="s">
        <v>320</v>
      </c>
      <c r="F475" s="133" t="s">
        <v>956</v>
      </c>
      <c r="G475" s="134">
        <v>4.58</v>
      </c>
      <c r="H475" s="135">
        <v>13.45</v>
      </c>
      <c r="I475" s="136">
        <f t="shared" si="7"/>
        <v>61.600999999999999</v>
      </c>
      <c r="J475" s="137">
        <v>1</v>
      </c>
    </row>
    <row r="476" spans="2:10" ht="14.4" x14ac:dyDescent="0.3">
      <c r="B476" s="132" t="s">
        <v>952</v>
      </c>
      <c r="C476" s="132" t="s">
        <v>402</v>
      </c>
      <c r="D476" s="132" t="s">
        <v>849</v>
      </c>
      <c r="E476" s="132" t="s">
        <v>320</v>
      </c>
      <c r="F476" s="133" t="s">
        <v>957</v>
      </c>
      <c r="G476" s="134">
        <v>4.08</v>
      </c>
      <c r="H476" s="135">
        <v>13.45</v>
      </c>
      <c r="I476" s="136">
        <f t="shared" si="7"/>
        <v>54.875999999999998</v>
      </c>
      <c r="J476" s="137">
        <v>1</v>
      </c>
    </row>
    <row r="477" spans="2:10" ht="14.4" x14ac:dyDescent="0.3">
      <c r="B477" s="132" t="s">
        <v>952</v>
      </c>
      <c r="C477" s="132" t="s">
        <v>402</v>
      </c>
      <c r="D477" s="132" t="s">
        <v>849</v>
      </c>
      <c r="E477" s="132" t="s">
        <v>320</v>
      </c>
      <c r="F477" s="133" t="s">
        <v>958</v>
      </c>
      <c r="G477" s="134">
        <v>4.28</v>
      </c>
      <c r="H477" s="135">
        <v>13.45</v>
      </c>
      <c r="I477" s="136">
        <f t="shared" si="7"/>
        <v>57.566000000000003</v>
      </c>
      <c r="J477" s="137">
        <v>1</v>
      </c>
    </row>
    <row r="478" spans="2:10" ht="14.4" x14ac:dyDescent="0.3">
      <c r="B478" s="132" t="s">
        <v>952</v>
      </c>
      <c r="C478" s="132" t="s">
        <v>402</v>
      </c>
      <c r="D478" s="132" t="s">
        <v>849</v>
      </c>
      <c r="E478" s="132" t="s">
        <v>320</v>
      </c>
      <c r="F478" s="133" t="s">
        <v>959</v>
      </c>
      <c r="G478" s="134">
        <v>4.08</v>
      </c>
      <c r="H478" s="135">
        <v>13.45</v>
      </c>
      <c r="I478" s="136">
        <f t="shared" si="7"/>
        <v>54.875999999999998</v>
      </c>
      <c r="J478" s="137">
        <v>1</v>
      </c>
    </row>
    <row r="479" spans="2:10" ht="14.4" x14ac:dyDescent="0.3">
      <c r="B479" s="132" t="s">
        <v>952</v>
      </c>
      <c r="C479" s="132" t="s">
        <v>402</v>
      </c>
      <c r="D479" s="132" t="s">
        <v>849</v>
      </c>
      <c r="E479" s="132" t="s">
        <v>320</v>
      </c>
      <c r="F479" s="133" t="s">
        <v>960</v>
      </c>
      <c r="G479" s="134">
        <v>6.73</v>
      </c>
      <c r="H479" s="135">
        <v>13.45</v>
      </c>
      <c r="I479" s="136">
        <f t="shared" si="7"/>
        <v>90.518500000000003</v>
      </c>
      <c r="J479" s="137">
        <v>1</v>
      </c>
    </row>
    <row r="480" spans="2:10" ht="14.4" x14ac:dyDescent="0.3">
      <c r="B480" s="132" t="s">
        <v>952</v>
      </c>
      <c r="C480" s="132" t="s">
        <v>402</v>
      </c>
      <c r="D480" s="132" t="s">
        <v>849</v>
      </c>
      <c r="E480" s="132" t="s">
        <v>320</v>
      </c>
      <c r="F480" s="133" t="s">
        <v>961</v>
      </c>
      <c r="G480" s="134">
        <v>6.49</v>
      </c>
      <c r="H480" s="135">
        <v>13.45</v>
      </c>
      <c r="I480" s="136">
        <f t="shared" si="7"/>
        <v>87.290499999999994</v>
      </c>
      <c r="J480" s="137">
        <v>1</v>
      </c>
    </row>
    <row r="481" spans="2:10" ht="14.4" x14ac:dyDescent="0.3">
      <c r="B481" s="132" t="s">
        <v>962</v>
      </c>
      <c r="C481" s="132" t="s">
        <v>402</v>
      </c>
      <c r="D481" s="132" t="s">
        <v>849</v>
      </c>
      <c r="E481" s="132" t="s">
        <v>320</v>
      </c>
      <c r="F481" s="133" t="s">
        <v>963</v>
      </c>
      <c r="G481" s="134">
        <v>3.94</v>
      </c>
      <c r="H481" s="135">
        <v>13.45</v>
      </c>
      <c r="I481" s="136">
        <f t="shared" si="7"/>
        <v>52.992999999999995</v>
      </c>
      <c r="J481" s="137">
        <v>1</v>
      </c>
    </row>
    <row r="482" spans="2:10" ht="14.4" x14ac:dyDescent="0.3">
      <c r="B482" s="132" t="s">
        <v>962</v>
      </c>
      <c r="C482" s="132" t="s">
        <v>402</v>
      </c>
      <c r="D482" s="132" t="s">
        <v>849</v>
      </c>
      <c r="E482" s="132" t="s">
        <v>320</v>
      </c>
      <c r="F482" s="133" t="s">
        <v>964</v>
      </c>
      <c r="G482" s="134">
        <v>4.57</v>
      </c>
      <c r="H482" s="135">
        <v>13.45</v>
      </c>
      <c r="I482" s="136">
        <f t="shared" si="7"/>
        <v>61.466500000000003</v>
      </c>
      <c r="J482" s="137">
        <v>1</v>
      </c>
    </row>
    <row r="483" spans="2:10" ht="14.4" x14ac:dyDescent="0.3">
      <c r="B483" s="132" t="s">
        <v>962</v>
      </c>
      <c r="C483" s="132" t="s">
        <v>402</v>
      </c>
      <c r="D483" s="132" t="s">
        <v>849</v>
      </c>
      <c r="E483" s="132" t="s">
        <v>320</v>
      </c>
      <c r="F483" s="133" t="s">
        <v>965</v>
      </c>
      <c r="G483" s="134">
        <v>4.5199999999999996</v>
      </c>
      <c r="H483" s="135">
        <v>13.45</v>
      </c>
      <c r="I483" s="136">
        <f t="shared" si="7"/>
        <v>60.79399999999999</v>
      </c>
      <c r="J483" s="137">
        <v>1</v>
      </c>
    </row>
    <row r="484" spans="2:10" ht="14.4" x14ac:dyDescent="0.3">
      <c r="B484" s="132" t="s">
        <v>627</v>
      </c>
      <c r="C484" s="132" t="s">
        <v>402</v>
      </c>
      <c r="D484" s="132" t="s">
        <v>849</v>
      </c>
      <c r="E484" s="132" t="s">
        <v>320</v>
      </c>
      <c r="F484" s="133" t="s">
        <v>966</v>
      </c>
      <c r="G484" s="134">
        <v>4.71</v>
      </c>
      <c r="H484" s="135">
        <v>13.45</v>
      </c>
      <c r="I484" s="136">
        <f t="shared" si="7"/>
        <v>63.349499999999999</v>
      </c>
      <c r="J484" s="137">
        <v>1</v>
      </c>
    </row>
    <row r="485" spans="2:10" ht="14.4" x14ac:dyDescent="0.3">
      <c r="B485" s="132" t="s">
        <v>627</v>
      </c>
      <c r="C485" s="132" t="s">
        <v>402</v>
      </c>
      <c r="D485" s="132" t="s">
        <v>849</v>
      </c>
      <c r="E485" s="132" t="s">
        <v>320</v>
      </c>
      <c r="F485" s="133" t="s">
        <v>630</v>
      </c>
      <c r="G485" s="134">
        <v>2.98</v>
      </c>
      <c r="H485" s="135">
        <v>13.45</v>
      </c>
      <c r="I485" s="136">
        <f t="shared" si="7"/>
        <v>40.080999999999996</v>
      </c>
      <c r="J485" s="137">
        <v>1</v>
      </c>
    </row>
    <row r="486" spans="2:10" ht="14.4" x14ac:dyDescent="0.3">
      <c r="B486" s="132" t="s">
        <v>627</v>
      </c>
      <c r="C486" s="132" t="s">
        <v>402</v>
      </c>
      <c r="D486" s="132" t="s">
        <v>849</v>
      </c>
      <c r="E486" s="132" t="s">
        <v>320</v>
      </c>
      <c r="F486" s="133" t="s">
        <v>967</v>
      </c>
      <c r="G486" s="134">
        <v>1.78</v>
      </c>
      <c r="H486" s="135">
        <v>13.45</v>
      </c>
      <c r="I486" s="136">
        <f t="shared" si="7"/>
        <v>23.940999999999999</v>
      </c>
      <c r="J486" s="137">
        <v>1</v>
      </c>
    </row>
    <row r="487" spans="2:10" ht="14.4" x14ac:dyDescent="0.3">
      <c r="B487" s="132" t="s">
        <v>627</v>
      </c>
      <c r="C487" s="132" t="s">
        <v>402</v>
      </c>
      <c r="D487" s="132" t="s">
        <v>849</v>
      </c>
      <c r="E487" s="132" t="s">
        <v>320</v>
      </c>
      <c r="F487" s="133" t="s">
        <v>968</v>
      </c>
      <c r="G487" s="134">
        <v>1.63</v>
      </c>
      <c r="H487" s="135">
        <v>13.45</v>
      </c>
      <c r="I487" s="136">
        <f t="shared" si="7"/>
        <v>21.923499999999997</v>
      </c>
      <c r="J487" s="137">
        <v>1</v>
      </c>
    </row>
    <row r="488" spans="2:10" ht="14.4" x14ac:dyDescent="0.3">
      <c r="B488" s="132" t="s">
        <v>969</v>
      </c>
      <c r="C488" s="132" t="s">
        <v>402</v>
      </c>
      <c r="D488" s="132" t="s">
        <v>849</v>
      </c>
      <c r="E488" s="132" t="s">
        <v>320</v>
      </c>
      <c r="F488" s="133" t="s">
        <v>970</v>
      </c>
      <c r="G488" s="134">
        <v>2.99</v>
      </c>
      <c r="H488" s="135">
        <v>13.45</v>
      </c>
      <c r="I488" s="136">
        <f t="shared" si="7"/>
        <v>40.215499999999999</v>
      </c>
      <c r="J488" s="137">
        <v>1</v>
      </c>
    </row>
    <row r="489" spans="2:10" ht="14.4" x14ac:dyDescent="0.3">
      <c r="B489" s="132" t="s">
        <v>969</v>
      </c>
      <c r="C489" s="132" t="s">
        <v>402</v>
      </c>
      <c r="D489" s="132" t="s">
        <v>849</v>
      </c>
      <c r="E489" s="132" t="s">
        <v>320</v>
      </c>
      <c r="F489" s="133" t="s">
        <v>971</v>
      </c>
      <c r="G489" s="134">
        <v>2.99</v>
      </c>
      <c r="H489" s="135">
        <v>13.45</v>
      </c>
      <c r="I489" s="136">
        <f t="shared" si="7"/>
        <v>40.215499999999999</v>
      </c>
      <c r="J489" s="137">
        <v>1</v>
      </c>
    </row>
    <row r="490" spans="2:10" ht="14.4" x14ac:dyDescent="0.3">
      <c r="B490" s="132" t="s">
        <v>969</v>
      </c>
      <c r="C490" s="132" t="s">
        <v>402</v>
      </c>
      <c r="D490" s="132" t="s">
        <v>849</v>
      </c>
      <c r="E490" s="132" t="s">
        <v>320</v>
      </c>
      <c r="F490" s="133" t="s">
        <v>972</v>
      </c>
      <c r="G490" s="134">
        <v>1.62</v>
      </c>
      <c r="H490" s="135">
        <v>13.45</v>
      </c>
      <c r="I490" s="136">
        <f t="shared" si="7"/>
        <v>21.789000000000001</v>
      </c>
      <c r="J490" s="137">
        <v>1</v>
      </c>
    </row>
    <row r="491" spans="2:10" ht="14.4" x14ac:dyDescent="0.3">
      <c r="B491" s="132" t="s">
        <v>969</v>
      </c>
      <c r="C491" s="132" t="s">
        <v>402</v>
      </c>
      <c r="D491" s="132" t="s">
        <v>849</v>
      </c>
      <c r="E491" s="132" t="s">
        <v>320</v>
      </c>
      <c r="F491" s="133" t="s">
        <v>973</v>
      </c>
      <c r="G491" s="134">
        <v>1.69</v>
      </c>
      <c r="H491" s="135">
        <v>13.45</v>
      </c>
      <c r="I491" s="136">
        <f t="shared" si="7"/>
        <v>22.730499999999999</v>
      </c>
      <c r="J491" s="137">
        <v>1</v>
      </c>
    </row>
    <row r="492" spans="2:10" ht="14.4" x14ac:dyDescent="0.3">
      <c r="B492" s="132" t="s">
        <v>969</v>
      </c>
      <c r="C492" s="132" t="s">
        <v>402</v>
      </c>
      <c r="D492" s="132" t="s">
        <v>849</v>
      </c>
      <c r="E492" s="132" t="s">
        <v>320</v>
      </c>
      <c r="F492" s="133" t="s">
        <v>974</v>
      </c>
      <c r="G492" s="134">
        <v>1.62</v>
      </c>
      <c r="H492" s="135">
        <v>13.45</v>
      </c>
      <c r="I492" s="136">
        <f t="shared" si="7"/>
        <v>21.789000000000001</v>
      </c>
      <c r="J492" s="137">
        <v>1</v>
      </c>
    </row>
    <row r="493" spans="2:10" ht="14.4" x14ac:dyDescent="0.3">
      <c r="B493" s="132" t="s">
        <v>969</v>
      </c>
      <c r="C493" s="132" t="s">
        <v>402</v>
      </c>
      <c r="D493" s="132" t="s">
        <v>849</v>
      </c>
      <c r="E493" s="132" t="s">
        <v>320</v>
      </c>
      <c r="F493" s="133" t="s">
        <v>975</v>
      </c>
      <c r="G493" s="134">
        <v>1.63</v>
      </c>
      <c r="H493" s="135">
        <v>13.45</v>
      </c>
      <c r="I493" s="136">
        <f t="shared" si="7"/>
        <v>21.923499999999997</v>
      </c>
      <c r="J493" s="137">
        <v>1</v>
      </c>
    </row>
    <row r="494" spans="2:10" ht="14.4" x14ac:dyDescent="0.3">
      <c r="B494" s="132" t="s">
        <v>976</v>
      </c>
      <c r="C494" s="132" t="s">
        <v>402</v>
      </c>
      <c r="D494" s="132" t="s">
        <v>849</v>
      </c>
      <c r="E494" s="132" t="s">
        <v>320</v>
      </c>
      <c r="F494" s="133" t="s">
        <v>977</v>
      </c>
      <c r="G494" s="134">
        <v>2.68</v>
      </c>
      <c r="H494" s="135">
        <v>13.45</v>
      </c>
      <c r="I494" s="136">
        <f t="shared" si="7"/>
        <v>36.045999999999999</v>
      </c>
      <c r="J494" s="137">
        <v>1</v>
      </c>
    </row>
    <row r="495" spans="2:10" ht="14.4" x14ac:dyDescent="0.3">
      <c r="B495" s="132" t="s">
        <v>976</v>
      </c>
      <c r="C495" s="132" t="s">
        <v>402</v>
      </c>
      <c r="D495" s="132" t="s">
        <v>849</v>
      </c>
      <c r="E495" s="132" t="s">
        <v>320</v>
      </c>
      <c r="F495" s="133" t="s">
        <v>978</v>
      </c>
      <c r="G495" s="134">
        <v>2.48</v>
      </c>
      <c r="H495" s="135">
        <v>13.45</v>
      </c>
      <c r="I495" s="136">
        <f t="shared" si="7"/>
        <v>33.355999999999995</v>
      </c>
      <c r="J495" s="137">
        <v>1</v>
      </c>
    </row>
    <row r="496" spans="2:10" ht="14.4" x14ac:dyDescent="0.3">
      <c r="B496" s="132" t="s">
        <v>976</v>
      </c>
      <c r="C496" s="132" t="s">
        <v>402</v>
      </c>
      <c r="D496" s="132" t="s">
        <v>849</v>
      </c>
      <c r="E496" s="132" t="s">
        <v>320</v>
      </c>
      <c r="F496" s="133" t="s">
        <v>979</v>
      </c>
      <c r="G496" s="134">
        <v>2.3199999999999998</v>
      </c>
      <c r="H496" s="135">
        <v>13.45</v>
      </c>
      <c r="I496" s="136">
        <f t="shared" si="7"/>
        <v>31.203999999999997</v>
      </c>
      <c r="J496" s="137">
        <v>1</v>
      </c>
    </row>
    <row r="497" spans="2:10" ht="14.4" x14ac:dyDescent="0.3">
      <c r="B497" s="132" t="s">
        <v>976</v>
      </c>
      <c r="C497" s="132" t="s">
        <v>402</v>
      </c>
      <c r="D497" s="132" t="s">
        <v>849</v>
      </c>
      <c r="E497" s="132" t="s">
        <v>320</v>
      </c>
      <c r="F497" s="133" t="s">
        <v>980</v>
      </c>
      <c r="G497" s="134">
        <v>2.31</v>
      </c>
      <c r="H497" s="135">
        <v>13.45</v>
      </c>
      <c r="I497" s="136">
        <f t="shared" si="7"/>
        <v>31.069499999999998</v>
      </c>
      <c r="J497" s="137">
        <v>1</v>
      </c>
    </row>
    <row r="498" spans="2:10" ht="14.4" x14ac:dyDescent="0.3">
      <c r="B498" s="132" t="s">
        <v>976</v>
      </c>
      <c r="C498" s="132" t="s">
        <v>402</v>
      </c>
      <c r="D498" s="132" t="s">
        <v>849</v>
      </c>
      <c r="E498" s="132" t="s">
        <v>320</v>
      </c>
      <c r="F498" s="133" t="s">
        <v>981</v>
      </c>
      <c r="G498" s="134">
        <v>2.15</v>
      </c>
      <c r="H498" s="135">
        <v>13.45</v>
      </c>
      <c r="I498" s="136">
        <f t="shared" si="7"/>
        <v>28.917499999999997</v>
      </c>
      <c r="J498" s="137">
        <v>1</v>
      </c>
    </row>
    <row r="499" spans="2:10" ht="14.4" x14ac:dyDescent="0.3">
      <c r="B499" s="132" t="s">
        <v>976</v>
      </c>
      <c r="C499" s="132" t="s">
        <v>402</v>
      </c>
      <c r="D499" s="132" t="s">
        <v>849</v>
      </c>
      <c r="E499" s="132" t="s">
        <v>320</v>
      </c>
      <c r="F499" s="133" t="s">
        <v>982</v>
      </c>
      <c r="G499" s="134">
        <v>2.15</v>
      </c>
      <c r="H499" s="135">
        <v>13.45</v>
      </c>
      <c r="I499" s="136">
        <f t="shared" si="7"/>
        <v>28.917499999999997</v>
      </c>
      <c r="J499" s="137">
        <v>1</v>
      </c>
    </row>
    <row r="500" spans="2:10" ht="14.4" x14ac:dyDescent="0.3">
      <c r="B500" s="132" t="s">
        <v>983</v>
      </c>
      <c r="C500" s="132" t="s">
        <v>402</v>
      </c>
      <c r="D500" s="132" t="s">
        <v>849</v>
      </c>
      <c r="E500" s="132" t="s">
        <v>320</v>
      </c>
      <c r="F500" s="133" t="s">
        <v>984</v>
      </c>
      <c r="G500" s="134">
        <v>2.98</v>
      </c>
      <c r="H500" s="135">
        <v>13.45</v>
      </c>
      <c r="I500" s="136">
        <f t="shared" si="7"/>
        <v>40.080999999999996</v>
      </c>
      <c r="J500" s="137">
        <v>1</v>
      </c>
    </row>
    <row r="501" spans="2:10" ht="14.4" x14ac:dyDescent="0.3">
      <c r="B501" s="132" t="s">
        <v>983</v>
      </c>
      <c r="C501" s="132" t="s">
        <v>402</v>
      </c>
      <c r="D501" s="132" t="s">
        <v>849</v>
      </c>
      <c r="E501" s="132" t="s">
        <v>320</v>
      </c>
      <c r="F501" s="133" t="s">
        <v>985</v>
      </c>
      <c r="G501" s="134">
        <v>6.36</v>
      </c>
      <c r="H501" s="135">
        <v>13.45</v>
      </c>
      <c r="I501" s="136">
        <f t="shared" si="7"/>
        <v>85.542000000000002</v>
      </c>
      <c r="J501" s="137">
        <v>1</v>
      </c>
    </row>
    <row r="502" spans="2:10" ht="14.4" x14ac:dyDescent="0.3">
      <c r="B502" s="132" t="s">
        <v>986</v>
      </c>
      <c r="C502" s="132" t="s">
        <v>402</v>
      </c>
      <c r="D502" s="132" t="s">
        <v>849</v>
      </c>
      <c r="E502" s="132" t="s">
        <v>320</v>
      </c>
      <c r="F502" s="133" t="s">
        <v>987</v>
      </c>
      <c r="G502" s="134">
        <v>3.58</v>
      </c>
      <c r="H502" s="135">
        <v>13.45</v>
      </c>
      <c r="I502" s="136">
        <f t="shared" si="7"/>
        <v>48.150999999999996</v>
      </c>
      <c r="J502" s="137">
        <v>1</v>
      </c>
    </row>
    <row r="503" spans="2:10" ht="14.4" x14ac:dyDescent="0.3">
      <c r="B503" s="132" t="s">
        <v>988</v>
      </c>
      <c r="C503" s="132" t="s">
        <v>402</v>
      </c>
      <c r="D503" s="132" t="s">
        <v>849</v>
      </c>
      <c r="E503" s="132" t="s">
        <v>320</v>
      </c>
      <c r="F503" s="133" t="s">
        <v>989</v>
      </c>
      <c r="G503" s="134">
        <v>1.98</v>
      </c>
      <c r="H503" s="135">
        <v>13.45</v>
      </c>
      <c r="I503" s="136">
        <f t="shared" si="7"/>
        <v>26.630999999999997</v>
      </c>
      <c r="J503" s="137">
        <v>1</v>
      </c>
    </row>
    <row r="504" spans="2:10" ht="14.4" x14ac:dyDescent="0.3">
      <c r="B504" s="132" t="s">
        <v>988</v>
      </c>
      <c r="C504" s="132" t="s">
        <v>402</v>
      </c>
      <c r="D504" s="132" t="s">
        <v>849</v>
      </c>
      <c r="E504" s="132" t="s">
        <v>320</v>
      </c>
      <c r="F504" s="133" t="s">
        <v>990</v>
      </c>
      <c r="G504" s="134">
        <v>3.25</v>
      </c>
      <c r="H504" s="135">
        <v>13.45</v>
      </c>
      <c r="I504" s="136">
        <f t="shared" si="7"/>
        <v>43.712499999999999</v>
      </c>
      <c r="J504" s="137">
        <v>1</v>
      </c>
    </row>
    <row r="505" spans="2:10" ht="14.4" x14ac:dyDescent="0.3">
      <c r="B505" s="132" t="s">
        <v>991</v>
      </c>
      <c r="C505" s="132" t="s">
        <v>402</v>
      </c>
      <c r="D505" s="132" t="s">
        <v>849</v>
      </c>
      <c r="E505" s="132" t="s">
        <v>320</v>
      </c>
      <c r="F505" s="133" t="s">
        <v>992</v>
      </c>
      <c r="G505" s="134">
        <v>1.45</v>
      </c>
      <c r="H505" s="135">
        <v>13.45</v>
      </c>
      <c r="I505" s="136">
        <f t="shared" si="7"/>
        <v>19.502499999999998</v>
      </c>
      <c r="J505" s="137">
        <v>1</v>
      </c>
    </row>
    <row r="506" spans="2:10" ht="14.4" x14ac:dyDescent="0.3">
      <c r="B506" s="132" t="s">
        <v>991</v>
      </c>
      <c r="C506" s="132" t="s">
        <v>402</v>
      </c>
      <c r="D506" s="132" t="s">
        <v>849</v>
      </c>
      <c r="E506" s="132" t="s">
        <v>320</v>
      </c>
      <c r="F506" s="133" t="s">
        <v>993</v>
      </c>
      <c r="G506" s="134">
        <v>1.45</v>
      </c>
      <c r="H506" s="135">
        <v>13.45</v>
      </c>
      <c r="I506" s="136">
        <f t="shared" si="7"/>
        <v>19.502499999999998</v>
      </c>
      <c r="J506" s="137">
        <v>1</v>
      </c>
    </row>
    <row r="507" spans="2:10" ht="14.4" x14ac:dyDescent="0.3">
      <c r="B507" s="132" t="s">
        <v>991</v>
      </c>
      <c r="C507" s="132" t="s">
        <v>402</v>
      </c>
      <c r="D507" s="132" t="s">
        <v>849</v>
      </c>
      <c r="E507" s="132" t="s">
        <v>320</v>
      </c>
      <c r="F507" s="133" t="s">
        <v>994</v>
      </c>
      <c r="G507" s="134">
        <v>3.91</v>
      </c>
      <c r="H507" s="135">
        <v>13.45</v>
      </c>
      <c r="I507" s="136">
        <f t="shared" si="7"/>
        <v>52.589500000000001</v>
      </c>
      <c r="J507" s="137">
        <v>1</v>
      </c>
    </row>
    <row r="508" spans="2:10" ht="14.4" x14ac:dyDescent="0.3">
      <c r="B508" s="132" t="s">
        <v>991</v>
      </c>
      <c r="C508" s="132" t="s">
        <v>402</v>
      </c>
      <c r="D508" s="132" t="s">
        <v>849</v>
      </c>
      <c r="E508" s="132" t="s">
        <v>320</v>
      </c>
      <c r="F508" s="133" t="s">
        <v>995</v>
      </c>
      <c r="G508" s="134">
        <v>3.9</v>
      </c>
      <c r="H508" s="135">
        <v>13.45</v>
      </c>
      <c r="I508" s="136">
        <f t="shared" si="7"/>
        <v>52.454999999999998</v>
      </c>
      <c r="J508" s="137">
        <v>1</v>
      </c>
    </row>
    <row r="509" spans="2:10" ht="14.4" x14ac:dyDescent="0.3">
      <c r="B509" s="132" t="s">
        <v>996</v>
      </c>
      <c r="C509" s="132" t="s">
        <v>402</v>
      </c>
      <c r="D509" s="132" t="s">
        <v>849</v>
      </c>
      <c r="E509" s="132" t="s">
        <v>320</v>
      </c>
      <c r="F509" s="133" t="s">
        <v>997</v>
      </c>
      <c r="G509" s="134">
        <v>2.59</v>
      </c>
      <c r="H509" s="135">
        <v>13.45</v>
      </c>
      <c r="I509" s="136">
        <f t="shared" si="7"/>
        <v>34.835499999999996</v>
      </c>
      <c r="J509" s="137">
        <v>1</v>
      </c>
    </row>
    <row r="510" spans="2:10" ht="14.4" x14ac:dyDescent="0.3">
      <c r="B510" s="132" t="s">
        <v>996</v>
      </c>
      <c r="C510" s="132" t="s">
        <v>402</v>
      </c>
      <c r="D510" s="132" t="s">
        <v>849</v>
      </c>
      <c r="E510" s="132" t="s">
        <v>320</v>
      </c>
      <c r="F510" s="133" t="s">
        <v>998</v>
      </c>
      <c r="G510" s="134">
        <v>2.58</v>
      </c>
      <c r="H510" s="135">
        <v>13.45</v>
      </c>
      <c r="I510" s="136">
        <f t="shared" si="7"/>
        <v>34.701000000000001</v>
      </c>
      <c r="J510" s="137">
        <v>1</v>
      </c>
    </row>
    <row r="511" spans="2:10" ht="14.4" x14ac:dyDescent="0.3">
      <c r="B511" s="132" t="s">
        <v>999</v>
      </c>
      <c r="C511" s="132" t="s">
        <v>402</v>
      </c>
      <c r="D511" s="132" t="s">
        <v>849</v>
      </c>
      <c r="E511" s="132" t="s">
        <v>320</v>
      </c>
      <c r="F511" s="133" t="s">
        <v>1000</v>
      </c>
      <c r="G511" s="134">
        <v>1.47</v>
      </c>
      <c r="H511" s="135">
        <v>13.45</v>
      </c>
      <c r="I511" s="136">
        <f t="shared" si="7"/>
        <v>19.7715</v>
      </c>
      <c r="J511" s="137">
        <v>1</v>
      </c>
    </row>
    <row r="512" spans="2:10" ht="14.4" x14ac:dyDescent="0.3">
      <c r="B512" s="132" t="s">
        <v>999</v>
      </c>
      <c r="C512" s="132" t="s">
        <v>402</v>
      </c>
      <c r="D512" s="132" t="s">
        <v>849</v>
      </c>
      <c r="E512" s="132" t="s">
        <v>320</v>
      </c>
      <c r="F512" s="133" t="s">
        <v>1001</v>
      </c>
      <c r="G512" s="134">
        <v>1.46</v>
      </c>
      <c r="H512" s="135">
        <v>13.45</v>
      </c>
      <c r="I512" s="136">
        <f t="shared" si="7"/>
        <v>19.636999999999997</v>
      </c>
      <c r="J512" s="137">
        <v>1</v>
      </c>
    </row>
    <row r="513" spans="2:10" ht="14.4" x14ac:dyDescent="0.3">
      <c r="B513" s="132" t="s">
        <v>999</v>
      </c>
      <c r="C513" s="132" t="s">
        <v>402</v>
      </c>
      <c r="D513" s="132" t="s">
        <v>849</v>
      </c>
      <c r="E513" s="132" t="s">
        <v>320</v>
      </c>
      <c r="F513" s="133" t="s">
        <v>1002</v>
      </c>
      <c r="G513" s="134">
        <v>2.2799999999999998</v>
      </c>
      <c r="H513" s="135">
        <v>13.45</v>
      </c>
      <c r="I513" s="136">
        <f t="shared" si="7"/>
        <v>30.665999999999997</v>
      </c>
      <c r="J513" s="137">
        <v>1</v>
      </c>
    </row>
    <row r="514" spans="2:10" ht="14.4" x14ac:dyDescent="0.3">
      <c r="B514" s="132" t="s">
        <v>999</v>
      </c>
      <c r="C514" s="132" t="s">
        <v>402</v>
      </c>
      <c r="D514" s="132" t="s">
        <v>849</v>
      </c>
      <c r="E514" s="132" t="s">
        <v>320</v>
      </c>
      <c r="F514" s="133" t="s">
        <v>1003</v>
      </c>
      <c r="G514" s="134">
        <v>2.3199999999999998</v>
      </c>
      <c r="H514" s="135">
        <v>13.45</v>
      </c>
      <c r="I514" s="136">
        <f t="shared" si="7"/>
        <v>31.203999999999997</v>
      </c>
      <c r="J514" s="137">
        <v>1</v>
      </c>
    </row>
    <row r="515" spans="2:10" ht="14.4" x14ac:dyDescent="0.3">
      <c r="B515" s="132" t="s">
        <v>1004</v>
      </c>
      <c r="C515" s="132" t="s">
        <v>402</v>
      </c>
      <c r="D515" s="132" t="s">
        <v>849</v>
      </c>
      <c r="E515" s="132" t="s">
        <v>320</v>
      </c>
      <c r="F515" s="133" t="s">
        <v>1005</v>
      </c>
      <c r="G515" s="134">
        <v>1.45</v>
      </c>
      <c r="H515" s="135">
        <v>13.45</v>
      </c>
      <c r="I515" s="136">
        <f t="shared" si="7"/>
        <v>19.502499999999998</v>
      </c>
      <c r="J515" s="137">
        <v>1</v>
      </c>
    </row>
    <row r="516" spans="2:10" ht="14.4" x14ac:dyDescent="0.3">
      <c r="B516" s="132" t="s">
        <v>1004</v>
      </c>
      <c r="C516" s="132" t="s">
        <v>402</v>
      </c>
      <c r="D516" s="132" t="s">
        <v>849</v>
      </c>
      <c r="E516" s="132" t="s">
        <v>320</v>
      </c>
      <c r="F516" s="133" t="s">
        <v>1006</v>
      </c>
      <c r="G516" s="134">
        <v>1.45</v>
      </c>
      <c r="H516" s="135">
        <v>13.45</v>
      </c>
      <c r="I516" s="136">
        <f t="shared" si="7"/>
        <v>19.502499999999998</v>
      </c>
      <c r="J516" s="137">
        <v>1</v>
      </c>
    </row>
    <row r="517" spans="2:10" ht="14.4" x14ac:dyDescent="0.3">
      <c r="B517" s="132" t="s">
        <v>1007</v>
      </c>
      <c r="C517" s="132" t="s">
        <v>402</v>
      </c>
      <c r="D517" s="132" t="s">
        <v>849</v>
      </c>
      <c r="E517" s="132" t="s">
        <v>320</v>
      </c>
      <c r="F517" s="133" t="s">
        <v>1008</v>
      </c>
      <c r="G517" s="134">
        <v>3.89</v>
      </c>
      <c r="H517" s="135">
        <v>13.45</v>
      </c>
      <c r="I517" s="136">
        <f t="shared" si="7"/>
        <v>52.320499999999996</v>
      </c>
      <c r="J517" s="137">
        <v>1</v>
      </c>
    </row>
    <row r="518" spans="2:10" ht="14.4" x14ac:dyDescent="0.3">
      <c r="B518" s="132" t="s">
        <v>1007</v>
      </c>
      <c r="C518" s="132" t="s">
        <v>402</v>
      </c>
      <c r="D518" s="132" t="s">
        <v>849</v>
      </c>
      <c r="E518" s="132" t="s">
        <v>320</v>
      </c>
      <c r="F518" s="133" t="s">
        <v>1009</v>
      </c>
      <c r="G518" s="134">
        <v>4.5599999999999996</v>
      </c>
      <c r="H518" s="135">
        <v>13.45</v>
      </c>
      <c r="I518" s="136">
        <f t="shared" si="7"/>
        <v>61.331999999999994</v>
      </c>
      <c r="J518" s="137">
        <v>1</v>
      </c>
    </row>
    <row r="519" spans="2:10" ht="14.4" x14ac:dyDescent="0.3">
      <c r="B519" s="132" t="s">
        <v>1007</v>
      </c>
      <c r="C519" s="132" t="s">
        <v>402</v>
      </c>
      <c r="D519" s="132" t="s">
        <v>849</v>
      </c>
      <c r="E519" s="132" t="s">
        <v>320</v>
      </c>
      <c r="F519" s="133" t="s">
        <v>1010</v>
      </c>
      <c r="G519" s="134">
        <v>7.97</v>
      </c>
      <c r="H519" s="135">
        <v>13.45</v>
      </c>
      <c r="I519" s="136">
        <f t="shared" si="7"/>
        <v>107.19649999999999</v>
      </c>
      <c r="J519" s="137">
        <v>1</v>
      </c>
    </row>
    <row r="520" spans="2:10" ht="14.4" x14ac:dyDescent="0.3">
      <c r="B520" s="132" t="s">
        <v>1007</v>
      </c>
      <c r="C520" s="132" t="s">
        <v>402</v>
      </c>
      <c r="D520" s="132" t="s">
        <v>849</v>
      </c>
      <c r="E520" s="132" t="s">
        <v>320</v>
      </c>
      <c r="F520" s="133" t="s">
        <v>1011</v>
      </c>
      <c r="G520" s="134">
        <v>6.15</v>
      </c>
      <c r="H520" s="135">
        <v>13.45</v>
      </c>
      <c r="I520" s="136">
        <f t="shared" ref="I520:I583" si="8">G520*H520</f>
        <v>82.717500000000001</v>
      </c>
      <c r="J520" s="137">
        <v>1</v>
      </c>
    </row>
    <row r="521" spans="2:10" ht="14.4" x14ac:dyDescent="0.3">
      <c r="B521" s="132" t="s">
        <v>1007</v>
      </c>
      <c r="C521" s="132" t="s">
        <v>402</v>
      </c>
      <c r="D521" s="132" t="s">
        <v>849</v>
      </c>
      <c r="E521" s="132" t="s">
        <v>320</v>
      </c>
      <c r="F521" s="133" t="s">
        <v>1012</v>
      </c>
      <c r="G521" s="134">
        <v>1.1499999999999999</v>
      </c>
      <c r="H521" s="135">
        <v>13.45</v>
      </c>
      <c r="I521" s="136">
        <f t="shared" si="8"/>
        <v>15.467499999999998</v>
      </c>
      <c r="J521" s="137">
        <v>1</v>
      </c>
    </row>
    <row r="522" spans="2:10" ht="14.4" x14ac:dyDescent="0.3">
      <c r="B522" s="132" t="s">
        <v>1007</v>
      </c>
      <c r="C522" s="132" t="s">
        <v>402</v>
      </c>
      <c r="D522" s="132" t="s">
        <v>849</v>
      </c>
      <c r="E522" s="132" t="s">
        <v>320</v>
      </c>
      <c r="F522" s="133" t="s">
        <v>1013</v>
      </c>
      <c r="G522" s="134">
        <v>7.98</v>
      </c>
      <c r="H522" s="135">
        <v>13.45</v>
      </c>
      <c r="I522" s="136">
        <f t="shared" si="8"/>
        <v>107.331</v>
      </c>
      <c r="J522" s="137">
        <v>1</v>
      </c>
    </row>
    <row r="523" spans="2:10" ht="14.4" x14ac:dyDescent="0.3">
      <c r="B523" s="132" t="s">
        <v>1007</v>
      </c>
      <c r="C523" s="132" t="s">
        <v>402</v>
      </c>
      <c r="D523" s="132" t="s">
        <v>849</v>
      </c>
      <c r="E523" s="132" t="s">
        <v>320</v>
      </c>
      <c r="F523" s="133" t="s">
        <v>1014</v>
      </c>
      <c r="G523" s="134">
        <v>2.92</v>
      </c>
      <c r="H523" s="135">
        <v>13.45</v>
      </c>
      <c r="I523" s="136">
        <f t="shared" si="8"/>
        <v>39.273999999999994</v>
      </c>
      <c r="J523" s="137">
        <v>1</v>
      </c>
    </row>
    <row r="524" spans="2:10" ht="14.4" x14ac:dyDescent="0.3">
      <c r="B524" s="132" t="s">
        <v>1007</v>
      </c>
      <c r="C524" s="132" t="s">
        <v>402</v>
      </c>
      <c r="D524" s="132" t="s">
        <v>849</v>
      </c>
      <c r="E524" s="132" t="s">
        <v>320</v>
      </c>
      <c r="F524" s="133" t="s">
        <v>1015</v>
      </c>
      <c r="G524" s="134">
        <v>2.75</v>
      </c>
      <c r="H524" s="135">
        <v>13.45</v>
      </c>
      <c r="I524" s="136">
        <f t="shared" si="8"/>
        <v>36.987499999999997</v>
      </c>
      <c r="J524" s="137">
        <v>1</v>
      </c>
    </row>
    <row r="525" spans="2:10" ht="14.4" x14ac:dyDescent="0.3">
      <c r="B525" s="132" t="s">
        <v>1007</v>
      </c>
      <c r="C525" s="132" t="s">
        <v>402</v>
      </c>
      <c r="D525" s="132" t="s">
        <v>849</v>
      </c>
      <c r="E525" s="132" t="s">
        <v>320</v>
      </c>
      <c r="F525" s="133" t="s">
        <v>1016</v>
      </c>
      <c r="G525" s="134">
        <v>3.24</v>
      </c>
      <c r="H525" s="135">
        <v>13.45</v>
      </c>
      <c r="I525" s="136">
        <f t="shared" si="8"/>
        <v>43.578000000000003</v>
      </c>
      <c r="J525" s="137">
        <v>1</v>
      </c>
    </row>
    <row r="526" spans="2:10" ht="14.4" x14ac:dyDescent="0.3">
      <c r="B526" s="132" t="s">
        <v>1017</v>
      </c>
      <c r="C526" s="132" t="s">
        <v>402</v>
      </c>
      <c r="D526" s="132" t="s">
        <v>849</v>
      </c>
      <c r="E526" s="132" t="s">
        <v>320</v>
      </c>
      <c r="F526" s="133" t="s">
        <v>1018</v>
      </c>
      <c r="G526" s="134">
        <v>7.12</v>
      </c>
      <c r="H526" s="135">
        <v>13.45</v>
      </c>
      <c r="I526" s="136">
        <f t="shared" si="8"/>
        <v>95.763999999999996</v>
      </c>
      <c r="J526" s="137">
        <v>1</v>
      </c>
    </row>
    <row r="527" spans="2:10" ht="14.4" x14ac:dyDescent="0.3">
      <c r="B527" s="132" t="s">
        <v>1017</v>
      </c>
      <c r="C527" s="132" t="s">
        <v>402</v>
      </c>
      <c r="D527" s="132" t="s">
        <v>849</v>
      </c>
      <c r="E527" s="132" t="s">
        <v>320</v>
      </c>
      <c r="F527" s="133" t="s">
        <v>1019</v>
      </c>
      <c r="G527" s="134">
        <v>6.97</v>
      </c>
      <c r="H527" s="135">
        <v>13.45</v>
      </c>
      <c r="I527" s="136">
        <f t="shared" si="8"/>
        <v>93.746499999999997</v>
      </c>
      <c r="J527" s="137">
        <v>1</v>
      </c>
    </row>
    <row r="528" spans="2:10" ht="14.4" x14ac:dyDescent="0.3">
      <c r="B528" s="132" t="s">
        <v>1017</v>
      </c>
      <c r="C528" s="132" t="s">
        <v>402</v>
      </c>
      <c r="D528" s="132" t="s">
        <v>849</v>
      </c>
      <c r="E528" s="132" t="s">
        <v>320</v>
      </c>
      <c r="F528" s="133" t="s">
        <v>1020</v>
      </c>
      <c r="G528" s="134">
        <v>3.73</v>
      </c>
      <c r="H528" s="135">
        <v>13.45</v>
      </c>
      <c r="I528" s="136">
        <f t="shared" si="8"/>
        <v>50.168499999999995</v>
      </c>
      <c r="J528" s="137">
        <v>1</v>
      </c>
    </row>
    <row r="529" spans="2:10" ht="14.4" x14ac:dyDescent="0.3">
      <c r="B529" s="132" t="s">
        <v>1017</v>
      </c>
      <c r="C529" s="132" t="s">
        <v>402</v>
      </c>
      <c r="D529" s="132" t="s">
        <v>849</v>
      </c>
      <c r="E529" s="132" t="s">
        <v>320</v>
      </c>
      <c r="F529" s="133" t="s">
        <v>1021</v>
      </c>
      <c r="G529" s="134">
        <v>3.73</v>
      </c>
      <c r="H529" s="135">
        <v>13.45</v>
      </c>
      <c r="I529" s="136">
        <f t="shared" si="8"/>
        <v>50.168499999999995</v>
      </c>
      <c r="J529" s="137">
        <v>1</v>
      </c>
    </row>
    <row r="530" spans="2:10" ht="14.4" x14ac:dyDescent="0.3">
      <c r="B530" s="132" t="s">
        <v>1022</v>
      </c>
      <c r="C530" s="132" t="s">
        <v>402</v>
      </c>
      <c r="D530" s="132" t="s">
        <v>849</v>
      </c>
      <c r="E530" s="132" t="s">
        <v>320</v>
      </c>
      <c r="F530" s="133" t="s">
        <v>1023</v>
      </c>
      <c r="G530" s="134">
        <v>2.65</v>
      </c>
      <c r="H530" s="135">
        <v>13.45</v>
      </c>
      <c r="I530" s="136">
        <f t="shared" si="8"/>
        <v>35.642499999999998</v>
      </c>
      <c r="J530" s="137">
        <v>1</v>
      </c>
    </row>
    <row r="531" spans="2:10" ht="14.4" x14ac:dyDescent="0.3">
      <c r="B531" s="132" t="s">
        <v>1024</v>
      </c>
      <c r="C531" s="132" t="s">
        <v>402</v>
      </c>
      <c r="D531" s="132" t="s">
        <v>849</v>
      </c>
      <c r="E531" s="132" t="s">
        <v>320</v>
      </c>
      <c r="F531" s="133" t="s">
        <v>1025</v>
      </c>
      <c r="G531" s="134">
        <v>1.63</v>
      </c>
      <c r="H531" s="135">
        <v>13.45</v>
      </c>
      <c r="I531" s="136">
        <f t="shared" si="8"/>
        <v>21.923499999999997</v>
      </c>
      <c r="J531" s="137">
        <v>1</v>
      </c>
    </row>
    <row r="532" spans="2:10" ht="14.4" x14ac:dyDescent="0.3">
      <c r="B532" s="132" t="s">
        <v>1024</v>
      </c>
      <c r="C532" s="132" t="s">
        <v>402</v>
      </c>
      <c r="D532" s="132" t="s">
        <v>849</v>
      </c>
      <c r="E532" s="132" t="s">
        <v>320</v>
      </c>
      <c r="F532" s="133" t="s">
        <v>1026</v>
      </c>
      <c r="G532" s="134">
        <v>1.62</v>
      </c>
      <c r="H532" s="135">
        <v>13.45</v>
      </c>
      <c r="I532" s="136">
        <f t="shared" si="8"/>
        <v>21.789000000000001</v>
      </c>
      <c r="J532" s="137">
        <v>1</v>
      </c>
    </row>
    <row r="533" spans="2:10" ht="14.4" x14ac:dyDescent="0.3">
      <c r="B533" s="132" t="s">
        <v>1024</v>
      </c>
      <c r="C533" s="132" t="s">
        <v>402</v>
      </c>
      <c r="D533" s="132" t="s">
        <v>849</v>
      </c>
      <c r="E533" s="132" t="s">
        <v>320</v>
      </c>
      <c r="F533" s="133" t="s">
        <v>1027</v>
      </c>
      <c r="G533" s="134">
        <v>2.99</v>
      </c>
      <c r="H533" s="135">
        <v>13.45</v>
      </c>
      <c r="I533" s="136">
        <f t="shared" si="8"/>
        <v>40.215499999999999</v>
      </c>
      <c r="J533" s="137">
        <v>1</v>
      </c>
    </row>
    <row r="534" spans="2:10" ht="14.4" x14ac:dyDescent="0.3">
      <c r="B534" s="132" t="s">
        <v>1024</v>
      </c>
      <c r="C534" s="132" t="s">
        <v>402</v>
      </c>
      <c r="D534" s="132" t="s">
        <v>849</v>
      </c>
      <c r="E534" s="132" t="s">
        <v>320</v>
      </c>
      <c r="F534" s="133" t="s">
        <v>1028</v>
      </c>
      <c r="G534" s="134">
        <v>2.93</v>
      </c>
      <c r="H534" s="135">
        <v>13.45</v>
      </c>
      <c r="I534" s="136">
        <f t="shared" si="8"/>
        <v>39.408499999999997</v>
      </c>
      <c r="J534" s="137">
        <v>1</v>
      </c>
    </row>
    <row r="535" spans="2:10" ht="14.4" x14ac:dyDescent="0.3">
      <c r="B535" s="132" t="s">
        <v>1024</v>
      </c>
      <c r="C535" s="132" t="s">
        <v>402</v>
      </c>
      <c r="D535" s="132" t="s">
        <v>849</v>
      </c>
      <c r="E535" s="132" t="s">
        <v>320</v>
      </c>
      <c r="F535" s="133" t="s">
        <v>1029</v>
      </c>
      <c r="G535" s="134">
        <v>8.3699999999999992</v>
      </c>
      <c r="H535" s="135">
        <v>13.45</v>
      </c>
      <c r="I535" s="136">
        <f t="shared" si="8"/>
        <v>112.57649999999998</v>
      </c>
      <c r="J535" s="137">
        <v>1</v>
      </c>
    </row>
    <row r="536" spans="2:10" ht="14.4" x14ac:dyDescent="0.3">
      <c r="B536" s="132" t="s">
        <v>1024</v>
      </c>
      <c r="C536" s="132" t="s">
        <v>402</v>
      </c>
      <c r="D536" s="132" t="s">
        <v>849</v>
      </c>
      <c r="E536" s="132" t="s">
        <v>320</v>
      </c>
      <c r="F536" s="133" t="s">
        <v>1030</v>
      </c>
      <c r="G536" s="134">
        <v>2.94</v>
      </c>
      <c r="H536" s="135">
        <v>13.45</v>
      </c>
      <c r="I536" s="136">
        <f t="shared" si="8"/>
        <v>39.542999999999999</v>
      </c>
      <c r="J536" s="137">
        <v>1</v>
      </c>
    </row>
    <row r="537" spans="2:10" ht="14.4" x14ac:dyDescent="0.3">
      <c r="B537" s="132" t="s">
        <v>1024</v>
      </c>
      <c r="C537" s="132" t="s">
        <v>402</v>
      </c>
      <c r="D537" s="132" t="s">
        <v>849</v>
      </c>
      <c r="E537" s="132" t="s">
        <v>320</v>
      </c>
      <c r="F537" s="133" t="s">
        <v>1031</v>
      </c>
      <c r="G537" s="134">
        <v>1.78</v>
      </c>
      <c r="H537" s="135">
        <v>13.45</v>
      </c>
      <c r="I537" s="136">
        <f t="shared" si="8"/>
        <v>23.940999999999999</v>
      </c>
      <c r="J537" s="137">
        <v>1</v>
      </c>
    </row>
    <row r="538" spans="2:10" ht="14.4" x14ac:dyDescent="0.3">
      <c r="B538" s="132" t="s">
        <v>1032</v>
      </c>
      <c r="C538" s="132" t="s">
        <v>402</v>
      </c>
      <c r="D538" s="132" t="s">
        <v>849</v>
      </c>
      <c r="E538" s="132" t="s">
        <v>320</v>
      </c>
      <c r="F538" s="133" t="s">
        <v>1033</v>
      </c>
      <c r="G538" s="134">
        <v>9.76</v>
      </c>
      <c r="H538" s="135">
        <v>13.45</v>
      </c>
      <c r="I538" s="136">
        <f t="shared" si="8"/>
        <v>131.27199999999999</v>
      </c>
      <c r="J538" s="137">
        <v>1</v>
      </c>
    </row>
    <row r="539" spans="2:10" ht="14.4" x14ac:dyDescent="0.3">
      <c r="B539" s="132" t="s">
        <v>1032</v>
      </c>
      <c r="C539" s="132" t="s">
        <v>402</v>
      </c>
      <c r="D539" s="132" t="s">
        <v>849</v>
      </c>
      <c r="E539" s="132" t="s">
        <v>320</v>
      </c>
      <c r="F539" s="133" t="s">
        <v>1034</v>
      </c>
      <c r="G539" s="134">
        <v>2.62</v>
      </c>
      <c r="H539" s="135">
        <v>13.45</v>
      </c>
      <c r="I539" s="136">
        <f t="shared" si="8"/>
        <v>35.238999999999997</v>
      </c>
      <c r="J539" s="137">
        <v>1</v>
      </c>
    </row>
    <row r="540" spans="2:10" ht="14.4" x14ac:dyDescent="0.3">
      <c r="B540" s="132" t="s">
        <v>1035</v>
      </c>
      <c r="C540" s="132" t="s">
        <v>402</v>
      </c>
      <c r="D540" s="132" t="s">
        <v>849</v>
      </c>
      <c r="E540" s="132" t="s">
        <v>320</v>
      </c>
      <c r="F540" s="133" t="s">
        <v>1036</v>
      </c>
      <c r="G540" s="134">
        <v>1.62</v>
      </c>
      <c r="H540" s="135">
        <v>13.45</v>
      </c>
      <c r="I540" s="136">
        <f t="shared" si="8"/>
        <v>21.789000000000001</v>
      </c>
      <c r="J540" s="137">
        <v>1</v>
      </c>
    </row>
    <row r="541" spans="2:10" ht="14.4" x14ac:dyDescent="0.3">
      <c r="B541" s="132" t="s">
        <v>1037</v>
      </c>
      <c r="C541" s="132" t="s">
        <v>402</v>
      </c>
      <c r="D541" s="132" t="s">
        <v>849</v>
      </c>
      <c r="E541" s="132" t="s">
        <v>320</v>
      </c>
      <c r="F541" s="133" t="s">
        <v>1038</v>
      </c>
      <c r="G541" s="134">
        <v>1.31</v>
      </c>
      <c r="H541" s="135">
        <v>13.45</v>
      </c>
      <c r="I541" s="136">
        <f t="shared" si="8"/>
        <v>17.619499999999999</v>
      </c>
      <c r="J541" s="137">
        <v>1</v>
      </c>
    </row>
    <row r="542" spans="2:10" ht="14.4" x14ac:dyDescent="0.3">
      <c r="B542" s="132" t="s">
        <v>1037</v>
      </c>
      <c r="C542" s="132" t="s">
        <v>402</v>
      </c>
      <c r="D542" s="132" t="s">
        <v>849</v>
      </c>
      <c r="E542" s="132" t="s">
        <v>320</v>
      </c>
      <c r="F542" s="133" t="s">
        <v>1039</v>
      </c>
      <c r="G542" s="134">
        <v>4.62</v>
      </c>
      <c r="H542" s="135">
        <v>13.45</v>
      </c>
      <c r="I542" s="136">
        <f t="shared" si="8"/>
        <v>62.138999999999996</v>
      </c>
      <c r="J542" s="137">
        <v>1</v>
      </c>
    </row>
    <row r="543" spans="2:10" ht="14.4" x14ac:dyDescent="0.3">
      <c r="B543" s="132" t="s">
        <v>1040</v>
      </c>
      <c r="C543" s="132" t="s">
        <v>402</v>
      </c>
      <c r="D543" s="132" t="s">
        <v>849</v>
      </c>
      <c r="E543" s="132" t="s">
        <v>320</v>
      </c>
      <c r="F543" s="133" t="s">
        <v>1041</v>
      </c>
      <c r="G543" s="134">
        <v>2.79</v>
      </c>
      <c r="H543" s="135">
        <v>13.45</v>
      </c>
      <c r="I543" s="136">
        <f t="shared" si="8"/>
        <v>37.525500000000001</v>
      </c>
      <c r="J543" s="137">
        <v>1</v>
      </c>
    </row>
    <row r="544" spans="2:10" ht="14.4" x14ac:dyDescent="0.3">
      <c r="B544" s="132" t="s">
        <v>1042</v>
      </c>
      <c r="C544" s="132" t="s">
        <v>402</v>
      </c>
      <c r="D544" s="132" t="s">
        <v>1043</v>
      </c>
      <c r="E544" s="132" t="s">
        <v>320</v>
      </c>
      <c r="F544" s="133" t="s">
        <v>1044</v>
      </c>
      <c r="G544" s="134">
        <v>1.1599999999999999</v>
      </c>
      <c r="H544" s="135">
        <v>13.45</v>
      </c>
      <c r="I544" s="136">
        <f t="shared" si="8"/>
        <v>15.601999999999999</v>
      </c>
      <c r="J544" s="137">
        <v>1</v>
      </c>
    </row>
    <row r="545" spans="2:10" ht="14.4" x14ac:dyDescent="0.3">
      <c r="B545" s="132" t="s">
        <v>1042</v>
      </c>
      <c r="C545" s="132" t="s">
        <v>402</v>
      </c>
      <c r="D545" s="132" t="s">
        <v>1043</v>
      </c>
      <c r="E545" s="132" t="s">
        <v>320</v>
      </c>
      <c r="F545" s="133" t="s">
        <v>1045</v>
      </c>
      <c r="G545" s="134">
        <v>5.09</v>
      </c>
      <c r="H545" s="135">
        <v>13.45</v>
      </c>
      <c r="I545" s="136">
        <f t="shared" si="8"/>
        <v>68.460499999999996</v>
      </c>
      <c r="J545" s="137">
        <v>1</v>
      </c>
    </row>
    <row r="546" spans="2:10" ht="14.4" x14ac:dyDescent="0.3">
      <c r="B546" s="132" t="s">
        <v>1042</v>
      </c>
      <c r="C546" s="132" t="s">
        <v>402</v>
      </c>
      <c r="D546" s="132" t="s">
        <v>1043</v>
      </c>
      <c r="E546" s="132" t="s">
        <v>320</v>
      </c>
      <c r="F546" s="133" t="s">
        <v>1046</v>
      </c>
      <c r="G546" s="134">
        <v>4.29</v>
      </c>
      <c r="H546" s="135">
        <v>13.45</v>
      </c>
      <c r="I546" s="136">
        <f t="shared" si="8"/>
        <v>57.700499999999998</v>
      </c>
      <c r="J546" s="137">
        <v>1</v>
      </c>
    </row>
    <row r="547" spans="2:10" ht="14.4" x14ac:dyDescent="0.3">
      <c r="B547" s="132" t="s">
        <v>1042</v>
      </c>
      <c r="C547" s="132" t="s">
        <v>402</v>
      </c>
      <c r="D547" s="132" t="s">
        <v>1043</v>
      </c>
      <c r="E547" s="132" t="s">
        <v>320</v>
      </c>
      <c r="F547" s="133" t="s">
        <v>1047</v>
      </c>
      <c r="G547" s="134">
        <v>4.3</v>
      </c>
      <c r="H547" s="135">
        <v>13.45</v>
      </c>
      <c r="I547" s="136">
        <f t="shared" si="8"/>
        <v>57.834999999999994</v>
      </c>
      <c r="J547" s="137">
        <v>1</v>
      </c>
    </row>
    <row r="548" spans="2:10" ht="14.4" x14ac:dyDescent="0.3">
      <c r="B548" s="132" t="s">
        <v>1048</v>
      </c>
      <c r="C548" s="132" t="s">
        <v>402</v>
      </c>
      <c r="D548" s="132" t="s">
        <v>1043</v>
      </c>
      <c r="E548" s="132" t="s">
        <v>320</v>
      </c>
      <c r="F548" s="133" t="s">
        <v>1049</v>
      </c>
      <c r="G548" s="134">
        <v>3.19</v>
      </c>
      <c r="H548" s="135">
        <v>13.45</v>
      </c>
      <c r="I548" s="136">
        <f t="shared" si="8"/>
        <v>42.905499999999996</v>
      </c>
      <c r="J548" s="137">
        <v>1</v>
      </c>
    </row>
    <row r="549" spans="2:10" ht="14.4" x14ac:dyDescent="0.3">
      <c r="B549" s="132" t="s">
        <v>1050</v>
      </c>
      <c r="C549" s="132" t="s">
        <v>402</v>
      </c>
      <c r="D549" s="132" t="s">
        <v>1043</v>
      </c>
      <c r="E549" s="132" t="s">
        <v>320</v>
      </c>
      <c r="F549" s="133" t="s">
        <v>1051</v>
      </c>
      <c r="G549" s="134">
        <v>1.42</v>
      </c>
      <c r="H549" s="135">
        <v>13.45</v>
      </c>
      <c r="I549" s="136">
        <f t="shared" si="8"/>
        <v>19.098999999999997</v>
      </c>
      <c r="J549" s="137">
        <v>1</v>
      </c>
    </row>
    <row r="550" spans="2:10" ht="14.4" x14ac:dyDescent="0.3">
      <c r="B550" s="132" t="s">
        <v>1050</v>
      </c>
      <c r="C550" s="132" t="s">
        <v>402</v>
      </c>
      <c r="D550" s="132" t="s">
        <v>1043</v>
      </c>
      <c r="E550" s="132" t="s">
        <v>320</v>
      </c>
      <c r="F550" s="133" t="s">
        <v>1052</v>
      </c>
      <c r="G550" s="134">
        <v>1.42</v>
      </c>
      <c r="H550" s="135">
        <v>13.45</v>
      </c>
      <c r="I550" s="136">
        <f t="shared" si="8"/>
        <v>19.098999999999997</v>
      </c>
      <c r="J550" s="137">
        <v>1</v>
      </c>
    </row>
    <row r="551" spans="2:10" ht="14.4" x14ac:dyDescent="0.3">
      <c r="B551" s="132" t="s">
        <v>1050</v>
      </c>
      <c r="C551" s="132" t="s">
        <v>402</v>
      </c>
      <c r="D551" s="132" t="s">
        <v>1043</v>
      </c>
      <c r="E551" s="132" t="s">
        <v>320</v>
      </c>
      <c r="F551" s="133" t="s">
        <v>1053</v>
      </c>
      <c r="G551" s="134">
        <v>2.06</v>
      </c>
      <c r="H551" s="135">
        <v>13.45</v>
      </c>
      <c r="I551" s="136">
        <f t="shared" si="8"/>
        <v>27.707000000000001</v>
      </c>
      <c r="J551" s="137">
        <v>1</v>
      </c>
    </row>
    <row r="552" spans="2:10" ht="14.4" x14ac:dyDescent="0.3">
      <c r="B552" s="132" t="s">
        <v>1050</v>
      </c>
      <c r="C552" s="132" t="s">
        <v>402</v>
      </c>
      <c r="D552" s="132" t="s">
        <v>1043</v>
      </c>
      <c r="E552" s="132" t="s">
        <v>320</v>
      </c>
      <c r="F552" s="133" t="s">
        <v>1054</v>
      </c>
      <c r="G552" s="134">
        <v>2.06</v>
      </c>
      <c r="H552" s="135">
        <v>13.45</v>
      </c>
      <c r="I552" s="136">
        <f t="shared" si="8"/>
        <v>27.707000000000001</v>
      </c>
      <c r="J552" s="137">
        <v>1</v>
      </c>
    </row>
    <row r="553" spans="2:10" ht="14.4" x14ac:dyDescent="0.3">
      <c r="B553" s="132" t="s">
        <v>1055</v>
      </c>
      <c r="C553" s="132" t="s">
        <v>402</v>
      </c>
      <c r="D553" s="132" t="s">
        <v>1043</v>
      </c>
      <c r="E553" s="132" t="s">
        <v>320</v>
      </c>
      <c r="F553" s="133" t="s">
        <v>1056</v>
      </c>
      <c r="G553" s="134">
        <v>1.9</v>
      </c>
      <c r="H553" s="135">
        <v>13.45</v>
      </c>
      <c r="I553" s="136">
        <f t="shared" si="8"/>
        <v>25.554999999999996</v>
      </c>
      <c r="J553" s="137">
        <v>1</v>
      </c>
    </row>
    <row r="554" spans="2:10" ht="14.4" x14ac:dyDescent="0.3">
      <c r="B554" s="132" t="s">
        <v>1055</v>
      </c>
      <c r="C554" s="132" t="s">
        <v>402</v>
      </c>
      <c r="D554" s="132" t="s">
        <v>1043</v>
      </c>
      <c r="E554" s="132" t="s">
        <v>320</v>
      </c>
      <c r="F554" s="133" t="s">
        <v>1057</v>
      </c>
      <c r="G554" s="134">
        <v>1.9</v>
      </c>
      <c r="H554" s="135">
        <v>13.45</v>
      </c>
      <c r="I554" s="136">
        <f t="shared" si="8"/>
        <v>25.554999999999996</v>
      </c>
      <c r="J554" s="137">
        <v>1</v>
      </c>
    </row>
    <row r="555" spans="2:10" ht="14.4" x14ac:dyDescent="0.3">
      <c r="B555" s="132" t="s">
        <v>1058</v>
      </c>
      <c r="C555" s="132" t="s">
        <v>402</v>
      </c>
      <c r="D555" s="132" t="s">
        <v>1043</v>
      </c>
      <c r="E555" s="132" t="s">
        <v>320</v>
      </c>
      <c r="F555" s="133" t="s">
        <v>1059</v>
      </c>
      <c r="G555" s="134">
        <v>8.7200000000000006</v>
      </c>
      <c r="H555" s="135">
        <v>13.45</v>
      </c>
      <c r="I555" s="136">
        <f t="shared" si="8"/>
        <v>117.28400000000001</v>
      </c>
      <c r="J555" s="137">
        <v>1</v>
      </c>
    </row>
    <row r="556" spans="2:10" ht="14.4" x14ac:dyDescent="0.3">
      <c r="B556" s="132" t="s">
        <v>1060</v>
      </c>
      <c r="C556" s="132" t="s">
        <v>402</v>
      </c>
      <c r="D556" s="132" t="s">
        <v>1043</v>
      </c>
      <c r="E556" s="132" t="s">
        <v>320</v>
      </c>
      <c r="F556" s="133" t="s">
        <v>1061</v>
      </c>
      <c r="G556" s="134">
        <v>7.96</v>
      </c>
      <c r="H556" s="135">
        <v>13.45</v>
      </c>
      <c r="I556" s="136">
        <f t="shared" si="8"/>
        <v>107.062</v>
      </c>
      <c r="J556" s="137">
        <v>1</v>
      </c>
    </row>
    <row r="557" spans="2:10" ht="14.4" x14ac:dyDescent="0.3">
      <c r="B557" s="132" t="s">
        <v>1062</v>
      </c>
      <c r="C557" s="132" t="s">
        <v>402</v>
      </c>
      <c r="D557" s="132" t="s">
        <v>1043</v>
      </c>
      <c r="E557" s="132" t="s">
        <v>320</v>
      </c>
      <c r="F557" s="133" t="s">
        <v>1063</v>
      </c>
      <c r="G557" s="134">
        <v>1.43</v>
      </c>
      <c r="H557" s="135">
        <v>13.45</v>
      </c>
      <c r="I557" s="136">
        <f t="shared" si="8"/>
        <v>19.233499999999999</v>
      </c>
      <c r="J557" s="137">
        <v>1</v>
      </c>
    </row>
    <row r="558" spans="2:10" ht="14.4" x14ac:dyDescent="0.3">
      <c r="B558" s="132" t="s">
        <v>1064</v>
      </c>
      <c r="C558" s="132" t="s">
        <v>402</v>
      </c>
      <c r="D558" s="132" t="s">
        <v>1043</v>
      </c>
      <c r="E558" s="132" t="s">
        <v>320</v>
      </c>
      <c r="F558" s="133" t="s">
        <v>1065</v>
      </c>
      <c r="G558" s="134">
        <v>1.27</v>
      </c>
      <c r="H558" s="135">
        <v>13.45</v>
      </c>
      <c r="I558" s="136">
        <f t="shared" si="8"/>
        <v>17.081499999999998</v>
      </c>
      <c r="J558" s="137">
        <v>1</v>
      </c>
    </row>
    <row r="559" spans="2:10" ht="14.4" x14ac:dyDescent="0.3">
      <c r="B559" s="132" t="s">
        <v>1066</v>
      </c>
      <c r="C559" s="132" t="s">
        <v>402</v>
      </c>
      <c r="D559" s="132" t="s">
        <v>1043</v>
      </c>
      <c r="E559" s="132" t="s">
        <v>320</v>
      </c>
      <c r="F559" s="133" t="s">
        <v>1067</v>
      </c>
      <c r="G559" s="134">
        <v>2.0699999999999998</v>
      </c>
      <c r="H559" s="135">
        <v>13.45</v>
      </c>
      <c r="I559" s="136">
        <f t="shared" si="8"/>
        <v>27.841499999999996</v>
      </c>
      <c r="J559" s="137">
        <v>1</v>
      </c>
    </row>
    <row r="560" spans="2:10" ht="14.4" x14ac:dyDescent="0.3">
      <c r="B560" s="132" t="s">
        <v>1066</v>
      </c>
      <c r="C560" s="132" t="s">
        <v>402</v>
      </c>
      <c r="D560" s="132" t="s">
        <v>1043</v>
      </c>
      <c r="E560" s="132" t="s">
        <v>320</v>
      </c>
      <c r="F560" s="133" t="s">
        <v>1068</v>
      </c>
      <c r="G560" s="134">
        <v>1.91</v>
      </c>
      <c r="H560" s="135">
        <v>13.45</v>
      </c>
      <c r="I560" s="136">
        <f t="shared" si="8"/>
        <v>25.689499999999999</v>
      </c>
      <c r="J560" s="137">
        <v>1</v>
      </c>
    </row>
    <row r="561" spans="2:10" ht="14.4" x14ac:dyDescent="0.3">
      <c r="B561" s="132" t="s">
        <v>1066</v>
      </c>
      <c r="C561" s="132" t="s">
        <v>402</v>
      </c>
      <c r="D561" s="132" t="s">
        <v>1043</v>
      </c>
      <c r="E561" s="132" t="s">
        <v>320</v>
      </c>
      <c r="F561" s="133" t="s">
        <v>1069</v>
      </c>
      <c r="G561" s="134">
        <v>5.56</v>
      </c>
      <c r="H561" s="135">
        <v>13.45</v>
      </c>
      <c r="I561" s="136">
        <f t="shared" si="8"/>
        <v>74.781999999999996</v>
      </c>
      <c r="J561" s="137">
        <v>1</v>
      </c>
    </row>
    <row r="562" spans="2:10" ht="14.4" x14ac:dyDescent="0.3">
      <c r="B562" s="132" t="s">
        <v>1070</v>
      </c>
      <c r="C562" s="132" t="s">
        <v>402</v>
      </c>
      <c r="D562" s="132" t="s">
        <v>1043</v>
      </c>
      <c r="E562" s="132" t="s">
        <v>320</v>
      </c>
      <c r="F562" s="133" t="s">
        <v>1071</v>
      </c>
      <c r="G562" s="134">
        <v>7.79</v>
      </c>
      <c r="H562" s="135">
        <v>13.45</v>
      </c>
      <c r="I562" s="136">
        <f t="shared" si="8"/>
        <v>104.77549999999999</v>
      </c>
      <c r="J562" s="137">
        <v>1</v>
      </c>
    </row>
    <row r="563" spans="2:10" ht="14.4" x14ac:dyDescent="0.3">
      <c r="B563" s="132" t="s">
        <v>1072</v>
      </c>
      <c r="C563" s="132" t="s">
        <v>402</v>
      </c>
      <c r="D563" s="132" t="s">
        <v>1043</v>
      </c>
      <c r="E563" s="132" t="s">
        <v>320</v>
      </c>
      <c r="F563" s="133" t="s">
        <v>1073</v>
      </c>
      <c r="G563" s="134">
        <v>9.35</v>
      </c>
      <c r="H563" s="135">
        <v>13.45</v>
      </c>
      <c r="I563" s="136">
        <f t="shared" si="8"/>
        <v>125.75749999999999</v>
      </c>
      <c r="J563" s="137">
        <v>1</v>
      </c>
    </row>
    <row r="564" spans="2:10" ht="14.4" x14ac:dyDescent="0.3">
      <c r="B564" s="132" t="s">
        <v>1074</v>
      </c>
      <c r="C564" s="132" t="s">
        <v>402</v>
      </c>
      <c r="D564" s="132" t="s">
        <v>1043</v>
      </c>
      <c r="E564" s="132" t="s">
        <v>320</v>
      </c>
      <c r="F564" s="133" t="s">
        <v>1075</v>
      </c>
      <c r="G564" s="134">
        <v>2.54</v>
      </c>
      <c r="H564" s="135">
        <v>13.45</v>
      </c>
      <c r="I564" s="136">
        <f t="shared" si="8"/>
        <v>34.162999999999997</v>
      </c>
      <c r="J564" s="137">
        <v>1</v>
      </c>
    </row>
    <row r="565" spans="2:10" ht="14.4" x14ac:dyDescent="0.3">
      <c r="B565" s="132" t="s">
        <v>1076</v>
      </c>
      <c r="C565" s="132" t="s">
        <v>402</v>
      </c>
      <c r="D565" s="132" t="s">
        <v>1043</v>
      </c>
      <c r="E565" s="132" t="s">
        <v>320</v>
      </c>
      <c r="F565" s="133" t="s">
        <v>1077</v>
      </c>
      <c r="G565" s="134">
        <v>2.54</v>
      </c>
      <c r="H565" s="135">
        <v>13.45</v>
      </c>
      <c r="I565" s="136">
        <f t="shared" si="8"/>
        <v>34.162999999999997</v>
      </c>
      <c r="J565" s="137">
        <v>1</v>
      </c>
    </row>
    <row r="566" spans="2:10" ht="14.4" x14ac:dyDescent="0.3">
      <c r="B566" s="132" t="s">
        <v>1076</v>
      </c>
      <c r="C566" s="132" t="s">
        <v>402</v>
      </c>
      <c r="D566" s="132" t="s">
        <v>1043</v>
      </c>
      <c r="E566" s="132" t="s">
        <v>320</v>
      </c>
      <c r="F566" s="133" t="s">
        <v>1078</v>
      </c>
      <c r="G566" s="134">
        <v>2.54</v>
      </c>
      <c r="H566" s="135">
        <v>13.45</v>
      </c>
      <c r="I566" s="136">
        <f t="shared" si="8"/>
        <v>34.162999999999997</v>
      </c>
      <c r="J566" s="137">
        <v>1</v>
      </c>
    </row>
    <row r="567" spans="2:10" ht="14.4" x14ac:dyDescent="0.3">
      <c r="B567" s="132" t="s">
        <v>1076</v>
      </c>
      <c r="C567" s="132" t="s">
        <v>402</v>
      </c>
      <c r="D567" s="132" t="s">
        <v>1043</v>
      </c>
      <c r="E567" s="132" t="s">
        <v>320</v>
      </c>
      <c r="F567" s="133" t="s">
        <v>1079</v>
      </c>
      <c r="G567" s="134">
        <v>2.85</v>
      </c>
      <c r="H567" s="135">
        <v>13.45</v>
      </c>
      <c r="I567" s="136">
        <f t="shared" si="8"/>
        <v>38.332499999999996</v>
      </c>
      <c r="J567" s="137">
        <v>1</v>
      </c>
    </row>
    <row r="568" spans="2:10" ht="14.4" x14ac:dyDescent="0.3">
      <c r="B568" s="132" t="s">
        <v>1076</v>
      </c>
      <c r="C568" s="132" t="s">
        <v>402</v>
      </c>
      <c r="D568" s="132" t="s">
        <v>1043</v>
      </c>
      <c r="E568" s="132" t="s">
        <v>320</v>
      </c>
      <c r="F568" s="133" t="s">
        <v>1080</v>
      </c>
      <c r="G568" s="134">
        <v>2.2200000000000002</v>
      </c>
      <c r="H568" s="135">
        <v>13.45</v>
      </c>
      <c r="I568" s="136">
        <f t="shared" si="8"/>
        <v>29.859000000000002</v>
      </c>
      <c r="J568" s="137">
        <v>1</v>
      </c>
    </row>
    <row r="569" spans="2:10" ht="14.4" x14ac:dyDescent="0.3">
      <c r="B569" s="132" t="s">
        <v>1076</v>
      </c>
      <c r="C569" s="132" t="s">
        <v>402</v>
      </c>
      <c r="D569" s="132" t="s">
        <v>1043</v>
      </c>
      <c r="E569" s="132" t="s">
        <v>320</v>
      </c>
      <c r="F569" s="133" t="s">
        <v>1081</v>
      </c>
      <c r="G569" s="134">
        <v>2.2200000000000002</v>
      </c>
      <c r="H569" s="135">
        <v>13.45</v>
      </c>
      <c r="I569" s="136">
        <f t="shared" si="8"/>
        <v>29.859000000000002</v>
      </c>
      <c r="J569" s="137">
        <v>1</v>
      </c>
    </row>
    <row r="570" spans="2:10" ht="14.4" x14ac:dyDescent="0.3">
      <c r="B570" s="132" t="s">
        <v>1076</v>
      </c>
      <c r="C570" s="132" t="s">
        <v>402</v>
      </c>
      <c r="D570" s="132" t="s">
        <v>1043</v>
      </c>
      <c r="E570" s="132" t="s">
        <v>320</v>
      </c>
      <c r="F570" s="133" t="s">
        <v>1082</v>
      </c>
      <c r="G570" s="134">
        <v>1.43</v>
      </c>
      <c r="H570" s="135">
        <v>13.45</v>
      </c>
      <c r="I570" s="136">
        <f t="shared" si="8"/>
        <v>19.233499999999999</v>
      </c>
      <c r="J570" s="137">
        <v>1</v>
      </c>
    </row>
    <row r="571" spans="2:10" ht="14.4" x14ac:dyDescent="0.3">
      <c r="B571" s="132" t="s">
        <v>1076</v>
      </c>
      <c r="C571" s="132" t="s">
        <v>402</v>
      </c>
      <c r="D571" s="132" t="s">
        <v>1043</v>
      </c>
      <c r="E571" s="132" t="s">
        <v>320</v>
      </c>
      <c r="F571" s="133" t="s">
        <v>1083</v>
      </c>
      <c r="G571" s="134">
        <v>1.74</v>
      </c>
      <c r="H571" s="135">
        <v>13.45</v>
      </c>
      <c r="I571" s="136">
        <f t="shared" si="8"/>
        <v>23.402999999999999</v>
      </c>
      <c r="J571" s="137">
        <v>1</v>
      </c>
    </row>
    <row r="572" spans="2:10" ht="14.4" x14ac:dyDescent="0.3">
      <c r="B572" s="132" t="s">
        <v>1076</v>
      </c>
      <c r="C572" s="132" t="s">
        <v>402</v>
      </c>
      <c r="D572" s="132" t="s">
        <v>1043</v>
      </c>
      <c r="E572" s="132" t="s">
        <v>320</v>
      </c>
      <c r="F572" s="133" t="s">
        <v>1084</v>
      </c>
      <c r="G572" s="134">
        <v>1.74</v>
      </c>
      <c r="H572" s="135">
        <v>13.45</v>
      </c>
      <c r="I572" s="136">
        <f t="shared" si="8"/>
        <v>23.402999999999999</v>
      </c>
      <c r="J572" s="137">
        <v>1</v>
      </c>
    </row>
    <row r="573" spans="2:10" ht="14.4" x14ac:dyDescent="0.3">
      <c r="B573" s="132" t="s">
        <v>1076</v>
      </c>
      <c r="C573" s="132" t="s">
        <v>402</v>
      </c>
      <c r="D573" s="132" t="s">
        <v>1043</v>
      </c>
      <c r="E573" s="132" t="s">
        <v>320</v>
      </c>
      <c r="F573" s="133" t="s">
        <v>1085</v>
      </c>
      <c r="G573" s="134">
        <v>1.59</v>
      </c>
      <c r="H573" s="135">
        <v>13.45</v>
      </c>
      <c r="I573" s="136">
        <f t="shared" si="8"/>
        <v>21.3855</v>
      </c>
      <c r="J573" s="137">
        <v>1</v>
      </c>
    </row>
    <row r="574" spans="2:10" ht="14.4" x14ac:dyDescent="0.3">
      <c r="B574" s="132" t="s">
        <v>1086</v>
      </c>
      <c r="C574" s="132" t="s">
        <v>402</v>
      </c>
      <c r="D574" s="132" t="s">
        <v>1043</v>
      </c>
      <c r="E574" s="132" t="s">
        <v>320</v>
      </c>
      <c r="F574" s="133" t="s">
        <v>1087</v>
      </c>
      <c r="G574" s="134">
        <v>2.54</v>
      </c>
      <c r="H574" s="135">
        <v>13.45</v>
      </c>
      <c r="I574" s="136">
        <f t="shared" si="8"/>
        <v>34.162999999999997</v>
      </c>
      <c r="J574" s="137">
        <v>1</v>
      </c>
    </row>
    <row r="575" spans="2:10" ht="14.4" x14ac:dyDescent="0.3">
      <c r="B575" s="132" t="s">
        <v>1088</v>
      </c>
      <c r="C575" s="132" t="s">
        <v>402</v>
      </c>
      <c r="D575" s="132" t="s">
        <v>1043</v>
      </c>
      <c r="E575" s="132" t="s">
        <v>320</v>
      </c>
      <c r="F575" s="133" t="s">
        <v>1089</v>
      </c>
      <c r="G575" s="134">
        <v>2.2200000000000002</v>
      </c>
      <c r="H575" s="135">
        <v>13.45</v>
      </c>
      <c r="I575" s="136">
        <f t="shared" si="8"/>
        <v>29.859000000000002</v>
      </c>
      <c r="J575" s="137">
        <v>1</v>
      </c>
    </row>
    <row r="576" spans="2:10" ht="14.4" x14ac:dyDescent="0.3">
      <c r="B576" s="132" t="s">
        <v>1090</v>
      </c>
      <c r="C576" s="132" t="s">
        <v>402</v>
      </c>
      <c r="D576" s="132" t="s">
        <v>1043</v>
      </c>
      <c r="E576" s="132" t="s">
        <v>320</v>
      </c>
      <c r="F576" s="133" t="s">
        <v>1091</v>
      </c>
      <c r="G576" s="134">
        <v>3.17</v>
      </c>
      <c r="H576" s="135">
        <v>13.45</v>
      </c>
      <c r="I576" s="136">
        <f t="shared" si="8"/>
        <v>42.636499999999998</v>
      </c>
      <c r="J576" s="137">
        <v>1</v>
      </c>
    </row>
    <row r="577" spans="2:10" ht="14.4" x14ac:dyDescent="0.3">
      <c r="B577" s="132" t="s">
        <v>1092</v>
      </c>
      <c r="C577" s="132" t="s">
        <v>402</v>
      </c>
      <c r="D577" s="132" t="s">
        <v>1043</v>
      </c>
      <c r="E577" s="132" t="s">
        <v>320</v>
      </c>
      <c r="F577" s="133" t="s">
        <v>1093</v>
      </c>
      <c r="G577" s="134">
        <v>1.91</v>
      </c>
      <c r="H577" s="135">
        <v>13.45</v>
      </c>
      <c r="I577" s="136">
        <f t="shared" si="8"/>
        <v>25.689499999999999</v>
      </c>
      <c r="J577" s="137">
        <v>1</v>
      </c>
    </row>
    <row r="578" spans="2:10" ht="14.4" x14ac:dyDescent="0.3">
      <c r="B578" s="132" t="s">
        <v>1092</v>
      </c>
      <c r="C578" s="132" t="s">
        <v>402</v>
      </c>
      <c r="D578" s="132" t="s">
        <v>1043</v>
      </c>
      <c r="E578" s="132" t="s">
        <v>320</v>
      </c>
      <c r="F578" s="133" t="s">
        <v>1094</v>
      </c>
      <c r="G578" s="134">
        <v>1.91</v>
      </c>
      <c r="H578" s="135">
        <v>13.45</v>
      </c>
      <c r="I578" s="136">
        <f t="shared" si="8"/>
        <v>25.689499999999999</v>
      </c>
      <c r="J578" s="137">
        <v>1</v>
      </c>
    </row>
    <row r="579" spans="2:10" ht="14.4" x14ac:dyDescent="0.3">
      <c r="B579" s="132" t="s">
        <v>1095</v>
      </c>
      <c r="C579" s="132" t="s">
        <v>402</v>
      </c>
      <c r="D579" s="132" t="s">
        <v>1043</v>
      </c>
      <c r="E579" s="132" t="s">
        <v>320</v>
      </c>
      <c r="F579" s="133" t="s">
        <v>1096</v>
      </c>
      <c r="G579" s="134">
        <v>1.26</v>
      </c>
      <c r="H579" s="135">
        <v>13.45</v>
      </c>
      <c r="I579" s="136">
        <f t="shared" si="8"/>
        <v>16.946999999999999</v>
      </c>
      <c r="J579" s="137">
        <v>1</v>
      </c>
    </row>
    <row r="580" spans="2:10" ht="14.4" x14ac:dyDescent="0.3">
      <c r="B580" s="132" t="s">
        <v>1095</v>
      </c>
      <c r="C580" s="132" t="s">
        <v>402</v>
      </c>
      <c r="D580" s="132" t="s">
        <v>1043</v>
      </c>
      <c r="E580" s="132" t="s">
        <v>320</v>
      </c>
      <c r="F580" s="133" t="s">
        <v>1097</v>
      </c>
      <c r="G580" s="134">
        <v>1.26</v>
      </c>
      <c r="H580" s="135">
        <v>13.45</v>
      </c>
      <c r="I580" s="136">
        <f t="shared" si="8"/>
        <v>16.946999999999999</v>
      </c>
      <c r="J580" s="137">
        <v>1</v>
      </c>
    </row>
    <row r="581" spans="2:10" ht="14.4" x14ac:dyDescent="0.3">
      <c r="B581" s="132" t="s">
        <v>1095</v>
      </c>
      <c r="C581" s="132" t="s">
        <v>402</v>
      </c>
      <c r="D581" s="132" t="s">
        <v>1043</v>
      </c>
      <c r="E581" s="132" t="s">
        <v>320</v>
      </c>
      <c r="F581" s="133" t="s">
        <v>1098</v>
      </c>
      <c r="G581" s="134">
        <v>1.04</v>
      </c>
      <c r="H581" s="135">
        <v>13.45</v>
      </c>
      <c r="I581" s="136">
        <f t="shared" si="8"/>
        <v>13.988</v>
      </c>
      <c r="J581" s="137">
        <v>1</v>
      </c>
    </row>
    <row r="582" spans="2:10" ht="14.4" x14ac:dyDescent="0.3">
      <c r="B582" s="132" t="s">
        <v>1095</v>
      </c>
      <c r="C582" s="132" t="s">
        <v>402</v>
      </c>
      <c r="D582" s="132" t="s">
        <v>1043</v>
      </c>
      <c r="E582" s="132" t="s">
        <v>320</v>
      </c>
      <c r="F582" s="133" t="s">
        <v>1099</v>
      </c>
      <c r="G582" s="134">
        <v>1.01</v>
      </c>
      <c r="H582" s="135">
        <v>13.45</v>
      </c>
      <c r="I582" s="136">
        <f t="shared" si="8"/>
        <v>13.5845</v>
      </c>
      <c r="J582" s="137">
        <v>1</v>
      </c>
    </row>
    <row r="583" spans="2:10" ht="14.4" x14ac:dyDescent="0.3">
      <c r="B583" s="132" t="s">
        <v>1095</v>
      </c>
      <c r="C583" s="132" t="s">
        <v>402</v>
      </c>
      <c r="D583" s="132" t="s">
        <v>1043</v>
      </c>
      <c r="E583" s="132" t="s">
        <v>320</v>
      </c>
      <c r="F583" s="133" t="s">
        <v>1100</v>
      </c>
      <c r="G583" s="134">
        <v>2.54</v>
      </c>
      <c r="H583" s="135">
        <v>13.45</v>
      </c>
      <c r="I583" s="136">
        <f t="shared" si="8"/>
        <v>34.162999999999997</v>
      </c>
      <c r="J583" s="137">
        <v>1</v>
      </c>
    </row>
    <row r="584" spans="2:10" ht="14.4" x14ac:dyDescent="0.3">
      <c r="B584" s="132" t="s">
        <v>1095</v>
      </c>
      <c r="C584" s="132" t="s">
        <v>402</v>
      </c>
      <c r="D584" s="132" t="s">
        <v>1043</v>
      </c>
      <c r="E584" s="132" t="s">
        <v>320</v>
      </c>
      <c r="F584" s="133" t="s">
        <v>1101</v>
      </c>
      <c r="G584" s="134">
        <v>4.45</v>
      </c>
      <c r="H584" s="135">
        <v>13.45</v>
      </c>
      <c r="I584" s="136">
        <f t="shared" ref="I584:I647" si="9">G584*H584</f>
        <v>59.852499999999999</v>
      </c>
      <c r="J584" s="137">
        <v>1</v>
      </c>
    </row>
    <row r="585" spans="2:10" ht="14.4" x14ac:dyDescent="0.3">
      <c r="B585" s="132" t="s">
        <v>1095</v>
      </c>
      <c r="C585" s="132" t="s">
        <v>402</v>
      </c>
      <c r="D585" s="132" t="s">
        <v>1043</v>
      </c>
      <c r="E585" s="132" t="s">
        <v>320</v>
      </c>
      <c r="F585" s="133" t="s">
        <v>1102</v>
      </c>
      <c r="G585" s="134">
        <v>4.46</v>
      </c>
      <c r="H585" s="135">
        <v>13.45</v>
      </c>
      <c r="I585" s="136">
        <f t="shared" si="9"/>
        <v>59.986999999999995</v>
      </c>
      <c r="J585" s="137">
        <v>1</v>
      </c>
    </row>
    <row r="586" spans="2:10" ht="14.4" x14ac:dyDescent="0.3">
      <c r="B586" s="132" t="s">
        <v>1095</v>
      </c>
      <c r="C586" s="132" t="s">
        <v>402</v>
      </c>
      <c r="D586" s="132" t="s">
        <v>1043</v>
      </c>
      <c r="E586" s="132" t="s">
        <v>320</v>
      </c>
      <c r="F586" s="133" t="s">
        <v>1103</v>
      </c>
      <c r="G586" s="134">
        <v>4.8600000000000003</v>
      </c>
      <c r="H586" s="135">
        <v>13.45</v>
      </c>
      <c r="I586" s="136">
        <f t="shared" si="9"/>
        <v>65.367000000000004</v>
      </c>
      <c r="J586" s="137">
        <v>1</v>
      </c>
    </row>
    <row r="587" spans="2:10" ht="14.4" x14ac:dyDescent="0.3">
      <c r="B587" s="132" t="s">
        <v>1104</v>
      </c>
      <c r="C587" s="132" t="s">
        <v>402</v>
      </c>
      <c r="D587" s="132" t="s">
        <v>1043</v>
      </c>
      <c r="E587" s="132" t="s">
        <v>320</v>
      </c>
      <c r="F587" s="133" t="s">
        <v>1105</v>
      </c>
      <c r="G587" s="134">
        <v>4.45</v>
      </c>
      <c r="H587" s="135">
        <v>13.45</v>
      </c>
      <c r="I587" s="136">
        <f t="shared" si="9"/>
        <v>59.852499999999999</v>
      </c>
      <c r="J587" s="137">
        <v>1</v>
      </c>
    </row>
    <row r="588" spans="2:10" ht="14.4" x14ac:dyDescent="0.3">
      <c r="B588" s="132" t="s">
        <v>1104</v>
      </c>
      <c r="C588" s="132" t="s">
        <v>402</v>
      </c>
      <c r="D588" s="132" t="s">
        <v>1043</v>
      </c>
      <c r="E588" s="132" t="s">
        <v>320</v>
      </c>
      <c r="F588" s="133" t="s">
        <v>1106</v>
      </c>
      <c r="G588" s="134">
        <v>1.48</v>
      </c>
      <c r="H588" s="135">
        <v>13.45</v>
      </c>
      <c r="I588" s="136">
        <f t="shared" si="9"/>
        <v>19.905999999999999</v>
      </c>
      <c r="J588" s="137">
        <v>1</v>
      </c>
    </row>
    <row r="589" spans="2:10" ht="14.4" x14ac:dyDescent="0.3">
      <c r="B589" s="132" t="s">
        <v>1104</v>
      </c>
      <c r="C589" s="132" t="s">
        <v>402</v>
      </c>
      <c r="D589" s="132" t="s">
        <v>1043</v>
      </c>
      <c r="E589" s="132" t="s">
        <v>320</v>
      </c>
      <c r="F589" s="133" t="s">
        <v>1107</v>
      </c>
      <c r="G589" s="134">
        <v>3.81</v>
      </c>
      <c r="H589" s="135">
        <v>13.45</v>
      </c>
      <c r="I589" s="136">
        <f t="shared" si="9"/>
        <v>51.244499999999995</v>
      </c>
      <c r="J589" s="137">
        <v>1</v>
      </c>
    </row>
    <row r="590" spans="2:10" ht="14.4" x14ac:dyDescent="0.3">
      <c r="B590" s="132" t="s">
        <v>1108</v>
      </c>
      <c r="C590" s="132" t="s">
        <v>402</v>
      </c>
      <c r="D590" s="132" t="s">
        <v>1043</v>
      </c>
      <c r="E590" s="132" t="s">
        <v>320</v>
      </c>
      <c r="F590" s="133" t="s">
        <v>1109</v>
      </c>
      <c r="G590" s="134">
        <v>2.54</v>
      </c>
      <c r="H590" s="135">
        <v>13.45</v>
      </c>
      <c r="I590" s="136">
        <f t="shared" si="9"/>
        <v>34.162999999999997</v>
      </c>
      <c r="J590" s="137">
        <v>1</v>
      </c>
    </row>
    <row r="591" spans="2:10" ht="14.4" x14ac:dyDescent="0.3">
      <c r="B591" s="132" t="s">
        <v>1108</v>
      </c>
      <c r="C591" s="132" t="s">
        <v>402</v>
      </c>
      <c r="D591" s="132" t="s">
        <v>1043</v>
      </c>
      <c r="E591" s="132" t="s">
        <v>320</v>
      </c>
      <c r="F591" s="133" t="s">
        <v>1110</v>
      </c>
      <c r="G591" s="134">
        <v>2.54</v>
      </c>
      <c r="H591" s="135">
        <v>13.45</v>
      </c>
      <c r="I591" s="136">
        <f t="shared" si="9"/>
        <v>34.162999999999997</v>
      </c>
      <c r="J591" s="137">
        <v>1</v>
      </c>
    </row>
    <row r="592" spans="2:10" ht="14.4" x14ac:dyDescent="0.3">
      <c r="B592" s="132" t="s">
        <v>1108</v>
      </c>
      <c r="C592" s="132" t="s">
        <v>402</v>
      </c>
      <c r="D592" s="132" t="s">
        <v>1043</v>
      </c>
      <c r="E592" s="132" t="s">
        <v>320</v>
      </c>
      <c r="F592" s="133" t="s">
        <v>1111</v>
      </c>
      <c r="G592" s="134">
        <v>2.54</v>
      </c>
      <c r="H592" s="135">
        <v>13.45</v>
      </c>
      <c r="I592" s="136">
        <f t="shared" si="9"/>
        <v>34.162999999999997</v>
      </c>
      <c r="J592" s="137">
        <v>1</v>
      </c>
    </row>
    <row r="593" spans="2:10" ht="14.4" x14ac:dyDescent="0.3">
      <c r="B593" s="132" t="s">
        <v>1112</v>
      </c>
      <c r="C593" s="132" t="s">
        <v>402</v>
      </c>
      <c r="D593" s="132" t="s">
        <v>1043</v>
      </c>
      <c r="E593" s="132" t="s">
        <v>320</v>
      </c>
      <c r="F593" s="133" t="s">
        <v>1113</v>
      </c>
      <c r="G593" s="134">
        <v>2.2200000000000002</v>
      </c>
      <c r="H593" s="135">
        <v>13.45</v>
      </c>
      <c r="I593" s="136">
        <f t="shared" si="9"/>
        <v>29.859000000000002</v>
      </c>
      <c r="J593" s="137">
        <v>1</v>
      </c>
    </row>
    <row r="594" spans="2:10" ht="14.4" x14ac:dyDescent="0.3">
      <c r="B594" s="132" t="s">
        <v>1112</v>
      </c>
      <c r="C594" s="132" t="s">
        <v>402</v>
      </c>
      <c r="D594" s="132" t="s">
        <v>1043</v>
      </c>
      <c r="E594" s="132" t="s">
        <v>320</v>
      </c>
      <c r="F594" s="133" t="s">
        <v>1114</v>
      </c>
      <c r="G594" s="134">
        <v>2.2200000000000002</v>
      </c>
      <c r="H594" s="135">
        <v>13.45</v>
      </c>
      <c r="I594" s="136">
        <f t="shared" si="9"/>
        <v>29.859000000000002</v>
      </c>
      <c r="J594" s="137">
        <v>1</v>
      </c>
    </row>
    <row r="595" spans="2:10" ht="14.4" x14ac:dyDescent="0.3">
      <c r="B595" s="132" t="s">
        <v>1112</v>
      </c>
      <c r="C595" s="132" t="s">
        <v>402</v>
      </c>
      <c r="D595" s="132" t="s">
        <v>1043</v>
      </c>
      <c r="E595" s="132" t="s">
        <v>320</v>
      </c>
      <c r="F595" s="133" t="s">
        <v>1115</v>
      </c>
      <c r="G595" s="134">
        <v>3.82</v>
      </c>
      <c r="H595" s="135">
        <v>13.45</v>
      </c>
      <c r="I595" s="136">
        <f t="shared" si="9"/>
        <v>51.378999999999998</v>
      </c>
      <c r="J595" s="137">
        <v>1</v>
      </c>
    </row>
    <row r="596" spans="2:10" ht="14.4" x14ac:dyDescent="0.3">
      <c r="B596" s="132" t="s">
        <v>1112</v>
      </c>
      <c r="C596" s="132" t="s">
        <v>402</v>
      </c>
      <c r="D596" s="132" t="s">
        <v>1043</v>
      </c>
      <c r="E596" s="132" t="s">
        <v>320</v>
      </c>
      <c r="F596" s="133" t="s">
        <v>1116</v>
      </c>
      <c r="G596" s="134">
        <v>2.2200000000000002</v>
      </c>
      <c r="H596" s="135">
        <v>13.45</v>
      </c>
      <c r="I596" s="136">
        <f t="shared" si="9"/>
        <v>29.859000000000002</v>
      </c>
      <c r="J596" s="137">
        <v>1</v>
      </c>
    </row>
    <row r="597" spans="2:10" ht="14.4" x14ac:dyDescent="0.3">
      <c r="B597" s="132" t="s">
        <v>1112</v>
      </c>
      <c r="C597" s="132" t="s">
        <v>402</v>
      </c>
      <c r="D597" s="132" t="s">
        <v>1043</v>
      </c>
      <c r="E597" s="132" t="s">
        <v>320</v>
      </c>
      <c r="F597" s="133" t="s">
        <v>1117</v>
      </c>
      <c r="G597" s="134">
        <v>3.82</v>
      </c>
      <c r="H597" s="135">
        <v>13.45</v>
      </c>
      <c r="I597" s="136">
        <f t="shared" si="9"/>
        <v>51.378999999999998</v>
      </c>
      <c r="J597" s="137">
        <v>1</v>
      </c>
    </row>
    <row r="598" spans="2:10" ht="14.4" x14ac:dyDescent="0.3">
      <c r="B598" s="132" t="s">
        <v>1118</v>
      </c>
      <c r="C598" s="132" t="s">
        <v>402</v>
      </c>
      <c r="D598" s="132" t="s">
        <v>1043</v>
      </c>
      <c r="E598" s="132" t="s">
        <v>320</v>
      </c>
      <c r="F598" s="133" t="s">
        <v>1119</v>
      </c>
      <c r="G598" s="134">
        <v>3.03</v>
      </c>
      <c r="H598" s="135">
        <v>13.45</v>
      </c>
      <c r="I598" s="136">
        <f t="shared" si="9"/>
        <v>40.753499999999995</v>
      </c>
      <c r="J598" s="137">
        <v>1</v>
      </c>
    </row>
    <row r="599" spans="2:10" ht="14.4" x14ac:dyDescent="0.3">
      <c r="B599" s="132" t="s">
        <v>1118</v>
      </c>
      <c r="C599" s="132" t="s">
        <v>402</v>
      </c>
      <c r="D599" s="132" t="s">
        <v>1043</v>
      </c>
      <c r="E599" s="132" t="s">
        <v>320</v>
      </c>
      <c r="F599" s="133" t="s">
        <v>1120</v>
      </c>
      <c r="G599" s="134">
        <v>2.5499999999999998</v>
      </c>
      <c r="H599" s="135">
        <v>13.45</v>
      </c>
      <c r="I599" s="136">
        <f t="shared" si="9"/>
        <v>34.297499999999992</v>
      </c>
      <c r="J599" s="137">
        <v>1</v>
      </c>
    </row>
    <row r="600" spans="2:10" ht="14.4" x14ac:dyDescent="0.3">
      <c r="B600" s="132" t="s">
        <v>1118</v>
      </c>
      <c r="C600" s="132" t="s">
        <v>402</v>
      </c>
      <c r="D600" s="132" t="s">
        <v>1043</v>
      </c>
      <c r="E600" s="132" t="s">
        <v>320</v>
      </c>
      <c r="F600" s="133" t="s">
        <v>1121</v>
      </c>
      <c r="G600" s="134">
        <v>1.43</v>
      </c>
      <c r="H600" s="135">
        <v>13.45</v>
      </c>
      <c r="I600" s="136">
        <f t="shared" si="9"/>
        <v>19.233499999999999</v>
      </c>
      <c r="J600" s="137">
        <v>1</v>
      </c>
    </row>
    <row r="601" spans="2:10" ht="14.4" x14ac:dyDescent="0.3">
      <c r="B601" s="132" t="s">
        <v>1118</v>
      </c>
      <c r="C601" s="132" t="s">
        <v>402</v>
      </c>
      <c r="D601" s="132" t="s">
        <v>1043</v>
      </c>
      <c r="E601" s="132" t="s">
        <v>320</v>
      </c>
      <c r="F601" s="133" t="s">
        <v>1122</v>
      </c>
      <c r="G601" s="134">
        <v>1.43</v>
      </c>
      <c r="H601" s="135">
        <v>13.45</v>
      </c>
      <c r="I601" s="136">
        <f t="shared" si="9"/>
        <v>19.233499999999999</v>
      </c>
      <c r="J601" s="137">
        <v>1</v>
      </c>
    </row>
    <row r="602" spans="2:10" ht="15" customHeight="1" x14ac:dyDescent="0.3">
      <c r="B602" s="132" t="s">
        <v>1123</v>
      </c>
      <c r="C602" s="132" t="s">
        <v>402</v>
      </c>
      <c r="D602" s="132" t="s">
        <v>1043</v>
      </c>
      <c r="E602" s="132" t="s">
        <v>320</v>
      </c>
      <c r="F602" s="133" t="s">
        <v>1124</v>
      </c>
      <c r="G602" s="134">
        <v>8.31</v>
      </c>
      <c r="H602" s="135">
        <v>13.45</v>
      </c>
      <c r="I602" s="136">
        <f t="shared" si="9"/>
        <v>111.76950000000001</v>
      </c>
      <c r="J602" s="137">
        <v>1</v>
      </c>
    </row>
    <row r="603" spans="2:10" ht="15" customHeight="1" x14ac:dyDescent="0.3">
      <c r="B603" s="132" t="s">
        <v>1123</v>
      </c>
      <c r="C603" s="132" t="s">
        <v>402</v>
      </c>
      <c r="D603" s="132" t="s">
        <v>1043</v>
      </c>
      <c r="E603" s="132" t="s">
        <v>320</v>
      </c>
      <c r="F603" s="133" t="s">
        <v>1125</v>
      </c>
      <c r="G603" s="134">
        <v>8.23</v>
      </c>
      <c r="H603" s="135">
        <v>13.45</v>
      </c>
      <c r="I603" s="136">
        <f t="shared" si="9"/>
        <v>110.6935</v>
      </c>
      <c r="J603" s="137">
        <v>1</v>
      </c>
    </row>
    <row r="604" spans="2:10" ht="15" customHeight="1" x14ac:dyDescent="0.3">
      <c r="B604" s="132" t="s">
        <v>1123</v>
      </c>
      <c r="C604" s="132" t="s">
        <v>402</v>
      </c>
      <c r="D604" s="132" t="s">
        <v>1043</v>
      </c>
      <c r="E604" s="132" t="s">
        <v>320</v>
      </c>
      <c r="F604" s="133" t="s">
        <v>1126</v>
      </c>
      <c r="G604" s="134">
        <v>2.86</v>
      </c>
      <c r="H604" s="135">
        <v>13.45</v>
      </c>
      <c r="I604" s="136">
        <f t="shared" si="9"/>
        <v>38.466999999999999</v>
      </c>
      <c r="J604" s="137">
        <v>1</v>
      </c>
    </row>
    <row r="605" spans="2:10" ht="15" customHeight="1" x14ac:dyDescent="0.3">
      <c r="B605" s="132" t="s">
        <v>1123</v>
      </c>
      <c r="C605" s="132" t="s">
        <v>402</v>
      </c>
      <c r="D605" s="132" t="s">
        <v>1043</v>
      </c>
      <c r="E605" s="132" t="s">
        <v>320</v>
      </c>
      <c r="F605" s="133" t="s">
        <v>1127</v>
      </c>
      <c r="G605" s="134">
        <v>3.18</v>
      </c>
      <c r="H605" s="135">
        <v>13.45</v>
      </c>
      <c r="I605" s="136">
        <f t="shared" si="9"/>
        <v>42.771000000000001</v>
      </c>
      <c r="J605" s="137">
        <v>1</v>
      </c>
    </row>
    <row r="606" spans="2:10" ht="15" customHeight="1" x14ac:dyDescent="0.3">
      <c r="B606" s="132" t="s">
        <v>1123</v>
      </c>
      <c r="C606" s="132" t="s">
        <v>402</v>
      </c>
      <c r="D606" s="132" t="s">
        <v>1043</v>
      </c>
      <c r="E606" s="132" t="s">
        <v>320</v>
      </c>
      <c r="F606" s="133" t="s">
        <v>1128</v>
      </c>
      <c r="G606" s="134">
        <v>2.86</v>
      </c>
      <c r="H606" s="135">
        <v>13.45</v>
      </c>
      <c r="I606" s="136">
        <f t="shared" si="9"/>
        <v>38.466999999999999</v>
      </c>
      <c r="J606" s="137">
        <v>1</v>
      </c>
    </row>
    <row r="607" spans="2:10" ht="15" customHeight="1" x14ac:dyDescent="0.3">
      <c r="B607" s="132" t="s">
        <v>1123</v>
      </c>
      <c r="C607" s="132" t="s">
        <v>402</v>
      </c>
      <c r="D607" s="132" t="s">
        <v>1043</v>
      </c>
      <c r="E607" s="132" t="s">
        <v>320</v>
      </c>
      <c r="F607" s="133" t="s">
        <v>1129</v>
      </c>
      <c r="G607" s="134">
        <v>1.91</v>
      </c>
      <c r="H607" s="135">
        <v>13.45</v>
      </c>
      <c r="I607" s="136">
        <f t="shared" si="9"/>
        <v>25.689499999999999</v>
      </c>
      <c r="J607" s="137">
        <v>1</v>
      </c>
    </row>
    <row r="608" spans="2:10" ht="15" customHeight="1" x14ac:dyDescent="0.3">
      <c r="B608" s="132" t="s">
        <v>1130</v>
      </c>
      <c r="C608" s="132" t="s">
        <v>402</v>
      </c>
      <c r="D608" s="132" t="s">
        <v>1043</v>
      </c>
      <c r="E608" s="132" t="s">
        <v>320</v>
      </c>
      <c r="F608" s="133" t="s">
        <v>1131</v>
      </c>
      <c r="G608" s="134">
        <v>4.76</v>
      </c>
      <c r="H608" s="135">
        <v>13.45</v>
      </c>
      <c r="I608" s="136">
        <f t="shared" si="9"/>
        <v>64.021999999999991</v>
      </c>
      <c r="J608" s="137">
        <v>1</v>
      </c>
    </row>
    <row r="609" spans="2:10" ht="15" customHeight="1" x14ac:dyDescent="0.3">
      <c r="B609" s="132" t="s">
        <v>1130</v>
      </c>
      <c r="C609" s="132" t="s">
        <v>402</v>
      </c>
      <c r="D609" s="132" t="s">
        <v>1043</v>
      </c>
      <c r="E609" s="132" t="s">
        <v>320</v>
      </c>
      <c r="F609" s="133" t="s">
        <v>1132</v>
      </c>
      <c r="G609" s="134">
        <v>4.76</v>
      </c>
      <c r="H609" s="135">
        <v>13.45</v>
      </c>
      <c r="I609" s="136">
        <f t="shared" si="9"/>
        <v>64.021999999999991</v>
      </c>
      <c r="J609" s="137">
        <v>1</v>
      </c>
    </row>
    <row r="610" spans="2:10" ht="15" customHeight="1" x14ac:dyDescent="0.3">
      <c r="B610" s="132" t="s">
        <v>1133</v>
      </c>
      <c r="C610" s="132" t="s">
        <v>402</v>
      </c>
      <c r="D610" s="132" t="s">
        <v>1043</v>
      </c>
      <c r="E610" s="132" t="s">
        <v>320</v>
      </c>
      <c r="F610" s="133" t="s">
        <v>1134</v>
      </c>
      <c r="G610" s="134">
        <v>3.48</v>
      </c>
      <c r="H610" s="135">
        <v>13.45</v>
      </c>
      <c r="I610" s="136">
        <f t="shared" si="9"/>
        <v>46.805999999999997</v>
      </c>
      <c r="J610" s="137">
        <v>1</v>
      </c>
    </row>
    <row r="611" spans="2:10" ht="15" customHeight="1" x14ac:dyDescent="0.3">
      <c r="B611" s="132" t="s">
        <v>1133</v>
      </c>
      <c r="C611" s="132" t="s">
        <v>402</v>
      </c>
      <c r="D611" s="132" t="s">
        <v>1043</v>
      </c>
      <c r="E611" s="132" t="s">
        <v>320</v>
      </c>
      <c r="F611" s="133" t="s">
        <v>1135</v>
      </c>
      <c r="G611" s="134">
        <v>5.38</v>
      </c>
      <c r="H611" s="135">
        <v>13.45</v>
      </c>
      <c r="I611" s="136">
        <f t="shared" si="9"/>
        <v>72.36099999999999</v>
      </c>
      <c r="J611" s="137">
        <v>1</v>
      </c>
    </row>
    <row r="612" spans="2:10" ht="15" customHeight="1" x14ac:dyDescent="0.3">
      <c r="B612" s="132" t="s">
        <v>1133</v>
      </c>
      <c r="C612" s="132" t="s">
        <v>402</v>
      </c>
      <c r="D612" s="132" t="s">
        <v>1043</v>
      </c>
      <c r="E612" s="132" t="s">
        <v>320</v>
      </c>
      <c r="F612" s="133" t="s">
        <v>1136</v>
      </c>
      <c r="G612" s="134">
        <v>2.38</v>
      </c>
      <c r="H612" s="135">
        <v>13.45</v>
      </c>
      <c r="I612" s="136">
        <f t="shared" si="9"/>
        <v>32.010999999999996</v>
      </c>
      <c r="J612" s="137">
        <v>1</v>
      </c>
    </row>
    <row r="613" spans="2:10" ht="15" customHeight="1" x14ac:dyDescent="0.3">
      <c r="B613" s="132" t="s">
        <v>1133</v>
      </c>
      <c r="C613" s="132" t="s">
        <v>402</v>
      </c>
      <c r="D613" s="132" t="s">
        <v>1043</v>
      </c>
      <c r="E613" s="132" t="s">
        <v>320</v>
      </c>
      <c r="F613" s="133" t="s">
        <v>1137</v>
      </c>
      <c r="G613" s="134">
        <v>2.2200000000000002</v>
      </c>
      <c r="H613" s="135">
        <v>13.45</v>
      </c>
      <c r="I613" s="136">
        <f t="shared" si="9"/>
        <v>29.859000000000002</v>
      </c>
      <c r="J613" s="137">
        <v>1</v>
      </c>
    </row>
    <row r="614" spans="2:10" ht="15" customHeight="1" x14ac:dyDescent="0.3">
      <c r="B614" s="132" t="s">
        <v>1133</v>
      </c>
      <c r="C614" s="132" t="s">
        <v>402</v>
      </c>
      <c r="D614" s="132" t="s">
        <v>1043</v>
      </c>
      <c r="E614" s="132" t="s">
        <v>320</v>
      </c>
      <c r="F614" s="133" t="s">
        <v>1138</v>
      </c>
      <c r="G614" s="134">
        <v>1.01</v>
      </c>
      <c r="H614" s="135">
        <v>13.45</v>
      </c>
      <c r="I614" s="136">
        <f t="shared" si="9"/>
        <v>13.5845</v>
      </c>
      <c r="J614" s="137">
        <v>1</v>
      </c>
    </row>
    <row r="615" spans="2:10" ht="15" customHeight="1" x14ac:dyDescent="0.3">
      <c r="B615" s="132" t="s">
        <v>1139</v>
      </c>
      <c r="C615" s="132" t="s">
        <v>402</v>
      </c>
      <c r="D615" s="132" t="s">
        <v>1043</v>
      </c>
      <c r="E615" s="132" t="s">
        <v>320</v>
      </c>
      <c r="F615" s="133" t="s">
        <v>1140</v>
      </c>
      <c r="G615" s="134">
        <v>1.27</v>
      </c>
      <c r="H615" s="135">
        <v>13.45</v>
      </c>
      <c r="I615" s="136">
        <f t="shared" si="9"/>
        <v>17.081499999999998</v>
      </c>
      <c r="J615" s="137">
        <v>1</v>
      </c>
    </row>
    <row r="616" spans="2:10" ht="15" customHeight="1" x14ac:dyDescent="0.3">
      <c r="B616" s="132" t="s">
        <v>1139</v>
      </c>
      <c r="C616" s="132" t="s">
        <v>402</v>
      </c>
      <c r="D616" s="132" t="s">
        <v>1043</v>
      </c>
      <c r="E616" s="132" t="s">
        <v>320</v>
      </c>
      <c r="F616" s="133" t="s">
        <v>1141</v>
      </c>
      <c r="G616" s="134">
        <v>1.27</v>
      </c>
      <c r="H616" s="135">
        <v>13.45</v>
      </c>
      <c r="I616" s="136">
        <f t="shared" si="9"/>
        <v>17.081499999999998</v>
      </c>
      <c r="J616" s="137">
        <v>1</v>
      </c>
    </row>
    <row r="617" spans="2:10" ht="15" customHeight="1" x14ac:dyDescent="0.3">
      <c r="B617" s="132" t="s">
        <v>1142</v>
      </c>
      <c r="C617" s="132" t="s">
        <v>402</v>
      </c>
      <c r="D617" s="132" t="s">
        <v>1043</v>
      </c>
      <c r="E617" s="132" t="s">
        <v>320</v>
      </c>
      <c r="F617" s="133" t="s">
        <v>1143</v>
      </c>
      <c r="G617" s="134">
        <v>7.89</v>
      </c>
      <c r="H617" s="135">
        <v>13.45</v>
      </c>
      <c r="I617" s="136">
        <f t="shared" si="9"/>
        <v>106.12049999999999</v>
      </c>
      <c r="J617" s="137">
        <v>1</v>
      </c>
    </row>
    <row r="618" spans="2:10" ht="15" customHeight="1" x14ac:dyDescent="0.3">
      <c r="B618" s="132" t="s">
        <v>1142</v>
      </c>
      <c r="C618" s="132" t="s">
        <v>402</v>
      </c>
      <c r="D618" s="132" t="s">
        <v>1043</v>
      </c>
      <c r="E618" s="132" t="s">
        <v>320</v>
      </c>
      <c r="F618" s="133" t="s">
        <v>1144</v>
      </c>
      <c r="G618" s="134">
        <v>7.89</v>
      </c>
      <c r="H618" s="135">
        <v>13.45</v>
      </c>
      <c r="I618" s="136">
        <f t="shared" si="9"/>
        <v>106.12049999999999</v>
      </c>
      <c r="J618" s="137">
        <v>1</v>
      </c>
    </row>
    <row r="619" spans="2:10" ht="15" customHeight="1" x14ac:dyDescent="0.3">
      <c r="B619" s="132" t="s">
        <v>1142</v>
      </c>
      <c r="C619" s="132" t="s">
        <v>402</v>
      </c>
      <c r="D619" s="132" t="s">
        <v>1043</v>
      </c>
      <c r="E619" s="132" t="s">
        <v>320</v>
      </c>
      <c r="F619" s="133" t="s">
        <v>1145</v>
      </c>
      <c r="G619" s="134">
        <v>4.3</v>
      </c>
      <c r="H619" s="135">
        <v>13.45</v>
      </c>
      <c r="I619" s="136">
        <f t="shared" si="9"/>
        <v>57.834999999999994</v>
      </c>
      <c r="J619" s="137">
        <v>1</v>
      </c>
    </row>
    <row r="620" spans="2:10" ht="15" customHeight="1" x14ac:dyDescent="0.3">
      <c r="B620" s="132" t="s">
        <v>1146</v>
      </c>
      <c r="C620" s="132" t="s">
        <v>402</v>
      </c>
      <c r="D620" s="132" t="s">
        <v>1043</v>
      </c>
      <c r="E620" s="132" t="s">
        <v>320</v>
      </c>
      <c r="F620" s="133" t="s">
        <v>1147</v>
      </c>
      <c r="G620" s="134">
        <v>2.2200000000000002</v>
      </c>
      <c r="H620" s="135">
        <v>13.45</v>
      </c>
      <c r="I620" s="136">
        <f t="shared" si="9"/>
        <v>29.859000000000002</v>
      </c>
      <c r="J620" s="137">
        <v>1</v>
      </c>
    </row>
    <row r="621" spans="2:10" ht="15" customHeight="1" x14ac:dyDescent="0.3">
      <c r="B621" s="132" t="s">
        <v>1146</v>
      </c>
      <c r="C621" s="132" t="s">
        <v>402</v>
      </c>
      <c r="D621" s="132" t="s">
        <v>1043</v>
      </c>
      <c r="E621" s="132" t="s">
        <v>320</v>
      </c>
      <c r="F621" s="133" t="s">
        <v>1148</v>
      </c>
      <c r="G621" s="134">
        <v>2.5299999999999998</v>
      </c>
      <c r="H621" s="135">
        <v>13.45</v>
      </c>
      <c r="I621" s="136">
        <f t="shared" si="9"/>
        <v>34.028499999999994</v>
      </c>
      <c r="J621" s="137">
        <v>1</v>
      </c>
    </row>
    <row r="622" spans="2:10" ht="15" customHeight="1" x14ac:dyDescent="0.3">
      <c r="B622" s="132" t="s">
        <v>1146</v>
      </c>
      <c r="C622" s="132" t="s">
        <v>402</v>
      </c>
      <c r="D622" s="132" t="s">
        <v>1043</v>
      </c>
      <c r="E622" s="132" t="s">
        <v>320</v>
      </c>
      <c r="F622" s="133" t="s">
        <v>1149</v>
      </c>
      <c r="G622" s="134">
        <v>6.39</v>
      </c>
      <c r="H622" s="135">
        <v>13.45</v>
      </c>
      <c r="I622" s="136">
        <f t="shared" si="9"/>
        <v>85.945499999999996</v>
      </c>
      <c r="J622" s="137">
        <v>1</v>
      </c>
    </row>
    <row r="623" spans="2:10" ht="15" customHeight="1" x14ac:dyDescent="0.3">
      <c r="B623" s="132" t="s">
        <v>1146</v>
      </c>
      <c r="C623" s="132" t="s">
        <v>402</v>
      </c>
      <c r="D623" s="132" t="s">
        <v>1043</v>
      </c>
      <c r="E623" s="132" t="s">
        <v>320</v>
      </c>
      <c r="F623" s="133" t="s">
        <v>1150</v>
      </c>
      <c r="G623" s="134">
        <v>8</v>
      </c>
      <c r="H623" s="135">
        <v>13.45</v>
      </c>
      <c r="I623" s="136">
        <f t="shared" si="9"/>
        <v>107.6</v>
      </c>
      <c r="J623" s="137">
        <v>1</v>
      </c>
    </row>
    <row r="624" spans="2:10" ht="15" customHeight="1" x14ac:dyDescent="0.3">
      <c r="B624" s="132" t="s">
        <v>1151</v>
      </c>
      <c r="C624" s="132" t="s">
        <v>402</v>
      </c>
      <c r="D624" s="132" t="s">
        <v>1043</v>
      </c>
      <c r="E624" s="132" t="s">
        <v>320</v>
      </c>
      <c r="F624" s="133" t="s">
        <v>1152</v>
      </c>
      <c r="G624" s="134">
        <v>4.13</v>
      </c>
      <c r="H624" s="135">
        <v>13.45</v>
      </c>
      <c r="I624" s="136">
        <f t="shared" si="9"/>
        <v>55.548499999999997</v>
      </c>
      <c r="J624" s="137">
        <v>1</v>
      </c>
    </row>
    <row r="625" spans="2:10" ht="15" customHeight="1" x14ac:dyDescent="0.3">
      <c r="B625" s="132" t="s">
        <v>1151</v>
      </c>
      <c r="C625" s="132" t="s">
        <v>402</v>
      </c>
      <c r="D625" s="132" t="s">
        <v>1043</v>
      </c>
      <c r="E625" s="132" t="s">
        <v>320</v>
      </c>
      <c r="F625" s="133" t="s">
        <v>1153</v>
      </c>
      <c r="G625" s="134">
        <v>4.13</v>
      </c>
      <c r="H625" s="135">
        <v>13.45</v>
      </c>
      <c r="I625" s="136">
        <f t="shared" si="9"/>
        <v>55.548499999999997</v>
      </c>
      <c r="J625" s="137">
        <v>1</v>
      </c>
    </row>
    <row r="626" spans="2:10" ht="15" customHeight="1" x14ac:dyDescent="0.3">
      <c r="B626" s="132" t="s">
        <v>1151</v>
      </c>
      <c r="C626" s="132" t="s">
        <v>402</v>
      </c>
      <c r="D626" s="132" t="s">
        <v>1043</v>
      </c>
      <c r="E626" s="132" t="s">
        <v>320</v>
      </c>
      <c r="F626" s="133" t="s">
        <v>1154</v>
      </c>
      <c r="G626" s="134">
        <v>2.54</v>
      </c>
      <c r="H626" s="135">
        <v>13.45</v>
      </c>
      <c r="I626" s="136">
        <f t="shared" si="9"/>
        <v>34.162999999999997</v>
      </c>
      <c r="J626" s="137">
        <v>1</v>
      </c>
    </row>
    <row r="627" spans="2:10" ht="15" customHeight="1" x14ac:dyDescent="0.3">
      <c r="B627" s="132" t="s">
        <v>1151</v>
      </c>
      <c r="C627" s="132" t="s">
        <v>402</v>
      </c>
      <c r="D627" s="132" t="s">
        <v>1043</v>
      </c>
      <c r="E627" s="132" t="s">
        <v>320</v>
      </c>
      <c r="F627" s="133" t="s">
        <v>1155</v>
      </c>
      <c r="G627" s="134">
        <v>2.54</v>
      </c>
      <c r="H627" s="135">
        <v>13.45</v>
      </c>
      <c r="I627" s="136">
        <f t="shared" si="9"/>
        <v>34.162999999999997</v>
      </c>
      <c r="J627" s="137">
        <v>1</v>
      </c>
    </row>
    <row r="628" spans="2:10" ht="15" customHeight="1" x14ac:dyDescent="0.3">
      <c r="B628" s="132" t="s">
        <v>1156</v>
      </c>
      <c r="C628" s="132" t="s">
        <v>402</v>
      </c>
      <c r="D628" s="132" t="s">
        <v>1043</v>
      </c>
      <c r="E628" s="132" t="s">
        <v>320</v>
      </c>
      <c r="F628" s="133" t="s">
        <v>1157</v>
      </c>
      <c r="G628" s="134">
        <v>9.59</v>
      </c>
      <c r="H628" s="135">
        <v>13.45</v>
      </c>
      <c r="I628" s="136">
        <f t="shared" si="9"/>
        <v>128.9855</v>
      </c>
      <c r="J628" s="137">
        <v>1</v>
      </c>
    </row>
    <row r="629" spans="2:10" ht="15" customHeight="1" x14ac:dyDescent="0.3">
      <c r="B629" s="132" t="s">
        <v>1156</v>
      </c>
      <c r="C629" s="132" t="s">
        <v>402</v>
      </c>
      <c r="D629" s="132" t="s">
        <v>1043</v>
      </c>
      <c r="E629" s="132" t="s">
        <v>320</v>
      </c>
      <c r="F629" s="133" t="s">
        <v>1158</v>
      </c>
      <c r="G629" s="134">
        <v>1.27</v>
      </c>
      <c r="H629" s="135">
        <v>13.45</v>
      </c>
      <c r="I629" s="136">
        <f t="shared" si="9"/>
        <v>17.081499999999998</v>
      </c>
      <c r="J629" s="137">
        <v>1</v>
      </c>
    </row>
    <row r="630" spans="2:10" ht="15" customHeight="1" x14ac:dyDescent="0.3">
      <c r="B630" s="132" t="s">
        <v>1156</v>
      </c>
      <c r="C630" s="132" t="s">
        <v>402</v>
      </c>
      <c r="D630" s="132" t="s">
        <v>1043</v>
      </c>
      <c r="E630" s="132" t="s">
        <v>320</v>
      </c>
      <c r="F630" s="133" t="s">
        <v>1159</v>
      </c>
      <c r="G630" s="134">
        <v>1.27</v>
      </c>
      <c r="H630" s="135">
        <v>13.45</v>
      </c>
      <c r="I630" s="136">
        <f t="shared" si="9"/>
        <v>17.081499999999998</v>
      </c>
      <c r="J630" s="137">
        <v>1</v>
      </c>
    </row>
    <row r="631" spans="2:10" ht="15" customHeight="1" x14ac:dyDescent="0.3">
      <c r="B631" s="132" t="s">
        <v>1160</v>
      </c>
      <c r="C631" s="132" t="s">
        <v>402</v>
      </c>
      <c r="D631" s="132" t="s">
        <v>1043</v>
      </c>
      <c r="E631" s="132" t="s">
        <v>320</v>
      </c>
      <c r="F631" s="133" t="s">
        <v>1161</v>
      </c>
      <c r="G631" s="134">
        <v>9.58</v>
      </c>
      <c r="H631" s="135">
        <v>13.45</v>
      </c>
      <c r="I631" s="136">
        <f t="shared" si="9"/>
        <v>128.851</v>
      </c>
      <c r="J631" s="137">
        <v>1</v>
      </c>
    </row>
    <row r="632" spans="2:10" ht="15" customHeight="1" x14ac:dyDescent="0.3">
      <c r="B632" s="132" t="s">
        <v>1160</v>
      </c>
      <c r="C632" s="132" t="s">
        <v>402</v>
      </c>
      <c r="D632" s="132" t="s">
        <v>1043</v>
      </c>
      <c r="E632" s="132" t="s">
        <v>320</v>
      </c>
      <c r="F632" s="133" t="s">
        <v>1162</v>
      </c>
      <c r="G632" s="134">
        <v>2.0699999999999998</v>
      </c>
      <c r="H632" s="135">
        <v>13.45</v>
      </c>
      <c r="I632" s="136">
        <f t="shared" si="9"/>
        <v>27.841499999999996</v>
      </c>
      <c r="J632" s="137">
        <v>1</v>
      </c>
    </row>
    <row r="633" spans="2:10" ht="15" customHeight="1" x14ac:dyDescent="0.3">
      <c r="B633" s="132" t="s">
        <v>1160</v>
      </c>
      <c r="C633" s="132" t="s">
        <v>402</v>
      </c>
      <c r="D633" s="132" t="s">
        <v>1043</v>
      </c>
      <c r="E633" s="132" t="s">
        <v>320</v>
      </c>
      <c r="F633" s="133" t="s">
        <v>1163</v>
      </c>
      <c r="G633" s="134">
        <v>8.02</v>
      </c>
      <c r="H633" s="135">
        <v>13.45</v>
      </c>
      <c r="I633" s="136">
        <f t="shared" si="9"/>
        <v>107.86899999999999</v>
      </c>
      <c r="J633" s="137">
        <v>1</v>
      </c>
    </row>
    <row r="634" spans="2:10" ht="15" customHeight="1" x14ac:dyDescent="0.3">
      <c r="B634" s="132" t="s">
        <v>1164</v>
      </c>
      <c r="C634" s="132" t="s">
        <v>402</v>
      </c>
      <c r="D634" s="132" t="s">
        <v>1043</v>
      </c>
      <c r="E634" s="132" t="s">
        <v>320</v>
      </c>
      <c r="F634" s="133" t="s">
        <v>1165</v>
      </c>
      <c r="G634" s="134">
        <v>1.27</v>
      </c>
      <c r="H634" s="135">
        <v>13.45</v>
      </c>
      <c r="I634" s="136">
        <f t="shared" si="9"/>
        <v>17.081499999999998</v>
      </c>
      <c r="J634" s="137">
        <v>1</v>
      </c>
    </row>
    <row r="635" spans="2:10" ht="15" customHeight="1" x14ac:dyDescent="0.3">
      <c r="B635" s="132" t="s">
        <v>1164</v>
      </c>
      <c r="C635" s="132" t="s">
        <v>402</v>
      </c>
      <c r="D635" s="132" t="s">
        <v>1043</v>
      </c>
      <c r="E635" s="132" t="s">
        <v>320</v>
      </c>
      <c r="F635" s="133" t="s">
        <v>1166</v>
      </c>
      <c r="G635" s="134">
        <v>9.6</v>
      </c>
      <c r="H635" s="135">
        <v>13.45</v>
      </c>
      <c r="I635" s="136">
        <f t="shared" si="9"/>
        <v>129.11999999999998</v>
      </c>
      <c r="J635" s="137">
        <v>1</v>
      </c>
    </row>
    <row r="636" spans="2:10" ht="15" customHeight="1" x14ac:dyDescent="0.3">
      <c r="B636" s="132" t="s">
        <v>1167</v>
      </c>
      <c r="C636" s="132" t="s">
        <v>402</v>
      </c>
      <c r="D636" s="132" t="s">
        <v>1043</v>
      </c>
      <c r="E636" s="132" t="s">
        <v>320</v>
      </c>
      <c r="F636" s="133" t="s">
        <v>1168</v>
      </c>
      <c r="G636" s="134">
        <v>3.66</v>
      </c>
      <c r="H636" s="135">
        <v>13.45</v>
      </c>
      <c r="I636" s="136">
        <f t="shared" si="9"/>
        <v>49.226999999999997</v>
      </c>
      <c r="J636" s="137">
        <v>1</v>
      </c>
    </row>
    <row r="637" spans="2:10" ht="15" customHeight="1" x14ac:dyDescent="0.3">
      <c r="B637" s="132" t="s">
        <v>1169</v>
      </c>
      <c r="C637" s="132" t="s">
        <v>402</v>
      </c>
      <c r="D637" s="132" t="s">
        <v>1043</v>
      </c>
      <c r="E637" s="132" t="s">
        <v>320</v>
      </c>
      <c r="F637" s="133" t="s">
        <v>1170</v>
      </c>
      <c r="G637" s="134">
        <v>9.57</v>
      </c>
      <c r="H637" s="135">
        <v>13.45</v>
      </c>
      <c r="I637" s="136">
        <f t="shared" si="9"/>
        <v>128.7165</v>
      </c>
      <c r="J637" s="137">
        <v>1</v>
      </c>
    </row>
    <row r="638" spans="2:10" ht="15" customHeight="1" x14ac:dyDescent="0.3">
      <c r="B638" s="132" t="s">
        <v>1171</v>
      </c>
      <c r="C638" s="132" t="s">
        <v>402</v>
      </c>
      <c r="D638" s="132" t="s">
        <v>1043</v>
      </c>
      <c r="E638" s="132" t="s">
        <v>320</v>
      </c>
      <c r="F638" s="133" t="s">
        <v>1172</v>
      </c>
      <c r="G638" s="134">
        <v>2.2200000000000002</v>
      </c>
      <c r="H638" s="135">
        <v>13.45</v>
      </c>
      <c r="I638" s="136">
        <f t="shared" si="9"/>
        <v>29.859000000000002</v>
      </c>
      <c r="J638" s="137">
        <v>1</v>
      </c>
    </row>
    <row r="639" spans="2:10" ht="15" customHeight="1" x14ac:dyDescent="0.3">
      <c r="B639" s="132" t="s">
        <v>1173</v>
      </c>
      <c r="C639" s="132" t="s">
        <v>402</v>
      </c>
      <c r="D639" s="132" t="s">
        <v>1043</v>
      </c>
      <c r="E639" s="132" t="s">
        <v>320</v>
      </c>
      <c r="F639" s="133" t="s">
        <v>1174</v>
      </c>
      <c r="G639" s="134">
        <v>5.08</v>
      </c>
      <c r="H639" s="135">
        <v>13.45</v>
      </c>
      <c r="I639" s="136">
        <f t="shared" si="9"/>
        <v>68.325999999999993</v>
      </c>
      <c r="J639" s="137">
        <v>1</v>
      </c>
    </row>
    <row r="640" spans="2:10" ht="15" customHeight="1" x14ac:dyDescent="0.3">
      <c r="B640" s="132" t="s">
        <v>1175</v>
      </c>
      <c r="C640" s="132" t="s">
        <v>402</v>
      </c>
      <c r="D640" s="132" t="s">
        <v>1043</v>
      </c>
      <c r="E640" s="132" t="s">
        <v>320</v>
      </c>
      <c r="F640" s="133" t="s">
        <v>1176</v>
      </c>
      <c r="G640" s="134">
        <v>1.58</v>
      </c>
      <c r="H640" s="135">
        <v>13.45</v>
      </c>
      <c r="I640" s="136">
        <f t="shared" si="9"/>
        <v>21.251000000000001</v>
      </c>
      <c r="J640" s="137">
        <v>1</v>
      </c>
    </row>
    <row r="641" spans="2:10" ht="15" customHeight="1" x14ac:dyDescent="0.3">
      <c r="B641" s="132" t="s">
        <v>1175</v>
      </c>
      <c r="C641" s="132" t="s">
        <v>402</v>
      </c>
      <c r="D641" s="132" t="s">
        <v>1043</v>
      </c>
      <c r="E641" s="132" t="s">
        <v>320</v>
      </c>
      <c r="F641" s="133" t="s">
        <v>1177</v>
      </c>
      <c r="G641" s="134">
        <v>4.92</v>
      </c>
      <c r="H641" s="135">
        <v>13.45</v>
      </c>
      <c r="I641" s="136">
        <f t="shared" si="9"/>
        <v>66.173999999999992</v>
      </c>
      <c r="J641" s="137">
        <v>1</v>
      </c>
    </row>
    <row r="642" spans="2:10" ht="15" customHeight="1" x14ac:dyDescent="0.3">
      <c r="B642" s="132" t="s">
        <v>1178</v>
      </c>
      <c r="C642" s="132" t="s">
        <v>402</v>
      </c>
      <c r="D642" s="132" t="s">
        <v>1043</v>
      </c>
      <c r="E642" s="132" t="s">
        <v>320</v>
      </c>
      <c r="F642" s="133" t="s">
        <v>1179</v>
      </c>
      <c r="G642" s="134">
        <v>1.74</v>
      </c>
      <c r="H642" s="135">
        <v>13.45</v>
      </c>
      <c r="I642" s="136">
        <f t="shared" si="9"/>
        <v>23.402999999999999</v>
      </c>
      <c r="J642" s="137">
        <v>1</v>
      </c>
    </row>
    <row r="643" spans="2:10" ht="15" customHeight="1" x14ac:dyDescent="0.3">
      <c r="B643" s="132" t="s">
        <v>1178</v>
      </c>
      <c r="C643" s="132" t="s">
        <v>402</v>
      </c>
      <c r="D643" s="132" t="s">
        <v>1043</v>
      </c>
      <c r="E643" s="132" t="s">
        <v>320</v>
      </c>
      <c r="F643" s="133" t="s">
        <v>1180</v>
      </c>
      <c r="G643" s="134">
        <v>4.93</v>
      </c>
      <c r="H643" s="135">
        <v>13.45</v>
      </c>
      <c r="I643" s="136">
        <f t="shared" si="9"/>
        <v>66.308499999999995</v>
      </c>
      <c r="J643" s="137">
        <v>1</v>
      </c>
    </row>
    <row r="644" spans="2:10" ht="15" customHeight="1" x14ac:dyDescent="0.3">
      <c r="B644" s="132" t="s">
        <v>1181</v>
      </c>
      <c r="C644" s="132" t="s">
        <v>402</v>
      </c>
      <c r="D644" s="132" t="s">
        <v>1043</v>
      </c>
      <c r="E644" s="132" t="s">
        <v>320</v>
      </c>
      <c r="F644" s="133" t="s">
        <v>1182</v>
      </c>
      <c r="G644" s="134">
        <v>4.13</v>
      </c>
      <c r="H644" s="135">
        <v>13.45</v>
      </c>
      <c r="I644" s="136">
        <f t="shared" si="9"/>
        <v>55.548499999999997</v>
      </c>
      <c r="J644" s="137">
        <v>1</v>
      </c>
    </row>
    <row r="645" spans="2:10" ht="15" customHeight="1" x14ac:dyDescent="0.3">
      <c r="B645" s="132" t="s">
        <v>1183</v>
      </c>
      <c r="C645" s="132" t="s">
        <v>402</v>
      </c>
      <c r="D645" s="132" t="s">
        <v>1043</v>
      </c>
      <c r="E645" s="132" t="s">
        <v>320</v>
      </c>
      <c r="F645" s="133" t="s">
        <v>1184</v>
      </c>
      <c r="G645" s="134">
        <v>1.34</v>
      </c>
      <c r="H645" s="135">
        <v>13.45</v>
      </c>
      <c r="I645" s="136">
        <f t="shared" si="9"/>
        <v>18.023</v>
      </c>
      <c r="J645" s="137">
        <v>1</v>
      </c>
    </row>
    <row r="646" spans="2:10" ht="15" customHeight="1" x14ac:dyDescent="0.3">
      <c r="B646" s="132" t="s">
        <v>1185</v>
      </c>
      <c r="C646" s="132" t="s">
        <v>402</v>
      </c>
      <c r="D646" s="132" t="s">
        <v>1043</v>
      </c>
      <c r="E646" s="132" t="s">
        <v>320</v>
      </c>
      <c r="F646" s="133" t="s">
        <v>1186</v>
      </c>
      <c r="G646" s="134">
        <v>9.7200000000000006</v>
      </c>
      <c r="H646" s="135">
        <v>13.45</v>
      </c>
      <c r="I646" s="136">
        <f t="shared" si="9"/>
        <v>130.73400000000001</v>
      </c>
      <c r="J646" s="137">
        <v>1</v>
      </c>
    </row>
    <row r="647" spans="2:10" ht="15" customHeight="1" x14ac:dyDescent="0.3">
      <c r="B647" s="132" t="s">
        <v>1185</v>
      </c>
      <c r="C647" s="132" t="s">
        <v>402</v>
      </c>
      <c r="D647" s="132" t="s">
        <v>1043</v>
      </c>
      <c r="E647" s="132" t="s">
        <v>320</v>
      </c>
      <c r="F647" s="133" t="s">
        <v>1187</v>
      </c>
      <c r="G647" s="134">
        <v>1.19</v>
      </c>
      <c r="H647" s="135">
        <v>13.45</v>
      </c>
      <c r="I647" s="136">
        <f t="shared" si="9"/>
        <v>16.005499999999998</v>
      </c>
      <c r="J647" s="137">
        <v>1</v>
      </c>
    </row>
    <row r="648" spans="2:10" ht="15" customHeight="1" x14ac:dyDescent="0.3">
      <c r="B648" s="132" t="s">
        <v>1188</v>
      </c>
      <c r="C648" s="132" t="s">
        <v>402</v>
      </c>
      <c r="D648" s="132" t="s">
        <v>1043</v>
      </c>
      <c r="E648" s="132" t="s">
        <v>320</v>
      </c>
      <c r="F648" s="133" t="s">
        <v>1189</v>
      </c>
      <c r="G648" s="134">
        <v>7.33</v>
      </c>
      <c r="H648" s="135">
        <v>13.45</v>
      </c>
      <c r="I648" s="136">
        <f t="shared" ref="I648:I711" si="10">G648*H648</f>
        <v>98.588499999999996</v>
      </c>
      <c r="J648" s="137">
        <v>1</v>
      </c>
    </row>
    <row r="649" spans="2:10" ht="15" customHeight="1" x14ac:dyDescent="0.3">
      <c r="B649" s="132" t="s">
        <v>1188</v>
      </c>
      <c r="C649" s="132" t="s">
        <v>402</v>
      </c>
      <c r="D649" s="132" t="s">
        <v>1043</v>
      </c>
      <c r="E649" s="132" t="s">
        <v>320</v>
      </c>
      <c r="F649" s="133" t="s">
        <v>1190</v>
      </c>
      <c r="G649" s="134">
        <v>7.37</v>
      </c>
      <c r="H649" s="135">
        <v>13.45</v>
      </c>
      <c r="I649" s="136">
        <f t="shared" si="10"/>
        <v>99.126499999999993</v>
      </c>
      <c r="J649" s="137">
        <v>1</v>
      </c>
    </row>
    <row r="650" spans="2:10" ht="15" customHeight="1" x14ac:dyDescent="0.3">
      <c r="B650" s="132" t="s">
        <v>1191</v>
      </c>
      <c r="C650" s="132" t="s">
        <v>402</v>
      </c>
      <c r="D650" s="132" t="s">
        <v>1043</v>
      </c>
      <c r="E650" s="132" t="s">
        <v>320</v>
      </c>
      <c r="F650" s="133" t="s">
        <v>1192</v>
      </c>
      <c r="G650" s="134">
        <v>8.5299999999999994</v>
      </c>
      <c r="H650" s="135">
        <v>13.45</v>
      </c>
      <c r="I650" s="136">
        <f t="shared" si="10"/>
        <v>114.72849999999998</v>
      </c>
      <c r="J650" s="137">
        <v>1</v>
      </c>
    </row>
    <row r="651" spans="2:10" ht="15" customHeight="1" x14ac:dyDescent="0.3">
      <c r="B651" s="132" t="s">
        <v>1193</v>
      </c>
      <c r="C651" s="132" t="s">
        <v>402</v>
      </c>
      <c r="D651" s="132" t="s">
        <v>1043</v>
      </c>
      <c r="E651" s="132" t="s">
        <v>320</v>
      </c>
      <c r="F651" s="133" t="s">
        <v>1194</v>
      </c>
      <c r="G651" s="134">
        <v>1.0900000000000001</v>
      </c>
      <c r="H651" s="135">
        <v>13.45</v>
      </c>
      <c r="I651" s="136">
        <f t="shared" si="10"/>
        <v>14.660500000000001</v>
      </c>
      <c r="J651" s="137">
        <v>1</v>
      </c>
    </row>
    <row r="652" spans="2:10" ht="15" customHeight="1" x14ac:dyDescent="0.3">
      <c r="B652" s="132" t="s">
        <v>1193</v>
      </c>
      <c r="C652" s="132" t="s">
        <v>402</v>
      </c>
      <c r="D652" s="132" t="s">
        <v>1043</v>
      </c>
      <c r="E652" s="132" t="s">
        <v>320</v>
      </c>
      <c r="F652" s="133" t="s">
        <v>1195</v>
      </c>
      <c r="G652" s="134">
        <v>1.1000000000000001</v>
      </c>
      <c r="H652" s="135">
        <v>13.45</v>
      </c>
      <c r="I652" s="136">
        <f t="shared" si="10"/>
        <v>14.795</v>
      </c>
      <c r="J652" s="137">
        <v>1</v>
      </c>
    </row>
    <row r="653" spans="2:10" ht="15" customHeight="1" x14ac:dyDescent="0.3">
      <c r="B653" s="132" t="s">
        <v>1193</v>
      </c>
      <c r="C653" s="132" t="s">
        <v>402</v>
      </c>
      <c r="D653" s="132" t="s">
        <v>1043</v>
      </c>
      <c r="E653" s="132" t="s">
        <v>320</v>
      </c>
      <c r="F653" s="133" t="s">
        <v>1196</v>
      </c>
      <c r="G653" s="134">
        <v>1.1000000000000001</v>
      </c>
      <c r="H653" s="135">
        <v>13.45</v>
      </c>
      <c r="I653" s="136">
        <f t="shared" si="10"/>
        <v>14.795</v>
      </c>
      <c r="J653" s="137">
        <v>1</v>
      </c>
    </row>
    <row r="654" spans="2:10" ht="15" customHeight="1" x14ac:dyDescent="0.3">
      <c r="B654" s="132" t="s">
        <v>1197</v>
      </c>
      <c r="C654" s="132" t="s">
        <v>402</v>
      </c>
      <c r="D654" s="132" t="s">
        <v>1043</v>
      </c>
      <c r="E654" s="132" t="s">
        <v>320</v>
      </c>
      <c r="F654" s="133" t="s">
        <v>1198</v>
      </c>
      <c r="G654" s="134">
        <v>1.1000000000000001</v>
      </c>
      <c r="H654" s="135">
        <v>13.45</v>
      </c>
      <c r="I654" s="136">
        <f t="shared" si="10"/>
        <v>14.795</v>
      </c>
      <c r="J654" s="137">
        <v>1</v>
      </c>
    </row>
    <row r="655" spans="2:10" ht="15" customHeight="1" x14ac:dyDescent="0.3">
      <c r="B655" s="132" t="s">
        <v>1197</v>
      </c>
      <c r="C655" s="132" t="s">
        <v>402</v>
      </c>
      <c r="D655" s="132" t="s">
        <v>1043</v>
      </c>
      <c r="E655" s="132" t="s">
        <v>320</v>
      </c>
      <c r="F655" s="133" t="s">
        <v>1199</v>
      </c>
      <c r="G655" s="134">
        <v>1</v>
      </c>
      <c r="H655" s="135">
        <v>13.45</v>
      </c>
      <c r="I655" s="136">
        <f t="shared" si="10"/>
        <v>13.45</v>
      </c>
      <c r="J655" s="137">
        <v>1</v>
      </c>
    </row>
    <row r="656" spans="2:10" ht="15" customHeight="1" x14ac:dyDescent="0.3">
      <c r="B656" s="132" t="s">
        <v>1200</v>
      </c>
      <c r="C656" s="132" t="s">
        <v>402</v>
      </c>
      <c r="D656" s="132" t="s">
        <v>1043</v>
      </c>
      <c r="E656" s="132" t="s">
        <v>320</v>
      </c>
      <c r="F656" s="133" t="s">
        <v>1201</v>
      </c>
      <c r="G656" s="134">
        <v>9.57</v>
      </c>
      <c r="H656" s="135">
        <v>13.45</v>
      </c>
      <c r="I656" s="136">
        <f t="shared" si="10"/>
        <v>128.7165</v>
      </c>
      <c r="J656" s="137">
        <v>1</v>
      </c>
    </row>
    <row r="657" spans="2:10" ht="15" customHeight="1" x14ac:dyDescent="0.3">
      <c r="B657" s="132" t="s">
        <v>1202</v>
      </c>
      <c r="C657" s="132" t="s">
        <v>402</v>
      </c>
      <c r="D657" s="132" t="s">
        <v>1043</v>
      </c>
      <c r="E657" s="132" t="s">
        <v>320</v>
      </c>
      <c r="F657" s="133" t="s">
        <v>1203</v>
      </c>
      <c r="G657" s="134">
        <v>8</v>
      </c>
      <c r="H657" s="135">
        <v>13.45</v>
      </c>
      <c r="I657" s="136">
        <f t="shared" si="10"/>
        <v>107.6</v>
      </c>
      <c r="J657" s="137">
        <v>1</v>
      </c>
    </row>
    <row r="658" spans="2:10" ht="15" customHeight="1" x14ac:dyDescent="0.3">
      <c r="B658" s="132" t="s">
        <v>1202</v>
      </c>
      <c r="C658" s="132" t="s">
        <v>402</v>
      </c>
      <c r="D658" s="132" t="s">
        <v>1043</v>
      </c>
      <c r="E658" s="132" t="s">
        <v>320</v>
      </c>
      <c r="F658" s="133" t="s">
        <v>1204</v>
      </c>
      <c r="G658" s="134">
        <v>1.26</v>
      </c>
      <c r="H658" s="135">
        <v>13.45</v>
      </c>
      <c r="I658" s="136">
        <f t="shared" si="10"/>
        <v>16.946999999999999</v>
      </c>
      <c r="J658" s="137">
        <v>1</v>
      </c>
    </row>
    <row r="659" spans="2:10" ht="15" customHeight="1" x14ac:dyDescent="0.3">
      <c r="B659" s="132" t="s">
        <v>1205</v>
      </c>
      <c r="C659" s="132" t="s">
        <v>402</v>
      </c>
      <c r="D659" s="132" t="s">
        <v>1043</v>
      </c>
      <c r="E659" s="132" t="s">
        <v>320</v>
      </c>
      <c r="F659" s="133" t="s">
        <v>1206</v>
      </c>
      <c r="G659" s="134">
        <v>1.97</v>
      </c>
      <c r="H659" s="135">
        <v>13.45</v>
      </c>
      <c r="I659" s="136">
        <f t="shared" si="10"/>
        <v>26.496499999999997</v>
      </c>
      <c r="J659" s="137">
        <v>1</v>
      </c>
    </row>
    <row r="660" spans="2:10" ht="15" customHeight="1" x14ac:dyDescent="0.3">
      <c r="B660" s="132" t="s">
        <v>1205</v>
      </c>
      <c r="C660" s="132" t="s">
        <v>402</v>
      </c>
      <c r="D660" s="132" t="s">
        <v>1043</v>
      </c>
      <c r="E660" s="132" t="s">
        <v>320</v>
      </c>
      <c r="F660" s="133" t="s">
        <v>1207</v>
      </c>
      <c r="G660" s="134">
        <v>1.99</v>
      </c>
      <c r="H660" s="135">
        <v>13.45</v>
      </c>
      <c r="I660" s="136">
        <f t="shared" si="10"/>
        <v>26.765499999999999</v>
      </c>
      <c r="J660" s="137">
        <v>1</v>
      </c>
    </row>
    <row r="661" spans="2:10" ht="15" customHeight="1" x14ac:dyDescent="0.3">
      <c r="B661" s="132" t="s">
        <v>1205</v>
      </c>
      <c r="C661" s="132" t="s">
        <v>402</v>
      </c>
      <c r="D661" s="132" t="s">
        <v>1043</v>
      </c>
      <c r="E661" s="132" t="s">
        <v>320</v>
      </c>
      <c r="F661" s="133" t="s">
        <v>1208</v>
      </c>
      <c r="G661" s="134">
        <v>1.28</v>
      </c>
      <c r="H661" s="135">
        <v>13.45</v>
      </c>
      <c r="I661" s="136">
        <f t="shared" si="10"/>
        <v>17.216000000000001</v>
      </c>
      <c r="J661" s="137">
        <v>1</v>
      </c>
    </row>
    <row r="662" spans="2:10" ht="15" customHeight="1" x14ac:dyDescent="0.3">
      <c r="B662" s="132" t="s">
        <v>1205</v>
      </c>
      <c r="C662" s="132" t="s">
        <v>402</v>
      </c>
      <c r="D662" s="132" t="s">
        <v>1043</v>
      </c>
      <c r="E662" s="132" t="s">
        <v>320</v>
      </c>
      <c r="F662" s="133" t="s">
        <v>1209</v>
      </c>
      <c r="G662" s="134">
        <v>1.25</v>
      </c>
      <c r="H662" s="135">
        <v>13.45</v>
      </c>
      <c r="I662" s="136">
        <f t="shared" si="10"/>
        <v>16.8125</v>
      </c>
      <c r="J662" s="137">
        <v>1</v>
      </c>
    </row>
    <row r="663" spans="2:10" ht="15" customHeight="1" x14ac:dyDescent="0.3">
      <c r="B663" s="132" t="s">
        <v>1210</v>
      </c>
      <c r="C663" s="132" t="s">
        <v>402</v>
      </c>
      <c r="D663" s="132" t="s">
        <v>1043</v>
      </c>
      <c r="E663" s="132" t="s">
        <v>320</v>
      </c>
      <c r="F663" s="133" t="s">
        <v>1211</v>
      </c>
      <c r="G663" s="134">
        <v>5.42</v>
      </c>
      <c r="H663" s="135">
        <v>13.45</v>
      </c>
      <c r="I663" s="136">
        <f t="shared" si="10"/>
        <v>72.899000000000001</v>
      </c>
      <c r="J663" s="137">
        <v>1</v>
      </c>
    </row>
    <row r="664" spans="2:10" ht="15" customHeight="1" x14ac:dyDescent="0.3">
      <c r="B664" s="132" t="s">
        <v>1210</v>
      </c>
      <c r="C664" s="132" t="s">
        <v>402</v>
      </c>
      <c r="D664" s="132" t="s">
        <v>1043</v>
      </c>
      <c r="E664" s="132" t="s">
        <v>320</v>
      </c>
      <c r="F664" s="133" t="s">
        <v>1212</v>
      </c>
      <c r="G664" s="134">
        <v>5.04</v>
      </c>
      <c r="H664" s="135">
        <v>13.45</v>
      </c>
      <c r="I664" s="136">
        <f t="shared" si="10"/>
        <v>67.787999999999997</v>
      </c>
      <c r="J664" s="137">
        <v>1</v>
      </c>
    </row>
    <row r="665" spans="2:10" ht="15" customHeight="1" x14ac:dyDescent="0.3">
      <c r="B665" s="132" t="s">
        <v>1210</v>
      </c>
      <c r="C665" s="132" t="s">
        <v>402</v>
      </c>
      <c r="D665" s="132" t="s">
        <v>1043</v>
      </c>
      <c r="E665" s="132" t="s">
        <v>320</v>
      </c>
      <c r="F665" s="133" t="s">
        <v>1213</v>
      </c>
      <c r="G665" s="134">
        <v>5.03</v>
      </c>
      <c r="H665" s="135">
        <v>13.45</v>
      </c>
      <c r="I665" s="136">
        <f t="shared" si="10"/>
        <v>67.653499999999994</v>
      </c>
      <c r="J665" s="137">
        <v>1</v>
      </c>
    </row>
    <row r="666" spans="2:10" ht="15" customHeight="1" x14ac:dyDescent="0.3">
      <c r="B666" s="132" t="s">
        <v>1210</v>
      </c>
      <c r="C666" s="132" t="s">
        <v>402</v>
      </c>
      <c r="D666" s="132" t="s">
        <v>1043</v>
      </c>
      <c r="E666" s="132" t="s">
        <v>320</v>
      </c>
      <c r="F666" s="133" t="s">
        <v>1214</v>
      </c>
      <c r="G666" s="134">
        <v>1.36</v>
      </c>
      <c r="H666" s="135">
        <v>13.45</v>
      </c>
      <c r="I666" s="136">
        <f t="shared" si="10"/>
        <v>18.292000000000002</v>
      </c>
      <c r="J666" s="137">
        <v>1</v>
      </c>
    </row>
    <row r="667" spans="2:10" ht="15" customHeight="1" x14ac:dyDescent="0.3">
      <c r="B667" s="132" t="s">
        <v>1215</v>
      </c>
      <c r="C667" s="132" t="s">
        <v>402</v>
      </c>
      <c r="D667" s="132" t="s">
        <v>1043</v>
      </c>
      <c r="E667" s="132" t="s">
        <v>320</v>
      </c>
      <c r="F667" s="133" t="s">
        <v>1216</v>
      </c>
      <c r="G667" s="134">
        <v>5.88</v>
      </c>
      <c r="H667" s="135">
        <v>13.45</v>
      </c>
      <c r="I667" s="136">
        <f t="shared" si="10"/>
        <v>79.085999999999999</v>
      </c>
      <c r="J667" s="137">
        <v>1</v>
      </c>
    </row>
    <row r="668" spans="2:10" ht="15" customHeight="1" x14ac:dyDescent="0.3">
      <c r="B668" s="132" t="s">
        <v>1217</v>
      </c>
      <c r="C668" s="132" t="s">
        <v>402</v>
      </c>
      <c r="D668" s="132" t="s">
        <v>1043</v>
      </c>
      <c r="E668" s="132" t="s">
        <v>320</v>
      </c>
      <c r="F668" s="133" t="s">
        <v>1218</v>
      </c>
      <c r="G668" s="134">
        <v>1.18</v>
      </c>
      <c r="H668" s="135">
        <v>13.45</v>
      </c>
      <c r="I668" s="136">
        <f t="shared" si="10"/>
        <v>15.870999999999999</v>
      </c>
      <c r="J668" s="137">
        <v>1</v>
      </c>
    </row>
    <row r="669" spans="2:10" ht="15" customHeight="1" x14ac:dyDescent="0.3">
      <c r="B669" s="132" t="s">
        <v>1219</v>
      </c>
      <c r="C669" s="132" t="s">
        <v>402</v>
      </c>
      <c r="D669" s="132" t="s">
        <v>1043</v>
      </c>
      <c r="E669" s="132" t="s">
        <v>320</v>
      </c>
      <c r="F669" s="133" t="s">
        <v>1220</v>
      </c>
      <c r="G669" s="134">
        <v>4.28</v>
      </c>
      <c r="H669" s="135">
        <v>13.45</v>
      </c>
      <c r="I669" s="136">
        <f t="shared" si="10"/>
        <v>57.566000000000003</v>
      </c>
      <c r="J669" s="137">
        <v>1</v>
      </c>
    </row>
    <row r="670" spans="2:10" ht="15" customHeight="1" x14ac:dyDescent="0.3">
      <c r="B670" s="132" t="s">
        <v>1219</v>
      </c>
      <c r="C670" s="132" t="s">
        <v>402</v>
      </c>
      <c r="D670" s="132" t="s">
        <v>1043</v>
      </c>
      <c r="E670" s="132" t="s">
        <v>320</v>
      </c>
      <c r="F670" s="133" t="s">
        <v>1221</v>
      </c>
      <c r="G670" s="134">
        <v>9</v>
      </c>
      <c r="H670" s="135">
        <v>13.45</v>
      </c>
      <c r="I670" s="136">
        <f t="shared" si="10"/>
        <v>121.05</v>
      </c>
      <c r="J670" s="137">
        <v>1</v>
      </c>
    </row>
    <row r="671" spans="2:10" ht="15" customHeight="1" x14ac:dyDescent="0.3">
      <c r="B671" s="132" t="s">
        <v>1222</v>
      </c>
      <c r="C671" s="132" t="s">
        <v>402</v>
      </c>
      <c r="D671" s="132" t="s">
        <v>1043</v>
      </c>
      <c r="E671" s="132" t="s">
        <v>320</v>
      </c>
      <c r="F671" s="133" t="s">
        <v>1223</v>
      </c>
      <c r="G671" s="134">
        <v>7.81</v>
      </c>
      <c r="H671" s="135">
        <v>13.45</v>
      </c>
      <c r="I671" s="136">
        <f t="shared" si="10"/>
        <v>105.04449999999999</v>
      </c>
      <c r="J671" s="137">
        <v>1</v>
      </c>
    </row>
    <row r="672" spans="2:10" ht="15" customHeight="1" x14ac:dyDescent="0.3">
      <c r="B672" s="132" t="s">
        <v>1224</v>
      </c>
      <c r="C672" s="132" t="s">
        <v>402</v>
      </c>
      <c r="D672" s="132" t="s">
        <v>1043</v>
      </c>
      <c r="E672" s="132" t="s">
        <v>320</v>
      </c>
      <c r="F672" s="133" t="s">
        <v>1225</v>
      </c>
      <c r="G672" s="134">
        <v>7.2</v>
      </c>
      <c r="H672" s="135">
        <v>13.45</v>
      </c>
      <c r="I672" s="136">
        <f t="shared" si="10"/>
        <v>96.84</v>
      </c>
      <c r="J672" s="137">
        <v>1</v>
      </c>
    </row>
    <row r="673" spans="2:10" ht="15" customHeight="1" x14ac:dyDescent="0.3">
      <c r="B673" s="132" t="s">
        <v>1224</v>
      </c>
      <c r="C673" s="132" t="s">
        <v>402</v>
      </c>
      <c r="D673" s="132" t="s">
        <v>1043</v>
      </c>
      <c r="E673" s="132" t="s">
        <v>320</v>
      </c>
      <c r="F673" s="133" t="s">
        <v>1226</v>
      </c>
      <c r="G673" s="134">
        <v>1.4</v>
      </c>
      <c r="H673" s="135">
        <v>13.45</v>
      </c>
      <c r="I673" s="136">
        <f t="shared" si="10"/>
        <v>18.829999999999998</v>
      </c>
      <c r="J673" s="137">
        <v>1</v>
      </c>
    </row>
    <row r="674" spans="2:10" ht="15" customHeight="1" x14ac:dyDescent="0.3">
      <c r="B674" s="132" t="s">
        <v>1227</v>
      </c>
      <c r="C674" s="132" t="s">
        <v>402</v>
      </c>
      <c r="D674" s="132" t="s">
        <v>1043</v>
      </c>
      <c r="E674" s="132" t="s">
        <v>320</v>
      </c>
      <c r="F674" s="133" t="s">
        <v>1228</v>
      </c>
      <c r="G674" s="134">
        <v>2.0699999999999998</v>
      </c>
      <c r="H674" s="135">
        <v>13.45</v>
      </c>
      <c r="I674" s="136">
        <f t="shared" si="10"/>
        <v>27.841499999999996</v>
      </c>
      <c r="J674" s="137">
        <v>1</v>
      </c>
    </row>
    <row r="675" spans="2:10" ht="15" customHeight="1" x14ac:dyDescent="0.3">
      <c r="B675" s="132" t="s">
        <v>1227</v>
      </c>
      <c r="C675" s="132" t="s">
        <v>402</v>
      </c>
      <c r="D675" s="132" t="s">
        <v>1043</v>
      </c>
      <c r="E675" s="132" t="s">
        <v>320</v>
      </c>
      <c r="F675" s="133" t="s">
        <v>1229</v>
      </c>
      <c r="G675" s="134">
        <v>1.64</v>
      </c>
      <c r="H675" s="135">
        <v>13.45</v>
      </c>
      <c r="I675" s="136">
        <f t="shared" si="10"/>
        <v>22.057999999999996</v>
      </c>
      <c r="J675" s="137">
        <v>1</v>
      </c>
    </row>
    <row r="676" spans="2:10" ht="15" customHeight="1" x14ac:dyDescent="0.3">
      <c r="B676" s="132" t="s">
        <v>1230</v>
      </c>
      <c r="C676" s="132" t="s">
        <v>402</v>
      </c>
      <c r="D676" s="132" t="s">
        <v>1043</v>
      </c>
      <c r="E676" s="132" t="s">
        <v>320</v>
      </c>
      <c r="F676" s="133" t="s">
        <v>1231</v>
      </c>
      <c r="G676" s="134">
        <v>1.0900000000000001</v>
      </c>
      <c r="H676" s="135">
        <v>13.45</v>
      </c>
      <c r="I676" s="136">
        <f t="shared" si="10"/>
        <v>14.660500000000001</v>
      </c>
      <c r="J676" s="137">
        <v>1</v>
      </c>
    </row>
    <row r="677" spans="2:10" ht="15" customHeight="1" x14ac:dyDescent="0.3">
      <c r="B677" s="132" t="s">
        <v>1232</v>
      </c>
      <c r="C677" s="132" t="s">
        <v>402</v>
      </c>
      <c r="D677" s="132" t="s">
        <v>1043</v>
      </c>
      <c r="E677" s="132" t="s">
        <v>320</v>
      </c>
      <c r="F677" s="133" t="s">
        <v>1233</v>
      </c>
      <c r="G677" s="134">
        <v>4.2</v>
      </c>
      <c r="H677" s="135">
        <v>13.45</v>
      </c>
      <c r="I677" s="136">
        <f t="shared" si="10"/>
        <v>56.49</v>
      </c>
      <c r="J677" s="137">
        <v>1</v>
      </c>
    </row>
    <row r="678" spans="2:10" ht="15" customHeight="1" x14ac:dyDescent="0.3">
      <c r="B678" s="132" t="s">
        <v>1232</v>
      </c>
      <c r="C678" s="132" t="s">
        <v>402</v>
      </c>
      <c r="D678" s="132" t="s">
        <v>1043</v>
      </c>
      <c r="E678" s="132" t="s">
        <v>320</v>
      </c>
      <c r="F678" s="133" t="s">
        <v>1234</v>
      </c>
      <c r="G678" s="134">
        <v>8.3000000000000007</v>
      </c>
      <c r="H678" s="135">
        <v>13.45</v>
      </c>
      <c r="I678" s="136">
        <f t="shared" si="10"/>
        <v>111.63500000000001</v>
      </c>
      <c r="J678" s="137">
        <v>1</v>
      </c>
    </row>
    <row r="679" spans="2:10" ht="15" customHeight="1" x14ac:dyDescent="0.3">
      <c r="B679" s="132" t="s">
        <v>1235</v>
      </c>
      <c r="C679" s="132" t="s">
        <v>402</v>
      </c>
      <c r="D679" s="132" t="s">
        <v>1043</v>
      </c>
      <c r="E679" s="132" t="s">
        <v>320</v>
      </c>
      <c r="F679" s="133" t="s">
        <v>1236</v>
      </c>
      <c r="G679" s="134">
        <v>4.0599999999999996</v>
      </c>
      <c r="H679" s="135">
        <v>13.45</v>
      </c>
      <c r="I679" s="136">
        <f t="shared" si="10"/>
        <v>54.606999999999992</v>
      </c>
      <c r="J679" s="137">
        <v>1</v>
      </c>
    </row>
    <row r="680" spans="2:10" ht="15" customHeight="1" x14ac:dyDescent="0.3">
      <c r="B680" s="132" t="s">
        <v>1237</v>
      </c>
      <c r="C680" s="132" t="s">
        <v>402</v>
      </c>
      <c r="D680" s="132" t="s">
        <v>1043</v>
      </c>
      <c r="E680" s="132" t="s">
        <v>320</v>
      </c>
      <c r="F680" s="133" t="s">
        <v>1238</v>
      </c>
      <c r="G680" s="134">
        <v>9.61</v>
      </c>
      <c r="H680" s="135">
        <v>13.45</v>
      </c>
      <c r="I680" s="136">
        <f t="shared" si="10"/>
        <v>129.25449999999998</v>
      </c>
      <c r="J680" s="137">
        <v>1</v>
      </c>
    </row>
    <row r="681" spans="2:10" ht="15" customHeight="1" x14ac:dyDescent="0.3">
      <c r="B681" s="132" t="s">
        <v>1239</v>
      </c>
      <c r="C681" s="132" t="s">
        <v>402</v>
      </c>
      <c r="D681" s="132" t="s">
        <v>1043</v>
      </c>
      <c r="E681" s="132" t="s">
        <v>320</v>
      </c>
      <c r="F681" s="133" t="s">
        <v>1240</v>
      </c>
      <c r="G681" s="134">
        <v>9.43</v>
      </c>
      <c r="H681" s="135">
        <v>13.45</v>
      </c>
      <c r="I681" s="136">
        <f t="shared" si="10"/>
        <v>126.83349999999999</v>
      </c>
      <c r="J681" s="137">
        <v>1</v>
      </c>
    </row>
    <row r="682" spans="2:10" ht="15" customHeight="1" x14ac:dyDescent="0.3">
      <c r="B682" s="132" t="s">
        <v>1241</v>
      </c>
      <c r="C682" s="132" t="s">
        <v>402</v>
      </c>
      <c r="D682" s="132" t="s">
        <v>1242</v>
      </c>
      <c r="E682" s="132" t="s">
        <v>320</v>
      </c>
      <c r="F682" s="133" t="s">
        <v>1241</v>
      </c>
      <c r="G682" s="134">
        <v>1.65</v>
      </c>
      <c r="H682" s="135">
        <v>13.45</v>
      </c>
      <c r="I682" s="136">
        <f t="shared" si="10"/>
        <v>22.192499999999999</v>
      </c>
      <c r="J682" s="137">
        <v>1</v>
      </c>
    </row>
    <row r="683" spans="2:10" ht="15" customHeight="1" x14ac:dyDescent="0.3">
      <c r="B683" s="132" t="s">
        <v>574</v>
      </c>
      <c r="C683" s="132" t="s">
        <v>402</v>
      </c>
      <c r="D683" s="132" t="s">
        <v>1242</v>
      </c>
      <c r="E683" s="132" t="s">
        <v>320</v>
      </c>
      <c r="F683" s="133" t="s">
        <v>577</v>
      </c>
      <c r="G683" s="134">
        <v>6.17</v>
      </c>
      <c r="H683" s="135">
        <v>13.45</v>
      </c>
      <c r="I683" s="136">
        <f t="shared" si="10"/>
        <v>82.986499999999992</v>
      </c>
      <c r="J683" s="137">
        <v>1</v>
      </c>
    </row>
    <row r="684" spans="2:10" ht="15" customHeight="1" x14ac:dyDescent="0.3">
      <c r="B684" s="132" t="s">
        <v>1243</v>
      </c>
      <c r="C684" s="132" t="s">
        <v>402</v>
      </c>
      <c r="D684" s="132" t="s">
        <v>1242</v>
      </c>
      <c r="E684" s="132" t="s">
        <v>320</v>
      </c>
      <c r="F684" s="133" t="s">
        <v>1244</v>
      </c>
      <c r="G684" s="134">
        <v>2.17</v>
      </c>
      <c r="H684" s="135">
        <v>13.45</v>
      </c>
      <c r="I684" s="136">
        <f t="shared" si="10"/>
        <v>29.186499999999999</v>
      </c>
      <c r="J684" s="137">
        <v>1</v>
      </c>
    </row>
    <row r="685" spans="2:10" ht="15" customHeight="1" x14ac:dyDescent="0.3">
      <c r="B685" s="132" t="s">
        <v>1245</v>
      </c>
      <c r="C685" s="132" t="s">
        <v>402</v>
      </c>
      <c r="D685" s="132" t="s">
        <v>1242</v>
      </c>
      <c r="E685" s="132" t="s">
        <v>320</v>
      </c>
      <c r="F685" s="133" t="s">
        <v>1246</v>
      </c>
      <c r="G685" s="134">
        <v>2.2799999999999998</v>
      </c>
      <c r="H685" s="135">
        <v>13.45</v>
      </c>
      <c r="I685" s="136">
        <f t="shared" si="10"/>
        <v>30.665999999999997</v>
      </c>
      <c r="J685" s="137">
        <v>1</v>
      </c>
    </row>
    <row r="686" spans="2:10" ht="15" customHeight="1" x14ac:dyDescent="0.3">
      <c r="B686" s="132" t="s">
        <v>1245</v>
      </c>
      <c r="C686" s="132" t="s">
        <v>402</v>
      </c>
      <c r="D686" s="132" t="s">
        <v>1242</v>
      </c>
      <c r="E686" s="132" t="s">
        <v>320</v>
      </c>
      <c r="F686" s="133" t="s">
        <v>1247</v>
      </c>
      <c r="G686" s="134">
        <v>2.27</v>
      </c>
      <c r="H686" s="135">
        <v>13.45</v>
      </c>
      <c r="I686" s="136">
        <f t="shared" si="10"/>
        <v>30.531499999999998</v>
      </c>
      <c r="J686" s="137">
        <v>1</v>
      </c>
    </row>
    <row r="687" spans="2:10" ht="15" customHeight="1" x14ac:dyDescent="0.3">
      <c r="B687" s="132" t="s">
        <v>1245</v>
      </c>
      <c r="C687" s="132" t="s">
        <v>402</v>
      </c>
      <c r="D687" s="132" t="s">
        <v>1242</v>
      </c>
      <c r="E687" s="132" t="s">
        <v>320</v>
      </c>
      <c r="F687" s="133" t="s">
        <v>1248</v>
      </c>
      <c r="G687" s="134">
        <v>5.19</v>
      </c>
      <c r="H687" s="135">
        <v>13.45</v>
      </c>
      <c r="I687" s="136">
        <f t="shared" si="10"/>
        <v>69.805499999999995</v>
      </c>
      <c r="J687" s="137">
        <v>1</v>
      </c>
    </row>
    <row r="688" spans="2:10" ht="15" customHeight="1" x14ac:dyDescent="0.3">
      <c r="B688" s="132" t="s">
        <v>1245</v>
      </c>
      <c r="C688" s="132" t="s">
        <v>402</v>
      </c>
      <c r="D688" s="132" t="s">
        <v>1242</v>
      </c>
      <c r="E688" s="132" t="s">
        <v>320</v>
      </c>
      <c r="F688" s="133" t="s">
        <v>1249</v>
      </c>
      <c r="G688" s="134">
        <v>2.2999999999999998</v>
      </c>
      <c r="H688" s="135">
        <v>13.45</v>
      </c>
      <c r="I688" s="136">
        <f t="shared" si="10"/>
        <v>30.934999999999995</v>
      </c>
      <c r="J688" s="137">
        <v>1</v>
      </c>
    </row>
    <row r="689" spans="2:10" ht="15" customHeight="1" x14ac:dyDescent="0.3">
      <c r="B689" s="132" t="s">
        <v>1245</v>
      </c>
      <c r="C689" s="132" t="s">
        <v>402</v>
      </c>
      <c r="D689" s="132" t="s">
        <v>1242</v>
      </c>
      <c r="E689" s="132" t="s">
        <v>320</v>
      </c>
      <c r="F689" s="133" t="s">
        <v>1250</v>
      </c>
      <c r="G689" s="134">
        <v>4.1500000000000004</v>
      </c>
      <c r="H689" s="135">
        <v>13.45</v>
      </c>
      <c r="I689" s="136">
        <f t="shared" si="10"/>
        <v>55.817500000000003</v>
      </c>
      <c r="J689" s="137">
        <v>1</v>
      </c>
    </row>
    <row r="690" spans="2:10" ht="15" customHeight="1" x14ac:dyDescent="0.3">
      <c r="B690" s="132" t="s">
        <v>1245</v>
      </c>
      <c r="C690" s="132" t="s">
        <v>402</v>
      </c>
      <c r="D690" s="132" t="s">
        <v>1242</v>
      </c>
      <c r="E690" s="132" t="s">
        <v>320</v>
      </c>
      <c r="F690" s="133" t="s">
        <v>1251</v>
      </c>
      <c r="G690" s="134">
        <v>1.45</v>
      </c>
      <c r="H690" s="135">
        <v>13.45</v>
      </c>
      <c r="I690" s="136">
        <f t="shared" si="10"/>
        <v>19.502499999999998</v>
      </c>
      <c r="J690" s="137">
        <v>1</v>
      </c>
    </row>
    <row r="691" spans="2:10" ht="15" customHeight="1" x14ac:dyDescent="0.3">
      <c r="B691" s="132" t="s">
        <v>860</v>
      </c>
      <c r="C691" s="132" t="s">
        <v>402</v>
      </c>
      <c r="D691" s="132" t="s">
        <v>1242</v>
      </c>
      <c r="E691" s="132" t="s">
        <v>320</v>
      </c>
      <c r="F691" s="133" t="s">
        <v>1252</v>
      </c>
      <c r="G691" s="134">
        <v>1.1299999999999999</v>
      </c>
      <c r="H691" s="135">
        <v>13.45</v>
      </c>
      <c r="I691" s="136">
        <f t="shared" si="10"/>
        <v>15.198499999999997</v>
      </c>
      <c r="J691" s="137">
        <v>1</v>
      </c>
    </row>
    <row r="692" spans="2:10" ht="15" customHeight="1" x14ac:dyDescent="0.3">
      <c r="B692" s="132" t="s">
        <v>860</v>
      </c>
      <c r="C692" s="132" t="s">
        <v>402</v>
      </c>
      <c r="D692" s="132" t="s">
        <v>1242</v>
      </c>
      <c r="E692" s="132" t="s">
        <v>320</v>
      </c>
      <c r="F692" s="133" t="s">
        <v>1253</v>
      </c>
      <c r="G692" s="134">
        <v>1.1499999999999999</v>
      </c>
      <c r="H692" s="135">
        <v>13.45</v>
      </c>
      <c r="I692" s="136">
        <f t="shared" si="10"/>
        <v>15.467499999999998</v>
      </c>
      <c r="J692" s="137">
        <v>1</v>
      </c>
    </row>
    <row r="693" spans="2:10" ht="15" customHeight="1" x14ac:dyDescent="0.3">
      <c r="B693" s="132" t="s">
        <v>860</v>
      </c>
      <c r="C693" s="132" t="s">
        <v>402</v>
      </c>
      <c r="D693" s="132" t="s">
        <v>1242</v>
      </c>
      <c r="E693" s="132" t="s">
        <v>320</v>
      </c>
      <c r="F693" s="133" t="s">
        <v>1254</v>
      </c>
      <c r="G693" s="134">
        <v>1.48</v>
      </c>
      <c r="H693" s="135">
        <v>13.45</v>
      </c>
      <c r="I693" s="136">
        <f t="shared" si="10"/>
        <v>19.905999999999999</v>
      </c>
      <c r="J693" s="137">
        <v>1</v>
      </c>
    </row>
    <row r="694" spans="2:10" ht="15" customHeight="1" x14ac:dyDescent="0.3">
      <c r="B694" s="132" t="s">
        <v>860</v>
      </c>
      <c r="C694" s="132" t="s">
        <v>402</v>
      </c>
      <c r="D694" s="132" t="s">
        <v>1242</v>
      </c>
      <c r="E694" s="132" t="s">
        <v>320</v>
      </c>
      <c r="F694" s="133" t="s">
        <v>1255</v>
      </c>
      <c r="G694" s="134">
        <v>1.33</v>
      </c>
      <c r="H694" s="135">
        <v>13.45</v>
      </c>
      <c r="I694" s="136">
        <f t="shared" si="10"/>
        <v>17.888500000000001</v>
      </c>
      <c r="J694" s="137">
        <v>1</v>
      </c>
    </row>
    <row r="695" spans="2:10" ht="15" customHeight="1" x14ac:dyDescent="0.3">
      <c r="B695" s="132" t="s">
        <v>860</v>
      </c>
      <c r="C695" s="132" t="s">
        <v>402</v>
      </c>
      <c r="D695" s="132" t="s">
        <v>1242</v>
      </c>
      <c r="E695" s="132" t="s">
        <v>320</v>
      </c>
      <c r="F695" s="133" t="s">
        <v>1256</v>
      </c>
      <c r="G695" s="134">
        <v>2.5</v>
      </c>
      <c r="H695" s="135">
        <v>13.45</v>
      </c>
      <c r="I695" s="136">
        <f t="shared" si="10"/>
        <v>33.625</v>
      </c>
      <c r="J695" s="137">
        <v>1</v>
      </c>
    </row>
    <row r="696" spans="2:10" ht="15" customHeight="1" x14ac:dyDescent="0.3">
      <c r="B696" s="132" t="s">
        <v>1257</v>
      </c>
      <c r="C696" s="132" t="s">
        <v>402</v>
      </c>
      <c r="D696" s="132" t="s">
        <v>1242</v>
      </c>
      <c r="E696" s="132" t="s">
        <v>320</v>
      </c>
      <c r="F696" s="133" t="s">
        <v>1258</v>
      </c>
      <c r="G696" s="134">
        <v>1.67</v>
      </c>
      <c r="H696" s="135">
        <v>13.45</v>
      </c>
      <c r="I696" s="136">
        <f t="shared" si="10"/>
        <v>22.461499999999997</v>
      </c>
      <c r="J696" s="137">
        <v>1</v>
      </c>
    </row>
    <row r="697" spans="2:10" ht="15" customHeight="1" x14ac:dyDescent="0.3">
      <c r="B697" s="132" t="s">
        <v>1257</v>
      </c>
      <c r="C697" s="132" t="s">
        <v>402</v>
      </c>
      <c r="D697" s="132" t="s">
        <v>1242</v>
      </c>
      <c r="E697" s="132" t="s">
        <v>320</v>
      </c>
      <c r="F697" s="133" t="s">
        <v>1259</v>
      </c>
      <c r="G697" s="134">
        <v>1.7</v>
      </c>
      <c r="H697" s="135">
        <v>13.45</v>
      </c>
      <c r="I697" s="136">
        <f t="shared" si="10"/>
        <v>22.864999999999998</v>
      </c>
      <c r="J697" s="137">
        <v>1</v>
      </c>
    </row>
    <row r="698" spans="2:10" ht="15" customHeight="1" x14ac:dyDescent="0.3">
      <c r="B698" s="132" t="s">
        <v>1260</v>
      </c>
      <c r="C698" s="132" t="s">
        <v>402</v>
      </c>
      <c r="D698" s="132" t="s">
        <v>1242</v>
      </c>
      <c r="E698" s="132" t="s">
        <v>320</v>
      </c>
      <c r="F698" s="133" t="s">
        <v>1261</v>
      </c>
      <c r="G698" s="134">
        <v>2.14</v>
      </c>
      <c r="H698" s="135">
        <v>13.45</v>
      </c>
      <c r="I698" s="136">
        <f t="shared" si="10"/>
        <v>28.783000000000001</v>
      </c>
      <c r="J698" s="137">
        <v>1</v>
      </c>
    </row>
    <row r="699" spans="2:10" ht="15" customHeight="1" x14ac:dyDescent="0.3">
      <c r="B699" s="132" t="s">
        <v>1260</v>
      </c>
      <c r="C699" s="132" t="s">
        <v>402</v>
      </c>
      <c r="D699" s="132" t="s">
        <v>1242</v>
      </c>
      <c r="E699" s="132" t="s">
        <v>320</v>
      </c>
      <c r="F699" s="133" t="s">
        <v>1262</v>
      </c>
      <c r="G699" s="134">
        <v>2.2000000000000002</v>
      </c>
      <c r="H699" s="135">
        <v>13.45</v>
      </c>
      <c r="I699" s="136">
        <f t="shared" si="10"/>
        <v>29.59</v>
      </c>
      <c r="J699" s="137">
        <v>1</v>
      </c>
    </row>
    <row r="700" spans="2:10" ht="15" customHeight="1" x14ac:dyDescent="0.3">
      <c r="B700" s="132" t="s">
        <v>1260</v>
      </c>
      <c r="C700" s="132" t="s">
        <v>402</v>
      </c>
      <c r="D700" s="132" t="s">
        <v>1242</v>
      </c>
      <c r="E700" s="132" t="s">
        <v>320</v>
      </c>
      <c r="F700" s="133" t="s">
        <v>1263</v>
      </c>
      <c r="G700" s="134">
        <v>2.12</v>
      </c>
      <c r="H700" s="135">
        <v>13.45</v>
      </c>
      <c r="I700" s="136">
        <f t="shared" si="10"/>
        <v>28.513999999999999</v>
      </c>
      <c r="J700" s="137">
        <v>1</v>
      </c>
    </row>
    <row r="701" spans="2:10" ht="15" customHeight="1" x14ac:dyDescent="0.3">
      <c r="B701" s="132" t="s">
        <v>1264</v>
      </c>
      <c r="C701" s="132" t="s">
        <v>402</v>
      </c>
      <c r="D701" s="132" t="s">
        <v>1242</v>
      </c>
      <c r="E701" s="132" t="s">
        <v>320</v>
      </c>
      <c r="F701" s="133" t="s">
        <v>1265</v>
      </c>
      <c r="G701" s="134">
        <v>4.59</v>
      </c>
      <c r="H701" s="135">
        <v>13.45</v>
      </c>
      <c r="I701" s="136">
        <f t="shared" si="10"/>
        <v>61.735499999999995</v>
      </c>
      <c r="J701" s="137">
        <v>1</v>
      </c>
    </row>
    <row r="702" spans="2:10" ht="15" customHeight="1" x14ac:dyDescent="0.3">
      <c r="B702" s="132" t="s">
        <v>1264</v>
      </c>
      <c r="C702" s="132" t="s">
        <v>402</v>
      </c>
      <c r="D702" s="132" t="s">
        <v>1242</v>
      </c>
      <c r="E702" s="132" t="s">
        <v>320</v>
      </c>
      <c r="F702" s="133" t="s">
        <v>1266</v>
      </c>
      <c r="G702" s="134">
        <v>4.57</v>
      </c>
      <c r="H702" s="135">
        <v>13.45</v>
      </c>
      <c r="I702" s="136">
        <f t="shared" si="10"/>
        <v>61.466500000000003</v>
      </c>
      <c r="J702" s="137">
        <v>1</v>
      </c>
    </row>
    <row r="703" spans="2:10" ht="15" customHeight="1" x14ac:dyDescent="0.3">
      <c r="B703" s="132" t="s">
        <v>1267</v>
      </c>
      <c r="C703" s="132" t="s">
        <v>402</v>
      </c>
      <c r="D703" s="132" t="s">
        <v>1242</v>
      </c>
      <c r="E703" s="132" t="s">
        <v>320</v>
      </c>
      <c r="F703" s="133" t="s">
        <v>1268</v>
      </c>
      <c r="G703" s="134">
        <v>1.32</v>
      </c>
      <c r="H703" s="135">
        <v>13.45</v>
      </c>
      <c r="I703" s="136">
        <f t="shared" si="10"/>
        <v>17.754000000000001</v>
      </c>
      <c r="J703" s="137">
        <v>1</v>
      </c>
    </row>
    <row r="704" spans="2:10" ht="15" customHeight="1" x14ac:dyDescent="0.3">
      <c r="B704" s="132" t="s">
        <v>1267</v>
      </c>
      <c r="C704" s="132" t="s">
        <v>402</v>
      </c>
      <c r="D704" s="132" t="s">
        <v>1242</v>
      </c>
      <c r="E704" s="132" t="s">
        <v>320</v>
      </c>
      <c r="F704" s="133" t="s">
        <v>1269</v>
      </c>
      <c r="G704" s="134">
        <v>2.46</v>
      </c>
      <c r="H704" s="135">
        <v>13.45</v>
      </c>
      <c r="I704" s="136">
        <f t="shared" si="10"/>
        <v>33.086999999999996</v>
      </c>
      <c r="J704" s="137">
        <v>1</v>
      </c>
    </row>
    <row r="705" spans="2:10" ht="15" customHeight="1" x14ac:dyDescent="0.3">
      <c r="B705" s="132" t="s">
        <v>1267</v>
      </c>
      <c r="C705" s="132" t="s">
        <v>402</v>
      </c>
      <c r="D705" s="132" t="s">
        <v>1242</v>
      </c>
      <c r="E705" s="132" t="s">
        <v>320</v>
      </c>
      <c r="F705" s="133" t="s">
        <v>1270</v>
      </c>
      <c r="G705" s="134">
        <v>8.23</v>
      </c>
      <c r="H705" s="135">
        <v>13.45</v>
      </c>
      <c r="I705" s="136">
        <f t="shared" si="10"/>
        <v>110.6935</v>
      </c>
      <c r="J705" s="137">
        <v>1</v>
      </c>
    </row>
    <row r="706" spans="2:10" ht="15" customHeight="1" x14ac:dyDescent="0.3">
      <c r="B706" s="132" t="s">
        <v>1267</v>
      </c>
      <c r="C706" s="132" t="s">
        <v>402</v>
      </c>
      <c r="D706" s="132" t="s">
        <v>1242</v>
      </c>
      <c r="E706" s="132" t="s">
        <v>320</v>
      </c>
      <c r="F706" s="133" t="s">
        <v>1271</v>
      </c>
      <c r="G706" s="134">
        <v>9.8000000000000007</v>
      </c>
      <c r="H706" s="135">
        <v>13.45</v>
      </c>
      <c r="I706" s="136">
        <f t="shared" si="10"/>
        <v>131.81</v>
      </c>
      <c r="J706" s="137">
        <v>1</v>
      </c>
    </row>
    <row r="707" spans="2:10" ht="15" customHeight="1" x14ac:dyDescent="0.3">
      <c r="B707" s="132" t="s">
        <v>1267</v>
      </c>
      <c r="C707" s="132" t="s">
        <v>402</v>
      </c>
      <c r="D707" s="132" t="s">
        <v>1242</v>
      </c>
      <c r="E707" s="132" t="s">
        <v>320</v>
      </c>
      <c r="F707" s="133" t="s">
        <v>1272</v>
      </c>
      <c r="G707" s="134">
        <v>9.8000000000000007</v>
      </c>
      <c r="H707" s="135">
        <v>13.45</v>
      </c>
      <c r="I707" s="136">
        <f t="shared" si="10"/>
        <v>131.81</v>
      </c>
      <c r="J707" s="137">
        <v>1</v>
      </c>
    </row>
    <row r="708" spans="2:10" ht="15" customHeight="1" x14ac:dyDescent="0.3">
      <c r="B708" s="132" t="s">
        <v>1267</v>
      </c>
      <c r="C708" s="132" t="s">
        <v>402</v>
      </c>
      <c r="D708" s="132" t="s">
        <v>1242</v>
      </c>
      <c r="E708" s="132" t="s">
        <v>320</v>
      </c>
      <c r="F708" s="133" t="s">
        <v>1273</v>
      </c>
      <c r="G708" s="134">
        <v>1.1499999999999999</v>
      </c>
      <c r="H708" s="135">
        <v>13.45</v>
      </c>
      <c r="I708" s="136">
        <f t="shared" si="10"/>
        <v>15.467499999999998</v>
      </c>
      <c r="J708" s="137">
        <v>1</v>
      </c>
    </row>
    <row r="709" spans="2:10" ht="15" customHeight="1" x14ac:dyDescent="0.3">
      <c r="B709" s="132" t="s">
        <v>1267</v>
      </c>
      <c r="C709" s="132" t="s">
        <v>402</v>
      </c>
      <c r="D709" s="132" t="s">
        <v>1242</v>
      </c>
      <c r="E709" s="132" t="s">
        <v>320</v>
      </c>
      <c r="F709" s="133" t="s">
        <v>1274</v>
      </c>
      <c r="G709" s="134">
        <v>1.31</v>
      </c>
      <c r="H709" s="135">
        <v>13.45</v>
      </c>
      <c r="I709" s="136">
        <f t="shared" si="10"/>
        <v>17.619499999999999</v>
      </c>
      <c r="J709" s="137">
        <v>1</v>
      </c>
    </row>
    <row r="710" spans="2:10" ht="15" customHeight="1" x14ac:dyDescent="0.3">
      <c r="B710" s="132" t="s">
        <v>1267</v>
      </c>
      <c r="C710" s="132" t="s">
        <v>402</v>
      </c>
      <c r="D710" s="132" t="s">
        <v>1242</v>
      </c>
      <c r="E710" s="132" t="s">
        <v>320</v>
      </c>
      <c r="F710" s="133" t="s">
        <v>1275</v>
      </c>
      <c r="G710" s="134">
        <v>7.11</v>
      </c>
      <c r="H710" s="135">
        <v>13.45</v>
      </c>
      <c r="I710" s="136">
        <f t="shared" si="10"/>
        <v>95.629499999999993</v>
      </c>
      <c r="J710" s="137">
        <v>1</v>
      </c>
    </row>
    <row r="711" spans="2:10" ht="15" customHeight="1" x14ac:dyDescent="0.3">
      <c r="B711" s="132" t="s">
        <v>1267</v>
      </c>
      <c r="C711" s="132" t="s">
        <v>402</v>
      </c>
      <c r="D711" s="132" t="s">
        <v>1242</v>
      </c>
      <c r="E711" s="132" t="s">
        <v>320</v>
      </c>
      <c r="F711" s="133" t="s">
        <v>1276</v>
      </c>
      <c r="G711" s="134">
        <v>8.1199999999999992</v>
      </c>
      <c r="H711" s="135">
        <v>13.45</v>
      </c>
      <c r="I711" s="136">
        <f t="shared" si="10"/>
        <v>109.21399999999998</v>
      </c>
      <c r="J711" s="137">
        <v>1</v>
      </c>
    </row>
    <row r="712" spans="2:10" ht="15" customHeight="1" x14ac:dyDescent="0.3">
      <c r="B712" s="132" t="s">
        <v>1267</v>
      </c>
      <c r="C712" s="132" t="s">
        <v>402</v>
      </c>
      <c r="D712" s="132" t="s">
        <v>1242</v>
      </c>
      <c r="E712" s="132" t="s">
        <v>320</v>
      </c>
      <c r="F712" s="133" t="s">
        <v>1277</v>
      </c>
      <c r="G712" s="134">
        <v>6.56</v>
      </c>
      <c r="H712" s="135">
        <v>13.45</v>
      </c>
      <c r="I712" s="136">
        <f t="shared" ref="I712:I775" si="11">G712*H712</f>
        <v>88.231999999999985</v>
      </c>
      <c r="J712" s="137">
        <v>1</v>
      </c>
    </row>
    <row r="713" spans="2:10" ht="15" customHeight="1" x14ac:dyDescent="0.3">
      <c r="B713" s="132" t="s">
        <v>1278</v>
      </c>
      <c r="C713" s="132" t="s">
        <v>402</v>
      </c>
      <c r="D713" s="132" t="s">
        <v>1242</v>
      </c>
      <c r="E713" s="132" t="s">
        <v>320</v>
      </c>
      <c r="F713" s="133" t="s">
        <v>1279</v>
      </c>
      <c r="G713" s="134">
        <v>1.62</v>
      </c>
      <c r="H713" s="135">
        <v>13.45</v>
      </c>
      <c r="I713" s="136">
        <f t="shared" si="11"/>
        <v>21.789000000000001</v>
      </c>
      <c r="J713" s="137">
        <v>1</v>
      </c>
    </row>
    <row r="714" spans="2:10" ht="15" customHeight="1" x14ac:dyDescent="0.3">
      <c r="B714" s="132" t="s">
        <v>1278</v>
      </c>
      <c r="C714" s="132" t="s">
        <v>402</v>
      </c>
      <c r="D714" s="132" t="s">
        <v>1242</v>
      </c>
      <c r="E714" s="132" t="s">
        <v>320</v>
      </c>
      <c r="F714" s="133" t="s">
        <v>1280</v>
      </c>
      <c r="G714" s="134">
        <v>1.63</v>
      </c>
      <c r="H714" s="135">
        <v>13.45</v>
      </c>
      <c r="I714" s="136">
        <f t="shared" si="11"/>
        <v>21.923499999999997</v>
      </c>
      <c r="J714" s="137">
        <v>1</v>
      </c>
    </row>
    <row r="715" spans="2:10" ht="15" customHeight="1" x14ac:dyDescent="0.3">
      <c r="B715" s="132" t="s">
        <v>1278</v>
      </c>
      <c r="C715" s="132" t="s">
        <v>402</v>
      </c>
      <c r="D715" s="132" t="s">
        <v>1242</v>
      </c>
      <c r="E715" s="132" t="s">
        <v>320</v>
      </c>
      <c r="F715" s="133" t="s">
        <v>1281</v>
      </c>
      <c r="G715" s="134">
        <v>1.62</v>
      </c>
      <c r="H715" s="135">
        <v>13.45</v>
      </c>
      <c r="I715" s="136">
        <f t="shared" si="11"/>
        <v>21.789000000000001</v>
      </c>
      <c r="J715" s="137">
        <v>1</v>
      </c>
    </row>
    <row r="716" spans="2:10" ht="15" customHeight="1" x14ac:dyDescent="0.3">
      <c r="B716" s="132" t="s">
        <v>1278</v>
      </c>
      <c r="C716" s="132" t="s">
        <v>402</v>
      </c>
      <c r="D716" s="132" t="s">
        <v>1242</v>
      </c>
      <c r="E716" s="132" t="s">
        <v>320</v>
      </c>
      <c r="F716" s="133" t="s">
        <v>1282</v>
      </c>
      <c r="G716" s="134">
        <v>1.63</v>
      </c>
      <c r="H716" s="135">
        <v>13.45</v>
      </c>
      <c r="I716" s="136">
        <f t="shared" si="11"/>
        <v>21.923499999999997</v>
      </c>
      <c r="J716" s="137">
        <v>1</v>
      </c>
    </row>
    <row r="717" spans="2:10" ht="15" customHeight="1" x14ac:dyDescent="0.3">
      <c r="B717" s="132" t="s">
        <v>1278</v>
      </c>
      <c r="C717" s="132" t="s">
        <v>402</v>
      </c>
      <c r="D717" s="132" t="s">
        <v>1242</v>
      </c>
      <c r="E717" s="132" t="s">
        <v>320</v>
      </c>
      <c r="F717" s="133" t="s">
        <v>1283</v>
      </c>
      <c r="G717" s="134">
        <v>1.32</v>
      </c>
      <c r="H717" s="135">
        <v>13.45</v>
      </c>
      <c r="I717" s="136">
        <f t="shared" si="11"/>
        <v>17.754000000000001</v>
      </c>
      <c r="J717" s="137">
        <v>1</v>
      </c>
    </row>
    <row r="718" spans="2:10" ht="15" customHeight="1" x14ac:dyDescent="0.3">
      <c r="B718" s="132" t="s">
        <v>1278</v>
      </c>
      <c r="C718" s="132" t="s">
        <v>402</v>
      </c>
      <c r="D718" s="132" t="s">
        <v>1242</v>
      </c>
      <c r="E718" s="132" t="s">
        <v>320</v>
      </c>
      <c r="F718" s="133" t="s">
        <v>1284</v>
      </c>
      <c r="G718" s="134">
        <v>6.32</v>
      </c>
      <c r="H718" s="135">
        <v>13.45</v>
      </c>
      <c r="I718" s="136">
        <f t="shared" si="11"/>
        <v>85.004000000000005</v>
      </c>
      <c r="J718" s="137">
        <v>1</v>
      </c>
    </row>
    <row r="719" spans="2:10" ht="15" customHeight="1" x14ac:dyDescent="0.3">
      <c r="B719" s="132" t="s">
        <v>1278</v>
      </c>
      <c r="C719" s="132" t="s">
        <v>402</v>
      </c>
      <c r="D719" s="132" t="s">
        <v>1242</v>
      </c>
      <c r="E719" s="132" t="s">
        <v>320</v>
      </c>
      <c r="F719" s="133" t="s">
        <v>1285</v>
      </c>
      <c r="G719" s="134">
        <v>3.01</v>
      </c>
      <c r="H719" s="135">
        <v>13.45</v>
      </c>
      <c r="I719" s="136">
        <f t="shared" si="11"/>
        <v>40.484499999999997</v>
      </c>
      <c r="J719" s="137">
        <v>1</v>
      </c>
    </row>
    <row r="720" spans="2:10" ht="15" customHeight="1" x14ac:dyDescent="0.3">
      <c r="B720" s="132" t="s">
        <v>1286</v>
      </c>
      <c r="C720" s="132" t="s">
        <v>402</v>
      </c>
      <c r="D720" s="132" t="s">
        <v>1242</v>
      </c>
      <c r="E720" s="132" t="s">
        <v>320</v>
      </c>
      <c r="F720" s="133" t="s">
        <v>1287</v>
      </c>
      <c r="G720" s="134">
        <v>3.68</v>
      </c>
      <c r="H720" s="135">
        <v>13.45</v>
      </c>
      <c r="I720" s="136">
        <f t="shared" si="11"/>
        <v>49.496000000000002</v>
      </c>
      <c r="J720" s="137">
        <v>1</v>
      </c>
    </row>
    <row r="721" spans="2:10" ht="15" customHeight="1" x14ac:dyDescent="0.3">
      <c r="B721" s="132" t="s">
        <v>1286</v>
      </c>
      <c r="C721" s="132" t="s">
        <v>402</v>
      </c>
      <c r="D721" s="132" t="s">
        <v>1242</v>
      </c>
      <c r="E721" s="132" t="s">
        <v>320</v>
      </c>
      <c r="F721" s="133" t="s">
        <v>1288</v>
      </c>
      <c r="G721" s="134">
        <v>1.97</v>
      </c>
      <c r="H721" s="135">
        <v>13.45</v>
      </c>
      <c r="I721" s="136">
        <f t="shared" si="11"/>
        <v>26.496499999999997</v>
      </c>
      <c r="J721" s="137">
        <v>1</v>
      </c>
    </row>
    <row r="722" spans="2:10" ht="15" customHeight="1" x14ac:dyDescent="0.3">
      <c r="B722" s="132" t="s">
        <v>1286</v>
      </c>
      <c r="C722" s="132" t="s">
        <v>402</v>
      </c>
      <c r="D722" s="132" t="s">
        <v>1242</v>
      </c>
      <c r="E722" s="132" t="s">
        <v>320</v>
      </c>
      <c r="F722" s="133" t="s">
        <v>1289</v>
      </c>
      <c r="G722" s="134">
        <v>1.81</v>
      </c>
      <c r="H722" s="135">
        <v>13.45</v>
      </c>
      <c r="I722" s="136">
        <f t="shared" si="11"/>
        <v>24.3445</v>
      </c>
      <c r="J722" s="137">
        <v>1</v>
      </c>
    </row>
    <row r="723" spans="2:10" ht="15" customHeight="1" x14ac:dyDescent="0.3">
      <c r="B723" s="132" t="s">
        <v>1290</v>
      </c>
      <c r="C723" s="132" t="s">
        <v>402</v>
      </c>
      <c r="D723" s="132" t="s">
        <v>1242</v>
      </c>
      <c r="E723" s="132" t="s">
        <v>320</v>
      </c>
      <c r="F723" s="133" t="s">
        <v>1291</v>
      </c>
      <c r="G723" s="134">
        <v>2.66</v>
      </c>
      <c r="H723" s="135">
        <v>13.45</v>
      </c>
      <c r="I723" s="136">
        <f t="shared" si="11"/>
        <v>35.777000000000001</v>
      </c>
      <c r="J723" s="137">
        <v>1</v>
      </c>
    </row>
    <row r="724" spans="2:10" ht="15" customHeight="1" x14ac:dyDescent="0.3">
      <c r="B724" s="132" t="s">
        <v>1290</v>
      </c>
      <c r="C724" s="132" t="s">
        <v>402</v>
      </c>
      <c r="D724" s="132" t="s">
        <v>1242</v>
      </c>
      <c r="E724" s="132" t="s">
        <v>320</v>
      </c>
      <c r="F724" s="133" t="s">
        <v>1292</v>
      </c>
      <c r="G724" s="134">
        <v>3.63</v>
      </c>
      <c r="H724" s="135">
        <v>13.45</v>
      </c>
      <c r="I724" s="136">
        <f t="shared" si="11"/>
        <v>48.823499999999996</v>
      </c>
      <c r="J724" s="137">
        <v>1</v>
      </c>
    </row>
    <row r="725" spans="2:10" ht="15" customHeight="1" x14ac:dyDescent="0.3">
      <c r="B725" s="132" t="s">
        <v>1290</v>
      </c>
      <c r="C725" s="132" t="s">
        <v>402</v>
      </c>
      <c r="D725" s="132" t="s">
        <v>1242</v>
      </c>
      <c r="E725" s="132" t="s">
        <v>320</v>
      </c>
      <c r="F725" s="133" t="s">
        <v>1293</v>
      </c>
      <c r="G725" s="134">
        <v>3.58</v>
      </c>
      <c r="H725" s="135">
        <v>13.45</v>
      </c>
      <c r="I725" s="136">
        <f t="shared" si="11"/>
        <v>48.150999999999996</v>
      </c>
      <c r="J725" s="137">
        <v>1</v>
      </c>
    </row>
    <row r="726" spans="2:10" ht="15" customHeight="1" x14ac:dyDescent="0.3">
      <c r="B726" s="132" t="s">
        <v>1290</v>
      </c>
      <c r="C726" s="132" t="s">
        <v>402</v>
      </c>
      <c r="D726" s="132" t="s">
        <v>1242</v>
      </c>
      <c r="E726" s="132" t="s">
        <v>320</v>
      </c>
      <c r="F726" s="133" t="s">
        <v>1294</v>
      </c>
      <c r="G726" s="134">
        <v>3.27</v>
      </c>
      <c r="H726" s="135">
        <v>13.45</v>
      </c>
      <c r="I726" s="136">
        <f t="shared" si="11"/>
        <v>43.981499999999997</v>
      </c>
      <c r="J726" s="137">
        <v>1</v>
      </c>
    </row>
    <row r="727" spans="2:10" ht="15" customHeight="1" x14ac:dyDescent="0.3">
      <c r="B727" s="132" t="s">
        <v>1290</v>
      </c>
      <c r="C727" s="132" t="s">
        <v>402</v>
      </c>
      <c r="D727" s="132" t="s">
        <v>1242</v>
      </c>
      <c r="E727" s="132" t="s">
        <v>320</v>
      </c>
      <c r="F727" s="133" t="s">
        <v>1295</v>
      </c>
      <c r="G727" s="134">
        <v>3.33</v>
      </c>
      <c r="H727" s="135">
        <v>13.45</v>
      </c>
      <c r="I727" s="136">
        <f t="shared" si="11"/>
        <v>44.788499999999999</v>
      </c>
      <c r="J727" s="137">
        <v>1</v>
      </c>
    </row>
    <row r="728" spans="2:10" ht="15" customHeight="1" x14ac:dyDescent="0.3">
      <c r="B728" s="132" t="s">
        <v>1290</v>
      </c>
      <c r="C728" s="132" t="s">
        <v>402</v>
      </c>
      <c r="D728" s="132" t="s">
        <v>1242</v>
      </c>
      <c r="E728" s="132" t="s">
        <v>320</v>
      </c>
      <c r="F728" s="133" t="s">
        <v>1296</v>
      </c>
      <c r="G728" s="134">
        <v>4.8</v>
      </c>
      <c r="H728" s="135">
        <v>13.45</v>
      </c>
      <c r="I728" s="136">
        <f t="shared" si="11"/>
        <v>64.559999999999988</v>
      </c>
      <c r="J728" s="137">
        <v>1</v>
      </c>
    </row>
    <row r="729" spans="2:10" ht="15" customHeight="1" x14ac:dyDescent="0.3">
      <c r="B729" s="132" t="s">
        <v>1290</v>
      </c>
      <c r="C729" s="132" t="s">
        <v>402</v>
      </c>
      <c r="D729" s="132" t="s">
        <v>1242</v>
      </c>
      <c r="E729" s="132" t="s">
        <v>320</v>
      </c>
      <c r="F729" s="133" t="s">
        <v>1297</v>
      </c>
      <c r="G729" s="134">
        <v>4.88</v>
      </c>
      <c r="H729" s="135">
        <v>13.45</v>
      </c>
      <c r="I729" s="136">
        <f t="shared" si="11"/>
        <v>65.635999999999996</v>
      </c>
      <c r="J729" s="137">
        <v>1</v>
      </c>
    </row>
    <row r="730" spans="2:10" ht="15" customHeight="1" x14ac:dyDescent="0.3">
      <c r="B730" s="132" t="s">
        <v>1298</v>
      </c>
      <c r="C730" s="132" t="s">
        <v>402</v>
      </c>
      <c r="D730" s="132" t="s">
        <v>1242</v>
      </c>
      <c r="E730" s="132" t="s">
        <v>320</v>
      </c>
      <c r="F730" s="133" t="s">
        <v>1299</v>
      </c>
      <c r="G730" s="134">
        <v>2.94</v>
      </c>
      <c r="H730" s="135">
        <v>13.45</v>
      </c>
      <c r="I730" s="136">
        <f t="shared" si="11"/>
        <v>39.542999999999999</v>
      </c>
      <c r="J730" s="137">
        <v>1</v>
      </c>
    </row>
    <row r="731" spans="2:10" ht="15" customHeight="1" x14ac:dyDescent="0.3">
      <c r="B731" s="132" t="s">
        <v>1298</v>
      </c>
      <c r="C731" s="132" t="s">
        <v>402</v>
      </c>
      <c r="D731" s="132" t="s">
        <v>1242</v>
      </c>
      <c r="E731" s="132" t="s">
        <v>320</v>
      </c>
      <c r="F731" s="133" t="s">
        <v>1300</v>
      </c>
      <c r="G731" s="134">
        <v>2.89</v>
      </c>
      <c r="H731" s="135">
        <v>13.45</v>
      </c>
      <c r="I731" s="136">
        <f t="shared" si="11"/>
        <v>38.8705</v>
      </c>
      <c r="J731" s="137">
        <v>1</v>
      </c>
    </row>
    <row r="732" spans="2:10" ht="15" customHeight="1" x14ac:dyDescent="0.3">
      <c r="B732" s="132" t="s">
        <v>1298</v>
      </c>
      <c r="C732" s="132" t="s">
        <v>402</v>
      </c>
      <c r="D732" s="132" t="s">
        <v>1242</v>
      </c>
      <c r="E732" s="132" t="s">
        <v>320</v>
      </c>
      <c r="F732" s="133" t="s">
        <v>1301</v>
      </c>
      <c r="G732" s="134">
        <v>3.3</v>
      </c>
      <c r="H732" s="135">
        <v>13.45</v>
      </c>
      <c r="I732" s="136">
        <f t="shared" si="11"/>
        <v>44.384999999999998</v>
      </c>
      <c r="J732" s="137">
        <v>1</v>
      </c>
    </row>
    <row r="733" spans="2:10" ht="15" customHeight="1" x14ac:dyDescent="0.3">
      <c r="B733" s="132" t="s">
        <v>1298</v>
      </c>
      <c r="C733" s="132" t="s">
        <v>402</v>
      </c>
      <c r="D733" s="132" t="s">
        <v>1242</v>
      </c>
      <c r="E733" s="132" t="s">
        <v>320</v>
      </c>
      <c r="F733" s="133" t="s">
        <v>1302</v>
      </c>
      <c r="G733" s="134">
        <v>3.28</v>
      </c>
      <c r="H733" s="135">
        <v>13.45</v>
      </c>
      <c r="I733" s="136">
        <f t="shared" si="11"/>
        <v>44.115999999999993</v>
      </c>
      <c r="J733" s="137">
        <v>1</v>
      </c>
    </row>
    <row r="734" spans="2:10" ht="15" customHeight="1" x14ac:dyDescent="0.3">
      <c r="B734" s="132" t="s">
        <v>1298</v>
      </c>
      <c r="C734" s="132" t="s">
        <v>402</v>
      </c>
      <c r="D734" s="132" t="s">
        <v>1242</v>
      </c>
      <c r="E734" s="132" t="s">
        <v>320</v>
      </c>
      <c r="F734" s="133" t="s">
        <v>1303</v>
      </c>
      <c r="G734" s="134">
        <v>2.67</v>
      </c>
      <c r="H734" s="135">
        <v>13.45</v>
      </c>
      <c r="I734" s="136">
        <f t="shared" si="11"/>
        <v>35.911499999999997</v>
      </c>
      <c r="J734" s="137">
        <v>1</v>
      </c>
    </row>
    <row r="735" spans="2:10" ht="15" customHeight="1" x14ac:dyDescent="0.3">
      <c r="B735" s="132" t="s">
        <v>1298</v>
      </c>
      <c r="C735" s="132" t="s">
        <v>402</v>
      </c>
      <c r="D735" s="132" t="s">
        <v>1242</v>
      </c>
      <c r="E735" s="132" t="s">
        <v>320</v>
      </c>
      <c r="F735" s="133" t="s">
        <v>1304</v>
      </c>
      <c r="G735" s="134">
        <v>2.58</v>
      </c>
      <c r="H735" s="135">
        <v>13.45</v>
      </c>
      <c r="I735" s="136">
        <f t="shared" si="11"/>
        <v>34.701000000000001</v>
      </c>
      <c r="J735" s="137">
        <v>1</v>
      </c>
    </row>
    <row r="736" spans="2:10" ht="15" customHeight="1" x14ac:dyDescent="0.3">
      <c r="B736" s="132" t="s">
        <v>1298</v>
      </c>
      <c r="C736" s="132" t="s">
        <v>402</v>
      </c>
      <c r="D736" s="132" t="s">
        <v>1242</v>
      </c>
      <c r="E736" s="132" t="s">
        <v>320</v>
      </c>
      <c r="F736" s="133" t="s">
        <v>1305</v>
      </c>
      <c r="G736" s="134">
        <v>1.31</v>
      </c>
      <c r="H736" s="135">
        <v>13.45</v>
      </c>
      <c r="I736" s="136">
        <f t="shared" si="11"/>
        <v>17.619499999999999</v>
      </c>
      <c r="J736" s="137">
        <v>1</v>
      </c>
    </row>
    <row r="737" spans="2:10" ht="15" customHeight="1" x14ac:dyDescent="0.3">
      <c r="B737" s="132" t="s">
        <v>1298</v>
      </c>
      <c r="C737" s="132" t="s">
        <v>402</v>
      </c>
      <c r="D737" s="132" t="s">
        <v>1242</v>
      </c>
      <c r="E737" s="132" t="s">
        <v>320</v>
      </c>
      <c r="F737" s="133" t="s">
        <v>1306</v>
      </c>
      <c r="G737" s="134">
        <v>1.29</v>
      </c>
      <c r="H737" s="135">
        <v>13.45</v>
      </c>
      <c r="I737" s="136">
        <f t="shared" si="11"/>
        <v>17.3505</v>
      </c>
      <c r="J737" s="137">
        <v>1</v>
      </c>
    </row>
    <row r="738" spans="2:10" ht="15" customHeight="1" x14ac:dyDescent="0.3">
      <c r="B738" s="132" t="s">
        <v>1307</v>
      </c>
      <c r="C738" s="132" t="s">
        <v>402</v>
      </c>
      <c r="D738" s="132" t="s">
        <v>1242</v>
      </c>
      <c r="E738" s="132" t="s">
        <v>320</v>
      </c>
      <c r="F738" s="133" t="s">
        <v>1308</v>
      </c>
      <c r="G738" s="134">
        <v>1.64</v>
      </c>
      <c r="H738" s="135">
        <v>13.45</v>
      </c>
      <c r="I738" s="136">
        <f t="shared" si="11"/>
        <v>22.057999999999996</v>
      </c>
      <c r="J738" s="137">
        <v>1</v>
      </c>
    </row>
    <row r="739" spans="2:10" ht="15" customHeight="1" x14ac:dyDescent="0.3">
      <c r="B739" s="132" t="s">
        <v>1309</v>
      </c>
      <c r="C739" s="132" t="s">
        <v>402</v>
      </c>
      <c r="D739" s="132" t="s">
        <v>1242</v>
      </c>
      <c r="E739" s="132" t="s">
        <v>320</v>
      </c>
      <c r="F739" s="133" t="s">
        <v>1310</v>
      </c>
      <c r="G739" s="134">
        <v>2.94</v>
      </c>
      <c r="H739" s="135">
        <v>13.45</v>
      </c>
      <c r="I739" s="136">
        <f t="shared" si="11"/>
        <v>39.542999999999999</v>
      </c>
      <c r="J739" s="137">
        <v>1</v>
      </c>
    </row>
    <row r="740" spans="2:10" ht="15" customHeight="1" x14ac:dyDescent="0.3">
      <c r="B740" s="132" t="s">
        <v>1309</v>
      </c>
      <c r="C740" s="132" t="s">
        <v>402</v>
      </c>
      <c r="D740" s="132" t="s">
        <v>1242</v>
      </c>
      <c r="E740" s="132" t="s">
        <v>320</v>
      </c>
      <c r="F740" s="133" t="s">
        <v>1311</v>
      </c>
      <c r="G740" s="134">
        <v>2.94</v>
      </c>
      <c r="H740" s="135">
        <v>13.45</v>
      </c>
      <c r="I740" s="136">
        <f t="shared" si="11"/>
        <v>39.542999999999999</v>
      </c>
      <c r="J740" s="137">
        <v>1</v>
      </c>
    </row>
    <row r="741" spans="2:10" ht="15" customHeight="1" x14ac:dyDescent="0.3">
      <c r="B741" s="132" t="s">
        <v>1309</v>
      </c>
      <c r="C741" s="132" t="s">
        <v>402</v>
      </c>
      <c r="D741" s="132" t="s">
        <v>1242</v>
      </c>
      <c r="E741" s="132" t="s">
        <v>320</v>
      </c>
      <c r="F741" s="133" t="s">
        <v>1312</v>
      </c>
      <c r="G741" s="134">
        <v>2.34</v>
      </c>
      <c r="H741" s="135">
        <v>13.45</v>
      </c>
      <c r="I741" s="136">
        <f t="shared" si="11"/>
        <v>31.472999999999995</v>
      </c>
      <c r="J741" s="137">
        <v>1</v>
      </c>
    </row>
    <row r="742" spans="2:10" ht="15" customHeight="1" x14ac:dyDescent="0.3">
      <c r="B742" s="132" t="s">
        <v>1313</v>
      </c>
      <c r="C742" s="132" t="s">
        <v>402</v>
      </c>
      <c r="D742" s="132" t="s">
        <v>1242</v>
      </c>
      <c r="E742" s="132" t="s">
        <v>320</v>
      </c>
      <c r="F742" s="133" t="s">
        <v>1314</v>
      </c>
      <c r="G742" s="134">
        <v>3.24</v>
      </c>
      <c r="H742" s="135">
        <v>13.45</v>
      </c>
      <c r="I742" s="136">
        <f t="shared" si="11"/>
        <v>43.578000000000003</v>
      </c>
      <c r="J742" s="137">
        <v>1</v>
      </c>
    </row>
    <row r="743" spans="2:10" ht="15" customHeight="1" x14ac:dyDescent="0.3">
      <c r="B743" s="132" t="s">
        <v>1313</v>
      </c>
      <c r="C743" s="132" t="s">
        <v>402</v>
      </c>
      <c r="D743" s="132" t="s">
        <v>1242</v>
      </c>
      <c r="E743" s="132" t="s">
        <v>320</v>
      </c>
      <c r="F743" s="133" t="s">
        <v>1315</v>
      </c>
      <c r="G743" s="134">
        <v>3.26</v>
      </c>
      <c r="H743" s="135">
        <v>13.45</v>
      </c>
      <c r="I743" s="136">
        <f t="shared" si="11"/>
        <v>43.846999999999994</v>
      </c>
      <c r="J743" s="137">
        <v>1</v>
      </c>
    </row>
    <row r="744" spans="2:10" ht="15" customHeight="1" x14ac:dyDescent="0.3">
      <c r="B744" s="132" t="s">
        <v>618</v>
      </c>
      <c r="C744" s="132" t="s">
        <v>402</v>
      </c>
      <c r="D744" s="132" t="s">
        <v>1242</v>
      </c>
      <c r="E744" s="132" t="s">
        <v>320</v>
      </c>
      <c r="F744" s="133" t="s">
        <v>1316</v>
      </c>
      <c r="G744" s="134">
        <v>3.23</v>
      </c>
      <c r="H744" s="135">
        <v>13.45</v>
      </c>
      <c r="I744" s="136">
        <f t="shared" si="11"/>
        <v>43.4435</v>
      </c>
      <c r="J744" s="137">
        <v>1</v>
      </c>
    </row>
    <row r="745" spans="2:10" ht="15" customHeight="1" x14ac:dyDescent="0.3">
      <c r="B745" s="132" t="s">
        <v>618</v>
      </c>
      <c r="C745" s="132" t="s">
        <v>402</v>
      </c>
      <c r="D745" s="132" t="s">
        <v>1242</v>
      </c>
      <c r="E745" s="132" t="s">
        <v>320</v>
      </c>
      <c r="F745" s="133" t="s">
        <v>1317</v>
      </c>
      <c r="G745" s="134">
        <v>3.25</v>
      </c>
      <c r="H745" s="135">
        <v>13.45</v>
      </c>
      <c r="I745" s="136">
        <f t="shared" si="11"/>
        <v>43.712499999999999</v>
      </c>
      <c r="J745" s="137">
        <v>1</v>
      </c>
    </row>
    <row r="746" spans="2:10" ht="15" customHeight="1" x14ac:dyDescent="0.3">
      <c r="B746" s="132" t="s">
        <v>621</v>
      </c>
      <c r="C746" s="132" t="s">
        <v>402</v>
      </c>
      <c r="D746" s="132" t="s">
        <v>1242</v>
      </c>
      <c r="E746" s="132" t="s">
        <v>320</v>
      </c>
      <c r="F746" s="133" t="s">
        <v>624</v>
      </c>
      <c r="G746" s="134">
        <v>3.9</v>
      </c>
      <c r="H746" s="135">
        <v>13.45</v>
      </c>
      <c r="I746" s="136">
        <f t="shared" si="11"/>
        <v>52.454999999999998</v>
      </c>
      <c r="J746" s="137">
        <v>1</v>
      </c>
    </row>
    <row r="747" spans="2:10" ht="15" customHeight="1" x14ac:dyDescent="0.3">
      <c r="B747" s="132" t="s">
        <v>1318</v>
      </c>
      <c r="C747" s="132" t="s">
        <v>402</v>
      </c>
      <c r="D747" s="132" t="s">
        <v>1242</v>
      </c>
      <c r="E747" s="132" t="s">
        <v>320</v>
      </c>
      <c r="F747" s="133" t="s">
        <v>1319</v>
      </c>
      <c r="G747" s="134">
        <v>2.33</v>
      </c>
      <c r="H747" s="135">
        <v>13.45</v>
      </c>
      <c r="I747" s="136">
        <f t="shared" si="11"/>
        <v>31.3385</v>
      </c>
      <c r="J747" s="137">
        <v>1</v>
      </c>
    </row>
    <row r="748" spans="2:10" ht="15" customHeight="1" x14ac:dyDescent="0.3">
      <c r="B748" s="132" t="s">
        <v>1318</v>
      </c>
      <c r="C748" s="132" t="s">
        <v>402</v>
      </c>
      <c r="D748" s="132" t="s">
        <v>1242</v>
      </c>
      <c r="E748" s="132" t="s">
        <v>320</v>
      </c>
      <c r="F748" s="133" t="s">
        <v>1320</v>
      </c>
      <c r="G748" s="134">
        <v>2.3199999999999998</v>
      </c>
      <c r="H748" s="135">
        <v>13.45</v>
      </c>
      <c r="I748" s="136">
        <f t="shared" si="11"/>
        <v>31.203999999999997</v>
      </c>
      <c r="J748" s="137">
        <v>1</v>
      </c>
    </row>
    <row r="749" spans="2:10" ht="15" customHeight="1" x14ac:dyDescent="0.3">
      <c r="B749" s="132" t="s">
        <v>1321</v>
      </c>
      <c r="C749" s="132" t="s">
        <v>402</v>
      </c>
      <c r="D749" s="132" t="s">
        <v>1242</v>
      </c>
      <c r="E749" s="132" t="s">
        <v>320</v>
      </c>
      <c r="F749" s="133" t="s">
        <v>1322</v>
      </c>
      <c r="G749" s="134">
        <v>3.22</v>
      </c>
      <c r="H749" s="135">
        <v>13.45</v>
      </c>
      <c r="I749" s="136">
        <f t="shared" si="11"/>
        <v>43.308999999999997</v>
      </c>
      <c r="J749" s="137">
        <v>1</v>
      </c>
    </row>
    <row r="750" spans="2:10" ht="15" customHeight="1" x14ac:dyDescent="0.3">
      <c r="B750" s="132" t="s">
        <v>1321</v>
      </c>
      <c r="C750" s="132" t="s">
        <v>402</v>
      </c>
      <c r="D750" s="132" t="s">
        <v>1242</v>
      </c>
      <c r="E750" s="132" t="s">
        <v>320</v>
      </c>
      <c r="F750" s="133" t="s">
        <v>1323</v>
      </c>
      <c r="G750" s="134">
        <v>3.25</v>
      </c>
      <c r="H750" s="135">
        <v>13.45</v>
      </c>
      <c r="I750" s="136">
        <f t="shared" si="11"/>
        <v>43.712499999999999</v>
      </c>
      <c r="J750" s="137">
        <v>1</v>
      </c>
    </row>
    <row r="751" spans="2:10" ht="15" customHeight="1" x14ac:dyDescent="0.3">
      <c r="B751" s="132" t="s">
        <v>1324</v>
      </c>
      <c r="C751" s="132" t="s">
        <v>402</v>
      </c>
      <c r="D751" s="132" t="s">
        <v>1242</v>
      </c>
      <c r="E751" s="132" t="s">
        <v>320</v>
      </c>
      <c r="F751" s="133" t="s">
        <v>1325</v>
      </c>
      <c r="G751" s="134">
        <v>2.96</v>
      </c>
      <c r="H751" s="135">
        <v>13.45</v>
      </c>
      <c r="I751" s="136">
        <f t="shared" si="11"/>
        <v>39.811999999999998</v>
      </c>
      <c r="J751" s="137">
        <v>1</v>
      </c>
    </row>
    <row r="752" spans="2:10" ht="15" customHeight="1" x14ac:dyDescent="0.3">
      <c r="B752" s="132" t="s">
        <v>1324</v>
      </c>
      <c r="C752" s="132" t="s">
        <v>402</v>
      </c>
      <c r="D752" s="132" t="s">
        <v>1242</v>
      </c>
      <c r="E752" s="132" t="s">
        <v>320</v>
      </c>
      <c r="F752" s="133" t="s">
        <v>1326</v>
      </c>
      <c r="G752" s="134">
        <v>2.91</v>
      </c>
      <c r="H752" s="135">
        <v>13.45</v>
      </c>
      <c r="I752" s="136">
        <f t="shared" si="11"/>
        <v>39.139499999999998</v>
      </c>
      <c r="J752" s="137">
        <v>1</v>
      </c>
    </row>
    <row r="753" spans="2:10" ht="15" customHeight="1" x14ac:dyDescent="0.3">
      <c r="B753" s="132" t="s">
        <v>1327</v>
      </c>
      <c r="C753" s="132" t="s">
        <v>402</v>
      </c>
      <c r="D753" s="132" t="s">
        <v>1242</v>
      </c>
      <c r="E753" s="132" t="s">
        <v>320</v>
      </c>
      <c r="F753" s="133" t="s">
        <v>1328</v>
      </c>
      <c r="G753" s="134">
        <v>1.79</v>
      </c>
      <c r="H753" s="135">
        <v>13.45</v>
      </c>
      <c r="I753" s="136">
        <f t="shared" si="11"/>
        <v>24.075499999999998</v>
      </c>
      <c r="J753" s="137">
        <v>1</v>
      </c>
    </row>
    <row r="754" spans="2:10" ht="15" customHeight="1" x14ac:dyDescent="0.3">
      <c r="B754" s="132" t="s">
        <v>1329</v>
      </c>
      <c r="C754" s="132" t="s">
        <v>402</v>
      </c>
      <c r="D754" s="132" t="s">
        <v>1242</v>
      </c>
      <c r="E754" s="132" t="s">
        <v>320</v>
      </c>
      <c r="F754" s="133" t="s">
        <v>1330</v>
      </c>
      <c r="G754" s="134">
        <v>3.37</v>
      </c>
      <c r="H754" s="135">
        <v>13.45</v>
      </c>
      <c r="I754" s="136">
        <f t="shared" si="11"/>
        <v>45.326499999999996</v>
      </c>
      <c r="J754" s="137">
        <v>1</v>
      </c>
    </row>
    <row r="755" spans="2:10" ht="15" customHeight="1" x14ac:dyDescent="0.3">
      <c r="B755" s="132" t="s">
        <v>1331</v>
      </c>
      <c r="C755" s="132" t="s">
        <v>402</v>
      </c>
      <c r="D755" s="132" t="s">
        <v>1242</v>
      </c>
      <c r="E755" s="132" t="s">
        <v>320</v>
      </c>
      <c r="F755" s="133" t="s">
        <v>1332</v>
      </c>
      <c r="G755" s="134">
        <v>8.2200000000000006</v>
      </c>
      <c r="H755" s="135">
        <v>13.45</v>
      </c>
      <c r="I755" s="136">
        <f t="shared" si="11"/>
        <v>110.559</v>
      </c>
      <c r="J755" s="137">
        <v>1</v>
      </c>
    </row>
    <row r="756" spans="2:10" ht="15" customHeight="1" x14ac:dyDescent="0.3">
      <c r="B756" s="132" t="s">
        <v>1333</v>
      </c>
      <c r="C756" s="132" t="s">
        <v>402</v>
      </c>
      <c r="D756" s="132" t="s">
        <v>1242</v>
      </c>
      <c r="E756" s="132" t="s">
        <v>320</v>
      </c>
      <c r="F756" s="133" t="s">
        <v>1334</v>
      </c>
      <c r="G756" s="134">
        <v>3.25</v>
      </c>
      <c r="H756" s="135">
        <v>13.45</v>
      </c>
      <c r="I756" s="136">
        <f t="shared" si="11"/>
        <v>43.712499999999999</v>
      </c>
      <c r="J756" s="137">
        <v>1</v>
      </c>
    </row>
    <row r="757" spans="2:10" ht="15" customHeight="1" x14ac:dyDescent="0.3">
      <c r="B757" s="132" t="s">
        <v>1333</v>
      </c>
      <c r="C757" s="132" t="s">
        <v>402</v>
      </c>
      <c r="D757" s="132" t="s">
        <v>1242</v>
      </c>
      <c r="E757" s="132" t="s">
        <v>320</v>
      </c>
      <c r="F757" s="133" t="s">
        <v>1335</v>
      </c>
      <c r="G757" s="134">
        <v>5.96</v>
      </c>
      <c r="H757" s="135">
        <v>13.45</v>
      </c>
      <c r="I757" s="136">
        <f t="shared" si="11"/>
        <v>80.161999999999992</v>
      </c>
      <c r="J757" s="137">
        <v>1</v>
      </c>
    </row>
    <row r="758" spans="2:10" ht="15" customHeight="1" x14ac:dyDescent="0.3">
      <c r="B758" s="132" t="s">
        <v>1333</v>
      </c>
      <c r="C758" s="132" t="s">
        <v>402</v>
      </c>
      <c r="D758" s="132" t="s">
        <v>1242</v>
      </c>
      <c r="E758" s="132" t="s">
        <v>320</v>
      </c>
      <c r="F758" s="133" t="s">
        <v>1336</v>
      </c>
      <c r="G758" s="134">
        <v>2.92</v>
      </c>
      <c r="H758" s="135">
        <v>13.45</v>
      </c>
      <c r="I758" s="136">
        <f t="shared" si="11"/>
        <v>39.273999999999994</v>
      </c>
      <c r="J758" s="137">
        <v>1</v>
      </c>
    </row>
    <row r="759" spans="2:10" ht="15" customHeight="1" x14ac:dyDescent="0.3">
      <c r="B759" s="132" t="s">
        <v>1333</v>
      </c>
      <c r="C759" s="132" t="s">
        <v>402</v>
      </c>
      <c r="D759" s="132" t="s">
        <v>1242</v>
      </c>
      <c r="E759" s="132" t="s">
        <v>320</v>
      </c>
      <c r="F759" s="133" t="s">
        <v>1337</v>
      </c>
      <c r="G759" s="134">
        <v>3.29</v>
      </c>
      <c r="H759" s="135">
        <v>13.45</v>
      </c>
      <c r="I759" s="136">
        <f t="shared" si="11"/>
        <v>44.250499999999995</v>
      </c>
      <c r="J759" s="137">
        <v>1</v>
      </c>
    </row>
    <row r="760" spans="2:10" ht="15" customHeight="1" x14ac:dyDescent="0.3">
      <c r="B760" s="132" t="s">
        <v>1333</v>
      </c>
      <c r="C760" s="132" t="s">
        <v>402</v>
      </c>
      <c r="D760" s="132" t="s">
        <v>1242</v>
      </c>
      <c r="E760" s="132" t="s">
        <v>320</v>
      </c>
      <c r="F760" s="133" t="s">
        <v>1338</v>
      </c>
      <c r="G760" s="134">
        <v>3.27</v>
      </c>
      <c r="H760" s="135">
        <v>13.45</v>
      </c>
      <c r="I760" s="136">
        <f t="shared" si="11"/>
        <v>43.981499999999997</v>
      </c>
      <c r="J760" s="137">
        <v>1</v>
      </c>
    </row>
    <row r="761" spans="2:10" ht="15" customHeight="1" x14ac:dyDescent="0.3">
      <c r="B761" s="132" t="s">
        <v>1333</v>
      </c>
      <c r="C761" s="132" t="s">
        <v>402</v>
      </c>
      <c r="D761" s="132" t="s">
        <v>1242</v>
      </c>
      <c r="E761" s="132" t="s">
        <v>320</v>
      </c>
      <c r="F761" s="133" t="s">
        <v>1339</v>
      </c>
      <c r="G761" s="134">
        <v>3.26</v>
      </c>
      <c r="H761" s="135">
        <v>13.45</v>
      </c>
      <c r="I761" s="136">
        <f t="shared" si="11"/>
        <v>43.846999999999994</v>
      </c>
      <c r="J761" s="137">
        <v>1</v>
      </c>
    </row>
    <row r="762" spans="2:10" ht="15" customHeight="1" x14ac:dyDescent="0.3">
      <c r="B762" s="132" t="s">
        <v>1333</v>
      </c>
      <c r="C762" s="132" t="s">
        <v>402</v>
      </c>
      <c r="D762" s="132" t="s">
        <v>1242</v>
      </c>
      <c r="E762" s="132" t="s">
        <v>320</v>
      </c>
      <c r="F762" s="133" t="s">
        <v>1340</v>
      </c>
      <c r="G762" s="134">
        <v>5.87</v>
      </c>
      <c r="H762" s="135">
        <v>13.45</v>
      </c>
      <c r="I762" s="136">
        <f t="shared" si="11"/>
        <v>78.951499999999996</v>
      </c>
      <c r="J762" s="137">
        <v>1</v>
      </c>
    </row>
    <row r="763" spans="2:10" ht="15" customHeight="1" x14ac:dyDescent="0.3">
      <c r="B763" s="132" t="s">
        <v>1333</v>
      </c>
      <c r="C763" s="132" t="s">
        <v>402</v>
      </c>
      <c r="D763" s="132" t="s">
        <v>1242</v>
      </c>
      <c r="E763" s="132" t="s">
        <v>320</v>
      </c>
      <c r="F763" s="133" t="s">
        <v>1341</v>
      </c>
      <c r="G763" s="134">
        <v>1.81</v>
      </c>
      <c r="H763" s="135">
        <v>13.45</v>
      </c>
      <c r="I763" s="136">
        <f t="shared" si="11"/>
        <v>24.3445</v>
      </c>
      <c r="J763" s="137">
        <v>1</v>
      </c>
    </row>
    <row r="764" spans="2:10" ht="15" customHeight="1" x14ac:dyDescent="0.3">
      <c r="B764" s="132" t="s">
        <v>1333</v>
      </c>
      <c r="C764" s="132" t="s">
        <v>402</v>
      </c>
      <c r="D764" s="132" t="s">
        <v>1242</v>
      </c>
      <c r="E764" s="132" t="s">
        <v>320</v>
      </c>
      <c r="F764" s="133" t="s">
        <v>1342</v>
      </c>
      <c r="G764" s="134">
        <v>1.29</v>
      </c>
      <c r="H764" s="135">
        <v>13.45</v>
      </c>
      <c r="I764" s="136">
        <f t="shared" si="11"/>
        <v>17.3505</v>
      </c>
      <c r="J764" s="137">
        <v>1</v>
      </c>
    </row>
    <row r="765" spans="2:10" ht="15" customHeight="1" x14ac:dyDescent="0.3">
      <c r="B765" s="132" t="s">
        <v>1333</v>
      </c>
      <c r="C765" s="132" t="s">
        <v>402</v>
      </c>
      <c r="D765" s="132" t="s">
        <v>1242</v>
      </c>
      <c r="E765" s="132" t="s">
        <v>320</v>
      </c>
      <c r="F765" s="133" t="s">
        <v>1343</v>
      </c>
      <c r="G765" s="134">
        <v>1.85</v>
      </c>
      <c r="H765" s="135">
        <v>13.45</v>
      </c>
      <c r="I765" s="136">
        <f t="shared" si="11"/>
        <v>24.8825</v>
      </c>
      <c r="J765" s="137">
        <v>1</v>
      </c>
    </row>
    <row r="766" spans="2:10" ht="15" customHeight="1" x14ac:dyDescent="0.3">
      <c r="B766" s="132" t="s">
        <v>1333</v>
      </c>
      <c r="C766" s="132" t="s">
        <v>402</v>
      </c>
      <c r="D766" s="132" t="s">
        <v>1242</v>
      </c>
      <c r="E766" s="132" t="s">
        <v>320</v>
      </c>
      <c r="F766" s="133" t="s">
        <v>1344</v>
      </c>
      <c r="G766" s="134">
        <v>1.29</v>
      </c>
      <c r="H766" s="135">
        <v>13.45</v>
      </c>
      <c r="I766" s="136">
        <f t="shared" si="11"/>
        <v>17.3505</v>
      </c>
      <c r="J766" s="137">
        <v>1</v>
      </c>
    </row>
    <row r="767" spans="2:10" ht="15" customHeight="1" x14ac:dyDescent="0.3">
      <c r="B767" s="132" t="s">
        <v>1333</v>
      </c>
      <c r="C767" s="132" t="s">
        <v>402</v>
      </c>
      <c r="D767" s="132" t="s">
        <v>1242</v>
      </c>
      <c r="E767" s="132" t="s">
        <v>320</v>
      </c>
      <c r="F767" s="133" t="s">
        <v>1345</v>
      </c>
      <c r="G767" s="134">
        <v>1.18</v>
      </c>
      <c r="H767" s="135">
        <v>13.45</v>
      </c>
      <c r="I767" s="136">
        <f t="shared" si="11"/>
        <v>15.870999999999999</v>
      </c>
      <c r="J767" s="137">
        <v>1</v>
      </c>
    </row>
    <row r="768" spans="2:10" ht="15" customHeight="1" x14ac:dyDescent="0.3">
      <c r="B768" s="132" t="s">
        <v>627</v>
      </c>
      <c r="C768" s="132" t="s">
        <v>402</v>
      </c>
      <c r="D768" s="132" t="s">
        <v>1242</v>
      </c>
      <c r="E768" s="132" t="s">
        <v>320</v>
      </c>
      <c r="F768" s="133" t="s">
        <v>1346</v>
      </c>
      <c r="G768" s="134">
        <v>3.36</v>
      </c>
      <c r="H768" s="135">
        <v>13.45</v>
      </c>
      <c r="I768" s="136">
        <f t="shared" si="11"/>
        <v>45.191999999999993</v>
      </c>
      <c r="J768" s="137">
        <v>1</v>
      </c>
    </row>
    <row r="769" spans="2:10" ht="15" customHeight="1" x14ac:dyDescent="0.3">
      <c r="B769" s="132" t="s">
        <v>627</v>
      </c>
      <c r="C769" s="132" t="s">
        <v>402</v>
      </c>
      <c r="D769" s="132" t="s">
        <v>1242</v>
      </c>
      <c r="E769" s="132" t="s">
        <v>320</v>
      </c>
      <c r="F769" s="133" t="s">
        <v>1347</v>
      </c>
      <c r="G769" s="134">
        <v>3.75</v>
      </c>
      <c r="H769" s="135">
        <v>13.45</v>
      </c>
      <c r="I769" s="136">
        <f t="shared" si="11"/>
        <v>50.4375</v>
      </c>
      <c r="J769" s="137">
        <v>1</v>
      </c>
    </row>
    <row r="770" spans="2:10" ht="15" customHeight="1" x14ac:dyDescent="0.3">
      <c r="B770" s="132" t="s">
        <v>627</v>
      </c>
      <c r="C770" s="132" t="s">
        <v>402</v>
      </c>
      <c r="D770" s="132" t="s">
        <v>1242</v>
      </c>
      <c r="E770" s="132" t="s">
        <v>320</v>
      </c>
      <c r="F770" s="133" t="s">
        <v>1348</v>
      </c>
      <c r="G770" s="134">
        <v>2.69</v>
      </c>
      <c r="H770" s="135">
        <v>13.45</v>
      </c>
      <c r="I770" s="136">
        <f t="shared" si="11"/>
        <v>36.180499999999995</v>
      </c>
      <c r="J770" s="137">
        <v>1</v>
      </c>
    </row>
    <row r="771" spans="2:10" ht="15" customHeight="1" x14ac:dyDescent="0.3">
      <c r="B771" s="132" t="s">
        <v>627</v>
      </c>
      <c r="C771" s="132" t="s">
        <v>402</v>
      </c>
      <c r="D771" s="132" t="s">
        <v>1242</v>
      </c>
      <c r="E771" s="132" t="s">
        <v>320</v>
      </c>
      <c r="F771" s="133" t="s">
        <v>1349</v>
      </c>
      <c r="G771" s="134">
        <v>1.67</v>
      </c>
      <c r="H771" s="135">
        <v>13.45</v>
      </c>
      <c r="I771" s="136">
        <f t="shared" si="11"/>
        <v>22.461499999999997</v>
      </c>
      <c r="J771" s="137">
        <v>1</v>
      </c>
    </row>
    <row r="772" spans="2:10" ht="15" customHeight="1" x14ac:dyDescent="0.3">
      <c r="B772" s="132" t="s">
        <v>1350</v>
      </c>
      <c r="C772" s="132" t="s">
        <v>402</v>
      </c>
      <c r="D772" s="132" t="s">
        <v>1242</v>
      </c>
      <c r="E772" s="132" t="s">
        <v>320</v>
      </c>
      <c r="F772" s="133" t="s">
        <v>1351</v>
      </c>
      <c r="G772" s="134">
        <v>3.53</v>
      </c>
      <c r="H772" s="135">
        <v>13.45</v>
      </c>
      <c r="I772" s="136">
        <f t="shared" si="11"/>
        <v>47.478499999999997</v>
      </c>
      <c r="J772" s="137">
        <v>1</v>
      </c>
    </row>
    <row r="773" spans="2:10" ht="15" customHeight="1" x14ac:dyDescent="0.3">
      <c r="B773" s="132" t="s">
        <v>1350</v>
      </c>
      <c r="C773" s="132" t="s">
        <v>402</v>
      </c>
      <c r="D773" s="132" t="s">
        <v>1242</v>
      </c>
      <c r="E773" s="132" t="s">
        <v>320</v>
      </c>
      <c r="F773" s="133" t="s">
        <v>1352</v>
      </c>
      <c r="G773" s="134">
        <v>1.31</v>
      </c>
      <c r="H773" s="135">
        <v>13.45</v>
      </c>
      <c r="I773" s="136">
        <f t="shared" si="11"/>
        <v>17.619499999999999</v>
      </c>
      <c r="J773" s="137">
        <v>1</v>
      </c>
    </row>
    <row r="774" spans="2:10" ht="15" customHeight="1" x14ac:dyDescent="0.3">
      <c r="B774" s="132" t="s">
        <v>1350</v>
      </c>
      <c r="C774" s="132" t="s">
        <v>402</v>
      </c>
      <c r="D774" s="132" t="s">
        <v>1242</v>
      </c>
      <c r="E774" s="132" t="s">
        <v>320</v>
      </c>
      <c r="F774" s="133" t="s">
        <v>1353</v>
      </c>
      <c r="G774" s="134">
        <v>1.64</v>
      </c>
      <c r="H774" s="135">
        <v>13.45</v>
      </c>
      <c r="I774" s="136">
        <f t="shared" si="11"/>
        <v>22.057999999999996</v>
      </c>
      <c r="J774" s="137">
        <v>1</v>
      </c>
    </row>
    <row r="775" spans="2:10" ht="15" customHeight="1" x14ac:dyDescent="0.3">
      <c r="B775" s="132" t="s">
        <v>1350</v>
      </c>
      <c r="C775" s="132" t="s">
        <v>402</v>
      </c>
      <c r="D775" s="132" t="s">
        <v>1242</v>
      </c>
      <c r="E775" s="132" t="s">
        <v>320</v>
      </c>
      <c r="F775" s="133" t="s">
        <v>1354</v>
      </c>
      <c r="G775" s="134">
        <v>1.67</v>
      </c>
      <c r="H775" s="135">
        <v>13.45</v>
      </c>
      <c r="I775" s="136">
        <f t="shared" si="11"/>
        <v>22.461499999999997</v>
      </c>
      <c r="J775" s="137">
        <v>1</v>
      </c>
    </row>
    <row r="776" spans="2:10" ht="15" customHeight="1" x14ac:dyDescent="0.3">
      <c r="B776" s="132" t="s">
        <v>1350</v>
      </c>
      <c r="C776" s="132" t="s">
        <v>402</v>
      </c>
      <c r="D776" s="132" t="s">
        <v>1242</v>
      </c>
      <c r="E776" s="132" t="s">
        <v>320</v>
      </c>
      <c r="F776" s="133" t="s">
        <v>1355</v>
      </c>
      <c r="G776" s="134">
        <v>2.31</v>
      </c>
      <c r="H776" s="135">
        <v>13.45</v>
      </c>
      <c r="I776" s="136">
        <f t="shared" ref="I776:I839" si="12">G776*H776</f>
        <v>31.069499999999998</v>
      </c>
      <c r="J776" s="137">
        <v>1</v>
      </c>
    </row>
    <row r="777" spans="2:10" ht="15" customHeight="1" x14ac:dyDescent="0.3">
      <c r="B777" s="132" t="s">
        <v>1356</v>
      </c>
      <c r="C777" s="132" t="s">
        <v>402</v>
      </c>
      <c r="D777" s="132" t="s">
        <v>1242</v>
      </c>
      <c r="E777" s="132" t="s">
        <v>320</v>
      </c>
      <c r="F777" s="133" t="s">
        <v>1357</v>
      </c>
      <c r="G777" s="134">
        <v>6.61</v>
      </c>
      <c r="H777" s="135">
        <v>13.45</v>
      </c>
      <c r="I777" s="136">
        <f t="shared" si="12"/>
        <v>88.904499999999999</v>
      </c>
      <c r="J777" s="137">
        <v>1</v>
      </c>
    </row>
    <row r="778" spans="2:10" ht="15" customHeight="1" x14ac:dyDescent="0.3">
      <c r="B778" s="132" t="s">
        <v>1358</v>
      </c>
      <c r="C778" s="132" t="s">
        <v>402</v>
      </c>
      <c r="D778" s="132" t="s">
        <v>1242</v>
      </c>
      <c r="E778" s="132" t="s">
        <v>320</v>
      </c>
      <c r="F778" s="133" t="s">
        <v>1359</v>
      </c>
      <c r="G778" s="134">
        <v>2.6</v>
      </c>
      <c r="H778" s="135">
        <v>13.45</v>
      </c>
      <c r="I778" s="136">
        <f t="shared" si="12"/>
        <v>34.97</v>
      </c>
      <c r="J778" s="137">
        <v>1</v>
      </c>
    </row>
    <row r="779" spans="2:10" ht="15" customHeight="1" x14ac:dyDescent="0.3">
      <c r="B779" s="132" t="s">
        <v>1358</v>
      </c>
      <c r="C779" s="132" t="s">
        <v>402</v>
      </c>
      <c r="D779" s="132" t="s">
        <v>1242</v>
      </c>
      <c r="E779" s="132" t="s">
        <v>320</v>
      </c>
      <c r="F779" s="133" t="s">
        <v>1360</v>
      </c>
      <c r="G779" s="134">
        <v>5.0599999999999996</v>
      </c>
      <c r="H779" s="135">
        <v>13.45</v>
      </c>
      <c r="I779" s="136">
        <f t="shared" si="12"/>
        <v>68.056999999999988</v>
      </c>
      <c r="J779" s="137">
        <v>1</v>
      </c>
    </row>
    <row r="780" spans="2:10" ht="15" customHeight="1" x14ac:dyDescent="0.3">
      <c r="B780" s="132" t="s">
        <v>1358</v>
      </c>
      <c r="C780" s="132" t="s">
        <v>402</v>
      </c>
      <c r="D780" s="132" t="s">
        <v>1242</v>
      </c>
      <c r="E780" s="132" t="s">
        <v>320</v>
      </c>
      <c r="F780" s="133" t="s">
        <v>1361</v>
      </c>
      <c r="G780" s="134">
        <v>2.12</v>
      </c>
      <c r="H780" s="135">
        <v>13.45</v>
      </c>
      <c r="I780" s="136">
        <f t="shared" si="12"/>
        <v>28.513999999999999</v>
      </c>
      <c r="J780" s="137">
        <v>1</v>
      </c>
    </row>
    <row r="781" spans="2:10" ht="15" customHeight="1" x14ac:dyDescent="0.3">
      <c r="B781" s="132" t="s">
        <v>1362</v>
      </c>
      <c r="C781" s="132" t="s">
        <v>402</v>
      </c>
      <c r="D781" s="132" t="s">
        <v>1242</v>
      </c>
      <c r="E781" s="132" t="s">
        <v>320</v>
      </c>
      <c r="F781" s="133" t="s">
        <v>1363</v>
      </c>
      <c r="G781" s="134">
        <v>6.33</v>
      </c>
      <c r="H781" s="135">
        <v>13.45</v>
      </c>
      <c r="I781" s="136">
        <f t="shared" si="12"/>
        <v>85.138499999999993</v>
      </c>
      <c r="J781" s="137">
        <v>1</v>
      </c>
    </row>
    <row r="782" spans="2:10" ht="15" customHeight="1" x14ac:dyDescent="0.3">
      <c r="B782" s="132" t="s">
        <v>1364</v>
      </c>
      <c r="C782" s="132" t="s">
        <v>402</v>
      </c>
      <c r="D782" s="132" t="s">
        <v>1242</v>
      </c>
      <c r="E782" s="132" t="s">
        <v>320</v>
      </c>
      <c r="F782" s="133" t="s">
        <v>1365</v>
      </c>
      <c r="G782" s="134">
        <v>2.98</v>
      </c>
      <c r="H782" s="135">
        <v>13.45</v>
      </c>
      <c r="I782" s="136">
        <f t="shared" si="12"/>
        <v>40.080999999999996</v>
      </c>
      <c r="J782" s="137">
        <v>1</v>
      </c>
    </row>
    <row r="783" spans="2:10" ht="15" customHeight="1" x14ac:dyDescent="0.3">
      <c r="B783" s="132" t="s">
        <v>1366</v>
      </c>
      <c r="C783" s="132" t="s">
        <v>402</v>
      </c>
      <c r="D783" s="132" t="s">
        <v>1242</v>
      </c>
      <c r="E783" s="132" t="s">
        <v>320</v>
      </c>
      <c r="F783" s="133" t="s">
        <v>1367</v>
      </c>
      <c r="G783" s="134">
        <v>2.98</v>
      </c>
      <c r="H783" s="135">
        <v>13.45</v>
      </c>
      <c r="I783" s="136">
        <f t="shared" si="12"/>
        <v>40.080999999999996</v>
      </c>
      <c r="J783" s="137">
        <v>1</v>
      </c>
    </row>
    <row r="784" spans="2:10" ht="15" customHeight="1" x14ac:dyDescent="0.3">
      <c r="B784" s="132" t="s">
        <v>1366</v>
      </c>
      <c r="C784" s="132" t="s">
        <v>402</v>
      </c>
      <c r="D784" s="132" t="s">
        <v>1242</v>
      </c>
      <c r="E784" s="132" t="s">
        <v>320</v>
      </c>
      <c r="F784" s="133" t="s">
        <v>1368</v>
      </c>
      <c r="G784" s="134">
        <v>4.37</v>
      </c>
      <c r="H784" s="135">
        <v>13.45</v>
      </c>
      <c r="I784" s="136">
        <f t="shared" si="12"/>
        <v>58.776499999999999</v>
      </c>
      <c r="J784" s="137">
        <v>1</v>
      </c>
    </row>
    <row r="785" spans="2:10" ht="15" customHeight="1" x14ac:dyDescent="0.3">
      <c r="B785" s="132" t="s">
        <v>1369</v>
      </c>
      <c r="C785" s="132" t="s">
        <v>402</v>
      </c>
      <c r="D785" s="132" t="s">
        <v>1242</v>
      </c>
      <c r="E785" s="132" t="s">
        <v>320</v>
      </c>
      <c r="F785" s="133" t="s">
        <v>1370</v>
      </c>
      <c r="G785" s="134">
        <v>2</v>
      </c>
      <c r="H785" s="135">
        <v>13.45</v>
      </c>
      <c r="I785" s="136">
        <f t="shared" si="12"/>
        <v>26.9</v>
      </c>
      <c r="J785" s="137">
        <v>1</v>
      </c>
    </row>
    <row r="786" spans="2:10" ht="15" customHeight="1" x14ac:dyDescent="0.3">
      <c r="B786" s="132" t="s">
        <v>1369</v>
      </c>
      <c r="C786" s="132" t="s">
        <v>402</v>
      </c>
      <c r="D786" s="132" t="s">
        <v>1242</v>
      </c>
      <c r="E786" s="132" t="s">
        <v>320</v>
      </c>
      <c r="F786" s="133" t="s">
        <v>1371</v>
      </c>
      <c r="G786" s="134">
        <v>3.97</v>
      </c>
      <c r="H786" s="135">
        <v>13.45</v>
      </c>
      <c r="I786" s="136">
        <f t="shared" si="12"/>
        <v>53.396500000000003</v>
      </c>
      <c r="J786" s="137">
        <v>1</v>
      </c>
    </row>
    <row r="787" spans="2:10" ht="15" customHeight="1" x14ac:dyDescent="0.3">
      <c r="B787" s="132" t="s">
        <v>1372</v>
      </c>
      <c r="C787" s="132" t="s">
        <v>402</v>
      </c>
      <c r="D787" s="132" t="s">
        <v>1242</v>
      </c>
      <c r="E787" s="132" t="s">
        <v>320</v>
      </c>
      <c r="F787" s="133" t="s">
        <v>1373</v>
      </c>
      <c r="G787" s="134">
        <v>3.4</v>
      </c>
      <c r="H787" s="135">
        <v>13.45</v>
      </c>
      <c r="I787" s="136">
        <f t="shared" si="12"/>
        <v>45.73</v>
      </c>
      <c r="J787" s="137">
        <v>1</v>
      </c>
    </row>
    <row r="788" spans="2:10" ht="15" customHeight="1" x14ac:dyDescent="0.3">
      <c r="B788" s="132" t="s">
        <v>1372</v>
      </c>
      <c r="C788" s="132" t="s">
        <v>402</v>
      </c>
      <c r="D788" s="132" t="s">
        <v>1242</v>
      </c>
      <c r="E788" s="132" t="s">
        <v>320</v>
      </c>
      <c r="F788" s="133" t="s">
        <v>1374</v>
      </c>
      <c r="G788" s="134">
        <v>5.91</v>
      </c>
      <c r="H788" s="135">
        <v>13.45</v>
      </c>
      <c r="I788" s="136">
        <f t="shared" si="12"/>
        <v>79.489499999999992</v>
      </c>
      <c r="J788" s="137">
        <v>1</v>
      </c>
    </row>
    <row r="789" spans="2:10" ht="15" customHeight="1" x14ac:dyDescent="0.3">
      <c r="B789" s="132" t="s">
        <v>1375</v>
      </c>
      <c r="C789" s="132" t="s">
        <v>402</v>
      </c>
      <c r="D789" s="132" t="s">
        <v>1242</v>
      </c>
      <c r="E789" s="132" t="s">
        <v>320</v>
      </c>
      <c r="F789" s="133" t="s">
        <v>1376</v>
      </c>
      <c r="G789" s="134">
        <v>1.94</v>
      </c>
      <c r="H789" s="135">
        <v>13.45</v>
      </c>
      <c r="I789" s="136">
        <f t="shared" si="12"/>
        <v>26.092999999999996</v>
      </c>
      <c r="J789" s="137">
        <v>1</v>
      </c>
    </row>
    <row r="790" spans="2:10" ht="15" customHeight="1" x14ac:dyDescent="0.3">
      <c r="B790" s="132" t="s">
        <v>1377</v>
      </c>
      <c r="C790" s="132" t="s">
        <v>402</v>
      </c>
      <c r="D790" s="132" t="s">
        <v>1378</v>
      </c>
      <c r="E790" s="132" t="s">
        <v>320</v>
      </c>
      <c r="F790" s="133" t="s">
        <v>1379</v>
      </c>
      <c r="G790" s="134">
        <v>3.49</v>
      </c>
      <c r="H790" s="135">
        <v>13.45</v>
      </c>
      <c r="I790" s="136">
        <f t="shared" si="12"/>
        <v>46.9405</v>
      </c>
      <c r="J790" s="137">
        <v>1</v>
      </c>
    </row>
    <row r="791" spans="2:10" ht="15" customHeight="1" x14ac:dyDescent="0.3">
      <c r="B791" s="132" t="s">
        <v>1377</v>
      </c>
      <c r="C791" s="132" t="s">
        <v>402</v>
      </c>
      <c r="D791" s="132" t="s">
        <v>1378</v>
      </c>
      <c r="E791" s="132" t="s">
        <v>320</v>
      </c>
      <c r="F791" s="133" t="s">
        <v>1380</v>
      </c>
      <c r="G791" s="134">
        <v>4.46</v>
      </c>
      <c r="H791" s="135">
        <v>13.45</v>
      </c>
      <c r="I791" s="136">
        <f t="shared" si="12"/>
        <v>59.986999999999995</v>
      </c>
      <c r="J791" s="137">
        <v>1</v>
      </c>
    </row>
    <row r="792" spans="2:10" ht="15" customHeight="1" x14ac:dyDescent="0.3">
      <c r="B792" s="132" t="s">
        <v>1377</v>
      </c>
      <c r="C792" s="132" t="s">
        <v>402</v>
      </c>
      <c r="D792" s="132" t="s">
        <v>1378</v>
      </c>
      <c r="E792" s="132" t="s">
        <v>320</v>
      </c>
      <c r="F792" s="133" t="s">
        <v>1381</v>
      </c>
      <c r="G792" s="134">
        <v>9.5</v>
      </c>
      <c r="H792" s="135">
        <v>13.45</v>
      </c>
      <c r="I792" s="136">
        <f t="shared" si="12"/>
        <v>127.77499999999999</v>
      </c>
      <c r="J792" s="137">
        <v>1</v>
      </c>
    </row>
    <row r="793" spans="2:10" ht="15" customHeight="1" x14ac:dyDescent="0.3">
      <c r="B793" s="132" t="s">
        <v>1377</v>
      </c>
      <c r="C793" s="132" t="s">
        <v>402</v>
      </c>
      <c r="D793" s="132" t="s">
        <v>1378</v>
      </c>
      <c r="E793" s="132" t="s">
        <v>320</v>
      </c>
      <c r="F793" s="133" t="s">
        <v>1382</v>
      </c>
      <c r="G793" s="134">
        <v>4.78</v>
      </c>
      <c r="H793" s="135">
        <v>13.45</v>
      </c>
      <c r="I793" s="136">
        <f t="shared" si="12"/>
        <v>64.290999999999997</v>
      </c>
      <c r="J793" s="137">
        <v>1</v>
      </c>
    </row>
    <row r="794" spans="2:10" ht="15" customHeight="1" x14ac:dyDescent="0.3">
      <c r="B794" s="132" t="s">
        <v>1377</v>
      </c>
      <c r="C794" s="132" t="s">
        <v>402</v>
      </c>
      <c r="D794" s="132" t="s">
        <v>1378</v>
      </c>
      <c r="E794" s="132" t="s">
        <v>320</v>
      </c>
      <c r="F794" s="133" t="s">
        <v>1383</v>
      </c>
      <c r="G794" s="134">
        <v>1.1000000000000001</v>
      </c>
      <c r="H794" s="135">
        <v>13.45</v>
      </c>
      <c r="I794" s="136">
        <f t="shared" si="12"/>
        <v>14.795</v>
      </c>
      <c r="J794" s="137">
        <v>1</v>
      </c>
    </row>
    <row r="795" spans="2:10" ht="15" customHeight="1" x14ac:dyDescent="0.3">
      <c r="B795" s="132" t="s">
        <v>1377</v>
      </c>
      <c r="C795" s="132" t="s">
        <v>402</v>
      </c>
      <c r="D795" s="132" t="s">
        <v>1378</v>
      </c>
      <c r="E795" s="132" t="s">
        <v>320</v>
      </c>
      <c r="F795" s="133" t="s">
        <v>1384</v>
      </c>
      <c r="G795" s="134">
        <v>1.1100000000000001</v>
      </c>
      <c r="H795" s="135">
        <v>13.45</v>
      </c>
      <c r="I795" s="136">
        <f t="shared" si="12"/>
        <v>14.929500000000001</v>
      </c>
      <c r="J795" s="137">
        <v>1</v>
      </c>
    </row>
    <row r="796" spans="2:10" ht="15" customHeight="1" x14ac:dyDescent="0.3">
      <c r="B796" s="132" t="s">
        <v>1377</v>
      </c>
      <c r="C796" s="132" t="s">
        <v>402</v>
      </c>
      <c r="D796" s="132" t="s">
        <v>1378</v>
      </c>
      <c r="E796" s="132" t="s">
        <v>320</v>
      </c>
      <c r="F796" s="133" t="s">
        <v>1385</v>
      </c>
      <c r="G796" s="134">
        <v>7.94</v>
      </c>
      <c r="H796" s="135">
        <v>13.45</v>
      </c>
      <c r="I796" s="136">
        <f t="shared" si="12"/>
        <v>106.79300000000001</v>
      </c>
      <c r="J796" s="137">
        <v>1</v>
      </c>
    </row>
    <row r="797" spans="2:10" ht="15" customHeight="1" x14ac:dyDescent="0.3">
      <c r="B797" s="132" t="s">
        <v>1377</v>
      </c>
      <c r="C797" s="132" t="s">
        <v>402</v>
      </c>
      <c r="D797" s="132" t="s">
        <v>1378</v>
      </c>
      <c r="E797" s="132" t="s">
        <v>320</v>
      </c>
      <c r="F797" s="133" t="s">
        <v>1386</v>
      </c>
      <c r="G797" s="134">
        <v>1.44</v>
      </c>
      <c r="H797" s="135">
        <v>13.45</v>
      </c>
      <c r="I797" s="136">
        <f t="shared" si="12"/>
        <v>19.367999999999999</v>
      </c>
      <c r="J797" s="137">
        <v>1</v>
      </c>
    </row>
    <row r="798" spans="2:10" ht="15" customHeight="1" x14ac:dyDescent="0.3">
      <c r="B798" s="132" t="s">
        <v>1377</v>
      </c>
      <c r="C798" s="132" t="s">
        <v>402</v>
      </c>
      <c r="D798" s="132" t="s">
        <v>1378</v>
      </c>
      <c r="E798" s="132" t="s">
        <v>320</v>
      </c>
      <c r="F798" s="133" t="s">
        <v>1387</v>
      </c>
      <c r="G798" s="134">
        <v>1.44</v>
      </c>
      <c r="H798" s="135">
        <v>13.45</v>
      </c>
      <c r="I798" s="136">
        <f t="shared" si="12"/>
        <v>19.367999999999999</v>
      </c>
      <c r="J798" s="137">
        <v>1</v>
      </c>
    </row>
    <row r="799" spans="2:10" ht="15" customHeight="1" x14ac:dyDescent="0.3">
      <c r="B799" s="132" t="s">
        <v>1388</v>
      </c>
      <c r="C799" s="132" t="s">
        <v>402</v>
      </c>
      <c r="D799" s="132" t="s">
        <v>1378</v>
      </c>
      <c r="E799" s="132" t="s">
        <v>320</v>
      </c>
      <c r="F799" s="133" t="s">
        <v>1389</v>
      </c>
      <c r="G799" s="134">
        <v>2.2200000000000002</v>
      </c>
      <c r="H799" s="135">
        <v>13.45</v>
      </c>
      <c r="I799" s="136">
        <f t="shared" si="12"/>
        <v>29.859000000000002</v>
      </c>
      <c r="J799" s="137">
        <v>1</v>
      </c>
    </row>
    <row r="800" spans="2:10" ht="15" customHeight="1" x14ac:dyDescent="0.3">
      <c r="B800" s="132" t="s">
        <v>1388</v>
      </c>
      <c r="C800" s="132" t="s">
        <v>402</v>
      </c>
      <c r="D800" s="132" t="s">
        <v>1378</v>
      </c>
      <c r="E800" s="132" t="s">
        <v>320</v>
      </c>
      <c r="F800" s="133" t="s">
        <v>1390</v>
      </c>
      <c r="G800" s="134">
        <v>1.9</v>
      </c>
      <c r="H800" s="135">
        <v>13.45</v>
      </c>
      <c r="I800" s="136">
        <f t="shared" si="12"/>
        <v>25.554999999999996</v>
      </c>
      <c r="J800" s="137">
        <v>1</v>
      </c>
    </row>
    <row r="801" spans="2:10" ht="15" customHeight="1" x14ac:dyDescent="0.3">
      <c r="B801" s="132" t="s">
        <v>1391</v>
      </c>
      <c r="C801" s="132" t="s">
        <v>402</v>
      </c>
      <c r="D801" s="132" t="s">
        <v>1378</v>
      </c>
      <c r="E801" s="132" t="s">
        <v>320</v>
      </c>
      <c r="F801" s="133" t="s">
        <v>1392</v>
      </c>
      <c r="G801" s="134">
        <v>2.87</v>
      </c>
      <c r="H801" s="135">
        <v>13.45</v>
      </c>
      <c r="I801" s="136">
        <f t="shared" si="12"/>
        <v>38.601500000000001</v>
      </c>
      <c r="J801" s="137">
        <v>1</v>
      </c>
    </row>
    <row r="802" spans="2:10" ht="15" customHeight="1" x14ac:dyDescent="0.3">
      <c r="B802" s="132" t="s">
        <v>1393</v>
      </c>
      <c r="C802" s="132" t="s">
        <v>402</v>
      </c>
      <c r="D802" s="132" t="s">
        <v>1378</v>
      </c>
      <c r="E802" s="132" t="s">
        <v>320</v>
      </c>
      <c r="F802" s="133" t="s">
        <v>1394</v>
      </c>
      <c r="G802" s="134">
        <v>3.18</v>
      </c>
      <c r="H802" s="135">
        <v>13.45</v>
      </c>
      <c r="I802" s="136">
        <f t="shared" si="12"/>
        <v>42.771000000000001</v>
      </c>
      <c r="J802" s="137">
        <v>1</v>
      </c>
    </row>
    <row r="803" spans="2:10" ht="15" customHeight="1" x14ac:dyDescent="0.3">
      <c r="B803" s="132" t="s">
        <v>1393</v>
      </c>
      <c r="C803" s="132" t="s">
        <v>402</v>
      </c>
      <c r="D803" s="132" t="s">
        <v>1378</v>
      </c>
      <c r="E803" s="132" t="s">
        <v>320</v>
      </c>
      <c r="F803" s="133" t="s">
        <v>1395</v>
      </c>
      <c r="G803" s="134">
        <v>3.18</v>
      </c>
      <c r="H803" s="135">
        <v>13.45</v>
      </c>
      <c r="I803" s="136">
        <f t="shared" si="12"/>
        <v>42.771000000000001</v>
      </c>
      <c r="J803" s="137">
        <v>1</v>
      </c>
    </row>
    <row r="804" spans="2:10" ht="15" customHeight="1" x14ac:dyDescent="0.3">
      <c r="B804" s="132" t="s">
        <v>1393</v>
      </c>
      <c r="C804" s="132" t="s">
        <v>402</v>
      </c>
      <c r="D804" s="132" t="s">
        <v>1378</v>
      </c>
      <c r="E804" s="132" t="s">
        <v>320</v>
      </c>
      <c r="F804" s="133" t="s">
        <v>1396</v>
      </c>
      <c r="G804" s="134">
        <v>8</v>
      </c>
      <c r="H804" s="135">
        <v>13.45</v>
      </c>
      <c r="I804" s="136">
        <f t="shared" si="12"/>
        <v>107.6</v>
      </c>
      <c r="J804" s="137">
        <v>1</v>
      </c>
    </row>
    <row r="805" spans="2:10" ht="15" customHeight="1" x14ac:dyDescent="0.3">
      <c r="B805" s="132" t="s">
        <v>1393</v>
      </c>
      <c r="C805" s="132" t="s">
        <v>402</v>
      </c>
      <c r="D805" s="132" t="s">
        <v>1378</v>
      </c>
      <c r="E805" s="132" t="s">
        <v>320</v>
      </c>
      <c r="F805" s="133" t="s">
        <v>1397</v>
      </c>
      <c r="G805" s="134">
        <v>7.99</v>
      </c>
      <c r="H805" s="135">
        <v>13.45</v>
      </c>
      <c r="I805" s="136">
        <f t="shared" si="12"/>
        <v>107.46549999999999</v>
      </c>
      <c r="J805" s="137">
        <v>1</v>
      </c>
    </row>
    <row r="806" spans="2:10" ht="15" customHeight="1" x14ac:dyDescent="0.3">
      <c r="B806" s="132" t="s">
        <v>1398</v>
      </c>
      <c r="C806" s="132" t="s">
        <v>402</v>
      </c>
      <c r="D806" s="132" t="s">
        <v>1378</v>
      </c>
      <c r="E806" s="132" t="s">
        <v>320</v>
      </c>
      <c r="F806" s="133" t="s">
        <v>1399</v>
      </c>
      <c r="G806" s="134">
        <v>1.91</v>
      </c>
      <c r="H806" s="135">
        <v>13.45</v>
      </c>
      <c r="I806" s="136">
        <f t="shared" si="12"/>
        <v>25.689499999999999</v>
      </c>
      <c r="J806" s="137">
        <v>1</v>
      </c>
    </row>
    <row r="807" spans="2:10" ht="15" customHeight="1" x14ac:dyDescent="0.3">
      <c r="B807" s="132" t="s">
        <v>1398</v>
      </c>
      <c r="C807" s="132" t="s">
        <v>402</v>
      </c>
      <c r="D807" s="132" t="s">
        <v>1378</v>
      </c>
      <c r="E807" s="132" t="s">
        <v>320</v>
      </c>
      <c r="F807" s="133" t="s">
        <v>1400</v>
      </c>
      <c r="G807" s="134">
        <v>1.9</v>
      </c>
      <c r="H807" s="135">
        <v>13.45</v>
      </c>
      <c r="I807" s="136">
        <f t="shared" si="12"/>
        <v>25.554999999999996</v>
      </c>
      <c r="J807" s="137">
        <v>1</v>
      </c>
    </row>
    <row r="808" spans="2:10" ht="15" customHeight="1" x14ac:dyDescent="0.3">
      <c r="B808" s="132" t="s">
        <v>1398</v>
      </c>
      <c r="C808" s="132" t="s">
        <v>402</v>
      </c>
      <c r="D808" s="132" t="s">
        <v>1378</v>
      </c>
      <c r="E808" s="132" t="s">
        <v>320</v>
      </c>
      <c r="F808" s="133" t="s">
        <v>1401</v>
      </c>
      <c r="G808" s="134">
        <v>1.59</v>
      </c>
      <c r="H808" s="135">
        <v>13.45</v>
      </c>
      <c r="I808" s="136">
        <f t="shared" si="12"/>
        <v>21.3855</v>
      </c>
      <c r="J808" s="137">
        <v>1</v>
      </c>
    </row>
    <row r="809" spans="2:10" ht="15" customHeight="1" x14ac:dyDescent="0.3">
      <c r="B809" s="132" t="s">
        <v>1398</v>
      </c>
      <c r="C809" s="132" t="s">
        <v>402</v>
      </c>
      <c r="D809" s="132" t="s">
        <v>1378</v>
      </c>
      <c r="E809" s="132" t="s">
        <v>320</v>
      </c>
      <c r="F809" s="133" t="s">
        <v>1402</v>
      </c>
      <c r="G809" s="134">
        <v>1.59</v>
      </c>
      <c r="H809" s="135">
        <v>13.45</v>
      </c>
      <c r="I809" s="136">
        <f t="shared" si="12"/>
        <v>21.3855</v>
      </c>
      <c r="J809" s="137">
        <v>1</v>
      </c>
    </row>
    <row r="810" spans="2:10" ht="15" customHeight="1" x14ac:dyDescent="0.3">
      <c r="B810" s="132" t="s">
        <v>1403</v>
      </c>
      <c r="C810" s="132" t="s">
        <v>402</v>
      </c>
      <c r="D810" s="132" t="s">
        <v>1378</v>
      </c>
      <c r="E810" s="132" t="s">
        <v>320</v>
      </c>
      <c r="F810" s="133" t="s">
        <v>1404</v>
      </c>
      <c r="G810" s="134">
        <v>2.38</v>
      </c>
      <c r="H810" s="135">
        <v>13.45</v>
      </c>
      <c r="I810" s="136">
        <f t="shared" si="12"/>
        <v>32.010999999999996</v>
      </c>
      <c r="J810" s="137">
        <v>1</v>
      </c>
    </row>
    <row r="811" spans="2:10" ht="15" customHeight="1" x14ac:dyDescent="0.3">
      <c r="B811" s="132" t="s">
        <v>1403</v>
      </c>
      <c r="C811" s="132" t="s">
        <v>402</v>
      </c>
      <c r="D811" s="132" t="s">
        <v>1378</v>
      </c>
      <c r="E811" s="132" t="s">
        <v>320</v>
      </c>
      <c r="F811" s="133" t="s">
        <v>1405</v>
      </c>
      <c r="G811" s="134">
        <v>2.54</v>
      </c>
      <c r="H811" s="135">
        <v>13.45</v>
      </c>
      <c r="I811" s="136">
        <f t="shared" si="12"/>
        <v>34.162999999999997</v>
      </c>
      <c r="J811" s="137">
        <v>1</v>
      </c>
    </row>
    <row r="812" spans="2:10" ht="15" customHeight="1" x14ac:dyDescent="0.3">
      <c r="B812" s="132" t="s">
        <v>1086</v>
      </c>
      <c r="C812" s="132" t="s">
        <v>402</v>
      </c>
      <c r="D812" s="132" t="s">
        <v>1378</v>
      </c>
      <c r="E812" s="132" t="s">
        <v>320</v>
      </c>
      <c r="F812" s="133" t="s">
        <v>1087</v>
      </c>
      <c r="G812" s="134">
        <v>2.86</v>
      </c>
      <c r="H812" s="135">
        <v>13.45</v>
      </c>
      <c r="I812" s="136">
        <f t="shared" si="12"/>
        <v>38.466999999999999</v>
      </c>
      <c r="J812" s="137">
        <v>1</v>
      </c>
    </row>
    <row r="813" spans="2:10" ht="15" customHeight="1" x14ac:dyDescent="0.3">
      <c r="B813" s="132" t="s">
        <v>1104</v>
      </c>
      <c r="C813" s="132" t="s">
        <v>402</v>
      </c>
      <c r="D813" s="132" t="s">
        <v>1378</v>
      </c>
      <c r="E813" s="132" t="s">
        <v>320</v>
      </c>
      <c r="F813" s="133" t="s">
        <v>1406</v>
      </c>
      <c r="G813" s="134">
        <v>5.38</v>
      </c>
      <c r="H813" s="135">
        <v>13.45</v>
      </c>
      <c r="I813" s="136">
        <f t="shared" si="12"/>
        <v>72.36099999999999</v>
      </c>
      <c r="J813" s="137">
        <v>1</v>
      </c>
    </row>
    <row r="814" spans="2:10" ht="15" customHeight="1" x14ac:dyDescent="0.3">
      <c r="B814" s="132" t="s">
        <v>1104</v>
      </c>
      <c r="C814" s="132" t="s">
        <v>402</v>
      </c>
      <c r="D814" s="132" t="s">
        <v>1378</v>
      </c>
      <c r="E814" s="132" t="s">
        <v>320</v>
      </c>
      <c r="F814" s="133" t="s">
        <v>1407</v>
      </c>
      <c r="G814" s="134">
        <v>4.82</v>
      </c>
      <c r="H814" s="135">
        <v>13.45</v>
      </c>
      <c r="I814" s="136">
        <f t="shared" si="12"/>
        <v>64.828999999999994</v>
      </c>
      <c r="J814" s="137">
        <v>1</v>
      </c>
    </row>
    <row r="815" spans="2:10" ht="15" customHeight="1" x14ac:dyDescent="0.3">
      <c r="B815" s="132" t="s">
        <v>1104</v>
      </c>
      <c r="C815" s="132" t="s">
        <v>402</v>
      </c>
      <c r="D815" s="132" t="s">
        <v>1378</v>
      </c>
      <c r="E815" s="132" t="s">
        <v>320</v>
      </c>
      <c r="F815" s="133" t="s">
        <v>1408</v>
      </c>
      <c r="G815" s="134">
        <v>9.73</v>
      </c>
      <c r="H815" s="135">
        <v>13.45</v>
      </c>
      <c r="I815" s="136">
        <f t="shared" si="12"/>
        <v>130.86850000000001</v>
      </c>
      <c r="J815" s="137">
        <v>1</v>
      </c>
    </row>
    <row r="816" spans="2:10" ht="15" customHeight="1" x14ac:dyDescent="0.3">
      <c r="B816" s="132" t="s">
        <v>1104</v>
      </c>
      <c r="C816" s="132" t="s">
        <v>402</v>
      </c>
      <c r="D816" s="132" t="s">
        <v>1378</v>
      </c>
      <c r="E816" s="132" t="s">
        <v>320</v>
      </c>
      <c r="F816" s="133" t="s">
        <v>1409</v>
      </c>
      <c r="G816" s="134">
        <v>1</v>
      </c>
      <c r="H816" s="135">
        <v>13.45</v>
      </c>
      <c r="I816" s="136">
        <f t="shared" si="12"/>
        <v>13.45</v>
      </c>
      <c r="J816" s="137">
        <v>1</v>
      </c>
    </row>
    <row r="817" spans="2:10" ht="15" customHeight="1" x14ac:dyDescent="0.3">
      <c r="B817" s="132" t="s">
        <v>1104</v>
      </c>
      <c r="C817" s="132" t="s">
        <v>402</v>
      </c>
      <c r="D817" s="132" t="s">
        <v>1378</v>
      </c>
      <c r="E817" s="132" t="s">
        <v>320</v>
      </c>
      <c r="F817" s="133" t="s">
        <v>1410</v>
      </c>
      <c r="G817" s="134">
        <v>1.47</v>
      </c>
      <c r="H817" s="135">
        <v>13.45</v>
      </c>
      <c r="I817" s="136">
        <f t="shared" si="12"/>
        <v>19.7715</v>
      </c>
      <c r="J817" s="137">
        <v>1</v>
      </c>
    </row>
    <row r="818" spans="2:10" ht="15" customHeight="1" x14ac:dyDescent="0.3">
      <c r="B818" s="132" t="s">
        <v>1411</v>
      </c>
      <c r="C818" s="132" t="s">
        <v>402</v>
      </c>
      <c r="D818" s="132" t="s">
        <v>1378</v>
      </c>
      <c r="E818" s="132" t="s">
        <v>320</v>
      </c>
      <c r="F818" s="133" t="s">
        <v>1412</v>
      </c>
      <c r="G818" s="134">
        <v>2.23</v>
      </c>
      <c r="H818" s="135">
        <v>13.45</v>
      </c>
      <c r="I818" s="136">
        <f t="shared" si="12"/>
        <v>29.993499999999997</v>
      </c>
      <c r="J818" s="137">
        <v>1</v>
      </c>
    </row>
    <row r="819" spans="2:10" ht="15" customHeight="1" x14ac:dyDescent="0.3">
      <c r="B819" s="132" t="s">
        <v>1411</v>
      </c>
      <c r="C819" s="132" t="s">
        <v>402</v>
      </c>
      <c r="D819" s="132" t="s">
        <v>1378</v>
      </c>
      <c r="E819" s="132" t="s">
        <v>320</v>
      </c>
      <c r="F819" s="133" t="s">
        <v>1413</v>
      </c>
      <c r="G819" s="134">
        <v>2.23</v>
      </c>
      <c r="H819" s="135">
        <v>13.45</v>
      </c>
      <c r="I819" s="136">
        <f t="shared" si="12"/>
        <v>29.993499999999997</v>
      </c>
      <c r="J819" s="137">
        <v>1</v>
      </c>
    </row>
    <row r="820" spans="2:10" ht="15" customHeight="1" x14ac:dyDescent="0.3">
      <c r="B820" s="132" t="s">
        <v>1411</v>
      </c>
      <c r="C820" s="132" t="s">
        <v>402</v>
      </c>
      <c r="D820" s="132" t="s">
        <v>1378</v>
      </c>
      <c r="E820" s="132" t="s">
        <v>320</v>
      </c>
      <c r="F820" s="133" t="s">
        <v>1414</v>
      </c>
      <c r="G820" s="134">
        <v>1.27</v>
      </c>
      <c r="H820" s="135">
        <v>13.45</v>
      </c>
      <c r="I820" s="136">
        <f t="shared" si="12"/>
        <v>17.081499999999998</v>
      </c>
      <c r="J820" s="137">
        <v>1</v>
      </c>
    </row>
    <row r="821" spans="2:10" ht="15" customHeight="1" x14ac:dyDescent="0.3">
      <c r="B821" s="132" t="s">
        <v>1411</v>
      </c>
      <c r="C821" s="132" t="s">
        <v>402</v>
      </c>
      <c r="D821" s="132" t="s">
        <v>1378</v>
      </c>
      <c r="E821" s="132" t="s">
        <v>320</v>
      </c>
      <c r="F821" s="133" t="s">
        <v>1415</v>
      </c>
      <c r="G821" s="134">
        <v>1.27</v>
      </c>
      <c r="H821" s="135">
        <v>13.45</v>
      </c>
      <c r="I821" s="136">
        <f t="shared" si="12"/>
        <v>17.081499999999998</v>
      </c>
      <c r="J821" s="137">
        <v>1</v>
      </c>
    </row>
    <row r="822" spans="2:10" ht="15" customHeight="1" x14ac:dyDescent="0.3">
      <c r="B822" s="132" t="s">
        <v>1416</v>
      </c>
      <c r="C822" s="132" t="s">
        <v>402</v>
      </c>
      <c r="D822" s="132" t="s">
        <v>1378</v>
      </c>
      <c r="E822" s="132" t="s">
        <v>320</v>
      </c>
      <c r="F822" s="133" t="s">
        <v>1417</v>
      </c>
      <c r="G822" s="134">
        <v>3.17</v>
      </c>
      <c r="H822" s="135">
        <v>13.45</v>
      </c>
      <c r="I822" s="136">
        <f t="shared" si="12"/>
        <v>42.636499999999998</v>
      </c>
      <c r="J822" s="137">
        <v>1</v>
      </c>
    </row>
    <row r="823" spans="2:10" ht="15" customHeight="1" x14ac:dyDescent="0.3">
      <c r="B823" s="132" t="s">
        <v>1416</v>
      </c>
      <c r="C823" s="132" t="s">
        <v>402</v>
      </c>
      <c r="D823" s="132" t="s">
        <v>1378</v>
      </c>
      <c r="E823" s="132" t="s">
        <v>320</v>
      </c>
      <c r="F823" s="133" t="s">
        <v>1418</v>
      </c>
      <c r="G823" s="134">
        <v>3.17</v>
      </c>
      <c r="H823" s="135">
        <v>13.45</v>
      </c>
      <c r="I823" s="136">
        <f t="shared" si="12"/>
        <v>42.636499999999998</v>
      </c>
      <c r="J823" s="137">
        <v>1</v>
      </c>
    </row>
    <row r="824" spans="2:10" ht="15" customHeight="1" x14ac:dyDescent="0.3">
      <c r="B824" s="132" t="s">
        <v>1416</v>
      </c>
      <c r="C824" s="132" t="s">
        <v>402</v>
      </c>
      <c r="D824" s="132" t="s">
        <v>1378</v>
      </c>
      <c r="E824" s="132" t="s">
        <v>320</v>
      </c>
      <c r="F824" s="133" t="s">
        <v>1419</v>
      </c>
      <c r="G824" s="134">
        <v>2.38</v>
      </c>
      <c r="H824" s="135">
        <v>13.45</v>
      </c>
      <c r="I824" s="136">
        <f t="shared" si="12"/>
        <v>32.010999999999996</v>
      </c>
      <c r="J824" s="137">
        <v>1</v>
      </c>
    </row>
    <row r="825" spans="2:10" ht="15" customHeight="1" x14ac:dyDescent="0.3">
      <c r="B825" s="132" t="s">
        <v>1416</v>
      </c>
      <c r="C825" s="132" t="s">
        <v>402</v>
      </c>
      <c r="D825" s="132" t="s">
        <v>1378</v>
      </c>
      <c r="E825" s="132" t="s">
        <v>320</v>
      </c>
      <c r="F825" s="133" t="s">
        <v>1420</v>
      </c>
      <c r="G825" s="134">
        <v>4.92</v>
      </c>
      <c r="H825" s="135">
        <v>13.45</v>
      </c>
      <c r="I825" s="136">
        <f t="shared" si="12"/>
        <v>66.173999999999992</v>
      </c>
      <c r="J825" s="137">
        <v>1</v>
      </c>
    </row>
    <row r="826" spans="2:10" ht="15" customHeight="1" x14ac:dyDescent="0.3">
      <c r="B826" s="132" t="s">
        <v>1421</v>
      </c>
      <c r="C826" s="132" t="s">
        <v>402</v>
      </c>
      <c r="D826" s="132" t="s">
        <v>1378</v>
      </c>
      <c r="E826" s="132" t="s">
        <v>320</v>
      </c>
      <c r="F826" s="133" t="s">
        <v>1422</v>
      </c>
      <c r="G826" s="134">
        <v>2.7</v>
      </c>
      <c r="H826" s="135">
        <v>13.45</v>
      </c>
      <c r="I826" s="136">
        <f t="shared" si="12"/>
        <v>36.314999999999998</v>
      </c>
      <c r="J826" s="137">
        <v>1</v>
      </c>
    </row>
    <row r="827" spans="2:10" ht="15" customHeight="1" x14ac:dyDescent="0.3">
      <c r="B827" s="132" t="s">
        <v>1421</v>
      </c>
      <c r="C827" s="132" t="s">
        <v>402</v>
      </c>
      <c r="D827" s="132" t="s">
        <v>1378</v>
      </c>
      <c r="E827" s="132" t="s">
        <v>320</v>
      </c>
      <c r="F827" s="133" t="s">
        <v>1423</v>
      </c>
      <c r="G827" s="134">
        <v>2.2200000000000002</v>
      </c>
      <c r="H827" s="135">
        <v>13.45</v>
      </c>
      <c r="I827" s="136">
        <f t="shared" si="12"/>
        <v>29.859000000000002</v>
      </c>
      <c r="J827" s="137">
        <v>1</v>
      </c>
    </row>
    <row r="828" spans="2:10" ht="15" customHeight="1" x14ac:dyDescent="0.3">
      <c r="B828" s="132" t="s">
        <v>1421</v>
      </c>
      <c r="C828" s="132" t="s">
        <v>402</v>
      </c>
      <c r="D828" s="132" t="s">
        <v>1378</v>
      </c>
      <c r="E828" s="132" t="s">
        <v>320</v>
      </c>
      <c r="F828" s="133" t="s">
        <v>1424</v>
      </c>
      <c r="G828" s="134">
        <v>2.2200000000000002</v>
      </c>
      <c r="H828" s="135">
        <v>13.45</v>
      </c>
      <c r="I828" s="136">
        <f t="shared" si="12"/>
        <v>29.859000000000002</v>
      </c>
      <c r="J828" s="137">
        <v>1</v>
      </c>
    </row>
    <row r="829" spans="2:10" ht="15" customHeight="1" x14ac:dyDescent="0.3">
      <c r="B829" s="132" t="s">
        <v>1425</v>
      </c>
      <c r="C829" s="132" t="s">
        <v>402</v>
      </c>
      <c r="D829" s="132" t="s">
        <v>1378</v>
      </c>
      <c r="E829" s="132" t="s">
        <v>320</v>
      </c>
      <c r="F829" s="133" t="s">
        <v>1426</v>
      </c>
      <c r="G829" s="134">
        <v>3.8</v>
      </c>
      <c r="H829" s="135">
        <v>13.45</v>
      </c>
      <c r="I829" s="136">
        <f t="shared" si="12"/>
        <v>51.109999999999992</v>
      </c>
      <c r="J829" s="137">
        <v>1</v>
      </c>
    </row>
    <row r="830" spans="2:10" ht="15" customHeight="1" x14ac:dyDescent="0.3">
      <c r="B830" s="132" t="s">
        <v>1425</v>
      </c>
      <c r="C830" s="132" t="s">
        <v>402</v>
      </c>
      <c r="D830" s="132" t="s">
        <v>1378</v>
      </c>
      <c r="E830" s="132" t="s">
        <v>320</v>
      </c>
      <c r="F830" s="133" t="s">
        <v>1427</v>
      </c>
      <c r="G830" s="134">
        <v>3.8</v>
      </c>
      <c r="H830" s="135">
        <v>13.45</v>
      </c>
      <c r="I830" s="136">
        <f t="shared" si="12"/>
        <v>51.109999999999992</v>
      </c>
      <c r="J830" s="137">
        <v>1</v>
      </c>
    </row>
    <row r="831" spans="2:10" ht="15" customHeight="1" x14ac:dyDescent="0.3">
      <c r="B831" s="132" t="s">
        <v>1425</v>
      </c>
      <c r="C831" s="132" t="s">
        <v>402</v>
      </c>
      <c r="D831" s="132" t="s">
        <v>1378</v>
      </c>
      <c r="E831" s="132" t="s">
        <v>320</v>
      </c>
      <c r="F831" s="133" t="s">
        <v>1428</v>
      </c>
      <c r="G831" s="134">
        <v>3.8</v>
      </c>
      <c r="H831" s="135">
        <v>13.45</v>
      </c>
      <c r="I831" s="136">
        <f t="shared" si="12"/>
        <v>51.109999999999992</v>
      </c>
      <c r="J831" s="137">
        <v>1</v>
      </c>
    </row>
    <row r="832" spans="2:10" ht="15" customHeight="1" x14ac:dyDescent="0.3">
      <c r="B832" s="132" t="s">
        <v>1429</v>
      </c>
      <c r="C832" s="132" t="s">
        <v>402</v>
      </c>
      <c r="D832" s="132" t="s">
        <v>1378</v>
      </c>
      <c r="E832" s="132" t="s">
        <v>320</v>
      </c>
      <c r="F832" s="133" t="s">
        <v>1430</v>
      </c>
      <c r="G832" s="134">
        <v>1.9</v>
      </c>
      <c r="H832" s="135">
        <v>13.45</v>
      </c>
      <c r="I832" s="136">
        <f t="shared" si="12"/>
        <v>25.554999999999996</v>
      </c>
      <c r="J832" s="137">
        <v>1</v>
      </c>
    </row>
    <row r="833" spans="2:10" ht="15" customHeight="1" x14ac:dyDescent="0.3">
      <c r="B833" s="132" t="s">
        <v>1429</v>
      </c>
      <c r="C833" s="132" t="s">
        <v>402</v>
      </c>
      <c r="D833" s="132" t="s">
        <v>1378</v>
      </c>
      <c r="E833" s="132" t="s">
        <v>320</v>
      </c>
      <c r="F833" s="133" t="s">
        <v>1431</v>
      </c>
      <c r="G833" s="134">
        <v>1.59</v>
      </c>
      <c r="H833" s="135">
        <v>13.45</v>
      </c>
      <c r="I833" s="136">
        <f t="shared" si="12"/>
        <v>21.3855</v>
      </c>
      <c r="J833" s="137">
        <v>1</v>
      </c>
    </row>
    <row r="834" spans="2:10" ht="15" customHeight="1" x14ac:dyDescent="0.3">
      <c r="B834" s="132" t="s">
        <v>1432</v>
      </c>
      <c r="C834" s="132" t="s">
        <v>402</v>
      </c>
      <c r="D834" s="132" t="s">
        <v>1378</v>
      </c>
      <c r="E834" s="132" t="s">
        <v>320</v>
      </c>
      <c r="F834" s="133" t="s">
        <v>1433</v>
      </c>
      <c r="G834" s="134">
        <v>6.64</v>
      </c>
      <c r="H834" s="135">
        <v>13.45</v>
      </c>
      <c r="I834" s="136">
        <f t="shared" si="12"/>
        <v>89.307999999999993</v>
      </c>
      <c r="J834" s="137">
        <v>1</v>
      </c>
    </row>
    <row r="835" spans="2:10" ht="15" customHeight="1" x14ac:dyDescent="0.3">
      <c r="B835" s="132" t="s">
        <v>1432</v>
      </c>
      <c r="C835" s="132" t="s">
        <v>402</v>
      </c>
      <c r="D835" s="132" t="s">
        <v>1378</v>
      </c>
      <c r="E835" s="132" t="s">
        <v>320</v>
      </c>
      <c r="F835" s="133" t="s">
        <v>1434</v>
      </c>
      <c r="G835" s="134">
        <v>1.08</v>
      </c>
      <c r="H835" s="135">
        <v>13.45</v>
      </c>
      <c r="I835" s="136">
        <f t="shared" si="12"/>
        <v>14.526</v>
      </c>
      <c r="J835" s="137">
        <v>1</v>
      </c>
    </row>
    <row r="836" spans="2:10" ht="15" customHeight="1" x14ac:dyDescent="0.3">
      <c r="B836" s="132" t="s">
        <v>1435</v>
      </c>
      <c r="C836" s="132" t="s">
        <v>402</v>
      </c>
      <c r="D836" s="132" t="s">
        <v>1378</v>
      </c>
      <c r="E836" s="132" t="s">
        <v>320</v>
      </c>
      <c r="F836" s="133" t="s">
        <v>1436</v>
      </c>
      <c r="G836" s="134">
        <v>2.54</v>
      </c>
      <c r="H836" s="135">
        <v>13.45</v>
      </c>
      <c r="I836" s="136">
        <f t="shared" si="12"/>
        <v>34.162999999999997</v>
      </c>
      <c r="J836" s="137">
        <v>1</v>
      </c>
    </row>
    <row r="837" spans="2:10" ht="15" customHeight="1" x14ac:dyDescent="0.3">
      <c r="B837" s="132" t="s">
        <v>1435</v>
      </c>
      <c r="C837" s="132" t="s">
        <v>402</v>
      </c>
      <c r="D837" s="132" t="s">
        <v>1378</v>
      </c>
      <c r="E837" s="132" t="s">
        <v>320</v>
      </c>
      <c r="F837" s="133" t="s">
        <v>1437</v>
      </c>
      <c r="G837" s="134">
        <v>2.54</v>
      </c>
      <c r="H837" s="135">
        <v>13.45</v>
      </c>
      <c r="I837" s="136">
        <f t="shared" si="12"/>
        <v>34.162999999999997</v>
      </c>
      <c r="J837" s="137">
        <v>1</v>
      </c>
    </row>
    <row r="838" spans="2:10" ht="15" customHeight="1" x14ac:dyDescent="0.3">
      <c r="B838" s="132" t="s">
        <v>1438</v>
      </c>
      <c r="C838" s="132" t="s">
        <v>402</v>
      </c>
      <c r="D838" s="132" t="s">
        <v>1378</v>
      </c>
      <c r="E838" s="132" t="s">
        <v>320</v>
      </c>
      <c r="F838" s="133" t="s">
        <v>1439</v>
      </c>
      <c r="G838" s="134">
        <v>1.59</v>
      </c>
      <c r="H838" s="135">
        <v>13.45</v>
      </c>
      <c r="I838" s="136">
        <f t="shared" si="12"/>
        <v>21.3855</v>
      </c>
      <c r="J838" s="137">
        <v>1</v>
      </c>
    </row>
    <row r="839" spans="2:10" ht="15" customHeight="1" x14ac:dyDescent="0.3">
      <c r="B839" s="132" t="s">
        <v>1438</v>
      </c>
      <c r="C839" s="132" t="s">
        <v>402</v>
      </c>
      <c r="D839" s="132" t="s">
        <v>1378</v>
      </c>
      <c r="E839" s="132" t="s">
        <v>320</v>
      </c>
      <c r="F839" s="133" t="s">
        <v>1440</v>
      </c>
      <c r="G839" s="134">
        <v>1.59</v>
      </c>
      <c r="H839" s="135">
        <v>13.45</v>
      </c>
      <c r="I839" s="136">
        <f t="shared" si="12"/>
        <v>21.3855</v>
      </c>
      <c r="J839" s="137">
        <v>1</v>
      </c>
    </row>
    <row r="840" spans="2:10" ht="15" customHeight="1" x14ac:dyDescent="0.3">
      <c r="B840" s="132" t="s">
        <v>1441</v>
      </c>
      <c r="C840" s="132" t="s">
        <v>402</v>
      </c>
      <c r="D840" s="132" t="s">
        <v>1378</v>
      </c>
      <c r="E840" s="132" t="s">
        <v>320</v>
      </c>
      <c r="F840" s="133" t="s">
        <v>1442</v>
      </c>
      <c r="G840" s="134">
        <v>7.58</v>
      </c>
      <c r="H840" s="135">
        <v>13.45</v>
      </c>
      <c r="I840" s="136">
        <f t="shared" ref="I840:I903" si="13">G840*H840</f>
        <v>101.95099999999999</v>
      </c>
      <c r="J840" s="137">
        <v>1</v>
      </c>
    </row>
    <row r="841" spans="2:10" ht="15" customHeight="1" x14ac:dyDescent="0.3">
      <c r="B841" s="132" t="s">
        <v>1441</v>
      </c>
      <c r="C841" s="132" t="s">
        <v>402</v>
      </c>
      <c r="D841" s="132" t="s">
        <v>1378</v>
      </c>
      <c r="E841" s="132" t="s">
        <v>320</v>
      </c>
      <c r="F841" s="133" t="s">
        <v>1443</v>
      </c>
      <c r="G841" s="134">
        <v>8.1999999999999993</v>
      </c>
      <c r="H841" s="135">
        <v>13.45</v>
      </c>
      <c r="I841" s="136">
        <f t="shared" si="13"/>
        <v>110.28999999999998</v>
      </c>
      <c r="J841" s="137">
        <v>1</v>
      </c>
    </row>
    <row r="842" spans="2:10" ht="15" customHeight="1" x14ac:dyDescent="0.3">
      <c r="B842" s="132" t="s">
        <v>1441</v>
      </c>
      <c r="C842" s="132" t="s">
        <v>402</v>
      </c>
      <c r="D842" s="132" t="s">
        <v>1378</v>
      </c>
      <c r="E842" s="132" t="s">
        <v>320</v>
      </c>
      <c r="F842" s="133" t="s">
        <v>1444</v>
      </c>
      <c r="G842" s="134">
        <v>7.56</v>
      </c>
      <c r="H842" s="135">
        <v>13.45</v>
      </c>
      <c r="I842" s="136">
        <f t="shared" si="13"/>
        <v>101.68199999999999</v>
      </c>
      <c r="J842" s="137">
        <v>1</v>
      </c>
    </row>
    <row r="843" spans="2:10" ht="15" customHeight="1" x14ac:dyDescent="0.3">
      <c r="B843" s="132" t="s">
        <v>1445</v>
      </c>
      <c r="C843" s="132" t="s">
        <v>402</v>
      </c>
      <c r="D843" s="132" t="s">
        <v>1378</v>
      </c>
      <c r="E843" s="132" t="s">
        <v>320</v>
      </c>
      <c r="F843" s="133" t="s">
        <v>1446</v>
      </c>
      <c r="G843" s="134">
        <v>6.66</v>
      </c>
      <c r="H843" s="135">
        <v>13.45</v>
      </c>
      <c r="I843" s="136">
        <f t="shared" si="13"/>
        <v>89.576999999999998</v>
      </c>
      <c r="J843" s="137">
        <v>1</v>
      </c>
    </row>
    <row r="844" spans="2:10" ht="15" customHeight="1" x14ac:dyDescent="0.3">
      <c r="B844" s="132" t="s">
        <v>1447</v>
      </c>
      <c r="C844" s="132" t="s">
        <v>402</v>
      </c>
      <c r="D844" s="132" t="s">
        <v>1378</v>
      </c>
      <c r="E844" s="132" t="s">
        <v>320</v>
      </c>
      <c r="F844" s="133" t="s">
        <v>1448</v>
      </c>
      <c r="G844" s="134">
        <v>6.4</v>
      </c>
      <c r="H844" s="135">
        <v>13.45</v>
      </c>
      <c r="I844" s="136">
        <f t="shared" si="13"/>
        <v>86.08</v>
      </c>
      <c r="J844" s="137">
        <v>1</v>
      </c>
    </row>
    <row r="845" spans="2:10" ht="15" customHeight="1" x14ac:dyDescent="0.3">
      <c r="B845" s="132" t="s">
        <v>1449</v>
      </c>
      <c r="C845" s="132" t="s">
        <v>402</v>
      </c>
      <c r="D845" s="132" t="s">
        <v>1378</v>
      </c>
      <c r="E845" s="132" t="s">
        <v>320</v>
      </c>
      <c r="F845" s="133" t="s">
        <v>1450</v>
      </c>
      <c r="G845" s="134">
        <v>3.17</v>
      </c>
      <c r="H845" s="135">
        <v>13.45</v>
      </c>
      <c r="I845" s="136">
        <f t="shared" si="13"/>
        <v>42.636499999999998</v>
      </c>
      <c r="J845" s="137">
        <v>1</v>
      </c>
    </row>
    <row r="846" spans="2:10" ht="15" customHeight="1" x14ac:dyDescent="0.3">
      <c r="B846" s="132" t="s">
        <v>1449</v>
      </c>
      <c r="C846" s="132" t="s">
        <v>402</v>
      </c>
      <c r="D846" s="132" t="s">
        <v>1378</v>
      </c>
      <c r="E846" s="132" t="s">
        <v>320</v>
      </c>
      <c r="F846" s="133" t="s">
        <v>1451</v>
      </c>
      <c r="G846" s="134">
        <v>3.17</v>
      </c>
      <c r="H846" s="135">
        <v>13.45</v>
      </c>
      <c r="I846" s="136">
        <f t="shared" si="13"/>
        <v>42.636499999999998</v>
      </c>
      <c r="J846" s="137">
        <v>1</v>
      </c>
    </row>
    <row r="847" spans="2:10" ht="15" customHeight="1" x14ac:dyDescent="0.3">
      <c r="B847" s="132" t="s">
        <v>809</v>
      </c>
      <c r="C847" s="132" t="s">
        <v>402</v>
      </c>
      <c r="D847" s="132" t="s">
        <v>1378</v>
      </c>
      <c r="E847" s="132" t="s">
        <v>320</v>
      </c>
      <c r="F847" s="133" t="s">
        <v>1452</v>
      </c>
      <c r="G847" s="134">
        <v>5.09</v>
      </c>
      <c r="H847" s="135">
        <v>13.45</v>
      </c>
      <c r="I847" s="136">
        <f t="shared" si="13"/>
        <v>68.460499999999996</v>
      </c>
      <c r="J847" s="137">
        <v>1</v>
      </c>
    </row>
    <row r="848" spans="2:10" ht="15" customHeight="1" x14ac:dyDescent="0.3">
      <c r="B848" s="132" t="s">
        <v>809</v>
      </c>
      <c r="C848" s="132" t="s">
        <v>402</v>
      </c>
      <c r="D848" s="132" t="s">
        <v>1378</v>
      </c>
      <c r="E848" s="132" t="s">
        <v>320</v>
      </c>
      <c r="F848" s="133" t="s">
        <v>1453</v>
      </c>
      <c r="G848" s="134">
        <v>5.09</v>
      </c>
      <c r="H848" s="135">
        <v>13.45</v>
      </c>
      <c r="I848" s="136">
        <f t="shared" si="13"/>
        <v>68.460499999999996</v>
      </c>
      <c r="J848" s="137">
        <v>1</v>
      </c>
    </row>
    <row r="849" spans="2:10" ht="15" customHeight="1" x14ac:dyDescent="0.3">
      <c r="B849" s="132" t="s">
        <v>809</v>
      </c>
      <c r="C849" s="132" t="s">
        <v>402</v>
      </c>
      <c r="D849" s="132" t="s">
        <v>1378</v>
      </c>
      <c r="E849" s="132" t="s">
        <v>320</v>
      </c>
      <c r="F849" s="133" t="s">
        <v>1454</v>
      </c>
      <c r="G849" s="134">
        <v>3.02</v>
      </c>
      <c r="H849" s="135">
        <v>13.45</v>
      </c>
      <c r="I849" s="136">
        <f t="shared" si="13"/>
        <v>40.619</v>
      </c>
      <c r="J849" s="137">
        <v>1</v>
      </c>
    </row>
    <row r="850" spans="2:10" ht="15" customHeight="1" x14ac:dyDescent="0.3">
      <c r="B850" s="132" t="s">
        <v>809</v>
      </c>
      <c r="C850" s="132" t="s">
        <v>402</v>
      </c>
      <c r="D850" s="132" t="s">
        <v>1378</v>
      </c>
      <c r="E850" s="132" t="s">
        <v>320</v>
      </c>
      <c r="F850" s="133" t="s">
        <v>1455</v>
      </c>
      <c r="G850" s="134">
        <v>4.13</v>
      </c>
      <c r="H850" s="135">
        <v>13.45</v>
      </c>
      <c r="I850" s="136">
        <f t="shared" si="13"/>
        <v>55.548499999999997</v>
      </c>
      <c r="J850" s="137">
        <v>1</v>
      </c>
    </row>
    <row r="851" spans="2:10" ht="15" customHeight="1" x14ac:dyDescent="0.3">
      <c r="B851" s="132" t="s">
        <v>809</v>
      </c>
      <c r="C851" s="132" t="s">
        <v>402</v>
      </c>
      <c r="D851" s="132" t="s">
        <v>1378</v>
      </c>
      <c r="E851" s="132" t="s">
        <v>320</v>
      </c>
      <c r="F851" s="133" t="s">
        <v>1456</v>
      </c>
      <c r="G851" s="134">
        <v>4.1399999999999997</v>
      </c>
      <c r="H851" s="135">
        <v>13.45</v>
      </c>
      <c r="I851" s="136">
        <f t="shared" si="13"/>
        <v>55.682999999999993</v>
      </c>
      <c r="J851" s="137">
        <v>1</v>
      </c>
    </row>
    <row r="852" spans="2:10" ht="15" customHeight="1" x14ac:dyDescent="0.3">
      <c r="B852" s="132" t="s">
        <v>1457</v>
      </c>
      <c r="C852" s="132" t="s">
        <v>402</v>
      </c>
      <c r="D852" s="132" t="s">
        <v>1378</v>
      </c>
      <c r="E852" s="132" t="s">
        <v>320</v>
      </c>
      <c r="F852" s="133" t="s">
        <v>1458</v>
      </c>
      <c r="G852" s="134">
        <v>1.59</v>
      </c>
      <c r="H852" s="135">
        <v>13.45</v>
      </c>
      <c r="I852" s="136">
        <f t="shared" si="13"/>
        <v>21.3855</v>
      </c>
      <c r="J852" s="137">
        <v>1</v>
      </c>
    </row>
    <row r="853" spans="2:10" ht="15" customHeight="1" x14ac:dyDescent="0.3">
      <c r="B853" s="132" t="s">
        <v>1457</v>
      </c>
      <c r="C853" s="132" t="s">
        <v>402</v>
      </c>
      <c r="D853" s="132" t="s">
        <v>1378</v>
      </c>
      <c r="E853" s="132" t="s">
        <v>320</v>
      </c>
      <c r="F853" s="133" t="s">
        <v>1459</v>
      </c>
      <c r="G853" s="134">
        <v>1.59</v>
      </c>
      <c r="H853" s="135">
        <v>13.45</v>
      </c>
      <c r="I853" s="136">
        <f t="shared" si="13"/>
        <v>21.3855</v>
      </c>
      <c r="J853" s="137">
        <v>1</v>
      </c>
    </row>
    <row r="854" spans="2:10" ht="15" customHeight="1" x14ac:dyDescent="0.3">
      <c r="B854" s="132" t="s">
        <v>1460</v>
      </c>
      <c r="C854" s="132" t="s">
        <v>402</v>
      </c>
      <c r="D854" s="132" t="s">
        <v>1378</v>
      </c>
      <c r="E854" s="132" t="s">
        <v>320</v>
      </c>
      <c r="F854" s="133" t="s">
        <v>1461</v>
      </c>
      <c r="G854" s="134">
        <v>1.75</v>
      </c>
      <c r="H854" s="135">
        <v>13.45</v>
      </c>
      <c r="I854" s="136">
        <f t="shared" si="13"/>
        <v>23.537499999999998</v>
      </c>
      <c r="J854" s="137">
        <v>1</v>
      </c>
    </row>
    <row r="855" spans="2:10" ht="15" customHeight="1" x14ac:dyDescent="0.3">
      <c r="B855" s="132" t="s">
        <v>1460</v>
      </c>
      <c r="C855" s="132" t="s">
        <v>402</v>
      </c>
      <c r="D855" s="132" t="s">
        <v>1378</v>
      </c>
      <c r="E855" s="132" t="s">
        <v>320</v>
      </c>
      <c r="F855" s="133" t="s">
        <v>1462</v>
      </c>
      <c r="G855" s="134">
        <v>1.75</v>
      </c>
      <c r="H855" s="135">
        <v>13.45</v>
      </c>
      <c r="I855" s="136">
        <f t="shared" si="13"/>
        <v>23.537499999999998</v>
      </c>
      <c r="J855" s="137">
        <v>1</v>
      </c>
    </row>
    <row r="856" spans="2:10" ht="15" customHeight="1" x14ac:dyDescent="0.3">
      <c r="B856" s="132" t="s">
        <v>1460</v>
      </c>
      <c r="C856" s="132" t="s">
        <v>402</v>
      </c>
      <c r="D856" s="132" t="s">
        <v>1378</v>
      </c>
      <c r="E856" s="132" t="s">
        <v>320</v>
      </c>
      <c r="F856" s="133" t="s">
        <v>1463</v>
      </c>
      <c r="G856" s="134">
        <v>2.54</v>
      </c>
      <c r="H856" s="135">
        <v>13.45</v>
      </c>
      <c r="I856" s="136">
        <f t="shared" si="13"/>
        <v>34.162999999999997</v>
      </c>
      <c r="J856" s="137">
        <v>1</v>
      </c>
    </row>
    <row r="857" spans="2:10" ht="15" customHeight="1" x14ac:dyDescent="0.3">
      <c r="B857" s="132" t="s">
        <v>1460</v>
      </c>
      <c r="C857" s="132" t="s">
        <v>402</v>
      </c>
      <c r="D857" s="132" t="s">
        <v>1378</v>
      </c>
      <c r="E857" s="132" t="s">
        <v>320</v>
      </c>
      <c r="F857" s="133" t="s">
        <v>1464</v>
      </c>
      <c r="G857" s="134">
        <v>2.54</v>
      </c>
      <c r="H857" s="135">
        <v>13.45</v>
      </c>
      <c r="I857" s="136">
        <f t="shared" si="13"/>
        <v>34.162999999999997</v>
      </c>
      <c r="J857" s="137">
        <v>1</v>
      </c>
    </row>
    <row r="858" spans="2:10" ht="15" customHeight="1" x14ac:dyDescent="0.3">
      <c r="B858" s="132" t="s">
        <v>1465</v>
      </c>
      <c r="C858" s="132" t="s">
        <v>402</v>
      </c>
      <c r="D858" s="132" t="s">
        <v>1378</v>
      </c>
      <c r="E858" s="132" t="s">
        <v>320</v>
      </c>
      <c r="F858" s="133" t="s">
        <v>1466</v>
      </c>
      <c r="G858" s="134">
        <v>1.2</v>
      </c>
      <c r="H858" s="135">
        <v>13.45</v>
      </c>
      <c r="I858" s="136">
        <f t="shared" si="13"/>
        <v>16.139999999999997</v>
      </c>
      <c r="J858" s="137">
        <v>1</v>
      </c>
    </row>
    <row r="859" spans="2:10" ht="15" customHeight="1" x14ac:dyDescent="0.3">
      <c r="B859" s="132" t="s">
        <v>1465</v>
      </c>
      <c r="C859" s="132" t="s">
        <v>402</v>
      </c>
      <c r="D859" s="132" t="s">
        <v>1378</v>
      </c>
      <c r="E859" s="132" t="s">
        <v>320</v>
      </c>
      <c r="F859" s="133" t="s">
        <v>1467</v>
      </c>
      <c r="G859" s="134">
        <v>1.26</v>
      </c>
      <c r="H859" s="135">
        <v>13.45</v>
      </c>
      <c r="I859" s="136">
        <f t="shared" si="13"/>
        <v>16.946999999999999</v>
      </c>
      <c r="J859" s="137">
        <v>1</v>
      </c>
    </row>
    <row r="860" spans="2:10" ht="15" customHeight="1" x14ac:dyDescent="0.3">
      <c r="B860" s="132" t="s">
        <v>1465</v>
      </c>
      <c r="C860" s="132" t="s">
        <v>402</v>
      </c>
      <c r="D860" s="132" t="s">
        <v>1378</v>
      </c>
      <c r="E860" s="132" t="s">
        <v>320</v>
      </c>
      <c r="F860" s="133" t="s">
        <v>1468</v>
      </c>
      <c r="G860" s="134">
        <v>1.27</v>
      </c>
      <c r="H860" s="135">
        <v>13.45</v>
      </c>
      <c r="I860" s="136">
        <f t="shared" si="13"/>
        <v>17.081499999999998</v>
      </c>
      <c r="J860" s="137">
        <v>1</v>
      </c>
    </row>
    <row r="861" spans="2:10" ht="15" customHeight="1" x14ac:dyDescent="0.3">
      <c r="B861" s="132" t="s">
        <v>1469</v>
      </c>
      <c r="C861" s="132" t="s">
        <v>402</v>
      </c>
      <c r="D861" s="132" t="s">
        <v>1378</v>
      </c>
      <c r="E861" s="132" t="s">
        <v>320</v>
      </c>
      <c r="F861" s="133" t="s">
        <v>1470</v>
      </c>
      <c r="G861" s="134">
        <v>9.6300000000000008</v>
      </c>
      <c r="H861" s="135">
        <v>13.45</v>
      </c>
      <c r="I861" s="136">
        <f t="shared" si="13"/>
        <v>129.52350000000001</v>
      </c>
      <c r="J861" s="137">
        <v>1</v>
      </c>
    </row>
    <row r="862" spans="2:10" ht="15" customHeight="1" x14ac:dyDescent="0.3">
      <c r="B862" s="132" t="s">
        <v>1469</v>
      </c>
      <c r="C862" s="132" t="s">
        <v>402</v>
      </c>
      <c r="D862" s="132" t="s">
        <v>1378</v>
      </c>
      <c r="E862" s="132" t="s">
        <v>320</v>
      </c>
      <c r="F862" s="133" t="s">
        <v>1471</v>
      </c>
      <c r="G862" s="134">
        <v>2.54</v>
      </c>
      <c r="H862" s="135">
        <v>13.45</v>
      </c>
      <c r="I862" s="136">
        <f t="shared" si="13"/>
        <v>34.162999999999997</v>
      </c>
      <c r="J862" s="137">
        <v>1</v>
      </c>
    </row>
    <row r="863" spans="2:10" ht="15" customHeight="1" x14ac:dyDescent="0.3">
      <c r="B863" s="132" t="s">
        <v>1469</v>
      </c>
      <c r="C863" s="132" t="s">
        <v>402</v>
      </c>
      <c r="D863" s="132" t="s">
        <v>1378</v>
      </c>
      <c r="E863" s="132" t="s">
        <v>320</v>
      </c>
      <c r="F863" s="133" t="s">
        <v>1472</v>
      </c>
      <c r="G863" s="134">
        <v>4.45</v>
      </c>
      <c r="H863" s="135">
        <v>13.45</v>
      </c>
      <c r="I863" s="136">
        <f t="shared" si="13"/>
        <v>59.852499999999999</v>
      </c>
      <c r="J863" s="137">
        <v>1</v>
      </c>
    </row>
    <row r="864" spans="2:10" ht="15" customHeight="1" x14ac:dyDescent="0.3">
      <c r="B864" s="132" t="s">
        <v>1469</v>
      </c>
      <c r="C864" s="132" t="s">
        <v>402</v>
      </c>
      <c r="D864" s="132" t="s">
        <v>1378</v>
      </c>
      <c r="E864" s="132" t="s">
        <v>320</v>
      </c>
      <c r="F864" s="133" t="s">
        <v>1473</v>
      </c>
      <c r="G864" s="134">
        <v>4.4400000000000004</v>
      </c>
      <c r="H864" s="135">
        <v>13.45</v>
      </c>
      <c r="I864" s="136">
        <f t="shared" si="13"/>
        <v>59.718000000000004</v>
      </c>
      <c r="J864" s="137">
        <v>1</v>
      </c>
    </row>
    <row r="865" spans="2:10" ht="15" customHeight="1" x14ac:dyDescent="0.3">
      <c r="B865" s="132" t="s">
        <v>1474</v>
      </c>
      <c r="C865" s="132" t="s">
        <v>402</v>
      </c>
      <c r="D865" s="132" t="s">
        <v>1378</v>
      </c>
      <c r="E865" s="132" t="s">
        <v>320</v>
      </c>
      <c r="F865" s="133" t="s">
        <v>1475</v>
      </c>
      <c r="G865" s="134">
        <v>6.66</v>
      </c>
      <c r="H865" s="135">
        <v>13.45</v>
      </c>
      <c r="I865" s="136">
        <f t="shared" si="13"/>
        <v>89.576999999999998</v>
      </c>
      <c r="J865" s="137">
        <v>1</v>
      </c>
    </row>
    <row r="866" spans="2:10" ht="15" customHeight="1" x14ac:dyDescent="0.3">
      <c r="B866" s="132" t="s">
        <v>1474</v>
      </c>
      <c r="C866" s="132" t="s">
        <v>402</v>
      </c>
      <c r="D866" s="132" t="s">
        <v>1378</v>
      </c>
      <c r="E866" s="132" t="s">
        <v>320</v>
      </c>
      <c r="F866" s="133" t="s">
        <v>1476</v>
      </c>
      <c r="G866" s="134">
        <v>6.65</v>
      </c>
      <c r="H866" s="135">
        <v>13.45</v>
      </c>
      <c r="I866" s="136">
        <f t="shared" si="13"/>
        <v>89.442499999999995</v>
      </c>
      <c r="J866" s="137">
        <v>1</v>
      </c>
    </row>
    <row r="867" spans="2:10" ht="15" customHeight="1" x14ac:dyDescent="0.3">
      <c r="B867" s="132" t="s">
        <v>1474</v>
      </c>
      <c r="C867" s="132" t="s">
        <v>402</v>
      </c>
      <c r="D867" s="132" t="s">
        <v>1378</v>
      </c>
      <c r="E867" s="132" t="s">
        <v>320</v>
      </c>
      <c r="F867" s="133" t="s">
        <v>1477</v>
      </c>
      <c r="G867" s="134">
        <v>7.24</v>
      </c>
      <c r="H867" s="135">
        <v>13.45</v>
      </c>
      <c r="I867" s="136">
        <f t="shared" si="13"/>
        <v>97.378</v>
      </c>
      <c r="J867" s="137">
        <v>1</v>
      </c>
    </row>
    <row r="868" spans="2:10" ht="15" customHeight="1" x14ac:dyDescent="0.3">
      <c r="B868" s="132" t="s">
        <v>1474</v>
      </c>
      <c r="C868" s="132" t="s">
        <v>402</v>
      </c>
      <c r="D868" s="132" t="s">
        <v>1378</v>
      </c>
      <c r="E868" s="132" t="s">
        <v>320</v>
      </c>
      <c r="F868" s="133" t="s">
        <v>1478</v>
      </c>
      <c r="G868" s="134">
        <v>1.59</v>
      </c>
      <c r="H868" s="135">
        <v>13.45</v>
      </c>
      <c r="I868" s="136">
        <f t="shared" si="13"/>
        <v>21.3855</v>
      </c>
      <c r="J868" s="137">
        <v>1</v>
      </c>
    </row>
    <row r="869" spans="2:10" ht="15" customHeight="1" x14ac:dyDescent="0.3">
      <c r="B869" s="132" t="s">
        <v>1474</v>
      </c>
      <c r="C869" s="132" t="s">
        <v>402</v>
      </c>
      <c r="D869" s="132" t="s">
        <v>1378</v>
      </c>
      <c r="E869" s="132" t="s">
        <v>320</v>
      </c>
      <c r="F869" s="133" t="s">
        <v>1479</v>
      </c>
      <c r="G869" s="134">
        <v>1.59</v>
      </c>
      <c r="H869" s="135">
        <v>13.45</v>
      </c>
      <c r="I869" s="136">
        <f t="shared" si="13"/>
        <v>21.3855</v>
      </c>
      <c r="J869" s="137">
        <v>1</v>
      </c>
    </row>
    <row r="870" spans="2:10" ht="15" customHeight="1" x14ac:dyDescent="0.3">
      <c r="B870" s="132" t="s">
        <v>1480</v>
      </c>
      <c r="C870" s="132" t="s">
        <v>402</v>
      </c>
      <c r="D870" s="132" t="s">
        <v>1378</v>
      </c>
      <c r="E870" s="132" t="s">
        <v>320</v>
      </c>
      <c r="F870" s="133" t="s">
        <v>1481</v>
      </c>
      <c r="G870" s="134">
        <v>2.2200000000000002</v>
      </c>
      <c r="H870" s="135">
        <v>13.45</v>
      </c>
      <c r="I870" s="136">
        <f t="shared" si="13"/>
        <v>29.859000000000002</v>
      </c>
      <c r="J870" s="137">
        <v>1</v>
      </c>
    </row>
    <row r="871" spans="2:10" ht="15" customHeight="1" x14ac:dyDescent="0.3">
      <c r="B871" s="132" t="s">
        <v>1133</v>
      </c>
      <c r="C871" s="132" t="s">
        <v>402</v>
      </c>
      <c r="D871" s="132" t="s">
        <v>1378</v>
      </c>
      <c r="E871" s="132" t="s">
        <v>320</v>
      </c>
      <c r="F871" s="133" t="s">
        <v>1134</v>
      </c>
      <c r="G871" s="134">
        <v>5.39</v>
      </c>
      <c r="H871" s="135">
        <v>13.45</v>
      </c>
      <c r="I871" s="136">
        <f t="shared" si="13"/>
        <v>72.495499999999993</v>
      </c>
      <c r="J871" s="137">
        <v>1</v>
      </c>
    </row>
    <row r="872" spans="2:10" ht="15" customHeight="1" x14ac:dyDescent="0.3">
      <c r="B872" s="132" t="s">
        <v>1133</v>
      </c>
      <c r="C872" s="132" t="s">
        <v>402</v>
      </c>
      <c r="D872" s="132" t="s">
        <v>1378</v>
      </c>
      <c r="E872" s="132" t="s">
        <v>320</v>
      </c>
      <c r="F872" s="133" t="s">
        <v>1135</v>
      </c>
      <c r="G872" s="134">
        <v>3.49</v>
      </c>
      <c r="H872" s="135">
        <v>13.45</v>
      </c>
      <c r="I872" s="136">
        <f t="shared" si="13"/>
        <v>46.9405</v>
      </c>
      <c r="J872" s="137">
        <v>1</v>
      </c>
    </row>
    <row r="873" spans="2:10" ht="15" customHeight="1" x14ac:dyDescent="0.3">
      <c r="B873" s="132" t="s">
        <v>1133</v>
      </c>
      <c r="C873" s="132" t="s">
        <v>402</v>
      </c>
      <c r="D873" s="132" t="s">
        <v>1378</v>
      </c>
      <c r="E873" s="132" t="s">
        <v>320</v>
      </c>
      <c r="F873" s="133" t="s">
        <v>1482</v>
      </c>
      <c r="G873" s="134">
        <v>3.48</v>
      </c>
      <c r="H873" s="135">
        <v>13.45</v>
      </c>
      <c r="I873" s="136">
        <f t="shared" si="13"/>
        <v>46.805999999999997</v>
      </c>
      <c r="J873" s="137">
        <v>1</v>
      </c>
    </row>
    <row r="874" spans="2:10" ht="15" customHeight="1" x14ac:dyDescent="0.3">
      <c r="B874" s="132" t="s">
        <v>1133</v>
      </c>
      <c r="C874" s="132" t="s">
        <v>402</v>
      </c>
      <c r="D874" s="132" t="s">
        <v>1378</v>
      </c>
      <c r="E874" s="132" t="s">
        <v>320</v>
      </c>
      <c r="F874" s="133" t="s">
        <v>1483</v>
      </c>
      <c r="G874" s="134">
        <v>3.49</v>
      </c>
      <c r="H874" s="135">
        <v>13.45</v>
      </c>
      <c r="I874" s="136">
        <f t="shared" si="13"/>
        <v>46.9405</v>
      </c>
      <c r="J874" s="137">
        <v>1</v>
      </c>
    </row>
    <row r="875" spans="2:10" ht="15" customHeight="1" x14ac:dyDescent="0.3">
      <c r="B875" s="132" t="s">
        <v>1484</v>
      </c>
      <c r="C875" s="132" t="s">
        <v>402</v>
      </c>
      <c r="D875" s="132" t="s">
        <v>1378</v>
      </c>
      <c r="E875" s="132" t="s">
        <v>320</v>
      </c>
      <c r="F875" s="133" t="s">
        <v>1485</v>
      </c>
      <c r="G875" s="134">
        <v>2.54</v>
      </c>
      <c r="H875" s="135">
        <v>13.45</v>
      </c>
      <c r="I875" s="136">
        <f t="shared" si="13"/>
        <v>34.162999999999997</v>
      </c>
      <c r="J875" s="137">
        <v>1</v>
      </c>
    </row>
    <row r="876" spans="2:10" ht="15" customHeight="1" x14ac:dyDescent="0.3">
      <c r="B876" s="132" t="s">
        <v>1484</v>
      </c>
      <c r="C876" s="132" t="s">
        <v>402</v>
      </c>
      <c r="D876" s="132" t="s">
        <v>1378</v>
      </c>
      <c r="E876" s="132" t="s">
        <v>320</v>
      </c>
      <c r="F876" s="133" t="s">
        <v>1486</v>
      </c>
      <c r="G876" s="134">
        <v>2.54</v>
      </c>
      <c r="H876" s="135">
        <v>13.45</v>
      </c>
      <c r="I876" s="136">
        <f t="shared" si="13"/>
        <v>34.162999999999997</v>
      </c>
      <c r="J876" s="137">
        <v>1</v>
      </c>
    </row>
    <row r="877" spans="2:10" ht="15" customHeight="1" x14ac:dyDescent="0.3">
      <c r="B877" s="132" t="s">
        <v>1487</v>
      </c>
      <c r="C877" s="132" t="s">
        <v>402</v>
      </c>
      <c r="D877" s="132" t="s">
        <v>1378</v>
      </c>
      <c r="E877" s="132" t="s">
        <v>320</v>
      </c>
      <c r="F877" s="133" t="s">
        <v>1488</v>
      </c>
      <c r="G877" s="134">
        <v>3.82</v>
      </c>
      <c r="H877" s="135">
        <v>13.45</v>
      </c>
      <c r="I877" s="136">
        <f t="shared" si="13"/>
        <v>51.378999999999998</v>
      </c>
      <c r="J877" s="137">
        <v>1</v>
      </c>
    </row>
    <row r="878" spans="2:10" ht="15" customHeight="1" x14ac:dyDescent="0.3">
      <c r="B878" s="132" t="s">
        <v>1489</v>
      </c>
      <c r="C878" s="132" t="s">
        <v>402</v>
      </c>
      <c r="D878" s="132" t="s">
        <v>1378</v>
      </c>
      <c r="E878" s="132" t="s">
        <v>320</v>
      </c>
      <c r="F878" s="133" t="s">
        <v>1490</v>
      </c>
      <c r="G878" s="134">
        <v>8.26</v>
      </c>
      <c r="H878" s="135">
        <v>13.45</v>
      </c>
      <c r="I878" s="136">
        <f t="shared" si="13"/>
        <v>111.09699999999999</v>
      </c>
      <c r="J878" s="137">
        <v>1</v>
      </c>
    </row>
    <row r="879" spans="2:10" ht="15" customHeight="1" x14ac:dyDescent="0.3">
      <c r="B879" s="132" t="s">
        <v>1489</v>
      </c>
      <c r="C879" s="132" t="s">
        <v>402</v>
      </c>
      <c r="D879" s="132" t="s">
        <v>1378</v>
      </c>
      <c r="E879" s="132" t="s">
        <v>320</v>
      </c>
      <c r="F879" s="133" t="s">
        <v>1491</v>
      </c>
      <c r="G879" s="134">
        <v>2.0699999999999998</v>
      </c>
      <c r="H879" s="135">
        <v>13.45</v>
      </c>
      <c r="I879" s="136">
        <f t="shared" si="13"/>
        <v>27.841499999999996</v>
      </c>
      <c r="J879" s="137">
        <v>1</v>
      </c>
    </row>
    <row r="880" spans="2:10" ht="15" customHeight="1" x14ac:dyDescent="0.3">
      <c r="B880" s="132" t="s">
        <v>1489</v>
      </c>
      <c r="C880" s="132" t="s">
        <v>402</v>
      </c>
      <c r="D880" s="132" t="s">
        <v>1378</v>
      </c>
      <c r="E880" s="132" t="s">
        <v>320</v>
      </c>
      <c r="F880" s="133" t="s">
        <v>1492</v>
      </c>
      <c r="G880" s="134">
        <v>1.68</v>
      </c>
      <c r="H880" s="135">
        <v>13.45</v>
      </c>
      <c r="I880" s="136">
        <f t="shared" si="13"/>
        <v>22.595999999999997</v>
      </c>
      <c r="J880" s="137">
        <v>1</v>
      </c>
    </row>
    <row r="881" spans="2:10" ht="15" customHeight="1" x14ac:dyDescent="0.3">
      <c r="B881" s="132" t="s">
        <v>1493</v>
      </c>
      <c r="C881" s="132" t="s">
        <v>402</v>
      </c>
      <c r="D881" s="132" t="s">
        <v>1378</v>
      </c>
      <c r="E881" s="132" t="s">
        <v>320</v>
      </c>
      <c r="F881" s="133" t="s">
        <v>1494</v>
      </c>
      <c r="G881" s="134">
        <v>1.29</v>
      </c>
      <c r="H881" s="135">
        <v>13.45</v>
      </c>
      <c r="I881" s="136">
        <f t="shared" si="13"/>
        <v>17.3505</v>
      </c>
      <c r="J881" s="137">
        <v>1</v>
      </c>
    </row>
    <row r="882" spans="2:10" ht="15" customHeight="1" x14ac:dyDescent="0.3">
      <c r="B882" s="132" t="s">
        <v>1493</v>
      </c>
      <c r="C882" s="132" t="s">
        <v>402</v>
      </c>
      <c r="D882" s="132" t="s">
        <v>1378</v>
      </c>
      <c r="E882" s="132" t="s">
        <v>320</v>
      </c>
      <c r="F882" s="133" t="s">
        <v>1495</v>
      </c>
      <c r="G882" s="134">
        <v>5.88</v>
      </c>
      <c r="H882" s="135">
        <v>13.45</v>
      </c>
      <c r="I882" s="136">
        <f t="shared" si="13"/>
        <v>79.085999999999999</v>
      </c>
      <c r="J882" s="137">
        <v>1</v>
      </c>
    </row>
    <row r="883" spans="2:10" ht="15" customHeight="1" x14ac:dyDescent="0.3">
      <c r="B883" s="132" t="s">
        <v>1496</v>
      </c>
      <c r="C883" s="132" t="s">
        <v>402</v>
      </c>
      <c r="D883" s="132" t="s">
        <v>1378</v>
      </c>
      <c r="E883" s="132" t="s">
        <v>320</v>
      </c>
      <c r="F883" s="133" t="s">
        <v>1497</v>
      </c>
      <c r="G883" s="134">
        <v>1.1000000000000001</v>
      </c>
      <c r="H883" s="135">
        <v>13.45</v>
      </c>
      <c r="I883" s="136">
        <f t="shared" si="13"/>
        <v>14.795</v>
      </c>
      <c r="J883" s="137">
        <v>1</v>
      </c>
    </row>
    <row r="884" spans="2:10" ht="15" customHeight="1" x14ac:dyDescent="0.3">
      <c r="B884" s="132" t="s">
        <v>1498</v>
      </c>
      <c r="C884" s="132" t="s">
        <v>402</v>
      </c>
      <c r="D884" s="132" t="s">
        <v>1378</v>
      </c>
      <c r="E884" s="132" t="s">
        <v>320</v>
      </c>
      <c r="F884" s="133" t="s">
        <v>1499</v>
      </c>
      <c r="G884" s="134">
        <v>1.1299999999999999</v>
      </c>
      <c r="H884" s="135">
        <v>13.45</v>
      </c>
      <c r="I884" s="136">
        <f t="shared" si="13"/>
        <v>15.198499999999997</v>
      </c>
      <c r="J884" s="137">
        <v>1</v>
      </c>
    </row>
    <row r="885" spans="2:10" ht="15" customHeight="1" x14ac:dyDescent="0.3">
      <c r="B885" s="132" t="s">
        <v>1498</v>
      </c>
      <c r="C885" s="132" t="s">
        <v>402</v>
      </c>
      <c r="D885" s="132" t="s">
        <v>1378</v>
      </c>
      <c r="E885" s="132" t="s">
        <v>320</v>
      </c>
      <c r="F885" s="133" t="s">
        <v>1500</v>
      </c>
      <c r="G885" s="134">
        <v>1.48</v>
      </c>
      <c r="H885" s="135">
        <v>13.45</v>
      </c>
      <c r="I885" s="136">
        <f t="shared" si="13"/>
        <v>19.905999999999999</v>
      </c>
      <c r="J885" s="137">
        <v>1</v>
      </c>
    </row>
    <row r="886" spans="2:10" ht="15" customHeight="1" x14ac:dyDescent="0.3">
      <c r="B886" s="132" t="s">
        <v>1501</v>
      </c>
      <c r="C886" s="132" t="s">
        <v>402</v>
      </c>
      <c r="D886" s="132" t="s">
        <v>1378</v>
      </c>
      <c r="E886" s="132" t="s">
        <v>320</v>
      </c>
      <c r="F886" s="133" t="s">
        <v>1502</v>
      </c>
      <c r="G886" s="134">
        <v>1.52</v>
      </c>
      <c r="H886" s="135">
        <v>13.45</v>
      </c>
      <c r="I886" s="136">
        <f t="shared" si="13"/>
        <v>20.443999999999999</v>
      </c>
      <c r="J886" s="137">
        <v>1</v>
      </c>
    </row>
    <row r="887" spans="2:10" ht="15" customHeight="1" x14ac:dyDescent="0.3">
      <c r="B887" s="132" t="s">
        <v>1503</v>
      </c>
      <c r="C887" s="132" t="s">
        <v>402</v>
      </c>
      <c r="D887" s="132" t="s">
        <v>1378</v>
      </c>
      <c r="E887" s="132" t="s">
        <v>320</v>
      </c>
      <c r="F887" s="133" t="s">
        <v>1504</v>
      </c>
      <c r="G887" s="134">
        <v>1.49</v>
      </c>
      <c r="H887" s="135">
        <v>13.45</v>
      </c>
      <c r="I887" s="136">
        <f t="shared" si="13"/>
        <v>20.040499999999998</v>
      </c>
      <c r="J887" s="137">
        <v>1</v>
      </c>
    </row>
    <row r="888" spans="2:10" ht="15" customHeight="1" x14ac:dyDescent="0.3">
      <c r="B888" s="132" t="s">
        <v>1503</v>
      </c>
      <c r="C888" s="132" t="s">
        <v>402</v>
      </c>
      <c r="D888" s="132" t="s">
        <v>1378</v>
      </c>
      <c r="E888" s="132" t="s">
        <v>320</v>
      </c>
      <c r="F888" s="133" t="s">
        <v>1505</v>
      </c>
      <c r="G888" s="134">
        <v>7.02</v>
      </c>
      <c r="H888" s="135">
        <v>13.45</v>
      </c>
      <c r="I888" s="136">
        <f t="shared" si="13"/>
        <v>94.418999999999983</v>
      </c>
      <c r="J888" s="137">
        <v>1</v>
      </c>
    </row>
    <row r="889" spans="2:10" ht="15" customHeight="1" x14ac:dyDescent="0.3">
      <c r="B889" s="132" t="s">
        <v>1503</v>
      </c>
      <c r="C889" s="132" t="s">
        <v>402</v>
      </c>
      <c r="D889" s="132" t="s">
        <v>1378</v>
      </c>
      <c r="E889" s="132" t="s">
        <v>320</v>
      </c>
      <c r="F889" s="133" t="s">
        <v>1506</v>
      </c>
      <c r="G889" s="134">
        <v>1.21</v>
      </c>
      <c r="H889" s="135">
        <v>13.45</v>
      </c>
      <c r="I889" s="136">
        <f t="shared" si="13"/>
        <v>16.2745</v>
      </c>
      <c r="J889" s="137">
        <v>1</v>
      </c>
    </row>
    <row r="890" spans="2:10" ht="15" customHeight="1" x14ac:dyDescent="0.3">
      <c r="B890" s="132" t="s">
        <v>1507</v>
      </c>
      <c r="C890" s="132" t="s">
        <v>402</v>
      </c>
      <c r="D890" s="132" t="s">
        <v>1378</v>
      </c>
      <c r="E890" s="132" t="s">
        <v>320</v>
      </c>
      <c r="F890" s="133" t="s">
        <v>1508</v>
      </c>
      <c r="G890" s="134">
        <v>1.63</v>
      </c>
      <c r="H890" s="135">
        <v>13.45</v>
      </c>
      <c r="I890" s="136">
        <f t="shared" si="13"/>
        <v>21.923499999999997</v>
      </c>
      <c r="J890" s="137">
        <v>1</v>
      </c>
    </row>
    <row r="891" spans="2:10" ht="15" customHeight="1" x14ac:dyDescent="0.3">
      <c r="B891" s="132" t="s">
        <v>1509</v>
      </c>
      <c r="C891" s="132" t="s">
        <v>402</v>
      </c>
      <c r="D891" s="132" t="s">
        <v>1378</v>
      </c>
      <c r="E891" s="132" t="s">
        <v>320</v>
      </c>
      <c r="F891" s="133" t="s">
        <v>1510</v>
      </c>
      <c r="G891" s="134">
        <v>1.04</v>
      </c>
      <c r="H891" s="135">
        <v>13.45</v>
      </c>
      <c r="I891" s="136">
        <f t="shared" si="13"/>
        <v>13.988</v>
      </c>
      <c r="J891" s="137">
        <v>1</v>
      </c>
    </row>
    <row r="892" spans="2:10" ht="15" customHeight="1" x14ac:dyDescent="0.3">
      <c r="B892" s="132" t="s">
        <v>1511</v>
      </c>
      <c r="C892" s="132" t="s">
        <v>402</v>
      </c>
      <c r="D892" s="132" t="s">
        <v>1378</v>
      </c>
      <c r="E892" s="132" t="s">
        <v>320</v>
      </c>
      <c r="F892" s="133" t="s">
        <v>1512</v>
      </c>
      <c r="G892" s="134">
        <v>9.56</v>
      </c>
      <c r="H892" s="135">
        <v>13.45</v>
      </c>
      <c r="I892" s="136">
        <f t="shared" si="13"/>
        <v>128.58199999999999</v>
      </c>
      <c r="J892" s="137">
        <v>1</v>
      </c>
    </row>
    <row r="893" spans="2:10" ht="15" customHeight="1" x14ac:dyDescent="0.3">
      <c r="B893" s="132" t="s">
        <v>1511</v>
      </c>
      <c r="C893" s="132" t="s">
        <v>402</v>
      </c>
      <c r="D893" s="132" t="s">
        <v>1378</v>
      </c>
      <c r="E893" s="132" t="s">
        <v>320</v>
      </c>
      <c r="F893" s="133" t="s">
        <v>1513</v>
      </c>
      <c r="G893" s="134">
        <v>9.58</v>
      </c>
      <c r="H893" s="135">
        <v>13.45</v>
      </c>
      <c r="I893" s="136">
        <f t="shared" si="13"/>
        <v>128.851</v>
      </c>
      <c r="J893" s="137">
        <v>1</v>
      </c>
    </row>
    <row r="894" spans="2:10" ht="15" customHeight="1" x14ac:dyDescent="0.3">
      <c r="B894" s="132" t="s">
        <v>1511</v>
      </c>
      <c r="C894" s="132" t="s">
        <v>402</v>
      </c>
      <c r="D894" s="132" t="s">
        <v>1378</v>
      </c>
      <c r="E894" s="132" t="s">
        <v>320</v>
      </c>
      <c r="F894" s="133" t="s">
        <v>1514</v>
      </c>
      <c r="G894" s="134">
        <v>1.42</v>
      </c>
      <c r="H894" s="135">
        <v>13.45</v>
      </c>
      <c r="I894" s="136">
        <f t="shared" si="13"/>
        <v>19.098999999999997</v>
      </c>
      <c r="J894" s="137">
        <v>1</v>
      </c>
    </row>
    <row r="895" spans="2:10" ht="15" customHeight="1" x14ac:dyDescent="0.3">
      <c r="B895" s="132" t="s">
        <v>1511</v>
      </c>
      <c r="C895" s="132" t="s">
        <v>402</v>
      </c>
      <c r="D895" s="132" t="s">
        <v>1378</v>
      </c>
      <c r="E895" s="132" t="s">
        <v>320</v>
      </c>
      <c r="F895" s="133" t="s">
        <v>1515</v>
      </c>
      <c r="G895" s="134">
        <v>8.4</v>
      </c>
      <c r="H895" s="135">
        <v>13.45</v>
      </c>
      <c r="I895" s="136">
        <f t="shared" si="13"/>
        <v>112.98</v>
      </c>
      <c r="J895" s="137">
        <v>1</v>
      </c>
    </row>
    <row r="896" spans="2:10" ht="15" customHeight="1" x14ac:dyDescent="0.3">
      <c r="B896" s="132" t="s">
        <v>1511</v>
      </c>
      <c r="C896" s="132" t="s">
        <v>402</v>
      </c>
      <c r="D896" s="132" t="s">
        <v>1378</v>
      </c>
      <c r="E896" s="132" t="s">
        <v>320</v>
      </c>
      <c r="F896" s="133" t="s">
        <v>1516</v>
      </c>
      <c r="G896" s="134">
        <v>1.36</v>
      </c>
      <c r="H896" s="135">
        <v>13.45</v>
      </c>
      <c r="I896" s="136">
        <f t="shared" si="13"/>
        <v>18.292000000000002</v>
      </c>
      <c r="J896" s="137">
        <v>1</v>
      </c>
    </row>
    <row r="897" spans="2:10" ht="15" customHeight="1" x14ac:dyDescent="0.3">
      <c r="B897" s="132" t="s">
        <v>1517</v>
      </c>
      <c r="C897" s="132" t="s">
        <v>402</v>
      </c>
      <c r="D897" s="132" t="s">
        <v>1378</v>
      </c>
      <c r="E897" s="132" t="s">
        <v>320</v>
      </c>
      <c r="F897" s="133" t="s">
        <v>1518</v>
      </c>
      <c r="G897" s="134">
        <v>1.77</v>
      </c>
      <c r="H897" s="135">
        <v>13.45</v>
      </c>
      <c r="I897" s="136">
        <f t="shared" si="13"/>
        <v>23.8065</v>
      </c>
      <c r="J897" s="137">
        <v>1</v>
      </c>
    </row>
    <row r="898" spans="2:10" ht="15" customHeight="1" x14ac:dyDescent="0.3">
      <c r="B898" s="132" t="s">
        <v>1519</v>
      </c>
      <c r="C898" s="132" t="s">
        <v>402</v>
      </c>
      <c r="D898" s="132" t="s">
        <v>1378</v>
      </c>
      <c r="E898" s="132" t="s">
        <v>320</v>
      </c>
      <c r="F898" s="133" t="s">
        <v>1520</v>
      </c>
      <c r="G898" s="134">
        <v>6.38</v>
      </c>
      <c r="H898" s="135">
        <v>13.45</v>
      </c>
      <c r="I898" s="136">
        <f t="shared" si="13"/>
        <v>85.810999999999993</v>
      </c>
      <c r="J898" s="137">
        <v>1</v>
      </c>
    </row>
    <row r="899" spans="2:10" ht="15" customHeight="1" x14ac:dyDescent="0.3">
      <c r="B899" s="132" t="s">
        <v>1519</v>
      </c>
      <c r="C899" s="132" t="s">
        <v>402</v>
      </c>
      <c r="D899" s="132" t="s">
        <v>1378</v>
      </c>
      <c r="E899" s="132" t="s">
        <v>320</v>
      </c>
      <c r="F899" s="133" t="s">
        <v>1521</v>
      </c>
      <c r="G899" s="134">
        <v>2.67</v>
      </c>
      <c r="H899" s="135">
        <v>13.45</v>
      </c>
      <c r="I899" s="136">
        <f t="shared" si="13"/>
        <v>35.911499999999997</v>
      </c>
      <c r="J899" s="137">
        <v>1</v>
      </c>
    </row>
    <row r="900" spans="2:10" ht="15" customHeight="1" x14ac:dyDescent="0.3">
      <c r="B900" s="132" t="s">
        <v>1522</v>
      </c>
      <c r="C900" s="132" t="s">
        <v>402</v>
      </c>
      <c r="D900" s="132" t="s">
        <v>1378</v>
      </c>
      <c r="E900" s="132" t="s">
        <v>320</v>
      </c>
      <c r="F900" s="133" t="s">
        <v>1523</v>
      </c>
      <c r="G900" s="134">
        <v>1.33</v>
      </c>
      <c r="H900" s="135">
        <v>13.45</v>
      </c>
      <c r="I900" s="136">
        <f t="shared" si="13"/>
        <v>17.888500000000001</v>
      </c>
      <c r="J900" s="137">
        <v>1</v>
      </c>
    </row>
    <row r="901" spans="2:10" ht="15" customHeight="1" x14ac:dyDescent="0.3">
      <c r="B901" s="132" t="s">
        <v>1524</v>
      </c>
      <c r="C901" s="132" t="s">
        <v>402</v>
      </c>
      <c r="D901" s="132" t="s">
        <v>1378</v>
      </c>
      <c r="E901" s="132" t="s">
        <v>320</v>
      </c>
      <c r="F901" s="133" t="s">
        <v>1525</v>
      </c>
      <c r="G901" s="134">
        <v>1.94</v>
      </c>
      <c r="H901" s="135">
        <v>13.45</v>
      </c>
      <c r="I901" s="136">
        <f t="shared" si="13"/>
        <v>26.092999999999996</v>
      </c>
      <c r="J901" s="137">
        <v>1</v>
      </c>
    </row>
    <row r="902" spans="2:10" ht="15" customHeight="1" x14ac:dyDescent="0.3">
      <c r="B902" s="132" t="s">
        <v>1526</v>
      </c>
      <c r="C902" s="132" t="s">
        <v>402</v>
      </c>
      <c r="D902" s="132" t="s">
        <v>1378</v>
      </c>
      <c r="E902" s="132" t="s">
        <v>320</v>
      </c>
      <c r="F902" s="133" t="s">
        <v>1527</v>
      </c>
      <c r="G902" s="134">
        <v>7.77</v>
      </c>
      <c r="H902" s="135">
        <v>13.45</v>
      </c>
      <c r="I902" s="136">
        <f t="shared" si="13"/>
        <v>104.50649999999999</v>
      </c>
      <c r="J902" s="137">
        <v>1</v>
      </c>
    </row>
    <row r="903" spans="2:10" ht="15" customHeight="1" x14ac:dyDescent="0.3">
      <c r="B903" s="132" t="s">
        <v>1528</v>
      </c>
      <c r="C903" s="132" t="s">
        <v>1529</v>
      </c>
      <c r="D903" s="132" t="s">
        <v>1530</v>
      </c>
      <c r="E903" s="132" t="s">
        <v>320</v>
      </c>
      <c r="F903" s="133" t="s">
        <v>1531</v>
      </c>
      <c r="G903" s="134">
        <v>9.7799999999999994</v>
      </c>
      <c r="H903" s="135">
        <v>13.45</v>
      </c>
      <c r="I903" s="136">
        <f t="shared" si="13"/>
        <v>131.541</v>
      </c>
      <c r="J903" s="137">
        <v>1</v>
      </c>
    </row>
    <row r="904" spans="2:10" ht="15" customHeight="1" x14ac:dyDescent="0.3">
      <c r="B904" s="132" t="s">
        <v>1528</v>
      </c>
      <c r="C904" s="132" t="s">
        <v>1529</v>
      </c>
      <c r="D904" s="132" t="s">
        <v>1530</v>
      </c>
      <c r="E904" s="132" t="s">
        <v>320</v>
      </c>
      <c r="F904" s="133" t="s">
        <v>1532</v>
      </c>
      <c r="G904" s="134">
        <v>2.2999999999999998</v>
      </c>
      <c r="H904" s="135">
        <v>13.45</v>
      </c>
      <c r="I904" s="136">
        <f t="shared" ref="I904:I967" si="14">G904*H904</f>
        <v>30.934999999999995</v>
      </c>
      <c r="J904" s="137">
        <v>1</v>
      </c>
    </row>
    <row r="905" spans="2:10" ht="15" customHeight="1" x14ac:dyDescent="0.3">
      <c r="B905" s="132" t="s">
        <v>1528</v>
      </c>
      <c r="C905" s="132" t="s">
        <v>1529</v>
      </c>
      <c r="D905" s="132" t="s">
        <v>1530</v>
      </c>
      <c r="E905" s="132" t="s">
        <v>320</v>
      </c>
      <c r="F905" s="133" t="s">
        <v>1533</v>
      </c>
      <c r="G905" s="134">
        <v>1.64</v>
      </c>
      <c r="H905" s="135">
        <v>13.45</v>
      </c>
      <c r="I905" s="136">
        <f t="shared" si="14"/>
        <v>22.057999999999996</v>
      </c>
      <c r="J905" s="137">
        <v>1</v>
      </c>
    </row>
    <row r="906" spans="2:10" ht="15" customHeight="1" x14ac:dyDescent="0.3">
      <c r="B906" s="132" t="s">
        <v>1528</v>
      </c>
      <c r="C906" s="132" t="s">
        <v>1529</v>
      </c>
      <c r="D906" s="132" t="s">
        <v>1530</v>
      </c>
      <c r="E906" s="132" t="s">
        <v>320</v>
      </c>
      <c r="F906" s="133" t="s">
        <v>1534</v>
      </c>
      <c r="G906" s="134">
        <v>3.28</v>
      </c>
      <c r="H906" s="135">
        <v>13.45</v>
      </c>
      <c r="I906" s="136">
        <f t="shared" si="14"/>
        <v>44.115999999999993</v>
      </c>
      <c r="J906" s="137">
        <v>1</v>
      </c>
    </row>
    <row r="907" spans="2:10" ht="15" customHeight="1" x14ac:dyDescent="0.3">
      <c r="B907" s="132" t="s">
        <v>1528</v>
      </c>
      <c r="C907" s="132" t="s">
        <v>1529</v>
      </c>
      <c r="D907" s="132" t="s">
        <v>1530</v>
      </c>
      <c r="E907" s="132" t="s">
        <v>320</v>
      </c>
      <c r="F907" s="133" t="s">
        <v>1535</v>
      </c>
      <c r="G907" s="134">
        <v>3.28</v>
      </c>
      <c r="H907" s="135">
        <v>13.45</v>
      </c>
      <c r="I907" s="136">
        <f t="shared" si="14"/>
        <v>44.115999999999993</v>
      </c>
      <c r="J907" s="137">
        <v>1</v>
      </c>
    </row>
    <row r="908" spans="2:10" ht="15" customHeight="1" x14ac:dyDescent="0.3">
      <c r="B908" s="132" t="s">
        <v>1536</v>
      </c>
      <c r="C908" s="132" t="s">
        <v>1529</v>
      </c>
      <c r="D908" s="132" t="s">
        <v>1530</v>
      </c>
      <c r="E908" s="132" t="s">
        <v>320</v>
      </c>
      <c r="F908" s="133" t="s">
        <v>1537</v>
      </c>
      <c r="G908" s="134">
        <v>2.2599999999999998</v>
      </c>
      <c r="H908" s="135">
        <v>13.45</v>
      </c>
      <c r="I908" s="136">
        <f t="shared" si="14"/>
        <v>30.396999999999995</v>
      </c>
      <c r="J908" s="137">
        <v>1</v>
      </c>
    </row>
    <row r="909" spans="2:10" ht="15" customHeight="1" x14ac:dyDescent="0.3">
      <c r="B909" s="132" t="s">
        <v>1536</v>
      </c>
      <c r="C909" s="132" t="s">
        <v>1529</v>
      </c>
      <c r="D909" s="132" t="s">
        <v>1530</v>
      </c>
      <c r="E909" s="132" t="s">
        <v>320</v>
      </c>
      <c r="F909" s="133" t="s">
        <v>1538</v>
      </c>
      <c r="G909" s="134">
        <v>2.25</v>
      </c>
      <c r="H909" s="135">
        <v>13.45</v>
      </c>
      <c r="I909" s="136">
        <f t="shared" si="14"/>
        <v>30.262499999999999</v>
      </c>
      <c r="J909" s="137">
        <v>1</v>
      </c>
    </row>
    <row r="910" spans="2:10" ht="15" customHeight="1" x14ac:dyDescent="0.3">
      <c r="B910" s="132" t="s">
        <v>1536</v>
      </c>
      <c r="C910" s="132" t="s">
        <v>1529</v>
      </c>
      <c r="D910" s="132" t="s">
        <v>1530</v>
      </c>
      <c r="E910" s="132" t="s">
        <v>320</v>
      </c>
      <c r="F910" s="133" t="s">
        <v>1539</v>
      </c>
      <c r="G910" s="134">
        <v>4.5</v>
      </c>
      <c r="H910" s="135">
        <v>13.45</v>
      </c>
      <c r="I910" s="136">
        <f t="shared" si="14"/>
        <v>60.524999999999999</v>
      </c>
      <c r="J910" s="137">
        <v>1</v>
      </c>
    </row>
    <row r="911" spans="2:10" ht="15" customHeight="1" x14ac:dyDescent="0.3">
      <c r="B911" s="132" t="s">
        <v>1536</v>
      </c>
      <c r="C911" s="132" t="s">
        <v>1529</v>
      </c>
      <c r="D911" s="132" t="s">
        <v>1530</v>
      </c>
      <c r="E911" s="132" t="s">
        <v>320</v>
      </c>
      <c r="F911" s="133" t="s">
        <v>1540</v>
      </c>
      <c r="G911" s="134">
        <v>1.76</v>
      </c>
      <c r="H911" s="135">
        <v>13.45</v>
      </c>
      <c r="I911" s="136">
        <f t="shared" si="14"/>
        <v>23.672000000000001</v>
      </c>
      <c r="J911" s="137">
        <v>1</v>
      </c>
    </row>
    <row r="912" spans="2:10" ht="15" customHeight="1" x14ac:dyDescent="0.3">
      <c r="B912" s="132" t="s">
        <v>1541</v>
      </c>
      <c r="C912" s="132" t="s">
        <v>1529</v>
      </c>
      <c r="D912" s="132" t="s">
        <v>1530</v>
      </c>
      <c r="E912" s="132" t="s">
        <v>320</v>
      </c>
      <c r="F912" s="133" t="s">
        <v>1542</v>
      </c>
      <c r="G912" s="134">
        <v>3.88</v>
      </c>
      <c r="H912" s="135">
        <v>13.45</v>
      </c>
      <c r="I912" s="136">
        <f t="shared" si="14"/>
        <v>52.185999999999993</v>
      </c>
      <c r="J912" s="137">
        <v>1</v>
      </c>
    </row>
    <row r="913" spans="2:10" ht="15" customHeight="1" x14ac:dyDescent="0.3">
      <c r="B913" s="132" t="s">
        <v>1541</v>
      </c>
      <c r="C913" s="132" t="s">
        <v>1529</v>
      </c>
      <c r="D913" s="132" t="s">
        <v>1530</v>
      </c>
      <c r="E913" s="132" t="s">
        <v>320</v>
      </c>
      <c r="F913" s="133" t="s">
        <v>1543</v>
      </c>
      <c r="G913" s="134">
        <v>4.1900000000000004</v>
      </c>
      <c r="H913" s="135">
        <v>13.45</v>
      </c>
      <c r="I913" s="136">
        <f t="shared" si="14"/>
        <v>56.355499999999999</v>
      </c>
      <c r="J913" s="137">
        <v>1</v>
      </c>
    </row>
    <row r="914" spans="2:10" ht="15" customHeight="1" x14ac:dyDescent="0.3">
      <c r="B914" s="132" t="s">
        <v>1541</v>
      </c>
      <c r="C914" s="132" t="s">
        <v>1529</v>
      </c>
      <c r="D914" s="132" t="s">
        <v>1530</v>
      </c>
      <c r="E914" s="132" t="s">
        <v>320</v>
      </c>
      <c r="F914" s="133" t="s">
        <v>1544</v>
      </c>
      <c r="G914" s="134">
        <v>4.2300000000000004</v>
      </c>
      <c r="H914" s="135">
        <v>13.45</v>
      </c>
      <c r="I914" s="136">
        <f t="shared" si="14"/>
        <v>56.893500000000003</v>
      </c>
      <c r="J914" s="137">
        <v>1</v>
      </c>
    </row>
    <row r="915" spans="2:10" ht="15" customHeight="1" x14ac:dyDescent="0.3">
      <c r="B915" s="132" t="s">
        <v>1541</v>
      </c>
      <c r="C915" s="132" t="s">
        <v>1529</v>
      </c>
      <c r="D915" s="132" t="s">
        <v>1530</v>
      </c>
      <c r="E915" s="132" t="s">
        <v>320</v>
      </c>
      <c r="F915" s="133" t="s">
        <v>1545</v>
      </c>
      <c r="G915" s="134">
        <v>2.9</v>
      </c>
      <c r="H915" s="135">
        <v>13.45</v>
      </c>
      <c r="I915" s="136">
        <f t="shared" si="14"/>
        <v>39.004999999999995</v>
      </c>
      <c r="J915" s="137">
        <v>1</v>
      </c>
    </row>
    <row r="916" spans="2:10" ht="15" customHeight="1" x14ac:dyDescent="0.3">
      <c r="B916" s="132" t="s">
        <v>1546</v>
      </c>
      <c r="C916" s="132" t="s">
        <v>1529</v>
      </c>
      <c r="D916" s="132" t="s">
        <v>1530</v>
      </c>
      <c r="E916" s="132" t="s">
        <v>320</v>
      </c>
      <c r="F916" s="133" t="s">
        <v>1547</v>
      </c>
      <c r="G916" s="134">
        <v>8.15</v>
      </c>
      <c r="H916" s="135">
        <v>13.45</v>
      </c>
      <c r="I916" s="136">
        <f t="shared" si="14"/>
        <v>109.61749999999999</v>
      </c>
      <c r="J916" s="137">
        <v>1</v>
      </c>
    </row>
    <row r="917" spans="2:10" ht="15" customHeight="1" x14ac:dyDescent="0.3">
      <c r="B917" s="132" t="s">
        <v>1546</v>
      </c>
      <c r="C917" s="132" t="s">
        <v>1529</v>
      </c>
      <c r="D917" s="132" t="s">
        <v>1530</v>
      </c>
      <c r="E917" s="132" t="s">
        <v>320</v>
      </c>
      <c r="F917" s="133" t="s">
        <v>1548</v>
      </c>
      <c r="G917" s="134">
        <v>8.2899999999999991</v>
      </c>
      <c r="H917" s="135">
        <v>13.45</v>
      </c>
      <c r="I917" s="136">
        <f t="shared" si="14"/>
        <v>111.50049999999999</v>
      </c>
      <c r="J917" s="137">
        <v>1</v>
      </c>
    </row>
    <row r="918" spans="2:10" ht="15" customHeight="1" x14ac:dyDescent="0.3">
      <c r="B918" s="132" t="s">
        <v>1549</v>
      </c>
      <c r="C918" s="132" t="s">
        <v>1529</v>
      </c>
      <c r="D918" s="132" t="s">
        <v>1530</v>
      </c>
      <c r="E918" s="132" t="s">
        <v>320</v>
      </c>
      <c r="F918" s="133" t="s">
        <v>1550</v>
      </c>
      <c r="G918" s="134">
        <v>1.61</v>
      </c>
      <c r="H918" s="135">
        <v>13.45</v>
      </c>
      <c r="I918" s="136">
        <f t="shared" si="14"/>
        <v>21.654499999999999</v>
      </c>
      <c r="J918" s="137">
        <v>1</v>
      </c>
    </row>
    <row r="919" spans="2:10" ht="15" customHeight="1" x14ac:dyDescent="0.3">
      <c r="B919" s="132" t="s">
        <v>1549</v>
      </c>
      <c r="C919" s="132" t="s">
        <v>1529</v>
      </c>
      <c r="D919" s="132" t="s">
        <v>1530</v>
      </c>
      <c r="E919" s="132" t="s">
        <v>320</v>
      </c>
      <c r="F919" s="133" t="s">
        <v>1551</v>
      </c>
      <c r="G919" s="134">
        <v>5.55</v>
      </c>
      <c r="H919" s="135">
        <v>13.45</v>
      </c>
      <c r="I919" s="136">
        <f t="shared" si="14"/>
        <v>74.647499999999994</v>
      </c>
      <c r="J919" s="137">
        <v>1</v>
      </c>
    </row>
    <row r="920" spans="2:10" ht="15" customHeight="1" x14ac:dyDescent="0.3">
      <c r="B920" s="132" t="s">
        <v>1549</v>
      </c>
      <c r="C920" s="132" t="s">
        <v>1529</v>
      </c>
      <c r="D920" s="132" t="s">
        <v>1530</v>
      </c>
      <c r="E920" s="132" t="s">
        <v>320</v>
      </c>
      <c r="F920" s="133" t="s">
        <v>1552</v>
      </c>
      <c r="G920" s="134">
        <v>1.63</v>
      </c>
      <c r="H920" s="135">
        <v>13.45</v>
      </c>
      <c r="I920" s="136">
        <f t="shared" si="14"/>
        <v>21.923499999999997</v>
      </c>
      <c r="J920" s="137">
        <v>1</v>
      </c>
    </row>
    <row r="921" spans="2:10" ht="15" customHeight="1" x14ac:dyDescent="0.3">
      <c r="B921" s="132" t="s">
        <v>1549</v>
      </c>
      <c r="C921" s="132" t="s">
        <v>1529</v>
      </c>
      <c r="D921" s="132" t="s">
        <v>1530</v>
      </c>
      <c r="E921" s="132" t="s">
        <v>320</v>
      </c>
      <c r="F921" s="133" t="s">
        <v>1553</v>
      </c>
      <c r="G921" s="134">
        <v>3.9</v>
      </c>
      <c r="H921" s="135">
        <v>13.45</v>
      </c>
      <c r="I921" s="136">
        <f t="shared" si="14"/>
        <v>52.454999999999998</v>
      </c>
      <c r="J921" s="137">
        <v>1</v>
      </c>
    </row>
    <row r="922" spans="2:10" ht="15" customHeight="1" x14ac:dyDescent="0.3">
      <c r="B922" s="132" t="s">
        <v>1554</v>
      </c>
      <c r="C922" s="132" t="s">
        <v>1529</v>
      </c>
      <c r="D922" s="132" t="s">
        <v>1530</v>
      </c>
      <c r="E922" s="132" t="s">
        <v>320</v>
      </c>
      <c r="F922" s="133" t="s">
        <v>1555</v>
      </c>
      <c r="G922" s="134">
        <v>3.22</v>
      </c>
      <c r="H922" s="135">
        <v>13.45</v>
      </c>
      <c r="I922" s="136">
        <f t="shared" si="14"/>
        <v>43.308999999999997</v>
      </c>
      <c r="J922" s="137">
        <v>1</v>
      </c>
    </row>
    <row r="923" spans="2:10" ht="15" customHeight="1" x14ac:dyDescent="0.3">
      <c r="B923" s="132" t="s">
        <v>1554</v>
      </c>
      <c r="C923" s="132" t="s">
        <v>1529</v>
      </c>
      <c r="D923" s="132" t="s">
        <v>1530</v>
      </c>
      <c r="E923" s="132" t="s">
        <v>320</v>
      </c>
      <c r="F923" s="133" t="s">
        <v>1556</v>
      </c>
      <c r="G923" s="134">
        <v>2.59</v>
      </c>
      <c r="H923" s="135">
        <v>13.45</v>
      </c>
      <c r="I923" s="136">
        <f t="shared" si="14"/>
        <v>34.835499999999996</v>
      </c>
      <c r="J923" s="137">
        <v>1</v>
      </c>
    </row>
    <row r="924" spans="2:10" ht="15" customHeight="1" x14ac:dyDescent="0.3">
      <c r="B924" s="132" t="s">
        <v>1557</v>
      </c>
      <c r="C924" s="132" t="s">
        <v>1529</v>
      </c>
      <c r="D924" s="132" t="s">
        <v>1530</v>
      </c>
      <c r="E924" s="132" t="s">
        <v>320</v>
      </c>
      <c r="F924" s="133" t="s">
        <v>1558</v>
      </c>
      <c r="G924" s="134">
        <v>1.96</v>
      </c>
      <c r="H924" s="135">
        <v>13.45</v>
      </c>
      <c r="I924" s="136">
        <f t="shared" si="14"/>
        <v>26.361999999999998</v>
      </c>
      <c r="J924" s="137">
        <v>1</v>
      </c>
    </row>
    <row r="925" spans="2:10" ht="15" customHeight="1" x14ac:dyDescent="0.3">
      <c r="B925" s="132" t="s">
        <v>1557</v>
      </c>
      <c r="C925" s="132" t="s">
        <v>1529</v>
      </c>
      <c r="D925" s="132" t="s">
        <v>1530</v>
      </c>
      <c r="E925" s="132" t="s">
        <v>320</v>
      </c>
      <c r="F925" s="133" t="s">
        <v>1559</v>
      </c>
      <c r="G925" s="134">
        <v>1.46</v>
      </c>
      <c r="H925" s="135">
        <v>13.45</v>
      </c>
      <c r="I925" s="136">
        <f t="shared" si="14"/>
        <v>19.636999999999997</v>
      </c>
      <c r="J925" s="137">
        <v>1</v>
      </c>
    </row>
    <row r="926" spans="2:10" ht="15" customHeight="1" x14ac:dyDescent="0.3">
      <c r="B926" s="132" t="s">
        <v>1560</v>
      </c>
      <c r="C926" s="132" t="s">
        <v>1529</v>
      </c>
      <c r="D926" s="132" t="s">
        <v>1530</v>
      </c>
      <c r="E926" s="132" t="s">
        <v>320</v>
      </c>
      <c r="F926" s="133" t="s">
        <v>1561</v>
      </c>
      <c r="G926" s="134">
        <v>2.74</v>
      </c>
      <c r="H926" s="135">
        <v>13.45</v>
      </c>
      <c r="I926" s="136">
        <f t="shared" si="14"/>
        <v>36.853000000000002</v>
      </c>
      <c r="J926" s="137">
        <v>1</v>
      </c>
    </row>
    <row r="927" spans="2:10" ht="15" customHeight="1" x14ac:dyDescent="0.3">
      <c r="B927" s="132" t="s">
        <v>1562</v>
      </c>
      <c r="C927" s="132" t="s">
        <v>1529</v>
      </c>
      <c r="D927" s="132" t="s">
        <v>1530</v>
      </c>
      <c r="E927" s="132" t="s">
        <v>320</v>
      </c>
      <c r="F927" s="133" t="s">
        <v>1563</v>
      </c>
      <c r="G927" s="134">
        <v>2.62</v>
      </c>
      <c r="H927" s="135">
        <v>13.45</v>
      </c>
      <c r="I927" s="136">
        <f t="shared" si="14"/>
        <v>35.238999999999997</v>
      </c>
      <c r="J927" s="137">
        <v>1</v>
      </c>
    </row>
    <row r="928" spans="2:10" ht="15" customHeight="1" x14ac:dyDescent="0.3">
      <c r="B928" s="132" t="s">
        <v>1562</v>
      </c>
      <c r="C928" s="132" t="s">
        <v>1529</v>
      </c>
      <c r="D928" s="132" t="s">
        <v>1530</v>
      </c>
      <c r="E928" s="132" t="s">
        <v>320</v>
      </c>
      <c r="F928" s="133" t="s">
        <v>1564</v>
      </c>
      <c r="G928" s="134">
        <v>2.62</v>
      </c>
      <c r="H928" s="135">
        <v>13.45</v>
      </c>
      <c r="I928" s="136">
        <f t="shared" si="14"/>
        <v>35.238999999999997</v>
      </c>
      <c r="J928" s="137">
        <v>1</v>
      </c>
    </row>
    <row r="929" spans="2:10" ht="15" customHeight="1" x14ac:dyDescent="0.3">
      <c r="B929" s="132" t="s">
        <v>1565</v>
      </c>
      <c r="C929" s="132" t="s">
        <v>1529</v>
      </c>
      <c r="D929" s="132" t="s">
        <v>1530</v>
      </c>
      <c r="E929" s="132" t="s">
        <v>320</v>
      </c>
      <c r="F929" s="133" t="s">
        <v>1566</v>
      </c>
      <c r="G929" s="134">
        <v>3.94</v>
      </c>
      <c r="H929" s="135">
        <v>13.45</v>
      </c>
      <c r="I929" s="136">
        <f t="shared" si="14"/>
        <v>52.992999999999995</v>
      </c>
      <c r="J929" s="137">
        <v>1</v>
      </c>
    </row>
    <row r="930" spans="2:10" ht="15" customHeight="1" x14ac:dyDescent="0.3">
      <c r="B930" s="132" t="s">
        <v>1567</v>
      </c>
      <c r="C930" s="132" t="s">
        <v>1529</v>
      </c>
      <c r="D930" s="132" t="s">
        <v>1530</v>
      </c>
      <c r="E930" s="132" t="s">
        <v>320</v>
      </c>
      <c r="F930" s="133" t="s">
        <v>1568</v>
      </c>
      <c r="G930" s="134">
        <v>3.67</v>
      </c>
      <c r="H930" s="135">
        <v>13.45</v>
      </c>
      <c r="I930" s="136">
        <f t="shared" si="14"/>
        <v>49.361499999999999</v>
      </c>
      <c r="J930" s="137">
        <v>1</v>
      </c>
    </row>
    <row r="931" spans="2:10" ht="15" customHeight="1" x14ac:dyDescent="0.3">
      <c r="B931" s="132" t="s">
        <v>1569</v>
      </c>
      <c r="C931" s="132" t="s">
        <v>1529</v>
      </c>
      <c r="D931" s="132" t="s">
        <v>1530</v>
      </c>
      <c r="E931" s="132" t="s">
        <v>320</v>
      </c>
      <c r="F931" s="133" t="s">
        <v>1570</v>
      </c>
      <c r="G931" s="134">
        <v>7.87</v>
      </c>
      <c r="H931" s="135">
        <v>13.45</v>
      </c>
      <c r="I931" s="136">
        <f t="shared" si="14"/>
        <v>105.8515</v>
      </c>
      <c r="J931" s="137">
        <v>1</v>
      </c>
    </row>
    <row r="932" spans="2:10" ht="15" customHeight="1" x14ac:dyDescent="0.3">
      <c r="B932" s="132" t="s">
        <v>1569</v>
      </c>
      <c r="C932" s="132" t="s">
        <v>1529</v>
      </c>
      <c r="D932" s="132" t="s">
        <v>1530</v>
      </c>
      <c r="E932" s="132" t="s">
        <v>320</v>
      </c>
      <c r="F932" s="133" t="s">
        <v>1571</v>
      </c>
      <c r="G932" s="134">
        <v>6.88</v>
      </c>
      <c r="H932" s="135">
        <v>13.45</v>
      </c>
      <c r="I932" s="136">
        <f t="shared" si="14"/>
        <v>92.535999999999987</v>
      </c>
      <c r="J932" s="137">
        <v>1</v>
      </c>
    </row>
    <row r="933" spans="2:10" ht="15" customHeight="1" x14ac:dyDescent="0.3">
      <c r="B933" s="132" t="s">
        <v>1569</v>
      </c>
      <c r="C933" s="132" t="s">
        <v>1529</v>
      </c>
      <c r="D933" s="132" t="s">
        <v>1530</v>
      </c>
      <c r="E933" s="132" t="s">
        <v>320</v>
      </c>
      <c r="F933" s="133" t="s">
        <v>1572</v>
      </c>
      <c r="G933" s="134">
        <v>7.94</v>
      </c>
      <c r="H933" s="135">
        <v>13.45</v>
      </c>
      <c r="I933" s="136">
        <f t="shared" si="14"/>
        <v>106.79300000000001</v>
      </c>
      <c r="J933" s="137">
        <v>1</v>
      </c>
    </row>
    <row r="934" spans="2:10" ht="15" customHeight="1" x14ac:dyDescent="0.3">
      <c r="B934" s="132" t="s">
        <v>1569</v>
      </c>
      <c r="C934" s="132" t="s">
        <v>1529</v>
      </c>
      <c r="D934" s="132" t="s">
        <v>1530</v>
      </c>
      <c r="E934" s="132" t="s">
        <v>320</v>
      </c>
      <c r="F934" s="133" t="s">
        <v>1573</v>
      </c>
      <c r="G934" s="134">
        <v>9.5</v>
      </c>
      <c r="H934" s="135">
        <v>13.45</v>
      </c>
      <c r="I934" s="136">
        <f t="shared" si="14"/>
        <v>127.77499999999999</v>
      </c>
      <c r="J934" s="137">
        <v>1</v>
      </c>
    </row>
    <row r="935" spans="2:10" ht="15" customHeight="1" x14ac:dyDescent="0.3">
      <c r="B935" s="132" t="s">
        <v>1569</v>
      </c>
      <c r="C935" s="132" t="s">
        <v>1529</v>
      </c>
      <c r="D935" s="132" t="s">
        <v>1530</v>
      </c>
      <c r="E935" s="132" t="s">
        <v>320</v>
      </c>
      <c r="F935" s="133" t="s">
        <v>1574</v>
      </c>
      <c r="G935" s="134">
        <v>2.12</v>
      </c>
      <c r="H935" s="135">
        <v>13.45</v>
      </c>
      <c r="I935" s="136">
        <f t="shared" si="14"/>
        <v>28.513999999999999</v>
      </c>
      <c r="J935" s="137">
        <v>1</v>
      </c>
    </row>
    <row r="936" spans="2:10" ht="15" customHeight="1" x14ac:dyDescent="0.3">
      <c r="B936" s="132" t="s">
        <v>1575</v>
      </c>
      <c r="C936" s="132" t="s">
        <v>1529</v>
      </c>
      <c r="D936" s="132" t="s">
        <v>1530</v>
      </c>
      <c r="E936" s="132" t="s">
        <v>320</v>
      </c>
      <c r="F936" s="133" t="s">
        <v>1576</v>
      </c>
      <c r="G936" s="134">
        <v>1.84</v>
      </c>
      <c r="H936" s="135">
        <v>13.45</v>
      </c>
      <c r="I936" s="136">
        <f t="shared" si="14"/>
        <v>24.748000000000001</v>
      </c>
      <c r="J936" s="137">
        <v>1</v>
      </c>
    </row>
    <row r="937" spans="2:10" ht="15" customHeight="1" x14ac:dyDescent="0.3">
      <c r="B937" s="132" t="s">
        <v>1575</v>
      </c>
      <c r="C937" s="132" t="s">
        <v>1529</v>
      </c>
      <c r="D937" s="132" t="s">
        <v>1530</v>
      </c>
      <c r="E937" s="132" t="s">
        <v>320</v>
      </c>
      <c r="F937" s="133" t="s">
        <v>1577</v>
      </c>
      <c r="G937" s="134">
        <v>1.31</v>
      </c>
      <c r="H937" s="135">
        <v>13.45</v>
      </c>
      <c r="I937" s="136">
        <f t="shared" si="14"/>
        <v>17.619499999999999</v>
      </c>
      <c r="J937" s="137">
        <v>1</v>
      </c>
    </row>
    <row r="938" spans="2:10" ht="15" customHeight="1" x14ac:dyDescent="0.3">
      <c r="B938" s="132" t="s">
        <v>1578</v>
      </c>
      <c r="C938" s="132" t="s">
        <v>1529</v>
      </c>
      <c r="D938" s="132" t="s">
        <v>1530</v>
      </c>
      <c r="E938" s="132" t="s">
        <v>320</v>
      </c>
      <c r="F938" s="133" t="s">
        <v>1579</v>
      </c>
      <c r="G938" s="134">
        <v>1.29</v>
      </c>
      <c r="H938" s="135">
        <v>13.45</v>
      </c>
      <c r="I938" s="136">
        <f t="shared" si="14"/>
        <v>17.3505</v>
      </c>
      <c r="J938" s="137">
        <v>1</v>
      </c>
    </row>
    <row r="939" spans="2:10" ht="15" customHeight="1" x14ac:dyDescent="0.3">
      <c r="B939" s="132" t="s">
        <v>1580</v>
      </c>
      <c r="C939" s="132" t="s">
        <v>1529</v>
      </c>
      <c r="D939" s="132" t="s">
        <v>1530</v>
      </c>
      <c r="E939" s="132" t="s">
        <v>320</v>
      </c>
      <c r="F939" s="133" t="s">
        <v>1581</v>
      </c>
      <c r="G939" s="134">
        <v>3.06</v>
      </c>
      <c r="H939" s="135">
        <v>13.45</v>
      </c>
      <c r="I939" s="136">
        <f t="shared" si="14"/>
        <v>41.156999999999996</v>
      </c>
      <c r="J939" s="137">
        <v>1</v>
      </c>
    </row>
    <row r="940" spans="2:10" ht="15" customHeight="1" x14ac:dyDescent="0.3">
      <c r="B940" s="132" t="s">
        <v>1580</v>
      </c>
      <c r="C940" s="132" t="s">
        <v>1529</v>
      </c>
      <c r="D940" s="132" t="s">
        <v>1530</v>
      </c>
      <c r="E940" s="132" t="s">
        <v>320</v>
      </c>
      <c r="F940" s="133" t="s">
        <v>1582</v>
      </c>
      <c r="G940" s="134">
        <v>2.92</v>
      </c>
      <c r="H940" s="135">
        <v>13.45</v>
      </c>
      <c r="I940" s="136">
        <f t="shared" si="14"/>
        <v>39.273999999999994</v>
      </c>
      <c r="J940" s="137">
        <v>1</v>
      </c>
    </row>
    <row r="941" spans="2:10" ht="15" customHeight="1" x14ac:dyDescent="0.3">
      <c r="B941" s="132" t="s">
        <v>1580</v>
      </c>
      <c r="C941" s="132" t="s">
        <v>1529</v>
      </c>
      <c r="D941" s="132" t="s">
        <v>1530</v>
      </c>
      <c r="E941" s="132" t="s">
        <v>320</v>
      </c>
      <c r="F941" s="133" t="s">
        <v>1583</v>
      </c>
      <c r="G941" s="134">
        <v>2.9</v>
      </c>
      <c r="H941" s="135">
        <v>13.45</v>
      </c>
      <c r="I941" s="136">
        <f t="shared" si="14"/>
        <v>39.004999999999995</v>
      </c>
      <c r="J941" s="137">
        <v>1</v>
      </c>
    </row>
    <row r="942" spans="2:10" ht="15" customHeight="1" x14ac:dyDescent="0.3">
      <c r="B942" s="132" t="s">
        <v>1580</v>
      </c>
      <c r="C942" s="132" t="s">
        <v>1529</v>
      </c>
      <c r="D942" s="132" t="s">
        <v>1530</v>
      </c>
      <c r="E942" s="132" t="s">
        <v>320</v>
      </c>
      <c r="F942" s="133" t="s">
        <v>1584</v>
      </c>
      <c r="G942" s="134">
        <v>2.58</v>
      </c>
      <c r="H942" s="135">
        <v>13.45</v>
      </c>
      <c r="I942" s="136">
        <f t="shared" si="14"/>
        <v>34.701000000000001</v>
      </c>
      <c r="J942" s="137">
        <v>1</v>
      </c>
    </row>
    <row r="943" spans="2:10" ht="15" customHeight="1" x14ac:dyDescent="0.3">
      <c r="B943" s="132" t="s">
        <v>1580</v>
      </c>
      <c r="C943" s="132" t="s">
        <v>1529</v>
      </c>
      <c r="D943" s="132" t="s">
        <v>1530</v>
      </c>
      <c r="E943" s="132" t="s">
        <v>320</v>
      </c>
      <c r="F943" s="133" t="s">
        <v>1585</v>
      </c>
      <c r="G943" s="134">
        <v>1.95</v>
      </c>
      <c r="H943" s="135">
        <v>13.45</v>
      </c>
      <c r="I943" s="136">
        <f t="shared" si="14"/>
        <v>26.227499999999999</v>
      </c>
      <c r="J943" s="137">
        <v>1</v>
      </c>
    </row>
    <row r="944" spans="2:10" ht="15" customHeight="1" x14ac:dyDescent="0.3">
      <c r="B944" s="132" t="s">
        <v>1580</v>
      </c>
      <c r="C944" s="132" t="s">
        <v>1529</v>
      </c>
      <c r="D944" s="132" t="s">
        <v>1530</v>
      </c>
      <c r="E944" s="132" t="s">
        <v>320</v>
      </c>
      <c r="F944" s="133" t="s">
        <v>1586</v>
      </c>
      <c r="G944" s="134">
        <v>2.2799999999999998</v>
      </c>
      <c r="H944" s="135">
        <v>13.45</v>
      </c>
      <c r="I944" s="136">
        <f t="shared" si="14"/>
        <v>30.665999999999997</v>
      </c>
      <c r="J944" s="137">
        <v>1</v>
      </c>
    </row>
    <row r="945" spans="2:10" ht="15" customHeight="1" x14ac:dyDescent="0.3">
      <c r="B945" s="132" t="s">
        <v>1587</v>
      </c>
      <c r="C945" s="132" t="s">
        <v>1529</v>
      </c>
      <c r="D945" s="132" t="s">
        <v>1530</v>
      </c>
      <c r="E945" s="132" t="s">
        <v>320</v>
      </c>
      <c r="F945" s="133" t="s">
        <v>1588</v>
      </c>
      <c r="G945" s="134">
        <v>3.25</v>
      </c>
      <c r="H945" s="135">
        <v>13.45</v>
      </c>
      <c r="I945" s="136">
        <f t="shared" si="14"/>
        <v>43.712499999999999</v>
      </c>
      <c r="J945" s="137">
        <v>1</v>
      </c>
    </row>
    <row r="946" spans="2:10" ht="15" customHeight="1" x14ac:dyDescent="0.3">
      <c r="B946" s="132" t="s">
        <v>1589</v>
      </c>
      <c r="C946" s="132" t="s">
        <v>1529</v>
      </c>
      <c r="D946" s="132" t="s">
        <v>1530</v>
      </c>
      <c r="E946" s="132" t="s">
        <v>320</v>
      </c>
      <c r="F946" s="133" t="s">
        <v>1590</v>
      </c>
      <c r="G946" s="134">
        <v>2.62</v>
      </c>
      <c r="H946" s="135">
        <v>13.45</v>
      </c>
      <c r="I946" s="136">
        <f t="shared" si="14"/>
        <v>35.238999999999997</v>
      </c>
      <c r="J946" s="137">
        <v>1</v>
      </c>
    </row>
    <row r="947" spans="2:10" ht="15" customHeight="1" x14ac:dyDescent="0.3">
      <c r="B947" s="132" t="s">
        <v>1591</v>
      </c>
      <c r="C947" s="132" t="s">
        <v>1529</v>
      </c>
      <c r="D947" s="132" t="s">
        <v>1530</v>
      </c>
      <c r="E947" s="132" t="s">
        <v>320</v>
      </c>
      <c r="F947" s="133" t="s">
        <v>1592</v>
      </c>
      <c r="G947" s="134">
        <v>3.28</v>
      </c>
      <c r="H947" s="135">
        <v>13.45</v>
      </c>
      <c r="I947" s="136">
        <f t="shared" si="14"/>
        <v>44.115999999999993</v>
      </c>
      <c r="J947" s="137">
        <v>1</v>
      </c>
    </row>
    <row r="948" spans="2:10" ht="15" customHeight="1" x14ac:dyDescent="0.3">
      <c r="B948" s="132" t="s">
        <v>1593</v>
      </c>
      <c r="C948" s="132" t="s">
        <v>1529</v>
      </c>
      <c r="D948" s="132" t="s">
        <v>1530</v>
      </c>
      <c r="E948" s="132" t="s">
        <v>320</v>
      </c>
      <c r="F948" s="133" t="s">
        <v>1594</v>
      </c>
      <c r="G948" s="134">
        <v>6.14</v>
      </c>
      <c r="H948" s="135">
        <v>13.45</v>
      </c>
      <c r="I948" s="136">
        <f t="shared" si="14"/>
        <v>82.582999999999998</v>
      </c>
      <c r="J948" s="137">
        <v>1</v>
      </c>
    </row>
    <row r="949" spans="2:10" ht="15" customHeight="1" x14ac:dyDescent="0.3">
      <c r="B949" s="132" t="s">
        <v>1595</v>
      </c>
      <c r="C949" s="132" t="s">
        <v>1529</v>
      </c>
      <c r="D949" s="132" t="s">
        <v>1530</v>
      </c>
      <c r="E949" s="132" t="s">
        <v>320</v>
      </c>
      <c r="F949" s="133" t="s">
        <v>1596</v>
      </c>
      <c r="G949" s="134">
        <v>1.8</v>
      </c>
      <c r="H949" s="135">
        <v>13.45</v>
      </c>
      <c r="I949" s="136">
        <f t="shared" si="14"/>
        <v>24.21</v>
      </c>
      <c r="J949" s="137">
        <v>1</v>
      </c>
    </row>
    <row r="950" spans="2:10" ht="15" customHeight="1" x14ac:dyDescent="0.3">
      <c r="B950" s="132" t="s">
        <v>1597</v>
      </c>
      <c r="C950" s="132" t="s">
        <v>1529</v>
      </c>
      <c r="D950" s="132" t="s">
        <v>1530</v>
      </c>
      <c r="E950" s="132" t="s">
        <v>320</v>
      </c>
      <c r="F950" s="133" t="s">
        <v>1598</v>
      </c>
      <c r="G950" s="134">
        <v>2.2799999999999998</v>
      </c>
      <c r="H950" s="135">
        <v>13.45</v>
      </c>
      <c r="I950" s="136">
        <f t="shared" si="14"/>
        <v>30.665999999999997</v>
      </c>
      <c r="J950" s="137">
        <v>1</v>
      </c>
    </row>
    <row r="951" spans="2:10" ht="15" customHeight="1" x14ac:dyDescent="0.3">
      <c r="B951" s="132" t="s">
        <v>1599</v>
      </c>
      <c r="C951" s="132" t="s">
        <v>1529</v>
      </c>
      <c r="D951" s="132" t="s">
        <v>1530</v>
      </c>
      <c r="E951" s="132" t="s">
        <v>320</v>
      </c>
      <c r="F951" s="133" t="s">
        <v>1600</v>
      </c>
      <c r="G951" s="134">
        <v>6.24</v>
      </c>
      <c r="H951" s="135">
        <v>13.45</v>
      </c>
      <c r="I951" s="136">
        <f t="shared" si="14"/>
        <v>83.927999999999997</v>
      </c>
      <c r="J951" s="137">
        <v>1</v>
      </c>
    </row>
    <row r="952" spans="2:10" ht="15" customHeight="1" x14ac:dyDescent="0.3">
      <c r="B952" s="132" t="s">
        <v>1601</v>
      </c>
      <c r="C952" s="132" t="s">
        <v>1529</v>
      </c>
      <c r="D952" s="132" t="s">
        <v>1530</v>
      </c>
      <c r="E952" s="132" t="s">
        <v>320</v>
      </c>
      <c r="F952" s="133" t="s">
        <v>1602</v>
      </c>
      <c r="G952" s="134">
        <v>4.22</v>
      </c>
      <c r="H952" s="135">
        <v>13.45</v>
      </c>
      <c r="I952" s="136">
        <f t="shared" si="14"/>
        <v>56.758999999999993</v>
      </c>
      <c r="J952" s="137">
        <v>1</v>
      </c>
    </row>
    <row r="953" spans="2:10" ht="15" customHeight="1" x14ac:dyDescent="0.3">
      <c r="B953" s="132" t="s">
        <v>1603</v>
      </c>
      <c r="C953" s="132" t="s">
        <v>1529</v>
      </c>
      <c r="D953" s="132" t="s">
        <v>1530</v>
      </c>
      <c r="E953" s="132" t="s">
        <v>320</v>
      </c>
      <c r="F953" s="133" t="s">
        <v>1604</v>
      </c>
      <c r="G953" s="134">
        <v>3.16</v>
      </c>
      <c r="H953" s="135">
        <v>13.45</v>
      </c>
      <c r="I953" s="136">
        <f t="shared" si="14"/>
        <v>42.502000000000002</v>
      </c>
      <c r="J953" s="137">
        <v>1</v>
      </c>
    </row>
    <row r="954" spans="2:10" ht="15" customHeight="1" x14ac:dyDescent="0.3">
      <c r="B954" s="132" t="s">
        <v>1603</v>
      </c>
      <c r="C954" s="132" t="s">
        <v>1529</v>
      </c>
      <c r="D954" s="132" t="s">
        <v>1530</v>
      </c>
      <c r="E954" s="132" t="s">
        <v>320</v>
      </c>
      <c r="F954" s="133" t="s">
        <v>1605</v>
      </c>
      <c r="G954" s="134">
        <v>1.95</v>
      </c>
      <c r="H954" s="135">
        <v>13.45</v>
      </c>
      <c r="I954" s="136">
        <f t="shared" si="14"/>
        <v>26.227499999999999</v>
      </c>
      <c r="J954" s="137">
        <v>1</v>
      </c>
    </row>
    <row r="955" spans="2:10" ht="15" customHeight="1" x14ac:dyDescent="0.3">
      <c r="B955" s="132" t="s">
        <v>1606</v>
      </c>
      <c r="C955" s="132" t="s">
        <v>1529</v>
      </c>
      <c r="D955" s="132" t="s">
        <v>1530</v>
      </c>
      <c r="E955" s="132" t="s">
        <v>320</v>
      </c>
      <c r="F955" s="133" t="s">
        <v>1607</v>
      </c>
      <c r="G955" s="134">
        <v>3.1</v>
      </c>
      <c r="H955" s="135">
        <v>13.45</v>
      </c>
      <c r="I955" s="136">
        <f t="shared" si="14"/>
        <v>41.695</v>
      </c>
      <c r="J955" s="137">
        <v>1</v>
      </c>
    </row>
    <row r="956" spans="2:10" ht="15" customHeight="1" x14ac:dyDescent="0.3">
      <c r="B956" s="132" t="s">
        <v>1606</v>
      </c>
      <c r="C956" s="132" t="s">
        <v>1529</v>
      </c>
      <c r="D956" s="132" t="s">
        <v>1530</v>
      </c>
      <c r="E956" s="132" t="s">
        <v>320</v>
      </c>
      <c r="F956" s="133" t="s">
        <v>1608</v>
      </c>
      <c r="G956" s="134">
        <v>3.79</v>
      </c>
      <c r="H956" s="135">
        <v>13.45</v>
      </c>
      <c r="I956" s="136">
        <f t="shared" si="14"/>
        <v>50.975499999999997</v>
      </c>
      <c r="J956" s="137">
        <v>1</v>
      </c>
    </row>
    <row r="957" spans="2:10" ht="15" customHeight="1" x14ac:dyDescent="0.3">
      <c r="B957" s="132" t="s">
        <v>1609</v>
      </c>
      <c r="C957" s="132" t="s">
        <v>1529</v>
      </c>
      <c r="D957" s="132" t="s">
        <v>1530</v>
      </c>
      <c r="E957" s="132" t="s">
        <v>320</v>
      </c>
      <c r="F957" s="133" t="s">
        <v>1610</v>
      </c>
      <c r="G957" s="134">
        <v>2.95</v>
      </c>
      <c r="H957" s="135">
        <v>13.45</v>
      </c>
      <c r="I957" s="136">
        <f t="shared" si="14"/>
        <v>39.677500000000002</v>
      </c>
      <c r="J957" s="137">
        <v>1</v>
      </c>
    </row>
    <row r="958" spans="2:10" ht="15" customHeight="1" x14ac:dyDescent="0.3">
      <c r="B958" s="132" t="s">
        <v>1611</v>
      </c>
      <c r="C958" s="132" t="s">
        <v>1529</v>
      </c>
      <c r="D958" s="132" t="s">
        <v>1530</v>
      </c>
      <c r="E958" s="132" t="s">
        <v>320</v>
      </c>
      <c r="F958" s="133" t="s">
        <v>1612</v>
      </c>
      <c r="G958" s="134">
        <v>1.61</v>
      </c>
      <c r="H958" s="135">
        <v>13.45</v>
      </c>
      <c r="I958" s="136">
        <f t="shared" si="14"/>
        <v>21.654499999999999</v>
      </c>
      <c r="J958" s="137">
        <v>1</v>
      </c>
    </row>
    <row r="959" spans="2:10" ht="15" customHeight="1" x14ac:dyDescent="0.3">
      <c r="B959" s="132" t="s">
        <v>1611</v>
      </c>
      <c r="C959" s="132" t="s">
        <v>1529</v>
      </c>
      <c r="D959" s="132" t="s">
        <v>1530</v>
      </c>
      <c r="E959" s="132" t="s">
        <v>320</v>
      </c>
      <c r="F959" s="133" t="s">
        <v>1613</v>
      </c>
      <c r="G959" s="134">
        <v>1.62</v>
      </c>
      <c r="H959" s="135">
        <v>13.45</v>
      </c>
      <c r="I959" s="136">
        <f t="shared" si="14"/>
        <v>21.789000000000001</v>
      </c>
      <c r="J959" s="137">
        <v>1</v>
      </c>
    </row>
    <row r="960" spans="2:10" ht="15" customHeight="1" x14ac:dyDescent="0.3">
      <c r="B960" s="132" t="s">
        <v>1611</v>
      </c>
      <c r="C960" s="132" t="s">
        <v>1529</v>
      </c>
      <c r="D960" s="132" t="s">
        <v>1530</v>
      </c>
      <c r="E960" s="132" t="s">
        <v>320</v>
      </c>
      <c r="F960" s="133" t="s">
        <v>1614</v>
      </c>
      <c r="G960" s="134">
        <v>3.43</v>
      </c>
      <c r="H960" s="135">
        <v>13.45</v>
      </c>
      <c r="I960" s="136">
        <f t="shared" si="14"/>
        <v>46.133499999999998</v>
      </c>
      <c r="J960" s="137">
        <v>1</v>
      </c>
    </row>
    <row r="961" spans="2:10" ht="15" customHeight="1" x14ac:dyDescent="0.3">
      <c r="B961" s="132" t="s">
        <v>1611</v>
      </c>
      <c r="C961" s="132" t="s">
        <v>1529</v>
      </c>
      <c r="D961" s="132" t="s">
        <v>1530</v>
      </c>
      <c r="E961" s="132" t="s">
        <v>320</v>
      </c>
      <c r="F961" s="133" t="s">
        <v>1615</v>
      </c>
      <c r="G961" s="134">
        <v>2.2799999999999998</v>
      </c>
      <c r="H961" s="135">
        <v>13.45</v>
      </c>
      <c r="I961" s="136">
        <f t="shared" si="14"/>
        <v>30.665999999999997</v>
      </c>
      <c r="J961" s="137">
        <v>1</v>
      </c>
    </row>
    <row r="962" spans="2:10" ht="15" customHeight="1" x14ac:dyDescent="0.3">
      <c r="B962" s="132" t="s">
        <v>1611</v>
      </c>
      <c r="C962" s="132" t="s">
        <v>1529</v>
      </c>
      <c r="D962" s="132" t="s">
        <v>1530</v>
      </c>
      <c r="E962" s="132" t="s">
        <v>320</v>
      </c>
      <c r="F962" s="133" t="s">
        <v>1616</v>
      </c>
      <c r="G962" s="134">
        <v>9.9499999999999993</v>
      </c>
      <c r="H962" s="135">
        <v>13.45</v>
      </c>
      <c r="I962" s="136">
        <f t="shared" si="14"/>
        <v>133.82749999999999</v>
      </c>
      <c r="J962" s="137">
        <v>1</v>
      </c>
    </row>
    <row r="963" spans="2:10" ht="15" customHeight="1" x14ac:dyDescent="0.3">
      <c r="B963" s="132" t="s">
        <v>1611</v>
      </c>
      <c r="C963" s="132" t="s">
        <v>1529</v>
      </c>
      <c r="D963" s="132" t="s">
        <v>1530</v>
      </c>
      <c r="E963" s="132" t="s">
        <v>320</v>
      </c>
      <c r="F963" s="133" t="s">
        <v>1617</v>
      </c>
      <c r="G963" s="134">
        <v>9.89</v>
      </c>
      <c r="H963" s="135">
        <v>13.45</v>
      </c>
      <c r="I963" s="136">
        <f t="shared" si="14"/>
        <v>133.0205</v>
      </c>
      <c r="J963" s="137">
        <v>1</v>
      </c>
    </row>
    <row r="964" spans="2:10" ht="15" customHeight="1" x14ac:dyDescent="0.3">
      <c r="B964" s="132" t="s">
        <v>1611</v>
      </c>
      <c r="C964" s="132" t="s">
        <v>1529</v>
      </c>
      <c r="D964" s="132" t="s">
        <v>1530</v>
      </c>
      <c r="E964" s="132" t="s">
        <v>320</v>
      </c>
      <c r="F964" s="133" t="s">
        <v>1618</v>
      </c>
      <c r="G964" s="134">
        <v>3.11</v>
      </c>
      <c r="H964" s="135">
        <v>13.45</v>
      </c>
      <c r="I964" s="136">
        <f t="shared" si="14"/>
        <v>41.829499999999996</v>
      </c>
      <c r="J964" s="137">
        <v>1</v>
      </c>
    </row>
    <row r="965" spans="2:10" ht="15" customHeight="1" x14ac:dyDescent="0.3">
      <c r="B965" s="132" t="s">
        <v>1619</v>
      </c>
      <c r="C965" s="132" t="s">
        <v>1529</v>
      </c>
      <c r="D965" s="132" t="s">
        <v>1530</v>
      </c>
      <c r="E965" s="132" t="s">
        <v>320</v>
      </c>
      <c r="F965" s="133" t="s">
        <v>1620</v>
      </c>
      <c r="G965" s="134">
        <v>1.62</v>
      </c>
      <c r="H965" s="135">
        <v>13.45</v>
      </c>
      <c r="I965" s="136">
        <f t="shared" si="14"/>
        <v>21.789000000000001</v>
      </c>
      <c r="J965" s="137">
        <v>1</v>
      </c>
    </row>
    <row r="966" spans="2:10" ht="15" customHeight="1" x14ac:dyDescent="0.3">
      <c r="B966" s="132" t="s">
        <v>1619</v>
      </c>
      <c r="C966" s="132" t="s">
        <v>1529</v>
      </c>
      <c r="D966" s="132" t="s">
        <v>1530</v>
      </c>
      <c r="E966" s="132" t="s">
        <v>320</v>
      </c>
      <c r="F966" s="133" t="s">
        <v>1621</v>
      </c>
      <c r="G966" s="134">
        <v>1.61</v>
      </c>
      <c r="H966" s="135">
        <v>13.45</v>
      </c>
      <c r="I966" s="136">
        <f t="shared" si="14"/>
        <v>21.654499999999999</v>
      </c>
      <c r="J966" s="137">
        <v>1</v>
      </c>
    </row>
    <row r="967" spans="2:10" ht="15" customHeight="1" x14ac:dyDescent="0.3">
      <c r="B967" s="132" t="s">
        <v>1619</v>
      </c>
      <c r="C967" s="132" t="s">
        <v>1529</v>
      </c>
      <c r="D967" s="132" t="s">
        <v>1530</v>
      </c>
      <c r="E967" s="132" t="s">
        <v>320</v>
      </c>
      <c r="F967" s="133" t="s">
        <v>1622</v>
      </c>
      <c r="G967" s="134">
        <v>1.46</v>
      </c>
      <c r="H967" s="135">
        <v>13.45</v>
      </c>
      <c r="I967" s="136">
        <f t="shared" si="14"/>
        <v>19.636999999999997</v>
      </c>
      <c r="J967" s="137">
        <v>1</v>
      </c>
    </row>
    <row r="968" spans="2:10" ht="15" customHeight="1" x14ac:dyDescent="0.3">
      <c r="B968" s="132" t="s">
        <v>1623</v>
      </c>
      <c r="C968" s="132" t="s">
        <v>1529</v>
      </c>
      <c r="D968" s="132" t="s">
        <v>1530</v>
      </c>
      <c r="E968" s="132" t="s">
        <v>320</v>
      </c>
      <c r="F968" s="133" t="s">
        <v>1624</v>
      </c>
      <c r="G968" s="134">
        <v>1.29</v>
      </c>
      <c r="H968" s="135">
        <v>13.45</v>
      </c>
      <c r="I968" s="136">
        <f t="shared" ref="I968:I1031" si="15">G968*H968</f>
        <v>17.3505</v>
      </c>
      <c r="J968" s="137">
        <v>1</v>
      </c>
    </row>
    <row r="969" spans="2:10" ht="15" customHeight="1" x14ac:dyDescent="0.3">
      <c r="B969" s="132" t="s">
        <v>1623</v>
      </c>
      <c r="C969" s="132" t="s">
        <v>1529</v>
      </c>
      <c r="D969" s="132" t="s">
        <v>1530</v>
      </c>
      <c r="E969" s="132" t="s">
        <v>320</v>
      </c>
      <c r="F969" s="133" t="s">
        <v>1625</v>
      </c>
      <c r="G969" s="134">
        <v>1.29</v>
      </c>
      <c r="H969" s="135">
        <v>13.45</v>
      </c>
      <c r="I969" s="136">
        <f t="shared" si="15"/>
        <v>17.3505</v>
      </c>
      <c r="J969" s="137">
        <v>1</v>
      </c>
    </row>
    <row r="970" spans="2:10" ht="15" customHeight="1" x14ac:dyDescent="0.3">
      <c r="B970" s="132" t="s">
        <v>1626</v>
      </c>
      <c r="C970" s="132" t="s">
        <v>1529</v>
      </c>
      <c r="D970" s="132" t="s">
        <v>1530</v>
      </c>
      <c r="E970" s="132" t="s">
        <v>320</v>
      </c>
      <c r="F970" s="133" t="s">
        <v>1627</v>
      </c>
      <c r="G970" s="134">
        <v>6.61</v>
      </c>
      <c r="H970" s="135">
        <v>13.45</v>
      </c>
      <c r="I970" s="136">
        <f t="shared" si="15"/>
        <v>88.904499999999999</v>
      </c>
      <c r="J970" s="137">
        <v>1</v>
      </c>
    </row>
    <row r="971" spans="2:10" ht="15" customHeight="1" x14ac:dyDescent="0.3">
      <c r="B971" s="132" t="s">
        <v>1628</v>
      </c>
      <c r="C971" s="132" t="s">
        <v>1529</v>
      </c>
      <c r="D971" s="132" t="s">
        <v>1530</v>
      </c>
      <c r="E971" s="132" t="s">
        <v>320</v>
      </c>
      <c r="F971" s="133" t="s">
        <v>1629</v>
      </c>
      <c r="G971" s="134">
        <v>9.82</v>
      </c>
      <c r="H971" s="135">
        <v>13.45</v>
      </c>
      <c r="I971" s="136">
        <f t="shared" si="15"/>
        <v>132.07900000000001</v>
      </c>
      <c r="J971" s="137">
        <v>1</v>
      </c>
    </row>
    <row r="972" spans="2:10" ht="15" customHeight="1" x14ac:dyDescent="0.3">
      <c r="B972" s="132" t="s">
        <v>1628</v>
      </c>
      <c r="C972" s="132" t="s">
        <v>1529</v>
      </c>
      <c r="D972" s="132" t="s">
        <v>1530</v>
      </c>
      <c r="E972" s="132" t="s">
        <v>320</v>
      </c>
      <c r="F972" s="133" t="s">
        <v>1630</v>
      </c>
      <c r="G972" s="134">
        <v>9.9</v>
      </c>
      <c r="H972" s="135">
        <v>13.45</v>
      </c>
      <c r="I972" s="136">
        <f t="shared" si="15"/>
        <v>133.155</v>
      </c>
      <c r="J972" s="137">
        <v>1</v>
      </c>
    </row>
    <row r="973" spans="2:10" ht="15" customHeight="1" x14ac:dyDescent="0.3">
      <c r="B973" s="132" t="s">
        <v>1631</v>
      </c>
      <c r="C973" s="132" t="s">
        <v>1529</v>
      </c>
      <c r="D973" s="132" t="s">
        <v>1530</v>
      </c>
      <c r="E973" s="132" t="s">
        <v>320</v>
      </c>
      <c r="F973" s="133" t="s">
        <v>1632</v>
      </c>
      <c r="G973" s="134">
        <v>1.34</v>
      </c>
      <c r="H973" s="135">
        <v>13.45</v>
      </c>
      <c r="I973" s="136">
        <f t="shared" si="15"/>
        <v>18.023</v>
      </c>
      <c r="J973" s="137">
        <v>1</v>
      </c>
    </row>
    <row r="974" spans="2:10" ht="15" customHeight="1" x14ac:dyDescent="0.3">
      <c r="B974" s="132" t="s">
        <v>1633</v>
      </c>
      <c r="C974" s="132" t="s">
        <v>1529</v>
      </c>
      <c r="D974" s="132" t="s">
        <v>1530</v>
      </c>
      <c r="E974" s="132" t="s">
        <v>320</v>
      </c>
      <c r="F974" s="133" t="s">
        <v>1634</v>
      </c>
      <c r="G974" s="134">
        <v>3.53</v>
      </c>
      <c r="H974" s="135">
        <v>13.45</v>
      </c>
      <c r="I974" s="136">
        <f t="shared" si="15"/>
        <v>47.478499999999997</v>
      </c>
      <c r="J974" s="137">
        <v>1</v>
      </c>
    </row>
    <row r="975" spans="2:10" ht="15" customHeight="1" x14ac:dyDescent="0.3">
      <c r="B975" s="132" t="s">
        <v>1633</v>
      </c>
      <c r="C975" s="132" t="s">
        <v>1529</v>
      </c>
      <c r="D975" s="132" t="s">
        <v>1530</v>
      </c>
      <c r="E975" s="132" t="s">
        <v>320</v>
      </c>
      <c r="F975" s="133" t="s">
        <v>1635</v>
      </c>
      <c r="G975" s="134">
        <v>3.57</v>
      </c>
      <c r="H975" s="135">
        <v>13.45</v>
      </c>
      <c r="I975" s="136">
        <f t="shared" si="15"/>
        <v>48.016499999999994</v>
      </c>
      <c r="J975" s="137">
        <v>1</v>
      </c>
    </row>
    <row r="976" spans="2:10" ht="15" customHeight="1" x14ac:dyDescent="0.3">
      <c r="B976" s="132" t="s">
        <v>1636</v>
      </c>
      <c r="C976" s="132" t="s">
        <v>1529</v>
      </c>
      <c r="D976" s="132" t="s">
        <v>1530</v>
      </c>
      <c r="E976" s="132" t="s">
        <v>320</v>
      </c>
      <c r="F976" s="133" t="s">
        <v>1637</v>
      </c>
      <c r="G976" s="134">
        <v>1.79</v>
      </c>
      <c r="H976" s="135">
        <v>13.45</v>
      </c>
      <c r="I976" s="136">
        <f t="shared" si="15"/>
        <v>24.075499999999998</v>
      </c>
      <c r="J976" s="137">
        <v>1</v>
      </c>
    </row>
    <row r="977" spans="2:10" ht="15" customHeight="1" x14ac:dyDescent="0.3">
      <c r="B977" s="132" t="s">
        <v>1636</v>
      </c>
      <c r="C977" s="132" t="s">
        <v>1529</v>
      </c>
      <c r="D977" s="132" t="s">
        <v>1530</v>
      </c>
      <c r="E977" s="132" t="s">
        <v>320</v>
      </c>
      <c r="F977" s="133" t="s">
        <v>1638</v>
      </c>
      <c r="G977" s="134">
        <v>1.78</v>
      </c>
      <c r="H977" s="135">
        <v>13.45</v>
      </c>
      <c r="I977" s="136">
        <f t="shared" si="15"/>
        <v>23.940999999999999</v>
      </c>
      <c r="J977" s="137">
        <v>1</v>
      </c>
    </row>
    <row r="978" spans="2:10" ht="15" customHeight="1" x14ac:dyDescent="0.3">
      <c r="B978" s="132" t="s">
        <v>1639</v>
      </c>
      <c r="C978" s="132" t="s">
        <v>1529</v>
      </c>
      <c r="D978" s="132" t="s">
        <v>1530</v>
      </c>
      <c r="E978" s="132" t="s">
        <v>320</v>
      </c>
      <c r="F978" s="133" t="s">
        <v>1640</v>
      </c>
      <c r="G978" s="134">
        <v>3.07</v>
      </c>
      <c r="H978" s="135">
        <v>13.45</v>
      </c>
      <c r="I978" s="136">
        <f t="shared" si="15"/>
        <v>41.291499999999999</v>
      </c>
      <c r="J978" s="137">
        <v>1</v>
      </c>
    </row>
    <row r="979" spans="2:10" ht="15" customHeight="1" x14ac:dyDescent="0.3">
      <c r="B979" s="132" t="s">
        <v>1639</v>
      </c>
      <c r="C979" s="132" t="s">
        <v>1529</v>
      </c>
      <c r="D979" s="132" t="s">
        <v>1530</v>
      </c>
      <c r="E979" s="132" t="s">
        <v>320</v>
      </c>
      <c r="F979" s="133" t="s">
        <v>1641</v>
      </c>
      <c r="G979" s="134">
        <v>3.05</v>
      </c>
      <c r="H979" s="135">
        <v>13.45</v>
      </c>
      <c r="I979" s="136">
        <f t="shared" si="15"/>
        <v>41.022499999999994</v>
      </c>
      <c r="J979" s="137">
        <v>1</v>
      </c>
    </row>
    <row r="980" spans="2:10" ht="15" customHeight="1" x14ac:dyDescent="0.3">
      <c r="B980" s="132" t="s">
        <v>1639</v>
      </c>
      <c r="C980" s="132" t="s">
        <v>1529</v>
      </c>
      <c r="D980" s="132" t="s">
        <v>1530</v>
      </c>
      <c r="E980" s="132" t="s">
        <v>320</v>
      </c>
      <c r="F980" s="133" t="s">
        <v>1642</v>
      </c>
      <c r="G980" s="134">
        <v>6.51</v>
      </c>
      <c r="H980" s="135">
        <v>13.45</v>
      </c>
      <c r="I980" s="136">
        <f t="shared" si="15"/>
        <v>87.559499999999986</v>
      </c>
      <c r="J980" s="137">
        <v>1</v>
      </c>
    </row>
    <row r="981" spans="2:10" ht="15" customHeight="1" x14ac:dyDescent="0.3">
      <c r="B981" s="132" t="s">
        <v>1643</v>
      </c>
      <c r="C981" s="132" t="s">
        <v>1529</v>
      </c>
      <c r="D981" s="132" t="s">
        <v>1530</v>
      </c>
      <c r="E981" s="132" t="s">
        <v>320</v>
      </c>
      <c r="F981" s="133" t="s">
        <v>1644</v>
      </c>
      <c r="G981" s="134">
        <v>3.25</v>
      </c>
      <c r="H981" s="135">
        <v>13.45</v>
      </c>
      <c r="I981" s="136">
        <f t="shared" si="15"/>
        <v>43.712499999999999</v>
      </c>
      <c r="J981" s="137">
        <v>1</v>
      </c>
    </row>
    <row r="982" spans="2:10" ht="15" customHeight="1" x14ac:dyDescent="0.3">
      <c r="B982" s="132" t="s">
        <v>1645</v>
      </c>
      <c r="C982" s="132" t="s">
        <v>1529</v>
      </c>
      <c r="D982" s="132" t="s">
        <v>1530</v>
      </c>
      <c r="E982" s="132" t="s">
        <v>320</v>
      </c>
      <c r="F982" s="133" t="s">
        <v>1646</v>
      </c>
      <c r="G982" s="134">
        <v>2.57</v>
      </c>
      <c r="H982" s="135">
        <v>13.45</v>
      </c>
      <c r="I982" s="136">
        <f t="shared" si="15"/>
        <v>34.566499999999998</v>
      </c>
      <c r="J982" s="137">
        <v>1</v>
      </c>
    </row>
    <row r="983" spans="2:10" ht="15" customHeight="1" x14ac:dyDescent="0.3">
      <c r="B983" s="132" t="s">
        <v>1645</v>
      </c>
      <c r="C983" s="132" t="s">
        <v>1529</v>
      </c>
      <c r="D983" s="132" t="s">
        <v>1530</v>
      </c>
      <c r="E983" s="132" t="s">
        <v>320</v>
      </c>
      <c r="F983" s="133" t="s">
        <v>1647</v>
      </c>
      <c r="G983" s="134">
        <v>2.57</v>
      </c>
      <c r="H983" s="135">
        <v>13.45</v>
      </c>
      <c r="I983" s="136">
        <f t="shared" si="15"/>
        <v>34.566499999999998</v>
      </c>
      <c r="J983" s="137">
        <v>1</v>
      </c>
    </row>
    <row r="984" spans="2:10" ht="15" customHeight="1" x14ac:dyDescent="0.3">
      <c r="B984" s="132" t="s">
        <v>1645</v>
      </c>
      <c r="C984" s="132" t="s">
        <v>1529</v>
      </c>
      <c r="D984" s="132" t="s">
        <v>1530</v>
      </c>
      <c r="E984" s="132" t="s">
        <v>320</v>
      </c>
      <c r="F984" s="133" t="s">
        <v>1648</v>
      </c>
      <c r="G984" s="134">
        <v>1.8</v>
      </c>
      <c r="H984" s="135">
        <v>13.45</v>
      </c>
      <c r="I984" s="136">
        <f t="shared" si="15"/>
        <v>24.21</v>
      </c>
      <c r="J984" s="137">
        <v>1</v>
      </c>
    </row>
    <row r="985" spans="2:10" ht="15" customHeight="1" x14ac:dyDescent="0.3">
      <c r="B985" s="132" t="s">
        <v>1645</v>
      </c>
      <c r="C985" s="132" t="s">
        <v>1529</v>
      </c>
      <c r="D985" s="132" t="s">
        <v>1530</v>
      </c>
      <c r="E985" s="132" t="s">
        <v>320</v>
      </c>
      <c r="F985" s="133" t="s">
        <v>1649</v>
      </c>
      <c r="G985" s="134">
        <v>1.82</v>
      </c>
      <c r="H985" s="135">
        <v>13.45</v>
      </c>
      <c r="I985" s="136">
        <f t="shared" si="15"/>
        <v>24.478999999999999</v>
      </c>
      <c r="J985" s="137">
        <v>1</v>
      </c>
    </row>
    <row r="986" spans="2:10" ht="15" customHeight="1" x14ac:dyDescent="0.3">
      <c r="B986" s="132" t="s">
        <v>1645</v>
      </c>
      <c r="C986" s="132" t="s">
        <v>1529</v>
      </c>
      <c r="D986" s="132" t="s">
        <v>1530</v>
      </c>
      <c r="E986" s="132" t="s">
        <v>320</v>
      </c>
      <c r="F986" s="133" t="s">
        <v>1650</v>
      </c>
      <c r="G986" s="134">
        <v>4.88</v>
      </c>
      <c r="H986" s="135">
        <v>13.45</v>
      </c>
      <c r="I986" s="136">
        <f t="shared" si="15"/>
        <v>65.635999999999996</v>
      </c>
      <c r="J986" s="137">
        <v>1</v>
      </c>
    </row>
    <row r="987" spans="2:10" ht="15" customHeight="1" x14ac:dyDescent="0.3">
      <c r="B987" s="132" t="s">
        <v>1645</v>
      </c>
      <c r="C987" s="132" t="s">
        <v>1529</v>
      </c>
      <c r="D987" s="132" t="s">
        <v>1530</v>
      </c>
      <c r="E987" s="132" t="s">
        <v>320</v>
      </c>
      <c r="F987" s="133" t="s">
        <v>1651</v>
      </c>
      <c r="G987" s="134">
        <v>4.82</v>
      </c>
      <c r="H987" s="135">
        <v>13.45</v>
      </c>
      <c r="I987" s="136">
        <f t="shared" si="15"/>
        <v>64.828999999999994</v>
      </c>
      <c r="J987" s="137">
        <v>1</v>
      </c>
    </row>
    <row r="988" spans="2:10" ht="15" customHeight="1" x14ac:dyDescent="0.3">
      <c r="B988" s="132" t="s">
        <v>1652</v>
      </c>
      <c r="C988" s="132" t="s">
        <v>1529</v>
      </c>
      <c r="D988" s="132" t="s">
        <v>1530</v>
      </c>
      <c r="E988" s="132" t="s">
        <v>320</v>
      </c>
      <c r="F988" s="133" t="s">
        <v>1653</v>
      </c>
      <c r="G988" s="134">
        <v>3.32</v>
      </c>
      <c r="H988" s="135">
        <v>13.45</v>
      </c>
      <c r="I988" s="136">
        <f t="shared" si="15"/>
        <v>44.653999999999996</v>
      </c>
      <c r="J988" s="137">
        <v>1</v>
      </c>
    </row>
    <row r="989" spans="2:10" ht="15" customHeight="1" x14ac:dyDescent="0.3">
      <c r="B989" s="132" t="s">
        <v>1654</v>
      </c>
      <c r="C989" s="132" t="s">
        <v>1529</v>
      </c>
      <c r="D989" s="132" t="s">
        <v>1530</v>
      </c>
      <c r="E989" s="132" t="s">
        <v>320</v>
      </c>
      <c r="F989" s="133" t="s">
        <v>1655</v>
      </c>
      <c r="G989" s="134">
        <v>3.23</v>
      </c>
      <c r="H989" s="135">
        <v>13.45</v>
      </c>
      <c r="I989" s="136">
        <f t="shared" si="15"/>
        <v>43.4435</v>
      </c>
      <c r="J989" s="137">
        <v>1</v>
      </c>
    </row>
    <row r="990" spans="2:10" ht="15" customHeight="1" x14ac:dyDescent="0.3">
      <c r="B990" s="132" t="s">
        <v>1654</v>
      </c>
      <c r="C990" s="132" t="s">
        <v>1529</v>
      </c>
      <c r="D990" s="132" t="s">
        <v>1530</v>
      </c>
      <c r="E990" s="132" t="s">
        <v>320</v>
      </c>
      <c r="F990" s="133" t="s">
        <v>1656</v>
      </c>
      <c r="G990" s="134">
        <v>3.24</v>
      </c>
      <c r="H990" s="135">
        <v>13.45</v>
      </c>
      <c r="I990" s="136">
        <f t="shared" si="15"/>
        <v>43.578000000000003</v>
      </c>
      <c r="J990" s="137">
        <v>1</v>
      </c>
    </row>
    <row r="991" spans="2:10" ht="15" customHeight="1" x14ac:dyDescent="0.3">
      <c r="B991" s="132" t="s">
        <v>1657</v>
      </c>
      <c r="C991" s="132" t="s">
        <v>1529</v>
      </c>
      <c r="D991" s="132" t="s">
        <v>1530</v>
      </c>
      <c r="E991" s="132" t="s">
        <v>320</v>
      </c>
      <c r="F991" s="133" t="s">
        <v>1658</v>
      </c>
      <c r="G991" s="134">
        <v>5.82</v>
      </c>
      <c r="H991" s="135">
        <v>13.45</v>
      </c>
      <c r="I991" s="136">
        <f t="shared" si="15"/>
        <v>78.278999999999996</v>
      </c>
      <c r="J991" s="137">
        <v>1</v>
      </c>
    </row>
    <row r="992" spans="2:10" ht="15" customHeight="1" x14ac:dyDescent="0.3">
      <c r="B992" s="132" t="s">
        <v>1657</v>
      </c>
      <c r="C992" s="132" t="s">
        <v>1529</v>
      </c>
      <c r="D992" s="132" t="s">
        <v>1530</v>
      </c>
      <c r="E992" s="132" t="s">
        <v>320</v>
      </c>
      <c r="F992" s="133" t="s">
        <v>1659</v>
      </c>
      <c r="G992" s="134">
        <v>5.55</v>
      </c>
      <c r="H992" s="135">
        <v>13.45</v>
      </c>
      <c r="I992" s="136">
        <f t="shared" si="15"/>
        <v>74.647499999999994</v>
      </c>
      <c r="J992" s="137">
        <v>1</v>
      </c>
    </row>
    <row r="993" spans="2:10" ht="15" customHeight="1" x14ac:dyDescent="0.3">
      <c r="B993" s="132" t="s">
        <v>1660</v>
      </c>
      <c r="C993" s="132" t="s">
        <v>1529</v>
      </c>
      <c r="D993" s="132" t="s">
        <v>1530</v>
      </c>
      <c r="E993" s="132" t="s">
        <v>320</v>
      </c>
      <c r="F993" s="133" t="s">
        <v>1661</v>
      </c>
      <c r="G993" s="134">
        <v>1.62</v>
      </c>
      <c r="H993" s="135">
        <v>13.45</v>
      </c>
      <c r="I993" s="136">
        <f t="shared" si="15"/>
        <v>21.789000000000001</v>
      </c>
      <c r="J993" s="137">
        <v>1</v>
      </c>
    </row>
    <row r="994" spans="2:10" ht="15" customHeight="1" x14ac:dyDescent="0.3">
      <c r="B994" s="132" t="s">
        <v>1660</v>
      </c>
      <c r="C994" s="132" t="s">
        <v>1529</v>
      </c>
      <c r="D994" s="132" t="s">
        <v>1530</v>
      </c>
      <c r="E994" s="132" t="s">
        <v>320</v>
      </c>
      <c r="F994" s="133" t="s">
        <v>1662</v>
      </c>
      <c r="G994" s="134">
        <v>2.27</v>
      </c>
      <c r="H994" s="135">
        <v>13.45</v>
      </c>
      <c r="I994" s="136">
        <f t="shared" si="15"/>
        <v>30.531499999999998</v>
      </c>
      <c r="J994" s="137">
        <v>1</v>
      </c>
    </row>
    <row r="995" spans="2:10" ht="15" customHeight="1" x14ac:dyDescent="0.3">
      <c r="B995" s="132" t="s">
        <v>1660</v>
      </c>
      <c r="C995" s="132" t="s">
        <v>1529</v>
      </c>
      <c r="D995" s="132" t="s">
        <v>1530</v>
      </c>
      <c r="E995" s="132" t="s">
        <v>320</v>
      </c>
      <c r="F995" s="133" t="s">
        <v>1663</v>
      </c>
      <c r="G995" s="134">
        <v>3.61</v>
      </c>
      <c r="H995" s="135">
        <v>13.45</v>
      </c>
      <c r="I995" s="136">
        <f t="shared" si="15"/>
        <v>48.554499999999997</v>
      </c>
      <c r="J995" s="137">
        <v>1</v>
      </c>
    </row>
    <row r="996" spans="2:10" ht="15" customHeight="1" x14ac:dyDescent="0.3">
      <c r="B996" s="132" t="s">
        <v>1660</v>
      </c>
      <c r="C996" s="132" t="s">
        <v>1529</v>
      </c>
      <c r="D996" s="132" t="s">
        <v>1530</v>
      </c>
      <c r="E996" s="132" t="s">
        <v>320</v>
      </c>
      <c r="F996" s="133" t="s">
        <v>1664</v>
      </c>
      <c r="G996" s="134">
        <v>5.53</v>
      </c>
      <c r="H996" s="135">
        <v>13.45</v>
      </c>
      <c r="I996" s="136">
        <f t="shared" si="15"/>
        <v>74.378500000000003</v>
      </c>
      <c r="J996" s="137">
        <v>1</v>
      </c>
    </row>
    <row r="997" spans="2:10" ht="15" customHeight="1" x14ac:dyDescent="0.3">
      <c r="B997" s="132" t="s">
        <v>1665</v>
      </c>
      <c r="C997" s="132" t="s">
        <v>1529</v>
      </c>
      <c r="D997" s="132" t="s">
        <v>1530</v>
      </c>
      <c r="E997" s="132" t="s">
        <v>320</v>
      </c>
      <c r="F997" s="133" t="s">
        <v>1666</v>
      </c>
      <c r="G997" s="134">
        <v>8.34</v>
      </c>
      <c r="H997" s="135">
        <v>13.45</v>
      </c>
      <c r="I997" s="136">
        <f t="shared" si="15"/>
        <v>112.17299999999999</v>
      </c>
      <c r="J997" s="137">
        <v>1</v>
      </c>
    </row>
    <row r="998" spans="2:10" ht="15" customHeight="1" x14ac:dyDescent="0.3">
      <c r="B998" s="132" t="s">
        <v>1667</v>
      </c>
      <c r="C998" s="132" t="s">
        <v>1529</v>
      </c>
      <c r="D998" s="132" t="s">
        <v>1530</v>
      </c>
      <c r="E998" s="132" t="s">
        <v>320</v>
      </c>
      <c r="F998" s="133" t="s">
        <v>1668</v>
      </c>
      <c r="G998" s="134">
        <v>9.27</v>
      </c>
      <c r="H998" s="135">
        <v>13.45</v>
      </c>
      <c r="I998" s="136">
        <f t="shared" si="15"/>
        <v>124.68149999999999</v>
      </c>
      <c r="J998" s="137">
        <v>1</v>
      </c>
    </row>
    <row r="999" spans="2:10" ht="15" customHeight="1" x14ac:dyDescent="0.3">
      <c r="B999" s="132" t="s">
        <v>1667</v>
      </c>
      <c r="C999" s="132" t="s">
        <v>1529</v>
      </c>
      <c r="D999" s="132" t="s">
        <v>1530</v>
      </c>
      <c r="E999" s="132" t="s">
        <v>320</v>
      </c>
      <c r="F999" s="133" t="s">
        <v>1669</v>
      </c>
      <c r="G999" s="134">
        <v>3.9</v>
      </c>
      <c r="H999" s="135">
        <v>13.45</v>
      </c>
      <c r="I999" s="136">
        <f t="shared" si="15"/>
        <v>52.454999999999998</v>
      </c>
      <c r="J999" s="137">
        <v>1</v>
      </c>
    </row>
    <row r="1000" spans="2:10" ht="15" customHeight="1" x14ac:dyDescent="0.3">
      <c r="B1000" s="132" t="s">
        <v>1667</v>
      </c>
      <c r="C1000" s="132" t="s">
        <v>1529</v>
      </c>
      <c r="D1000" s="132" t="s">
        <v>1530</v>
      </c>
      <c r="E1000" s="132" t="s">
        <v>320</v>
      </c>
      <c r="F1000" s="133" t="s">
        <v>1670</v>
      </c>
      <c r="G1000" s="134">
        <v>3.91</v>
      </c>
      <c r="H1000" s="135">
        <v>13.45</v>
      </c>
      <c r="I1000" s="136">
        <f t="shared" si="15"/>
        <v>52.589500000000001</v>
      </c>
      <c r="J1000" s="137">
        <v>1</v>
      </c>
    </row>
    <row r="1001" spans="2:10" ht="15" customHeight="1" x14ac:dyDescent="0.3">
      <c r="B1001" s="132" t="s">
        <v>1671</v>
      </c>
      <c r="C1001" s="132" t="s">
        <v>1529</v>
      </c>
      <c r="D1001" s="132" t="s">
        <v>1530</v>
      </c>
      <c r="E1001" s="132" t="s">
        <v>320</v>
      </c>
      <c r="F1001" s="133" t="s">
        <v>1672</v>
      </c>
      <c r="G1001" s="134">
        <v>9.2200000000000006</v>
      </c>
      <c r="H1001" s="135">
        <v>13.45</v>
      </c>
      <c r="I1001" s="136">
        <f t="shared" si="15"/>
        <v>124.009</v>
      </c>
      <c r="J1001" s="137">
        <v>1</v>
      </c>
    </row>
    <row r="1002" spans="2:10" ht="15" customHeight="1" x14ac:dyDescent="0.3">
      <c r="B1002" s="132" t="s">
        <v>1671</v>
      </c>
      <c r="C1002" s="132" t="s">
        <v>1529</v>
      </c>
      <c r="D1002" s="132" t="s">
        <v>1530</v>
      </c>
      <c r="E1002" s="132" t="s">
        <v>320</v>
      </c>
      <c r="F1002" s="133" t="s">
        <v>1673</v>
      </c>
      <c r="G1002" s="134">
        <v>4.1100000000000003</v>
      </c>
      <c r="H1002" s="135">
        <v>13.45</v>
      </c>
      <c r="I1002" s="136">
        <f t="shared" si="15"/>
        <v>55.279499999999999</v>
      </c>
      <c r="J1002" s="137">
        <v>1</v>
      </c>
    </row>
    <row r="1003" spans="2:10" ht="15" customHeight="1" x14ac:dyDescent="0.3">
      <c r="B1003" s="132" t="s">
        <v>1671</v>
      </c>
      <c r="C1003" s="132" t="s">
        <v>1529</v>
      </c>
      <c r="D1003" s="132" t="s">
        <v>1530</v>
      </c>
      <c r="E1003" s="132" t="s">
        <v>320</v>
      </c>
      <c r="F1003" s="133" t="s">
        <v>1674</v>
      </c>
      <c r="G1003" s="134">
        <v>4.07</v>
      </c>
      <c r="H1003" s="135">
        <v>13.45</v>
      </c>
      <c r="I1003" s="136">
        <f t="shared" si="15"/>
        <v>54.741500000000002</v>
      </c>
      <c r="J1003" s="137">
        <v>1</v>
      </c>
    </row>
    <row r="1004" spans="2:10" ht="15" customHeight="1" x14ac:dyDescent="0.3">
      <c r="B1004" s="132" t="s">
        <v>1671</v>
      </c>
      <c r="C1004" s="132" t="s">
        <v>1529</v>
      </c>
      <c r="D1004" s="132" t="s">
        <v>1530</v>
      </c>
      <c r="E1004" s="132" t="s">
        <v>320</v>
      </c>
      <c r="F1004" s="133" t="s">
        <v>1675</v>
      </c>
      <c r="G1004" s="134">
        <v>1.05</v>
      </c>
      <c r="H1004" s="135">
        <v>13.45</v>
      </c>
      <c r="I1004" s="136">
        <f t="shared" si="15"/>
        <v>14.1225</v>
      </c>
      <c r="J1004" s="137">
        <v>1</v>
      </c>
    </row>
    <row r="1005" spans="2:10" ht="15" customHeight="1" x14ac:dyDescent="0.3">
      <c r="B1005" s="132" t="s">
        <v>1671</v>
      </c>
      <c r="C1005" s="132" t="s">
        <v>1529</v>
      </c>
      <c r="D1005" s="132" t="s">
        <v>1530</v>
      </c>
      <c r="E1005" s="132" t="s">
        <v>320</v>
      </c>
      <c r="F1005" s="133" t="s">
        <v>1676</v>
      </c>
      <c r="G1005" s="134">
        <v>1.06</v>
      </c>
      <c r="H1005" s="135">
        <v>13.45</v>
      </c>
      <c r="I1005" s="136">
        <f t="shared" si="15"/>
        <v>14.257</v>
      </c>
      <c r="J1005" s="137">
        <v>1</v>
      </c>
    </row>
    <row r="1006" spans="2:10" ht="15" customHeight="1" x14ac:dyDescent="0.3">
      <c r="B1006" s="132" t="s">
        <v>1677</v>
      </c>
      <c r="C1006" s="132" t="s">
        <v>1529</v>
      </c>
      <c r="D1006" s="132" t="s">
        <v>1530</v>
      </c>
      <c r="E1006" s="132" t="s">
        <v>320</v>
      </c>
      <c r="F1006" s="133" t="s">
        <v>1678</v>
      </c>
      <c r="G1006" s="134">
        <v>1.23</v>
      </c>
      <c r="H1006" s="135">
        <v>13.45</v>
      </c>
      <c r="I1006" s="136">
        <f t="shared" si="15"/>
        <v>16.543499999999998</v>
      </c>
      <c r="J1006" s="137">
        <v>1</v>
      </c>
    </row>
    <row r="1007" spans="2:10" ht="15" customHeight="1" x14ac:dyDescent="0.3">
      <c r="B1007" s="132" t="s">
        <v>1679</v>
      </c>
      <c r="C1007" s="132" t="s">
        <v>1529</v>
      </c>
      <c r="D1007" s="132" t="s">
        <v>1530</v>
      </c>
      <c r="E1007" s="132" t="s">
        <v>320</v>
      </c>
      <c r="F1007" s="133" t="s">
        <v>1680</v>
      </c>
      <c r="G1007" s="134">
        <v>1.1299999999999999</v>
      </c>
      <c r="H1007" s="135">
        <v>13.45</v>
      </c>
      <c r="I1007" s="136">
        <f t="shared" si="15"/>
        <v>15.198499999999997</v>
      </c>
      <c r="J1007" s="137">
        <v>1</v>
      </c>
    </row>
    <row r="1008" spans="2:10" ht="15" customHeight="1" x14ac:dyDescent="0.3">
      <c r="B1008" s="132" t="s">
        <v>1679</v>
      </c>
      <c r="C1008" s="132" t="s">
        <v>1529</v>
      </c>
      <c r="D1008" s="132" t="s">
        <v>1530</v>
      </c>
      <c r="E1008" s="132" t="s">
        <v>320</v>
      </c>
      <c r="F1008" s="133" t="s">
        <v>1681</v>
      </c>
      <c r="G1008" s="134">
        <v>3.54</v>
      </c>
      <c r="H1008" s="135">
        <v>13.45</v>
      </c>
      <c r="I1008" s="136">
        <f t="shared" si="15"/>
        <v>47.613</v>
      </c>
      <c r="J1008" s="137">
        <v>1</v>
      </c>
    </row>
    <row r="1009" spans="2:10" ht="15" customHeight="1" x14ac:dyDescent="0.3">
      <c r="B1009" s="132" t="s">
        <v>1679</v>
      </c>
      <c r="C1009" s="132" t="s">
        <v>1529</v>
      </c>
      <c r="D1009" s="132" t="s">
        <v>1530</v>
      </c>
      <c r="E1009" s="132" t="s">
        <v>320</v>
      </c>
      <c r="F1009" s="133" t="s">
        <v>1682</v>
      </c>
      <c r="G1009" s="134">
        <v>8.3699999999999992</v>
      </c>
      <c r="H1009" s="135">
        <v>13.45</v>
      </c>
      <c r="I1009" s="136">
        <f t="shared" si="15"/>
        <v>112.57649999999998</v>
      </c>
      <c r="J1009" s="137">
        <v>1</v>
      </c>
    </row>
    <row r="1010" spans="2:10" ht="15" customHeight="1" x14ac:dyDescent="0.3">
      <c r="B1010" s="132" t="s">
        <v>1679</v>
      </c>
      <c r="C1010" s="132" t="s">
        <v>1529</v>
      </c>
      <c r="D1010" s="132" t="s">
        <v>1530</v>
      </c>
      <c r="E1010" s="132" t="s">
        <v>320</v>
      </c>
      <c r="F1010" s="133" t="s">
        <v>1683</v>
      </c>
      <c r="G1010" s="134">
        <v>7.75</v>
      </c>
      <c r="H1010" s="135">
        <v>13.45</v>
      </c>
      <c r="I1010" s="136">
        <f t="shared" si="15"/>
        <v>104.2375</v>
      </c>
      <c r="J1010" s="137">
        <v>1</v>
      </c>
    </row>
    <row r="1011" spans="2:10" ht="15" customHeight="1" x14ac:dyDescent="0.3">
      <c r="B1011" s="132" t="s">
        <v>1684</v>
      </c>
      <c r="C1011" s="132" t="s">
        <v>1529</v>
      </c>
      <c r="D1011" s="132" t="s">
        <v>1530</v>
      </c>
      <c r="E1011" s="132" t="s">
        <v>320</v>
      </c>
      <c r="F1011" s="133" t="s">
        <v>1685</v>
      </c>
      <c r="G1011" s="134">
        <v>3.05</v>
      </c>
      <c r="H1011" s="135">
        <v>13.45</v>
      </c>
      <c r="I1011" s="136">
        <f t="shared" si="15"/>
        <v>41.022499999999994</v>
      </c>
      <c r="J1011" s="137">
        <v>1</v>
      </c>
    </row>
    <row r="1012" spans="2:10" ht="15" customHeight="1" x14ac:dyDescent="0.3">
      <c r="B1012" s="132" t="s">
        <v>1684</v>
      </c>
      <c r="C1012" s="132" t="s">
        <v>1529</v>
      </c>
      <c r="D1012" s="132" t="s">
        <v>1530</v>
      </c>
      <c r="E1012" s="132" t="s">
        <v>320</v>
      </c>
      <c r="F1012" s="133" t="s">
        <v>1686</v>
      </c>
      <c r="G1012" s="134">
        <v>3.22</v>
      </c>
      <c r="H1012" s="135">
        <v>13.45</v>
      </c>
      <c r="I1012" s="136">
        <f t="shared" si="15"/>
        <v>43.308999999999997</v>
      </c>
      <c r="J1012" s="137">
        <v>1</v>
      </c>
    </row>
    <row r="1013" spans="2:10" ht="15" customHeight="1" x14ac:dyDescent="0.3">
      <c r="B1013" s="132" t="s">
        <v>1687</v>
      </c>
      <c r="C1013" s="132" t="s">
        <v>1529</v>
      </c>
      <c r="D1013" s="132" t="s">
        <v>1530</v>
      </c>
      <c r="E1013" s="132" t="s">
        <v>320</v>
      </c>
      <c r="F1013" s="133" t="s">
        <v>1688</v>
      </c>
      <c r="G1013" s="134">
        <v>7.09</v>
      </c>
      <c r="H1013" s="135">
        <v>13.45</v>
      </c>
      <c r="I1013" s="136">
        <f t="shared" si="15"/>
        <v>95.360499999999988</v>
      </c>
      <c r="J1013" s="137">
        <v>1</v>
      </c>
    </row>
    <row r="1014" spans="2:10" ht="15" customHeight="1" x14ac:dyDescent="0.3">
      <c r="B1014" s="132" t="s">
        <v>1689</v>
      </c>
      <c r="C1014" s="132" t="s">
        <v>1529</v>
      </c>
      <c r="D1014" s="132" t="s">
        <v>1530</v>
      </c>
      <c r="E1014" s="132" t="s">
        <v>320</v>
      </c>
      <c r="F1014" s="133" t="s">
        <v>1690</v>
      </c>
      <c r="G1014" s="134">
        <v>1.78</v>
      </c>
      <c r="H1014" s="135">
        <v>13.45</v>
      </c>
      <c r="I1014" s="136">
        <f t="shared" si="15"/>
        <v>23.940999999999999</v>
      </c>
      <c r="J1014" s="137">
        <v>1</v>
      </c>
    </row>
    <row r="1015" spans="2:10" ht="15" customHeight="1" x14ac:dyDescent="0.3">
      <c r="B1015" s="132" t="s">
        <v>1691</v>
      </c>
      <c r="C1015" s="132" t="s">
        <v>1529</v>
      </c>
      <c r="D1015" s="132" t="s">
        <v>1530</v>
      </c>
      <c r="E1015" s="132" t="s">
        <v>320</v>
      </c>
      <c r="F1015" s="133" t="s">
        <v>1692</v>
      </c>
      <c r="G1015" s="134">
        <v>3.58</v>
      </c>
      <c r="H1015" s="135">
        <v>13.45</v>
      </c>
      <c r="I1015" s="136">
        <f t="shared" si="15"/>
        <v>48.150999999999996</v>
      </c>
      <c r="J1015" s="137">
        <v>1</v>
      </c>
    </row>
    <row r="1016" spans="2:10" ht="15" customHeight="1" x14ac:dyDescent="0.3">
      <c r="B1016" s="132" t="s">
        <v>1691</v>
      </c>
      <c r="C1016" s="132" t="s">
        <v>1529</v>
      </c>
      <c r="D1016" s="132" t="s">
        <v>1530</v>
      </c>
      <c r="E1016" s="132" t="s">
        <v>320</v>
      </c>
      <c r="F1016" s="133" t="s">
        <v>1693</v>
      </c>
      <c r="G1016" s="134">
        <v>3.56</v>
      </c>
      <c r="H1016" s="135">
        <v>13.45</v>
      </c>
      <c r="I1016" s="136">
        <f t="shared" si="15"/>
        <v>47.881999999999998</v>
      </c>
      <c r="J1016" s="137">
        <v>1</v>
      </c>
    </row>
    <row r="1017" spans="2:10" ht="15" customHeight="1" x14ac:dyDescent="0.3">
      <c r="B1017" s="132" t="s">
        <v>1694</v>
      </c>
      <c r="C1017" s="132" t="s">
        <v>1529</v>
      </c>
      <c r="D1017" s="132" t="s">
        <v>1530</v>
      </c>
      <c r="E1017" s="132" t="s">
        <v>320</v>
      </c>
      <c r="F1017" s="133" t="s">
        <v>1695</v>
      </c>
      <c r="G1017" s="134">
        <v>5.23</v>
      </c>
      <c r="H1017" s="135">
        <v>13.45</v>
      </c>
      <c r="I1017" s="136">
        <f t="shared" si="15"/>
        <v>70.343500000000006</v>
      </c>
      <c r="J1017" s="137">
        <v>1</v>
      </c>
    </row>
    <row r="1018" spans="2:10" ht="15" customHeight="1" x14ac:dyDescent="0.3">
      <c r="B1018" s="132" t="s">
        <v>1694</v>
      </c>
      <c r="C1018" s="132" t="s">
        <v>1529</v>
      </c>
      <c r="D1018" s="132" t="s">
        <v>1530</v>
      </c>
      <c r="E1018" s="132" t="s">
        <v>320</v>
      </c>
      <c r="F1018" s="133" t="s">
        <v>1696</v>
      </c>
      <c r="G1018" s="134">
        <v>1.64</v>
      </c>
      <c r="H1018" s="135">
        <v>13.45</v>
      </c>
      <c r="I1018" s="136">
        <f t="shared" si="15"/>
        <v>22.057999999999996</v>
      </c>
      <c r="J1018" s="137">
        <v>1</v>
      </c>
    </row>
    <row r="1019" spans="2:10" ht="15" customHeight="1" x14ac:dyDescent="0.3">
      <c r="B1019" s="132" t="s">
        <v>1694</v>
      </c>
      <c r="C1019" s="132" t="s">
        <v>1529</v>
      </c>
      <c r="D1019" s="132" t="s">
        <v>1530</v>
      </c>
      <c r="E1019" s="132" t="s">
        <v>320</v>
      </c>
      <c r="F1019" s="133" t="s">
        <v>1697</v>
      </c>
      <c r="G1019" s="134">
        <v>1.96</v>
      </c>
      <c r="H1019" s="135">
        <v>13.45</v>
      </c>
      <c r="I1019" s="136">
        <f t="shared" si="15"/>
        <v>26.361999999999998</v>
      </c>
      <c r="J1019" s="137">
        <v>1</v>
      </c>
    </row>
    <row r="1020" spans="2:10" ht="15" customHeight="1" x14ac:dyDescent="0.3">
      <c r="B1020" s="132" t="s">
        <v>1698</v>
      </c>
      <c r="C1020" s="132" t="s">
        <v>1529</v>
      </c>
      <c r="D1020" s="132" t="s">
        <v>1530</v>
      </c>
      <c r="E1020" s="132" t="s">
        <v>320</v>
      </c>
      <c r="F1020" s="133" t="s">
        <v>1699</v>
      </c>
      <c r="G1020" s="134">
        <v>8.86</v>
      </c>
      <c r="H1020" s="135">
        <v>13.45</v>
      </c>
      <c r="I1020" s="136">
        <f t="shared" si="15"/>
        <v>119.16699999999999</v>
      </c>
      <c r="J1020" s="137">
        <v>1</v>
      </c>
    </row>
    <row r="1021" spans="2:10" ht="15" customHeight="1" x14ac:dyDescent="0.3">
      <c r="B1021" s="132" t="s">
        <v>1700</v>
      </c>
      <c r="C1021" s="132" t="s">
        <v>1529</v>
      </c>
      <c r="D1021" s="132" t="s">
        <v>1701</v>
      </c>
      <c r="E1021" s="132" t="s">
        <v>320</v>
      </c>
      <c r="F1021" s="133" t="s">
        <v>1702</v>
      </c>
      <c r="G1021" s="134">
        <v>1.44</v>
      </c>
      <c r="H1021" s="135">
        <v>13.45</v>
      </c>
      <c r="I1021" s="136">
        <f t="shared" si="15"/>
        <v>19.367999999999999</v>
      </c>
      <c r="J1021" s="137">
        <v>1</v>
      </c>
    </row>
    <row r="1022" spans="2:10" ht="15" customHeight="1" x14ac:dyDescent="0.3">
      <c r="B1022" s="132" t="s">
        <v>1700</v>
      </c>
      <c r="C1022" s="132" t="s">
        <v>1529</v>
      </c>
      <c r="D1022" s="132" t="s">
        <v>1701</v>
      </c>
      <c r="E1022" s="132" t="s">
        <v>320</v>
      </c>
      <c r="F1022" s="133" t="s">
        <v>1703</v>
      </c>
      <c r="G1022" s="134">
        <v>1.48</v>
      </c>
      <c r="H1022" s="135">
        <v>13.45</v>
      </c>
      <c r="I1022" s="136">
        <f t="shared" si="15"/>
        <v>19.905999999999999</v>
      </c>
      <c r="J1022" s="137">
        <v>1</v>
      </c>
    </row>
    <row r="1023" spans="2:10" ht="15" customHeight="1" x14ac:dyDescent="0.3">
      <c r="B1023" s="132" t="s">
        <v>1704</v>
      </c>
      <c r="C1023" s="132" t="s">
        <v>1529</v>
      </c>
      <c r="D1023" s="132" t="s">
        <v>1701</v>
      </c>
      <c r="E1023" s="132" t="s">
        <v>320</v>
      </c>
      <c r="F1023" s="133" t="s">
        <v>1705</v>
      </c>
      <c r="G1023" s="134">
        <v>2.2400000000000002</v>
      </c>
      <c r="H1023" s="135">
        <v>13.45</v>
      </c>
      <c r="I1023" s="136">
        <f t="shared" si="15"/>
        <v>30.128</v>
      </c>
      <c r="J1023" s="137">
        <v>1</v>
      </c>
    </row>
    <row r="1024" spans="2:10" ht="15" customHeight="1" x14ac:dyDescent="0.3">
      <c r="B1024" s="132" t="s">
        <v>1704</v>
      </c>
      <c r="C1024" s="132" t="s">
        <v>1529</v>
      </c>
      <c r="D1024" s="132" t="s">
        <v>1701</v>
      </c>
      <c r="E1024" s="132" t="s">
        <v>320</v>
      </c>
      <c r="F1024" s="133" t="s">
        <v>1706</v>
      </c>
      <c r="G1024" s="134">
        <v>2.56</v>
      </c>
      <c r="H1024" s="135">
        <v>13.45</v>
      </c>
      <c r="I1024" s="136">
        <f t="shared" si="15"/>
        <v>34.432000000000002</v>
      </c>
      <c r="J1024" s="137">
        <v>1</v>
      </c>
    </row>
    <row r="1025" spans="2:10" ht="15" customHeight="1" x14ac:dyDescent="0.3">
      <c r="B1025" s="132" t="s">
        <v>1704</v>
      </c>
      <c r="C1025" s="132" t="s">
        <v>1529</v>
      </c>
      <c r="D1025" s="132" t="s">
        <v>1701</v>
      </c>
      <c r="E1025" s="132" t="s">
        <v>320</v>
      </c>
      <c r="F1025" s="133" t="s">
        <v>1707</v>
      </c>
      <c r="G1025" s="134">
        <v>2.1</v>
      </c>
      <c r="H1025" s="135">
        <v>13.45</v>
      </c>
      <c r="I1025" s="136">
        <f t="shared" si="15"/>
        <v>28.245000000000001</v>
      </c>
      <c r="J1025" s="137">
        <v>1</v>
      </c>
    </row>
    <row r="1026" spans="2:10" ht="15" customHeight="1" x14ac:dyDescent="0.3">
      <c r="B1026" s="132" t="s">
        <v>1708</v>
      </c>
      <c r="C1026" s="132" t="s">
        <v>1529</v>
      </c>
      <c r="D1026" s="132" t="s">
        <v>1701</v>
      </c>
      <c r="E1026" s="132" t="s">
        <v>320</v>
      </c>
      <c r="F1026" s="133" t="s">
        <v>1709</v>
      </c>
      <c r="G1026" s="134">
        <v>4.8099999999999996</v>
      </c>
      <c r="H1026" s="135">
        <v>13.45</v>
      </c>
      <c r="I1026" s="136">
        <f t="shared" si="15"/>
        <v>64.694499999999991</v>
      </c>
      <c r="J1026" s="137">
        <v>1</v>
      </c>
    </row>
    <row r="1027" spans="2:10" ht="15" customHeight="1" x14ac:dyDescent="0.3">
      <c r="B1027" s="132" t="s">
        <v>1710</v>
      </c>
      <c r="C1027" s="132" t="s">
        <v>1529</v>
      </c>
      <c r="D1027" s="132" t="s">
        <v>1701</v>
      </c>
      <c r="E1027" s="132" t="s">
        <v>320</v>
      </c>
      <c r="F1027" s="133" t="s">
        <v>1711</v>
      </c>
      <c r="G1027" s="134">
        <v>2.62</v>
      </c>
      <c r="H1027" s="135">
        <v>13.45</v>
      </c>
      <c r="I1027" s="136">
        <f t="shared" si="15"/>
        <v>35.238999999999997</v>
      </c>
      <c r="J1027" s="137">
        <v>1</v>
      </c>
    </row>
    <row r="1028" spans="2:10" ht="15" customHeight="1" x14ac:dyDescent="0.3">
      <c r="B1028" s="132" t="s">
        <v>1710</v>
      </c>
      <c r="C1028" s="132" t="s">
        <v>1529</v>
      </c>
      <c r="D1028" s="132" t="s">
        <v>1701</v>
      </c>
      <c r="E1028" s="132" t="s">
        <v>320</v>
      </c>
      <c r="F1028" s="133" t="s">
        <v>1712</v>
      </c>
      <c r="G1028" s="134">
        <v>3.35</v>
      </c>
      <c r="H1028" s="135">
        <v>13.45</v>
      </c>
      <c r="I1028" s="136">
        <f t="shared" si="15"/>
        <v>45.057499999999997</v>
      </c>
      <c r="J1028" s="137">
        <v>1</v>
      </c>
    </row>
    <row r="1029" spans="2:10" ht="15" customHeight="1" x14ac:dyDescent="0.3">
      <c r="B1029" s="132" t="s">
        <v>1713</v>
      </c>
      <c r="C1029" s="132" t="s">
        <v>1529</v>
      </c>
      <c r="D1029" s="132" t="s">
        <v>1701</v>
      </c>
      <c r="E1029" s="132" t="s">
        <v>320</v>
      </c>
      <c r="F1029" s="133" t="s">
        <v>1714</v>
      </c>
      <c r="G1029" s="134">
        <v>3.39</v>
      </c>
      <c r="H1029" s="135">
        <v>13.45</v>
      </c>
      <c r="I1029" s="136">
        <f t="shared" si="15"/>
        <v>45.595500000000001</v>
      </c>
      <c r="J1029" s="137">
        <v>1</v>
      </c>
    </row>
    <row r="1030" spans="2:10" ht="15" customHeight="1" x14ac:dyDescent="0.3">
      <c r="B1030" s="132" t="s">
        <v>1713</v>
      </c>
      <c r="C1030" s="132" t="s">
        <v>1529</v>
      </c>
      <c r="D1030" s="132" t="s">
        <v>1701</v>
      </c>
      <c r="E1030" s="132" t="s">
        <v>320</v>
      </c>
      <c r="F1030" s="133" t="s">
        <v>1715</v>
      </c>
      <c r="G1030" s="134">
        <v>1.02</v>
      </c>
      <c r="H1030" s="135">
        <v>13.45</v>
      </c>
      <c r="I1030" s="136">
        <f t="shared" si="15"/>
        <v>13.718999999999999</v>
      </c>
      <c r="J1030" s="137">
        <v>1</v>
      </c>
    </row>
    <row r="1031" spans="2:10" ht="15" customHeight="1" x14ac:dyDescent="0.3">
      <c r="B1031" s="132" t="s">
        <v>1713</v>
      </c>
      <c r="C1031" s="132" t="s">
        <v>1529</v>
      </c>
      <c r="D1031" s="132" t="s">
        <v>1701</v>
      </c>
      <c r="E1031" s="132" t="s">
        <v>320</v>
      </c>
      <c r="F1031" s="133" t="s">
        <v>1716</v>
      </c>
      <c r="G1031" s="134">
        <v>7.96</v>
      </c>
      <c r="H1031" s="135">
        <v>13.45</v>
      </c>
      <c r="I1031" s="136">
        <f t="shared" si="15"/>
        <v>107.062</v>
      </c>
      <c r="J1031" s="137">
        <v>1</v>
      </c>
    </row>
    <row r="1032" spans="2:10" ht="15" customHeight="1" x14ac:dyDescent="0.3">
      <c r="B1032" s="132" t="s">
        <v>1713</v>
      </c>
      <c r="C1032" s="132" t="s">
        <v>1529</v>
      </c>
      <c r="D1032" s="132" t="s">
        <v>1701</v>
      </c>
      <c r="E1032" s="132" t="s">
        <v>320</v>
      </c>
      <c r="F1032" s="133" t="s">
        <v>1717</v>
      </c>
      <c r="G1032" s="134">
        <v>1.97</v>
      </c>
      <c r="H1032" s="135">
        <v>13.45</v>
      </c>
      <c r="I1032" s="136">
        <f t="shared" ref="I1032:I1095" si="16">G1032*H1032</f>
        <v>26.496499999999997</v>
      </c>
      <c r="J1032" s="137">
        <v>1</v>
      </c>
    </row>
    <row r="1033" spans="2:10" ht="15" customHeight="1" x14ac:dyDescent="0.3">
      <c r="B1033" s="132" t="s">
        <v>1713</v>
      </c>
      <c r="C1033" s="132" t="s">
        <v>1529</v>
      </c>
      <c r="D1033" s="132" t="s">
        <v>1701</v>
      </c>
      <c r="E1033" s="132" t="s">
        <v>320</v>
      </c>
      <c r="F1033" s="133" t="s">
        <v>1718</v>
      </c>
      <c r="G1033" s="134">
        <v>1.87</v>
      </c>
      <c r="H1033" s="135">
        <v>13.45</v>
      </c>
      <c r="I1033" s="136">
        <f t="shared" si="16"/>
        <v>25.151499999999999</v>
      </c>
      <c r="J1033" s="137">
        <v>1</v>
      </c>
    </row>
    <row r="1034" spans="2:10" ht="15" customHeight="1" x14ac:dyDescent="0.3">
      <c r="B1034" s="132" t="s">
        <v>1713</v>
      </c>
      <c r="C1034" s="132" t="s">
        <v>1529</v>
      </c>
      <c r="D1034" s="132" t="s">
        <v>1701</v>
      </c>
      <c r="E1034" s="132" t="s">
        <v>320</v>
      </c>
      <c r="F1034" s="133" t="s">
        <v>1719</v>
      </c>
      <c r="G1034" s="134">
        <v>8.2100000000000009</v>
      </c>
      <c r="H1034" s="135">
        <v>13.45</v>
      </c>
      <c r="I1034" s="136">
        <f t="shared" si="16"/>
        <v>110.42450000000001</v>
      </c>
      <c r="J1034" s="137">
        <v>1</v>
      </c>
    </row>
    <row r="1035" spans="2:10" ht="15" customHeight="1" x14ac:dyDescent="0.3">
      <c r="B1035" s="132" t="s">
        <v>1713</v>
      </c>
      <c r="C1035" s="132" t="s">
        <v>1529</v>
      </c>
      <c r="D1035" s="132" t="s">
        <v>1701</v>
      </c>
      <c r="E1035" s="132" t="s">
        <v>320</v>
      </c>
      <c r="F1035" s="133" t="s">
        <v>1720</v>
      </c>
      <c r="G1035" s="134">
        <v>1.35</v>
      </c>
      <c r="H1035" s="135">
        <v>13.45</v>
      </c>
      <c r="I1035" s="136">
        <f t="shared" si="16"/>
        <v>18.157499999999999</v>
      </c>
      <c r="J1035" s="137">
        <v>1</v>
      </c>
    </row>
    <row r="1036" spans="2:10" ht="15" customHeight="1" x14ac:dyDescent="0.3">
      <c r="B1036" s="132" t="s">
        <v>1721</v>
      </c>
      <c r="C1036" s="132" t="s">
        <v>1529</v>
      </c>
      <c r="D1036" s="132" t="s">
        <v>1701</v>
      </c>
      <c r="E1036" s="132" t="s">
        <v>320</v>
      </c>
      <c r="F1036" s="133" t="s">
        <v>1722</v>
      </c>
      <c r="G1036" s="134">
        <v>9.6300000000000008</v>
      </c>
      <c r="H1036" s="135">
        <v>13.45</v>
      </c>
      <c r="I1036" s="136">
        <f t="shared" si="16"/>
        <v>129.52350000000001</v>
      </c>
      <c r="J1036" s="137">
        <v>1</v>
      </c>
    </row>
    <row r="1037" spans="2:10" ht="15" customHeight="1" x14ac:dyDescent="0.3">
      <c r="B1037" s="132" t="s">
        <v>1721</v>
      </c>
      <c r="C1037" s="132" t="s">
        <v>1529</v>
      </c>
      <c r="D1037" s="132" t="s">
        <v>1701</v>
      </c>
      <c r="E1037" s="132" t="s">
        <v>320</v>
      </c>
      <c r="F1037" s="133" t="s">
        <v>1723</v>
      </c>
      <c r="G1037" s="134">
        <v>9.64</v>
      </c>
      <c r="H1037" s="135">
        <v>13.45</v>
      </c>
      <c r="I1037" s="136">
        <f t="shared" si="16"/>
        <v>129.65799999999999</v>
      </c>
      <c r="J1037" s="137">
        <v>1</v>
      </c>
    </row>
    <row r="1038" spans="2:10" ht="15" customHeight="1" x14ac:dyDescent="0.3">
      <c r="B1038" s="132" t="s">
        <v>1721</v>
      </c>
      <c r="C1038" s="132" t="s">
        <v>1529</v>
      </c>
      <c r="D1038" s="132" t="s">
        <v>1701</v>
      </c>
      <c r="E1038" s="132" t="s">
        <v>320</v>
      </c>
      <c r="F1038" s="133" t="s">
        <v>1724</v>
      </c>
      <c r="G1038" s="134">
        <v>9.6199999999999992</v>
      </c>
      <c r="H1038" s="135">
        <v>13.45</v>
      </c>
      <c r="I1038" s="136">
        <f t="shared" si="16"/>
        <v>129.38899999999998</v>
      </c>
      <c r="J1038" s="137">
        <v>1</v>
      </c>
    </row>
    <row r="1039" spans="2:10" ht="15" customHeight="1" x14ac:dyDescent="0.3">
      <c r="B1039" s="132" t="s">
        <v>1721</v>
      </c>
      <c r="C1039" s="132" t="s">
        <v>1529</v>
      </c>
      <c r="D1039" s="132" t="s">
        <v>1701</v>
      </c>
      <c r="E1039" s="132" t="s">
        <v>320</v>
      </c>
      <c r="F1039" s="133" t="s">
        <v>1725</v>
      </c>
      <c r="G1039" s="134">
        <v>9.61</v>
      </c>
      <c r="H1039" s="135">
        <v>13.45</v>
      </c>
      <c r="I1039" s="136">
        <f t="shared" si="16"/>
        <v>129.25449999999998</v>
      </c>
      <c r="J1039" s="137">
        <v>1</v>
      </c>
    </row>
    <row r="1040" spans="2:10" ht="15" customHeight="1" x14ac:dyDescent="0.3">
      <c r="B1040" s="132" t="s">
        <v>1721</v>
      </c>
      <c r="C1040" s="132" t="s">
        <v>1529</v>
      </c>
      <c r="D1040" s="132" t="s">
        <v>1701</v>
      </c>
      <c r="E1040" s="132" t="s">
        <v>320</v>
      </c>
      <c r="F1040" s="133" t="s">
        <v>1726</v>
      </c>
      <c r="G1040" s="134">
        <v>7.99</v>
      </c>
      <c r="H1040" s="135">
        <v>13.45</v>
      </c>
      <c r="I1040" s="136">
        <f t="shared" si="16"/>
        <v>107.46549999999999</v>
      </c>
      <c r="J1040" s="137">
        <v>1</v>
      </c>
    </row>
    <row r="1041" spans="2:10" ht="15" customHeight="1" x14ac:dyDescent="0.3">
      <c r="B1041" s="132" t="s">
        <v>1721</v>
      </c>
      <c r="C1041" s="132" t="s">
        <v>1529</v>
      </c>
      <c r="D1041" s="132" t="s">
        <v>1701</v>
      </c>
      <c r="E1041" s="132" t="s">
        <v>320</v>
      </c>
      <c r="F1041" s="133" t="s">
        <v>1727</v>
      </c>
      <c r="G1041" s="134">
        <v>8.0399999999999991</v>
      </c>
      <c r="H1041" s="135">
        <v>13.45</v>
      </c>
      <c r="I1041" s="136">
        <f t="shared" si="16"/>
        <v>108.13799999999998</v>
      </c>
      <c r="J1041" s="137">
        <v>1</v>
      </c>
    </row>
    <row r="1042" spans="2:10" ht="15" customHeight="1" x14ac:dyDescent="0.3">
      <c r="B1042" s="132" t="s">
        <v>1721</v>
      </c>
      <c r="C1042" s="132" t="s">
        <v>1529</v>
      </c>
      <c r="D1042" s="132" t="s">
        <v>1701</v>
      </c>
      <c r="E1042" s="132" t="s">
        <v>320</v>
      </c>
      <c r="F1042" s="133" t="s">
        <v>1728</v>
      </c>
      <c r="G1042" s="134">
        <v>4.82</v>
      </c>
      <c r="H1042" s="135">
        <v>13.45</v>
      </c>
      <c r="I1042" s="136">
        <f t="shared" si="16"/>
        <v>64.828999999999994</v>
      </c>
      <c r="J1042" s="137">
        <v>1</v>
      </c>
    </row>
    <row r="1043" spans="2:10" ht="15" customHeight="1" x14ac:dyDescent="0.3">
      <c r="B1043" s="132" t="s">
        <v>1721</v>
      </c>
      <c r="C1043" s="132" t="s">
        <v>1529</v>
      </c>
      <c r="D1043" s="132" t="s">
        <v>1701</v>
      </c>
      <c r="E1043" s="132" t="s">
        <v>320</v>
      </c>
      <c r="F1043" s="133" t="s">
        <v>1729</v>
      </c>
      <c r="G1043" s="134">
        <v>9.6199999999999992</v>
      </c>
      <c r="H1043" s="135">
        <v>13.45</v>
      </c>
      <c r="I1043" s="136">
        <f t="shared" si="16"/>
        <v>129.38899999999998</v>
      </c>
      <c r="J1043" s="137">
        <v>1</v>
      </c>
    </row>
    <row r="1044" spans="2:10" ht="15" customHeight="1" x14ac:dyDescent="0.3">
      <c r="B1044" s="132" t="s">
        <v>1730</v>
      </c>
      <c r="C1044" s="132" t="s">
        <v>1529</v>
      </c>
      <c r="D1044" s="132" t="s">
        <v>1701</v>
      </c>
      <c r="E1044" s="132" t="s">
        <v>320</v>
      </c>
      <c r="F1044" s="133" t="s">
        <v>1731</v>
      </c>
      <c r="G1044" s="134">
        <v>2.44</v>
      </c>
      <c r="H1044" s="135">
        <v>13.45</v>
      </c>
      <c r="I1044" s="136">
        <f t="shared" si="16"/>
        <v>32.817999999999998</v>
      </c>
      <c r="J1044" s="137">
        <v>1</v>
      </c>
    </row>
    <row r="1045" spans="2:10" ht="15" customHeight="1" x14ac:dyDescent="0.3">
      <c r="B1045" s="132" t="s">
        <v>1732</v>
      </c>
      <c r="C1045" s="132" t="s">
        <v>1529</v>
      </c>
      <c r="D1045" s="132" t="s">
        <v>1701</v>
      </c>
      <c r="E1045" s="132" t="s">
        <v>320</v>
      </c>
      <c r="F1045" s="133" t="s">
        <v>1733</v>
      </c>
      <c r="G1045" s="134">
        <v>1.93</v>
      </c>
      <c r="H1045" s="135">
        <v>13.45</v>
      </c>
      <c r="I1045" s="136">
        <f t="shared" si="16"/>
        <v>25.958499999999997</v>
      </c>
      <c r="J1045" s="137">
        <v>1</v>
      </c>
    </row>
    <row r="1046" spans="2:10" ht="15" customHeight="1" x14ac:dyDescent="0.3">
      <c r="B1046" s="132" t="s">
        <v>1732</v>
      </c>
      <c r="C1046" s="132" t="s">
        <v>1529</v>
      </c>
      <c r="D1046" s="132" t="s">
        <v>1701</v>
      </c>
      <c r="E1046" s="132" t="s">
        <v>320</v>
      </c>
      <c r="F1046" s="133" t="s">
        <v>1734</v>
      </c>
      <c r="G1046" s="134">
        <v>1.93</v>
      </c>
      <c r="H1046" s="135">
        <v>13.45</v>
      </c>
      <c r="I1046" s="136">
        <f t="shared" si="16"/>
        <v>25.958499999999997</v>
      </c>
      <c r="J1046" s="137">
        <v>1</v>
      </c>
    </row>
    <row r="1047" spans="2:10" ht="15" customHeight="1" x14ac:dyDescent="0.3">
      <c r="B1047" s="132" t="s">
        <v>1732</v>
      </c>
      <c r="C1047" s="132" t="s">
        <v>1529</v>
      </c>
      <c r="D1047" s="132" t="s">
        <v>1701</v>
      </c>
      <c r="E1047" s="132" t="s">
        <v>320</v>
      </c>
      <c r="F1047" s="133" t="s">
        <v>1735</v>
      </c>
      <c r="G1047" s="134">
        <v>1.28</v>
      </c>
      <c r="H1047" s="135">
        <v>13.45</v>
      </c>
      <c r="I1047" s="136">
        <f t="shared" si="16"/>
        <v>17.216000000000001</v>
      </c>
      <c r="J1047" s="137">
        <v>1</v>
      </c>
    </row>
    <row r="1048" spans="2:10" ht="15" customHeight="1" x14ac:dyDescent="0.3">
      <c r="B1048" s="132" t="s">
        <v>1732</v>
      </c>
      <c r="C1048" s="132" t="s">
        <v>1529</v>
      </c>
      <c r="D1048" s="132" t="s">
        <v>1701</v>
      </c>
      <c r="E1048" s="132" t="s">
        <v>320</v>
      </c>
      <c r="F1048" s="133" t="s">
        <v>1736</v>
      </c>
      <c r="G1048" s="134">
        <v>6.79</v>
      </c>
      <c r="H1048" s="135">
        <v>13.45</v>
      </c>
      <c r="I1048" s="136">
        <f t="shared" si="16"/>
        <v>91.325499999999991</v>
      </c>
      <c r="J1048" s="137">
        <v>1</v>
      </c>
    </row>
    <row r="1049" spans="2:10" ht="15" customHeight="1" x14ac:dyDescent="0.3">
      <c r="B1049" s="132" t="s">
        <v>1732</v>
      </c>
      <c r="C1049" s="132" t="s">
        <v>1529</v>
      </c>
      <c r="D1049" s="132" t="s">
        <v>1701</v>
      </c>
      <c r="E1049" s="132" t="s">
        <v>320</v>
      </c>
      <c r="F1049" s="133" t="s">
        <v>1737</v>
      </c>
      <c r="G1049" s="134">
        <v>2.08</v>
      </c>
      <c r="H1049" s="135">
        <v>13.45</v>
      </c>
      <c r="I1049" s="136">
        <f t="shared" si="16"/>
        <v>27.975999999999999</v>
      </c>
      <c r="J1049" s="137">
        <v>1</v>
      </c>
    </row>
    <row r="1050" spans="2:10" ht="15" customHeight="1" x14ac:dyDescent="0.3">
      <c r="B1050" s="132" t="s">
        <v>1738</v>
      </c>
      <c r="C1050" s="132" t="s">
        <v>1529</v>
      </c>
      <c r="D1050" s="132" t="s">
        <v>1701</v>
      </c>
      <c r="E1050" s="132" t="s">
        <v>320</v>
      </c>
      <c r="F1050" s="133" t="s">
        <v>1739</v>
      </c>
      <c r="G1050" s="134">
        <v>2.06</v>
      </c>
      <c r="H1050" s="135">
        <v>13.45</v>
      </c>
      <c r="I1050" s="136">
        <f t="shared" si="16"/>
        <v>27.707000000000001</v>
      </c>
      <c r="J1050" s="137">
        <v>1</v>
      </c>
    </row>
    <row r="1051" spans="2:10" ht="15" customHeight="1" x14ac:dyDescent="0.3">
      <c r="B1051" s="132" t="s">
        <v>1740</v>
      </c>
      <c r="C1051" s="132" t="s">
        <v>1529</v>
      </c>
      <c r="D1051" s="132" t="s">
        <v>1701</v>
      </c>
      <c r="E1051" s="132" t="s">
        <v>320</v>
      </c>
      <c r="F1051" s="133" t="s">
        <v>1741</v>
      </c>
      <c r="G1051" s="134">
        <v>1.26</v>
      </c>
      <c r="H1051" s="135">
        <v>13.45</v>
      </c>
      <c r="I1051" s="136">
        <f t="shared" si="16"/>
        <v>16.946999999999999</v>
      </c>
      <c r="J1051" s="137">
        <v>1</v>
      </c>
    </row>
    <row r="1052" spans="2:10" ht="15" customHeight="1" x14ac:dyDescent="0.3">
      <c r="B1052" s="132" t="s">
        <v>1742</v>
      </c>
      <c r="C1052" s="132" t="s">
        <v>1529</v>
      </c>
      <c r="D1052" s="132" t="s">
        <v>1701</v>
      </c>
      <c r="E1052" s="132" t="s">
        <v>320</v>
      </c>
      <c r="F1052" s="133" t="s">
        <v>1743</v>
      </c>
      <c r="G1052" s="134">
        <v>1.63</v>
      </c>
      <c r="H1052" s="135">
        <v>13.45</v>
      </c>
      <c r="I1052" s="136">
        <f t="shared" si="16"/>
        <v>21.923499999999997</v>
      </c>
      <c r="J1052" s="137">
        <v>1</v>
      </c>
    </row>
    <row r="1053" spans="2:10" ht="15" customHeight="1" x14ac:dyDescent="0.3">
      <c r="B1053" s="132" t="s">
        <v>1744</v>
      </c>
      <c r="C1053" s="132" t="s">
        <v>1529</v>
      </c>
      <c r="D1053" s="132" t="s">
        <v>1701</v>
      </c>
      <c r="E1053" s="132" t="s">
        <v>320</v>
      </c>
      <c r="F1053" s="133" t="s">
        <v>1745</v>
      </c>
      <c r="G1053" s="134">
        <v>2.29</v>
      </c>
      <c r="H1053" s="135">
        <v>13.45</v>
      </c>
      <c r="I1053" s="136">
        <f t="shared" si="16"/>
        <v>30.8005</v>
      </c>
      <c r="J1053" s="137">
        <v>1</v>
      </c>
    </row>
    <row r="1054" spans="2:10" ht="15" customHeight="1" x14ac:dyDescent="0.3">
      <c r="B1054" s="132" t="s">
        <v>1744</v>
      </c>
      <c r="C1054" s="132" t="s">
        <v>1529</v>
      </c>
      <c r="D1054" s="132" t="s">
        <v>1701</v>
      </c>
      <c r="E1054" s="132" t="s">
        <v>320</v>
      </c>
      <c r="F1054" s="133" t="s">
        <v>1746</v>
      </c>
      <c r="G1054" s="134">
        <v>2.2799999999999998</v>
      </c>
      <c r="H1054" s="135">
        <v>13.45</v>
      </c>
      <c r="I1054" s="136">
        <f t="shared" si="16"/>
        <v>30.665999999999997</v>
      </c>
      <c r="J1054" s="137">
        <v>1</v>
      </c>
    </row>
    <row r="1055" spans="2:10" ht="15" customHeight="1" x14ac:dyDescent="0.3">
      <c r="B1055" s="132" t="s">
        <v>1747</v>
      </c>
      <c r="C1055" s="132" t="s">
        <v>1529</v>
      </c>
      <c r="D1055" s="132" t="s">
        <v>1701</v>
      </c>
      <c r="E1055" s="132" t="s">
        <v>320</v>
      </c>
      <c r="F1055" s="133" t="s">
        <v>1748</v>
      </c>
      <c r="G1055" s="134">
        <v>3.26</v>
      </c>
      <c r="H1055" s="135">
        <v>13.45</v>
      </c>
      <c r="I1055" s="136">
        <f t="shared" si="16"/>
        <v>43.846999999999994</v>
      </c>
      <c r="J1055" s="137">
        <v>1</v>
      </c>
    </row>
    <row r="1056" spans="2:10" ht="15" customHeight="1" x14ac:dyDescent="0.3">
      <c r="B1056" s="132" t="s">
        <v>1749</v>
      </c>
      <c r="C1056" s="132" t="s">
        <v>1529</v>
      </c>
      <c r="D1056" s="132" t="s">
        <v>1701</v>
      </c>
      <c r="E1056" s="132" t="s">
        <v>320</v>
      </c>
      <c r="F1056" s="133" t="s">
        <v>1750</v>
      </c>
      <c r="G1056" s="134">
        <v>8.17</v>
      </c>
      <c r="H1056" s="135">
        <v>13.45</v>
      </c>
      <c r="I1056" s="136">
        <f t="shared" si="16"/>
        <v>109.8865</v>
      </c>
      <c r="J1056" s="137">
        <v>1</v>
      </c>
    </row>
    <row r="1057" spans="2:10" ht="15" customHeight="1" x14ac:dyDescent="0.3">
      <c r="B1057" s="132" t="s">
        <v>1749</v>
      </c>
      <c r="C1057" s="132" t="s">
        <v>1529</v>
      </c>
      <c r="D1057" s="132" t="s">
        <v>1701</v>
      </c>
      <c r="E1057" s="132" t="s">
        <v>320</v>
      </c>
      <c r="F1057" s="133" t="s">
        <v>1751</v>
      </c>
      <c r="G1057" s="134">
        <v>4.49</v>
      </c>
      <c r="H1057" s="135">
        <v>13.45</v>
      </c>
      <c r="I1057" s="136">
        <f t="shared" si="16"/>
        <v>60.390500000000003</v>
      </c>
      <c r="J1057" s="137">
        <v>1</v>
      </c>
    </row>
    <row r="1058" spans="2:10" ht="15" customHeight="1" x14ac:dyDescent="0.3">
      <c r="B1058" s="132" t="s">
        <v>1752</v>
      </c>
      <c r="C1058" s="132" t="s">
        <v>1529</v>
      </c>
      <c r="D1058" s="132" t="s">
        <v>1701</v>
      </c>
      <c r="E1058" s="132" t="s">
        <v>320</v>
      </c>
      <c r="F1058" s="133" t="s">
        <v>1753</v>
      </c>
      <c r="G1058" s="134">
        <v>1.84</v>
      </c>
      <c r="H1058" s="135">
        <v>13.45</v>
      </c>
      <c r="I1058" s="136">
        <f t="shared" si="16"/>
        <v>24.748000000000001</v>
      </c>
      <c r="J1058" s="137">
        <v>1</v>
      </c>
    </row>
    <row r="1059" spans="2:10" ht="15" customHeight="1" x14ac:dyDescent="0.3">
      <c r="B1059" s="132" t="s">
        <v>1752</v>
      </c>
      <c r="C1059" s="132" t="s">
        <v>1529</v>
      </c>
      <c r="D1059" s="132" t="s">
        <v>1701</v>
      </c>
      <c r="E1059" s="132" t="s">
        <v>320</v>
      </c>
      <c r="F1059" s="133" t="s">
        <v>1754</v>
      </c>
      <c r="G1059" s="134">
        <v>2.63</v>
      </c>
      <c r="H1059" s="135">
        <v>13.45</v>
      </c>
      <c r="I1059" s="136">
        <f t="shared" si="16"/>
        <v>35.3735</v>
      </c>
      <c r="J1059" s="137">
        <v>1</v>
      </c>
    </row>
    <row r="1060" spans="2:10" ht="15" customHeight="1" x14ac:dyDescent="0.3">
      <c r="B1060" s="132" t="s">
        <v>1752</v>
      </c>
      <c r="C1060" s="132" t="s">
        <v>1529</v>
      </c>
      <c r="D1060" s="132" t="s">
        <v>1701</v>
      </c>
      <c r="E1060" s="132" t="s">
        <v>320</v>
      </c>
      <c r="F1060" s="133" t="s">
        <v>1755</v>
      </c>
      <c r="G1060" s="134">
        <v>4.29</v>
      </c>
      <c r="H1060" s="135">
        <v>13.45</v>
      </c>
      <c r="I1060" s="136">
        <f t="shared" si="16"/>
        <v>57.700499999999998</v>
      </c>
      <c r="J1060" s="137">
        <v>1</v>
      </c>
    </row>
    <row r="1061" spans="2:10" ht="15" customHeight="1" x14ac:dyDescent="0.3">
      <c r="B1061" s="132" t="s">
        <v>1752</v>
      </c>
      <c r="C1061" s="132" t="s">
        <v>1529</v>
      </c>
      <c r="D1061" s="132" t="s">
        <v>1701</v>
      </c>
      <c r="E1061" s="132" t="s">
        <v>320</v>
      </c>
      <c r="F1061" s="133" t="s">
        <v>1756</v>
      </c>
      <c r="G1061" s="134">
        <v>2.15</v>
      </c>
      <c r="H1061" s="135">
        <v>13.45</v>
      </c>
      <c r="I1061" s="136">
        <f t="shared" si="16"/>
        <v>28.917499999999997</v>
      </c>
      <c r="J1061" s="137">
        <v>1</v>
      </c>
    </row>
    <row r="1062" spans="2:10" ht="15" customHeight="1" x14ac:dyDescent="0.3">
      <c r="B1062" s="132" t="s">
        <v>1757</v>
      </c>
      <c r="C1062" s="132" t="s">
        <v>1529</v>
      </c>
      <c r="D1062" s="132" t="s">
        <v>1701</v>
      </c>
      <c r="E1062" s="132" t="s">
        <v>320</v>
      </c>
      <c r="F1062" s="133" t="s">
        <v>1758</v>
      </c>
      <c r="G1062" s="134">
        <v>9.19</v>
      </c>
      <c r="H1062" s="135">
        <v>13.45</v>
      </c>
      <c r="I1062" s="136">
        <f t="shared" si="16"/>
        <v>123.60549999999999</v>
      </c>
      <c r="J1062" s="137">
        <v>1</v>
      </c>
    </row>
    <row r="1063" spans="2:10" ht="15" customHeight="1" x14ac:dyDescent="0.3">
      <c r="B1063" s="132" t="s">
        <v>1759</v>
      </c>
      <c r="C1063" s="132" t="s">
        <v>1529</v>
      </c>
      <c r="D1063" s="132" t="s">
        <v>1701</v>
      </c>
      <c r="E1063" s="132" t="s">
        <v>320</v>
      </c>
      <c r="F1063" s="133" t="s">
        <v>1760</v>
      </c>
      <c r="G1063" s="134">
        <v>8.94</v>
      </c>
      <c r="H1063" s="135">
        <v>13.45</v>
      </c>
      <c r="I1063" s="136">
        <f t="shared" si="16"/>
        <v>120.24299999999998</v>
      </c>
      <c r="J1063" s="137">
        <v>1</v>
      </c>
    </row>
    <row r="1064" spans="2:10" ht="15" customHeight="1" x14ac:dyDescent="0.3">
      <c r="B1064" s="132" t="s">
        <v>1761</v>
      </c>
      <c r="C1064" s="132" t="s">
        <v>1529</v>
      </c>
      <c r="D1064" s="132" t="s">
        <v>1701</v>
      </c>
      <c r="E1064" s="132" t="s">
        <v>320</v>
      </c>
      <c r="F1064" s="133" t="s">
        <v>1762</v>
      </c>
      <c r="G1064" s="134">
        <v>2.08</v>
      </c>
      <c r="H1064" s="135">
        <v>13.45</v>
      </c>
      <c r="I1064" s="136">
        <f t="shared" si="16"/>
        <v>27.975999999999999</v>
      </c>
      <c r="J1064" s="137">
        <v>1</v>
      </c>
    </row>
    <row r="1065" spans="2:10" ht="15" customHeight="1" x14ac:dyDescent="0.3">
      <c r="B1065" s="132" t="s">
        <v>1761</v>
      </c>
      <c r="C1065" s="132" t="s">
        <v>1529</v>
      </c>
      <c r="D1065" s="132" t="s">
        <v>1701</v>
      </c>
      <c r="E1065" s="132" t="s">
        <v>320</v>
      </c>
      <c r="F1065" s="133" t="s">
        <v>1763</v>
      </c>
      <c r="G1065" s="134">
        <v>5.87</v>
      </c>
      <c r="H1065" s="135">
        <v>13.45</v>
      </c>
      <c r="I1065" s="136">
        <f t="shared" si="16"/>
        <v>78.951499999999996</v>
      </c>
      <c r="J1065" s="137">
        <v>1</v>
      </c>
    </row>
    <row r="1066" spans="2:10" ht="15" customHeight="1" x14ac:dyDescent="0.3">
      <c r="B1066" s="132" t="s">
        <v>1761</v>
      </c>
      <c r="C1066" s="132" t="s">
        <v>1529</v>
      </c>
      <c r="D1066" s="132" t="s">
        <v>1701</v>
      </c>
      <c r="E1066" s="132" t="s">
        <v>320</v>
      </c>
      <c r="F1066" s="133" t="s">
        <v>1764</v>
      </c>
      <c r="G1066" s="134">
        <v>7.69</v>
      </c>
      <c r="H1066" s="135">
        <v>13.45</v>
      </c>
      <c r="I1066" s="136">
        <f t="shared" si="16"/>
        <v>103.43049999999999</v>
      </c>
      <c r="J1066" s="137">
        <v>1</v>
      </c>
    </row>
    <row r="1067" spans="2:10" ht="15" customHeight="1" x14ac:dyDescent="0.3">
      <c r="B1067" s="132" t="s">
        <v>1761</v>
      </c>
      <c r="C1067" s="132" t="s">
        <v>1529</v>
      </c>
      <c r="D1067" s="132" t="s">
        <v>1701</v>
      </c>
      <c r="E1067" s="132" t="s">
        <v>320</v>
      </c>
      <c r="F1067" s="133" t="s">
        <v>1765</v>
      </c>
      <c r="G1067" s="134">
        <v>3.66</v>
      </c>
      <c r="H1067" s="135">
        <v>13.45</v>
      </c>
      <c r="I1067" s="136">
        <f t="shared" si="16"/>
        <v>49.226999999999997</v>
      </c>
      <c r="J1067" s="137">
        <v>1</v>
      </c>
    </row>
    <row r="1068" spans="2:10" ht="15" customHeight="1" x14ac:dyDescent="0.3">
      <c r="B1068" s="132" t="s">
        <v>1766</v>
      </c>
      <c r="C1068" s="132" t="s">
        <v>1529</v>
      </c>
      <c r="D1068" s="132" t="s">
        <v>1701</v>
      </c>
      <c r="E1068" s="132" t="s">
        <v>320</v>
      </c>
      <c r="F1068" s="133" t="s">
        <v>1767</v>
      </c>
      <c r="G1068" s="134">
        <v>1.92</v>
      </c>
      <c r="H1068" s="135">
        <v>13.45</v>
      </c>
      <c r="I1068" s="136">
        <f t="shared" si="16"/>
        <v>25.823999999999998</v>
      </c>
      <c r="J1068" s="137">
        <v>1</v>
      </c>
    </row>
    <row r="1069" spans="2:10" ht="15" customHeight="1" x14ac:dyDescent="0.3">
      <c r="B1069" s="132" t="s">
        <v>1768</v>
      </c>
      <c r="C1069" s="132" t="s">
        <v>1529</v>
      </c>
      <c r="D1069" s="132" t="s">
        <v>1701</v>
      </c>
      <c r="E1069" s="132" t="s">
        <v>320</v>
      </c>
      <c r="F1069" s="133" t="s">
        <v>1769</v>
      </c>
      <c r="G1069" s="134">
        <v>3.19</v>
      </c>
      <c r="H1069" s="135">
        <v>13.45</v>
      </c>
      <c r="I1069" s="136">
        <f t="shared" si="16"/>
        <v>42.905499999999996</v>
      </c>
      <c r="J1069" s="137">
        <v>1</v>
      </c>
    </row>
    <row r="1070" spans="2:10" ht="15" customHeight="1" x14ac:dyDescent="0.3">
      <c r="B1070" s="132" t="s">
        <v>1770</v>
      </c>
      <c r="C1070" s="132" t="s">
        <v>1529</v>
      </c>
      <c r="D1070" s="132" t="s">
        <v>1701</v>
      </c>
      <c r="E1070" s="132" t="s">
        <v>320</v>
      </c>
      <c r="F1070" s="133" t="s">
        <v>1771</v>
      </c>
      <c r="G1070" s="134">
        <v>7.41</v>
      </c>
      <c r="H1070" s="135">
        <v>13.45</v>
      </c>
      <c r="I1070" s="136">
        <f t="shared" si="16"/>
        <v>99.66449999999999</v>
      </c>
      <c r="J1070" s="137">
        <v>1</v>
      </c>
    </row>
    <row r="1071" spans="2:10" ht="15" customHeight="1" x14ac:dyDescent="0.3">
      <c r="B1071" s="132" t="s">
        <v>1770</v>
      </c>
      <c r="C1071" s="132" t="s">
        <v>1529</v>
      </c>
      <c r="D1071" s="132" t="s">
        <v>1701</v>
      </c>
      <c r="E1071" s="132" t="s">
        <v>320</v>
      </c>
      <c r="F1071" s="133" t="s">
        <v>1772</v>
      </c>
      <c r="G1071" s="134">
        <v>7.11</v>
      </c>
      <c r="H1071" s="135">
        <v>13.45</v>
      </c>
      <c r="I1071" s="136">
        <f t="shared" si="16"/>
        <v>95.629499999999993</v>
      </c>
      <c r="J1071" s="137">
        <v>1</v>
      </c>
    </row>
    <row r="1072" spans="2:10" ht="15" customHeight="1" x14ac:dyDescent="0.3">
      <c r="B1072" s="132" t="s">
        <v>1623</v>
      </c>
      <c r="C1072" s="132" t="s">
        <v>1529</v>
      </c>
      <c r="D1072" s="132" t="s">
        <v>1701</v>
      </c>
      <c r="E1072" s="132" t="s">
        <v>320</v>
      </c>
      <c r="F1072" s="133" t="s">
        <v>1773</v>
      </c>
      <c r="G1072" s="134">
        <v>3.04</v>
      </c>
      <c r="H1072" s="135">
        <v>13.45</v>
      </c>
      <c r="I1072" s="136">
        <f t="shared" si="16"/>
        <v>40.887999999999998</v>
      </c>
      <c r="J1072" s="137">
        <v>1</v>
      </c>
    </row>
    <row r="1073" spans="2:10" ht="15" customHeight="1" x14ac:dyDescent="0.3">
      <c r="B1073" s="132" t="s">
        <v>1623</v>
      </c>
      <c r="C1073" s="132" t="s">
        <v>1529</v>
      </c>
      <c r="D1073" s="132" t="s">
        <v>1701</v>
      </c>
      <c r="E1073" s="132" t="s">
        <v>320</v>
      </c>
      <c r="F1073" s="133" t="s">
        <v>1774</v>
      </c>
      <c r="G1073" s="134">
        <v>2.88</v>
      </c>
      <c r="H1073" s="135">
        <v>13.45</v>
      </c>
      <c r="I1073" s="136">
        <f t="shared" si="16"/>
        <v>38.735999999999997</v>
      </c>
      <c r="J1073" s="137">
        <v>1</v>
      </c>
    </row>
    <row r="1074" spans="2:10" ht="15" customHeight="1" x14ac:dyDescent="0.3">
      <c r="B1074" s="132" t="s">
        <v>1775</v>
      </c>
      <c r="C1074" s="132" t="s">
        <v>1529</v>
      </c>
      <c r="D1074" s="132" t="s">
        <v>1701</v>
      </c>
      <c r="E1074" s="132" t="s">
        <v>320</v>
      </c>
      <c r="F1074" s="133" t="s">
        <v>1776</v>
      </c>
      <c r="G1074" s="134">
        <v>1.59</v>
      </c>
      <c r="H1074" s="135">
        <v>13.45</v>
      </c>
      <c r="I1074" s="136">
        <f t="shared" si="16"/>
        <v>21.3855</v>
      </c>
      <c r="J1074" s="137">
        <v>1</v>
      </c>
    </row>
    <row r="1075" spans="2:10" ht="15" customHeight="1" x14ac:dyDescent="0.3">
      <c r="B1075" s="132" t="s">
        <v>1777</v>
      </c>
      <c r="C1075" s="132" t="s">
        <v>1529</v>
      </c>
      <c r="D1075" s="132" t="s">
        <v>1701</v>
      </c>
      <c r="E1075" s="132" t="s">
        <v>320</v>
      </c>
      <c r="F1075" s="133" t="s">
        <v>1778</v>
      </c>
      <c r="G1075" s="134">
        <v>1.81</v>
      </c>
      <c r="H1075" s="135">
        <v>13.45</v>
      </c>
      <c r="I1075" s="136">
        <f t="shared" si="16"/>
        <v>24.3445</v>
      </c>
      <c r="J1075" s="137">
        <v>1</v>
      </c>
    </row>
    <row r="1076" spans="2:10" ht="15" customHeight="1" x14ac:dyDescent="0.3">
      <c r="B1076" s="132" t="s">
        <v>1779</v>
      </c>
      <c r="C1076" s="132" t="s">
        <v>1529</v>
      </c>
      <c r="D1076" s="132" t="s">
        <v>1701</v>
      </c>
      <c r="E1076" s="132" t="s">
        <v>320</v>
      </c>
      <c r="F1076" s="133" t="s">
        <v>1780</v>
      </c>
      <c r="G1076" s="134">
        <v>8.14</v>
      </c>
      <c r="H1076" s="135">
        <v>13.45</v>
      </c>
      <c r="I1076" s="136">
        <f t="shared" si="16"/>
        <v>109.483</v>
      </c>
      <c r="J1076" s="137">
        <v>1</v>
      </c>
    </row>
    <row r="1077" spans="2:10" ht="15" customHeight="1" x14ac:dyDescent="0.3">
      <c r="B1077" s="132" t="s">
        <v>1781</v>
      </c>
      <c r="C1077" s="132" t="s">
        <v>1529</v>
      </c>
      <c r="D1077" s="132" t="s">
        <v>1701</v>
      </c>
      <c r="E1077" s="132" t="s">
        <v>320</v>
      </c>
      <c r="F1077" s="133" t="s">
        <v>1782</v>
      </c>
      <c r="G1077" s="134">
        <v>3.26</v>
      </c>
      <c r="H1077" s="135">
        <v>13.45</v>
      </c>
      <c r="I1077" s="136">
        <f t="shared" si="16"/>
        <v>43.846999999999994</v>
      </c>
      <c r="J1077" s="137">
        <v>1</v>
      </c>
    </row>
    <row r="1078" spans="2:10" ht="15" customHeight="1" x14ac:dyDescent="0.3">
      <c r="B1078" s="132" t="s">
        <v>1783</v>
      </c>
      <c r="C1078" s="132" t="s">
        <v>1529</v>
      </c>
      <c r="D1078" s="132" t="s">
        <v>1701</v>
      </c>
      <c r="E1078" s="132" t="s">
        <v>320</v>
      </c>
      <c r="F1078" s="133" t="s">
        <v>1784</v>
      </c>
      <c r="G1078" s="134">
        <v>1.1499999999999999</v>
      </c>
      <c r="H1078" s="135">
        <v>13.45</v>
      </c>
      <c r="I1078" s="136">
        <f t="shared" si="16"/>
        <v>15.467499999999998</v>
      </c>
      <c r="J1078" s="137">
        <v>1</v>
      </c>
    </row>
    <row r="1079" spans="2:10" ht="15" customHeight="1" x14ac:dyDescent="0.3">
      <c r="B1079" s="132" t="s">
        <v>1785</v>
      </c>
      <c r="C1079" s="132" t="s">
        <v>1529</v>
      </c>
      <c r="D1079" s="132" t="s">
        <v>1701</v>
      </c>
      <c r="E1079" s="132" t="s">
        <v>320</v>
      </c>
      <c r="F1079" s="133" t="s">
        <v>1786</v>
      </c>
      <c r="G1079" s="134">
        <v>5.53</v>
      </c>
      <c r="H1079" s="135">
        <v>13.45</v>
      </c>
      <c r="I1079" s="136">
        <f t="shared" si="16"/>
        <v>74.378500000000003</v>
      </c>
      <c r="J1079" s="137">
        <v>1</v>
      </c>
    </row>
    <row r="1080" spans="2:10" ht="15" customHeight="1" x14ac:dyDescent="0.3">
      <c r="B1080" s="132" t="s">
        <v>1787</v>
      </c>
      <c r="C1080" s="132" t="s">
        <v>1529</v>
      </c>
      <c r="D1080" s="132" t="s">
        <v>1701</v>
      </c>
      <c r="E1080" s="132" t="s">
        <v>320</v>
      </c>
      <c r="F1080" s="133" t="s">
        <v>1788</v>
      </c>
      <c r="G1080" s="134">
        <v>2.4300000000000002</v>
      </c>
      <c r="H1080" s="135">
        <v>13.45</v>
      </c>
      <c r="I1080" s="136">
        <f t="shared" si="16"/>
        <v>32.683500000000002</v>
      </c>
      <c r="J1080" s="137">
        <v>1</v>
      </c>
    </row>
    <row r="1081" spans="2:10" ht="15" customHeight="1" x14ac:dyDescent="0.3">
      <c r="B1081" s="132" t="s">
        <v>1789</v>
      </c>
      <c r="C1081" s="132" t="s">
        <v>1529</v>
      </c>
      <c r="D1081" s="132" t="s">
        <v>1701</v>
      </c>
      <c r="E1081" s="132" t="s">
        <v>320</v>
      </c>
      <c r="F1081" s="133" t="s">
        <v>1790</v>
      </c>
      <c r="G1081" s="134">
        <v>1.1100000000000001</v>
      </c>
      <c r="H1081" s="135">
        <v>13.45</v>
      </c>
      <c r="I1081" s="136">
        <f t="shared" si="16"/>
        <v>14.929500000000001</v>
      </c>
      <c r="J1081" s="137">
        <v>1</v>
      </c>
    </row>
    <row r="1082" spans="2:10" ht="15" customHeight="1" x14ac:dyDescent="0.3">
      <c r="B1082" s="132" t="s">
        <v>1789</v>
      </c>
      <c r="C1082" s="132" t="s">
        <v>1529</v>
      </c>
      <c r="D1082" s="132" t="s">
        <v>1701</v>
      </c>
      <c r="E1082" s="132" t="s">
        <v>320</v>
      </c>
      <c r="F1082" s="133" t="s">
        <v>1791</v>
      </c>
      <c r="G1082" s="134">
        <v>1.43</v>
      </c>
      <c r="H1082" s="135">
        <v>13.45</v>
      </c>
      <c r="I1082" s="136">
        <f t="shared" si="16"/>
        <v>19.233499999999999</v>
      </c>
      <c r="J1082" s="137">
        <v>1</v>
      </c>
    </row>
    <row r="1083" spans="2:10" ht="15" customHeight="1" x14ac:dyDescent="0.3">
      <c r="B1083" s="132" t="s">
        <v>1792</v>
      </c>
      <c r="C1083" s="132" t="s">
        <v>1529</v>
      </c>
      <c r="D1083" s="132" t="s">
        <v>1701</v>
      </c>
      <c r="E1083" s="132" t="s">
        <v>320</v>
      </c>
      <c r="F1083" s="133" t="s">
        <v>1793</v>
      </c>
      <c r="G1083" s="134">
        <v>1.6</v>
      </c>
      <c r="H1083" s="135">
        <v>13.45</v>
      </c>
      <c r="I1083" s="136">
        <f t="shared" si="16"/>
        <v>21.52</v>
      </c>
      <c r="J1083" s="137">
        <v>1</v>
      </c>
    </row>
    <row r="1084" spans="2:10" ht="15" customHeight="1" x14ac:dyDescent="0.3">
      <c r="B1084" s="132" t="s">
        <v>1794</v>
      </c>
      <c r="C1084" s="132" t="s">
        <v>1529</v>
      </c>
      <c r="D1084" s="132" t="s">
        <v>1701</v>
      </c>
      <c r="E1084" s="132" t="s">
        <v>320</v>
      </c>
      <c r="F1084" s="133" t="s">
        <v>1795</v>
      </c>
      <c r="G1084" s="134">
        <v>3.21</v>
      </c>
      <c r="H1084" s="135">
        <v>13.45</v>
      </c>
      <c r="I1084" s="136">
        <f t="shared" si="16"/>
        <v>43.174499999999995</v>
      </c>
      <c r="J1084" s="137">
        <v>1</v>
      </c>
    </row>
    <row r="1085" spans="2:10" ht="15" customHeight="1" x14ac:dyDescent="0.3">
      <c r="B1085" s="132" t="s">
        <v>1794</v>
      </c>
      <c r="C1085" s="132" t="s">
        <v>1529</v>
      </c>
      <c r="D1085" s="132" t="s">
        <v>1701</v>
      </c>
      <c r="E1085" s="132" t="s">
        <v>320</v>
      </c>
      <c r="F1085" s="133" t="s">
        <v>1796</v>
      </c>
      <c r="G1085" s="134">
        <v>1.74</v>
      </c>
      <c r="H1085" s="135">
        <v>13.45</v>
      </c>
      <c r="I1085" s="136">
        <f t="shared" si="16"/>
        <v>23.402999999999999</v>
      </c>
      <c r="J1085" s="137">
        <v>1</v>
      </c>
    </row>
    <row r="1086" spans="2:10" ht="15" customHeight="1" x14ac:dyDescent="0.3">
      <c r="B1086" s="132" t="s">
        <v>1794</v>
      </c>
      <c r="C1086" s="132" t="s">
        <v>1529</v>
      </c>
      <c r="D1086" s="132" t="s">
        <v>1701</v>
      </c>
      <c r="E1086" s="132" t="s">
        <v>320</v>
      </c>
      <c r="F1086" s="133" t="s">
        <v>1797</v>
      </c>
      <c r="G1086" s="134">
        <v>1.27</v>
      </c>
      <c r="H1086" s="135">
        <v>13.45</v>
      </c>
      <c r="I1086" s="136">
        <f t="shared" si="16"/>
        <v>17.081499999999998</v>
      </c>
      <c r="J1086" s="137">
        <v>1</v>
      </c>
    </row>
    <row r="1087" spans="2:10" ht="15" customHeight="1" x14ac:dyDescent="0.3">
      <c r="B1087" s="132" t="s">
        <v>1794</v>
      </c>
      <c r="C1087" s="132" t="s">
        <v>1529</v>
      </c>
      <c r="D1087" s="132" t="s">
        <v>1701</v>
      </c>
      <c r="E1087" s="132" t="s">
        <v>320</v>
      </c>
      <c r="F1087" s="133" t="s">
        <v>1798</v>
      </c>
      <c r="G1087" s="134">
        <v>4.92</v>
      </c>
      <c r="H1087" s="135">
        <v>13.45</v>
      </c>
      <c r="I1087" s="136">
        <f t="shared" si="16"/>
        <v>66.173999999999992</v>
      </c>
      <c r="J1087" s="137">
        <v>1</v>
      </c>
    </row>
    <row r="1088" spans="2:10" ht="15" customHeight="1" x14ac:dyDescent="0.3">
      <c r="B1088" s="132" t="s">
        <v>1799</v>
      </c>
      <c r="C1088" s="132" t="s">
        <v>1529</v>
      </c>
      <c r="D1088" s="132" t="s">
        <v>1701</v>
      </c>
      <c r="E1088" s="132" t="s">
        <v>320</v>
      </c>
      <c r="F1088" s="133" t="s">
        <v>1800</v>
      </c>
      <c r="G1088" s="134">
        <v>7.35</v>
      </c>
      <c r="H1088" s="135">
        <v>13.45</v>
      </c>
      <c r="I1088" s="136">
        <f t="shared" si="16"/>
        <v>98.857499999999987</v>
      </c>
      <c r="J1088" s="137">
        <v>1</v>
      </c>
    </row>
    <row r="1089" spans="2:10" ht="15" customHeight="1" x14ac:dyDescent="0.3">
      <c r="B1089" s="132" t="s">
        <v>1801</v>
      </c>
      <c r="C1089" s="132" t="s">
        <v>1529</v>
      </c>
      <c r="D1089" s="132" t="s">
        <v>1701</v>
      </c>
      <c r="E1089" s="132" t="s">
        <v>320</v>
      </c>
      <c r="F1089" s="133" t="s">
        <v>1802</v>
      </c>
      <c r="G1089" s="134">
        <v>5.08</v>
      </c>
      <c r="H1089" s="135">
        <v>13.45</v>
      </c>
      <c r="I1089" s="136">
        <f t="shared" si="16"/>
        <v>68.325999999999993</v>
      </c>
      <c r="J1089" s="137">
        <v>1</v>
      </c>
    </row>
    <row r="1090" spans="2:10" ht="15" customHeight="1" x14ac:dyDescent="0.3">
      <c r="B1090" s="132" t="s">
        <v>1801</v>
      </c>
      <c r="C1090" s="132" t="s">
        <v>1529</v>
      </c>
      <c r="D1090" s="132" t="s">
        <v>1701</v>
      </c>
      <c r="E1090" s="132" t="s">
        <v>320</v>
      </c>
      <c r="F1090" s="133" t="s">
        <v>1803</v>
      </c>
      <c r="G1090" s="134">
        <v>2.58</v>
      </c>
      <c r="H1090" s="135">
        <v>13.45</v>
      </c>
      <c r="I1090" s="136">
        <f t="shared" si="16"/>
        <v>34.701000000000001</v>
      </c>
      <c r="J1090" s="137">
        <v>1</v>
      </c>
    </row>
    <row r="1091" spans="2:10" ht="15" customHeight="1" x14ac:dyDescent="0.3">
      <c r="B1091" s="132" t="s">
        <v>1801</v>
      </c>
      <c r="C1091" s="132" t="s">
        <v>1529</v>
      </c>
      <c r="D1091" s="132" t="s">
        <v>1701</v>
      </c>
      <c r="E1091" s="132" t="s">
        <v>320</v>
      </c>
      <c r="F1091" s="133" t="s">
        <v>1804</v>
      </c>
      <c r="G1091" s="134">
        <v>2.59</v>
      </c>
      <c r="H1091" s="135">
        <v>13.45</v>
      </c>
      <c r="I1091" s="136">
        <f t="shared" si="16"/>
        <v>34.835499999999996</v>
      </c>
      <c r="J1091" s="137">
        <v>1</v>
      </c>
    </row>
    <row r="1092" spans="2:10" ht="15" customHeight="1" x14ac:dyDescent="0.3">
      <c r="B1092" s="132" t="s">
        <v>1805</v>
      </c>
      <c r="C1092" s="132" t="s">
        <v>1529</v>
      </c>
      <c r="D1092" s="132" t="s">
        <v>1701</v>
      </c>
      <c r="E1092" s="132" t="s">
        <v>320</v>
      </c>
      <c r="F1092" s="133" t="s">
        <v>1806</v>
      </c>
      <c r="G1092" s="134">
        <v>1.45</v>
      </c>
      <c r="H1092" s="135">
        <v>13.45</v>
      </c>
      <c r="I1092" s="136">
        <f t="shared" si="16"/>
        <v>19.502499999999998</v>
      </c>
      <c r="J1092" s="137">
        <v>1</v>
      </c>
    </row>
    <row r="1093" spans="2:10" ht="15" customHeight="1" x14ac:dyDescent="0.3">
      <c r="B1093" s="132" t="s">
        <v>1805</v>
      </c>
      <c r="C1093" s="132" t="s">
        <v>1529</v>
      </c>
      <c r="D1093" s="132" t="s">
        <v>1701</v>
      </c>
      <c r="E1093" s="132" t="s">
        <v>320</v>
      </c>
      <c r="F1093" s="133" t="s">
        <v>1807</v>
      </c>
      <c r="G1093" s="134">
        <v>1.45</v>
      </c>
      <c r="H1093" s="135">
        <v>13.45</v>
      </c>
      <c r="I1093" s="136">
        <f t="shared" si="16"/>
        <v>19.502499999999998</v>
      </c>
      <c r="J1093" s="137">
        <v>1</v>
      </c>
    </row>
    <row r="1094" spans="2:10" ht="15" customHeight="1" x14ac:dyDescent="0.3">
      <c r="B1094" s="132" t="s">
        <v>1808</v>
      </c>
      <c r="C1094" s="132" t="s">
        <v>1529</v>
      </c>
      <c r="D1094" s="132" t="s">
        <v>1701</v>
      </c>
      <c r="E1094" s="132" t="s">
        <v>320</v>
      </c>
      <c r="F1094" s="133" t="s">
        <v>1809</v>
      </c>
      <c r="G1094" s="134">
        <v>6.48</v>
      </c>
      <c r="H1094" s="135">
        <v>13.45</v>
      </c>
      <c r="I1094" s="136">
        <f t="shared" si="16"/>
        <v>87.156000000000006</v>
      </c>
      <c r="J1094" s="137">
        <v>1</v>
      </c>
    </row>
    <row r="1095" spans="2:10" ht="15" customHeight="1" x14ac:dyDescent="0.3">
      <c r="B1095" s="132" t="s">
        <v>1810</v>
      </c>
      <c r="C1095" s="132" t="s">
        <v>1529</v>
      </c>
      <c r="D1095" s="132" t="s">
        <v>1701</v>
      </c>
      <c r="E1095" s="132" t="s">
        <v>320</v>
      </c>
      <c r="F1095" s="133" t="s">
        <v>1811</v>
      </c>
      <c r="G1095" s="134">
        <v>7.41</v>
      </c>
      <c r="H1095" s="135">
        <v>13.45</v>
      </c>
      <c r="I1095" s="136">
        <f t="shared" si="16"/>
        <v>99.66449999999999</v>
      </c>
      <c r="J1095" s="137">
        <v>1</v>
      </c>
    </row>
    <row r="1096" spans="2:10" ht="15" customHeight="1" x14ac:dyDescent="0.3">
      <c r="B1096" s="132" t="s">
        <v>1810</v>
      </c>
      <c r="C1096" s="132" t="s">
        <v>1529</v>
      </c>
      <c r="D1096" s="132" t="s">
        <v>1701</v>
      </c>
      <c r="E1096" s="132" t="s">
        <v>320</v>
      </c>
      <c r="F1096" s="133" t="s">
        <v>1812</v>
      </c>
      <c r="G1096" s="134">
        <v>7.35</v>
      </c>
      <c r="H1096" s="135">
        <v>13.45</v>
      </c>
      <c r="I1096" s="136">
        <f t="shared" ref="I1096:I1159" si="17">G1096*H1096</f>
        <v>98.857499999999987</v>
      </c>
      <c r="J1096" s="137">
        <v>1</v>
      </c>
    </row>
    <row r="1097" spans="2:10" ht="15" customHeight="1" x14ac:dyDescent="0.3">
      <c r="B1097" s="132" t="s">
        <v>1813</v>
      </c>
      <c r="C1097" s="132" t="s">
        <v>1529</v>
      </c>
      <c r="D1097" s="132" t="s">
        <v>1701</v>
      </c>
      <c r="E1097" s="132" t="s">
        <v>320</v>
      </c>
      <c r="F1097" s="133" t="s">
        <v>1814</v>
      </c>
      <c r="G1097" s="134">
        <v>3.2</v>
      </c>
      <c r="H1097" s="135">
        <v>13.45</v>
      </c>
      <c r="I1097" s="136">
        <f t="shared" si="17"/>
        <v>43.04</v>
      </c>
      <c r="J1097" s="137">
        <v>1</v>
      </c>
    </row>
    <row r="1098" spans="2:10" ht="15" customHeight="1" x14ac:dyDescent="0.3">
      <c r="B1098" s="132" t="s">
        <v>1813</v>
      </c>
      <c r="C1098" s="132" t="s">
        <v>1529</v>
      </c>
      <c r="D1098" s="132" t="s">
        <v>1701</v>
      </c>
      <c r="E1098" s="132" t="s">
        <v>320</v>
      </c>
      <c r="F1098" s="133" t="s">
        <v>1815</v>
      </c>
      <c r="G1098" s="134">
        <v>3.66</v>
      </c>
      <c r="H1098" s="135">
        <v>13.45</v>
      </c>
      <c r="I1098" s="136">
        <f t="shared" si="17"/>
        <v>49.226999999999997</v>
      </c>
      <c r="J1098" s="137">
        <v>1</v>
      </c>
    </row>
    <row r="1099" spans="2:10" ht="15" customHeight="1" x14ac:dyDescent="0.3">
      <c r="B1099" s="132" t="s">
        <v>1813</v>
      </c>
      <c r="C1099" s="132" t="s">
        <v>1529</v>
      </c>
      <c r="D1099" s="132" t="s">
        <v>1701</v>
      </c>
      <c r="E1099" s="132" t="s">
        <v>320</v>
      </c>
      <c r="F1099" s="133" t="s">
        <v>1816</v>
      </c>
      <c r="G1099" s="134">
        <v>5.07</v>
      </c>
      <c r="H1099" s="135">
        <v>13.45</v>
      </c>
      <c r="I1099" s="136">
        <f t="shared" si="17"/>
        <v>68.191500000000005</v>
      </c>
      <c r="J1099" s="137">
        <v>1</v>
      </c>
    </row>
    <row r="1100" spans="2:10" ht="15" customHeight="1" x14ac:dyDescent="0.3">
      <c r="B1100" s="132" t="s">
        <v>1817</v>
      </c>
      <c r="C1100" s="132" t="s">
        <v>1529</v>
      </c>
      <c r="D1100" s="132" t="s">
        <v>1701</v>
      </c>
      <c r="E1100" s="132" t="s">
        <v>320</v>
      </c>
      <c r="F1100" s="133" t="s">
        <v>1818</v>
      </c>
      <c r="G1100" s="134">
        <v>1.78</v>
      </c>
      <c r="H1100" s="135">
        <v>13.45</v>
      </c>
      <c r="I1100" s="136">
        <f t="shared" si="17"/>
        <v>23.940999999999999</v>
      </c>
      <c r="J1100" s="137">
        <v>1</v>
      </c>
    </row>
    <row r="1101" spans="2:10" ht="15" customHeight="1" x14ac:dyDescent="0.3">
      <c r="B1101" s="132" t="s">
        <v>1817</v>
      </c>
      <c r="C1101" s="132" t="s">
        <v>1529</v>
      </c>
      <c r="D1101" s="132" t="s">
        <v>1701</v>
      </c>
      <c r="E1101" s="132" t="s">
        <v>320</v>
      </c>
      <c r="F1101" s="133" t="s">
        <v>1819</v>
      </c>
      <c r="G1101" s="134">
        <v>1.62</v>
      </c>
      <c r="H1101" s="135">
        <v>13.45</v>
      </c>
      <c r="I1101" s="136">
        <f t="shared" si="17"/>
        <v>21.789000000000001</v>
      </c>
      <c r="J1101" s="137">
        <v>1</v>
      </c>
    </row>
    <row r="1102" spans="2:10" ht="15" customHeight="1" x14ac:dyDescent="0.3">
      <c r="B1102" s="132" t="s">
        <v>1817</v>
      </c>
      <c r="C1102" s="132" t="s">
        <v>1529</v>
      </c>
      <c r="D1102" s="132" t="s">
        <v>1701</v>
      </c>
      <c r="E1102" s="132" t="s">
        <v>320</v>
      </c>
      <c r="F1102" s="133" t="s">
        <v>1820</v>
      </c>
      <c r="G1102" s="134">
        <v>1.62</v>
      </c>
      <c r="H1102" s="135">
        <v>13.45</v>
      </c>
      <c r="I1102" s="136">
        <f t="shared" si="17"/>
        <v>21.789000000000001</v>
      </c>
      <c r="J1102" s="137">
        <v>1</v>
      </c>
    </row>
    <row r="1103" spans="2:10" ht="15" customHeight="1" x14ac:dyDescent="0.3">
      <c r="B1103" s="132" t="s">
        <v>1821</v>
      </c>
      <c r="C1103" s="132" t="s">
        <v>1529</v>
      </c>
      <c r="D1103" s="132" t="s">
        <v>1701</v>
      </c>
      <c r="E1103" s="132" t="s">
        <v>320</v>
      </c>
      <c r="F1103" s="133" t="s">
        <v>1822</v>
      </c>
      <c r="G1103" s="134">
        <v>1.75</v>
      </c>
      <c r="H1103" s="135">
        <v>13.45</v>
      </c>
      <c r="I1103" s="136">
        <f t="shared" si="17"/>
        <v>23.537499999999998</v>
      </c>
      <c r="J1103" s="137">
        <v>1</v>
      </c>
    </row>
    <row r="1104" spans="2:10" ht="15" customHeight="1" x14ac:dyDescent="0.3">
      <c r="B1104" s="132" t="s">
        <v>1821</v>
      </c>
      <c r="C1104" s="132" t="s">
        <v>1529</v>
      </c>
      <c r="D1104" s="132" t="s">
        <v>1701</v>
      </c>
      <c r="E1104" s="132" t="s">
        <v>320</v>
      </c>
      <c r="F1104" s="133" t="s">
        <v>1823</v>
      </c>
      <c r="G1104" s="134">
        <v>2.86</v>
      </c>
      <c r="H1104" s="135">
        <v>13.45</v>
      </c>
      <c r="I1104" s="136">
        <f t="shared" si="17"/>
        <v>38.466999999999999</v>
      </c>
      <c r="J1104" s="137">
        <v>1</v>
      </c>
    </row>
    <row r="1105" spans="2:10" ht="15" customHeight="1" x14ac:dyDescent="0.3">
      <c r="B1105" s="132" t="s">
        <v>1821</v>
      </c>
      <c r="C1105" s="132" t="s">
        <v>1529</v>
      </c>
      <c r="D1105" s="132" t="s">
        <v>1701</v>
      </c>
      <c r="E1105" s="132" t="s">
        <v>320</v>
      </c>
      <c r="F1105" s="133" t="s">
        <v>1824</v>
      </c>
      <c r="G1105" s="134">
        <v>3.84</v>
      </c>
      <c r="H1105" s="135">
        <v>13.45</v>
      </c>
      <c r="I1105" s="136">
        <f t="shared" si="17"/>
        <v>51.647999999999996</v>
      </c>
      <c r="J1105" s="137">
        <v>1</v>
      </c>
    </row>
    <row r="1106" spans="2:10" ht="15" customHeight="1" x14ac:dyDescent="0.3">
      <c r="B1106" s="132" t="s">
        <v>1821</v>
      </c>
      <c r="C1106" s="132" t="s">
        <v>1529</v>
      </c>
      <c r="D1106" s="132" t="s">
        <v>1701</v>
      </c>
      <c r="E1106" s="132" t="s">
        <v>320</v>
      </c>
      <c r="F1106" s="133" t="s">
        <v>1825</v>
      </c>
      <c r="G1106" s="134">
        <v>1.75</v>
      </c>
      <c r="H1106" s="135">
        <v>13.45</v>
      </c>
      <c r="I1106" s="136">
        <f t="shared" si="17"/>
        <v>23.537499999999998</v>
      </c>
      <c r="J1106" s="137">
        <v>1</v>
      </c>
    </row>
    <row r="1107" spans="2:10" ht="15" customHeight="1" x14ac:dyDescent="0.3">
      <c r="B1107" s="132" t="s">
        <v>1826</v>
      </c>
      <c r="C1107" s="132" t="s">
        <v>1529</v>
      </c>
      <c r="D1107" s="132" t="s">
        <v>1701</v>
      </c>
      <c r="E1107" s="132" t="s">
        <v>320</v>
      </c>
      <c r="F1107" s="133" t="s">
        <v>1827</v>
      </c>
      <c r="G1107" s="134">
        <v>2.57</v>
      </c>
      <c r="H1107" s="135">
        <v>13.45</v>
      </c>
      <c r="I1107" s="136">
        <f t="shared" si="17"/>
        <v>34.566499999999998</v>
      </c>
      <c r="J1107" s="137">
        <v>1</v>
      </c>
    </row>
    <row r="1108" spans="2:10" ht="15" customHeight="1" x14ac:dyDescent="0.3">
      <c r="B1108" s="132" t="s">
        <v>1826</v>
      </c>
      <c r="C1108" s="132" t="s">
        <v>1529</v>
      </c>
      <c r="D1108" s="132" t="s">
        <v>1701</v>
      </c>
      <c r="E1108" s="132" t="s">
        <v>320</v>
      </c>
      <c r="F1108" s="133" t="s">
        <v>1828</v>
      </c>
      <c r="G1108" s="134">
        <v>9.59</v>
      </c>
      <c r="H1108" s="135">
        <v>13.45</v>
      </c>
      <c r="I1108" s="136">
        <f t="shared" si="17"/>
        <v>128.9855</v>
      </c>
      <c r="J1108" s="137">
        <v>1</v>
      </c>
    </row>
    <row r="1109" spans="2:10" ht="15" customHeight="1" x14ac:dyDescent="0.3">
      <c r="B1109" s="132" t="s">
        <v>1826</v>
      </c>
      <c r="C1109" s="132" t="s">
        <v>1529</v>
      </c>
      <c r="D1109" s="132" t="s">
        <v>1701</v>
      </c>
      <c r="E1109" s="132" t="s">
        <v>320</v>
      </c>
      <c r="F1109" s="133" t="s">
        <v>1829</v>
      </c>
      <c r="G1109" s="134">
        <v>4.1900000000000004</v>
      </c>
      <c r="H1109" s="135">
        <v>13.45</v>
      </c>
      <c r="I1109" s="136">
        <f t="shared" si="17"/>
        <v>56.355499999999999</v>
      </c>
      <c r="J1109" s="137">
        <v>1</v>
      </c>
    </row>
    <row r="1110" spans="2:10" ht="15" customHeight="1" x14ac:dyDescent="0.3">
      <c r="B1110" s="132" t="s">
        <v>1826</v>
      </c>
      <c r="C1110" s="132" t="s">
        <v>1529</v>
      </c>
      <c r="D1110" s="132" t="s">
        <v>1701</v>
      </c>
      <c r="E1110" s="132" t="s">
        <v>320</v>
      </c>
      <c r="F1110" s="133" t="s">
        <v>1830</v>
      </c>
      <c r="G1110" s="134">
        <v>2.57</v>
      </c>
      <c r="H1110" s="135">
        <v>13.45</v>
      </c>
      <c r="I1110" s="136">
        <f t="shared" si="17"/>
        <v>34.566499999999998</v>
      </c>
      <c r="J1110" s="137">
        <v>1</v>
      </c>
    </row>
    <row r="1111" spans="2:10" ht="15" customHeight="1" x14ac:dyDescent="0.3">
      <c r="B1111" s="132" t="s">
        <v>1831</v>
      </c>
      <c r="C1111" s="132" t="s">
        <v>1529</v>
      </c>
      <c r="D1111" s="132" t="s">
        <v>1701</v>
      </c>
      <c r="E1111" s="132" t="s">
        <v>320</v>
      </c>
      <c r="F1111" s="133" t="s">
        <v>1832</v>
      </c>
      <c r="G1111" s="134">
        <v>1.28</v>
      </c>
      <c r="H1111" s="135">
        <v>13.45</v>
      </c>
      <c r="I1111" s="136">
        <f t="shared" si="17"/>
        <v>17.216000000000001</v>
      </c>
      <c r="J1111" s="137">
        <v>1</v>
      </c>
    </row>
    <row r="1112" spans="2:10" ht="15" customHeight="1" x14ac:dyDescent="0.3">
      <c r="B1112" s="132" t="s">
        <v>1831</v>
      </c>
      <c r="C1112" s="132" t="s">
        <v>1529</v>
      </c>
      <c r="D1112" s="132" t="s">
        <v>1701</v>
      </c>
      <c r="E1112" s="132" t="s">
        <v>320</v>
      </c>
      <c r="F1112" s="133" t="s">
        <v>1833</v>
      </c>
      <c r="G1112" s="134">
        <v>8.01</v>
      </c>
      <c r="H1112" s="135">
        <v>13.45</v>
      </c>
      <c r="I1112" s="136">
        <f t="shared" si="17"/>
        <v>107.7345</v>
      </c>
      <c r="J1112" s="137">
        <v>1</v>
      </c>
    </row>
    <row r="1113" spans="2:10" ht="15" customHeight="1" x14ac:dyDescent="0.3">
      <c r="B1113" s="132" t="s">
        <v>1831</v>
      </c>
      <c r="C1113" s="132" t="s">
        <v>1529</v>
      </c>
      <c r="D1113" s="132" t="s">
        <v>1701</v>
      </c>
      <c r="E1113" s="132" t="s">
        <v>320</v>
      </c>
      <c r="F1113" s="133" t="s">
        <v>1834</v>
      </c>
      <c r="G1113" s="134">
        <v>2.73</v>
      </c>
      <c r="H1113" s="135">
        <v>13.45</v>
      </c>
      <c r="I1113" s="136">
        <f t="shared" si="17"/>
        <v>36.718499999999999</v>
      </c>
      <c r="J1113" s="137">
        <v>1</v>
      </c>
    </row>
    <row r="1114" spans="2:10" ht="15" customHeight="1" x14ac:dyDescent="0.3">
      <c r="B1114" s="132" t="s">
        <v>1835</v>
      </c>
      <c r="C1114" s="132" t="s">
        <v>1529</v>
      </c>
      <c r="D1114" s="132" t="s">
        <v>1701</v>
      </c>
      <c r="E1114" s="132" t="s">
        <v>320</v>
      </c>
      <c r="F1114" s="133" t="s">
        <v>1836</v>
      </c>
      <c r="G1114" s="134">
        <v>6.38</v>
      </c>
      <c r="H1114" s="135">
        <v>13.45</v>
      </c>
      <c r="I1114" s="136">
        <f t="shared" si="17"/>
        <v>85.810999999999993</v>
      </c>
      <c r="J1114" s="137">
        <v>1</v>
      </c>
    </row>
    <row r="1115" spans="2:10" ht="15" customHeight="1" x14ac:dyDescent="0.3">
      <c r="B1115" s="132" t="s">
        <v>1837</v>
      </c>
      <c r="C1115" s="132" t="s">
        <v>1529</v>
      </c>
      <c r="D1115" s="132" t="s">
        <v>1701</v>
      </c>
      <c r="E1115" s="132" t="s">
        <v>320</v>
      </c>
      <c r="F1115" s="133" t="s">
        <v>1838</v>
      </c>
      <c r="G1115" s="134">
        <v>2.23</v>
      </c>
      <c r="H1115" s="135">
        <v>13.45</v>
      </c>
      <c r="I1115" s="136">
        <f t="shared" si="17"/>
        <v>29.993499999999997</v>
      </c>
      <c r="J1115" s="137">
        <v>1</v>
      </c>
    </row>
    <row r="1116" spans="2:10" ht="15" customHeight="1" x14ac:dyDescent="0.3">
      <c r="B1116" s="132" t="s">
        <v>1839</v>
      </c>
      <c r="C1116" s="132" t="s">
        <v>1529</v>
      </c>
      <c r="D1116" s="132" t="s">
        <v>1701</v>
      </c>
      <c r="E1116" s="132" t="s">
        <v>320</v>
      </c>
      <c r="F1116" s="133" t="s">
        <v>1840</v>
      </c>
      <c r="G1116" s="134">
        <v>6.08</v>
      </c>
      <c r="H1116" s="135">
        <v>13.45</v>
      </c>
      <c r="I1116" s="136">
        <f t="shared" si="17"/>
        <v>81.775999999999996</v>
      </c>
      <c r="J1116" s="137">
        <v>1</v>
      </c>
    </row>
    <row r="1117" spans="2:10" ht="15" customHeight="1" x14ac:dyDescent="0.3">
      <c r="B1117" s="132" t="s">
        <v>1839</v>
      </c>
      <c r="C1117" s="132" t="s">
        <v>1529</v>
      </c>
      <c r="D1117" s="132" t="s">
        <v>1701</v>
      </c>
      <c r="E1117" s="132" t="s">
        <v>320</v>
      </c>
      <c r="F1117" s="133" t="s">
        <v>1841</v>
      </c>
      <c r="G1117" s="134">
        <v>5.85</v>
      </c>
      <c r="H1117" s="135">
        <v>13.45</v>
      </c>
      <c r="I1117" s="136">
        <f t="shared" si="17"/>
        <v>78.68249999999999</v>
      </c>
      <c r="J1117" s="137">
        <v>1</v>
      </c>
    </row>
    <row r="1118" spans="2:10" ht="15" customHeight="1" x14ac:dyDescent="0.3">
      <c r="B1118" s="132" t="s">
        <v>1842</v>
      </c>
      <c r="C1118" s="132" t="s">
        <v>1529</v>
      </c>
      <c r="D1118" s="132" t="s">
        <v>1701</v>
      </c>
      <c r="E1118" s="132" t="s">
        <v>320</v>
      </c>
      <c r="F1118" s="133" t="s">
        <v>1843</v>
      </c>
      <c r="G1118" s="134">
        <v>2.23</v>
      </c>
      <c r="H1118" s="135">
        <v>13.45</v>
      </c>
      <c r="I1118" s="136">
        <f t="shared" si="17"/>
        <v>29.993499999999997</v>
      </c>
      <c r="J1118" s="137">
        <v>1</v>
      </c>
    </row>
    <row r="1119" spans="2:10" ht="15" customHeight="1" x14ac:dyDescent="0.3">
      <c r="B1119" s="132" t="s">
        <v>1844</v>
      </c>
      <c r="C1119" s="132" t="s">
        <v>1529</v>
      </c>
      <c r="D1119" s="132" t="s">
        <v>1701</v>
      </c>
      <c r="E1119" s="132" t="s">
        <v>320</v>
      </c>
      <c r="F1119" s="133" t="s">
        <v>1845</v>
      </c>
      <c r="G1119" s="134">
        <v>3.9</v>
      </c>
      <c r="H1119" s="135">
        <v>13.45</v>
      </c>
      <c r="I1119" s="136">
        <f t="shared" si="17"/>
        <v>52.454999999999998</v>
      </c>
      <c r="J1119" s="137">
        <v>1</v>
      </c>
    </row>
    <row r="1120" spans="2:10" ht="15" customHeight="1" x14ac:dyDescent="0.3">
      <c r="B1120" s="132" t="s">
        <v>1846</v>
      </c>
      <c r="C1120" s="132" t="s">
        <v>1529</v>
      </c>
      <c r="D1120" s="132" t="s">
        <v>1701</v>
      </c>
      <c r="E1120" s="132" t="s">
        <v>320</v>
      </c>
      <c r="F1120" s="133" t="s">
        <v>1847</v>
      </c>
      <c r="G1120" s="134">
        <v>3.2</v>
      </c>
      <c r="H1120" s="135">
        <v>13.45</v>
      </c>
      <c r="I1120" s="136">
        <f t="shared" si="17"/>
        <v>43.04</v>
      </c>
      <c r="J1120" s="137">
        <v>1</v>
      </c>
    </row>
    <row r="1121" spans="2:10" ht="15" customHeight="1" x14ac:dyDescent="0.3">
      <c r="B1121" s="132" t="s">
        <v>1848</v>
      </c>
      <c r="C1121" s="132" t="s">
        <v>1529</v>
      </c>
      <c r="D1121" s="132" t="s">
        <v>1701</v>
      </c>
      <c r="E1121" s="132" t="s">
        <v>320</v>
      </c>
      <c r="F1121" s="133" t="s">
        <v>1849</v>
      </c>
      <c r="G1121" s="134">
        <v>4.87</v>
      </c>
      <c r="H1121" s="135">
        <v>13.45</v>
      </c>
      <c r="I1121" s="136">
        <f t="shared" si="17"/>
        <v>65.501499999999993</v>
      </c>
      <c r="J1121" s="137">
        <v>1</v>
      </c>
    </row>
    <row r="1122" spans="2:10" ht="15" customHeight="1" x14ac:dyDescent="0.3">
      <c r="B1122" s="132" t="s">
        <v>1848</v>
      </c>
      <c r="C1122" s="132" t="s">
        <v>1529</v>
      </c>
      <c r="D1122" s="132" t="s">
        <v>1701</v>
      </c>
      <c r="E1122" s="132" t="s">
        <v>320</v>
      </c>
      <c r="F1122" s="133" t="s">
        <v>1850</v>
      </c>
      <c r="G1122" s="134">
        <v>2.37</v>
      </c>
      <c r="H1122" s="135">
        <v>13.45</v>
      </c>
      <c r="I1122" s="136">
        <f t="shared" si="17"/>
        <v>31.8765</v>
      </c>
      <c r="J1122" s="137">
        <v>1</v>
      </c>
    </row>
    <row r="1123" spans="2:10" ht="15" customHeight="1" x14ac:dyDescent="0.3">
      <c r="B1123" s="132" t="s">
        <v>1848</v>
      </c>
      <c r="C1123" s="132" t="s">
        <v>1529</v>
      </c>
      <c r="D1123" s="132" t="s">
        <v>1701</v>
      </c>
      <c r="E1123" s="132" t="s">
        <v>320</v>
      </c>
      <c r="F1123" s="133" t="s">
        <v>1851</v>
      </c>
      <c r="G1123" s="134">
        <v>2.5099999999999998</v>
      </c>
      <c r="H1123" s="135">
        <v>13.45</v>
      </c>
      <c r="I1123" s="136">
        <f t="shared" si="17"/>
        <v>33.759499999999996</v>
      </c>
      <c r="J1123" s="137">
        <v>1</v>
      </c>
    </row>
    <row r="1124" spans="2:10" ht="15" customHeight="1" x14ac:dyDescent="0.3">
      <c r="B1124" s="132" t="s">
        <v>1852</v>
      </c>
      <c r="C1124" s="132" t="s">
        <v>1529</v>
      </c>
      <c r="D1124" s="132" t="s">
        <v>1701</v>
      </c>
      <c r="E1124" s="132" t="s">
        <v>320</v>
      </c>
      <c r="F1124" s="133" t="s">
        <v>1853</v>
      </c>
      <c r="G1124" s="134">
        <v>4.51</v>
      </c>
      <c r="H1124" s="135">
        <v>13.45</v>
      </c>
      <c r="I1124" s="136">
        <f t="shared" si="17"/>
        <v>60.659499999999994</v>
      </c>
      <c r="J1124" s="137">
        <v>1</v>
      </c>
    </row>
    <row r="1125" spans="2:10" ht="15" customHeight="1" x14ac:dyDescent="0.3">
      <c r="B1125" s="132" t="s">
        <v>1854</v>
      </c>
      <c r="C1125" s="132" t="s">
        <v>1529</v>
      </c>
      <c r="D1125" s="132" t="s">
        <v>1855</v>
      </c>
      <c r="E1125" s="132" t="s">
        <v>320</v>
      </c>
      <c r="F1125" s="133" t="s">
        <v>1856</v>
      </c>
      <c r="G1125" s="134">
        <v>8.49</v>
      </c>
      <c r="H1125" s="135">
        <v>13.45</v>
      </c>
      <c r="I1125" s="136">
        <f t="shared" si="17"/>
        <v>114.1905</v>
      </c>
      <c r="J1125" s="137">
        <v>1</v>
      </c>
    </row>
    <row r="1126" spans="2:10" ht="15" customHeight="1" x14ac:dyDescent="0.3">
      <c r="B1126" s="132" t="s">
        <v>1857</v>
      </c>
      <c r="C1126" s="132" t="s">
        <v>1529</v>
      </c>
      <c r="D1126" s="132" t="s">
        <v>1855</v>
      </c>
      <c r="E1126" s="132" t="s">
        <v>320</v>
      </c>
      <c r="F1126" s="133" t="s">
        <v>1858</v>
      </c>
      <c r="G1126" s="134">
        <v>9.59</v>
      </c>
      <c r="H1126" s="135">
        <v>13.45</v>
      </c>
      <c r="I1126" s="136">
        <f t="shared" si="17"/>
        <v>128.9855</v>
      </c>
      <c r="J1126" s="137">
        <v>1</v>
      </c>
    </row>
    <row r="1127" spans="2:10" ht="15" customHeight="1" x14ac:dyDescent="0.3">
      <c r="B1127" s="132" t="s">
        <v>1857</v>
      </c>
      <c r="C1127" s="132" t="s">
        <v>1529</v>
      </c>
      <c r="D1127" s="132" t="s">
        <v>1855</v>
      </c>
      <c r="E1127" s="132" t="s">
        <v>320</v>
      </c>
      <c r="F1127" s="133" t="s">
        <v>1859</v>
      </c>
      <c r="G1127" s="134">
        <v>7.05</v>
      </c>
      <c r="H1127" s="135">
        <v>13.45</v>
      </c>
      <c r="I1127" s="136">
        <f t="shared" si="17"/>
        <v>94.822499999999991</v>
      </c>
      <c r="J1127" s="137">
        <v>1</v>
      </c>
    </row>
    <row r="1128" spans="2:10" ht="15" customHeight="1" x14ac:dyDescent="0.3">
      <c r="B1128" s="132" t="s">
        <v>1857</v>
      </c>
      <c r="C1128" s="132" t="s">
        <v>1529</v>
      </c>
      <c r="D1128" s="132" t="s">
        <v>1855</v>
      </c>
      <c r="E1128" s="132" t="s">
        <v>320</v>
      </c>
      <c r="F1128" s="133" t="s">
        <v>1860</v>
      </c>
      <c r="G1128" s="134">
        <v>2.2400000000000002</v>
      </c>
      <c r="H1128" s="135">
        <v>13.45</v>
      </c>
      <c r="I1128" s="136">
        <f t="shared" si="17"/>
        <v>30.128</v>
      </c>
      <c r="J1128" s="137">
        <v>1</v>
      </c>
    </row>
    <row r="1129" spans="2:10" ht="15" customHeight="1" x14ac:dyDescent="0.3">
      <c r="B1129" s="132" t="s">
        <v>1857</v>
      </c>
      <c r="C1129" s="132" t="s">
        <v>1529</v>
      </c>
      <c r="D1129" s="132" t="s">
        <v>1855</v>
      </c>
      <c r="E1129" s="132" t="s">
        <v>320</v>
      </c>
      <c r="F1129" s="133" t="s">
        <v>1861</v>
      </c>
      <c r="G1129" s="134">
        <v>4.6500000000000004</v>
      </c>
      <c r="H1129" s="135">
        <v>13.45</v>
      </c>
      <c r="I1129" s="136">
        <f t="shared" si="17"/>
        <v>62.542500000000004</v>
      </c>
      <c r="J1129" s="137">
        <v>1</v>
      </c>
    </row>
    <row r="1130" spans="2:10" ht="15" customHeight="1" x14ac:dyDescent="0.3">
      <c r="B1130" s="132" t="s">
        <v>1862</v>
      </c>
      <c r="C1130" s="132" t="s">
        <v>1529</v>
      </c>
      <c r="D1130" s="132" t="s">
        <v>1855</v>
      </c>
      <c r="E1130" s="132" t="s">
        <v>320</v>
      </c>
      <c r="F1130" s="133" t="s">
        <v>1863</v>
      </c>
      <c r="G1130" s="134">
        <v>3.51</v>
      </c>
      <c r="H1130" s="135">
        <v>13.45</v>
      </c>
      <c r="I1130" s="136">
        <f t="shared" si="17"/>
        <v>47.209499999999991</v>
      </c>
      <c r="J1130" s="137">
        <v>1</v>
      </c>
    </row>
    <row r="1131" spans="2:10" ht="15" customHeight="1" x14ac:dyDescent="0.3">
      <c r="B1131" s="132" t="s">
        <v>1862</v>
      </c>
      <c r="C1131" s="132" t="s">
        <v>1529</v>
      </c>
      <c r="D1131" s="132" t="s">
        <v>1855</v>
      </c>
      <c r="E1131" s="132" t="s">
        <v>320</v>
      </c>
      <c r="F1131" s="133" t="s">
        <v>1864</v>
      </c>
      <c r="G1131" s="134">
        <v>3.52</v>
      </c>
      <c r="H1131" s="135">
        <v>13.45</v>
      </c>
      <c r="I1131" s="136">
        <f t="shared" si="17"/>
        <v>47.344000000000001</v>
      </c>
      <c r="J1131" s="137">
        <v>1</v>
      </c>
    </row>
    <row r="1132" spans="2:10" ht="15" customHeight="1" x14ac:dyDescent="0.3">
      <c r="B1132" s="132" t="s">
        <v>1865</v>
      </c>
      <c r="C1132" s="132" t="s">
        <v>1529</v>
      </c>
      <c r="D1132" s="132" t="s">
        <v>1855</v>
      </c>
      <c r="E1132" s="132" t="s">
        <v>320</v>
      </c>
      <c r="F1132" s="133" t="s">
        <v>1866</v>
      </c>
      <c r="G1132" s="134">
        <v>2.2799999999999998</v>
      </c>
      <c r="H1132" s="135">
        <v>13.45</v>
      </c>
      <c r="I1132" s="136">
        <f t="shared" si="17"/>
        <v>30.665999999999997</v>
      </c>
      <c r="J1132" s="137">
        <v>1</v>
      </c>
    </row>
    <row r="1133" spans="2:10" ht="15" customHeight="1" x14ac:dyDescent="0.3">
      <c r="B1133" s="132" t="s">
        <v>1867</v>
      </c>
      <c r="C1133" s="132" t="s">
        <v>1529</v>
      </c>
      <c r="D1133" s="132" t="s">
        <v>1855</v>
      </c>
      <c r="E1133" s="132" t="s">
        <v>320</v>
      </c>
      <c r="F1133" s="133" t="s">
        <v>1868</v>
      </c>
      <c r="G1133" s="134">
        <v>9.59</v>
      </c>
      <c r="H1133" s="135">
        <v>13.45</v>
      </c>
      <c r="I1133" s="136">
        <f t="shared" si="17"/>
        <v>128.9855</v>
      </c>
      <c r="J1133" s="137">
        <v>1</v>
      </c>
    </row>
    <row r="1134" spans="2:10" ht="15" customHeight="1" x14ac:dyDescent="0.3">
      <c r="B1134" s="132" t="s">
        <v>1867</v>
      </c>
      <c r="C1134" s="132" t="s">
        <v>1529</v>
      </c>
      <c r="D1134" s="132" t="s">
        <v>1855</v>
      </c>
      <c r="E1134" s="132" t="s">
        <v>320</v>
      </c>
      <c r="F1134" s="133" t="s">
        <v>1869</v>
      </c>
      <c r="G1134" s="134">
        <v>6.08</v>
      </c>
      <c r="H1134" s="135">
        <v>13.45</v>
      </c>
      <c r="I1134" s="136">
        <f t="shared" si="17"/>
        <v>81.775999999999996</v>
      </c>
      <c r="J1134" s="137">
        <v>1</v>
      </c>
    </row>
    <row r="1135" spans="2:10" ht="15" customHeight="1" x14ac:dyDescent="0.3">
      <c r="B1135" s="132" t="s">
        <v>1867</v>
      </c>
      <c r="C1135" s="132" t="s">
        <v>1529</v>
      </c>
      <c r="D1135" s="132" t="s">
        <v>1855</v>
      </c>
      <c r="E1135" s="132" t="s">
        <v>320</v>
      </c>
      <c r="F1135" s="133" t="s">
        <v>1870</v>
      </c>
      <c r="G1135" s="134">
        <v>3.17</v>
      </c>
      <c r="H1135" s="135">
        <v>13.45</v>
      </c>
      <c r="I1135" s="136">
        <f t="shared" si="17"/>
        <v>42.636499999999998</v>
      </c>
      <c r="J1135" s="137">
        <v>1</v>
      </c>
    </row>
    <row r="1136" spans="2:10" ht="15" customHeight="1" x14ac:dyDescent="0.3">
      <c r="B1136" s="132" t="s">
        <v>1867</v>
      </c>
      <c r="C1136" s="132" t="s">
        <v>1529</v>
      </c>
      <c r="D1136" s="132" t="s">
        <v>1855</v>
      </c>
      <c r="E1136" s="132" t="s">
        <v>320</v>
      </c>
      <c r="F1136" s="133" t="s">
        <v>1871</v>
      </c>
      <c r="G1136" s="134">
        <v>1.43</v>
      </c>
      <c r="H1136" s="135">
        <v>13.45</v>
      </c>
      <c r="I1136" s="136">
        <f t="shared" si="17"/>
        <v>19.233499999999999</v>
      </c>
      <c r="J1136" s="137">
        <v>1</v>
      </c>
    </row>
    <row r="1137" spans="2:10" ht="15" customHeight="1" x14ac:dyDescent="0.3">
      <c r="B1137" s="132" t="s">
        <v>1872</v>
      </c>
      <c r="C1137" s="132" t="s">
        <v>1529</v>
      </c>
      <c r="D1137" s="132" t="s">
        <v>1855</v>
      </c>
      <c r="E1137" s="132" t="s">
        <v>320</v>
      </c>
      <c r="F1137" s="133" t="s">
        <v>1873</v>
      </c>
      <c r="G1137" s="134">
        <v>2.1800000000000002</v>
      </c>
      <c r="H1137" s="135">
        <v>13.45</v>
      </c>
      <c r="I1137" s="136">
        <f t="shared" si="17"/>
        <v>29.321000000000002</v>
      </c>
      <c r="J1137" s="137">
        <v>1</v>
      </c>
    </row>
    <row r="1138" spans="2:10" ht="15" customHeight="1" x14ac:dyDescent="0.3">
      <c r="B1138" s="132" t="s">
        <v>1872</v>
      </c>
      <c r="C1138" s="132" t="s">
        <v>1529</v>
      </c>
      <c r="D1138" s="132" t="s">
        <v>1855</v>
      </c>
      <c r="E1138" s="132" t="s">
        <v>320</v>
      </c>
      <c r="F1138" s="133" t="s">
        <v>1874</v>
      </c>
      <c r="G1138" s="134">
        <v>3.29</v>
      </c>
      <c r="H1138" s="135">
        <v>13.45</v>
      </c>
      <c r="I1138" s="136">
        <f t="shared" si="17"/>
        <v>44.250499999999995</v>
      </c>
      <c r="J1138" s="137">
        <v>1</v>
      </c>
    </row>
    <row r="1139" spans="2:10" ht="15" customHeight="1" x14ac:dyDescent="0.3">
      <c r="B1139" s="132" t="s">
        <v>1872</v>
      </c>
      <c r="C1139" s="132" t="s">
        <v>1529</v>
      </c>
      <c r="D1139" s="132" t="s">
        <v>1855</v>
      </c>
      <c r="E1139" s="132" t="s">
        <v>320</v>
      </c>
      <c r="F1139" s="133" t="s">
        <v>1875</v>
      </c>
      <c r="G1139" s="134">
        <v>3.31</v>
      </c>
      <c r="H1139" s="135">
        <v>13.45</v>
      </c>
      <c r="I1139" s="136">
        <f t="shared" si="17"/>
        <v>44.519500000000001</v>
      </c>
      <c r="J1139" s="137">
        <v>1</v>
      </c>
    </row>
    <row r="1140" spans="2:10" ht="15" customHeight="1" x14ac:dyDescent="0.3">
      <c r="B1140" s="132" t="s">
        <v>1876</v>
      </c>
      <c r="C1140" s="132" t="s">
        <v>1529</v>
      </c>
      <c r="D1140" s="132" t="s">
        <v>1855</v>
      </c>
      <c r="E1140" s="132" t="s">
        <v>320</v>
      </c>
      <c r="F1140" s="133" t="s">
        <v>1877</v>
      </c>
      <c r="G1140" s="134">
        <v>2.96</v>
      </c>
      <c r="H1140" s="135">
        <v>13.45</v>
      </c>
      <c r="I1140" s="136">
        <f t="shared" si="17"/>
        <v>39.811999999999998</v>
      </c>
      <c r="J1140" s="137">
        <v>1</v>
      </c>
    </row>
    <row r="1141" spans="2:10" ht="15" customHeight="1" x14ac:dyDescent="0.3">
      <c r="B1141" s="132" t="s">
        <v>1878</v>
      </c>
      <c r="C1141" s="132" t="s">
        <v>1529</v>
      </c>
      <c r="D1141" s="132" t="s">
        <v>1855</v>
      </c>
      <c r="E1141" s="132" t="s">
        <v>320</v>
      </c>
      <c r="F1141" s="133" t="s">
        <v>1879</v>
      </c>
      <c r="G1141" s="134">
        <v>2.12</v>
      </c>
      <c r="H1141" s="135">
        <v>13.45</v>
      </c>
      <c r="I1141" s="136">
        <f t="shared" si="17"/>
        <v>28.513999999999999</v>
      </c>
      <c r="J1141" s="137">
        <v>1</v>
      </c>
    </row>
    <row r="1142" spans="2:10" ht="15" customHeight="1" x14ac:dyDescent="0.3">
      <c r="B1142" s="132" t="s">
        <v>1880</v>
      </c>
      <c r="C1142" s="132" t="s">
        <v>1529</v>
      </c>
      <c r="D1142" s="132" t="s">
        <v>1855</v>
      </c>
      <c r="E1142" s="132" t="s">
        <v>320</v>
      </c>
      <c r="F1142" s="133" t="s">
        <v>1881</v>
      </c>
      <c r="G1142" s="134">
        <v>1.29</v>
      </c>
      <c r="H1142" s="135">
        <v>13.45</v>
      </c>
      <c r="I1142" s="136">
        <f t="shared" si="17"/>
        <v>17.3505</v>
      </c>
      <c r="J1142" s="137">
        <v>1</v>
      </c>
    </row>
    <row r="1143" spans="2:10" ht="15" customHeight="1" x14ac:dyDescent="0.3">
      <c r="B1143" s="132" t="s">
        <v>1882</v>
      </c>
      <c r="C1143" s="132" t="s">
        <v>1529</v>
      </c>
      <c r="D1143" s="132" t="s">
        <v>1855</v>
      </c>
      <c r="E1143" s="132" t="s">
        <v>320</v>
      </c>
      <c r="F1143" s="133" t="s">
        <v>1883</v>
      </c>
      <c r="G1143" s="134">
        <v>1.44</v>
      </c>
      <c r="H1143" s="135">
        <v>13.45</v>
      </c>
      <c r="I1143" s="136">
        <f t="shared" si="17"/>
        <v>19.367999999999999</v>
      </c>
      <c r="J1143" s="137">
        <v>1</v>
      </c>
    </row>
    <row r="1144" spans="2:10" ht="15" customHeight="1" x14ac:dyDescent="0.3">
      <c r="B1144" s="132" t="s">
        <v>1882</v>
      </c>
      <c r="C1144" s="132" t="s">
        <v>1529</v>
      </c>
      <c r="D1144" s="132" t="s">
        <v>1855</v>
      </c>
      <c r="E1144" s="132" t="s">
        <v>320</v>
      </c>
      <c r="F1144" s="133" t="s">
        <v>1884</v>
      </c>
      <c r="G1144" s="134">
        <v>2.62</v>
      </c>
      <c r="H1144" s="135">
        <v>13.45</v>
      </c>
      <c r="I1144" s="136">
        <f t="shared" si="17"/>
        <v>35.238999999999997</v>
      </c>
      <c r="J1144" s="137">
        <v>1</v>
      </c>
    </row>
    <row r="1145" spans="2:10" ht="15" customHeight="1" x14ac:dyDescent="0.3">
      <c r="B1145" s="132" t="s">
        <v>1882</v>
      </c>
      <c r="C1145" s="132" t="s">
        <v>1529</v>
      </c>
      <c r="D1145" s="132" t="s">
        <v>1855</v>
      </c>
      <c r="E1145" s="132" t="s">
        <v>320</v>
      </c>
      <c r="F1145" s="133" t="s">
        <v>1885</v>
      </c>
      <c r="G1145" s="134">
        <v>1.96</v>
      </c>
      <c r="H1145" s="135">
        <v>13.45</v>
      </c>
      <c r="I1145" s="136">
        <f t="shared" si="17"/>
        <v>26.361999999999998</v>
      </c>
      <c r="J1145" s="137">
        <v>1</v>
      </c>
    </row>
    <row r="1146" spans="2:10" ht="15" customHeight="1" x14ac:dyDescent="0.3">
      <c r="B1146" s="132" t="s">
        <v>1882</v>
      </c>
      <c r="C1146" s="132" t="s">
        <v>1529</v>
      </c>
      <c r="D1146" s="132" t="s">
        <v>1855</v>
      </c>
      <c r="E1146" s="132" t="s">
        <v>320</v>
      </c>
      <c r="F1146" s="133" t="s">
        <v>1886</v>
      </c>
      <c r="G1146" s="134">
        <v>2.11</v>
      </c>
      <c r="H1146" s="135">
        <v>13.45</v>
      </c>
      <c r="I1146" s="136">
        <f t="shared" si="17"/>
        <v>28.379499999999997</v>
      </c>
      <c r="J1146" s="137">
        <v>1</v>
      </c>
    </row>
    <row r="1147" spans="2:10" ht="15" customHeight="1" x14ac:dyDescent="0.3">
      <c r="B1147" s="132" t="s">
        <v>1887</v>
      </c>
      <c r="C1147" s="132" t="s">
        <v>1529</v>
      </c>
      <c r="D1147" s="132" t="s">
        <v>1855</v>
      </c>
      <c r="E1147" s="132" t="s">
        <v>320</v>
      </c>
      <c r="F1147" s="133" t="s">
        <v>1888</v>
      </c>
      <c r="G1147" s="134">
        <v>4.2699999999999996</v>
      </c>
      <c r="H1147" s="135">
        <v>13.45</v>
      </c>
      <c r="I1147" s="136">
        <f t="shared" si="17"/>
        <v>57.431499999999993</v>
      </c>
      <c r="J1147" s="137">
        <v>1</v>
      </c>
    </row>
    <row r="1148" spans="2:10" ht="15" customHeight="1" x14ac:dyDescent="0.3">
      <c r="B1148" s="132" t="s">
        <v>1887</v>
      </c>
      <c r="C1148" s="132" t="s">
        <v>1529</v>
      </c>
      <c r="D1148" s="132" t="s">
        <v>1855</v>
      </c>
      <c r="E1148" s="132" t="s">
        <v>320</v>
      </c>
      <c r="F1148" s="133" t="s">
        <v>1889</v>
      </c>
      <c r="G1148" s="134">
        <v>4.2699999999999996</v>
      </c>
      <c r="H1148" s="135">
        <v>13.45</v>
      </c>
      <c r="I1148" s="136">
        <f t="shared" si="17"/>
        <v>57.431499999999993</v>
      </c>
      <c r="J1148" s="137">
        <v>1</v>
      </c>
    </row>
    <row r="1149" spans="2:10" ht="15" customHeight="1" x14ac:dyDescent="0.3">
      <c r="B1149" s="132" t="s">
        <v>1887</v>
      </c>
      <c r="C1149" s="132" t="s">
        <v>1529</v>
      </c>
      <c r="D1149" s="132" t="s">
        <v>1855</v>
      </c>
      <c r="E1149" s="132" t="s">
        <v>320</v>
      </c>
      <c r="F1149" s="133" t="s">
        <v>1890</v>
      </c>
      <c r="G1149" s="134">
        <v>2.29</v>
      </c>
      <c r="H1149" s="135">
        <v>13.45</v>
      </c>
      <c r="I1149" s="136">
        <f t="shared" si="17"/>
        <v>30.8005</v>
      </c>
      <c r="J1149" s="137">
        <v>1</v>
      </c>
    </row>
    <row r="1150" spans="2:10" ht="15" customHeight="1" x14ac:dyDescent="0.3">
      <c r="B1150" s="132" t="s">
        <v>1887</v>
      </c>
      <c r="C1150" s="132" t="s">
        <v>1529</v>
      </c>
      <c r="D1150" s="132" t="s">
        <v>1855</v>
      </c>
      <c r="E1150" s="132" t="s">
        <v>320</v>
      </c>
      <c r="F1150" s="133" t="s">
        <v>1891</v>
      </c>
      <c r="G1150" s="134">
        <v>2.11</v>
      </c>
      <c r="H1150" s="135">
        <v>13.45</v>
      </c>
      <c r="I1150" s="136">
        <f t="shared" si="17"/>
        <v>28.379499999999997</v>
      </c>
      <c r="J1150" s="137">
        <v>1</v>
      </c>
    </row>
    <row r="1151" spans="2:10" ht="15" customHeight="1" x14ac:dyDescent="0.3">
      <c r="B1151" s="132" t="s">
        <v>1887</v>
      </c>
      <c r="C1151" s="132" t="s">
        <v>1529</v>
      </c>
      <c r="D1151" s="132" t="s">
        <v>1855</v>
      </c>
      <c r="E1151" s="132" t="s">
        <v>320</v>
      </c>
      <c r="F1151" s="133" t="s">
        <v>1892</v>
      </c>
      <c r="G1151" s="134">
        <v>1.98</v>
      </c>
      <c r="H1151" s="135">
        <v>13.45</v>
      </c>
      <c r="I1151" s="136">
        <f t="shared" si="17"/>
        <v>26.630999999999997</v>
      </c>
      <c r="J1151" s="137">
        <v>1</v>
      </c>
    </row>
    <row r="1152" spans="2:10" ht="15" customHeight="1" x14ac:dyDescent="0.3">
      <c r="B1152" s="132" t="s">
        <v>1887</v>
      </c>
      <c r="C1152" s="132" t="s">
        <v>1529</v>
      </c>
      <c r="D1152" s="132" t="s">
        <v>1855</v>
      </c>
      <c r="E1152" s="132" t="s">
        <v>320</v>
      </c>
      <c r="F1152" s="133" t="s">
        <v>1893</v>
      </c>
      <c r="G1152" s="134">
        <v>2.63</v>
      </c>
      <c r="H1152" s="135">
        <v>13.45</v>
      </c>
      <c r="I1152" s="136">
        <f t="shared" si="17"/>
        <v>35.3735</v>
      </c>
      <c r="J1152" s="137">
        <v>1</v>
      </c>
    </row>
    <row r="1153" spans="2:10" ht="15" customHeight="1" x14ac:dyDescent="0.3">
      <c r="B1153" s="132" t="s">
        <v>1887</v>
      </c>
      <c r="C1153" s="132" t="s">
        <v>1529</v>
      </c>
      <c r="D1153" s="132" t="s">
        <v>1855</v>
      </c>
      <c r="E1153" s="132" t="s">
        <v>320</v>
      </c>
      <c r="F1153" s="133" t="s">
        <v>1894</v>
      </c>
      <c r="G1153" s="134">
        <v>2.14</v>
      </c>
      <c r="H1153" s="135">
        <v>13.45</v>
      </c>
      <c r="I1153" s="136">
        <f t="shared" si="17"/>
        <v>28.783000000000001</v>
      </c>
      <c r="J1153" s="137">
        <v>1</v>
      </c>
    </row>
    <row r="1154" spans="2:10" ht="15" customHeight="1" x14ac:dyDescent="0.3">
      <c r="B1154" s="132" t="s">
        <v>1895</v>
      </c>
      <c r="C1154" s="132" t="s">
        <v>1529</v>
      </c>
      <c r="D1154" s="132" t="s">
        <v>1855</v>
      </c>
      <c r="E1154" s="132" t="s">
        <v>320</v>
      </c>
      <c r="F1154" s="133" t="s">
        <v>1896</v>
      </c>
      <c r="G1154" s="134">
        <v>5.21</v>
      </c>
      <c r="H1154" s="135">
        <v>13.45</v>
      </c>
      <c r="I1154" s="136">
        <f t="shared" si="17"/>
        <v>70.0745</v>
      </c>
      <c r="J1154" s="137">
        <v>1</v>
      </c>
    </row>
    <row r="1155" spans="2:10" ht="15" customHeight="1" x14ac:dyDescent="0.3">
      <c r="B1155" s="132" t="s">
        <v>1895</v>
      </c>
      <c r="C1155" s="132" t="s">
        <v>1529</v>
      </c>
      <c r="D1155" s="132" t="s">
        <v>1855</v>
      </c>
      <c r="E1155" s="132" t="s">
        <v>320</v>
      </c>
      <c r="F1155" s="133" t="s">
        <v>1897</v>
      </c>
      <c r="G1155" s="134">
        <v>7.85</v>
      </c>
      <c r="H1155" s="135">
        <v>13.45</v>
      </c>
      <c r="I1155" s="136">
        <f t="shared" si="17"/>
        <v>105.5825</v>
      </c>
      <c r="J1155" s="137">
        <v>1</v>
      </c>
    </row>
    <row r="1156" spans="2:10" ht="15" customHeight="1" x14ac:dyDescent="0.3">
      <c r="B1156" s="132" t="s">
        <v>1895</v>
      </c>
      <c r="C1156" s="132" t="s">
        <v>1529</v>
      </c>
      <c r="D1156" s="132" t="s">
        <v>1855</v>
      </c>
      <c r="E1156" s="132" t="s">
        <v>320</v>
      </c>
      <c r="F1156" s="133" t="s">
        <v>1898</v>
      </c>
      <c r="G1156" s="134">
        <v>3.93</v>
      </c>
      <c r="H1156" s="135">
        <v>13.45</v>
      </c>
      <c r="I1156" s="136">
        <f t="shared" si="17"/>
        <v>52.858499999999999</v>
      </c>
      <c r="J1156" s="137">
        <v>1</v>
      </c>
    </row>
    <row r="1157" spans="2:10" ht="15" customHeight="1" x14ac:dyDescent="0.3">
      <c r="B1157" s="132" t="s">
        <v>1895</v>
      </c>
      <c r="C1157" s="132" t="s">
        <v>1529</v>
      </c>
      <c r="D1157" s="132" t="s">
        <v>1855</v>
      </c>
      <c r="E1157" s="132" t="s">
        <v>320</v>
      </c>
      <c r="F1157" s="133" t="s">
        <v>1899</v>
      </c>
      <c r="G1157" s="134">
        <v>2.75</v>
      </c>
      <c r="H1157" s="135">
        <v>13.45</v>
      </c>
      <c r="I1157" s="136">
        <f t="shared" si="17"/>
        <v>36.987499999999997</v>
      </c>
      <c r="J1157" s="137">
        <v>1</v>
      </c>
    </row>
    <row r="1158" spans="2:10" ht="15" customHeight="1" x14ac:dyDescent="0.3">
      <c r="B1158" s="132" t="s">
        <v>1895</v>
      </c>
      <c r="C1158" s="132" t="s">
        <v>1529</v>
      </c>
      <c r="D1158" s="132" t="s">
        <v>1855</v>
      </c>
      <c r="E1158" s="132" t="s">
        <v>320</v>
      </c>
      <c r="F1158" s="133" t="s">
        <v>1900</v>
      </c>
      <c r="G1158" s="134">
        <v>1.62</v>
      </c>
      <c r="H1158" s="135">
        <v>13.45</v>
      </c>
      <c r="I1158" s="136">
        <f t="shared" si="17"/>
        <v>21.789000000000001</v>
      </c>
      <c r="J1158" s="137">
        <v>1</v>
      </c>
    </row>
    <row r="1159" spans="2:10" ht="15" customHeight="1" x14ac:dyDescent="0.3">
      <c r="B1159" s="132" t="s">
        <v>1895</v>
      </c>
      <c r="C1159" s="132" t="s">
        <v>1529</v>
      </c>
      <c r="D1159" s="132" t="s">
        <v>1855</v>
      </c>
      <c r="E1159" s="132" t="s">
        <v>320</v>
      </c>
      <c r="F1159" s="133" t="s">
        <v>1901</v>
      </c>
      <c r="G1159" s="134">
        <v>1.1399999999999999</v>
      </c>
      <c r="H1159" s="135">
        <v>13.45</v>
      </c>
      <c r="I1159" s="136">
        <f t="shared" si="17"/>
        <v>15.332999999999998</v>
      </c>
      <c r="J1159" s="137">
        <v>1</v>
      </c>
    </row>
    <row r="1160" spans="2:10" ht="15" customHeight="1" x14ac:dyDescent="0.3">
      <c r="B1160" s="132" t="s">
        <v>1895</v>
      </c>
      <c r="C1160" s="132" t="s">
        <v>1529</v>
      </c>
      <c r="D1160" s="132" t="s">
        <v>1855</v>
      </c>
      <c r="E1160" s="132" t="s">
        <v>320</v>
      </c>
      <c r="F1160" s="133" t="s">
        <v>1902</v>
      </c>
      <c r="G1160" s="134">
        <v>1.3</v>
      </c>
      <c r="H1160" s="135">
        <v>13.45</v>
      </c>
      <c r="I1160" s="136">
        <f t="shared" ref="I1160:I1223" si="18">G1160*H1160</f>
        <v>17.484999999999999</v>
      </c>
      <c r="J1160" s="137">
        <v>1</v>
      </c>
    </row>
    <row r="1161" spans="2:10" ht="15" customHeight="1" x14ac:dyDescent="0.3">
      <c r="B1161" s="132" t="s">
        <v>1895</v>
      </c>
      <c r="C1161" s="132" t="s">
        <v>1529</v>
      </c>
      <c r="D1161" s="132" t="s">
        <v>1855</v>
      </c>
      <c r="E1161" s="132" t="s">
        <v>320</v>
      </c>
      <c r="F1161" s="133" t="s">
        <v>1903</v>
      </c>
      <c r="G1161" s="134">
        <v>1.3</v>
      </c>
      <c r="H1161" s="135">
        <v>13.45</v>
      </c>
      <c r="I1161" s="136">
        <f t="shared" si="18"/>
        <v>17.484999999999999</v>
      </c>
      <c r="J1161" s="137">
        <v>1</v>
      </c>
    </row>
    <row r="1162" spans="2:10" ht="15" customHeight="1" x14ac:dyDescent="0.3">
      <c r="B1162" s="132" t="s">
        <v>1904</v>
      </c>
      <c r="C1162" s="132" t="s">
        <v>1529</v>
      </c>
      <c r="D1162" s="132" t="s">
        <v>1855</v>
      </c>
      <c r="E1162" s="132" t="s">
        <v>320</v>
      </c>
      <c r="F1162" s="133" t="s">
        <v>1905</v>
      </c>
      <c r="G1162" s="134">
        <v>9.7200000000000006</v>
      </c>
      <c r="H1162" s="135">
        <v>13.45</v>
      </c>
      <c r="I1162" s="136">
        <f t="shared" si="18"/>
        <v>130.73400000000001</v>
      </c>
      <c r="J1162" s="137">
        <v>1</v>
      </c>
    </row>
    <row r="1163" spans="2:10" ht="15" customHeight="1" x14ac:dyDescent="0.3">
      <c r="B1163" s="132" t="s">
        <v>1906</v>
      </c>
      <c r="C1163" s="132" t="s">
        <v>1529</v>
      </c>
      <c r="D1163" s="132" t="s">
        <v>1855</v>
      </c>
      <c r="E1163" s="132" t="s">
        <v>320</v>
      </c>
      <c r="F1163" s="133" t="s">
        <v>1907</v>
      </c>
      <c r="G1163" s="134">
        <v>9.6</v>
      </c>
      <c r="H1163" s="135">
        <v>13.45</v>
      </c>
      <c r="I1163" s="136">
        <f t="shared" si="18"/>
        <v>129.11999999999998</v>
      </c>
      <c r="J1163" s="137">
        <v>1</v>
      </c>
    </row>
    <row r="1164" spans="2:10" ht="15" customHeight="1" x14ac:dyDescent="0.3">
      <c r="B1164" s="132" t="s">
        <v>1908</v>
      </c>
      <c r="C1164" s="132" t="s">
        <v>1529</v>
      </c>
      <c r="D1164" s="132" t="s">
        <v>1855</v>
      </c>
      <c r="E1164" s="132" t="s">
        <v>320</v>
      </c>
      <c r="F1164" s="133" t="s">
        <v>1909</v>
      </c>
      <c r="G1164" s="134">
        <v>3.19</v>
      </c>
      <c r="H1164" s="135">
        <v>13.45</v>
      </c>
      <c r="I1164" s="136">
        <f t="shared" si="18"/>
        <v>42.905499999999996</v>
      </c>
      <c r="J1164" s="137">
        <v>1</v>
      </c>
    </row>
    <row r="1165" spans="2:10" ht="15" customHeight="1" x14ac:dyDescent="0.3">
      <c r="B1165" s="132" t="s">
        <v>1908</v>
      </c>
      <c r="C1165" s="132" t="s">
        <v>1529</v>
      </c>
      <c r="D1165" s="132" t="s">
        <v>1855</v>
      </c>
      <c r="E1165" s="132" t="s">
        <v>320</v>
      </c>
      <c r="F1165" s="133" t="s">
        <v>1910</v>
      </c>
      <c r="G1165" s="134">
        <v>1.27</v>
      </c>
      <c r="H1165" s="135">
        <v>13.45</v>
      </c>
      <c r="I1165" s="136">
        <f t="shared" si="18"/>
        <v>17.081499999999998</v>
      </c>
      <c r="J1165" s="137">
        <v>1</v>
      </c>
    </row>
    <row r="1166" spans="2:10" ht="15" customHeight="1" x14ac:dyDescent="0.3">
      <c r="B1166" s="132" t="s">
        <v>1908</v>
      </c>
      <c r="C1166" s="132" t="s">
        <v>1529</v>
      </c>
      <c r="D1166" s="132" t="s">
        <v>1855</v>
      </c>
      <c r="E1166" s="132" t="s">
        <v>320</v>
      </c>
      <c r="F1166" s="133" t="s">
        <v>1911</v>
      </c>
      <c r="G1166" s="134">
        <v>2.39</v>
      </c>
      <c r="H1166" s="135">
        <v>13.45</v>
      </c>
      <c r="I1166" s="136">
        <f t="shared" si="18"/>
        <v>32.145499999999998</v>
      </c>
      <c r="J1166" s="137">
        <v>1</v>
      </c>
    </row>
    <row r="1167" spans="2:10" ht="15" customHeight="1" x14ac:dyDescent="0.3">
      <c r="B1167" s="132" t="s">
        <v>1908</v>
      </c>
      <c r="C1167" s="132" t="s">
        <v>1529</v>
      </c>
      <c r="D1167" s="132" t="s">
        <v>1855</v>
      </c>
      <c r="E1167" s="132" t="s">
        <v>320</v>
      </c>
      <c r="F1167" s="133" t="s">
        <v>1912</v>
      </c>
      <c r="G1167" s="134">
        <v>2.0699999999999998</v>
      </c>
      <c r="H1167" s="135">
        <v>13.45</v>
      </c>
      <c r="I1167" s="136">
        <f t="shared" si="18"/>
        <v>27.841499999999996</v>
      </c>
      <c r="J1167" s="137">
        <v>1</v>
      </c>
    </row>
    <row r="1168" spans="2:10" ht="15" customHeight="1" x14ac:dyDescent="0.3">
      <c r="B1168" s="132" t="s">
        <v>1913</v>
      </c>
      <c r="C1168" s="132" t="s">
        <v>1529</v>
      </c>
      <c r="D1168" s="132" t="s">
        <v>1855</v>
      </c>
      <c r="E1168" s="132" t="s">
        <v>320</v>
      </c>
      <c r="F1168" s="133" t="s">
        <v>1914</v>
      </c>
      <c r="G1168" s="134">
        <v>2.62</v>
      </c>
      <c r="H1168" s="135">
        <v>13.45</v>
      </c>
      <c r="I1168" s="136">
        <f t="shared" si="18"/>
        <v>35.238999999999997</v>
      </c>
      <c r="J1168" s="137">
        <v>1</v>
      </c>
    </row>
    <row r="1169" spans="2:10" ht="15" customHeight="1" x14ac:dyDescent="0.3">
      <c r="B1169" s="132" t="s">
        <v>1915</v>
      </c>
      <c r="C1169" s="132" t="s">
        <v>1529</v>
      </c>
      <c r="D1169" s="132" t="s">
        <v>1855</v>
      </c>
      <c r="E1169" s="132" t="s">
        <v>320</v>
      </c>
      <c r="F1169" s="133" t="s">
        <v>1916</v>
      </c>
      <c r="G1169" s="134">
        <v>3.25</v>
      </c>
      <c r="H1169" s="135">
        <v>13.45</v>
      </c>
      <c r="I1169" s="136">
        <f t="shared" si="18"/>
        <v>43.712499999999999</v>
      </c>
      <c r="J1169" s="137">
        <v>1</v>
      </c>
    </row>
    <row r="1170" spans="2:10" ht="15" customHeight="1" x14ac:dyDescent="0.3">
      <c r="B1170" s="132" t="s">
        <v>1915</v>
      </c>
      <c r="C1170" s="132" t="s">
        <v>1529</v>
      </c>
      <c r="D1170" s="132" t="s">
        <v>1855</v>
      </c>
      <c r="E1170" s="132" t="s">
        <v>320</v>
      </c>
      <c r="F1170" s="133" t="s">
        <v>1917</v>
      </c>
      <c r="G1170" s="134">
        <v>3.25</v>
      </c>
      <c r="H1170" s="135">
        <v>13.45</v>
      </c>
      <c r="I1170" s="136">
        <f t="shared" si="18"/>
        <v>43.712499999999999</v>
      </c>
      <c r="J1170" s="137">
        <v>1</v>
      </c>
    </row>
    <row r="1171" spans="2:10" ht="15" customHeight="1" x14ac:dyDescent="0.3">
      <c r="B1171" s="132" t="s">
        <v>1918</v>
      </c>
      <c r="C1171" s="132" t="s">
        <v>1529</v>
      </c>
      <c r="D1171" s="132" t="s">
        <v>1855</v>
      </c>
      <c r="E1171" s="132" t="s">
        <v>320</v>
      </c>
      <c r="F1171" s="133" t="s">
        <v>1919</v>
      </c>
      <c r="G1171" s="134">
        <v>1.18</v>
      </c>
      <c r="H1171" s="135">
        <v>13.45</v>
      </c>
      <c r="I1171" s="136">
        <f t="shared" si="18"/>
        <v>15.870999999999999</v>
      </c>
      <c r="J1171" s="137">
        <v>1</v>
      </c>
    </row>
    <row r="1172" spans="2:10" ht="15" customHeight="1" x14ac:dyDescent="0.3">
      <c r="B1172" s="132" t="s">
        <v>1918</v>
      </c>
      <c r="C1172" s="132" t="s">
        <v>1529</v>
      </c>
      <c r="D1172" s="132" t="s">
        <v>1855</v>
      </c>
      <c r="E1172" s="132" t="s">
        <v>320</v>
      </c>
      <c r="F1172" s="133" t="s">
        <v>1920</v>
      </c>
      <c r="G1172" s="134">
        <v>1.77</v>
      </c>
      <c r="H1172" s="135">
        <v>13.45</v>
      </c>
      <c r="I1172" s="136">
        <f t="shared" si="18"/>
        <v>23.8065</v>
      </c>
      <c r="J1172" s="137">
        <v>1</v>
      </c>
    </row>
    <row r="1173" spans="2:10" ht="15" customHeight="1" x14ac:dyDescent="0.3">
      <c r="B1173" s="132" t="s">
        <v>1921</v>
      </c>
      <c r="C1173" s="132" t="s">
        <v>1529</v>
      </c>
      <c r="D1173" s="132" t="s">
        <v>1855</v>
      </c>
      <c r="E1173" s="132" t="s">
        <v>320</v>
      </c>
      <c r="F1173" s="133" t="s">
        <v>1922</v>
      </c>
      <c r="G1173" s="134">
        <v>3.94</v>
      </c>
      <c r="H1173" s="135">
        <v>13.45</v>
      </c>
      <c r="I1173" s="136">
        <f t="shared" si="18"/>
        <v>52.992999999999995</v>
      </c>
      <c r="J1173" s="137">
        <v>1</v>
      </c>
    </row>
    <row r="1174" spans="2:10" ht="15" customHeight="1" x14ac:dyDescent="0.3">
      <c r="B1174" s="132" t="s">
        <v>1923</v>
      </c>
      <c r="C1174" s="132" t="s">
        <v>1529</v>
      </c>
      <c r="D1174" s="132" t="s">
        <v>1855</v>
      </c>
      <c r="E1174" s="132" t="s">
        <v>320</v>
      </c>
      <c r="F1174" s="133" t="s">
        <v>1924</v>
      </c>
      <c r="G1174" s="134">
        <v>9.84</v>
      </c>
      <c r="H1174" s="135">
        <v>13.45</v>
      </c>
      <c r="I1174" s="136">
        <f t="shared" si="18"/>
        <v>132.34799999999998</v>
      </c>
      <c r="J1174" s="137">
        <v>1</v>
      </c>
    </row>
    <row r="1175" spans="2:10" ht="15" customHeight="1" x14ac:dyDescent="0.3">
      <c r="B1175" s="132" t="s">
        <v>1925</v>
      </c>
      <c r="C1175" s="132" t="s">
        <v>1529</v>
      </c>
      <c r="D1175" s="132" t="s">
        <v>1855</v>
      </c>
      <c r="E1175" s="132" t="s">
        <v>320</v>
      </c>
      <c r="F1175" s="133" t="s">
        <v>1926</v>
      </c>
      <c r="G1175" s="134">
        <v>2.4300000000000002</v>
      </c>
      <c r="H1175" s="135">
        <v>13.45</v>
      </c>
      <c r="I1175" s="136">
        <f t="shared" si="18"/>
        <v>32.683500000000002</v>
      </c>
      <c r="J1175" s="137">
        <v>1</v>
      </c>
    </row>
    <row r="1176" spans="2:10" ht="15" customHeight="1" x14ac:dyDescent="0.3">
      <c r="B1176" s="132" t="s">
        <v>1925</v>
      </c>
      <c r="C1176" s="132" t="s">
        <v>1529</v>
      </c>
      <c r="D1176" s="132" t="s">
        <v>1855</v>
      </c>
      <c r="E1176" s="132" t="s">
        <v>320</v>
      </c>
      <c r="F1176" s="133" t="s">
        <v>1927</v>
      </c>
      <c r="G1176" s="134">
        <v>2.42</v>
      </c>
      <c r="H1176" s="135">
        <v>13.45</v>
      </c>
      <c r="I1176" s="136">
        <f t="shared" si="18"/>
        <v>32.548999999999999</v>
      </c>
      <c r="J1176" s="137">
        <v>1</v>
      </c>
    </row>
    <row r="1177" spans="2:10" ht="15" customHeight="1" x14ac:dyDescent="0.3">
      <c r="B1177" s="132" t="s">
        <v>1925</v>
      </c>
      <c r="C1177" s="132" t="s">
        <v>1529</v>
      </c>
      <c r="D1177" s="132" t="s">
        <v>1855</v>
      </c>
      <c r="E1177" s="132" t="s">
        <v>320</v>
      </c>
      <c r="F1177" s="133" t="s">
        <v>1928</v>
      </c>
      <c r="G1177" s="134">
        <v>1.88</v>
      </c>
      <c r="H1177" s="135">
        <v>13.45</v>
      </c>
      <c r="I1177" s="136">
        <f t="shared" si="18"/>
        <v>25.285999999999998</v>
      </c>
      <c r="J1177" s="137">
        <v>1</v>
      </c>
    </row>
    <row r="1178" spans="2:10" ht="15" customHeight="1" x14ac:dyDescent="0.3">
      <c r="B1178" s="132" t="s">
        <v>1925</v>
      </c>
      <c r="C1178" s="132" t="s">
        <v>1529</v>
      </c>
      <c r="D1178" s="132" t="s">
        <v>1855</v>
      </c>
      <c r="E1178" s="132" t="s">
        <v>320</v>
      </c>
      <c r="F1178" s="133" t="s">
        <v>1929</v>
      </c>
      <c r="G1178" s="134">
        <v>3.09</v>
      </c>
      <c r="H1178" s="135">
        <v>13.45</v>
      </c>
      <c r="I1178" s="136">
        <f t="shared" si="18"/>
        <v>41.560499999999998</v>
      </c>
      <c r="J1178" s="137">
        <v>1</v>
      </c>
    </row>
    <row r="1179" spans="2:10" ht="15" customHeight="1" x14ac:dyDescent="0.3">
      <c r="B1179" s="132" t="s">
        <v>1925</v>
      </c>
      <c r="C1179" s="132" t="s">
        <v>1529</v>
      </c>
      <c r="D1179" s="132" t="s">
        <v>1855</v>
      </c>
      <c r="E1179" s="132" t="s">
        <v>320</v>
      </c>
      <c r="F1179" s="133" t="s">
        <v>1930</v>
      </c>
      <c r="G1179" s="134">
        <v>3.08</v>
      </c>
      <c r="H1179" s="135">
        <v>13.45</v>
      </c>
      <c r="I1179" s="136">
        <f t="shared" si="18"/>
        <v>41.426000000000002</v>
      </c>
      <c r="J1179" s="137">
        <v>1</v>
      </c>
    </row>
    <row r="1180" spans="2:10" ht="15" customHeight="1" x14ac:dyDescent="0.3">
      <c r="B1180" s="132" t="s">
        <v>1925</v>
      </c>
      <c r="C1180" s="132" t="s">
        <v>1529</v>
      </c>
      <c r="D1180" s="132" t="s">
        <v>1855</v>
      </c>
      <c r="E1180" s="132" t="s">
        <v>320</v>
      </c>
      <c r="F1180" s="133" t="s">
        <v>1931</v>
      </c>
      <c r="G1180" s="134">
        <v>1.28</v>
      </c>
      <c r="H1180" s="135">
        <v>13.45</v>
      </c>
      <c r="I1180" s="136">
        <f t="shared" si="18"/>
        <v>17.216000000000001</v>
      </c>
      <c r="J1180" s="137">
        <v>1</v>
      </c>
    </row>
    <row r="1181" spans="2:10" ht="15" customHeight="1" x14ac:dyDescent="0.3">
      <c r="B1181" s="132" t="s">
        <v>1925</v>
      </c>
      <c r="C1181" s="132" t="s">
        <v>1529</v>
      </c>
      <c r="D1181" s="132" t="s">
        <v>1855</v>
      </c>
      <c r="E1181" s="132" t="s">
        <v>320</v>
      </c>
      <c r="F1181" s="133" t="s">
        <v>1932</v>
      </c>
      <c r="G1181" s="134">
        <v>1.27</v>
      </c>
      <c r="H1181" s="135">
        <v>13.45</v>
      </c>
      <c r="I1181" s="136">
        <f t="shared" si="18"/>
        <v>17.081499999999998</v>
      </c>
      <c r="J1181" s="137">
        <v>1</v>
      </c>
    </row>
    <row r="1182" spans="2:10" ht="15" customHeight="1" x14ac:dyDescent="0.3">
      <c r="B1182" s="132" t="s">
        <v>1933</v>
      </c>
      <c r="C1182" s="132" t="s">
        <v>1529</v>
      </c>
      <c r="D1182" s="132" t="s">
        <v>1855</v>
      </c>
      <c r="E1182" s="132" t="s">
        <v>320</v>
      </c>
      <c r="F1182" s="133" t="s">
        <v>1934</v>
      </c>
      <c r="G1182" s="134">
        <v>1.1299999999999999</v>
      </c>
      <c r="H1182" s="135">
        <v>13.45</v>
      </c>
      <c r="I1182" s="136">
        <f t="shared" si="18"/>
        <v>15.198499999999997</v>
      </c>
      <c r="J1182" s="137">
        <v>1</v>
      </c>
    </row>
    <row r="1183" spans="2:10" ht="15" customHeight="1" x14ac:dyDescent="0.3">
      <c r="B1183" s="132" t="s">
        <v>1933</v>
      </c>
      <c r="C1183" s="132" t="s">
        <v>1529</v>
      </c>
      <c r="D1183" s="132" t="s">
        <v>1855</v>
      </c>
      <c r="E1183" s="132" t="s">
        <v>320</v>
      </c>
      <c r="F1183" s="133" t="s">
        <v>1935</v>
      </c>
      <c r="G1183" s="134">
        <v>1.29</v>
      </c>
      <c r="H1183" s="135">
        <v>13.45</v>
      </c>
      <c r="I1183" s="136">
        <f t="shared" si="18"/>
        <v>17.3505</v>
      </c>
      <c r="J1183" s="137">
        <v>1</v>
      </c>
    </row>
    <row r="1184" spans="2:10" ht="15" customHeight="1" x14ac:dyDescent="0.3">
      <c r="B1184" s="132" t="s">
        <v>1933</v>
      </c>
      <c r="C1184" s="132" t="s">
        <v>1529</v>
      </c>
      <c r="D1184" s="132" t="s">
        <v>1855</v>
      </c>
      <c r="E1184" s="132" t="s">
        <v>320</v>
      </c>
      <c r="F1184" s="133" t="s">
        <v>1936</v>
      </c>
      <c r="G1184" s="134">
        <v>7.84</v>
      </c>
      <c r="H1184" s="135">
        <v>13.45</v>
      </c>
      <c r="I1184" s="136">
        <f t="shared" si="18"/>
        <v>105.44799999999999</v>
      </c>
      <c r="J1184" s="137">
        <v>1</v>
      </c>
    </row>
    <row r="1185" spans="2:10" ht="15" customHeight="1" x14ac:dyDescent="0.3">
      <c r="B1185" s="132" t="s">
        <v>1933</v>
      </c>
      <c r="C1185" s="132" t="s">
        <v>1529</v>
      </c>
      <c r="D1185" s="132" t="s">
        <v>1855</v>
      </c>
      <c r="E1185" s="132" t="s">
        <v>320</v>
      </c>
      <c r="F1185" s="133" t="s">
        <v>1937</v>
      </c>
      <c r="G1185" s="134">
        <v>9.85</v>
      </c>
      <c r="H1185" s="135">
        <v>13.45</v>
      </c>
      <c r="I1185" s="136">
        <f t="shared" si="18"/>
        <v>132.48249999999999</v>
      </c>
      <c r="J1185" s="137">
        <v>1</v>
      </c>
    </row>
    <row r="1186" spans="2:10" ht="15" customHeight="1" x14ac:dyDescent="0.3">
      <c r="B1186" s="132" t="s">
        <v>1933</v>
      </c>
      <c r="C1186" s="132" t="s">
        <v>1529</v>
      </c>
      <c r="D1186" s="132" t="s">
        <v>1855</v>
      </c>
      <c r="E1186" s="132" t="s">
        <v>320</v>
      </c>
      <c r="F1186" s="133" t="s">
        <v>1938</v>
      </c>
      <c r="G1186" s="134">
        <v>1.63</v>
      </c>
      <c r="H1186" s="135">
        <v>13.45</v>
      </c>
      <c r="I1186" s="136">
        <f t="shared" si="18"/>
        <v>21.923499999999997</v>
      </c>
      <c r="J1186" s="137">
        <v>1</v>
      </c>
    </row>
    <row r="1187" spans="2:10" ht="15" customHeight="1" x14ac:dyDescent="0.3">
      <c r="B1187" s="132" t="s">
        <v>1939</v>
      </c>
      <c r="C1187" s="132" t="s">
        <v>1529</v>
      </c>
      <c r="D1187" s="132" t="s">
        <v>1855</v>
      </c>
      <c r="E1187" s="132" t="s">
        <v>320</v>
      </c>
      <c r="F1187" s="133" t="s">
        <v>1940</v>
      </c>
      <c r="G1187" s="134">
        <v>1.55</v>
      </c>
      <c r="H1187" s="135">
        <v>13.45</v>
      </c>
      <c r="I1187" s="136">
        <f t="shared" si="18"/>
        <v>20.8475</v>
      </c>
      <c r="J1187" s="137">
        <v>1</v>
      </c>
    </row>
    <row r="1188" spans="2:10" ht="15" customHeight="1" x14ac:dyDescent="0.3">
      <c r="B1188" s="132" t="s">
        <v>1939</v>
      </c>
      <c r="C1188" s="132" t="s">
        <v>1529</v>
      </c>
      <c r="D1188" s="132" t="s">
        <v>1855</v>
      </c>
      <c r="E1188" s="132" t="s">
        <v>320</v>
      </c>
      <c r="F1188" s="133" t="s">
        <v>1941</v>
      </c>
      <c r="G1188" s="134">
        <v>1.28</v>
      </c>
      <c r="H1188" s="135">
        <v>13.45</v>
      </c>
      <c r="I1188" s="136">
        <f t="shared" si="18"/>
        <v>17.216000000000001</v>
      </c>
      <c r="J1188" s="137">
        <v>1</v>
      </c>
    </row>
    <row r="1189" spans="2:10" ht="15" customHeight="1" x14ac:dyDescent="0.3">
      <c r="B1189" s="132" t="s">
        <v>1939</v>
      </c>
      <c r="C1189" s="132" t="s">
        <v>1529</v>
      </c>
      <c r="D1189" s="132" t="s">
        <v>1855</v>
      </c>
      <c r="E1189" s="132" t="s">
        <v>320</v>
      </c>
      <c r="F1189" s="133" t="s">
        <v>1942</v>
      </c>
      <c r="G1189" s="134">
        <v>1.27</v>
      </c>
      <c r="H1189" s="135">
        <v>13.45</v>
      </c>
      <c r="I1189" s="136">
        <f t="shared" si="18"/>
        <v>17.081499999999998</v>
      </c>
      <c r="J1189" s="137">
        <v>1</v>
      </c>
    </row>
    <row r="1190" spans="2:10" ht="15" customHeight="1" x14ac:dyDescent="0.3">
      <c r="B1190" s="132" t="s">
        <v>1939</v>
      </c>
      <c r="C1190" s="132" t="s">
        <v>1529</v>
      </c>
      <c r="D1190" s="132" t="s">
        <v>1855</v>
      </c>
      <c r="E1190" s="132" t="s">
        <v>320</v>
      </c>
      <c r="F1190" s="133" t="s">
        <v>1943</v>
      </c>
      <c r="G1190" s="134">
        <v>2.09</v>
      </c>
      <c r="H1190" s="135">
        <v>13.45</v>
      </c>
      <c r="I1190" s="136">
        <f t="shared" si="18"/>
        <v>28.110499999999998</v>
      </c>
      <c r="J1190" s="137">
        <v>1</v>
      </c>
    </row>
    <row r="1191" spans="2:10" ht="15" customHeight="1" x14ac:dyDescent="0.3">
      <c r="B1191" s="132" t="s">
        <v>1939</v>
      </c>
      <c r="C1191" s="132" t="s">
        <v>1529</v>
      </c>
      <c r="D1191" s="132" t="s">
        <v>1855</v>
      </c>
      <c r="E1191" s="132" t="s">
        <v>320</v>
      </c>
      <c r="F1191" s="133" t="s">
        <v>1944</v>
      </c>
      <c r="G1191" s="134">
        <v>2.09</v>
      </c>
      <c r="H1191" s="135">
        <v>13.45</v>
      </c>
      <c r="I1191" s="136">
        <f t="shared" si="18"/>
        <v>28.110499999999998</v>
      </c>
      <c r="J1191" s="137">
        <v>1</v>
      </c>
    </row>
    <row r="1192" spans="2:10" ht="15" customHeight="1" x14ac:dyDescent="0.3">
      <c r="B1192" s="132" t="s">
        <v>1945</v>
      </c>
      <c r="C1192" s="132" t="s">
        <v>1529</v>
      </c>
      <c r="D1192" s="132" t="s">
        <v>1855</v>
      </c>
      <c r="E1192" s="132" t="s">
        <v>320</v>
      </c>
      <c r="F1192" s="133" t="s">
        <v>1946</v>
      </c>
      <c r="G1192" s="134">
        <v>3.24</v>
      </c>
      <c r="H1192" s="135">
        <v>13.45</v>
      </c>
      <c r="I1192" s="136">
        <f t="shared" si="18"/>
        <v>43.578000000000003</v>
      </c>
      <c r="J1192" s="137">
        <v>1</v>
      </c>
    </row>
    <row r="1193" spans="2:10" ht="15" customHeight="1" x14ac:dyDescent="0.3">
      <c r="B1193" s="132" t="s">
        <v>1945</v>
      </c>
      <c r="C1193" s="132" t="s">
        <v>1529</v>
      </c>
      <c r="D1193" s="132" t="s">
        <v>1855</v>
      </c>
      <c r="E1193" s="132" t="s">
        <v>320</v>
      </c>
      <c r="F1193" s="133" t="s">
        <v>1947</v>
      </c>
      <c r="G1193" s="134">
        <v>3.25</v>
      </c>
      <c r="H1193" s="135">
        <v>13.45</v>
      </c>
      <c r="I1193" s="136">
        <f t="shared" si="18"/>
        <v>43.712499999999999</v>
      </c>
      <c r="J1193" s="137">
        <v>1</v>
      </c>
    </row>
    <row r="1194" spans="2:10" ht="15" customHeight="1" x14ac:dyDescent="0.3">
      <c r="B1194" s="132" t="s">
        <v>1945</v>
      </c>
      <c r="C1194" s="132" t="s">
        <v>1529</v>
      </c>
      <c r="D1194" s="132" t="s">
        <v>1855</v>
      </c>
      <c r="E1194" s="132" t="s">
        <v>320</v>
      </c>
      <c r="F1194" s="133" t="s">
        <v>1948</v>
      </c>
      <c r="G1194" s="134">
        <v>8.1199999999999992</v>
      </c>
      <c r="H1194" s="135">
        <v>13.45</v>
      </c>
      <c r="I1194" s="136">
        <f t="shared" si="18"/>
        <v>109.21399999999998</v>
      </c>
      <c r="J1194" s="137">
        <v>1</v>
      </c>
    </row>
    <row r="1195" spans="2:10" ht="15" customHeight="1" x14ac:dyDescent="0.3">
      <c r="B1195" s="132" t="s">
        <v>1945</v>
      </c>
      <c r="C1195" s="132" t="s">
        <v>1529</v>
      </c>
      <c r="D1195" s="132" t="s">
        <v>1855</v>
      </c>
      <c r="E1195" s="132" t="s">
        <v>320</v>
      </c>
      <c r="F1195" s="133" t="s">
        <v>1949</v>
      </c>
      <c r="G1195" s="134">
        <v>3.3</v>
      </c>
      <c r="H1195" s="135">
        <v>13.45</v>
      </c>
      <c r="I1195" s="136">
        <f t="shared" si="18"/>
        <v>44.384999999999998</v>
      </c>
      <c r="J1195" s="137">
        <v>1</v>
      </c>
    </row>
    <row r="1196" spans="2:10" ht="15" customHeight="1" x14ac:dyDescent="0.3">
      <c r="B1196" s="132" t="s">
        <v>1945</v>
      </c>
      <c r="C1196" s="132" t="s">
        <v>1529</v>
      </c>
      <c r="D1196" s="132" t="s">
        <v>1855</v>
      </c>
      <c r="E1196" s="132" t="s">
        <v>320</v>
      </c>
      <c r="F1196" s="133" t="s">
        <v>1950</v>
      </c>
      <c r="G1196" s="134">
        <v>3.24</v>
      </c>
      <c r="H1196" s="135">
        <v>13.45</v>
      </c>
      <c r="I1196" s="136">
        <f t="shared" si="18"/>
        <v>43.578000000000003</v>
      </c>
      <c r="J1196" s="137">
        <v>1</v>
      </c>
    </row>
    <row r="1197" spans="2:10" ht="15" customHeight="1" x14ac:dyDescent="0.3">
      <c r="B1197" s="132" t="s">
        <v>1951</v>
      </c>
      <c r="C1197" s="132" t="s">
        <v>1529</v>
      </c>
      <c r="D1197" s="132" t="s">
        <v>1855</v>
      </c>
      <c r="E1197" s="132" t="s">
        <v>320</v>
      </c>
      <c r="F1197" s="133" t="s">
        <v>1952</v>
      </c>
      <c r="G1197" s="134">
        <v>1.01</v>
      </c>
      <c r="H1197" s="135">
        <v>13.45</v>
      </c>
      <c r="I1197" s="136">
        <f t="shared" si="18"/>
        <v>13.5845</v>
      </c>
      <c r="J1197" s="137">
        <v>1</v>
      </c>
    </row>
    <row r="1198" spans="2:10" ht="15" customHeight="1" x14ac:dyDescent="0.3">
      <c r="B1198" s="132" t="s">
        <v>1951</v>
      </c>
      <c r="C1198" s="132" t="s">
        <v>1529</v>
      </c>
      <c r="D1198" s="132" t="s">
        <v>1855</v>
      </c>
      <c r="E1198" s="132" t="s">
        <v>320</v>
      </c>
      <c r="F1198" s="133" t="s">
        <v>1953</v>
      </c>
      <c r="G1198" s="134">
        <v>1.01</v>
      </c>
      <c r="H1198" s="135">
        <v>13.45</v>
      </c>
      <c r="I1198" s="136">
        <f t="shared" si="18"/>
        <v>13.5845</v>
      </c>
      <c r="J1198" s="137">
        <v>1</v>
      </c>
    </row>
    <row r="1199" spans="2:10" ht="15" customHeight="1" x14ac:dyDescent="0.3">
      <c r="B1199" s="132" t="s">
        <v>1954</v>
      </c>
      <c r="C1199" s="132" t="s">
        <v>1529</v>
      </c>
      <c r="D1199" s="132" t="s">
        <v>1855</v>
      </c>
      <c r="E1199" s="132" t="s">
        <v>320</v>
      </c>
      <c r="F1199" s="133" t="s">
        <v>1955</v>
      </c>
      <c r="G1199" s="134">
        <v>1.31</v>
      </c>
      <c r="H1199" s="135">
        <v>13.45</v>
      </c>
      <c r="I1199" s="136">
        <f t="shared" si="18"/>
        <v>17.619499999999999</v>
      </c>
      <c r="J1199" s="137">
        <v>1</v>
      </c>
    </row>
    <row r="1200" spans="2:10" ht="15" customHeight="1" x14ac:dyDescent="0.3">
      <c r="B1200" s="132" t="s">
        <v>1954</v>
      </c>
      <c r="C1200" s="132" t="s">
        <v>1529</v>
      </c>
      <c r="D1200" s="132" t="s">
        <v>1855</v>
      </c>
      <c r="E1200" s="132" t="s">
        <v>320</v>
      </c>
      <c r="F1200" s="133" t="s">
        <v>1956</v>
      </c>
      <c r="G1200" s="134">
        <v>2.31</v>
      </c>
      <c r="H1200" s="135">
        <v>13.45</v>
      </c>
      <c r="I1200" s="136">
        <f t="shared" si="18"/>
        <v>31.069499999999998</v>
      </c>
      <c r="J1200" s="137">
        <v>1</v>
      </c>
    </row>
    <row r="1201" spans="2:10" ht="15" customHeight="1" x14ac:dyDescent="0.3">
      <c r="B1201" s="132" t="s">
        <v>1957</v>
      </c>
      <c r="C1201" s="132" t="s">
        <v>1529</v>
      </c>
      <c r="D1201" s="132" t="s">
        <v>1855</v>
      </c>
      <c r="E1201" s="132" t="s">
        <v>320</v>
      </c>
      <c r="F1201" s="133" t="s">
        <v>1958</v>
      </c>
      <c r="G1201" s="134">
        <v>2.92</v>
      </c>
      <c r="H1201" s="135">
        <v>13.45</v>
      </c>
      <c r="I1201" s="136">
        <f t="shared" si="18"/>
        <v>39.273999999999994</v>
      </c>
      <c r="J1201" s="137">
        <v>1</v>
      </c>
    </row>
    <row r="1202" spans="2:10" ht="15" customHeight="1" x14ac:dyDescent="0.3">
      <c r="B1202" s="132" t="s">
        <v>1959</v>
      </c>
      <c r="C1202" s="132" t="s">
        <v>1529</v>
      </c>
      <c r="D1202" s="132" t="s">
        <v>1855</v>
      </c>
      <c r="E1202" s="132" t="s">
        <v>320</v>
      </c>
      <c r="F1202" s="133" t="s">
        <v>1960</v>
      </c>
      <c r="G1202" s="134">
        <v>3.28</v>
      </c>
      <c r="H1202" s="135">
        <v>13.45</v>
      </c>
      <c r="I1202" s="136">
        <f t="shared" si="18"/>
        <v>44.115999999999993</v>
      </c>
      <c r="J1202" s="137">
        <v>1</v>
      </c>
    </row>
    <row r="1203" spans="2:10" ht="15" customHeight="1" x14ac:dyDescent="0.3">
      <c r="B1203" s="132" t="s">
        <v>1959</v>
      </c>
      <c r="C1203" s="132" t="s">
        <v>1529</v>
      </c>
      <c r="D1203" s="132" t="s">
        <v>1855</v>
      </c>
      <c r="E1203" s="132" t="s">
        <v>320</v>
      </c>
      <c r="F1203" s="133" t="s">
        <v>1961</v>
      </c>
      <c r="G1203" s="134">
        <v>3.28</v>
      </c>
      <c r="H1203" s="135">
        <v>13.45</v>
      </c>
      <c r="I1203" s="136">
        <f t="shared" si="18"/>
        <v>44.115999999999993</v>
      </c>
      <c r="J1203" s="137">
        <v>1</v>
      </c>
    </row>
    <row r="1204" spans="2:10" ht="15" customHeight="1" x14ac:dyDescent="0.3">
      <c r="B1204" s="132" t="s">
        <v>1962</v>
      </c>
      <c r="C1204" s="132" t="s">
        <v>1529</v>
      </c>
      <c r="D1204" s="132" t="s">
        <v>1855</v>
      </c>
      <c r="E1204" s="132" t="s">
        <v>320</v>
      </c>
      <c r="F1204" s="133" t="s">
        <v>1963</v>
      </c>
      <c r="G1204" s="134">
        <v>1.83</v>
      </c>
      <c r="H1204" s="135">
        <v>13.45</v>
      </c>
      <c r="I1204" s="136">
        <f t="shared" si="18"/>
        <v>24.613499999999998</v>
      </c>
      <c r="J1204" s="137">
        <v>1</v>
      </c>
    </row>
    <row r="1205" spans="2:10" ht="15" customHeight="1" x14ac:dyDescent="0.3">
      <c r="B1205" s="132" t="s">
        <v>1964</v>
      </c>
      <c r="C1205" s="132" t="s">
        <v>1529</v>
      </c>
      <c r="D1205" s="132" t="s">
        <v>1855</v>
      </c>
      <c r="E1205" s="132" t="s">
        <v>320</v>
      </c>
      <c r="F1205" s="133" t="s">
        <v>1965</v>
      </c>
      <c r="G1205" s="139">
        <v>3.25</v>
      </c>
      <c r="H1205" s="135">
        <v>13.45</v>
      </c>
      <c r="I1205" s="136">
        <f t="shared" si="18"/>
        <v>43.712499999999999</v>
      </c>
      <c r="J1205" s="137">
        <v>1</v>
      </c>
    </row>
    <row r="1206" spans="2:10" ht="15" customHeight="1" x14ac:dyDescent="0.3">
      <c r="B1206" s="132" t="s">
        <v>1966</v>
      </c>
      <c r="C1206" s="132" t="s">
        <v>1529</v>
      </c>
      <c r="D1206" s="132" t="s">
        <v>1855</v>
      </c>
      <c r="E1206" s="132" t="s">
        <v>320</v>
      </c>
      <c r="F1206" s="133" t="s">
        <v>1967</v>
      </c>
      <c r="G1206" s="134">
        <v>2.4</v>
      </c>
      <c r="H1206" s="135">
        <v>13.45</v>
      </c>
      <c r="I1206" s="136">
        <f t="shared" si="18"/>
        <v>32.279999999999994</v>
      </c>
      <c r="J1206" s="137">
        <v>1</v>
      </c>
    </row>
    <row r="1207" spans="2:10" ht="15" customHeight="1" x14ac:dyDescent="0.3">
      <c r="B1207" s="132" t="s">
        <v>1966</v>
      </c>
      <c r="C1207" s="132" t="s">
        <v>1529</v>
      </c>
      <c r="D1207" s="132" t="s">
        <v>1855</v>
      </c>
      <c r="E1207" s="132" t="s">
        <v>320</v>
      </c>
      <c r="F1207" s="133" t="s">
        <v>1968</v>
      </c>
      <c r="G1207" s="134">
        <v>4.8099999999999996</v>
      </c>
      <c r="H1207" s="135">
        <v>13.45</v>
      </c>
      <c r="I1207" s="136">
        <f t="shared" si="18"/>
        <v>64.694499999999991</v>
      </c>
      <c r="J1207" s="137">
        <v>1</v>
      </c>
    </row>
    <row r="1208" spans="2:10" ht="15" customHeight="1" x14ac:dyDescent="0.3">
      <c r="B1208" s="132" t="s">
        <v>1966</v>
      </c>
      <c r="C1208" s="132" t="s">
        <v>1529</v>
      </c>
      <c r="D1208" s="132" t="s">
        <v>1855</v>
      </c>
      <c r="E1208" s="132" t="s">
        <v>320</v>
      </c>
      <c r="F1208" s="133" t="s">
        <v>1969</v>
      </c>
      <c r="G1208" s="134">
        <v>8.26</v>
      </c>
      <c r="H1208" s="135">
        <v>13.45</v>
      </c>
      <c r="I1208" s="136">
        <f t="shared" si="18"/>
        <v>111.09699999999999</v>
      </c>
      <c r="J1208" s="137">
        <v>1</v>
      </c>
    </row>
    <row r="1209" spans="2:10" ht="15" customHeight="1" x14ac:dyDescent="0.3">
      <c r="B1209" s="132" t="s">
        <v>1970</v>
      </c>
      <c r="C1209" s="132" t="s">
        <v>1529</v>
      </c>
      <c r="D1209" s="132" t="s">
        <v>1855</v>
      </c>
      <c r="E1209" s="132" t="s">
        <v>320</v>
      </c>
      <c r="F1209" s="133" t="s">
        <v>1971</v>
      </c>
      <c r="G1209" s="134">
        <v>6.88</v>
      </c>
      <c r="H1209" s="135">
        <v>13.45</v>
      </c>
      <c r="I1209" s="136">
        <f t="shared" si="18"/>
        <v>92.535999999999987</v>
      </c>
      <c r="J1209" s="137">
        <v>1</v>
      </c>
    </row>
    <row r="1210" spans="2:10" ht="15" customHeight="1" x14ac:dyDescent="0.3">
      <c r="B1210" s="132" t="s">
        <v>1970</v>
      </c>
      <c r="C1210" s="132" t="s">
        <v>1529</v>
      </c>
      <c r="D1210" s="132" t="s">
        <v>1855</v>
      </c>
      <c r="E1210" s="132" t="s">
        <v>320</v>
      </c>
      <c r="F1210" s="133" t="s">
        <v>1972</v>
      </c>
      <c r="G1210" s="134">
        <v>1.08</v>
      </c>
      <c r="H1210" s="135">
        <v>13.45</v>
      </c>
      <c r="I1210" s="136">
        <f t="shared" si="18"/>
        <v>14.526</v>
      </c>
      <c r="J1210" s="137">
        <v>1</v>
      </c>
    </row>
    <row r="1211" spans="2:10" ht="15" customHeight="1" x14ac:dyDescent="0.3">
      <c r="B1211" s="132" t="s">
        <v>1970</v>
      </c>
      <c r="C1211" s="132" t="s">
        <v>1529</v>
      </c>
      <c r="D1211" s="132" t="s">
        <v>1855</v>
      </c>
      <c r="E1211" s="132" t="s">
        <v>320</v>
      </c>
      <c r="F1211" s="133" t="s">
        <v>1973</v>
      </c>
      <c r="G1211" s="134">
        <v>1.19</v>
      </c>
      <c r="H1211" s="135">
        <v>13.45</v>
      </c>
      <c r="I1211" s="136">
        <f t="shared" si="18"/>
        <v>16.005499999999998</v>
      </c>
      <c r="J1211" s="137">
        <v>1</v>
      </c>
    </row>
    <row r="1212" spans="2:10" ht="15" customHeight="1" x14ac:dyDescent="0.3">
      <c r="B1212" s="132" t="s">
        <v>1974</v>
      </c>
      <c r="C1212" s="132" t="s">
        <v>1529</v>
      </c>
      <c r="D1212" s="132" t="s">
        <v>1855</v>
      </c>
      <c r="E1212" s="132" t="s">
        <v>320</v>
      </c>
      <c r="F1212" s="133" t="s">
        <v>1975</v>
      </c>
      <c r="G1212" s="134">
        <v>1.24</v>
      </c>
      <c r="H1212" s="135">
        <v>13.45</v>
      </c>
      <c r="I1212" s="136">
        <f t="shared" si="18"/>
        <v>16.677999999999997</v>
      </c>
      <c r="J1212" s="137">
        <v>1</v>
      </c>
    </row>
    <row r="1213" spans="2:10" ht="15" customHeight="1" x14ac:dyDescent="0.3">
      <c r="B1213" s="132" t="s">
        <v>1976</v>
      </c>
      <c r="C1213" s="132" t="s">
        <v>1529</v>
      </c>
      <c r="D1213" s="132" t="s">
        <v>1855</v>
      </c>
      <c r="E1213" s="132" t="s">
        <v>320</v>
      </c>
      <c r="F1213" s="133" t="s">
        <v>1977</v>
      </c>
      <c r="G1213" s="134">
        <v>8.2799999999999994</v>
      </c>
      <c r="H1213" s="135">
        <v>13.45</v>
      </c>
      <c r="I1213" s="136">
        <f t="shared" si="18"/>
        <v>111.36599999999999</v>
      </c>
      <c r="J1213" s="137">
        <v>1</v>
      </c>
    </row>
    <row r="1214" spans="2:10" ht="15" customHeight="1" x14ac:dyDescent="0.3">
      <c r="B1214" s="132" t="s">
        <v>1976</v>
      </c>
      <c r="C1214" s="132" t="s">
        <v>1529</v>
      </c>
      <c r="D1214" s="132" t="s">
        <v>1855</v>
      </c>
      <c r="E1214" s="132" t="s">
        <v>320</v>
      </c>
      <c r="F1214" s="133" t="s">
        <v>1978</v>
      </c>
      <c r="G1214" s="134">
        <v>1.8</v>
      </c>
      <c r="H1214" s="135">
        <v>13.45</v>
      </c>
      <c r="I1214" s="136">
        <f t="shared" si="18"/>
        <v>24.21</v>
      </c>
      <c r="J1214" s="137">
        <v>1</v>
      </c>
    </row>
    <row r="1215" spans="2:10" ht="15" customHeight="1" x14ac:dyDescent="0.3">
      <c r="B1215" s="132" t="s">
        <v>1979</v>
      </c>
      <c r="C1215" s="132" t="s">
        <v>1529</v>
      </c>
      <c r="D1215" s="132" t="s">
        <v>1855</v>
      </c>
      <c r="E1215" s="132" t="s">
        <v>320</v>
      </c>
      <c r="F1215" s="133" t="s">
        <v>1980</v>
      </c>
      <c r="G1215" s="134">
        <v>3.25</v>
      </c>
      <c r="H1215" s="135">
        <v>13.45</v>
      </c>
      <c r="I1215" s="136">
        <f t="shared" si="18"/>
        <v>43.712499999999999</v>
      </c>
      <c r="J1215" s="137">
        <v>1</v>
      </c>
    </row>
    <row r="1216" spans="2:10" ht="15" customHeight="1" x14ac:dyDescent="0.3">
      <c r="B1216" s="132" t="s">
        <v>1979</v>
      </c>
      <c r="C1216" s="132" t="s">
        <v>1529</v>
      </c>
      <c r="D1216" s="132" t="s">
        <v>1855</v>
      </c>
      <c r="E1216" s="132" t="s">
        <v>320</v>
      </c>
      <c r="F1216" s="133" t="s">
        <v>1981</v>
      </c>
      <c r="G1216" s="134">
        <v>3.26</v>
      </c>
      <c r="H1216" s="135">
        <v>13.45</v>
      </c>
      <c r="I1216" s="136">
        <f t="shared" si="18"/>
        <v>43.846999999999994</v>
      </c>
      <c r="J1216" s="137">
        <v>1</v>
      </c>
    </row>
    <row r="1217" spans="2:10" ht="15" customHeight="1" x14ac:dyDescent="0.3">
      <c r="B1217" s="132" t="s">
        <v>1982</v>
      </c>
      <c r="C1217" s="132" t="s">
        <v>1529</v>
      </c>
      <c r="D1217" s="132" t="s">
        <v>1855</v>
      </c>
      <c r="E1217" s="132" t="s">
        <v>320</v>
      </c>
      <c r="F1217" s="133" t="s">
        <v>1983</v>
      </c>
      <c r="G1217" s="134">
        <v>8.2799999999999994</v>
      </c>
      <c r="H1217" s="135">
        <v>13.45</v>
      </c>
      <c r="I1217" s="136">
        <f t="shared" si="18"/>
        <v>111.36599999999999</v>
      </c>
      <c r="J1217" s="137">
        <v>1</v>
      </c>
    </row>
    <row r="1218" spans="2:10" ht="15" customHeight="1" x14ac:dyDescent="0.3">
      <c r="B1218" s="132" t="s">
        <v>1984</v>
      </c>
      <c r="C1218" s="132" t="s">
        <v>1529</v>
      </c>
      <c r="D1218" s="132" t="s">
        <v>1855</v>
      </c>
      <c r="E1218" s="132" t="s">
        <v>320</v>
      </c>
      <c r="F1218" s="133" t="s">
        <v>1985</v>
      </c>
      <c r="G1218" s="134">
        <v>1.8</v>
      </c>
      <c r="H1218" s="135">
        <v>13.45</v>
      </c>
      <c r="I1218" s="136">
        <f t="shared" si="18"/>
        <v>24.21</v>
      </c>
      <c r="J1218" s="137">
        <v>1</v>
      </c>
    </row>
    <row r="1219" spans="2:10" ht="15" customHeight="1" x14ac:dyDescent="0.3">
      <c r="B1219" s="132" t="s">
        <v>1986</v>
      </c>
      <c r="C1219" s="132" t="s">
        <v>1529</v>
      </c>
      <c r="D1219" s="132" t="s">
        <v>1855</v>
      </c>
      <c r="E1219" s="132" t="s">
        <v>320</v>
      </c>
      <c r="F1219" s="133" t="s">
        <v>1987</v>
      </c>
      <c r="G1219" s="134">
        <v>1.2</v>
      </c>
      <c r="H1219" s="135">
        <v>13.45</v>
      </c>
      <c r="I1219" s="136">
        <f t="shared" si="18"/>
        <v>16.139999999999997</v>
      </c>
      <c r="J1219" s="137">
        <v>1</v>
      </c>
    </row>
    <row r="1220" spans="2:10" ht="15" customHeight="1" x14ac:dyDescent="0.3">
      <c r="B1220" s="132" t="s">
        <v>1988</v>
      </c>
      <c r="C1220" s="132" t="s">
        <v>1529</v>
      </c>
      <c r="D1220" s="132" t="s">
        <v>1855</v>
      </c>
      <c r="E1220" s="132" t="s">
        <v>320</v>
      </c>
      <c r="F1220" s="133" t="s">
        <v>1989</v>
      </c>
      <c r="G1220" s="134">
        <v>4.45</v>
      </c>
      <c r="H1220" s="135">
        <v>13.45</v>
      </c>
      <c r="I1220" s="136">
        <f t="shared" si="18"/>
        <v>59.852499999999999</v>
      </c>
      <c r="J1220" s="137">
        <v>1</v>
      </c>
    </row>
    <row r="1221" spans="2:10" ht="15" customHeight="1" x14ac:dyDescent="0.3">
      <c r="B1221" s="132" t="s">
        <v>1990</v>
      </c>
      <c r="C1221" s="132" t="s">
        <v>1529</v>
      </c>
      <c r="D1221" s="132" t="s">
        <v>1855</v>
      </c>
      <c r="E1221" s="132" t="s">
        <v>320</v>
      </c>
      <c r="F1221" s="133" t="s">
        <v>1991</v>
      </c>
      <c r="G1221" s="134">
        <v>4.2699999999999996</v>
      </c>
      <c r="H1221" s="135">
        <v>13.45</v>
      </c>
      <c r="I1221" s="136">
        <f t="shared" si="18"/>
        <v>57.431499999999993</v>
      </c>
      <c r="J1221" s="137">
        <v>1</v>
      </c>
    </row>
    <row r="1222" spans="2:10" ht="15" customHeight="1" x14ac:dyDescent="0.3">
      <c r="B1222" s="132" t="s">
        <v>1992</v>
      </c>
      <c r="C1222" s="132" t="s">
        <v>1529</v>
      </c>
      <c r="D1222" s="132" t="s">
        <v>1855</v>
      </c>
      <c r="E1222" s="132" t="s">
        <v>320</v>
      </c>
      <c r="F1222" s="133" t="s">
        <v>1993</v>
      </c>
      <c r="G1222" s="134">
        <v>4.25</v>
      </c>
      <c r="H1222" s="135">
        <v>13.45</v>
      </c>
      <c r="I1222" s="136">
        <f t="shared" si="18"/>
        <v>57.162499999999994</v>
      </c>
      <c r="J1222" s="137">
        <v>1</v>
      </c>
    </row>
    <row r="1223" spans="2:10" ht="15" customHeight="1" x14ac:dyDescent="0.3">
      <c r="B1223" s="132" t="s">
        <v>1994</v>
      </c>
      <c r="C1223" s="132" t="s">
        <v>1529</v>
      </c>
      <c r="D1223" s="132" t="s">
        <v>1855</v>
      </c>
      <c r="E1223" s="132" t="s">
        <v>320</v>
      </c>
      <c r="F1223" s="133" t="s">
        <v>1995</v>
      </c>
      <c r="G1223" s="134">
        <v>6.09</v>
      </c>
      <c r="H1223" s="135">
        <v>13.45</v>
      </c>
      <c r="I1223" s="136">
        <f t="shared" si="18"/>
        <v>81.910499999999999</v>
      </c>
      <c r="J1223" s="137">
        <v>1</v>
      </c>
    </row>
    <row r="1224" spans="2:10" ht="15" customHeight="1" x14ac:dyDescent="0.3">
      <c r="B1224" s="132" t="s">
        <v>1996</v>
      </c>
      <c r="C1224" s="132" t="s">
        <v>1529</v>
      </c>
      <c r="D1224" s="132" t="s">
        <v>1997</v>
      </c>
      <c r="E1224" s="132" t="s">
        <v>320</v>
      </c>
      <c r="F1224" s="133" t="s">
        <v>1998</v>
      </c>
      <c r="G1224" s="134">
        <v>2.5499999999999998</v>
      </c>
      <c r="H1224" s="135">
        <v>13.45</v>
      </c>
      <c r="I1224" s="136">
        <f t="shared" ref="I1224:I1287" si="19">G1224*H1224</f>
        <v>34.297499999999992</v>
      </c>
      <c r="J1224" s="137">
        <v>1</v>
      </c>
    </row>
    <row r="1225" spans="2:10" ht="15" customHeight="1" x14ac:dyDescent="0.3">
      <c r="B1225" s="132" t="s">
        <v>1996</v>
      </c>
      <c r="C1225" s="132" t="s">
        <v>1529</v>
      </c>
      <c r="D1225" s="132" t="s">
        <v>1997</v>
      </c>
      <c r="E1225" s="132" t="s">
        <v>320</v>
      </c>
      <c r="F1225" s="133" t="s">
        <v>1999</v>
      </c>
      <c r="G1225" s="134">
        <v>2.56</v>
      </c>
      <c r="H1225" s="135">
        <v>13.45</v>
      </c>
      <c r="I1225" s="136">
        <f t="shared" si="19"/>
        <v>34.432000000000002</v>
      </c>
      <c r="J1225" s="137">
        <v>1</v>
      </c>
    </row>
    <row r="1226" spans="2:10" ht="15" customHeight="1" x14ac:dyDescent="0.3">
      <c r="B1226" s="132" t="s">
        <v>1996</v>
      </c>
      <c r="C1226" s="132" t="s">
        <v>1529</v>
      </c>
      <c r="D1226" s="132" t="s">
        <v>1997</v>
      </c>
      <c r="E1226" s="132" t="s">
        <v>320</v>
      </c>
      <c r="F1226" s="133" t="s">
        <v>2000</v>
      </c>
      <c r="G1226" s="134">
        <v>2.2400000000000002</v>
      </c>
      <c r="H1226" s="135">
        <v>13.45</v>
      </c>
      <c r="I1226" s="136">
        <f t="shared" si="19"/>
        <v>30.128</v>
      </c>
      <c r="J1226" s="137">
        <v>1</v>
      </c>
    </row>
    <row r="1227" spans="2:10" ht="15" customHeight="1" x14ac:dyDescent="0.3">
      <c r="B1227" s="132" t="s">
        <v>1996</v>
      </c>
      <c r="C1227" s="132" t="s">
        <v>1529</v>
      </c>
      <c r="D1227" s="132" t="s">
        <v>1997</v>
      </c>
      <c r="E1227" s="132" t="s">
        <v>320</v>
      </c>
      <c r="F1227" s="133" t="s">
        <v>2001</v>
      </c>
      <c r="G1227" s="134">
        <v>2.2400000000000002</v>
      </c>
      <c r="H1227" s="135">
        <v>13.45</v>
      </c>
      <c r="I1227" s="136">
        <f t="shared" si="19"/>
        <v>30.128</v>
      </c>
      <c r="J1227" s="137">
        <v>1</v>
      </c>
    </row>
    <row r="1228" spans="2:10" ht="15" customHeight="1" x14ac:dyDescent="0.3">
      <c r="B1228" s="132" t="s">
        <v>1142</v>
      </c>
      <c r="C1228" s="132" t="s">
        <v>1529</v>
      </c>
      <c r="D1228" s="132" t="s">
        <v>1997</v>
      </c>
      <c r="E1228" s="132" t="s">
        <v>320</v>
      </c>
      <c r="F1228" s="133" t="s">
        <v>2002</v>
      </c>
      <c r="G1228" s="134">
        <v>1.64</v>
      </c>
      <c r="H1228" s="135">
        <v>13.45</v>
      </c>
      <c r="I1228" s="136">
        <f t="shared" si="19"/>
        <v>22.057999999999996</v>
      </c>
      <c r="J1228" s="137">
        <v>1</v>
      </c>
    </row>
    <row r="1229" spans="2:10" ht="15" customHeight="1" x14ac:dyDescent="0.3">
      <c r="B1229" s="132" t="s">
        <v>2003</v>
      </c>
      <c r="C1229" s="132" t="s">
        <v>1529</v>
      </c>
      <c r="D1229" s="132" t="s">
        <v>1997</v>
      </c>
      <c r="E1229" s="132" t="s">
        <v>320</v>
      </c>
      <c r="F1229" s="133" t="s">
        <v>2004</v>
      </c>
      <c r="G1229" s="134">
        <v>9.27</v>
      </c>
      <c r="H1229" s="135">
        <v>13.45</v>
      </c>
      <c r="I1229" s="136">
        <f t="shared" si="19"/>
        <v>124.68149999999999</v>
      </c>
      <c r="J1229" s="137">
        <v>1</v>
      </c>
    </row>
    <row r="1230" spans="2:10" ht="15" customHeight="1" x14ac:dyDescent="0.3">
      <c r="B1230" s="132" t="s">
        <v>2003</v>
      </c>
      <c r="C1230" s="132" t="s">
        <v>1529</v>
      </c>
      <c r="D1230" s="132" t="s">
        <v>1997</v>
      </c>
      <c r="E1230" s="132" t="s">
        <v>320</v>
      </c>
      <c r="F1230" s="133" t="s">
        <v>2005</v>
      </c>
      <c r="G1230" s="134">
        <v>8.33</v>
      </c>
      <c r="H1230" s="135">
        <v>13.45</v>
      </c>
      <c r="I1230" s="136">
        <f t="shared" si="19"/>
        <v>112.0385</v>
      </c>
      <c r="J1230" s="137">
        <v>1</v>
      </c>
    </row>
    <row r="1231" spans="2:10" ht="15" customHeight="1" x14ac:dyDescent="0.3">
      <c r="B1231" s="132" t="s">
        <v>2006</v>
      </c>
      <c r="C1231" s="132" t="s">
        <v>1529</v>
      </c>
      <c r="D1231" s="132" t="s">
        <v>1997</v>
      </c>
      <c r="E1231" s="132" t="s">
        <v>320</v>
      </c>
      <c r="F1231" s="133" t="s">
        <v>2007</v>
      </c>
      <c r="G1231" s="134">
        <v>9.65</v>
      </c>
      <c r="H1231" s="135">
        <v>13.45</v>
      </c>
      <c r="I1231" s="136">
        <f t="shared" si="19"/>
        <v>129.79249999999999</v>
      </c>
      <c r="J1231" s="137">
        <v>1</v>
      </c>
    </row>
    <row r="1232" spans="2:10" ht="15" customHeight="1" x14ac:dyDescent="0.3">
      <c r="B1232" s="132" t="s">
        <v>2008</v>
      </c>
      <c r="C1232" s="132" t="s">
        <v>1529</v>
      </c>
      <c r="D1232" s="132" t="s">
        <v>1997</v>
      </c>
      <c r="E1232" s="132" t="s">
        <v>320</v>
      </c>
      <c r="F1232" s="133" t="s">
        <v>2009</v>
      </c>
      <c r="G1232" s="134">
        <v>2.63</v>
      </c>
      <c r="H1232" s="135">
        <v>13.45</v>
      </c>
      <c r="I1232" s="136">
        <f t="shared" si="19"/>
        <v>35.3735</v>
      </c>
      <c r="J1232" s="137">
        <v>1</v>
      </c>
    </row>
    <row r="1233" spans="2:10" ht="15" customHeight="1" x14ac:dyDescent="0.3">
      <c r="B1233" s="132" t="s">
        <v>2008</v>
      </c>
      <c r="C1233" s="132" t="s">
        <v>1529</v>
      </c>
      <c r="D1233" s="132" t="s">
        <v>1997</v>
      </c>
      <c r="E1233" s="132" t="s">
        <v>320</v>
      </c>
      <c r="F1233" s="133" t="s">
        <v>2010</v>
      </c>
      <c r="G1233" s="134">
        <v>2.65</v>
      </c>
      <c r="H1233" s="135">
        <v>13.45</v>
      </c>
      <c r="I1233" s="136">
        <f t="shared" si="19"/>
        <v>35.642499999999998</v>
      </c>
      <c r="J1233" s="137">
        <v>1</v>
      </c>
    </row>
    <row r="1234" spans="2:10" ht="15" customHeight="1" x14ac:dyDescent="0.3">
      <c r="B1234" s="132" t="s">
        <v>2008</v>
      </c>
      <c r="C1234" s="132" t="s">
        <v>1529</v>
      </c>
      <c r="D1234" s="132" t="s">
        <v>1997</v>
      </c>
      <c r="E1234" s="132" t="s">
        <v>320</v>
      </c>
      <c r="F1234" s="133" t="s">
        <v>2011</v>
      </c>
      <c r="G1234" s="134">
        <v>2.94</v>
      </c>
      <c r="H1234" s="135">
        <v>13.45</v>
      </c>
      <c r="I1234" s="136">
        <f t="shared" si="19"/>
        <v>39.542999999999999</v>
      </c>
      <c r="J1234" s="137">
        <v>1</v>
      </c>
    </row>
    <row r="1235" spans="2:10" ht="15" customHeight="1" x14ac:dyDescent="0.3">
      <c r="B1235" s="132" t="s">
        <v>2008</v>
      </c>
      <c r="C1235" s="132" t="s">
        <v>1529</v>
      </c>
      <c r="D1235" s="132" t="s">
        <v>1997</v>
      </c>
      <c r="E1235" s="132" t="s">
        <v>320</v>
      </c>
      <c r="F1235" s="133" t="s">
        <v>2012</v>
      </c>
      <c r="G1235" s="134">
        <v>2.93</v>
      </c>
      <c r="H1235" s="135">
        <v>13.45</v>
      </c>
      <c r="I1235" s="136">
        <f t="shared" si="19"/>
        <v>39.408499999999997</v>
      </c>
      <c r="J1235" s="137">
        <v>1</v>
      </c>
    </row>
    <row r="1236" spans="2:10" ht="15" customHeight="1" x14ac:dyDescent="0.3">
      <c r="B1236" s="132" t="s">
        <v>2008</v>
      </c>
      <c r="C1236" s="132" t="s">
        <v>1529</v>
      </c>
      <c r="D1236" s="132" t="s">
        <v>1997</v>
      </c>
      <c r="E1236" s="132" t="s">
        <v>320</v>
      </c>
      <c r="F1236" s="133" t="s">
        <v>2013</v>
      </c>
      <c r="G1236" s="134">
        <v>2.1</v>
      </c>
      <c r="H1236" s="135">
        <v>13.45</v>
      </c>
      <c r="I1236" s="136">
        <f t="shared" si="19"/>
        <v>28.245000000000001</v>
      </c>
      <c r="J1236" s="137">
        <v>1</v>
      </c>
    </row>
    <row r="1237" spans="2:10" ht="15" customHeight="1" x14ac:dyDescent="0.3">
      <c r="B1237" s="132" t="s">
        <v>2014</v>
      </c>
      <c r="C1237" s="132" t="s">
        <v>1529</v>
      </c>
      <c r="D1237" s="132" t="s">
        <v>1997</v>
      </c>
      <c r="E1237" s="132" t="s">
        <v>320</v>
      </c>
      <c r="F1237" s="133" t="s">
        <v>2015</v>
      </c>
      <c r="G1237" s="134">
        <v>6.6</v>
      </c>
      <c r="H1237" s="135">
        <v>13.45</v>
      </c>
      <c r="I1237" s="136">
        <f t="shared" si="19"/>
        <v>88.77</v>
      </c>
      <c r="J1237" s="137">
        <v>1</v>
      </c>
    </row>
    <row r="1238" spans="2:10" ht="15" customHeight="1" x14ac:dyDescent="0.3">
      <c r="B1238" s="132" t="s">
        <v>2016</v>
      </c>
      <c r="C1238" s="132" t="s">
        <v>1529</v>
      </c>
      <c r="D1238" s="132" t="s">
        <v>1997</v>
      </c>
      <c r="E1238" s="132" t="s">
        <v>320</v>
      </c>
      <c r="F1238" s="133" t="s">
        <v>2017</v>
      </c>
      <c r="G1238" s="134">
        <v>8.58</v>
      </c>
      <c r="H1238" s="135">
        <v>13.45</v>
      </c>
      <c r="I1238" s="136">
        <f t="shared" si="19"/>
        <v>115.401</v>
      </c>
      <c r="J1238" s="137">
        <v>1</v>
      </c>
    </row>
    <row r="1239" spans="2:10" ht="15" customHeight="1" x14ac:dyDescent="0.3">
      <c r="B1239" s="132" t="s">
        <v>2018</v>
      </c>
      <c r="C1239" s="132" t="s">
        <v>1529</v>
      </c>
      <c r="D1239" s="132" t="s">
        <v>1997</v>
      </c>
      <c r="E1239" s="132" t="s">
        <v>320</v>
      </c>
      <c r="F1239" s="133" t="s">
        <v>2019</v>
      </c>
      <c r="G1239" s="134">
        <v>2.48</v>
      </c>
      <c r="H1239" s="135">
        <v>13.45</v>
      </c>
      <c r="I1239" s="136">
        <f t="shared" si="19"/>
        <v>33.355999999999995</v>
      </c>
      <c r="J1239" s="137">
        <v>1</v>
      </c>
    </row>
    <row r="1240" spans="2:10" ht="15" customHeight="1" x14ac:dyDescent="0.3">
      <c r="B1240" s="132" t="s">
        <v>2018</v>
      </c>
      <c r="C1240" s="132" t="s">
        <v>1529</v>
      </c>
      <c r="D1240" s="132" t="s">
        <v>1997</v>
      </c>
      <c r="E1240" s="132" t="s">
        <v>320</v>
      </c>
      <c r="F1240" s="133" t="s">
        <v>2020</v>
      </c>
      <c r="G1240" s="134">
        <v>1.62</v>
      </c>
      <c r="H1240" s="135">
        <v>13.45</v>
      </c>
      <c r="I1240" s="136">
        <f t="shared" si="19"/>
        <v>21.789000000000001</v>
      </c>
      <c r="J1240" s="137">
        <v>1</v>
      </c>
    </row>
    <row r="1241" spans="2:10" ht="15" customHeight="1" x14ac:dyDescent="0.3">
      <c r="B1241" s="132" t="s">
        <v>2018</v>
      </c>
      <c r="C1241" s="132" t="s">
        <v>1529</v>
      </c>
      <c r="D1241" s="132" t="s">
        <v>1997</v>
      </c>
      <c r="E1241" s="132" t="s">
        <v>320</v>
      </c>
      <c r="F1241" s="133" t="s">
        <v>2021</v>
      </c>
      <c r="G1241" s="134">
        <v>3.29</v>
      </c>
      <c r="H1241" s="135">
        <v>13.45</v>
      </c>
      <c r="I1241" s="136">
        <f t="shared" si="19"/>
        <v>44.250499999999995</v>
      </c>
      <c r="J1241" s="137">
        <v>1</v>
      </c>
    </row>
    <row r="1242" spans="2:10" ht="15" customHeight="1" x14ac:dyDescent="0.3">
      <c r="B1242" s="132" t="s">
        <v>2018</v>
      </c>
      <c r="C1242" s="132" t="s">
        <v>1529</v>
      </c>
      <c r="D1242" s="132" t="s">
        <v>1997</v>
      </c>
      <c r="E1242" s="132" t="s">
        <v>320</v>
      </c>
      <c r="F1242" s="133" t="s">
        <v>2022</v>
      </c>
      <c r="G1242" s="134">
        <v>3.28</v>
      </c>
      <c r="H1242" s="135">
        <v>13.45</v>
      </c>
      <c r="I1242" s="136">
        <f t="shared" si="19"/>
        <v>44.115999999999993</v>
      </c>
      <c r="J1242" s="137">
        <v>1</v>
      </c>
    </row>
    <row r="1243" spans="2:10" ht="15" customHeight="1" x14ac:dyDescent="0.3">
      <c r="B1243" s="132" t="s">
        <v>2018</v>
      </c>
      <c r="C1243" s="132" t="s">
        <v>1529</v>
      </c>
      <c r="D1243" s="132" t="s">
        <v>1997</v>
      </c>
      <c r="E1243" s="132" t="s">
        <v>320</v>
      </c>
      <c r="F1243" s="133" t="s">
        <v>2023</v>
      </c>
      <c r="G1243" s="134">
        <v>3.27</v>
      </c>
      <c r="H1243" s="135">
        <v>13.45</v>
      </c>
      <c r="I1243" s="136">
        <f t="shared" si="19"/>
        <v>43.981499999999997</v>
      </c>
      <c r="J1243" s="137">
        <v>1</v>
      </c>
    </row>
    <row r="1244" spans="2:10" ht="15" customHeight="1" x14ac:dyDescent="0.3">
      <c r="B1244" s="132" t="s">
        <v>2018</v>
      </c>
      <c r="C1244" s="132" t="s">
        <v>1529</v>
      </c>
      <c r="D1244" s="132" t="s">
        <v>1997</v>
      </c>
      <c r="E1244" s="132" t="s">
        <v>320</v>
      </c>
      <c r="F1244" s="133" t="s">
        <v>2024</v>
      </c>
      <c r="G1244" s="134">
        <v>3.31</v>
      </c>
      <c r="H1244" s="135">
        <v>13.45</v>
      </c>
      <c r="I1244" s="136">
        <f t="shared" si="19"/>
        <v>44.519500000000001</v>
      </c>
      <c r="J1244" s="137">
        <v>1</v>
      </c>
    </row>
    <row r="1245" spans="2:10" ht="15" customHeight="1" x14ac:dyDescent="0.3">
      <c r="B1245" s="132" t="s">
        <v>2025</v>
      </c>
      <c r="C1245" s="132" t="s">
        <v>1529</v>
      </c>
      <c r="D1245" s="132" t="s">
        <v>1997</v>
      </c>
      <c r="E1245" s="132" t="s">
        <v>320</v>
      </c>
      <c r="F1245" s="133" t="s">
        <v>2026</v>
      </c>
      <c r="G1245" s="134">
        <v>2.95</v>
      </c>
      <c r="H1245" s="135">
        <v>13.45</v>
      </c>
      <c r="I1245" s="136">
        <f t="shared" si="19"/>
        <v>39.677500000000002</v>
      </c>
      <c r="J1245" s="137">
        <v>1</v>
      </c>
    </row>
    <row r="1246" spans="2:10" ht="15" customHeight="1" x14ac:dyDescent="0.3">
      <c r="B1246" s="132" t="s">
        <v>2025</v>
      </c>
      <c r="C1246" s="132" t="s">
        <v>1529</v>
      </c>
      <c r="D1246" s="132" t="s">
        <v>1997</v>
      </c>
      <c r="E1246" s="132" t="s">
        <v>320</v>
      </c>
      <c r="F1246" s="133" t="s">
        <v>2027</v>
      </c>
      <c r="G1246" s="134">
        <v>2.94</v>
      </c>
      <c r="H1246" s="135">
        <v>13.45</v>
      </c>
      <c r="I1246" s="136">
        <f t="shared" si="19"/>
        <v>39.542999999999999</v>
      </c>
      <c r="J1246" s="137">
        <v>1</v>
      </c>
    </row>
    <row r="1247" spans="2:10" ht="15" customHeight="1" x14ac:dyDescent="0.3">
      <c r="B1247" s="132" t="s">
        <v>2028</v>
      </c>
      <c r="C1247" s="132" t="s">
        <v>1529</v>
      </c>
      <c r="D1247" s="132" t="s">
        <v>1997</v>
      </c>
      <c r="E1247" s="132" t="s">
        <v>320</v>
      </c>
      <c r="F1247" s="133" t="s">
        <v>2029</v>
      </c>
      <c r="G1247" s="134">
        <v>4.68</v>
      </c>
      <c r="H1247" s="135">
        <v>13.45</v>
      </c>
      <c r="I1247" s="136">
        <f t="shared" si="19"/>
        <v>62.945999999999991</v>
      </c>
      <c r="J1247" s="137">
        <v>1</v>
      </c>
    </row>
    <row r="1248" spans="2:10" ht="15" customHeight="1" x14ac:dyDescent="0.3">
      <c r="B1248" s="132" t="s">
        <v>2030</v>
      </c>
      <c r="C1248" s="132" t="s">
        <v>1529</v>
      </c>
      <c r="D1248" s="132" t="s">
        <v>1997</v>
      </c>
      <c r="E1248" s="132" t="s">
        <v>320</v>
      </c>
      <c r="F1248" s="133" t="s">
        <v>2031</v>
      </c>
      <c r="G1248" s="134">
        <v>1.96</v>
      </c>
      <c r="H1248" s="135">
        <v>13.45</v>
      </c>
      <c r="I1248" s="136">
        <f t="shared" si="19"/>
        <v>26.361999999999998</v>
      </c>
      <c r="J1248" s="137">
        <v>1</v>
      </c>
    </row>
    <row r="1249" spans="2:10" ht="15" customHeight="1" x14ac:dyDescent="0.3">
      <c r="B1249" s="132" t="s">
        <v>2030</v>
      </c>
      <c r="C1249" s="132" t="s">
        <v>1529</v>
      </c>
      <c r="D1249" s="132" t="s">
        <v>1997</v>
      </c>
      <c r="E1249" s="132" t="s">
        <v>320</v>
      </c>
      <c r="F1249" s="133" t="s">
        <v>2032</v>
      </c>
      <c r="G1249" s="134">
        <v>1.96</v>
      </c>
      <c r="H1249" s="135">
        <v>13.45</v>
      </c>
      <c r="I1249" s="136">
        <f t="shared" si="19"/>
        <v>26.361999999999998</v>
      </c>
      <c r="J1249" s="137">
        <v>1</v>
      </c>
    </row>
    <row r="1250" spans="2:10" ht="15" customHeight="1" x14ac:dyDescent="0.3">
      <c r="B1250" s="132" t="s">
        <v>2030</v>
      </c>
      <c r="C1250" s="132" t="s">
        <v>1529</v>
      </c>
      <c r="D1250" s="132" t="s">
        <v>1997</v>
      </c>
      <c r="E1250" s="132" t="s">
        <v>320</v>
      </c>
      <c r="F1250" s="133" t="s">
        <v>2033</v>
      </c>
      <c r="G1250" s="134">
        <v>1.04</v>
      </c>
      <c r="H1250" s="135">
        <v>13.45</v>
      </c>
      <c r="I1250" s="136">
        <f t="shared" si="19"/>
        <v>13.988</v>
      </c>
      <c r="J1250" s="137">
        <v>1</v>
      </c>
    </row>
    <row r="1251" spans="2:10" ht="15" customHeight="1" x14ac:dyDescent="0.3">
      <c r="B1251" s="132" t="s">
        <v>2034</v>
      </c>
      <c r="C1251" s="132" t="s">
        <v>1529</v>
      </c>
      <c r="D1251" s="132" t="s">
        <v>1997</v>
      </c>
      <c r="E1251" s="132" t="s">
        <v>320</v>
      </c>
      <c r="F1251" s="133" t="s">
        <v>2035</v>
      </c>
      <c r="G1251" s="134">
        <v>1.1399999999999999</v>
      </c>
      <c r="H1251" s="135">
        <v>13.45</v>
      </c>
      <c r="I1251" s="136">
        <f t="shared" si="19"/>
        <v>15.332999999999998</v>
      </c>
      <c r="J1251" s="137">
        <v>1</v>
      </c>
    </row>
    <row r="1252" spans="2:10" ht="15" customHeight="1" x14ac:dyDescent="0.3">
      <c r="B1252" s="132" t="s">
        <v>2034</v>
      </c>
      <c r="C1252" s="132" t="s">
        <v>1529</v>
      </c>
      <c r="D1252" s="132" t="s">
        <v>1997</v>
      </c>
      <c r="E1252" s="132" t="s">
        <v>320</v>
      </c>
      <c r="F1252" s="133" t="s">
        <v>2036</v>
      </c>
      <c r="G1252" s="134">
        <v>1.31</v>
      </c>
      <c r="H1252" s="135">
        <v>13.45</v>
      </c>
      <c r="I1252" s="136">
        <f t="shared" si="19"/>
        <v>17.619499999999999</v>
      </c>
      <c r="J1252" s="137">
        <v>1</v>
      </c>
    </row>
    <row r="1253" spans="2:10" ht="15" customHeight="1" x14ac:dyDescent="0.3">
      <c r="B1253" s="132" t="s">
        <v>2034</v>
      </c>
      <c r="C1253" s="132" t="s">
        <v>1529</v>
      </c>
      <c r="D1253" s="132" t="s">
        <v>1997</v>
      </c>
      <c r="E1253" s="132" t="s">
        <v>320</v>
      </c>
      <c r="F1253" s="133" t="s">
        <v>2037</v>
      </c>
      <c r="G1253" s="134">
        <v>9.98</v>
      </c>
      <c r="H1253" s="135">
        <v>13.45</v>
      </c>
      <c r="I1253" s="136">
        <f t="shared" si="19"/>
        <v>134.23099999999999</v>
      </c>
      <c r="J1253" s="137">
        <v>1</v>
      </c>
    </row>
    <row r="1254" spans="2:10" ht="15" customHeight="1" x14ac:dyDescent="0.3">
      <c r="B1254" s="132" t="s">
        <v>2034</v>
      </c>
      <c r="C1254" s="132" t="s">
        <v>1529</v>
      </c>
      <c r="D1254" s="132" t="s">
        <v>1997</v>
      </c>
      <c r="E1254" s="132" t="s">
        <v>320</v>
      </c>
      <c r="F1254" s="133" t="s">
        <v>2038</v>
      </c>
      <c r="G1254" s="134">
        <v>6.74</v>
      </c>
      <c r="H1254" s="135">
        <v>13.45</v>
      </c>
      <c r="I1254" s="136">
        <f t="shared" si="19"/>
        <v>90.652999999999992</v>
      </c>
      <c r="J1254" s="137">
        <v>1</v>
      </c>
    </row>
    <row r="1255" spans="2:10" ht="15" customHeight="1" x14ac:dyDescent="0.3">
      <c r="B1255" s="132" t="s">
        <v>2034</v>
      </c>
      <c r="C1255" s="132" t="s">
        <v>1529</v>
      </c>
      <c r="D1255" s="132" t="s">
        <v>1997</v>
      </c>
      <c r="E1255" s="132" t="s">
        <v>320</v>
      </c>
      <c r="F1255" s="133" t="s">
        <v>2039</v>
      </c>
      <c r="G1255" s="134">
        <v>9.84</v>
      </c>
      <c r="H1255" s="135">
        <v>13.45</v>
      </c>
      <c r="I1255" s="136">
        <f t="shared" si="19"/>
        <v>132.34799999999998</v>
      </c>
      <c r="J1255" s="137">
        <v>1</v>
      </c>
    </row>
    <row r="1256" spans="2:10" ht="15" customHeight="1" x14ac:dyDescent="0.3">
      <c r="B1256" s="132" t="s">
        <v>2034</v>
      </c>
      <c r="C1256" s="132" t="s">
        <v>1529</v>
      </c>
      <c r="D1256" s="132" t="s">
        <v>1997</v>
      </c>
      <c r="E1256" s="132" t="s">
        <v>320</v>
      </c>
      <c r="F1256" s="133" t="s">
        <v>2040</v>
      </c>
      <c r="G1256" s="134">
        <v>8.2200000000000006</v>
      </c>
      <c r="H1256" s="135">
        <v>13.45</v>
      </c>
      <c r="I1256" s="136">
        <f t="shared" si="19"/>
        <v>110.559</v>
      </c>
      <c r="J1256" s="137">
        <v>1</v>
      </c>
    </row>
    <row r="1257" spans="2:10" ht="15" customHeight="1" x14ac:dyDescent="0.3">
      <c r="B1257" s="132" t="s">
        <v>2034</v>
      </c>
      <c r="C1257" s="132" t="s">
        <v>1529</v>
      </c>
      <c r="D1257" s="132" t="s">
        <v>1997</v>
      </c>
      <c r="E1257" s="132" t="s">
        <v>320</v>
      </c>
      <c r="F1257" s="133" t="s">
        <v>2041</v>
      </c>
      <c r="G1257" s="134">
        <v>1.04</v>
      </c>
      <c r="H1257" s="135">
        <v>13.45</v>
      </c>
      <c r="I1257" s="136">
        <f t="shared" si="19"/>
        <v>13.988</v>
      </c>
      <c r="J1257" s="137">
        <v>1</v>
      </c>
    </row>
    <row r="1258" spans="2:10" ht="15" customHeight="1" x14ac:dyDescent="0.3">
      <c r="B1258" s="132" t="s">
        <v>2042</v>
      </c>
      <c r="C1258" s="132" t="s">
        <v>1529</v>
      </c>
      <c r="D1258" s="132" t="s">
        <v>1997</v>
      </c>
      <c r="E1258" s="132" t="s">
        <v>320</v>
      </c>
      <c r="F1258" s="133" t="s">
        <v>2043</v>
      </c>
      <c r="G1258" s="134">
        <v>1.32</v>
      </c>
      <c r="H1258" s="135">
        <v>13.45</v>
      </c>
      <c r="I1258" s="136">
        <f t="shared" si="19"/>
        <v>17.754000000000001</v>
      </c>
      <c r="J1258" s="137">
        <v>1</v>
      </c>
    </row>
    <row r="1259" spans="2:10" ht="15" customHeight="1" x14ac:dyDescent="0.3">
      <c r="B1259" s="132" t="s">
        <v>2042</v>
      </c>
      <c r="C1259" s="132" t="s">
        <v>1529</v>
      </c>
      <c r="D1259" s="132" t="s">
        <v>1997</v>
      </c>
      <c r="E1259" s="132" t="s">
        <v>320</v>
      </c>
      <c r="F1259" s="133" t="s">
        <v>2044</v>
      </c>
      <c r="G1259" s="134">
        <v>1.34</v>
      </c>
      <c r="H1259" s="135">
        <v>13.45</v>
      </c>
      <c r="I1259" s="136">
        <f t="shared" si="19"/>
        <v>18.023</v>
      </c>
      <c r="J1259" s="137">
        <v>1</v>
      </c>
    </row>
    <row r="1260" spans="2:10" ht="15" customHeight="1" x14ac:dyDescent="0.3">
      <c r="B1260" s="132" t="s">
        <v>2045</v>
      </c>
      <c r="C1260" s="132" t="s">
        <v>1529</v>
      </c>
      <c r="D1260" s="132" t="s">
        <v>1997</v>
      </c>
      <c r="E1260" s="132" t="s">
        <v>320</v>
      </c>
      <c r="F1260" s="133" t="s">
        <v>2046</v>
      </c>
      <c r="G1260" s="134">
        <v>2.2999999999999998</v>
      </c>
      <c r="H1260" s="135">
        <v>13.45</v>
      </c>
      <c r="I1260" s="136">
        <f t="shared" si="19"/>
        <v>30.934999999999995</v>
      </c>
      <c r="J1260" s="137">
        <v>1</v>
      </c>
    </row>
    <row r="1261" spans="2:10" ht="15" customHeight="1" x14ac:dyDescent="0.3">
      <c r="B1261" s="132" t="s">
        <v>2045</v>
      </c>
      <c r="C1261" s="132" t="s">
        <v>1529</v>
      </c>
      <c r="D1261" s="132" t="s">
        <v>1997</v>
      </c>
      <c r="E1261" s="132" t="s">
        <v>320</v>
      </c>
      <c r="F1261" s="133" t="s">
        <v>2047</v>
      </c>
      <c r="G1261" s="134">
        <v>2.2999999999999998</v>
      </c>
      <c r="H1261" s="135">
        <v>13.45</v>
      </c>
      <c r="I1261" s="136">
        <f t="shared" si="19"/>
        <v>30.934999999999995</v>
      </c>
      <c r="J1261" s="137">
        <v>1</v>
      </c>
    </row>
    <row r="1262" spans="2:10" ht="15" customHeight="1" x14ac:dyDescent="0.3">
      <c r="B1262" s="132" t="s">
        <v>2045</v>
      </c>
      <c r="C1262" s="132" t="s">
        <v>1529</v>
      </c>
      <c r="D1262" s="132" t="s">
        <v>1997</v>
      </c>
      <c r="E1262" s="132" t="s">
        <v>320</v>
      </c>
      <c r="F1262" s="133" t="s">
        <v>2048</v>
      </c>
      <c r="G1262" s="134">
        <v>9.83</v>
      </c>
      <c r="H1262" s="135">
        <v>13.45</v>
      </c>
      <c r="I1262" s="136">
        <f t="shared" si="19"/>
        <v>132.21349999999998</v>
      </c>
      <c r="J1262" s="137">
        <v>1</v>
      </c>
    </row>
    <row r="1263" spans="2:10" ht="15" customHeight="1" x14ac:dyDescent="0.3">
      <c r="B1263" s="132" t="s">
        <v>2045</v>
      </c>
      <c r="C1263" s="132" t="s">
        <v>1529</v>
      </c>
      <c r="D1263" s="132" t="s">
        <v>1997</v>
      </c>
      <c r="E1263" s="132" t="s">
        <v>320</v>
      </c>
      <c r="F1263" s="133" t="s">
        <v>2049</v>
      </c>
      <c r="G1263" s="134">
        <v>1.66</v>
      </c>
      <c r="H1263" s="135">
        <v>13.45</v>
      </c>
      <c r="I1263" s="136">
        <f t="shared" si="19"/>
        <v>22.326999999999998</v>
      </c>
      <c r="J1263" s="137">
        <v>1</v>
      </c>
    </row>
    <row r="1264" spans="2:10" ht="15" customHeight="1" x14ac:dyDescent="0.3">
      <c r="B1264" s="132" t="s">
        <v>2045</v>
      </c>
      <c r="C1264" s="132" t="s">
        <v>1529</v>
      </c>
      <c r="D1264" s="132" t="s">
        <v>1997</v>
      </c>
      <c r="E1264" s="132" t="s">
        <v>320</v>
      </c>
      <c r="F1264" s="133" t="s">
        <v>2050</v>
      </c>
      <c r="G1264" s="134">
        <v>1.3</v>
      </c>
      <c r="H1264" s="135">
        <v>13.45</v>
      </c>
      <c r="I1264" s="136">
        <f t="shared" si="19"/>
        <v>17.484999999999999</v>
      </c>
      <c r="J1264" s="137">
        <v>1</v>
      </c>
    </row>
    <row r="1265" spans="2:10" ht="15" customHeight="1" x14ac:dyDescent="0.3">
      <c r="B1265" s="132" t="s">
        <v>2051</v>
      </c>
      <c r="C1265" s="132" t="s">
        <v>1529</v>
      </c>
      <c r="D1265" s="132" t="s">
        <v>1997</v>
      </c>
      <c r="E1265" s="132" t="s">
        <v>320</v>
      </c>
      <c r="F1265" s="133" t="s">
        <v>2052</v>
      </c>
      <c r="G1265" s="134">
        <v>1.1399999999999999</v>
      </c>
      <c r="H1265" s="135">
        <v>13.45</v>
      </c>
      <c r="I1265" s="136">
        <f t="shared" si="19"/>
        <v>15.332999999999998</v>
      </c>
      <c r="J1265" s="137">
        <v>1</v>
      </c>
    </row>
    <row r="1266" spans="2:10" ht="15" customHeight="1" x14ac:dyDescent="0.3">
      <c r="B1266" s="132" t="s">
        <v>2051</v>
      </c>
      <c r="C1266" s="132" t="s">
        <v>1529</v>
      </c>
      <c r="D1266" s="132" t="s">
        <v>1997</v>
      </c>
      <c r="E1266" s="132" t="s">
        <v>320</v>
      </c>
      <c r="F1266" s="133" t="s">
        <v>2053</v>
      </c>
      <c r="G1266" s="134">
        <v>1.82</v>
      </c>
      <c r="H1266" s="135">
        <v>13.45</v>
      </c>
      <c r="I1266" s="136">
        <f t="shared" si="19"/>
        <v>24.478999999999999</v>
      </c>
      <c r="J1266" s="137">
        <v>1</v>
      </c>
    </row>
    <row r="1267" spans="2:10" ht="15" customHeight="1" x14ac:dyDescent="0.3">
      <c r="B1267" s="132" t="s">
        <v>2051</v>
      </c>
      <c r="C1267" s="132" t="s">
        <v>1529</v>
      </c>
      <c r="D1267" s="132" t="s">
        <v>1997</v>
      </c>
      <c r="E1267" s="132" t="s">
        <v>320</v>
      </c>
      <c r="F1267" s="133" t="s">
        <v>2054</v>
      </c>
      <c r="G1267" s="134">
        <v>1.82</v>
      </c>
      <c r="H1267" s="135">
        <v>13.45</v>
      </c>
      <c r="I1267" s="136">
        <f t="shared" si="19"/>
        <v>24.478999999999999</v>
      </c>
      <c r="J1267" s="137">
        <v>1</v>
      </c>
    </row>
    <row r="1268" spans="2:10" ht="15" customHeight="1" x14ac:dyDescent="0.3">
      <c r="B1268" s="132" t="s">
        <v>2051</v>
      </c>
      <c r="C1268" s="132" t="s">
        <v>1529</v>
      </c>
      <c r="D1268" s="132" t="s">
        <v>1997</v>
      </c>
      <c r="E1268" s="132" t="s">
        <v>320</v>
      </c>
      <c r="F1268" s="133" t="s">
        <v>2055</v>
      </c>
      <c r="G1268" s="134">
        <v>2.9</v>
      </c>
      <c r="H1268" s="135">
        <v>13.45</v>
      </c>
      <c r="I1268" s="136">
        <f t="shared" si="19"/>
        <v>39.004999999999995</v>
      </c>
      <c r="J1268" s="137">
        <v>1</v>
      </c>
    </row>
    <row r="1269" spans="2:10" ht="15" customHeight="1" x14ac:dyDescent="0.3">
      <c r="B1269" s="132" t="s">
        <v>2051</v>
      </c>
      <c r="C1269" s="132" t="s">
        <v>1529</v>
      </c>
      <c r="D1269" s="132" t="s">
        <v>1997</v>
      </c>
      <c r="E1269" s="132" t="s">
        <v>320</v>
      </c>
      <c r="F1269" s="133" t="s">
        <v>2056</v>
      </c>
      <c r="G1269" s="134">
        <v>2.9</v>
      </c>
      <c r="H1269" s="135">
        <v>13.45</v>
      </c>
      <c r="I1269" s="136">
        <f t="shared" si="19"/>
        <v>39.004999999999995</v>
      </c>
      <c r="J1269" s="137">
        <v>1</v>
      </c>
    </row>
    <row r="1270" spans="2:10" ht="15" customHeight="1" x14ac:dyDescent="0.3">
      <c r="B1270" s="132" t="s">
        <v>2051</v>
      </c>
      <c r="C1270" s="132" t="s">
        <v>1529</v>
      </c>
      <c r="D1270" s="132" t="s">
        <v>1997</v>
      </c>
      <c r="E1270" s="132" t="s">
        <v>320</v>
      </c>
      <c r="F1270" s="133" t="s">
        <v>2057</v>
      </c>
      <c r="G1270" s="134">
        <v>2.99</v>
      </c>
      <c r="H1270" s="135">
        <v>13.45</v>
      </c>
      <c r="I1270" s="136">
        <f t="shared" si="19"/>
        <v>40.215499999999999</v>
      </c>
      <c r="J1270" s="137">
        <v>1</v>
      </c>
    </row>
    <row r="1271" spans="2:10" ht="15" customHeight="1" x14ac:dyDescent="0.3">
      <c r="B1271" s="132" t="s">
        <v>2058</v>
      </c>
      <c r="C1271" s="132" t="s">
        <v>1529</v>
      </c>
      <c r="D1271" s="132" t="s">
        <v>1997</v>
      </c>
      <c r="E1271" s="132" t="s">
        <v>320</v>
      </c>
      <c r="F1271" s="133" t="s">
        <v>2059</v>
      </c>
      <c r="G1271" s="134">
        <v>1.06</v>
      </c>
      <c r="H1271" s="135">
        <v>13.45</v>
      </c>
      <c r="I1271" s="136">
        <f t="shared" si="19"/>
        <v>14.257</v>
      </c>
      <c r="J1271" s="137">
        <v>1</v>
      </c>
    </row>
    <row r="1272" spans="2:10" ht="15" customHeight="1" x14ac:dyDescent="0.3">
      <c r="B1272" s="132" t="s">
        <v>2058</v>
      </c>
      <c r="C1272" s="132" t="s">
        <v>1529</v>
      </c>
      <c r="D1272" s="132" t="s">
        <v>1997</v>
      </c>
      <c r="E1272" s="132" t="s">
        <v>320</v>
      </c>
      <c r="F1272" s="133" t="s">
        <v>2060</v>
      </c>
      <c r="G1272" s="134">
        <v>7.32</v>
      </c>
      <c r="H1272" s="135">
        <v>13.45</v>
      </c>
      <c r="I1272" s="136">
        <f t="shared" si="19"/>
        <v>98.453999999999994</v>
      </c>
      <c r="J1272" s="137">
        <v>1</v>
      </c>
    </row>
    <row r="1273" spans="2:10" ht="15" customHeight="1" x14ac:dyDescent="0.3">
      <c r="B1273" s="132" t="s">
        <v>2058</v>
      </c>
      <c r="C1273" s="132" t="s">
        <v>1529</v>
      </c>
      <c r="D1273" s="132" t="s">
        <v>1997</v>
      </c>
      <c r="E1273" s="132" t="s">
        <v>320</v>
      </c>
      <c r="F1273" s="133" t="s">
        <v>2061</v>
      </c>
      <c r="G1273" s="134">
        <v>1.61</v>
      </c>
      <c r="H1273" s="135">
        <v>13.45</v>
      </c>
      <c r="I1273" s="136">
        <f t="shared" si="19"/>
        <v>21.654499999999999</v>
      </c>
      <c r="J1273" s="137">
        <v>1</v>
      </c>
    </row>
    <row r="1274" spans="2:10" ht="15" customHeight="1" x14ac:dyDescent="0.3">
      <c r="B1274" s="132" t="s">
        <v>2058</v>
      </c>
      <c r="C1274" s="132" t="s">
        <v>1529</v>
      </c>
      <c r="D1274" s="132" t="s">
        <v>1997</v>
      </c>
      <c r="E1274" s="132" t="s">
        <v>320</v>
      </c>
      <c r="F1274" s="133" t="s">
        <v>2062</v>
      </c>
      <c r="G1274" s="134">
        <v>1.63</v>
      </c>
      <c r="H1274" s="135">
        <v>13.45</v>
      </c>
      <c r="I1274" s="136">
        <f t="shared" si="19"/>
        <v>21.923499999999997</v>
      </c>
      <c r="J1274" s="137">
        <v>1</v>
      </c>
    </row>
    <row r="1275" spans="2:10" ht="15" customHeight="1" x14ac:dyDescent="0.3">
      <c r="B1275" s="132" t="s">
        <v>2063</v>
      </c>
      <c r="C1275" s="132" t="s">
        <v>1529</v>
      </c>
      <c r="D1275" s="132" t="s">
        <v>1997</v>
      </c>
      <c r="E1275" s="132" t="s">
        <v>320</v>
      </c>
      <c r="F1275" s="133" t="s">
        <v>2064</v>
      </c>
      <c r="G1275" s="134">
        <v>9.91</v>
      </c>
      <c r="H1275" s="135">
        <v>13.45</v>
      </c>
      <c r="I1275" s="136">
        <f t="shared" si="19"/>
        <v>133.2895</v>
      </c>
      <c r="J1275" s="137">
        <v>1</v>
      </c>
    </row>
    <row r="1276" spans="2:10" ht="15" customHeight="1" x14ac:dyDescent="0.3">
      <c r="B1276" s="132" t="s">
        <v>2063</v>
      </c>
      <c r="C1276" s="132" t="s">
        <v>1529</v>
      </c>
      <c r="D1276" s="132" t="s">
        <v>1997</v>
      </c>
      <c r="E1276" s="132" t="s">
        <v>320</v>
      </c>
      <c r="F1276" s="133" t="s">
        <v>2065</v>
      </c>
      <c r="G1276" s="134">
        <v>1</v>
      </c>
      <c r="H1276" s="135">
        <v>13.45</v>
      </c>
      <c r="I1276" s="136">
        <f t="shared" si="19"/>
        <v>13.45</v>
      </c>
      <c r="J1276" s="137">
        <v>1</v>
      </c>
    </row>
    <row r="1277" spans="2:10" ht="15" customHeight="1" x14ac:dyDescent="0.3">
      <c r="B1277" s="132" t="s">
        <v>2066</v>
      </c>
      <c r="C1277" s="132" t="s">
        <v>1529</v>
      </c>
      <c r="D1277" s="132" t="s">
        <v>1997</v>
      </c>
      <c r="E1277" s="132" t="s">
        <v>320</v>
      </c>
      <c r="F1277" s="133" t="s">
        <v>2067</v>
      </c>
      <c r="G1277" s="134">
        <v>1.64</v>
      </c>
      <c r="H1277" s="135">
        <v>13.45</v>
      </c>
      <c r="I1277" s="136">
        <f t="shared" si="19"/>
        <v>22.057999999999996</v>
      </c>
      <c r="J1277" s="137">
        <v>1</v>
      </c>
    </row>
    <row r="1278" spans="2:10" ht="15" customHeight="1" x14ac:dyDescent="0.3">
      <c r="B1278" s="132" t="s">
        <v>2066</v>
      </c>
      <c r="C1278" s="132" t="s">
        <v>1529</v>
      </c>
      <c r="D1278" s="132" t="s">
        <v>1997</v>
      </c>
      <c r="E1278" s="132" t="s">
        <v>320</v>
      </c>
      <c r="F1278" s="133" t="s">
        <v>2068</v>
      </c>
      <c r="G1278" s="134">
        <v>1.1499999999999999</v>
      </c>
      <c r="H1278" s="135">
        <v>13.45</v>
      </c>
      <c r="I1278" s="136">
        <f t="shared" si="19"/>
        <v>15.467499999999998</v>
      </c>
      <c r="J1278" s="137">
        <v>1</v>
      </c>
    </row>
    <row r="1279" spans="2:10" ht="15" customHeight="1" x14ac:dyDescent="0.3">
      <c r="B1279" s="132" t="s">
        <v>2069</v>
      </c>
      <c r="C1279" s="132" t="s">
        <v>1529</v>
      </c>
      <c r="D1279" s="132" t="s">
        <v>1997</v>
      </c>
      <c r="E1279" s="132" t="s">
        <v>320</v>
      </c>
      <c r="F1279" s="133" t="s">
        <v>2070</v>
      </c>
      <c r="G1279" s="134">
        <v>2.59</v>
      </c>
      <c r="H1279" s="135">
        <v>13.45</v>
      </c>
      <c r="I1279" s="136">
        <f t="shared" si="19"/>
        <v>34.835499999999996</v>
      </c>
      <c r="J1279" s="137">
        <v>1</v>
      </c>
    </row>
    <row r="1280" spans="2:10" ht="15" customHeight="1" x14ac:dyDescent="0.3">
      <c r="B1280" s="132" t="s">
        <v>2071</v>
      </c>
      <c r="C1280" s="132" t="s">
        <v>1529</v>
      </c>
      <c r="D1280" s="132" t="s">
        <v>1997</v>
      </c>
      <c r="E1280" s="132" t="s">
        <v>320</v>
      </c>
      <c r="F1280" s="133" t="s">
        <v>2072</v>
      </c>
      <c r="G1280" s="134">
        <v>7.49</v>
      </c>
      <c r="H1280" s="135">
        <v>13.45</v>
      </c>
      <c r="I1280" s="136">
        <f t="shared" si="19"/>
        <v>100.7405</v>
      </c>
      <c r="J1280" s="137">
        <v>1</v>
      </c>
    </row>
    <row r="1281" spans="2:10" ht="15" customHeight="1" x14ac:dyDescent="0.3">
      <c r="B1281" s="132" t="s">
        <v>2073</v>
      </c>
      <c r="C1281" s="132" t="s">
        <v>1529</v>
      </c>
      <c r="D1281" s="132" t="s">
        <v>1997</v>
      </c>
      <c r="E1281" s="132" t="s">
        <v>320</v>
      </c>
      <c r="F1281" s="133" t="s">
        <v>2074</v>
      </c>
      <c r="G1281" s="134">
        <v>2.92</v>
      </c>
      <c r="H1281" s="135">
        <v>13.45</v>
      </c>
      <c r="I1281" s="136">
        <f t="shared" si="19"/>
        <v>39.273999999999994</v>
      </c>
      <c r="J1281" s="137">
        <v>1</v>
      </c>
    </row>
    <row r="1282" spans="2:10" ht="15" customHeight="1" x14ac:dyDescent="0.3">
      <c r="B1282" s="132" t="s">
        <v>2073</v>
      </c>
      <c r="C1282" s="132" t="s">
        <v>1529</v>
      </c>
      <c r="D1282" s="132" t="s">
        <v>1997</v>
      </c>
      <c r="E1282" s="132" t="s">
        <v>320</v>
      </c>
      <c r="F1282" s="133" t="s">
        <v>2075</v>
      </c>
      <c r="G1282" s="134">
        <v>2.62</v>
      </c>
      <c r="H1282" s="135">
        <v>13.45</v>
      </c>
      <c r="I1282" s="136">
        <f t="shared" si="19"/>
        <v>35.238999999999997</v>
      </c>
      <c r="J1282" s="137">
        <v>1</v>
      </c>
    </row>
    <row r="1283" spans="2:10" ht="15" customHeight="1" x14ac:dyDescent="0.3">
      <c r="B1283" s="132" t="s">
        <v>2073</v>
      </c>
      <c r="C1283" s="132" t="s">
        <v>1529</v>
      </c>
      <c r="D1283" s="132" t="s">
        <v>1997</v>
      </c>
      <c r="E1283" s="132" t="s">
        <v>320</v>
      </c>
      <c r="F1283" s="133" t="s">
        <v>2076</v>
      </c>
      <c r="G1283" s="134">
        <v>1.3</v>
      </c>
      <c r="H1283" s="135">
        <v>13.45</v>
      </c>
      <c r="I1283" s="136">
        <f t="shared" si="19"/>
        <v>17.484999999999999</v>
      </c>
      <c r="J1283" s="137">
        <v>1</v>
      </c>
    </row>
    <row r="1284" spans="2:10" ht="15" customHeight="1" x14ac:dyDescent="0.3">
      <c r="B1284" s="132" t="s">
        <v>2077</v>
      </c>
      <c r="C1284" s="132" t="s">
        <v>1529</v>
      </c>
      <c r="D1284" s="132" t="s">
        <v>1997</v>
      </c>
      <c r="E1284" s="132" t="s">
        <v>320</v>
      </c>
      <c r="F1284" s="133" t="s">
        <v>2078</v>
      </c>
      <c r="G1284" s="134">
        <v>2.88</v>
      </c>
      <c r="H1284" s="135">
        <v>13.45</v>
      </c>
      <c r="I1284" s="136">
        <f t="shared" si="19"/>
        <v>38.735999999999997</v>
      </c>
      <c r="J1284" s="137">
        <v>1</v>
      </c>
    </row>
    <row r="1285" spans="2:10" ht="15" customHeight="1" x14ac:dyDescent="0.3">
      <c r="B1285" s="132" t="s">
        <v>2077</v>
      </c>
      <c r="C1285" s="132" t="s">
        <v>1529</v>
      </c>
      <c r="D1285" s="132" t="s">
        <v>1997</v>
      </c>
      <c r="E1285" s="132" t="s">
        <v>320</v>
      </c>
      <c r="F1285" s="133" t="s">
        <v>2079</v>
      </c>
      <c r="G1285" s="134">
        <v>2.88</v>
      </c>
      <c r="H1285" s="135">
        <v>13.45</v>
      </c>
      <c r="I1285" s="136">
        <f t="shared" si="19"/>
        <v>38.735999999999997</v>
      </c>
      <c r="J1285" s="137">
        <v>1</v>
      </c>
    </row>
    <row r="1286" spans="2:10" ht="15" customHeight="1" x14ac:dyDescent="0.3">
      <c r="B1286" s="132" t="s">
        <v>2077</v>
      </c>
      <c r="C1286" s="132" t="s">
        <v>1529</v>
      </c>
      <c r="D1286" s="132" t="s">
        <v>1997</v>
      </c>
      <c r="E1286" s="132" t="s">
        <v>320</v>
      </c>
      <c r="F1286" s="133" t="s">
        <v>2080</v>
      </c>
      <c r="G1286" s="134">
        <v>1.92</v>
      </c>
      <c r="H1286" s="135">
        <v>13.45</v>
      </c>
      <c r="I1286" s="136">
        <f t="shared" si="19"/>
        <v>25.823999999999998</v>
      </c>
      <c r="J1286" s="137">
        <v>1</v>
      </c>
    </row>
    <row r="1287" spans="2:10" ht="15" customHeight="1" x14ac:dyDescent="0.3">
      <c r="B1287" s="132" t="s">
        <v>2077</v>
      </c>
      <c r="C1287" s="132" t="s">
        <v>1529</v>
      </c>
      <c r="D1287" s="132" t="s">
        <v>1997</v>
      </c>
      <c r="E1287" s="132" t="s">
        <v>320</v>
      </c>
      <c r="F1287" s="133" t="s">
        <v>2081</v>
      </c>
      <c r="G1287" s="134">
        <v>1.92</v>
      </c>
      <c r="H1287" s="135">
        <v>13.45</v>
      </c>
      <c r="I1287" s="136">
        <f t="shared" si="19"/>
        <v>25.823999999999998</v>
      </c>
      <c r="J1287" s="137">
        <v>1</v>
      </c>
    </row>
    <row r="1288" spans="2:10" ht="15" customHeight="1" x14ac:dyDescent="0.3">
      <c r="B1288" s="132" t="s">
        <v>2077</v>
      </c>
      <c r="C1288" s="132" t="s">
        <v>1529</v>
      </c>
      <c r="D1288" s="132" t="s">
        <v>1997</v>
      </c>
      <c r="E1288" s="132" t="s">
        <v>320</v>
      </c>
      <c r="F1288" s="133" t="s">
        <v>2082</v>
      </c>
      <c r="G1288" s="134">
        <v>2.4</v>
      </c>
      <c r="H1288" s="135">
        <v>13.45</v>
      </c>
      <c r="I1288" s="136">
        <f t="shared" ref="I1288:I1351" si="20">G1288*H1288</f>
        <v>32.279999999999994</v>
      </c>
      <c r="J1288" s="137">
        <v>1</v>
      </c>
    </row>
    <row r="1289" spans="2:10" ht="15" customHeight="1" x14ac:dyDescent="0.3">
      <c r="B1289" s="132" t="s">
        <v>2077</v>
      </c>
      <c r="C1289" s="132" t="s">
        <v>1529</v>
      </c>
      <c r="D1289" s="132" t="s">
        <v>1997</v>
      </c>
      <c r="E1289" s="132" t="s">
        <v>320</v>
      </c>
      <c r="F1289" s="133" t="s">
        <v>2083</v>
      </c>
      <c r="G1289" s="134">
        <v>2.4</v>
      </c>
      <c r="H1289" s="135">
        <v>13.45</v>
      </c>
      <c r="I1289" s="136">
        <f t="shared" si="20"/>
        <v>32.279999999999994</v>
      </c>
      <c r="J1289" s="137">
        <v>1</v>
      </c>
    </row>
    <row r="1290" spans="2:10" ht="15" customHeight="1" x14ac:dyDescent="0.3">
      <c r="B1290" s="132" t="s">
        <v>2084</v>
      </c>
      <c r="C1290" s="132" t="s">
        <v>1529</v>
      </c>
      <c r="D1290" s="132" t="s">
        <v>1997</v>
      </c>
      <c r="E1290" s="132" t="s">
        <v>320</v>
      </c>
      <c r="F1290" s="133" t="s">
        <v>2085</v>
      </c>
      <c r="G1290" s="134">
        <v>2.2400000000000002</v>
      </c>
      <c r="H1290" s="135">
        <v>13.45</v>
      </c>
      <c r="I1290" s="136">
        <f t="shared" si="20"/>
        <v>30.128</v>
      </c>
      <c r="J1290" s="137">
        <v>1</v>
      </c>
    </row>
    <row r="1291" spans="2:10" ht="15" customHeight="1" x14ac:dyDescent="0.3">
      <c r="B1291" s="132" t="s">
        <v>2086</v>
      </c>
      <c r="C1291" s="132" t="s">
        <v>1529</v>
      </c>
      <c r="D1291" s="132" t="s">
        <v>1997</v>
      </c>
      <c r="E1291" s="132" t="s">
        <v>320</v>
      </c>
      <c r="F1291" s="133" t="s">
        <v>2087</v>
      </c>
      <c r="G1291" s="134">
        <v>2.88</v>
      </c>
      <c r="H1291" s="135">
        <v>13.45</v>
      </c>
      <c r="I1291" s="136">
        <f t="shared" si="20"/>
        <v>38.735999999999997</v>
      </c>
      <c r="J1291" s="137">
        <v>1</v>
      </c>
    </row>
    <row r="1292" spans="2:10" ht="15" customHeight="1" x14ac:dyDescent="0.3">
      <c r="B1292" s="132" t="s">
        <v>2086</v>
      </c>
      <c r="C1292" s="132" t="s">
        <v>1529</v>
      </c>
      <c r="D1292" s="132" t="s">
        <v>1997</v>
      </c>
      <c r="E1292" s="132" t="s">
        <v>320</v>
      </c>
      <c r="F1292" s="133" t="s">
        <v>2088</v>
      </c>
      <c r="G1292" s="134">
        <v>2.88</v>
      </c>
      <c r="H1292" s="135">
        <v>13.45</v>
      </c>
      <c r="I1292" s="136">
        <f t="shared" si="20"/>
        <v>38.735999999999997</v>
      </c>
      <c r="J1292" s="137">
        <v>1</v>
      </c>
    </row>
    <row r="1293" spans="2:10" ht="15" customHeight="1" x14ac:dyDescent="0.3">
      <c r="B1293" s="132" t="s">
        <v>2086</v>
      </c>
      <c r="C1293" s="132" t="s">
        <v>1529</v>
      </c>
      <c r="D1293" s="132" t="s">
        <v>1997</v>
      </c>
      <c r="E1293" s="132" t="s">
        <v>320</v>
      </c>
      <c r="F1293" s="133" t="s">
        <v>2089</v>
      </c>
      <c r="G1293" s="134">
        <v>1.93</v>
      </c>
      <c r="H1293" s="135">
        <v>13.45</v>
      </c>
      <c r="I1293" s="136">
        <f t="shared" si="20"/>
        <v>25.958499999999997</v>
      </c>
      <c r="J1293" s="137">
        <v>1</v>
      </c>
    </row>
    <row r="1294" spans="2:10" ht="15" customHeight="1" x14ac:dyDescent="0.3">
      <c r="B1294" s="132" t="s">
        <v>2086</v>
      </c>
      <c r="C1294" s="132" t="s">
        <v>1529</v>
      </c>
      <c r="D1294" s="132" t="s">
        <v>1997</v>
      </c>
      <c r="E1294" s="132" t="s">
        <v>320</v>
      </c>
      <c r="F1294" s="133" t="s">
        <v>2090</v>
      </c>
      <c r="G1294" s="134">
        <v>1.91</v>
      </c>
      <c r="H1294" s="135">
        <v>13.45</v>
      </c>
      <c r="I1294" s="136">
        <f t="shared" si="20"/>
        <v>25.689499999999999</v>
      </c>
      <c r="J1294" s="137">
        <v>1</v>
      </c>
    </row>
    <row r="1295" spans="2:10" ht="15" customHeight="1" x14ac:dyDescent="0.3">
      <c r="B1295" s="132" t="s">
        <v>2086</v>
      </c>
      <c r="C1295" s="132" t="s">
        <v>1529</v>
      </c>
      <c r="D1295" s="132" t="s">
        <v>1997</v>
      </c>
      <c r="E1295" s="132" t="s">
        <v>320</v>
      </c>
      <c r="F1295" s="133" t="s">
        <v>2091</v>
      </c>
      <c r="G1295" s="134">
        <v>4.6100000000000003</v>
      </c>
      <c r="H1295" s="135">
        <v>13.45</v>
      </c>
      <c r="I1295" s="136">
        <f t="shared" si="20"/>
        <v>62.0045</v>
      </c>
      <c r="J1295" s="137">
        <v>1</v>
      </c>
    </row>
    <row r="1296" spans="2:10" ht="15" customHeight="1" x14ac:dyDescent="0.3">
      <c r="B1296" s="132" t="s">
        <v>2086</v>
      </c>
      <c r="C1296" s="132" t="s">
        <v>1529</v>
      </c>
      <c r="D1296" s="132" t="s">
        <v>1997</v>
      </c>
      <c r="E1296" s="132" t="s">
        <v>320</v>
      </c>
      <c r="F1296" s="133" t="s">
        <v>2092</v>
      </c>
      <c r="G1296" s="134">
        <v>4.82</v>
      </c>
      <c r="H1296" s="135">
        <v>13.45</v>
      </c>
      <c r="I1296" s="136">
        <f t="shared" si="20"/>
        <v>64.828999999999994</v>
      </c>
      <c r="J1296" s="137">
        <v>1</v>
      </c>
    </row>
    <row r="1297" spans="2:10" ht="15" customHeight="1" x14ac:dyDescent="0.3">
      <c r="B1297" s="132" t="s">
        <v>2093</v>
      </c>
      <c r="C1297" s="132" t="s">
        <v>1529</v>
      </c>
      <c r="D1297" s="132" t="s">
        <v>1997</v>
      </c>
      <c r="E1297" s="132" t="s">
        <v>320</v>
      </c>
      <c r="F1297" s="133" t="s">
        <v>2094</v>
      </c>
      <c r="G1297" s="134">
        <v>1.3</v>
      </c>
      <c r="H1297" s="135">
        <v>13.45</v>
      </c>
      <c r="I1297" s="136">
        <f t="shared" si="20"/>
        <v>17.484999999999999</v>
      </c>
      <c r="J1297" s="137">
        <v>1</v>
      </c>
    </row>
    <row r="1298" spans="2:10" ht="15" customHeight="1" x14ac:dyDescent="0.3">
      <c r="B1298" s="132" t="s">
        <v>2095</v>
      </c>
      <c r="C1298" s="132" t="s">
        <v>1529</v>
      </c>
      <c r="D1298" s="132" t="s">
        <v>1997</v>
      </c>
      <c r="E1298" s="132" t="s">
        <v>320</v>
      </c>
      <c r="F1298" s="133" t="s">
        <v>2096</v>
      </c>
      <c r="G1298" s="134">
        <v>2.58</v>
      </c>
      <c r="H1298" s="135">
        <v>13.45</v>
      </c>
      <c r="I1298" s="136">
        <f t="shared" si="20"/>
        <v>34.701000000000001</v>
      </c>
      <c r="J1298" s="137">
        <v>1</v>
      </c>
    </row>
    <row r="1299" spans="2:10" ht="15" customHeight="1" x14ac:dyDescent="0.3">
      <c r="B1299" s="132" t="s">
        <v>2095</v>
      </c>
      <c r="C1299" s="132" t="s">
        <v>1529</v>
      </c>
      <c r="D1299" s="132" t="s">
        <v>1997</v>
      </c>
      <c r="E1299" s="132" t="s">
        <v>320</v>
      </c>
      <c r="F1299" s="133" t="s">
        <v>2097</v>
      </c>
      <c r="G1299" s="134">
        <v>2.6</v>
      </c>
      <c r="H1299" s="135">
        <v>13.45</v>
      </c>
      <c r="I1299" s="136">
        <f t="shared" si="20"/>
        <v>34.97</v>
      </c>
      <c r="J1299" s="137">
        <v>1</v>
      </c>
    </row>
    <row r="1300" spans="2:10" ht="15" customHeight="1" x14ac:dyDescent="0.3">
      <c r="B1300" s="132" t="s">
        <v>2095</v>
      </c>
      <c r="C1300" s="132" t="s">
        <v>1529</v>
      </c>
      <c r="D1300" s="132" t="s">
        <v>1997</v>
      </c>
      <c r="E1300" s="132" t="s">
        <v>320</v>
      </c>
      <c r="F1300" s="133" t="s">
        <v>2098</v>
      </c>
      <c r="G1300" s="134">
        <v>2.91</v>
      </c>
      <c r="H1300" s="135">
        <v>13.45</v>
      </c>
      <c r="I1300" s="136">
        <f t="shared" si="20"/>
        <v>39.139499999999998</v>
      </c>
      <c r="J1300" s="137">
        <v>1</v>
      </c>
    </row>
    <row r="1301" spans="2:10" ht="15" customHeight="1" x14ac:dyDescent="0.3">
      <c r="B1301" s="132" t="s">
        <v>2095</v>
      </c>
      <c r="C1301" s="132" t="s">
        <v>1529</v>
      </c>
      <c r="D1301" s="132" t="s">
        <v>1997</v>
      </c>
      <c r="E1301" s="132" t="s">
        <v>320</v>
      </c>
      <c r="F1301" s="133" t="s">
        <v>2099</v>
      </c>
      <c r="G1301" s="134">
        <v>2.82</v>
      </c>
      <c r="H1301" s="135">
        <v>13.45</v>
      </c>
      <c r="I1301" s="136">
        <f t="shared" si="20"/>
        <v>37.928999999999995</v>
      </c>
      <c r="J1301" s="137">
        <v>1</v>
      </c>
    </row>
    <row r="1302" spans="2:10" ht="15" customHeight="1" x14ac:dyDescent="0.3">
      <c r="B1302" s="132" t="s">
        <v>2095</v>
      </c>
      <c r="C1302" s="132" t="s">
        <v>1529</v>
      </c>
      <c r="D1302" s="132" t="s">
        <v>1997</v>
      </c>
      <c r="E1302" s="132" t="s">
        <v>320</v>
      </c>
      <c r="F1302" s="133" t="s">
        <v>2100</v>
      </c>
      <c r="G1302" s="134">
        <v>9.77</v>
      </c>
      <c r="H1302" s="135">
        <v>13.45</v>
      </c>
      <c r="I1302" s="136">
        <f t="shared" si="20"/>
        <v>131.40649999999999</v>
      </c>
      <c r="J1302" s="137">
        <v>1</v>
      </c>
    </row>
    <row r="1303" spans="2:10" ht="15" customHeight="1" x14ac:dyDescent="0.3">
      <c r="B1303" s="132" t="s">
        <v>2095</v>
      </c>
      <c r="C1303" s="132" t="s">
        <v>1529</v>
      </c>
      <c r="D1303" s="132" t="s">
        <v>1997</v>
      </c>
      <c r="E1303" s="132" t="s">
        <v>320</v>
      </c>
      <c r="F1303" s="133" t="s">
        <v>2101</v>
      </c>
      <c r="G1303" s="134">
        <v>1.98</v>
      </c>
      <c r="H1303" s="135">
        <v>13.45</v>
      </c>
      <c r="I1303" s="136">
        <f t="shared" si="20"/>
        <v>26.630999999999997</v>
      </c>
      <c r="J1303" s="137">
        <v>1</v>
      </c>
    </row>
    <row r="1304" spans="2:10" ht="15" customHeight="1" x14ac:dyDescent="0.3">
      <c r="B1304" s="132" t="s">
        <v>2095</v>
      </c>
      <c r="C1304" s="132" t="s">
        <v>1529</v>
      </c>
      <c r="D1304" s="132" t="s">
        <v>1997</v>
      </c>
      <c r="E1304" s="132" t="s">
        <v>320</v>
      </c>
      <c r="F1304" s="133" t="s">
        <v>2102</v>
      </c>
      <c r="G1304" s="134">
        <v>3.08</v>
      </c>
      <c r="H1304" s="135">
        <v>13.45</v>
      </c>
      <c r="I1304" s="136">
        <f t="shared" si="20"/>
        <v>41.426000000000002</v>
      </c>
      <c r="J1304" s="137">
        <v>1</v>
      </c>
    </row>
    <row r="1305" spans="2:10" ht="15" customHeight="1" x14ac:dyDescent="0.3">
      <c r="B1305" s="132" t="s">
        <v>2095</v>
      </c>
      <c r="C1305" s="132" t="s">
        <v>1529</v>
      </c>
      <c r="D1305" s="132" t="s">
        <v>1997</v>
      </c>
      <c r="E1305" s="132" t="s">
        <v>320</v>
      </c>
      <c r="F1305" s="133" t="s">
        <v>2103</v>
      </c>
      <c r="G1305" s="134">
        <v>2.92</v>
      </c>
      <c r="H1305" s="135">
        <v>13.45</v>
      </c>
      <c r="I1305" s="136">
        <f t="shared" si="20"/>
        <v>39.273999999999994</v>
      </c>
      <c r="J1305" s="137">
        <v>1</v>
      </c>
    </row>
    <row r="1306" spans="2:10" ht="15" customHeight="1" x14ac:dyDescent="0.3">
      <c r="B1306" s="132" t="s">
        <v>2095</v>
      </c>
      <c r="C1306" s="132" t="s">
        <v>1529</v>
      </c>
      <c r="D1306" s="132" t="s">
        <v>1997</v>
      </c>
      <c r="E1306" s="132" t="s">
        <v>320</v>
      </c>
      <c r="F1306" s="133" t="s">
        <v>2104</v>
      </c>
      <c r="G1306" s="134">
        <v>2.2799999999999998</v>
      </c>
      <c r="H1306" s="135">
        <v>13.45</v>
      </c>
      <c r="I1306" s="136">
        <f t="shared" si="20"/>
        <v>30.665999999999997</v>
      </c>
      <c r="J1306" s="137">
        <v>1</v>
      </c>
    </row>
    <row r="1307" spans="2:10" ht="15" customHeight="1" x14ac:dyDescent="0.3">
      <c r="B1307" s="132" t="s">
        <v>2095</v>
      </c>
      <c r="C1307" s="132" t="s">
        <v>1529</v>
      </c>
      <c r="D1307" s="132" t="s">
        <v>1997</v>
      </c>
      <c r="E1307" s="132" t="s">
        <v>320</v>
      </c>
      <c r="F1307" s="133" t="s">
        <v>2105</v>
      </c>
      <c r="G1307" s="134">
        <v>2.63</v>
      </c>
      <c r="H1307" s="135">
        <v>13.45</v>
      </c>
      <c r="I1307" s="136">
        <f t="shared" si="20"/>
        <v>35.3735</v>
      </c>
      <c r="J1307" s="137">
        <v>1</v>
      </c>
    </row>
    <row r="1308" spans="2:10" ht="15" customHeight="1" x14ac:dyDescent="0.3">
      <c r="B1308" s="132" t="s">
        <v>2106</v>
      </c>
      <c r="C1308" s="132" t="s">
        <v>1529</v>
      </c>
      <c r="D1308" s="132" t="s">
        <v>1997</v>
      </c>
      <c r="E1308" s="132" t="s">
        <v>320</v>
      </c>
      <c r="F1308" s="133" t="s">
        <v>2107</v>
      </c>
      <c r="G1308" s="134">
        <v>4.41</v>
      </c>
      <c r="H1308" s="135">
        <v>13.45</v>
      </c>
      <c r="I1308" s="136">
        <f t="shared" si="20"/>
        <v>59.314499999999995</v>
      </c>
      <c r="J1308" s="137">
        <v>1</v>
      </c>
    </row>
    <row r="1309" spans="2:10" ht="15" customHeight="1" x14ac:dyDescent="0.3">
      <c r="B1309" s="132" t="s">
        <v>2106</v>
      </c>
      <c r="C1309" s="132" t="s">
        <v>1529</v>
      </c>
      <c r="D1309" s="132" t="s">
        <v>1997</v>
      </c>
      <c r="E1309" s="132" t="s">
        <v>320</v>
      </c>
      <c r="F1309" s="133" t="s">
        <v>2108</v>
      </c>
      <c r="G1309" s="134">
        <v>4.91</v>
      </c>
      <c r="H1309" s="135">
        <v>13.45</v>
      </c>
      <c r="I1309" s="136">
        <f t="shared" si="20"/>
        <v>66.039500000000004</v>
      </c>
      <c r="J1309" s="137">
        <v>1</v>
      </c>
    </row>
    <row r="1310" spans="2:10" ht="15" customHeight="1" x14ac:dyDescent="0.3">
      <c r="B1310" s="132" t="s">
        <v>2106</v>
      </c>
      <c r="C1310" s="132" t="s">
        <v>1529</v>
      </c>
      <c r="D1310" s="132" t="s">
        <v>1997</v>
      </c>
      <c r="E1310" s="132" t="s">
        <v>320</v>
      </c>
      <c r="F1310" s="133" t="s">
        <v>2109</v>
      </c>
      <c r="G1310" s="134">
        <v>4.7300000000000004</v>
      </c>
      <c r="H1310" s="135">
        <v>13.45</v>
      </c>
      <c r="I1310" s="136">
        <f t="shared" si="20"/>
        <v>63.618500000000004</v>
      </c>
      <c r="J1310" s="137">
        <v>1</v>
      </c>
    </row>
    <row r="1311" spans="2:10" ht="15" customHeight="1" x14ac:dyDescent="0.3">
      <c r="B1311" s="132" t="s">
        <v>2106</v>
      </c>
      <c r="C1311" s="132" t="s">
        <v>1529</v>
      </c>
      <c r="D1311" s="132" t="s">
        <v>1997</v>
      </c>
      <c r="E1311" s="132" t="s">
        <v>320</v>
      </c>
      <c r="F1311" s="133" t="s">
        <v>2110</v>
      </c>
      <c r="G1311" s="134">
        <v>4.6900000000000004</v>
      </c>
      <c r="H1311" s="135">
        <v>13.45</v>
      </c>
      <c r="I1311" s="136">
        <f t="shared" si="20"/>
        <v>63.080500000000001</v>
      </c>
      <c r="J1311" s="137">
        <v>1</v>
      </c>
    </row>
    <row r="1312" spans="2:10" ht="15" customHeight="1" x14ac:dyDescent="0.3">
      <c r="B1312" s="132" t="s">
        <v>2106</v>
      </c>
      <c r="C1312" s="132" t="s">
        <v>1529</v>
      </c>
      <c r="D1312" s="132" t="s">
        <v>1997</v>
      </c>
      <c r="E1312" s="132" t="s">
        <v>320</v>
      </c>
      <c r="F1312" s="133" t="s">
        <v>2111</v>
      </c>
      <c r="G1312" s="134">
        <v>1.59</v>
      </c>
      <c r="H1312" s="135">
        <v>13.45</v>
      </c>
      <c r="I1312" s="136">
        <f t="shared" si="20"/>
        <v>21.3855</v>
      </c>
      <c r="J1312" s="137">
        <v>1</v>
      </c>
    </row>
    <row r="1313" spans="2:10" ht="15" customHeight="1" x14ac:dyDescent="0.3">
      <c r="B1313" s="132" t="s">
        <v>2106</v>
      </c>
      <c r="C1313" s="132" t="s">
        <v>1529</v>
      </c>
      <c r="D1313" s="132" t="s">
        <v>1997</v>
      </c>
      <c r="E1313" s="132" t="s">
        <v>320</v>
      </c>
      <c r="F1313" s="133" t="s">
        <v>2112</v>
      </c>
      <c r="G1313" s="134">
        <v>1.62</v>
      </c>
      <c r="H1313" s="135">
        <v>13.45</v>
      </c>
      <c r="I1313" s="136">
        <f t="shared" si="20"/>
        <v>21.789000000000001</v>
      </c>
      <c r="J1313" s="137">
        <v>1</v>
      </c>
    </row>
    <row r="1314" spans="2:10" ht="15" customHeight="1" x14ac:dyDescent="0.3">
      <c r="B1314" s="132" t="s">
        <v>2106</v>
      </c>
      <c r="C1314" s="132" t="s">
        <v>1529</v>
      </c>
      <c r="D1314" s="132" t="s">
        <v>1997</v>
      </c>
      <c r="E1314" s="132" t="s">
        <v>320</v>
      </c>
      <c r="F1314" s="133" t="s">
        <v>2113</v>
      </c>
      <c r="G1314" s="134">
        <v>1.6</v>
      </c>
      <c r="H1314" s="135">
        <v>13.45</v>
      </c>
      <c r="I1314" s="136">
        <f t="shared" si="20"/>
        <v>21.52</v>
      </c>
      <c r="J1314" s="137">
        <v>1</v>
      </c>
    </row>
    <row r="1315" spans="2:10" ht="15" customHeight="1" x14ac:dyDescent="0.3">
      <c r="B1315" s="132" t="s">
        <v>2106</v>
      </c>
      <c r="C1315" s="132" t="s">
        <v>1529</v>
      </c>
      <c r="D1315" s="132" t="s">
        <v>1997</v>
      </c>
      <c r="E1315" s="132" t="s">
        <v>320</v>
      </c>
      <c r="F1315" s="133" t="s">
        <v>2114</v>
      </c>
      <c r="G1315" s="134">
        <v>1.63</v>
      </c>
      <c r="H1315" s="135">
        <v>13.45</v>
      </c>
      <c r="I1315" s="136">
        <f t="shared" si="20"/>
        <v>21.923499999999997</v>
      </c>
      <c r="J1315" s="137">
        <v>1</v>
      </c>
    </row>
    <row r="1316" spans="2:10" ht="15" customHeight="1" x14ac:dyDescent="0.3">
      <c r="B1316" s="132" t="s">
        <v>2115</v>
      </c>
      <c r="C1316" s="132" t="s">
        <v>1529</v>
      </c>
      <c r="D1316" s="132" t="s">
        <v>1997</v>
      </c>
      <c r="E1316" s="132" t="s">
        <v>320</v>
      </c>
      <c r="F1316" s="133" t="s">
        <v>2116</v>
      </c>
      <c r="G1316" s="134">
        <v>2.2999999999999998</v>
      </c>
      <c r="H1316" s="135">
        <v>13.45</v>
      </c>
      <c r="I1316" s="136">
        <f t="shared" si="20"/>
        <v>30.934999999999995</v>
      </c>
      <c r="J1316" s="137">
        <v>1</v>
      </c>
    </row>
    <row r="1317" spans="2:10" ht="15" customHeight="1" x14ac:dyDescent="0.3">
      <c r="B1317" s="132" t="s">
        <v>2117</v>
      </c>
      <c r="C1317" s="132" t="s">
        <v>1529</v>
      </c>
      <c r="D1317" s="132" t="s">
        <v>1997</v>
      </c>
      <c r="E1317" s="132" t="s">
        <v>320</v>
      </c>
      <c r="F1317" s="133" t="s">
        <v>2118</v>
      </c>
      <c r="G1317" s="134">
        <v>4.16</v>
      </c>
      <c r="H1317" s="135">
        <v>13.45</v>
      </c>
      <c r="I1317" s="136">
        <f t="shared" si="20"/>
        <v>55.951999999999998</v>
      </c>
      <c r="J1317" s="137">
        <v>1</v>
      </c>
    </row>
    <row r="1318" spans="2:10" ht="15" customHeight="1" x14ac:dyDescent="0.3">
      <c r="B1318" s="132" t="s">
        <v>2117</v>
      </c>
      <c r="C1318" s="132" t="s">
        <v>1529</v>
      </c>
      <c r="D1318" s="132" t="s">
        <v>1997</v>
      </c>
      <c r="E1318" s="132" t="s">
        <v>320</v>
      </c>
      <c r="F1318" s="133" t="s">
        <v>2119</v>
      </c>
      <c r="G1318" s="134">
        <v>4.2</v>
      </c>
      <c r="H1318" s="135">
        <v>13.45</v>
      </c>
      <c r="I1318" s="136">
        <f t="shared" si="20"/>
        <v>56.49</v>
      </c>
      <c r="J1318" s="137">
        <v>1</v>
      </c>
    </row>
    <row r="1319" spans="2:10" ht="15" customHeight="1" x14ac:dyDescent="0.3">
      <c r="B1319" s="132" t="s">
        <v>2120</v>
      </c>
      <c r="C1319" s="132" t="s">
        <v>1529</v>
      </c>
      <c r="D1319" s="132" t="s">
        <v>1997</v>
      </c>
      <c r="E1319" s="132" t="s">
        <v>320</v>
      </c>
      <c r="F1319" s="133" t="s">
        <v>2121</v>
      </c>
      <c r="G1319" s="134">
        <v>5.99</v>
      </c>
      <c r="H1319" s="135">
        <v>13.45</v>
      </c>
      <c r="I1319" s="136">
        <f t="shared" si="20"/>
        <v>80.5655</v>
      </c>
      <c r="J1319" s="137">
        <v>1</v>
      </c>
    </row>
    <row r="1320" spans="2:10" ht="15" customHeight="1" x14ac:dyDescent="0.3">
      <c r="B1320" s="132" t="s">
        <v>2122</v>
      </c>
      <c r="C1320" s="132" t="s">
        <v>1529</v>
      </c>
      <c r="D1320" s="132" t="s">
        <v>1997</v>
      </c>
      <c r="E1320" s="132" t="s">
        <v>320</v>
      </c>
      <c r="F1320" s="133" t="s">
        <v>2123</v>
      </c>
      <c r="G1320" s="134">
        <v>3.31</v>
      </c>
      <c r="H1320" s="135">
        <v>13.45</v>
      </c>
      <c r="I1320" s="136">
        <f t="shared" si="20"/>
        <v>44.519500000000001</v>
      </c>
      <c r="J1320" s="137">
        <v>1</v>
      </c>
    </row>
    <row r="1321" spans="2:10" ht="15" customHeight="1" x14ac:dyDescent="0.3">
      <c r="B1321" s="132" t="s">
        <v>2122</v>
      </c>
      <c r="C1321" s="132" t="s">
        <v>1529</v>
      </c>
      <c r="D1321" s="132" t="s">
        <v>1997</v>
      </c>
      <c r="E1321" s="132" t="s">
        <v>320</v>
      </c>
      <c r="F1321" s="133" t="s">
        <v>2124</v>
      </c>
      <c r="G1321" s="134">
        <v>3.28</v>
      </c>
      <c r="H1321" s="135">
        <v>13.45</v>
      </c>
      <c r="I1321" s="136">
        <f t="shared" si="20"/>
        <v>44.115999999999993</v>
      </c>
      <c r="J1321" s="137">
        <v>1</v>
      </c>
    </row>
    <row r="1322" spans="2:10" ht="15" customHeight="1" x14ac:dyDescent="0.3">
      <c r="B1322" s="132" t="s">
        <v>2125</v>
      </c>
      <c r="C1322" s="132" t="s">
        <v>1529</v>
      </c>
      <c r="D1322" s="132" t="s">
        <v>1997</v>
      </c>
      <c r="E1322" s="132" t="s">
        <v>320</v>
      </c>
      <c r="F1322" s="133" t="s">
        <v>2126</v>
      </c>
      <c r="G1322" s="134">
        <v>1.32</v>
      </c>
      <c r="H1322" s="135">
        <v>13.45</v>
      </c>
      <c r="I1322" s="136">
        <f t="shared" si="20"/>
        <v>17.754000000000001</v>
      </c>
      <c r="J1322" s="137">
        <v>1</v>
      </c>
    </row>
    <row r="1323" spans="2:10" ht="15" customHeight="1" x14ac:dyDescent="0.3">
      <c r="B1323" s="132" t="s">
        <v>2127</v>
      </c>
      <c r="C1323" s="132" t="s">
        <v>1529</v>
      </c>
      <c r="D1323" s="132" t="s">
        <v>1997</v>
      </c>
      <c r="E1323" s="132" t="s">
        <v>320</v>
      </c>
      <c r="F1323" s="133" t="s">
        <v>2128</v>
      </c>
      <c r="G1323" s="134">
        <v>1.98</v>
      </c>
      <c r="H1323" s="135">
        <v>13.45</v>
      </c>
      <c r="I1323" s="136">
        <f t="shared" si="20"/>
        <v>26.630999999999997</v>
      </c>
      <c r="J1323" s="137">
        <v>1</v>
      </c>
    </row>
    <row r="1324" spans="2:10" ht="15" customHeight="1" x14ac:dyDescent="0.3">
      <c r="B1324" s="132" t="s">
        <v>2127</v>
      </c>
      <c r="C1324" s="132" t="s">
        <v>1529</v>
      </c>
      <c r="D1324" s="132" t="s">
        <v>1997</v>
      </c>
      <c r="E1324" s="132" t="s">
        <v>320</v>
      </c>
      <c r="F1324" s="133" t="s">
        <v>2129</v>
      </c>
      <c r="G1324" s="134">
        <v>2.0099999999999998</v>
      </c>
      <c r="H1324" s="135">
        <v>13.45</v>
      </c>
      <c r="I1324" s="136">
        <f t="shared" si="20"/>
        <v>27.034499999999994</v>
      </c>
      <c r="J1324" s="137">
        <v>1</v>
      </c>
    </row>
    <row r="1325" spans="2:10" ht="15" customHeight="1" x14ac:dyDescent="0.3">
      <c r="B1325" s="132" t="s">
        <v>2127</v>
      </c>
      <c r="C1325" s="132" t="s">
        <v>1529</v>
      </c>
      <c r="D1325" s="132" t="s">
        <v>1997</v>
      </c>
      <c r="E1325" s="132" t="s">
        <v>320</v>
      </c>
      <c r="F1325" s="133" t="s">
        <v>2130</v>
      </c>
      <c r="G1325" s="134">
        <v>2</v>
      </c>
      <c r="H1325" s="135">
        <v>13.45</v>
      </c>
      <c r="I1325" s="136">
        <f t="shared" si="20"/>
        <v>26.9</v>
      </c>
      <c r="J1325" s="137">
        <v>1</v>
      </c>
    </row>
    <row r="1326" spans="2:10" ht="15" customHeight="1" x14ac:dyDescent="0.3">
      <c r="B1326" s="132" t="s">
        <v>2127</v>
      </c>
      <c r="C1326" s="132" t="s">
        <v>1529</v>
      </c>
      <c r="D1326" s="132" t="s">
        <v>1997</v>
      </c>
      <c r="E1326" s="132" t="s">
        <v>320</v>
      </c>
      <c r="F1326" s="133" t="s">
        <v>2131</v>
      </c>
      <c r="G1326" s="134">
        <v>1.64</v>
      </c>
      <c r="H1326" s="135">
        <v>13.45</v>
      </c>
      <c r="I1326" s="136">
        <f t="shared" si="20"/>
        <v>22.057999999999996</v>
      </c>
      <c r="J1326" s="137">
        <v>1</v>
      </c>
    </row>
    <row r="1327" spans="2:10" ht="15" customHeight="1" x14ac:dyDescent="0.3">
      <c r="B1327" s="132" t="s">
        <v>2132</v>
      </c>
      <c r="C1327" s="132" t="s">
        <v>1529</v>
      </c>
      <c r="D1327" s="132" t="s">
        <v>1997</v>
      </c>
      <c r="E1327" s="132" t="s">
        <v>320</v>
      </c>
      <c r="F1327" s="133" t="s">
        <v>2133</v>
      </c>
      <c r="G1327" s="134">
        <v>9.39</v>
      </c>
      <c r="H1327" s="135">
        <v>13.45</v>
      </c>
      <c r="I1327" s="136">
        <f t="shared" si="20"/>
        <v>126.2955</v>
      </c>
      <c r="J1327" s="137">
        <v>1</v>
      </c>
    </row>
    <row r="1328" spans="2:10" ht="15" customHeight="1" x14ac:dyDescent="0.3">
      <c r="B1328" s="132" t="s">
        <v>2134</v>
      </c>
      <c r="C1328" s="132" t="s">
        <v>1529</v>
      </c>
      <c r="D1328" s="132" t="s">
        <v>1997</v>
      </c>
      <c r="E1328" s="132" t="s">
        <v>320</v>
      </c>
      <c r="F1328" s="133" t="s">
        <v>2135</v>
      </c>
      <c r="G1328" s="134">
        <v>2.2400000000000002</v>
      </c>
      <c r="H1328" s="135">
        <v>13.45</v>
      </c>
      <c r="I1328" s="136">
        <f t="shared" si="20"/>
        <v>30.128</v>
      </c>
      <c r="J1328" s="137">
        <v>1</v>
      </c>
    </row>
    <row r="1329" spans="2:10" ht="15" customHeight="1" x14ac:dyDescent="0.3">
      <c r="B1329" s="132" t="s">
        <v>2136</v>
      </c>
      <c r="C1329" s="132" t="s">
        <v>1529</v>
      </c>
      <c r="D1329" s="132" t="s">
        <v>1997</v>
      </c>
      <c r="E1329" s="132" t="s">
        <v>320</v>
      </c>
      <c r="F1329" s="133" t="s">
        <v>2137</v>
      </c>
      <c r="G1329" s="134">
        <v>2.62</v>
      </c>
      <c r="H1329" s="135">
        <v>13.45</v>
      </c>
      <c r="I1329" s="136">
        <f t="shared" si="20"/>
        <v>35.238999999999997</v>
      </c>
      <c r="J1329" s="137">
        <v>1</v>
      </c>
    </row>
    <row r="1330" spans="2:10" ht="15" customHeight="1" x14ac:dyDescent="0.3">
      <c r="B1330" s="132" t="s">
        <v>2136</v>
      </c>
      <c r="C1330" s="132" t="s">
        <v>1529</v>
      </c>
      <c r="D1330" s="132" t="s">
        <v>1997</v>
      </c>
      <c r="E1330" s="132" t="s">
        <v>320</v>
      </c>
      <c r="F1330" s="133" t="s">
        <v>2138</v>
      </c>
      <c r="G1330" s="134">
        <v>8.5399999999999991</v>
      </c>
      <c r="H1330" s="135">
        <v>13.45</v>
      </c>
      <c r="I1330" s="136">
        <f t="shared" si="20"/>
        <v>114.86299999999999</v>
      </c>
      <c r="J1330" s="137">
        <v>1</v>
      </c>
    </row>
    <row r="1331" spans="2:10" ht="15" customHeight="1" x14ac:dyDescent="0.3">
      <c r="B1331" s="132" t="s">
        <v>2139</v>
      </c>
      <c r="C1331" s="132" t="s">
        <v>1529</v>
      </c>
      <c r="D1331" s="132" t="s">
        <v>1997</v>
      </c>
      <c r="E1331" s="132" t="s">
        <v>320</v>
      </c>
      <c r="F1331" s="133" t="s">
        <v>2140</v>
      </c>
      <c r="G1331" s="134">
        <v>1.32</v>
      </c>
      <c r="H1331" s="135">
        <v>13.45</v>
      </c>
      <c r="I1331" s="136">
        <f t="shared" si="20"/>
        <v>17.754000000000001</v>
      </c>
      <c r="J1331" s="137">
        <v>1</v>
      </c>
    </row>
    <row r="1332" spans="2:10" ht="15" customHeight="1" x14ac:dyDescent="0.3">
      <c r="B1332" s="132" t="s">
        <v>2141</v>
      </c>
      <c r="C1332" s="132" t="s">
        <v>1529</v>
      </c>
      <c r="D1332" s="132" t="s">
        <v>1997</v>
      </c>
      <c r="E1332" s="132" t="s">
        <v>320</v>
      </c>
      <c r="F1332" s="133" t="s">
        <v>2142</v>
      </c>
      <c r="G1332" s="134">
        <v>7.5</v>
      </c>
      <c r="H1332" s="135">
        <v>13.45</v>
      </c>
      <c r="I1332" s="136">
        <f t="shared" si="20"/>
        <v>100.875</v>
      </c>
      <c r="J1332" s="137">
        <v>1</v>
      </c>
    </row>
    <row r="1333" spans="2:10" ht="15" customHeight="1" x14ac:dyDescent="0.3">
      <c r="B1333" s="132" t="s">
        <v>2143</v>
      </c>
      <c r="C1333" s="132" t="s">
        <v>1529</v>
      </c>
      <c r="D1333" s="132" t="s">
        <v>1997</v>
      </c>
      <c r="E1333" s="132" t="s">
        <v>320</v>
      </c>
      <c r="F1333" s="133" t="s">
        <v>2144</v>
      </c>
      <c r="G1333" s="134">
        <v>1.27</v>
      </c>
      <c r="H1333" s="135">
        <v>13.45</v>
      </c>
      <c r="I1333" s="136">
        <f t="shared" si="20"/>
        <v>17.081499999999998</v>
      </c>
      <c r="J1333" s="137">
        <v>1</v>
      </c>
    </row>
    <row r="1334" spans="2:10" ht="15" customHeight="1" x14ac:dyDescent="0.3">
      <c r="B1334" s="132" t="s">
        <v>2145</v>
      </c>
      <c r="C1334" s="132" t="s">
        <v>1529</v>
      </c>
      <c r="D1334" s="132" t="s">
        <v>1997</v>
      </c>
      <c r="E1334" s="132" t="s">
        <v>320</v>
      </c>
      <c r="F1334" s="133" t="s">
        <v>2146</v>
      </c>
      <c r="G1334" s="134">
        <v>1.28</v>
      </c>
      <c r="H1334" s="135">
        <v>13.45</v>
      </c>
      <c r="I1334" s="136">
        <f t="shared" si="20"/>
        <v>17.216000000000001</v>
      </c>
      <c r="J1334" s="137">
        <v>1</v>
      </c>
    </row>
    <row r="1335" spans="2:10" ht="15" customHeight="1" x14ac:dyDescent="0.3">
      <c r="B1335" s="132" t="s">
        <v>2147</v>
      </c>
      <c r="C1335" s="132" t="s">
        <v>1529</v>
      </c>
      <c r="D1335" s="132" t="s">
        <v>1997</v>
      </c>
      <c r="E1335" s="132" t="s">
        <v>320</v>
      </c>
      <c r="F1335" s="133" t="s">
        <v>2148</v>
      </c>
      <c r="G1335" s="134">
        <v>3.48</v>
      </c>
      <c r="H1335" s="135">
        <v>13.45</v>
      </c>
      <c r="I1335" s="136">
        <f t="shared" si="20"/>
        <v>46.805999999999997</v>
      </c>
      <c r="J1335" s="137">
        <v>1</v>
      </c>
    </row>
    <row r="1336" spans="2:10" ht="15" customHeight="1" x14ac:dyDescent="0.3">
      <c r="B1336" s="132" t="s">
        <v>2149</v>
      </c>
      <c r="C1336" s="132" t="s">
        <v>1529</v>
      </c>
      <c r="D1336" s="132" t="s">
        <v>2150</v>
      </c>
      <c r="E1336" s="132" t="s">
        <v>320</v>
      </c>
      <c r="F1336" s="133" t="s">
        <v>2151</v>
      </c>
      <c r="G1336" s="134">
        <v>1.44</v>
      </c>
      <c r="H1336" s="135">
        <v>13.45</v>
      </c>
      <c r="I1336" s="136">
        <f t="shared" si="20"/>
        <v>19.367999999999999</v>
      </c>
      <c r="J1336" s="137">
        <v>1</v>
      </c>
    </row>
    <row r="1337" spans="2:10" ht="15" customHeight="1" x14ac:dyDescent="0.3">
      <c r="B1337" s="132" t="s">
        <v>2149</v>
      </c>
      <c r="C1337" s="132" t="s">
        <v>1529</v>
      </c>
      <c r="D1337" s="132" t="s">
        <v>2150</v>
      </c>
      <c r="E1337" s="132" t="s">
        <v>320</v>
      </c>
      <c r="F1337" s="133" t="s">
        <v>2152</v>
      </c>
      <c r="G1337" s="134">
        <v>1.44</v>
      </c>
      <c r="H1337" s="135">
        <v>13.45</v>
      </c>
      <c r="I1337" s="136">
        <f t="shared" si="20"/>
        <v>19.367999999999999</v>
      </c>
      <c r="J1337" s="137">
        <v>1</v>
      </c>
    </row>
    <row r="1338" spans="2:10" ht="15" customHeight="1" x14ac:dyDescent="0.3">
      <c r="B1338" s="132" t="s">
        <v>2149</v>
      </c>
      <c r="C1338" s="132" t="s">
        <v>1529</v>
      </c>
      <c r="D1338" s="132" t="s">
        <v>2150</v>
      </c>
      <c r="E1338" s="132" t="s">
        <v>320</v>
      </c>
      <c r="F1338" s="133" t="s">
        <v>2153</v>
      </c>
      <c r="G1338" s="134">
        <v>1.27</v>
      </c>
      <c r="H1338" s="135">
        <v>13.45</v>
      </c>
      <c r="I1338" s="136">
        <f t="shared" si="20"/>
        <v>17.081499999999998</v>
      </c>
      <c r="J1338" s="137">
        <v>1</v>
      </c>
    </row>
    <row r="1339" spans="2:10" ht="15" customHeight="1" x14ac:dyDescent="0.3">
      <c r="B1339" s="132" t="s">
        <v>2149</v>
      </c>
      <c r="C1339" s="132" t="s">
        <v>1529</v>
      </c>
      <c r="D1339" s="132" t="s">
        <v>2150</v>
      </c>
      <c r="E1339" s="132" t="s">
        <v>320</v>
      </c>
      <c r="F1339" s="133" t="s">
        <v>2154</v>
      </c>
      <c r="G1339" s="134">
        <v>1.28</v>
      </c>
      <c r="H1339" s="135">
        <v>13.45</v>
      </c>
      <c r="I1339" s="136">
        <f t="shared" si="20"/>
        <v>17.216000000000001</v>
      </c>
      <c r="J1339" s="137">
        <v>1</v>
      </c>
    </row>
    <row r="1340" spans="2:10" ht="15" customHeight="1" x14ac:dyDescent="0.3">
      <c r="B1340" s="132" t="s">
        <v>2155</v>
      </c>
      <c r="C1340" s="132" t="s">
        <v>1529</v>
      </c>
      <c r="D1340" s="132" t="s">
        <v>2150</v>
      </c>
      <c r="E1340" s="132" t="s">
        <v>320</v>
      </c>
      <c r="F1340" s="133" t="s">
        <v>2156</v>
      </c>
      <c r="G1340" s="134">
        <v>1.46</v>
      </c>
      <c r="H1340" s="135">
        <v>13.45</v>
      </c>
      <c r="I1340" s="136">
        <f t="shared" si="20"/>
        <v>19.636999999999997</v>
      </c>
      <c r="J1340" s="137">
        <v>1</v>
      </c>
    </row>
    <row r="1341" spans="2:10" ht="15" customHeight="1" x14ac:dyDescent="0.3">
      <c r="B1341" s="132" t="s">
        <v>2155</v>
      </c>
      <c r="C1341" s="132" t="s">
        <v>1529</v>
      </c>
      <c r="D1341" s="132" t="s">
        <v>2150</v>
      </c>
      <c r="E1341" s="132" t="s">
        <v>320</v>
      </c>
      <c r="F1341" s="133" t="s">
        <v>2157</v>
      </c>
      <c r="G1341" s="134">
        <v>1.45</v>
      </c>
      <c r="H1341" s="135">
        <v>13.45</v>
      </c>
      <c r="I1341" s="136">
        <f t="shared" si="20"/>
        <v>19.502499999999998</v>
      </c>
      <c r="J1341" s="137">
        <v>1</v>
      </c>
    </row>
    <row r="1342" spans="2:10" ht="15" customHeight="1" x14ac:dyDescent="0.3">
      <c r="B1342" s="132" t="s">
        <v>2158</v>
      </c>
      <c r="C1342" s="132" t="s">
        <v>1529</v>
      </c>
      <c r="D1342" s="132" t="s">
        <v>2150</v>
      </c>
      <c r="E1342" s="132" t="s">
        <v>320</v>
      </c>
      <c r="F1342" s="133" t="s">
        <v>2159</v>
      </c>
      <c r="G1342" s="134">
        <v>3.93</v>
      </c>
      <c r="H1342" s="135">
        <v>13.45</v>
      </c>
      <c r="I1342" s="136">
        <f t="shared" si="20"/>
        <v>52.858499999999999</v>
      </c>
      <c r="J1342" s="137">
        <v>1</v>
      </c>
    </row>
    <row r="1343" spans="2:10" ht="15" customHeight="1" x14ac:dyDescent="0.3">
      <c r="B1343" s="132" t="s">
        <v>2158</v>
      </c>
      <c r="C1343" s="132" t="s">
        <v>1529</v>
      </c>
      <c r="D1343" s="132" t="s">
        <v>2150</v>
      </c>
      <c r="E1343" s="132" t="s">
        <v>320</v>
      </c>
      <c r="F1343" s="133" t="s">
        <v>2160</v>
      </c>
      <c r="G1343" s="134">
        <v>3.93</v>
      </c>
      <c r="H1343" s="135">
        <v>13.45</v>
      </c>
      <c r="I1343" s="136">
        <f t="shared" si="20"/>
        <v>52.858499999999999</v>
      </c>
      <c r="J1343" s="137">
        <v>1</v>
      </c>
    </row>
    <row r="1344" spans="2:10" ht="15" customHeight="1" x14ac:dyDescent="0.3">
      <c r="B1344" s="132" t="s">
        <v>2161</v>
      </c>
      <c r="C1344" s="132" t="s">
        <v>1529</v>
      </c>
      <c r="D1344" s="132" t="s">
        <v>2150</v>
      </c>
      <c r="E1344" s="132" t="s">
        <v>320</v>
      </c>
      <c r="F1344" s="133" t="s">
        <v>2162</v>
      </c>
      <c r="G1344" s="134">
        <v>2.09</v>
      </c>
      <c r="H1344" s="135">
        <v>13.45</v>
      </c>
      <c r="I1344" s="136">
        <f t="shared" si="20"/>
        <v>28.110499999999998</v>
      </c>
      <c r="J1344" s="137">
        <v>1</v>
      </c>
    </row>
    <row r="1345" spans="2:10" ht="15" customHeight="1" x14ac:dyDescent="0.3">
      <c r="B1345" s="132" t="s">
        <v>2161</v>
      </c>
      <c r="C1345" s="132" t="s">
        <v>1529</v>
      </c>
      <c r="D1345" s="132" t="s">
        <v>2150</v>
      </c>
      <c r="E1345" s="132" t="s">
        <v>320</v>
      </c>
      <c r="F1345" s="133" t="s">
        <v>2163</v>
      </c>
      <c r="G1345" s="134">
        <v>2.08</v>
      </c>
      <c r="H1345" s="135">
        <v>13.45</v>
      </c>
      <c r="I1345" s="136">
        <f t="shared" si="20"/>
        <v>27.975999999999999</v>
      </c>
      <c r="J1345" s="137">
        <v>1</v>
      </c>
    </row>
    <row r="1346" spans="2:10" ht="15" customHeight="1" x14ac:dyDescent="0.3">
      <c r="B1346" s="132" t="s">
        <v>2164</v>
      </c>
      <c r="C1346" s="132" t="s">
        <v>1529</v>
      </c>
      <c r="D1346" s="132" t="s">
        <v>2150</v>
      </c>
      <c r="E1346" s="132" t="s">
        <v>320</v>
      </c>
      <c r="F1346" s="133" t="s">
        <v>2165</v>
      </c>
      <c r="G1346" s="134">
        <v>1.28</v>
      </c>
      <c r="H1346" s="135">
        <v>13.45</v>
      </c>
      <c r="I1346" s="136">
        <f t="shared" si="20"/>
        <v>17.216000000000001</v>
      </c>
      <c r="J1346" s="137">
        <v>1</v>
      </c>
    </row>
    <row r="1347" spans="2:10" ht="15" customHeight="1" x14ac:dyDescent="0.3">
      <c r="B1347" s="132" t="s">
        <v>2164</v>
      </c>
      <c r="C1347" s="132" t="s">
        <v>1529</v>
      </c>
      <c r="D1347" s="132" t="s">
        <v>2150</v>
      </c>
      <c r="E1347" s="132" t="s">
        <v>320</v>
      </c>
      <c r="F1347" s="133" t="s">
        <v>2166</v>
      </c>
      <c r="G1347" s="134">
        <v>1.29</v>
      </c>
      <c r="H1347" s="135">
        <v>13.45</v>
      </c>
      <c r="I1347" s="136">
        <f t="shared" si="20"/>
        <v>17.3505</v>
      </c>
      <c r="J1347" s="137">
        <v>1</v>
      </c>
    </row>
    <row r="1348" spans="2:10" ht="15" customHeight="1" x14ac:dyDescent="0.3">
      <c r="B1348" s="132" t="s">
        <v>2164</v>
      </c>
      <c r="C1348" s="132" t="s">
        <v>1529</v>
      </c>
      <c r="D1348" s="132" t="s">
        <v>2150</v>
      </c>
      <c r="E1348" s="132" t="s">
        <v>320</v>
      </c>
      <c r="F1348" s="133" t="s">
        <v>2167</v>
      </c>
      <c r="G1348" s="134">
        <v>1.77</v>
      </c>
      <c r="H1348" s="135">
        <v>13.45</v>
      </c>
      <c r="I1348" s="136">
        <f t="shared" si="20"/>
        <v>23.8065</v>
      </c>
      <c r="J1348" s="137">
        <v>1</v>
      </c>
    </row>
    <row r="1349" spans="2:10" ht="15" customHeight="1" x14ac:dyDescent="0.3">
      <c r="B1349" s="132" t="s">
        <v>2164</v>
      </c>
      <c r="C1349" s="132" t="s">
        <v>1529</v>
      </c>
      <c r="D1349" s="132" t="s">
        <v>2150</v>
      </c>
      <c r="E1349" s="132" t="s">
        <v>320</v>
      </c>
      <c r="F1349" s="133" t="s">
        <v>2168</v>
      </c>
      <c r="G1349" s="134">
        <v>1.77</v>
      </c>
      <c r="H1349" s="135">
        <v>13.45</v>
      </c>
      <c r="I1349" s="136">
        <f t="shared" si="20"/>
        <v>23.8065</v>
      </c>
      <c r="J1349" s="137">
        <v>1</v>
      </c>
    </row>
    <row r="1350" spans="2:10" ht="15" customHeight="1" x14ac:dyDescent="0.3">
      <c r="B1350" s="132" t="s">
        <v>2164</v>
      </c>
      <c r="C1350" s="132" t="s">
        <v>1529</v>
      </c>
      <c r="D1350" s="132" t="s">
        <v>2150</v>
      </c>
      <c r="E1350" s="132" t="s">
        <v>320</v>
      </c>
      <c r="F1350" s="133" t="s">
        <v>2169</v>
      </c>
      <c r="G1350" s="134">
        <v>1.92</v>
      </c>
      <c r="H1350" s="135">
        <v>13.45</v>
      </c>
      <c r="I1350" s="136">
        <f t="shared" si="20"/>
        <v>25.823999999999998</v>
      </c>
      <c r="J1350" s="137">
        <v>1</v>
      </c>
    </row>
    <row r="1351" spans="2:10" ht="15" customHeight="1" x14ac:dyDescent="0.3">
      <c r="B1351" s="132" t="s">
        <v>2164</v>
      </c>
      <c r="C1351" s="132" t="s">
        <v>1529</v>
      </c>
      <c r="D1351" s="132" t="s">
        <v>2150</v>
      </c>
      <c r="E1351" s="132" t="s">
        <v>320</v>
      </c>
      <c r="F1351" s="133" t="s">
        <v>2170</v>
      </c>
      <c r="G1351" s="134">
        <v>1.92</v>
      </c>
      <c r="H1351" s="135">
        <v>13.45</v>
      </c>
      <c r="I1351" s="136">
        <f t="shared" si="20"/>
        <v>25.823999999999998</v>
      </c>
      <c r="J1351" s="137">
        <v>1</v>
      </c>
    </row>
    <row r="1352" spans="2:10" ht="15" customHeight="1" x14ac:dyDescent="0.3">
      <c r="B1352" s="132" t="s">
        <v>2171</v>
      </c>
      <c r="C1352" s="132" t="s">
        <v>1529</v>
      </c>
      <c r="D1352" s="132" t="s">
        <v>2150</v>
      </c>
      <c r="E1352" s="132" t="s">
        <v>320</v>
      </c>
      <c r="F1352" s="133" t="s">
        <v>2172</v>
      </c>
      <c r="G1352" s="134">
        <v>1.3</v>
      </c>
      <c r="H1352" s="135">
        <v>13.45</v>
      </c>
      <c r="I1352" s="136">
        <f t="shared" ref="I1352:I1415" si="21">G1352*H1352</f>
        <v>17.484999999999999</v>
      </c>
      <c r="J1352" s="137">
        <v>1</v>
      </c>
    </row>
    <row r="1353" spans="2:10" ht="15" customHeight="1" x14ac:dyDescent="0.3">
      <c r="B1353" s="132" t="s">
        <v>2173</v>
      </c>
      <c r="C1353" s="132" t="s">
        <v>1529</v>
      </c>
      <c r="D1353" s="132" t="s">
        <v>2150</v>
      </c>
      <c r="E1353" s="132" t="s">
        <v>320</v>
      </c>
      <c r="F1353" s="133" t="s">
        <v>2174</v>
      </c>
      <c r="G1353" s="134">
        <v>2.56</v>
      </c>
      <c r="H1353" s="135">
        <v>13.45</v>
      </c>
      <c r="I1353" s="136">
        <f t="shared" si="21"/>
        <v>34.432000000000002</v>
      </c>
      <c r="J1353" s="137">
        <v>1</v>
      </c>
    </row>
    <row r="1354" spans="2:10" ht="15" customHeight="1" x14ac:dyDescent="0.3">
      <c r="B1354" s="132" t="s">
        <v>2173</v>
      </c>
      <c r="C1354" s="132" t="s">
        <v>1529</v>
      </c>
      <c r="D1354" s="132" t="s">
        <v>2150</v>
      </c>
      <c r="E1354" s="132" t="s">
        <v>320</v>
      </c>
      <c r="F1354" s="133" t="s">
        <v>2175</v>
      </c>
      <c r="G1354" s="134">
        <v>2.5499999999999998</v>
      </c>
      <c r="H1354" s="135">
        <v>13.45</v>
      </c>
      <c r="I1354" s="136">
        <f t="shared" si="21"/>
        <v>34.297499999999992</v>
      </c>
      <c r="J1354" s="137">
        <v>1</v>
      </c>
    </row>
    <row r="1355" spans="2:10" ht="15" customHeight="1" x14ac:dyDescent="0.3">
      <c r="B1355" s="132" t="s">
        <v>2173</v>
      </c>
      <c r="C1355" s="132" t="s">
        <v>1529</v>
      </c>
      <c r="D1355" s="132" t="s">
        <v>2150</v>
      </c>
      <c r="E1355" s="132" t="s">
        <v>320</v>
      </c>
      <c r="F1355" s="133" t="s">
        <v>2176</v>
      </c>
      <c r="G1355" s="134">
        <v>2.2400000000000002</v>
      </c>
      <c r="H1355" s="135">
        <v>13.45</v>
      </c>
      <c r="I1355" s="136">
        <f t="shared" si="21"/>
        <v>30.128</v>
      </c>
      <c r="J1355" s="137">
        <v>1</v>
      </c>
    </row>
    <row r="1356" spans="2:10" ht="15" customHeight="1" x14ac:dyDescent="0.3">
      <c r="B1356" s="132" t="s">
        <v>2177</v>
      </c>
      <c r="C1356" s="132" t="s">
        <v>1529</v>
      </c>
      <c r="D1356" s="132" t="s">
        <v>2150</v>
      </c>
      <c r="E1356" s="132" t="s">
        <v>320</v>
      </c>
      <c r="F1356" s="133" t="s">
        <v>2178</v>
      </c>
      <c r="G1356" s="134">
        <v>8.6199999999999992</v>
      </c>
      <c r="H1356" s="135">
        <v>13.45</v>
      </c>
      <c r="I1356" s="136">
        <f t="shared" si="21"/>
        <v>115.93899999999998</v>
      </c>
      <c r="J1356" s="137">
        <v>1</v>
      </c>
    </row>
    <row r="1357" spans="2:10" ht="15" customHeight="1" x14ac:dyDescent="0.3">
      <c r="B1357" s="132" t="s">
        <v>2179</v>
      </c>
      <c r="C1357" s="132" t="s">
        <v>1529</v>
      </c>
      <c r="D1357" s="132" t="s">
        <v>2150</v>
      </c>
      <c r="E1357" s="132" t="s">
        <v>320</v>
      </c>
      <c r="F1357" s="133" t="s">
        <v>2180</v>
      </c>
      <c r="G1357" s="134">
        <v>2.5499999999999998</v>
      </c>
      <c r="H1357" s="135">
        <v>13.45</v>
      </c>
      <c r="I1357" s="136">
        <f t="shared" si="21"/>
        <v>34.297499999999992</v>
      </c>
      <c r="J1357" s="137">
        <v>1</v>
      </c>
    </row>
    <row r="1358" spans="2:10" ht="15" customHeight="1" x14ac:dyDescent="0.3">
      <c r="B1358" s="132" t="s">
        <v>2179</v>
      </c>
      <c r="C1358" s="132" t="s">
        <v>1529</v>
      </c>
      <c r="D1358" s="132" t="s">
        <v>2150</v>
      </c>
      <c r="E1358" s="132" t="s">
        <v>320</v>
      </c>
      <c r="F1358" s="133" t="s">
        <v>2181</v>
      </c>
      <c r="G1358" s="134">
        <v>2.5499999999999998</v>
      </c>
      <c r="H1358" s="135">
        <v>13.45</v>
      </c>
      <c r="I1358" s="136">
        <f t="shared" si="21"/>
        <v>34.297499999999992</v>
      </c>
      <c r="J1358" s="137">
        <v>1</v>
      </c>
    </row>
    <row r="1359" spans="2:10" ht="15" customHeight="1" x14ac:dyDescent="0.3">
      <c r="B1359" s="132" t="s">
        <v>2179</v>
      </c>
      <c r="C1359" s="132" t="s">
        <v>1529</v>
      </c>
      <c r="D1359" s="132" t="s">
        <v>2150</v>
      </c>
      <c r="E1359" s="132" t="s">
        <v>320</v>
      </c>
      <c r="F1359" s="133" t="s">
        <v>2182</v>
      </c>
      <c r="G1359" s="134">
        <v>3.2</v>
      </c>
      <c r="H1359" s="135">
        <v>13.45</v>
      </c>
      <c r="I1359" s="136">
        <f t="shared" si="21"/>
        <v>43.04</v>
      </c>
      <c r="J1359" s="137">
        <v>1</v>
      </c>
    </row>
    <row r="1360" spans="2:10" ht="15" customHeight="1" x14ac:dyDescent="0.3">
      <c r="B1360" s="132" t="s">
        <v>2179</v>
      </c>
      <c r="C1360" s="132" t="s">
        <v>1529</v>
      </c>
      <c r="D1360" s="132" t="s">
        <v>2150</v>
      </c>
      <c r="E1360" s="132" t="s">
        <v>320</v>
      </c>
      <c r="F1360" s="133" t="s">
        <v>2183</v>
      </c>
      <c r="G1360" s="134">
        <v>2.5499999999999998</v>
      </c>
      <c r="H1360" s="135">
        <v>13.45</v>
      </c>
      <c r="I1360" s="136">
        <f t="shared" si="21"/>
        <v>34.297499999999992</v>
      </c>
      <c r="J1360" s="137">
        <v>1</v>
      </c>
    </row>
    <row r="1361" spans="2:10" ht="15" customHeight="1" x14ac:dyDescent="0.3">
      <c r="B1361" s="132" t="s">
        <v>2179</v>
      </c>
      <c r="C1361" s="132" t="s">
        <v>1529</v>
      </c>
      <c r="D1361" s="132" t="s">
        <v>2150</v>
      </c>
      <c r="E1361" s="132" t="s">
        <v>320</v>
      </c>
      <c r="F1361" s="133" t="s">
        <v>2184</v>
      </c>
      <c r="G1361" s="134">
        <v>3.19</v>
      </c>
      <c r="H1361" s="135">
        <v>13.45</v>
      </c>
      <c r="I1361" s="136">
        <f t="shared" si="21"/>
        <v>42.905499999999996</v>
      </c>
      <c r="J1361" s="137">
        <v>1</v>
      </c>
    </row>
    <row r="1362" spans="2:10" ht="15" customHeight="1" x14ac:dyDescent="0.3">
      <c r="B1362" s="132" t="s">
        <v>2179</v>
      </c>
      <c r="C1362" s="132" t="s">
        <v>1529</v>
      </c>
      <c r="D1362" s="132" t="s">
        <v>2150</v>
      </c>
      <c r="E1362" s="132" t="s">
        <v>320</v>
      </c>
      <c r="F1362" s="133" t="s">
        <v>2185</v>
      </c>
      <c r="G1362" s="134">
        <v>2.5499999999999998</v>
      </c>
      <c r="H1362" s="135">
        <v>13.45</v>
      </c>
      <c r="I1362" s="136">
        <f t="shared" si="21"/>
        <v>34.297499999999992</v>
      </c>
      <c r="J1362" s="137">
        <v>1</v>
      </c>
    </row>
    <row r="1363" spans="2:10" ht="15" customHeight="1" x14ac:dyDescent="0.3">
      <c r="B1363" s="132" t="s">
        <v>2179</v>
      </c>
      <c r="C1363" s="132" t="s">
        <v>1529</v>
      </c>
      <c r="D1363" s="132" t="s">
        <v>2150</v>
      </c>
      <c r="E1363" s="132" t="s">
        <v>320</v>
      </c>
      <c r="F1363" s="133" t="s">
        <v>2186</v>
      </c>
      <c r="G1363" s="134">
        <v>6.67</v>
      </c>
      <c r="H1363" s="135">
        <v>13.45</v>
      </c>
      <c r="I1363" s="136">
        <f t="shared" si="21"/>
        <v>89.711500000000001</v>
      </c>
      <c r="J1363" s="137">
        <v>1</v>
      </c>
    </row>
    <row r="1364" spans="2:10" ht="15" customHeight="1" x14ac:dyDescent="0.3">
      <c r="B1364" s="132" t="s">
        <v>2187</v>
      </c>
      <c r="C1364" s="132" t="s">
        <v>1529</v>
      </c>
      <c r="D1364" s="132" t="s">
        <v>2150</v>
      </c>
      <c r="E1364" s="132" t="s">
        <v>320</v>
      </c>
      <c r="F1364" s="133" t="s">
        <v>2188</v>
      </c>
      <c r="G1364" s="134">
        <v>4.01</v>
      </c>
      <c r="H1364" s="135">
        <v>13.45</v>
      </c>
      <c r="I1364" s="136">
        <f t="shared" si="21"/>
        <v>53.934499999999993</v>
      </c>
      <c r="J1364" s="137">
        <v>1</v>
      </c>
    </row>
    <row r="1365" spans="2:10" ht="15" customHeight="1" x14ac:dyDescent="0.3">
      <c r="B1365" s="132" t="s">
        <v>2189</v>
      </c>
      <c r="C1365" s="132" t="s">
        <v>1529</v>
      </c>
      <c r="D1365" s="132" t="s">
        <v>2150</v>
      </c>
      <c r="E1365" s="132" t="s">
        <v>320</v>
      </c>
      <c r="F1365" s="133" t="s">
        <v>2190</v>
      </c>
      <c r="G1365" s="134">
        <v>9.83</v>
      </c>
      <c r="H1365" s="135">
        <v>13.45</v>
      </c>
      <c r="I1365" s="136">
        <f t="shared" si="21"/>
        <v>132.21349999999998</v>
      </c>
      <c r="J1365" s="137">
        <v>1</v>
      </c>
    </row>
    <row r="1366" spans="2:10" ht="15" customHeight="1" x14ac:dyDescent="0.3">
      <c r="B1366" s="132" t="s">
        <v>2189</v>
      </c>
      <c r="C1366" s="132" t="s">
        <v>1529</v>
      </c>
      <c r="D1366" s="132" t="s">
        <v>2150</v>
      </c>
      <c r="E1366" s="132" t="s">
        <v>320</v>
      </c>
      <c r="F1366" s="133" t="s">
        <v>2191</v>
      </c>
      <c r="G1366" s="134">
        <v>2.4</v>
      </c>
      <c r="H1366" s="135">
        <v>13.45</v>
      </c>
      <c r="I1366" s="136">
        <f t="shared" si="21"/>
        <v>32.279999999999994</v>
      </c>
      <c r="J1366" s="137">
        <v>1</v>
      </c>
    </row>
    <row r="1367" spans="2:10" ht="15" customHeight="1" x14ac:dyDescent="0.3">
      <c r="B1367" s="132" t="s">
        <v>2189</v>
      </c>
      <c r="C1367" s="132" t="s">
        <v>1529</v>
      </c>
      <c r="D1367" s="132" t="s">
        <v>2150</v>
      </c>
      <c r="E1367" s="132" t="s">
        <v>320</v>
      </c>
      <c r="F1367" s="133" t="s">
        <v>2192</v>
      </c>
      <c r="G1367" s="134">
        <v>2.41</v>
      </c>
      <c r="H1367" s="135">
        <v>13.45</v>
      </c>
      <c r="I1367" s="136">
        <f t="shared" si="21"/>
        <v>32.414499999999997</v>
      </c>
      <c r="J1367" s="137">
        <v>1</v>
      </c>
    </row>
    <row r="1368" spans="2:10" ht="15" customHeight="1" x14ac:dyDescent="0.3">
      <c r="B1368" s="132" t="s">
        <v>2193</v>
      </c>
      <c r="C1368" s="132" t="s">
        <v>1529</v>
      </c>
      <c r="D1368" s="132" t="s">
        <v>2150</v>
      </c>
      <c r="E1368" s="132" t="s">
        <v>320</v>
      </c>
      <c r="F1368" s="133" t="s">
        <v>2194</v>
      </c>
      <c r="G1368" s="134">
        <v>2.39</v>
      </c>
      <c r="H1368" s="135">
        <v>13.45</v>
      </c>
      <c r="I1368" s="136">
        <f t="shared" si="21"/>
        <v>32.145499999999998</v>
      </c>
      <c r="J1368" s="137">
        <v>1</v>
      </c>
    </row>
    <row r="1369" spans="2:10" ht="15" customHeight="1" x14ac:dyDescent="0.3">
      <c r="B1369" s="132" t="s">
        <v>2193</v>
      </c>
      <c r="C1369" s="132" t="s">
        <v>1529</v>
      </c>
      <c r="D1369" s="132" t="s">
        <v>2150</v>
      </c>
      <c r="E1369" s="132" t="s">
        <v>320</v>
      </c>
      <c r="F1369" s="133" t="s">
        <v>2195</v>
      </c>
      <c r="G1369" s="134">
        <v>2.39</v>
      </c>
      <c r="H1369" s="135">
        <v>13.45</v>
      </c>
      <c r="I1369" s="136">
        <f t="shared" si="21"/>
        <v>32.145499999999998</v>
      </c>
      <c r="J1369" s="137">
        <v>1</v>
      </c>
    </row>
    <row r="1370" spans="2:10" ht="15" customHeight="1" x14ac:dyDescent="0.3">
      <c r="B1370" s="132" t="s">
        <v>2196</v>
      </c>
      <c r="C1370" s="132" t="s">
        <v>1529</v>
      </c>
      <c r="D1370" s="132" t="s">
        <v>2150</v>
      </c>
      <c r="E1370" s="132" t="s">
        <v>320</v>
      </c>
      <c r="F1370" s="133" t="s">
        <v>2197</v>
      </c>
      <c r="G1370" s="134">
        <v>3.21</v>
      </c>
      <c r="H1370" s="135">
        <v>13.45</v>
      </c>
      <c r="I1370" s="136">
        <f t="shared" si="21"/>
        <v>43.174499999999995</v>
      </c>
      <c r="J1370" s="137">
        <v>1</v>
      </c>
    </row>
    <row r="1371" spans="2:10" ht="15" customHeight="1" x14ac:dyDescent="0.3">
      <c r="B1371" s="132" t="s">
        <v>2196</v>
      </c>
      <c r="C1371" s="132" t="s">
        <v>1529</v>
      </c>
      <c r="D1371" s="132" t="s">
        <v>2150</v>
      </c>
      <c r="E1371" s="132" t="s">
        <v>320</v>
      </c>
      <c r="F1371" s="133" t="s">
        <v>2198</v>
      </c>
      <c r="G1371" s="134">
        <v>3.25</v>
      </c>
      <c r="H1371" s="135">
        <v>13.45</v>
      </c>
      <c r="I1371" s="136">
        <f t="shared" si="21"/>
        <v>43.712499999999999</v>
      </c>
      <c r="J1371" s="137">
        <v>1</v>
      </c>
    </row>
    <row r="1372" spans="2:10" ht="15" customHeight="1" x14ac:dyDescent="0.3">
      <c r="B1372" s="132" t="s">
        <v>2196</v>
      </c>
      <c r="C1372" s="132" t="s">
        <v>1529</v>
      </c>
      <c r="D1372" s="132" t="s">
        <v>2150</v>
      </c>
      <c r="E1372" s="132" t="s">
        <v>320</v>
      </c>
      <c r="F1372" s="133" t="s">
        <v>2199</v>
      </c>
      <c r="G1372" s="134">
        <v>8.01</v>
      </c>
      <c r="H1372" s="135">
        <v>13.45</v>
      </c>
      <c r="I1372" s="136">
        <f t="shared" si="21"/>
        <v>107.7345</v>
      </c>
      <c r="J1372" s="137">
        <v>1</v>
      </c>
    </row>
    <row r="1373" spans="2:10" ht="15" customHeight="1" x14ac:dyDescent="0.3">
      <c r="B1373" s="132" t="s">
        <v>2196</v>
      </c>
      <c r="C1373" s="132" t="s">
        <v>1529</v>
      </c>
      <c r="D1373" s="132" t="s">
        <v>2150</v>
      </c>
      <c r="E1373" s="132" t="s">
        <v>320</v>
      </c>
      <c r="F1373" s="133" t="s">
        <v>2200</v>
      </c>
      <c r="G1373" s="134">
        <v>8.14</v>
      </c>
      <c r="H1373" s="135">
        <v>13.45</v>
      </c>
      <c r="I1373" s="136">
        <f t="shared" si="21"/>
        <v>109.483</v>
      </c>
      <c r="J1373" s="137">
        <v>1</v>
      </c>
    </row>
    <row r="1374" spans="2:10" ht="15" customHeight="1" x14ac:dyDescent="0.3">
      <c r="B1374" s="132" t="s">
        <v>2196</v>
      </c>
      <c r="C1374" s="132" t="s">
        <v>1529</v>
      </c>
      <c r="D1374" s="132" t="s">
        <v>2150</v>
      </c>
      <c r="E1374" s="132" t="s">
        <v>320</v>
      </c>
      <c r="F1374" s="133" t="s">
        <v>2201</v>
      </c>
      <c r="G1374" s="134">
        <v>4.95</v>
      </c>
      <c r="H1374" s="135">
        <v>13.45</v>
      </c>
      <c r="I1374" s="136">
        <f t="shared" si="21"/>
        <v>66.577500000000001</v>
      </c>
      <c r="J1374" s="137">
        <v>1</v>
      </c>
    </row>
    <row r="1375" spans="2:10" ht="15" customHeight="1" x14ac:dyDescent="0.3">
      <c r="B1375" s="132" t="s">
        <v>2196</v>
      </c>
      <c r="C1375" s="132" t="s">
        <v>1529</v>
      </c>
      <c r="D1375" s="132" t="s">
        <v>2150</v>
      </c>
      <c r="E1375" s="132" t="s">
        <v>320</v>
      </c>
      <c r="F1375" s="133" t="s">
        <v>2202</v>
      </c>
      <c r="G1375" s="134">
        <v>4.93</v>
      </c>
      <c r="H1375" s="135">
        <v>13.45</v>
      </c>
      <c r="I1375" s="136">
        <f t="shared" si="21"/>
        <v>66.308499999999995</v>
      </c>
      <c r="J1375" s="137">
        <v>1</v>
      </c>
    </row>
    <row r="1376" spans="2:10" ht="15" customHeight="1" x14ac:dyDescent="0.3">
      <c r="B1376" s="132" t="s">
        <v>2196</v>
      </c>
      <c r="C1376" s="132" t="s">
        <v>1529</v>
      </c>
      <c r="D1376" s="132" t="s">
        <v>2150</v>
      </c>
      <c r="E1376" s="132" t="s">
        <v>320</v>
      </c>
      <c r="F1376" s="133" t="s">
        <v>2203</v>
      </c>
      <c r="G1376" s="134">
        <v>4.93</v>
      </c>
      <c r="H1376" s="135">
        <v>13.45</v>
      </c>
      <c r="I1376" s="136">
        <f t="shared" si="21"/>
        <v>66.308499999999995</v>
      </c>
      <c r="J1376" s="137">
        <v>1</v>
      </c>
    </row>
    <row r="1377" spans="2:10" ht="15" customHeight="1" x14ac:dyDescent="0.3">
      <c r="B1377" s="132" t="s">
        <v>2204</v>
      </c>
      <c r="C1377" s="132" t="s">
        <v>1529</v>
      </c>
      <c r="D1377" s="132" t="s">
        <v>2150</v>
      </c>
      <c r="E1377" s="132" t="s">
        <v>320</v>
      </c>
      <c r="F1377" s="133" t="s">
        <v>2205</v>
      </c>
      <c r="G1377" s="134">
        <v>2.5499999999999998</v>
      </c>
      <c r="H1377" s="135">
        <v>13.45</v>
      </c>
      <c r="I1377" s="136">
        <f t="shared" si="21"/>
        <v>34.297499999999992</v>
      </c>
      <c r="J1377" s="137">
        <v>1</v>
      </c>
    </row>
    <row r="1378" spans="2:10" ht="15" customHeight="1" x14ac:dyDescent="0.3">
      <c r="B1378" s="132" t="s">
        <v>2204</v>
      </c>
      <c r="C1378" s="132" t="s">
        <v>1529</v>
      </c>
      <c r="D1378" s="132" t="s">
        <v>2150</v>
      </c>
      <c r="E1378" s="132" t="s">
        <v>320</v>
      </c>
      <c r="F1378" s="133" t="s">
        <v>2206</v>
      </c>
      <c r="G1378" s="134">
        <v>1.43</v>
      </c>
      <c r="H1378" s="135">
        <v>13.45</v>
      </c>
      <c r="I1378" s="136">
        <f t="shared" si="21"/>
        <v>19.233499999999999</v>
      </c>
      <c r="J1378" s="137">
        <v>1</v>
      </c>
    </row>
    <row r="1379" spans="2:10" ht="15" customHeight="1" x14ac:dyDescent="0.3">
      <c r="B1379" s="132" t="s">
        <v>1589</v>
      </c>
      <c r="C1379" s="132" t="s">
        <v>1529</v>
      </c>
      <c r="D1379" s="132" t="s">
        <v>2150</v>
      </c>
      <c r="E1379" s="132" t="s">
        <v>320</v>
      </c>
      <c r="F1379" s="133" t="s">
        <v>2207</v>
      </c>
      <c r="G1379" s="134">
        <v>1.76</v>
      </c>
      <c r="H1379" s="135">
        <v>13.45</v>
      </c>
      <c r="I1379" s="136">
        <f t="shared" si="21"/>
        <v>23.672000000000001</v>
      </c>
      <c r="J1379" s="137">
        <v>1</v>
      </c>
    </row>
    <row r="1380" spans="2:10" ht="15" customHeight="1" x14ac:dyDescent="0.3">
      <c r="B1380" s="132" t="s">
        <v>1589</v>
      </c>
      <c r="C1380" s="132" t="s">
        <v>1529</v>
      </c>
      <c r="D1380" s="132" t="s">
        <v>2150</v>
      </c>
      <c r="E1380" s="132" t="s">
        <v>320</v>
      </c>
      <c r="F1380" s="133" t="s">
        <v>2208</v>
      </c>
      <c r="G1380" s="134">
        <v>1.76</v>
      </c>
      <c r="H1380" s="135">
        <v>13.45</v>
      </c>
      <c r="I1380" s="136">
        <f t="shared" si="21"/>
        <v>23.672000000000001</v>
      </c>
      <c r="J1380" s="137">
        <v>1</v>
      </c>
    </row>
    <row r="1381" spans="2:10" ht="15" customHeight="1" x14ac:dyDescent="0.3">
      <c r="B1381" s="132" t="s">
        <v>1589</v>
      </c>
      <c r="C1381" s="132" t="s">
        <v>1529</v>
      </c>
      <c r="D1381" s="132" t="s">
        <v>2150</v>
      </c>
      <c r="E1381" s="132" t="s">
        <v>320</v>
      </c>
      <c r="F1381" s="133" t="s">
        <v>2209</v>
      </c>
      <c r="G1381" s="134">
        <v>1.76</v>
      </c>
      <c r="H1381" s="135">
        <v>13.45</v>
      </c>
      <c r="I1381" s="136">
        <f t="shared" si="21"/>
        <v>23.672000000000001</v>
      </c>
      <c r="J1381" s="137">
        <v>1</v>
      </c>
    </row>
    <row r="1382" spans="2:10" ht="15" customHeight="1" x14ac:dyDescent="0.3">
      <c r="B1382" s="132" t="s">
        <v>1589</v>
      </c>
      <c r="C1382" s="132" t="s">
        <v>1529</v>
      </c>
      <c r="D1382" s="132" t="s">
        <v>2150</v>
      </c>
      <c r="E1382" s="132" t="s">
        <v>320</v>
      </c>
      <c r="F1382" s="133" t="s">
        <v>2210</v>
      </c>
      <c r="G1382" s="134">
        <v>1.76</v>
      </c>
      <c r="H1382" s="135">
        <v>13.45</v>
      </c>
      <c r="I1382" s="136">
        <f t="shared" si="21"/>
        <v>23.672000000000001</v>
      </c>
      <c r="J1382" s="137">
        <v>1</v>
      </c>
    </row>
    <row r="1383" spans="2:10" ht="15" customHeight="1" x14ac:dyDescent="0.3">
      <c r="B1383" s="132" t="s">
        <v>2211</v>
      </c>
      <c r="C1383" s="132" t="s">
        <v>1529</v>
      </c>
      <c r="D1383" s="132" t="s">
        <v>2150</v>
      </c>
      <c r="E1383" s="132" t="s">
        <v>320</v>
      </c>
      <c r="F1383" s="133" t="s">
        <v>2212</v>
      </c>
      <c r="G1383" s="134">
        <v>8.01</v>
      </c>
      <c r="H1383" s="135">
        <v>13.45</v>
      </c>
      <c r="I1383" s="136">
        <f t="shared" si="21"/>
        <v>107.7345</v>
      </c>
      <c r="J1383" s="137">
        <v>1</v>
      </c>
    </row>
    <row r="1384" spans="2:10" ht="15" customHeight="1" x14ac:dyDescent="0.3">
      <c r="B1384" s="132" t="s">
        <v>2211</v>
      </c>
      <c r="C1384" s="132" t="s">
        <v>1529</v>
      </c>
      <c r="D1384" s="132" t="s">
        <v>2150</v>
      </c>
      <c r="E1384" s="132" t="s">
        <v>320</v>
      </c>
      <c r="F1384" s="133" t="s">
        <v>2213</v>
      </c>
      <c r="G1384" s="134">
        <v>5.35</v>
      </c>
      <c r="H1384" s="135">
        <v>13.45</v>
      </c>
      <c r="I1384" s="136">
        <f t="shared" si="21"/>
        <v>71.957499999999996</v>
      </c>
      <c r="J1384" s="137">
        <v>1</v>
      </c>
    </row>
    <row r="1385" spans="2:10" ht="15" customHeight="1" x14ac:dyDescent="0.3">
      <c r="B1385" s="132" t="s">
        <v>2211</v>
      </c>
      <c r="C1385" s="132" t="s">
        <v>1529</v>
      </c>
      <c r="D1385" s="132" t="s">
        <v>2150</v>
      </c>
      <c r="E1385" s="132" t="s">
        <v>320</v>
      </c>
      <c r="F1385" s="133" t="s">
        <v>2214</v>
      </c>
      <c r="G1385" s="134">
        <v>1.31</v>
      </c>
      <c r="H1385" s="135">
        <v>13.45</v>
      </c>
      <c r="I1385" s="136">
        <f t="shared" si="21"/>
        <v>17.619499999999999</v>
      </c>
      <c r="J1385" s="137">
        <v>1</v>
      </c>
    </row>
    <row r="1386" spans="2:10" ht="15" customHeight="1" x14ac:dyDescent="0.3">
      <c r="B1386" s="132" t="s">
        <v>2211</v>
      </c>
      <c r="C1386" s="132" t="s">
        <v>1529</v>
      </c>
      <c r="D1386" s="132" t="s">
        <v>2150</v>
      </c>
      <c r="E1386" s="132" t="s">
        <v>320</v>
      </c>
      <c r="F1386" s="133" t="s">
        <v>2215</v>
      </c>
      <c r="G1386" s="134">
        <v>1.44</v>
      </c>
      <c r="H1386" s="135">
        <v>13.45</v>
      </c>
      <c r="I1386" s="136">
        <f t="shared" si="21"/>
        <v>19.367999999999999</v>
      </c>
      <c r="J1386" s="137">
        <v>1</v>
      </c>
    </row>
    <row r="1387" spans="2:10" ht="15" customHeight="1" x14ac:dyDescent="0.3">
      <c r="B1387" s="132" t="s">
        <v>2211</v>
      </c>
      <c r="C1387" s="132" t="s">
        <v>1529</v>
      </c>
      <c r="D1387" s="132" t="s">
        <v>2150</v>
      </c>
      <c r="E1387" s="132" t="s">
        <v>320</v>
      </c>
      <c r="F1387" s="133" t="s">
        <v>2216</v>
      </c>
      <c r="G1387" s="134">
        <v>1.6</v>
      </c>
      <c r="H1387" s="135">
        <v>13.45</v>
      </c>
      <c r="I1387" s="136">
        <f t="shared" si="21"/>
        <v>21.52</v>
      </c>
      <c r="J1387" s="137">
        <v>1</v>
      </c>
    </row>
    <row r="1388" spans="2:10" ht="15" customHeight="1" x14ac:dyDescent="0.3">
      <c r="B1388" s="132" t="s">
        <v>2211</v>
      </c>
      <c r="C1388" s="132" t="s">
        <v>1529</v>
      </c>
      <c r="D1388" s="132" t="s">
        <v>2150</v>
      </c>
      <c r="E1388" s="132" t="s">
        <v>320</v>
      </c>
      <c r="F1388" s="133" t="s">
        <v>2217</v>
      </c>
      <c r="G1388" s="134">
        <v>1.59</v>
      </c>
      <c r="H1388" s="135">
        <v>13.45</v>
      </c>
      <c r="I1388" s="136">
        <f t="shared" si="21"/>
        <v>21.3855</v>
      </c>
      <c r="J1388" s="137">
        <v>1</v>
      </c>
    </row>
    <row r="1389" spans="2:10" ht="15" customHeight="1" x14ac:dyDescent="0.3">
      <c r="B1389" s="132" t="s">
        <v>2211</v>
      </c>
      <c r="C1389" s="132" t="s">
        <v>1529</v>
      </c>
      <c r="D1389" s="132" t="s">
        <v>2150</v>
      </c>
      <c r="E1389" s="132" t="s">
        <v>320</v>
      </c>
      <c r="F1389" s="133" t="s">
        <v>2218</v>
      </c>
      <c r="G1389" s="134">
        <v>2.0699999999999998</v>
      </c>
      <c r="H1389" s="135">
        <v>13.45</v>
      </c>
      <c r="I1389" s="136">
        <f t="shared" si="21"/>
        <v>27.841499999999996</v>
      </c>
      <c r="J1389" s="137">
        <v>1</v>
      </c>
    </row>
    <row r="1390" spans="2:10" ht="15" customHeight="1" x14ac:dyDescent="0.3">
      <c r="B1390" s="132" t="s">
        <v>2211</v>
      </c>
      <c r="C1390" s="132" t="s">
        <v>1529</v>
      </c>
      <c r="D1390" s="132" t="s">
        <v>2150</v>
      </c>
      <c r="E1390" s="132" t="s">
        <v>320</v>
      </c>
      <c r="F1390" s="133" t="s">
        <v>2219</v>
      </c>
      <c r="G1390" s="134">
        <v>1.76</v>
      </c>
      <c r="H1390" s="135">
        <v>13.45</v>
      </c>
      <c r="I1390" s="136">
        <f t="shared" si="21"/>
        <v>23.672000000000001</v>
      </c>
      <c r="J1390" s="137">
        <v>1</v>
      </c>
    </row>
    <row r="1391" spans="2:10" ht="15" customHeight="1" x14ac:dyDescent="0.3">
      <c r="B1391" s="132" t="s">
        <v>2220</v>
      </c>
      <c r="C1391" s="132" t="s">
        <v>1529</v>
      </c>
      <c r="D1391" s="132" t="s">
        <v>2150</v>
      </c>
      <c r="E1391" s="132" t="s">
        <v>320</v>
      </c>
      <c r="F1391" s="133" t="s">
        <v>2221</v>
      </c>
      <c r="G1391" s="134">
        <v>2.27</v>
      </c>
      <c r="H1391" s="135">
        <v>13.45</v>
      </c>
      <c r="I1391" s="136">
        <f t="shared" si="21"/>
        <v>30.531499999999998</v>
      </c>
      <c r="J1391" s="137">
        <v>1</v>
      </c>
    </row>
    <row r="1392" spans="2:10" ht="15" customHeight="1" x14ac:dyDescent="0.3">
      <c r="B1392" s="132" t="s">
        <v>2222</v>
      </c>
      <c r="C1392" s="132" t="s">
        <v>1529</v>
      </c>
      <c r="D1392" s="132" t="s">
        <v>2150</v>
      </c>
      <c r="E1392" s="132" t="s">
        <v>320</v>
      </c>
      <c r="F1392" s="133" t="s">
        <v>2223</v>
      </c>
      <c r="G1392" s="134">
        <v>2.87</v>
      </c>
      <c r="H1392" s="135">
        <v>13.45</v>
      </c>
      <c r="I1392" s="136">
        <f t="shared" si="21"/>
        <v>38.601500000000001</v>
      </c>
      <c r="J1392" s="137">
        <v>1</v>
      </c>
    </row>
    <row r="1393" spans="2:10" ht="15" customHeight="1" x14ac:dyDescent="0.3">
      <c r="B1393" s="132" t="s">
        <v>2222</v>
      </c>
      <c r="C1393" s="132" t="s">
        <v>1529</v>
      </c>
      <c r="D1393" s="132" t="s">
        <v>2150</v>
      </c>
      <c r="E1393" s="132" t="s">
        <v>320</v>
      </c>
      <c r="F1393" s="133" t="s">
        <v>2224</v>
      </c>
      <c r="G1393" s="134">
        <v>2.87</v>
      </c>
      <c r="H1393" s="135">
        <v>13.45</v>
      </c>
      <c r="I1393" s="136">
        <f t="shared" si="21"/>
        <v>38.601500000000001</v>
      </c>
      <c r="J1393" s="137">
        <v>1</v>
      </c>
    </row>
    <row r="1394" spans="2:10" ht="15" customHeight="1" x14ac:dyDescent="0.3">
      <c r="B1394" s="132" t="s">
        <v>2225</v>
      </c>
      <c r="C1394" s="132" t="s">
        <v>1529</v>
      </c>
      <c r="D1394" s="132" t="s">
        <v>2150</v>
      </c>
      <c r="E1394" s="132" t="s">
        <v>320</v>
      </c>
      <c r="F1394" s="133" t="s">
        <v>2226</v>
      </c>
      <c r="G1394" s="134">
        <v>1.97</v>
      </c>
      <c r="H1394" s="135">
        <v>13.45</v>
      </c>
      <c r="I1394" s="136">
        <f t="shared" si="21"/>
        <v>26.496499999999997</v>
      </c>
      <c r="J1394" s="137">
        <v>1</v>
      </c>
    </row>
    <row r="1395" spans="2:10" ht="15" customHeight="1" x14ac:dyDescent="0.3">
      <c r="B1395" s="132" t="s">
        <v>2225</v>
      </c>
      <c r="C1395" s="132" t="s">
        <v>1529</v>
      </c>
      <c r="D1395" s="132" t="s">
        <v>2150</v>
      </c>
      <c r="E1395" s="132" t="s">
        <v>320</v>
      </c>
      <c r="F1395" s="133" t="s">
        <v>2227</v>
      </c>
      <c r="G1395" s="134">
        <v>1.98</v>
      </c>
      <c r="H1395" s="135">
        <v>13.45</v>
      </c>
      <c r="I1395" s="136">
        <f t="shared" si="21"/>
        <v>26.630999999999997</v>
      </c>
      <c r="J1395" s="137">
        <v>1</v>
      </c>
    </row>
    <row r="1396" spans="2:10" ht="15" customHeight="1" x14ac:dyDescent="0.3">
      <c r="B1396" s="132" t="s">
        <v>2228</v>
      </c>
      <c r="C1396" s="132" t="s">
        <v>1529</v>
      </c>
      <c r="D1396" s="132" t="s">
        <v>2150</v>
      </c>
      <c r="E1396" s="132" t="s">
        <v>320</v>
      </c>
      <c r="F1396" s="133" t="s">
        <v>2229</v>
      </c>
      <c r="G1396" s="134">
        <v>3.44</v>
      </c>
      <c r="H1396" s="135">
        <v>13.45</v>
      </c>
      <c r="I1396" s="136">
        <f t="shared" si="21"/>
        <v>46.267999999999994</v>
      </c>
      <c r="J1396" s="137">
        <v>1</v>
      </c>
    </row>
    <row r="1397" spans="2:10" ht="15" customHeight="1" x14ac:dyDescent="0.3">
      <c r="B1397" s="132" t="s">
        <v>2230</v>
      </c>
      <c r="C1397" s="132" t="s">
        <v>1529</v>
      </c>
      <c r="D1397" s="132" t="s">
        <v>2150</v>
      </c>
      <c r="E1397" s="132" t="s">
        <v>320</v>
      </c>
      <c r="F1397" s="133" t="s">
        <v>2231</v>
      </c>
      <c r="G1397" s="134">
        <v>4.8</v>
      </c>
      <c r="H1397" s="135">
        <v>13.45</v>
      </c>
      <c r="I1397" s="136">
        <f t="shared" si="21"/>
        <v>64.559999999999988</v>
      </c>
      <c r="J1397" s="137">
        <v>1</v>
      </c>
    </row>
    <row r="1398" spans="2:10" ht="15" customHeight="1" x14ac:dyDescent="0.3">
      <c r="B1398" s="132" t="s">
        <v>2230</v>
      </c>
      <c r="C1398" s="132" t="s">
        <v>1529</v>
      </c>
      <c r="D1398" s="132" t="s">
        <v>2150</v>
      </c>
      <c r="E1398" s="132" t="s">
        <v>320</v>
      </c>
      <c r="F1398" s="133" t="s">
        <v>2232</v>
      </c>
      <c r="G1398" s="134">
        <v>4.68</v>
      </c>
      <c r="H1398" s="135">
        <v>13.45</v>
      </c>
      <c r="I1398" s="136">
        <f t="shared" si="21"/>
        <v>62.945999999999991</v>
      </c>
      <c r="J1398" s="137">
        <v>1</v>
      </c>
    </row>
    <row r="1399" spans="2:10" ht="15" customHeight="1" x14ac:dyDescent="0.3">
      <c r="B1399" s="132" t="s">
        <v>2230</v>
      </c>
      <c r="C1399" s="132" t="s">
        <v>1529</v>
      </c>
      <c r="D1399" s="132" t="s">
        <v>2150</v>
      </c>
      <c r="E1399" s="132" t="s">
        <v>320</v>
      </c>
      <c r="F1399" s="133" t="s">
        <v>2233</v>
      </c>
      <c r="G1399" s="134">
        <v>1.6</v>
      </c>
      <c r="H1399" s="135">
        <v>13.45</v>
      </c>
      <c r="I1399" s="136">
        <f t="shared" si="21"/>
        <v>21.52</v>
      </c>
      <c r="J1399" s="137">
        <v>1</v>
      </c>
    </row>
    <row r="1400" spans="2:10" ht="15" customHeight="1" x14ac:dyDescent="0.3">
      <c r="B1400" s="132" t="s">
        <v>2230</v>
      </c>
      <c r="C1400" s="132" t="s">
        <v>1529</v>
      </c>
      <c r="D1400" s="132" t="s">
        <v>2150</v>
      </c>
      <c r="E1400" s="132" t="s">
        <v>320</v>
      </c>
      <c r="F1400" s="133" t="s">
        <v>2234</v>
      </c>
      <c r="G1400" s="134">
        <v>1.6</v>
      </c>
      <c r="H1400" s="135">
        <v>13.45</v>
      </c>
      <c r="I1400" s="136">
        <f t="shared" si="21"/>
        <v>21.52</v>
      </c>
      <c r="J1400" s="137">
        <v>1</v>
      </c>
    </row>
    <row r="1401" spans="2:10" ht="15" customHeight="1" x14ac:dyDescent="0.3">
      <c r="B1401" s="132" t="s">
        <v>2230</v>
      </c>
      <c r="C1401" s="132" t="s">
        <v>1529</v>
      </c>
      <c r="D1401" s="132" t="s">
        <v>2150</v>
      </c>
      <c r="E1401" s="132" t="s">
        <v>320</v>
      </c>
      <c r="F1401" s="133" t="s">
        <v>2235</v>
      </c>
      <c r="G1401" s="134">
        <v>1.6</v>
      </c>
      <c r="H1401" s="135">
        <v>13.45</v>
      </c>
      <c r="I1401" s="136">
        <f t="shared" si="21"/>
        <v>21.52</v>
      </c>
      <c r="J1401" s="137">
        <v>1</v>
      </c>
    </row>
    <row r="1402" spans="2:10" ht="15" customHeight="1" x14ac:dyDescent="0.3">
      <c r="B1402" s="132" t="s">
        <v>2230</v>
      </c>
      <c r="C1402" s="132" t="s">
        <v>1529</v>
      </c>
      <c r="D1402" s="132" t="s">
        <v>2150</v>
      </c>
      <c r="E1402" s="132" t="s">
        <v>320</v>
      </c>
      <c r="F1402" s="133" t="s">
        <v>2236</v>
      </c>
      <c r="G1402" s="134">
        <v>1.92</v>
      </c>
      <c r="H1402" s="135">
        <v>13.45</v>
      </c>
      <c r="I1402" s="136">
        <f t="shared" si="21"/>
        <v>25.823999999999998</v>
      </c>
      <c r="J1402" s="137">
        <v>1</v>
      </c>
    </row>
    <row r="1403" spans="2:10" ht="15" customHeight="1" x14ac:dyDescent="0.3">
      <c r="B1403" s="132" t="s">
        <v>2230</v>
      </c>
      <c r="C1403" s="132" t="s">
        <v>1529</v>
      </c>
      <c r="D1403" s="132" t="s">
        <v>2150</v>
      </c>
      <c r="E1403" s="132" t="s">
        <v>320</v>
      </c>
      <c r="F1403" s="133" t="s">
        <v>2237</v>
      </c>
      <c r="G1403" s="134">
        <v>1.95</v>
      </c>
      <c r="H1403" s="135">
        <v>13.45</v>
      </c>
      <c r="I1403" s="136">
        <f t="shared" si="21"/>
        <v>26.227499999999999</v>
      </c>
      <c r="J1403" s="137">
        <v>1</v>
      </c>
    </row>
    <row r="1404" spans="2:10" ht="15" customHeight="1" x14ac:dyDescent="0.3">
      <c r="B1404" s="132" t="s">
        <v>2238</v>
      </c>
      <c r="C1404" s="132" t="s">
        <v>1529</v>
      </c>
      <c r="D1404" s="132" t="s">
        <v>2150</v>
      </c>
      <c r="E1404" s="132" t="s">
        <v>320</v>
      </c>
      <c r="F1404" s="133" t="s">
        <v>2239</v>
      </c>
      <c r="G1404" s="134">
        <v>6.86</v>
      </c>
      <c r="H1404" s="135">
        <v>13.45</v>
      </c>
      <c r="I1404" s="136">
        <f t="shared" si="21"/>
        <v>92.266999999999996</v>
      </c>
      <c r="J1404" s="137">
        <v>1</v>
      </c>
    </row>
    <row r="1405" spans="2:10" ht="15" customHeight="1" x14ac:dyDescent="0.3">
      <c r="B1405" s="132" t="s">
        <v>2238</v>
      </c>
      <c r="C1405" s="132" t="s">
        <v>1529</v>
      </c>
      <c r="D1405" s="132" t="s">
        <v>2150</v>
      </c>
      <c r="E1405" s="132" t="s">
        <v>320</v>
      </c>
      <c r="F1405" s="133" t="s">
        <v>2240</v>
      </c>
      <c r="G1405" s="134">
        <v>8.1300000000000008</v>
      </c>
      <c r="H1405" s="135">
        <v>13.45</v>
      </c>
      <c r="I1405" s="136">
        <f t="shared" si="21"/>
        <v>109.3485</v>
      </c>
      <c r="J1405" s="137">
        <v>1</v>
      </c>
    </row>
    <row r="1406" spans="2:10" ht="15" customHeight="1" x14ac:dyDescent="0.3">
      <c r="B1406" s="132" t="s">
        <v>2238</v>
      </c>
      <c r="C1406" s="132" t="s">
        <v>1529</v>
      </c>
      <c r="D1406" s="132" t="s">
        <v>2150</v>
      </c>
      <c r="E1406" s="132" t="s">
        <v>320</v>
      </c>
      <c r="F1406" s="133" t="s">
        <v>2241</v>
      </c>
      <c r="G1406" s="134">
        <v>1.1299999999999999</v>
      </c>
      <c r="H1406" s="135">
        <v>13.45</v>
      </c>
      <c r="I1406" s="136">
        <f t="shared" si="21"/>
        <v>15.198499999999997</v>
      </c>
      <c r="J1406" s="137">
        <v>1</v>
      </c>
    </row>
    <row r="1407" spans="2:10" ht="15" customHeight="1" x14ac:dyDescent="0.3">
      <c r="B1407" s="132" t="s">
        <v>2238</v>
      </c>
      <c r="C1407" s="132" t="s">
        <v>1529</v>
      </c>
      <c r="D1407" s="132" t="s">
        <v>2150</v>
      </c>
      <c r="E1407" s="132" t="s">
        <v>320</v>
      </c>
      <c r="F1407" s="133" t="s">
        <v>2242</v>
      </c>
      <c r="G1407" s="134">
        <v>1.1399999999999999</v>
      </c>
      <c r="H1407" s="135">
        <v>13.45</v>
      </c>
      <c r="I1407" s="136">
        <f t="shared" si="21"/>
        <v>15.332999999999998</v>
      </c>
      <c r="J1407" s="137">
        <v>1</v>
      </c>
    </row>
    <row r="1408" spans="2:10" ht="15" customHeight="1" x14ac:dyDescent="0.3">
      <c r="B1408" s="132" t="s">
        <v>2243</v>
      </c>
      <c r="C1408" s="132" t="s">
        <v>1529</v>
      </c>
      <c r="D1408" s="132" t="s">
        <v>2150</v>
      </c>
      <c r="E1408" s="132" t="s">
        <v>320</v>
      </c>
      <c r="F1408" s="133" t="s">
        <v>2244</v>
      </c>
      <c r="G1408" s="134">
        <v>3.04</v>
      </c>
      <c r="H1408" s="135">
        <v>13.45</v>
      </c>
      <c r="I1408" s="136">
        <f t="shared" si="21"/>
        <v>40.887999999999998</v>
      </c>
      <c r="J1408" s="137">
        <v>1</v>
      </c>
    </row>
    <row r="1409" spans="2:10" ht="15" customHeight="1" x14ac:dyDescent="0.3">
      <c r="B1409" s="132" t="s">
        <v>2243</v>
      </c>
      <c r="C1409" s="132" t="s">
        <v>1529</v>
      </c>
      <c r="D1409" s="132" t="s">
        <v>2150</v>
      </c>
      <c r="E1409" s="132" t="s">
        <v>320</v>
      </c>
      <c r="F1409" s="133" t="s">
        <v>2245</v>
      </c>
      <c r="G1409" s="134">
        <v>3.04</v>
      </c>
      <c r="H1409" s="135">
        <v>13.45</v>
      </c>
      <c r="I1409" s="136">
        <f t="shared" si="21"/>
        <v>40.887999999999998</v>
      </c>
      <c r="J1409" s="137">
        <v>1</v>
      </c>
    </row>
    <row r="1410" spans="2:10" ht="15" customHeight="1" x14ac:dyDescent="0.3">
      <c r="B1410" s="132" t="s">
        <v>2246</v>
      </c>
      <c r="C1410" s="132" t="s">
        <v>1529</v>
      </c>
      <c r="D1410" s="132" t="s">
        <v>2150</v>
      </c>
      <c r="E1410" s="132" t="s">
        <v>320</v>
      </c>
      <c r="F1410" s="133" t="s">
        <v>2247</v>
      </c>
      <c r="G1410" s="134">
        <v>1.61</v>
      </c>
      <c r="H1410" s="135">
        <v>13.45</v>
      </c>
      <c r="I1410" s="136">
        <f t="shared" si="21"/>
        <v>21.654499999999999</v>
      </c>
      <c r="J1410" s="137">
        <v>1</v>
      </c>
    </row>
    <row r="1411" spans="2:10" ht="15" customHeight="1" x14ac:dyDescent="0.3">
      <c r="B1411" s="132" t="s">
        <v>2246</v>
      </c>
      <c r="C1411" s="132" t="s">
        <v>1529</v>
      </c>
      <c r="D1411" s="132" t="s">
        <v>2150</v>
      </c>
      <c r="E1411" s="132" t="s">
        <v>320</v>
      </c>
      <c r="F1411" s="133" t="s">
        <v>2248</v>
      </c>
      <c r="G1411" s="134">
        <v>1.6</v>
      </c>
      <c r="H1411" s="135">
        <v>13.45</v>
      </c>
      <c r="I1411" s="136">
        <f t="shared" si="21"/>
        <v>21.52</v>
      </c>
      <c r="J1411" s="137">
        <v>1</v>
      </c>
    </row>
    <row r="1412" spans="2:10" ht="15" customHeight="1" x14ac:dyDescent="0.3">
      <c r="B1412" s="132" t="s">
        <v>2246</v>
      </c>
      <c r="C1412" s="132" t="s">
        <v>1529</v>
      </c>
      <c r="D1412" s="132" t="s">
        <v>2150</v>
      </c>
      <c r="E1412" s="132" t="s">
        <v>320</v>
      </c>
      <c r="F1412" s="133" t="s">
        <v>2249</v>
      </c>
      <c r="G1412" s="134">
        <v>2.25</v>
      </c>
      <c r="H1412" s="135">
        <v>13.45</v>
      </c>
      <c r="I1412" s="136">
        <f t="shared" si="21"/>
        <v>30.262499999999999</v>
      </c>
      <c r="J1412" s="137">
        <v>1</v>
      </c>
    </row>
    <row r="1413" spans="2:10" ht="15" customHeight="1" x14ac:dyDescent="0.3">
      <c r="B1413" s="132" t="s">
        <v>2246</v>
      </c>
      <c r="C1413" s="132" t="s">
        <v>1529</v>
      </c>
      <c r="D1413" s="132" t="s">
        <v>2150</v>
      </c>
      <c r="E1413" s="132" t="s">
        <v>320</v>
      </c>
      <c r="F1413" s="133" t="s">
        <v>2250</v>
      </c>
      <c r="G1413" s="134">
        <v>2.25</v>
      </c>
      <c r="H1413" s="135">
        <v>13.45</v>
      </c>
      <c r="I1413" s="136">
        <f t="shared" si="21"/>
        <v>30.262499999999999</v>
      </c>
      <c r="J1413" s="137">
        <v>1</v>
      </c>
    </row>
    <row r="1414" spans="2:10" ht="15" customHeight="1" x14ac:dyDescent="0.3">
      <c r="B1414" s="132" t="s">
        <v>2251</v>
      </c>
      <c r="C1414" s="132" t="s">
        <v>1529</v>
      </c>
      <c r="D1414" s="132" t="s">
        <v>2150</v>
      </c>
      <c r="E1414" s="132" t="s">
        <v>320</v>
      </c>
      <c r="F1414" s="133" t="s">
        <v>2252</v>
      </c>
      <c r="G1414" s="134">
        <v>3.9</v>
      </c>
      <c r="H1414" s="135">
        <v>13.45</v>
      </c>
      <c r="I1414" s="136">
        <f t="shared" si="21"/>
        <v>52.454999999999998</v>
      </c>
      <c r="J1414" s="137">
        <v>1</v>
      </c>
    </row>
    <row r="1415" spans="2:10" ht="15" customHeight="1" x14ac:dyDescent="0.3">
      <c r="B1415" s="132" t="s">
        <v>2253</v>
      </c>
      <c r="C1415" s="132" t="s">
        <v>1529</v>
      </c>
      <c r="D1415" s="132" t="s">
        <v>2150</v>
      </c>
      <c r="E1415" s="132" t="s">
        <v>320</v>
      </c>
      <c r="F1415" s="133" t="s">
        <v>2254</v>
      </c>
      <c r="G1415" s="134">
        <v>3.67</v>
      </c>
      <c r="H1415" s="135">
        <v>13.45</v>
      </c>
      <c r="I1415" s="136">
        <f t="shared" si="21"/>
        <v>49.361499999999999</v>
      </c>
      <c r="J1415" s="137">
        <v>1</v>
      </c>
    </row>
    <row r="1416" spans="2:10" ht="15" customHeight="1" x14ac:dyDescent="0.3">
      <c r="B1416" s="132" t="s">
        <v>2253</v>
      </c>
      <c r="C1416" s="132" t="s">
        <v>1529</v>
      </c>
      <c r="D1416" s="132" t="s">
        <v>2150</v>
      </c>
      <c r="E1416" s="132" t="s">
        <v>320</v>
      </c>
      <c r="F1416" s="133" t="s">
        <v>2255</v>
      </c>
      <c r="G1416" s="134">
        <v>1.46</v>
      </c>
      <c r="H1416" s="135">
        <v>13.45</v>
      </c>
      <c r="I1416" s="136">
        <f t="shared" ref="I1416:I1479" si="22">G1416*H1416</f>
        <v>19.636999999999997</v>
      </c>
      <c r="J1416" s="137">
        <v>1</v>
      </c>
    </row>
    <row r="1417" spans="2:10" ht="15" customHeight="1" x14ac:dyDescent="0.3">
      <c r="B1417" s="132" t="s">
        <v>2253</v>
      </c>
      <c r="C1417" s="132" t="s">
        <v>1529</v>
      </c>
      <c r="D1417" s="132" t="s">
        <v>2150</v>
      </c>
      <c r="E1417" s="132" t="s">
        <v>320</v>
      </c>
      <c r="F1417" s="133" t="s">
        <v>2256</v>
      </c>
      <c r="G1417" s="134">
        <v>1.47</v>
      </c>
      <c r="H1417" s="135">
        <v>13.45</v>
      </c>
      <c r="I1417" s="136">
        <f t="shared" si="22"/>
        <v>19.7715</v>
      </c>
      <c r="J1417" s="137">
        <v>1</v>
      </c>
    </row>
    <row r="1418" spans="2:10" ht="15" customHeight="1" x14ac:dyDescent="0.3">
      <c r="B1418" s="132" t="s">
        <v>2120</v>
      </c>
      <c r="C1418" s="132" t="s">
        <v>1529</v>
      </c>
      <c r="D1418" s="132" t="s">
        <v>2150</v>
      </c>
      <c r="E1418" s="132" t="s">
        <v>320</v>
      </c>
      <c r="F1418" s="133" t="s">
        <v>2257</v>
      </c>
      <c r="G1418" s="134">
        <v>3.53</v>
      </c>
      <c r="H1418" s="135">
        <v>13.45</v>
      </c>
      <c r="I1418" s="136">
        <f t="shared" si="22"/>
        <v>47.478499999999997</v>
      </c>
      <c r="J1418" s="137">
        <v>1</v>
      </c>
    </row>
    <row r="1419" spans="2:10" ht="15" customHeight="1" x14ac:dyDescent="0.3">
      <c r="B1419" s="132" t="s">
        <v>2120</v>
      </c>
      <c r="C1419" s="132" t="s">
        <v>1529</v>
      </c>
      <c r="D1419" s="132" t="s">
        <v>2150</v>
      </c>
      <c r="E1419" s="132" t="s">
        <v>320</v>
      </c>
      <c r="F1419" s="133" t="s">
        <v>2258</v>
      </c>
      <c r="G1419" s="134">
        <v>8.0399999999999991</v>
      </c>
      <c r="H1419" s="135">
        <v>13.45</v>
      </c>
      <c r="I1419" s="136">
        <f t="shared" si="22"/>
        <v>108.13799999999998</v>
      </c>
      <c r="J1419" s="137">
        <v>1</v>
      </c>
    </row>
    <row r="1420" spans="2:10" ht="15" customHeight="1" x14ac:dyDescent="0.3">
      <c r="B1420" s="132" t="s">
        <v>2120</v>
      </c>
      <c r="C1420" s="132" t="s">
        <v>1529</v>
      </c>
      <c r="D1420" s="132" t="s">
        <v>2150</v>
      </c>
      <c r="E1420" s="132" t="s">
        <v>320</v>
      </c>
      <c r="F1420" s="133" t="s">
        <v>2259</v>
      </c>
      <c r="G1420" s="134">
        <v>7.4</v>
      </c>
      <c r="H1420" s="135">
        <v>13.45</v>
      </c>
      <c r="I1420" s="136">
        <f t="shared" si="22"/>
        <v>99.53</v>
      </c>
      <c r="J1420" s="137">
        <v>1</v>
      </c>
    </row>
    <row r="1421" spans="2:10" ht="15" customHeight="1" x14ac:dyDescent="0.3">
      <c r="B1421" s="132" t="s">
        <v>2120</v>
      </c>
      <c r="C1421" s="132" t="s">
        <v>1529</v>
      </c>
      <c r="D1421" s="132" t="s">
        <v>2150</v>
      </c>
      <c r="E1421" s="132" t="s">
        <v>320</v>
      </c>
      <c r="F1421" s="133" t="s">
        <v>2260</v>
      </c>
      <c r="G1421" s="134">
        <v>8.26</v>
      </c>
      <c r="H1421" s="135">
        <v>13.45</v>
      </c>
      <c r="I1421" s="136">
        <f t="shared" si="22"/>
        <v>111.09699999999999</v>
      </c>
      <c r="J1421" s="137">
        <v>1</v>
      </c>
    </row>
    <row r="1422" spans="2:10" ht="15" customHeight="1" x14ac:dyDescent="0.3">
      <c r="B1422" s="132" t="s">
        <v>2261</v>
      </c>
      <c r="C1422" s="132" t="s">
        <v>1529</v>
      </c>
      <c r="D1422" s="132" t="s">
        <v>2150</v>
      </c>
      <c r="E1422" s="132" t="s">
        <v>320</v>
      </c>
      <c r="F1422" s="133" t="s">
        <v>2262</v>
      </c>
      <c r="G1422" s="134">
        <v>1.27</v>
      </c>
      <c r="H1422" s="135">
        <v>13.45</v>
      </c>
      <c r="I1422" s="136">
        <f t="shared" si="22"/>
        <v>17.081499999999998</v>
      </c>
      <c r="J1422" s="137">
        <v>1</v>
      </c>
    </row>
    <row r="1423" spans="2:10" ht="15" customHeight="1" x14ac:dyDescent="0.3">
      <c r="B1423" s="132" t="s">
        <v>2263</v>
      </c>
      <c r="C1423" s="132" t="s">
        <v>1529</v>
      </c>
      <c r="D1423" s="132" t="s">
        <v>2150</v>
      </c>
      <c r="E1423" s="132" t="s">
        <v>320</v>
      </c>
      <c r="F1423" s="133" t="s">
        <v>2264</v>
      </c>
      <c r="G1423" s="134">
        <v>2.62</v>
      </c>
      <c r="H1423" s="135">
        <v>13.45</v>
      </c>
      <c r="I1423" s="136">
        <f t="shared" si="22"/>
        <v>35.238999999999997</v>
      </c>
      <c r="J1423" s="137">
        <v>1</v>
      </c>
    </row>
    <row r="1424" spans="2:10" ht="15" customHeight="1" x14ac:dyDescent="0.3">
      <c r="B1424" s="132" t="s">
        <v>2263</v>
      </c>
      <c r="C1424" s="132" t="s">
        <v>1529</v>
      </c>
      <c r="D1424" s="132" t="s">
        <v>2150</v>
      </c>
      <c r="E1424" s="132" t="s">
        <v>320</v>
      </c>
      <c r="F1424" s="133" t="s">
        <v>2265</v>
      </c>
      <c r="G1424" s="134">
        <v>2.65</v>
      </c>
      <c r="H1424" s="135">
        <v>13.45</v>
      </c>
      <c r="I1424" s="136">
        <f t="shared" si="22"/>
        <v>35.642499999999998</v>
      </c>
      <c r="J1424" s="137">
        <v>1</v>
      </c>
    </row>
    <row r="1425" spans="2:10" ht="15" customHeight="1" x14ac:dyDescent="0.3">
      <c r="B1425" s="132" t="s">
        <v>2263</v>
      </c>
      <c r="C1425" s="132" t="s">
        <v>1529</v>
      </c>
      <c r="D1425" s="132" t="s">
        <v>2150</v>
      </c>
      <c r="E1425" s="132" t="s">
        <v>320</v>
      </c>
      <c r="F1425" s="133" t="s">
        <v>2266</v>
      </c>
      <c r="G1425" s="134">
        <v>1.81</v>
      </c>
      <c r="H1425" s="135">
        <v>13.45</v>
      </c>
      <c r="I1425" s="136">
        <f t="shared" si="22"/>
        <v>24.3445</v>
      </c>
      <c r="J1425" s="137">
        <v>1</v>
      </c>
    </row>
    <row r="1426" spans="2:10" ht="15" customHeight="1" x14ac:dyDescent="0.3">
      <c r="B1426" s="132" t="s">
        <v>2263</v>
      </c>
      <c r="C1426" s="132" t="s">
        <v>1529</v>
      </c>
      <c r="D1426" s="132" t="s">
        <v>2150</v>
      </c>
      <c r="E1426" s="132" t="s">
        <v>320</v>
      </c>
      <c r="F1426" s="133" t="s">
        <v>2267</v>
      </c>
      <c r="G1426" s="134">
        <v>1.8</v>
      </c>
      <c r="H1426" s="135">
        <v>13.45</v>
      </c>
      <c r="I1426" s="136">
        <f t="shared" si="22"/>
        <v>24.21</v>
      </c>
      <c r="J1426" s="137">
        <v>1</v>
      </c>
    </row>
    <row r="1427" spans="2:10" ht="15" customHeight="1" x14ac:dyDescent="0.3">
      <c r="B1427" s="132" t="s">
        <v>2268</v>
      </c>
      <c r="C1427" s="132" t="s">
        <v>1529</v>
      </c>
      <c r="D1427" s="132" t="s">
        <v>2150</v>
      </c>
      <c r="E1427" s="132" t="s">
        <v>320</v>
      </c>
      <c r="F1427" s="133" t="s">
        <v>2269</v>
      </c>
      <c r="G1427" s="134">
        <v>1.27</v>
      </c>
      <c r="H1427" s="135">
        <v>13.45</v>
      </c>
      <c r="I1427" s="136">
        <f t="shared" si="22"/>
        <v>17.081499999999998</v>
      </c>
      <c r="J1427" s="137">
        <v>1</v>
      </c>
    </row>
    <row r="1428" spans="2:10" ht="15" customHeight="1" x14ac:dyDescent="0.3">
      <c r="B1428" s="132" t="s">
        <v>2268</v>
      </c>
      <c r="C1428" s="132" t="s">
        <v>1529</v>
      </c>
      <c r="D1428" s="132" t="s">
        <v>2150</v>
      </c>
      <c r="E1428" s="132" t="s">
        <v>320</v>
      </c>
      <c r="F1428" s="133" t="s">
        <v>2270</v>
      </c>
      <c r="G1428" s="134">
        <v>1.27</v>
      </c>
      <c r="H1428" s="135">
        <v>13.45</v>
      </c>
      <c r="I1428" s="136">
        <f t="shared" si="22"/>
        <v>17.081499999999998</v>
      </c>
      <c r="J1428" s="137">
        <v>1</v>
      </c>
    </row>
    <row r="1429" spans="2:10" ht="15" customHeight="1" x14ac:dyDescent="0.3">
      <c r="B1429" s="132" t="s">
        <v>2268</v>
      </c>
      <c r="C1429" s="132" t="s">
        <v>1529</v>
      </c>
      <c r="D1429" s="132" t="s">
        <v>2150</v>
      </c>
      <c r="E1429" s="132" t="s">
        <v>320</v>
      </c>
      <c r="F1429" s="133" t="s">
        <v>2271</v>
      </c>
      <c r="G1429" s="134">
        <v>1.6</v>
      </c>
      <c r="H1429" s="135">
        <v>13.45</v>
      </c>
      <c r="I1429" s="136">
        <f t="shared" si="22"/>
        <v>21.52</v>
      </c>
      <c r="J1429" s="137">
        <v>1</v>
      </c>
    </row>
    <row r="1430" spans="2:10" ht="15" customHeight="1" x14ac:dyDescent="0.3">
      <c r="B1430" s="132" t="s">
        <v>2268</v>
      </c>
      <c r="C1430" s="132" t="s">
        <v>1529</v>
      </c>
      <c r="D1430" s="132" t="s">
        <v>2150</v>
      </c>
      <c r="E1430" s="132" t="s">
        <v>320</v>
      </c>
      <c r="F1430" s="133" t="s">
        <v>2272</v>
      </c>
      <c r="G1430" s="134">
        <v>1.76</v>
      </c>
      <c r="H1430" s="135">
        <v>13.45</v>
      </c>
      <c r="I1430" s="136">
        <f t="shared" si="22"/>
        <v>23.672000000000001</v>
      </c>
      <c r="J1430" s="137">
        <v>1</v>
      </c>
    </row>
    <row r="1431" spans="2:10" ht="15" customHeight="1" x14ac:dyDescent="0.3">
      <c r="B1431" s="132" t="s">
        <v>2268</v>
      </c>
      <c r="C1431" s="132" t="s">
        <v>1529</v>
      </c>
      <c r="D1431" s="132" t="s">
        <v>2150</v>
      </c>
      <c r="E1431" s="132" t="s">
        <v>320</v>
      </c>
      <c r="F1431" s="133" t="s">
        <v>2273</v>
      </c>
      <c r="G1431" s="134">
        <v>1.93</v>
      </c>
      <c r="H1431" s="135">
        <v>13.45</v>
      </c>
      <c r="I1431" s="136">
        <f t="shared" si="22"/>
        <v>25.958499999999997</v>
      </c>
      <c r="J1431" s="137">
        <v>1</v>
      </c>
    </row>
    <row r="1432" spans="2:10" ht="15" customHeight="1" x14ac:dyDescent="0.3">
      <c r="B1432" s="132" t="s">
        <v>2268</v>
      </c>
      <c r="C1432" s="132" t="s">
        <v>1529</v>
      </c>
      <c r="D1432" s="132" t="s">
        <v>2150</v>
      </c>
      <c r="E1432" s="132" t="s">
        <v>320</v>
      </c>
      <c r="F1432" s="133" t="s">
        <v>2274</v>
      </c>
      <c r="G1432" s="134">
        <v>1.93</v>
      </c>
      <c r="H1432" s="135">
        <v>13.45</v>
      </c>
      <c r="I1432" s="136">
        <f t="shared" si="22"/>
        <v>25.958499999999997</v>
      </c>
      <c r="J1432" s="137">
        <v>1</v>
      </c>
    </row>
    <row r="1433" spans="2:10" ht="15" customHeight="1" x14ac:dyDescent="0.3">
      <c r="B1433" s="132" t="s">
        <v>2268</v>
      </c>
      <c r="C1433" s="132" t="s">
        <v>1529</v>
      </c>
      <c r="D1433" s="132" t="s">
        <v>2150</v>
      </c>
      <c r="E1433" s="132" t="s">
        <v>320</v>
      </c>
      <c r="F1433" s="133" t="s">
        <v>2275</v>
      </c>
      <c r="G1433" s="134">
        <v>1.77</v>
      </c>
      <c r="H1433" s="135">
        <v>13.45</v>
      </c>
      <c r="I1433" s="136">
        <f t="shared" si="22"/>
        <v>23.8065</v>
      </c>
      <c r="J1433" s="137">
        <v>1</v>
      </c>
    </row>
    <row r="1434" spans="2:10" ht="15" customHeight="1" x14ac:dyDescent="0.3">
      <c r="B1434" s="132" t="s">
        <v>2268</v>
      </c>
      <c r="C1434" s="132" t="s">
        <v>1529</v>
      </c>
      <c r="D1434" s="132" t="s">
        <v>2150</v>
      </c>
      <c r="E1434" s="132" t="s">
        <v>320</v>
      </c>
      <c r="F1434" s="133" t="s">
        <v>2276</v>
      </c>
      <c r="G1434" s="134">
        <v>1.79</v>
      </c>
      <c r="H1434" s="135">
        <v>13.45</v>
      </c>
      <c r="I1434" s="136">
        <f t="shared" si="22"/>
        <v>24.075499999999998</v>
      </c>
      <c r="J1434" s="137">
        <v>1</v>
      </c>
    </row>
    <row r="1435" spans="2:10" ht="15" customHeight="1" x14ac:dyDescent="0.3">
      <c r="B1435" s="132" t="s">
        <v>2268</v>
      </c>
      <c r="C1435" s="132" t="s">
        <v>1529</v>
      </c>
      <c r="D1435" s="132" t="s">
        <v>2150</v>
      </c>
      <c r="E1435" s="132" t="s">
        <v>320</v>
      </c>
      <c r="F1435" s="133" t="s">
        <v>2277</v>
      </c>
      <c r="G1435" s="134">
        <v>1.75</v>
      </c>
      <c r="H1435" s="135">
        <v>13.45</v>
      </c>
      <c r="I1435" s="136">
        <f t="shared" si="22"/>
        <v>23.537499999999998</v>
      </c>
      <c r="J1435" s="137">
        <v>1</v>
      </c>
    </row>
    <row r="1436" spans="2:10" ht="15" customHeight="1" x14ac:dyDescent="0.3">
      <c r="B1436" s="132" t="s">
        <v>2268</v>
      </c>
      <c r="C1436" s="132" t="s">
        <v>1529</v>
      </c>
      <c r="D1436" s="132" t="s">
        <v>2150</v>
      </c>
      <c r="E1436" s="132" t="s">
        <v>320</v>
      </c>
      <c r="F1436" s="133" t="s">
        <v>2278</v>
      </c>
      <c r="G1436" s="134">
        <v>2.2400000000000002</v>
      </c>
      <c r="H1436" s="135">
        <v>13.45</v>
      </c>
      <c r="I1436" s="136">
        <f t="shared" si="22"/>
        <v>30.128</v>
      </c>
      <c r="J1436" s="137">
        <v>1</v>
      </c>
    </row>
    <row r="1437" spans="2:10" ht="15" customHeight="1" x14ac:dyDescent="0.3">
      <c r="B1437" s="132" t="s">
        <v>2279</v>
      </c>
      <c r="C1437" s="132" t="s">
        <v>1529</v>
      </c>
      <c r="D1437" s="132" t="s">
        <v>2150</v>
      </c>
      <c r="E1437" s="132" t="s">
        <v>320</v>
      </c>
      <c r="F1437" s="133" t="s">
        <v>2280</v>
      </c>
      <c r="G1437" s="134">
        <v>2.87</v>
      </c>
      <c r="H1437" s="135">
        <v>13.45</v>
      </c>
      <c r="I1437" s="136">
        <f t="shared" si="22"/>
        <v>38.601500000000001</v>
      </c>
      <c r="J1437" s="137">
        <v>1</v>
      </c>
    </row>
    <row r="1438" spans="2:10" ht="15" customHeight="1" x14ac:dyDescent="0.3">
      <c r="B1438" s="132" t="s">
        <v>2281</v>
      </c>
      <c r="C1438" s="132" t="s">
        <v>1529</v>
      </c>
      <c r="D1438" s="132" t="s">
        <v>2150</v>
      </c>
      <c r="E1438" s="132" t="s">
        <v>320</v>
      </c>
      <c r="F1438" s="133" t="s">
        <v>2282</v>
      </c>
      <c r="G1438" s="134">
        <v>1.17</v>
      </c>
      <c r="H1438" s="135">
        <v>13.45</v>
      </c>
      <c r="I1438" s="136">
        <f t="shared" si="22"/>
        <v>15.736499999999998</v>
      </c>
      <c r="J1438" s="137">
        <v>1</v>
      </c>
    </row>
    <row r="1439" spans="2:10" ht="15" customHeight="1" x14ac:dyDescent="0.3">
      <c r="B1439" s="132" t="s">
        <v>2283</v>
      </c>
      <c r="C1439" s="132" t="s">
        <v>1529</v>
      </c>
      <c r="D1439" s="132" t="s">
        <v>2150</v>
      </c>
      <c r="E1439" s="132" t="s">
        <v>320</v>
      </c>
      <c r="F1439" s="133" t="s">
        <v>2284</v>
      </c>
      <c r="G1439" s="134">
        <v>5.13</v>
      </c>
      <c r="H1439" s="135">
        <v>13.45</v>
      </c>
      <c r="I1439" s="136">
        <f t="shared" si="22"/>
        <v>68.998499999999993</v>
      </c>
      <c r="J1439" s="137">
        <v>1</v>
      </c>
    </row>
    <row r="1440" spans="2:10" ht="15" customHeight="1" x14ac:dyDescent="0.3">
      <c r="B1440" s="132" t="s">
        <v>2283</v>
      </c>
      <c r="C1440" s="132" t="s">
        <v>1529</v>
      </c>
      <c r="D1440" s="132" t="s">
        <v>2150</v>
      </c>
      <c r="E1440" s="132" t="s">
        <v>320</v>
      </c>
      <c r="F1440" s="133" t="s">
        <v>2285</v>
      </c>
      <c r="G1440" s="134">
        <v>7.6</v>
      </c>
      <c r="H1440" s="135">
        <v>13.45</v>
      </c>
      <c r="I1440" s="136">
        <f t="shared" si="22"/>
        <v>102.21999999999998</v>
      </c>
      <c r="J1440" s="137">
        <v>1</v>
      </c>
    </row>
    <row r="1441" spans="2:10" ht="15" customHeight="1" x14ac:dyDescent="0.3">
      <c r="B1441" s="132" t="s">
        <v>2286</v>
      </c>
      <c r="C1441" s="132" t="s">
        <v>1529</v>
      </c>
      <c r="D1441" s="132" t="s">
        <v>2150</v>
      </c>
      <c r="E1441" s="132" t="s">
        <v>320</v>
      </c>
      <c r="F1441" s="133" t="s">
        <v>2287</v>
      </c>
      <c r="G1441" s="134">
        <v>7.28</v>
      </c>
      <c r="H1441" s="135">
        <v>13.45</v>
      </c>
      <c r="I1441" s="136">
        <f t="shared" si="22"/>
        <v>97.915999999999997</v>
      </c>
      <c r="J1441" s="137">
        <v>1</v>
      </c>
    </row>
    <row r="1442" spans="2:10" ht="15" customHeight="1" x14ac:dyDescent="0.3">
      <c r="B1442" s="132" t="s">
        <v>2288</v>
      </c>
      <c r="C1442" s="132" t="s">
        <v>1529</v>
      </c>
      <c r="D1442" s="132" t="s">
        <v>2150</v>
      </c>
      <c r="E1442" s="132" t="s">
        <v>320</v>
      </c>
      <c r="F1442" s="133" t="s">
        <v>2289</v>
      </c>
      <c r="G1442" s="134">
        <v>7.28</v>
      </c>
      <c r="H1442" s="135">
        <v>13.45</v>
      </c>
      <c r="I1442" s="136">
        <f t="shared" si="22"/>
        <v>97.915999999999997</v>
      </c>
      <c r="J1442" s="137">
        <v>1</v>
      </c>
    </row>
    <row r="1443" spans="2:10" ht="15" customHeight="1" x14ac:dyDescent="0.3">
      <c r="B1443" s="132" t="s">
        <v>2288</v>
      </c>
      <c r="C1443" s="132" t="s">
        <v>1529</v>
      </c>
      <c r="D1443" s="132" t="s">
        <v>2150</v>
      </c>
      <c r="E1443" s="132" t="s">
        <v>320</v>
      </c>
      <c r="F1443" s="133" t="s">
        <v>2290</v>
      </c>
      <c r="G1443" s="134">
        <v>7.58</v>
      </c>
      <c r="H1443" s="135">
        <v>13.45</v>
      </c>
      <c r="I1443" s="136">
        <f t="shared" si="22"/>
        <v>101.95099999999999</v>
      </c>
      <c r="J1443" s="137">
        <v>1</v>
      </c>
    </row>
    <row r="1444" spans="2:10" ht="15" customHeight="1" x14ac:dyDescent="0.3">
      <c r="B1444" s="132" t="s">
        <v>2291</v>
      </c>
      <c r="C1444" s="132" t="s">
        <v>1529</v>
      </c>
      <c r="D1444" s="132" t="s">
        <v>2150</v>
      </c>
      <c r="E1444" s="132" t="s">
        <v>320</v>
      </c>
      <c r="F1444" s="133" t="s">
        <v>2292</v>
      </c>
      <c r="G1444" s="134">
        <v>7.94</v>
      </c>
      <c r="H1444" s="135">
        <v>13.45</v>
      </c>
      <c r="I1444" s="136">
        <f t="shared" si="22"/>
        <v>106.79300000000001</v>
      </c>
      <c r="J1444" s="137">
        <v>1</v>
      </c>
    </row>
    <row r="1445" spans="2:10" ht="15" customHeight="1" x14ac:dyDescent="0.3">
      <c r="B1445" s="132" t="s">
        <v>2293</v>
      </c>
      <c r="C1445" s="132" t="s">
        <v>1529</v>
      </c>
      <c r="D1445" s="132" t="s">
        <v>2150</v>
      </c>
      <c r="E1445" s="132" t="s">
        <v>320</v>
      </c>
      <c r="F1445" s="133" t="s">
        <v>2294</v>
      </c>
      <c r="G1445" s="134">
        <v>1.29</v>
      </c>
      <c r="H1445" s="135">
        <v>13.45</v>
      </c>
      <c r="I1445" s="136">
        <f t="shared" si="22"/>
        <v>17.3505</v>
      </c>
      <c r="J1445" s="137">
        <v>1</v>
      </c>
    </row>
    <row r="1446" spans="2:10" ht="15" customHeight="1" x14ac:dyDescent="0.3">
      <c r="B1446" s="132" t="s">
        <v>2293</v>
      </c>
      <c r="C1446" s="132" t="s">
        <v>1529</v>
      </c>
      <c r="D1446" s="132" t="s">
        <v>2150</v>
      </c>
      <c r="E1446" s="132" t="s">
        <v>320</v>
      </c>
      <c r="F1446" s="133" t="s">
        <v>2295</v>
      </c>
      <c r="G1446" s="134">
        <v>1.3</v>
      </c>
      <c r="H1446" s="135">
        <v>13.45</v>
      </c>
      <c r="I1446" s="136">
        <f t="shared" si="22"/>
        <v>17.484999999999999</v>
      </c>
      <c r="J1446" s="137">
        <v>1</v>
      </c>
    </row>
    <row r="1447" spans="2:10" ht="15" customHeight="1" x14ac:dyDescent="0.3">
      <c r="B1447" s="132" t="s">
        <v>2296</v>
      </c>
      <c r="C1447" s="132" t="s">
        <v>1529</v>
      </c>
      <c r="D1447" s="132" t="s">
        <v>2150</v>
      </c>
      <c r="E1447" s="132" t="s">
        <v>320</v>
      </c>
      <c r="F1447" s="133" t="s">
        <v>2297</v>
      </c>
      <c r="G1447" s="134">
        <v>8.8800000000000008</v>
      </c>
      <c r="H1447" s="135">
        <v>13.45</v>
      </c>
      <c r="I1447" s="136">
        <f t="shared" si="22"/>
        <v>119.43600000000001</v>
      </c>
      <c r="J1447" s="137">
        <v>1</v>
      </c>
    </row>
    <row r="1448" spans="2:10" ht="15" customHeight="1" x14ac:dyDescent="0.3">
      <c r="B1448" s="132" t="s">
        <v>2298</v>
      </c>
      <c r="C1448" s="132" t="s">
        <v>1529</v>
      </c>
      <c r="D1448" s="132" t="s">
        <v>2150</v>
      </c>
      <c r="E1448" s="132" t="s">
        <v>320</v>
      </c>
      <c r="F1448" s="133" t="s">
        <v>2299</v>
      </c>
      <c r="G1448" s="134">
        <v>7.81</v>
      </c>
      <c r="H1448" s="135">
        <v>13.45</v>
      </c>
      <c r="I1448" s="136">
        <f t="shared" si="22"/>
        <v>105.04449999999999</v>
      </c>
      <c r="J1448" s="137">
        <v>1</v>
      </c>
    </row>
    <row r="1449" spans="2:10" ht="15" customHeight="1" x14ac:dyDescent="0.3">
      <c r="B1449" s="132" t="s">
        <v>2300</v>
      </c>
      <c r="C1449" s="132" t="s">
        <v>1529</v>
      </c>
      <c r="D1449" s="132" t="s">
        <v>2150</v>
      </c>
      <c r="E1449" s="132" t="s">
        <v>320</v>
      </c>
      <c r="F1449" s="133" t="s">
        <v>2301</v>
      </c>
      <c r="G1449" s="134">
        <v>1.76</v>
      </c>
      <c r="H1449" s="135">
        <v>13.45</v>
      </c>
      <c r="I1449" s="136">
        <f t="shared" si="22"/>
        <v>23.672000000000001</v>
      </c>
      <c r="J1449" s="137">
        <v>1</v>
      </c>
    </row>
    <row r="1450" spans="2:10" ht="15" customHeight="1" x14ac:dyDescent="0.3">
      <c r="B1450" s="132" t="s">
        <v>2300</v>
      </c>
      <c r="C1450" s="132" t="s">
        <v>1529</v>
      </c>
      <c r="D1450" s="132" t="s">
        <v>2150</v>
      </c>
      <c r="E1450" s="132" t="s">
        <v>320</v>
      </c>
      <c r="F1450" s="133" t="s">
        <v>2302</v>
      </c>
      <c r="G1450" s="134">
        <v>9.64</v>
      </c>
      <c r="H1450" s="135">
        <v>13.45</v>
      </c>
      <c r="I1450" s="136">
        <f t="shared" si="22"/>
        <v>129.65799999999999</v>
      </c>
      <c r="J1450" s="137">
        <v>1</v>
      </c>
    </row>
    <row r="1451" spans="2:10" ht="15" customHeight="1" x14ac:dyDescent="0.3">
      <c r="B1451" s="132" t="s">
        <v>2300</v>
      </c>
      <c r="C1451" s="132" t="s">
        <v>1529</v>
      </c>
      <c r="D1451" s="132" t="s">
        <v>2150</v>
      </c>
      <c r="E1451" s="132" t="s">
        <v>320</v>
      </c>
      <c r="F1451" s="133" t="s">
        <v>2303</v>
      </c>
      <c r="G1451" s="134">
        <v>9.6</v>
      </c>
      <c r="H1451" s="135">
        <v>13.45</v>
      </c>
      <c r="I1451" s="136">
        <f t="shared" si="22"/>
        <v>129.11999999999998</v>
      </c>
      <c r="J1451" s="137">
        <v>1</v>
      </c>
    </row>
    <row r="1452" spans="2:10" ht="15" customHeight="1" x14ac:dyDescent="0.3">
      <c r="B1452" s="132" t="s">
        <v>2300</v>
      </c>
      <c r="C1452" s="132" t="s">
        <v>1529</v>
      </c>
      <c r="D1452" s="132" t="s">
        <v>2150</v>
      </c>
      <c r="E1452" s="132" t="s">
        <v>320</v>
      </c>
      <c r="F1452" s="133" t="s">
        <v>2304</v>
      </c>
      <c r="G1452" s="134">
        <v>9.73</v>
      </c>
      <c r="H1452" s="135">
        <v>13.45</v>
      </c>
      <c r="I1452" s="136">
        <f t="shared" si="22"/>
        <v>130.86850000000001</v>
      </c>
      <c r="J1452" s="137">
        <v>1</v>
      </c>
    </row>
    <row r="1453" spans="2:10" ht="15" customHeight="1" x14ac:dyDescent="0.3">
      <c r="B1453" s="132" t="s">
        <v>2300</v>
      </c>
      <c r="C1453" s="132" t="s">
        <v>1529</v>
      </c>
      <c r="D1453" s="132" t="s">
        <v>2150</v>
      </c>
      <c r="E1453" s="132" t="s">
        <v>320</v>
      </c>
      <c r="F1453" s="133" t="s">
        <v>2305</v>
      </c>
      <c r="G1453" s="134">
        <v>8.93</v>
      </c>
      <c r="H1453" s="135">
        <v>13.45</v>
      </c>
      <c r="I1453" s="136">
        <f t="shared" si="22"/>
        <v>120.10849999999999</v>
      </c>
      <c r="J1453" s="137">
        <v>1</v>
      </c>
    </row>
    <row r="1454" spans="2:10" ht="15" customHeight="1" x14ac:dyDescent="0.3">
      <c r="B1454" s="132" t="s">
        <v>2306</v>
      </c>
      <c r="C1454" s="132" t="s">
        <v>2307</v>
      </c>
      <c r="D1454" s="132" t="s">
        <v>2308</v>
      </c>
      <c r="E1454" s="132" t="s">
        <v>320</v>
      </c>
      <c r="F1454" s="133" t="s">
        <v>2309</v>
      </c>
      <c r="G1454" s="134">
        <v>3.36</v>
      </c>
      <c r="H1454" s="135">
        <v>13.45</v>
      </c>
      <c r="I1454" s="136">
        <f t="shared" si="22"/>
        <v>45.191999999999993</v>
      </c>
      <c r="J1454" s="137">
        <v>1</v>
      </c>
    </row>
    <row r="1455" spans="2:10" ht="15" customHeight="1" x14ac:dyDescent="0.3">
      <c r="B1455" s="132" t="s">
        <v>2306</v>
      </c>
      <c r="C1455" s="132" t="s">
        <v>2307</v>
      </c>
      <c r="D1455" s="132" t="s">
        <v>2308</v>
      </c>
      <c r="E1455" s="132" t="s">
        <v>320</v>
      </c>
      <c r="F1455" s="133" t="s">
        <v>2310</v>
      </c>
      <c r="G1455" s="134">
        <v>1.75</v>
      </c>
      <c r="H1455" s="135">
        <v>13.45</v>
      </c>
      <c r="I1455" s="136">
        <f t="shared" si="22"/>
        <v>23.537499999999998</v>
      </c>
      <c r="J1455" s="137">
        <v>1</v>
      </c>
    </row>
    <row r="1456" spans="2:10" ht="15" customHeight="1" x14ac:dyDescent="0.3">
      <c r="B1456" s="132" t="s">
        <v>2306</v>
      </c>
      <c r="C1456" s="132" t="s">
        <v>2307</v>
      </c>
      <c r="D1456" s="132" t="s">
        <v>2308</v>
      </c>
      <c r="E1456" s="132" t="s">
        <v>320</v>
      </c>
      <c r="F1456" s="133" t="s">
        <v>2311</v>
      </c>
      <c r="G1456" s="134">
        <v>8.17</v>
      </c>
      <c r="H1456" s="135">
        <v>13.45</v>
      </c>
      <c r="I1456" s="136">
        <f t="shared" si="22"/>
        <v>109.8865</v>
      </c>
      <c r="J1456" s="137">
        <v>1</v>
      </c>
    </row>
    <row r="1457" spans="2:10" ht="15" customHeight="1" x14ac:dyDescent="0.3">
      <c r="B1457" s="132" t="s">
        <v>2306</v>
      </c>
      <c r="C1457" s="132" t="s">
        <v>2307</v>
      </c>
      <c r="D1457" s="132" t="s">
        <v>2308</v>
      </c>
      <c r="E1457" s="132" t="s">
        <v>320</v>
      </c>
      <c r="F1457" s="133" t="s">
        <v>2312</v>
      </c>
      <c r="G1457" s="134">
        <v>3.04</v>
      </c>
      <c r="H1457" s="135">
        <v>13.45</v>
      </c>
      <c r="I1457" s="136">
        <f t="shared" si="22"/>
        <v>40.887999999999998</v>
      </c>
      <c r="J1457" s="137">
        <v>1</v>
      </c>
    </row>
    <row r="1458" spans="2:10" ht="15" customHeight="1" x14ac:dyDescent="0.3">
      <c r="B1458" s="132" t="s">
        <v>2306</v>
      </c>
      <c r="C1458" s="132" t="s">
        <v>2307</v>
      </c>
      <c r="D1458" s="132" t="s">
        <v>2308</v>
      </c>
      <c r="E1458" s="132" t="s">
        <v>320</v>
      </c>
      <c r="F1458" s="133" t="s">
        <v>2313</v>
      </c>
      <c r="G1458" s="134">
        <v>5.3</v>
      </c>
      <c r="H1458" s="135">
        <v>13.45</v>
      </c>
      <c r="I1458" s="136">
        <f t="shared" si="22"/>
        <v>71.284999999999997</v>
      </c>
      <c r="J1458" s="137">
        <v>1</v>
      </c>
    </row>
    <row r="1459" spans="2:10" ht="15" customHeight="1" x14ac:dyDescent="0.3">
      <c r="B1459" s="132" t="s">
        <v>2306</v>
      </c>
      <c r="C1459" s="132" t="s">
        <v>2307</v>
      </c>
      <c r="D1459" s="132" t="s">
        <v>2308</v>
      </c>
      <c r="E1459" s="132" t="s">
        <v>320</v>
      </c>
      <c r="F1459" s="133" t="s">
        <v>2314</v>
      </c>
      <c r="G1459" s="134">
        <v>3.22</v>
      </c>
      <c r="H1459" s="135">
        <v>13.45</v>
      </c>
      <c r="I1459" s="136">
        <f t="shared" si="22"/>
        <v>43.308999999999997</v>
      </c>
      <c r="J1459" s="137">
        <v>1</v>
      </c>
    </row>
    <row r="1460" spans="2:10" ht="15" customHeight="1" x14ac:dyDescent="0.3">
      <c r="B1460" s="132" t="s">
        <v>2306</v>
      </c>
      <c r="C1460" s="132" t="s">
        <v>2307</v>
      </c>
      <c r="D1460" s="132" t="s">
        <v>2308</v>
      </c>
      <c r="E1460" s="132" t="s">
        <v>320</v>
      </c>
      <c r="F1460" s="133" t="s">
        <v>2315</v>
      </c>
      <c r="G1460" s="134">
        <v>2.23</v>
      </c>
      <c r="H1460" s="135">
        <v>13.45</v>
      </c>
      <c r="I1460" s="136">
        <f t="shared" si="22"/>
        <v>29.993499999999997</v>
      </c>
      <c r="J1460" s="137">
        <v>1</v>
      </c>
    </row>
    <row r="1461" spans="2:10" ht="15" customHeight="1" x14ac:dyDescent="0.3">
      <c r="B1461" s="132" t="s">
        <v>2306</v>
      </c>
      <c r="C1461" s="132" t="s">
        <v>2307</v>
      </c>
      <c r="D1461" s="132" t="s">
        <v>2308</v>
      </c>
      <c r="E1461" s="132" t="s">
        <v>320</v>
      </c>
      <c r="F1461" s="133" t="s">
        <v>2316</v>
      </c>
      <c r="G1461" s="134">
        <v>2.09</v>
      </c>
      <c r="H1461" s="135">
        <v>13.45</v>
      </c>
      <c r="I1461" s="136">
        <f t="shared" si="22"/>
        <v>28.110499999999998</v>
      </c>
      <c r="J1461" s="137">
        <v>1</v>
      </c>
    </row>
    <row r="1462" spans="2:10" ht="15" customHeight="1" x14ac:dyDescent="0.3">
      <c r="B1462" s="132" t="s">
        <v>2317</v>
      </c>
      <c r="C1462" s="132" t="s">
        <v>2307</v>
      </c>
      <c r="D1462" s="132" t="s">
        <v>2308</v>
      </c>
      <c r="E1462" s="132" t="s">
        <v>320</v>
      </c>
      <c r="F1462" s="133" t="s">
        <v>2318</v>
      </c>
      <c r="G1462" s="134">
        <v>6.08</v>
      </c>
      <c r="H1462" s="135">
        <v>13.45</v>
      </c>
      <c r="I1462" s="136">
        <f t="shared" si="22"/>
        <v>81.775999999999996</v>
      </c>
      <c r="J1462" s="137">
        <v>1</v>
      </c>
    </row>
    <row r="1463" spans="2:10" ht="15" customHeight="1" x14ac:dyDescent="0.3">
      <c r="B1463" s="132" t="s">
        <v>2319</v>
      </c>
      <c r="C1463" s="132" t="s">
        <v>2307</v>
      </c>
      <c r="D1463" s="132" t="s">
        <v>2308</v>
      </c>
      <c r="E1463" s="132" t="s">
        <v>320</v>
      </c>
      <c r="F1463" s="133" t="s">
        <v>2320</v>
      </c>
      <c r="G1463" s="134">
        <v>2.4700000000000002</v>
      </c>
      <c r="H1463" s="135">
        <v>13.45</v>
      </c>
      <c r="I1463" s="136">
        <f t="shared" si="22"/>
        <v>33.221499999999999</v>
      </c>
      <c r="J1463" s="137">
        <v>1</v>
      </c>
    </row>
    <row r="1464" spans="2:10" ht="15" customHeight="1" x14ac:dyDescent="0.3">
      <c r="B1464" s="132" t="s">
        <v>2321</v>
      </c>
      <c r="C1464" s="132" t="s">
        <v>2307</v>
      </c>
      <c r="D1464" s="132" t="s">
        <v>2308</v>
      </c>
      <c r="E1464" s="132" t="s">
        <v>320</v>
      </c>
      <c r="F1464" s="133" t="s">
        <v>2322</v>
      </c>
      <c r="G1464" s="134">
        <v>4.1500000000000004</v>
      </c>
      <c r="H1464" s="135">
        <v>13.45</v>
      </c>
      <c r="I1464" s="136">
        <f t="shared" si="22"/>
        <v>55.817500000000003</v>
      </c>
      <c r="J1464" s="137">
        <v>1</v>
      </c>
    </row>
    <row r="1465" spans="2:10" ht="15" customHeight="1" x14ac:dyDescent="0.3">
      <c r="B1465" s="132" t="s">
        <v>2323</v>
      </c>
      <c r="C1465" s="132" t="s">
        <v>2307</v>
      </c>
      <c r="D1465" s="132" t="s">
        <v>2308</v>
      </c>
      <c r="E1465" s="132" t="s">
        <v>320</v>
      </c>
      <c r="F1465" s="133" t="s">
        <v>2324</v>
      </c>
      <c r="G1465" s="134">
        <v>6.95</v>
      </c>
      <c r="H1465" s="135">
        <v>13.45</v>
      </c>
      <c r="I1465" s="136">
        <f t="shared" si="22"/>
        <v>93.477499999999992</v>
      </c>
      <c r="J1465" s="137">
        <v>1</v>
      </c>
    </row>
    <row r="1466" spans="2:10" ht="15" customHeight="1" x14ac:dyDescent="0.3">
      <c r="B1466" s="132" t="s">
        <v>2325</v>
      </c>
      <c r="C1466" s="132" t="s">
        <v>2307</v>
      </c>
      <c r="D1466" s="132" t="s">
        <v>2308</v>
      </c>
      <c r="E1466" s="132" t="s">
        <v>320</v>
      </c>
      <c r="F1466" s="133" t="s">
        <v>2326</v>
      </c>
      <c r="G1466" s="134">
        <v>1.54</v>
      </c>
      <c r="H1466" s="135">
        <v>13.45</v>
      </c>
      <c r="I1466" s="136">
        <f t="shared" si="22"/>
        <v>20.713000000000001</v>
      </c>
      <c r="J1466" s="137">
        <v>1</v>
      </c>
    </row>
    <row r="1467" spans="2:10" ht="15" customHeight="1" x14ac:dyDescent="0.3">
      <c r="B1467" s="132" t="s">
        <v>2327</v>
      </c>
      <c r="C1467" s="132" t="s">
        <v>2307</v>
      </c>
      <c r="D1467" s="132" t="s">
        <v>2308</v>
      </c>
      <c r="E1467" s="132" t="s">
        <v>320</v>
      </c>
      <c r="F1467" s="133" t="s">
        <v>2328</v>
      </c>
      <c r="G1467" s="134">
        <v>8.6300000000000008</v>
      </c>
      <c r="H1467" s="135">
        <v>13.45</v>
      </c>
      <c r="I1467" s="136">
        <f t="shared" si="22"/>
        <v>116.07350000000001</v>
      </c>
      <c r="J1467" s="137">
        <v>1</v>
      </c>
    </row>
    <row r="1468" spans="2:10" ht="15" customHeight="1" x14ac:dyDescent="0.3">
      <c r="B1468" s="132" t="s">
        <v>2329</v>
      </c>
      <c r="C1468" s="132" t="s">
        <v>2307</v>
      </c>
      <c r="D1468" s="132" t="s">
        <v>2308</v>
      </c>
      <c r="E1468" s="132" t="s">
        <v>320</v>
      </c>
      <c r="F1468" s="133" t="s">
        <v>2330</v>
      </c>
      <c r="G1468" s="134">
        <v>2.62</v>
      </c>
      <c r="H1468" s="135">
        <v>13.45</v>
      </c>
      <c r="I1468" s="136">
        <f t="shared" si="22"/>
        <v>35.238999999999997</v>
      </c>
      <c r="J1468" s="137">
        <v>1</v>
      </c>
    </row>
    <row r="1469" spans="2:10" ht="15" customHeight="1" x14ac:dyDescent="0.3">
      <c r="B1469" s="132" t="s">
        <v>2329</v>
      </c>
      <c r="C1469" s="132" t="s">
        <v>2307</v>
      </c>
      <c r="D1469" s="132" t="s">
        <v>2308</v>
      </c>
      <c r="E1469" s="132" t="s">
        <v>320</v>
      </c>
      <c r="F1469" s="133" t="s">
        <v>2331</v>
      </c>
      <c r="G1469" s="134">
        <v>1.0900000000000001</v>
      </c>
      <c r="H1469" s="135">
        <v>13.45</v>
      </c>
      <c r="I1469" s="136">
        <f t="shared" si="22"/>
        <v>14.660500000000001</v>
      </c>
      <c r="J1469" s="137">
        <v>1</v>
      </c>
    </row>
    <row r="1470" spans="2:10" ht="15" customHeight="1" x14ac:dyDescent="0.3">
      <c r="B1470" s="132" t="s">
        <v>2329</v>
      </c>
      <c r="C1470" s="132" t="s">
        <v>2307</v>
      </c>
      <c r="D1470" s="132" t="s">
        <v>2308</v>
      </c>
      <c r="E1470" s="132" t="s">
        <v>320</v>
      </c>
      <c r="F1470" s="133" t="s">
        <v>2332</v>
      </c>
      <c r="G1470" s="134">
        <v>3.96</v>
      </c>
      <c r="H1470" s="135">
        <v>13.45</v>
      </c>
      <c r="I1470" s="136">
        <f t="shared" si="22"/>
        <v>53.261999999999993</v>
      </c>
      <c r="J1470" s="137">
        <v>1</v>
      </c>
    </row>
    <row r="1471" spans="2:10" ht="15" customHeight="1" x14ac:dyDescent="0.3">
      <c r="B1471" s="132" t="s">
        <v>2333</v>
      </c>
      <c r="C1471" s="132" t="s">
        <v>2307</v>
      </c>
      <c r="D1471" s="132" t="s">
        <v>2308</v>
      </c>
      <c r="E1471" s="132" t="s">
        <v>320</v>
      </c>
      <c r="F1471" s="133" t="s">
        <v>2334</v>
      </c>
      <c r="G1471" s="134">
        <v>1.63</v>
      </c>
      <c r="H1471" s="135">
        <v>13.45</v>
      </c>
      <c r="I1471" s="136">
        <f t="shared" si="22"/>
        <v>21.923499999999997</v>
      </c>
      <c r="J1471" s="137">
        <v>1</v>
      </c>
    </row>
    <row r="1472" spans="2:10" ht="15" customHeight="1" x14ac:dyDescent="0.3">
      <c r="B1472" s="132" t="s">
        <v>2333</v>
      </c>
      <c r="C1472" s="132" t="s">
        <v>2307</v>
      </c>
      <c r="D1472" s="132" t="s">
        <v>2308</v>
      </c>
      <c r="E1472" s="132" t="s">
        <v>320</v>
      </c>
      <c r="F1472" s="133" t="s">
        <v>2335</v>
      </c>
      <c r="G1472" s="134">
        <v>1.6</v>
      </c>
      <c r="H1472" s="135">
        <v>13.45</v>
      </c>
      <c r="I1472" s="136">
        <f t="shared" si="22"/>
        <v>21.52</v>
      </c>
      <c r="J1472" s="137">
        <v>1</v>
      </c>
    </row>
    <row r="1473" spans="2:10" ht="15" customHeight="1" x14ac:dyDescent="0.3">
      <c r="B1473" s="132" t="s">
        <v>2336</v>
      </c>
      <c r="C1473" s="132" t="s">
        <v>2307</v>
      </c>
      <c r="D1473" s="132" t="s">
        <v>2308</v>
      </c>
      <c r="E1473" s="132" t="s">
        <v>320</v>
      </c>
      <c r="F1473" s="133" t="s">
        <v>2337</v>
      </c>
      <c r="G1473" s="134">
        <v>3.59</v>
      </c>
      <c r="H1473" s="135">
        <v>13.45</v>
      </c>
      <c r="I1473" s="136">
        <f t="shared" si="22"/>
        <v>48.285499999999999</v>
      </c>
      <c r="J1473" s="137">
        <v>1</v>
      </c>
    </row>
    <row r="1474" spans="2:10" ht="15" customHeight="1" x14ac:dyDescent="0.3">
      <c r="B1474" s="132" t="s">
        <v>2336</v>
      </c>
      <c r="C1474" s="132" t="s">
        <v>2307</v>
      </c>
      <c r="D1474" s="132" t="s">
        <v>2308</v>
      </c>
      <c r="E1474" s="132" t="s">
        <v>320</v>
      </c>
      <c r="F1474" s="133" t="s">
        <v>2338</v>
      </c>
      <c r="G1474" s="134">
        <v>5.66</v>
      </c>
      <c r="H1474" s="135">
        <v>13.45</v>
      </c>
      <c r="I1474" s="136">
        <f t="shared" si="22"/>
        <v>76.126999999999995</v>
      </c>
      <c r="J1474" s="137">
        <v>1</v>
      </c>
    </row>
    <row r="1475" spans="2:10" ht="15" customHeight="1" x14ac:dyDescent="0.3">
      <c r="B1475" s="132" t="s">
        <v>2339</v>
      </c>
      <c r="C1475" s="132" t="s">
        <v>2307</v>
      </c>
      <c r="D1475" s="132" t="s">
        <v>2308</v>
      </c>
      <c r="E1475" s="132" t="s">
        <v>320</v>
      </c>
      <c r="F1475" s="133" t="s">
        <v>2340</v>
      </c>
      <c r="G1475" s="134">
        <v>3.97</v>
      </c>
      <c r="H1475" s="135">
        <v>13.45</v>
      </c>
      <c r="I1475" s="136">
        <f t="shared" si="22"/>
        <v>53.396500000000003</v>
      </c>
      <c r="J1475" s="137">
        <v>1</v>
      </c>
    </row>
    <row r="1476" spans="2:10" ht="15" customHeight="1" x14ac:dyDescent="0.3">
      <c r="B1476" s="132" t="s">
        <v>2339</v>
      </c>
      <c r="C1476" s="132" t="s">
        <v>2307</v>
      </c>
      <c r="D1476" s="132" t="s">
        <v>2308</v>
      </c>
      <c r="E1476" s="132" t="s">
        <v>320</v>
      </c>
      <c r="F1476" s="133" t="s">
        <v>2341</v>
      </c>
      <c r="G1476" s="134">
        <v>5.2</v>
      </c>
      <c r="H1476" s="135">
        <v>13.45</v>
      </c>
      <c r="I1476" s="136">
        <f t="shared" si="22"/>
        <v>69.94</v>
      </c>
      <c r="J1476" s="137">
        <v>1</v>
      </c>
    </row>
    <row r="1477" spans="2:10" ht="15" customHeight="1" x14ac:dyDescent="0.3">
      <c r="B1477" s="132" t="s">
        <v>2342</v>
      </c>
      <c r="C1477" s="132" t="s">
        <v>2307</v>
      </c>
      <c r="D1477" s="132" t="s">
        <v>2308</v>
      </c>
      <c r="E1477" s="132" t="s">
        <v>320</v>
      </c>
      <c r="F1477" s="133" t="s">
        <v>2343</v>
      </c>
      <c r="G1477" s="134">
        <v>1.77</v>
      </c>
      <c r="H1477" s="135">
        <v>13.45</v>
      </c>
      <c r="I1477" s="136">
        <f t="shared" si="22"/>
        <v>23.8065</v>
      </c>
      <c r="J1477" s="137">
        <v>1</v>
      </c>
    </row>
    <row r="1478" spans="2:10" ht="15" customHeight="1" x14ac:dyDescent="0.3">
      <c r="B1478" s="132" t="s">
        <v>2342</v>
      </c>
      <c r="C1478" s="132" t="s">
        <v>2307</v>
      </c>
      <c r="D1478" s="132" t="s">
        <v>2308</v>
      </c>
      <c r="E1478" s="132" t="s">
        <v>320</v>
      </c>
      <c r="F1478" s="133" t="s">
        <v>2344</v>
      </c>
      <c r="G1478" s="134">
        <v>1.1200000000000001</v>
      </c>
      <c r="H1478" s="135">
        <v>13.45</v>
      </c>
      <c r="I1478" s="136">
        <f t="shared" si="22"/>
        <v>15.064</v>
      </c>
      <c r="J1478" s="137">
        <v>1</v>
      </c>
    </row>
    <row r="1479" spans="2:10" ht="15" customHeight="1" x14ac:dyDescent="0.3">
      <c r="B1479" s="132" t="s">
        <v>2345</v>
      </c>
      <c r="C1479" s="132" t="s">
        <v>2307</v>
      </c>
      <c r="D1479" s="132" t="s">
        <v>2308</v>
      </c>
      <c r="E1479" s="132" t="s">
        <v>320</v>
      </c>
      <c r="F1479" s="133" t="s">
        <v>2346</v>
      </c>
      <c r="G1479" s="134">
        <v>2.14</v>
      </c>
      <c r="H1479" s="135">
        <v>13.45</v>
      </c>
      <c r="I1479" s="136">
        <f t="shared" si="22"/>
        <v>28.783000000000001</v>
      </c>
      <c r="J1479" s="137">
        <v>1</v>
      </c>
    </row>
    <row r="1480" spans="2:10" ht="15" customHeight="1" x14ac:dyDescent="0.3">
      <c r="B1480" s="132" t="s">
        <v>2347</v>
      </c>
      <c r="C1480" s="132" t="s">
        <v>2307</v>
      </c>
      <c r="D1480" s="132" t="s">
        <v>2308</v>
      </c>
      <c r="E1480" s="132" t="s">
        <v>320</v>
      </c>
      <c r="F1480" s="133" t="s">
        <v>2348</v>
      </c>
      <c r="G1480" s="134">
        <v>6.22</v>
      </c>
      <c r="H1480" s="135">
        <v>13.45</v>
      </c>
      <c r="I1480" s="136">
        <f t="shared" ref="I1480:I1543" si="23">G1480*H1480</f>
        <v>83.658999999999992</v>
      </c>
      <c r="J1480" s="137">
        <v>1</v>
      </c>
    </row>
    <row r="1481" spans="2:10" ht="15" customHeight="1" x14ac:dyDescent="0.3">
      <c r="B1481" s="132" t="s">
        <v>2349</v>
      </c>
      <c r="C1481" s="132" t="s">
        <v>2307</v>
      </c>
      <c r="D1481" s="132" t="s">
        <v>2308</v>
      </c>
      <c r="E1481" s="132" t="s">
        <v>320</v>
      </c>
      <c r="F1481" s="133" t="s">
        <v>2350</v>
      </c>
      <c r="G1481" s="134">
        <v>4.18</v>
      </c>
      <c r="H1481" s="135">
        <v>13.45</v>
      </c>
      <c r="I1481" s="136">
        <f t="shared" si="23"/>
        <v>56.220999999999997</v>
      </c>
      <c r="J1481" s="137">
        <v>1</v>
      </c>
    </row>
    <row r="1482" spans="2:10" ht="15" customHeight="1" x14ac:dyDescent="0.3">
      <c r="B1482" s="132" t="s">
        <v>2349</v>
      </c>
      <c r="C1482" s="132" t="s">
        <v>2307</v>
      </c>
      <c r="D1482" s="132" t="s">
        <v>2308</v>
      </c>
      <c r="E1482" s="132" t="s">
        <v>320</v>
      </c>
      <c r="F1482" s="133" t="s">
        <v>2351</v>
      </c>
      <c r="G1482" s="134">
        <v>2.4</v>
      </c>
      <c r="H1482" s="135">
        <v>13.45</v>
      </c>
      <c r="I1482" s="136">
        <f t="shared" si="23"/>
        <v>32.279999999999994</v>
      </c>
      <c r="J1482" s="137">
        <v>1</v>
      </c>
    </row>
    <row r="1483" spans="2:10" ht="15" customHeight="1" x14ac:dyDescent="0.3">
      <c r="B1483" s="132" t="s">
        <v>2349</v>
      </c>
      <c r="C1483" s="132" t="s">
        <v>2307</v>
      </c>
      <c r="D1483" s="132" t="s">
        <v>2308</v>
      </c>
      <c r="E1483" s="132" t="s">
        <v>320</v>
      </c>
      <c r="F1483" s="133" t="s">
        <v>2352</v>
      </c>
      <c r="G1483" s="134">
        <v>1.6</v>
      </c>
      <c r="H1483" s="135">
        <v>13.45</v>
      </c>
      <c r="I1483" s="136">
        <f t="shared" si="23"/>
        <v>21.52</v>
      </c>
      <c r="J1483" s="137">
        <v>1</v>
      </c>
    </row>
    <row r="1484" spans="2:10" ht="15" customHeight="1" x14ac:dyDescent="0.3">
      <c r="B1484" s="132" t="s">
        <v>2349</v>
      </c>
      <c r="C1484" s="132" t="s">
        <v>2307</v>
      </c>
      <c r="D1484" s="132" t="s">
        <v>2308</v>
      </c>
      <c r="E1484" s="132" t="s">
        <v>320</v>
      </c>
      <c r="F1484" s="133" t="s">
        <v>2353</v>
      </c>
      <c r="G1484" s="134">
        <v>5.78</v>
      </c>
      <c r="H1484" s="135">
        <v>13.45</v>
      </c>
      <c r="I1484" s="136">
        <f t="shared" si="23"/>
        <v>77.741</v>
      </c>
      <c r="J1484" s="137">
        <v>1</v>
      </c>
    </row>
    <row r="1485" spans="2:10" ht="15" customHeight="1" x14ac:dyDescent="0.3">
      <c r="B1485" s="132" t="s">
        <v>2354</v>
      </c>
      <c r="C1485" s="132" t="s">
        <v>2307</v>
      </c>
      <c r="D1485" s="132" t="s">
        <v>2308</v>
      </c>
      <c r="E1485" s="132" t="s">
        <v>320</v>
      </c>
      <c r="F1485" s="133" t="s">
        <v>2355</v>
      </c>
      <c r="G1485" s="134">
        <v>1.6</v>
      </c>
      <c r="H1485" s="135">
        <v>13.45</v>
      </c>
      <c r="I1485" s="136">
        <f t="shared" si="23"/>
        <v>21.52</v>
      </c>
      <c r="J1485" s="137">
        <v>1</v>
      </c>
    </row>
    <row r="1486" spans="2:10" ht="15" customHeight="1" x14ac:dyDescent="0.3">
      <c r="B1486" s="132" t="s">
        <v>2356</v>
      </c>
      <c r="C1486" s="132" t="s">
        <v>2307</v>
      </c>
      <c r="D1486" s="132" t="s">
        <v>2308</v>
      </c>
      <c r="E1486" s="132" t="s">
        <v>320</v>
      </c>
      <c r="F1486" s="133" t="s">
        <v>2357</v>
      </c>
      <c r="G1486" s="134">
        <v>5.47</v>
      </c>
      <c r="H1486" s="135">
        <v>13.45</v>
      </c>
      <c r="I1486" s="136">
        <f t="shared" si="23"/>
        <v>73.571499999999986</v>
      </c>
      <c r="J1486" s="137">
        <v>1</v>
      </c>
    </row>
    <row r="1487" spans="2:10" ht="15" customHeight="1" x14ac:dyDescent="0.3">
      <c r="B1487" s="132" t="s">
        <v>2358</v>
      </c>
      <c r="C1487" s="132" t="s">
        <v>2307</v>
      </c>
      <c r="D1487" s="132" t="s">
        <v>2308</v>
      </c>
      <c r="E1487" s="132" t="s">
        <v>320</v>
      </c>
      <c r="F1487" s="133" t="s">
        <v>2359</v>
      </c>
      <c r="G1487" s="134">
        <v>5.22</v>
      </c>
      <c r="H1487" s="135">
        <v>13.45</v>
      </c>
      <c r="I1487" s="136">
        <f t="shared" si="23"/>
        <v>70.208999999999989</v>
      </c>
      <c r="J1487" s="137">
        <v>1</v>
      </c>
    </row>
    <row r="1488" spans="2:10" ht="15" customHeight="1" x14ac:dyDescent="0.3">
      <c r="B1488" s="132" t="s">
        <v>2360</v>
      </c>
      <c r="C1488" s="132" t="s">
        <v>2307</v>
      </c>
      <c r="D1488" s="132" t="s">
        <v>2308</v>
      </c>
      <c r="E1488" s="132" t="s">
        <v>320</v>
      </c>
      <c r="F1488" s="133" t="s">
        <v>2361</v>
      </c>
      <c r="G1488" s="134">
        <v>1.3</v>
      </c>
      <c r="H1488" s="135">
        <v>13.45</v>
      </c>
      <c r="I1488" s="136">
        <f t="shared" si="23"/>
        <v>17.484999999999999</v>
      </c>
      <c r="J1488" s="137">
        <v>1</v>
      </c>
    </row>
    <row r="1489" spans="2:10" ht="15" customHeight="1" x14ac:dyDescent="0.3">
      <c r="B1489" s="132" t="s">
        <v>2362</v>
      </c>
      <c r="C1489" s="132" t="s">
        <v>2307</v>
      </c>
      <c r="D1489" s="132" t="s">
        <v>2308</v>
      </c>
      <c r="E1489" s="132" t="s">
        <v>320</v>
      </c>
      <c r="F1489" s="133" t="s">
        <v>2363</v>
      </c>
      <c r="G1489" s="134">
        <v>2.79</v>
      </c>
      <c r="H1489" s="135">
        <v>13.45</v>
      </c>
      <c r="I1489" s="136">
        <f t="shared" si="23"/>
        <v>37.525500000000001</v>
      </c>
      <c r="J1489" s="137">
        <v>1</v>
      </c>
    </row>
    <row r="1490" spans="2:10" ht="15" customHeight="1" x14ac:dyDescent="0.3">
      <c r="B1490" s="132" t="s">
        <v>2364</v>
      </c>
      <c r="C1490" s="132" t="s">
        <v>2307</v>
      </c>
      <c r="D1490" s="132" t="s">
        <v>2308</v>
      </c>
      <c r="E1490" s="132" t="s">
        <v>320</v>
      </c>
      <c r="F1490" s="133" t="s">
        <v>2365</v>
      </c>
      <c r="G1490" s="134">
        <v>1.6</v>
      </c>
      <c r="H1490" s="135">
        <v>13.45</v>
      </c>
      <c r="I1490" s="136">
        <f t="shared" si="23"/>
        <v>21.52</v>
      </c>
      <c r="J1490" s="137">
        <v>1</v>
      </c>
    </row>
    <row r="1491" spans="2:10" ht="15" customHeight="1" x14ac:dyDescent="0.3">
      <c r="B1491" s="132" t="s">
        <v>2366</v>
      </c>
      <c r="C1491" s="132" t="s">
        <v>2307</v>
      </c>
      <c r="D1491" s="132" t="s">
        <v>2308</v>
      </c>
      <c r="E1491" s="132" t="s">
        <v>320</v>
      </c>
      <c r="F1491" s="133" t="s">
        <v>2367</v>
      </c>
      <c r="G1491" s="134">
        <v>4.3499999999999996</v>
      </c>
      <c r="H1491" s="135">
        <v>13.45</v>
      </c>
      <c r="I1491" s="136">
        <f t="shared" si="23"/>
        <v>58.507499999999993</v>
      </c>
      <c r="J1491" s="137">
        <v>1</v>
      </c>
    </row>
    <row r="1492" spans="2:10" ht="15" customHeight="1" x14ac:dyDescent="0.3">
      <c r="B1492" s="132" t="s">
        <v>2366</v>
      </c>
      <c r="C1492" s="132" t="s">
        <v>2307</v>
      </c>
      <c r="D1492" s="132" t="s">
        <v>2308</v>
      </c>
      <c r="E1492" s="132" t="s">
        <v>320</v>
      </c>
      <c r="F1492" s="133" t="s">
        <v>2368</v>
      </c>
      <c r="G1492" s="134">
        <v>1.44</v>
      </c>
      <c r="H1492" s="135">
        <v>13.45</v>
      </c>
      <c r="I1492" s="136">
        <f t="shared" si="23"/>
        <v>19.367999999999999</v>
      </c>
      <c r="J1492" s="137">
        <v>1</v>
      </c>
    </row>
    <row r="1493" spans="2:10" ht="15" customHeight="1" x14ac:dyDescent="0.3">
      <c r="B1493" s="132" t="s">
        <v>2369</v>
      </c>
      <c r="C1493" s="132" t="s">
        <v>2307</v>
      </c>
      <c r="D1493" s="132" t="s">
        <v>2308</v>
      </c>
      <c r="E1493" s="132" t="s">
        <v>320</v>
      </c>
      <c r="F1493" s="133" t="s">
        <v>2370</v>
      </c>
      <c r="G1493" s="134">
        <v>6.16</v>
      </c>
      <c r="H1493" s="135">
        <v>13.45</v>
      </c>
      <c r="I1493" s="136">
        <f t="shared" si="23"/>
        <v>82.852000000000004</v>
      </c>
      <c r="J1493" s="137">
        <v>1</v>
      </c>
    </row>
    <row r="1494" spans="2:10" ht="15" customHeight="1" x14ac:dyDescent="0.3">
      <c r="B1494" s="132" t="s">
        <v>2371</v>
      </c>
      <c r="C1494" s="132" t="s">
        <v>2307</v>
      </c>
      <c r="D1494" s="132" t="s">
        <v>2308</v>
      </c>
      <c r="E1494" s="132" t="s">
        <v>320</v>
      </c>
      <c r="F1494" s="133" t="s">
        <v>2372</v>
      </c>
      <c r="G1494" s="134">
        <v>1.27</v>
      </c>
      <c r="H1494" s="135">
        <v>13.45</v>
      </c>
      <c r="I1494" s="136">
        <f t="shared" si="23"/>
        <v>17.081499999999998</v>
      </c>
      <c r="J1494" s="137">
        <v>1</v>
      </c>
    </row>
    <row r="1495" spans="2:10" ht="15" customHeight="1" x14ac:dyDescent="0.3">
      <c r="B1495" s="132" t="s">
        <v>2371</v>
      </c>
      <c r="C1495" s="132" t="s">
        <v>2307</v>
      </c>
      <c r="D1495" s="132" t="s">
        <v>2308</v>
      </c>
      <c r="E1495" s="132" t="s">
        <v>320</v>
      </c>
      <c r="F1495" s="133" t="s">
        <v>2373</v>
      </c>
      <c r="G1495" s="134">
        <v>1.44</v>
      </c>
      <c r="H1495" s="135">
        <v>13.45</v>
      </c>
      <c r="I1495" s="136">
        <f t="shared" si="23"/>
        <v>19.367999999999999</v>
      </c>
      <c r="J1495" s="137">
        <v>1</v>
      </c>
    </row>
    <row r="1496" spans="2:10" ht="15" customHeight="1" x14ac:dyDescent="0.3">
      <c r="B1496" s="132" t="s">
        <v>2374</v>
      </c>
      <c r="C1496" s="132" t="s">
        <v>2307</v>
      </c>
      <c r="D1496" s="132" t="s">
        <v>2308</v>
      </c>
      <c r="E1496" s="132" t="s">
        <v>320</v>
      </c>
      <c r="F1496" s="133" t="s">
        <v>2375</v>
      </c>
      <c r="G1496" s="134">
        <v>4.01</v>
      </c>
      <c r="H1496" s="135">
        <v>13.45</v>
      </c>
      <c r="I1496" s="136">
        <f t="shared" si="23"/>
        <v>53.934499999999993</v>
      </c>
      <c r="J1496" s="137">
        <v>1</v>
      </c>
    </row>
    <row r="1497" spans="2:10" ht="15" customHeight="1" x14ac:dyDescent="0.3">
      <c r="B1497" s="132" t="s">
        <v>2374</v>
      </c>
      <c r="C1497" s="132" t="s">
        <v>2307</v>
      </c>
      <c r="D1497" s="132" t="s">
        <v>2308</v>
      </c>
      <c r="E1497" s="132" t="s">
        <v>320</v>
      </c>
      <c r="F1497" s="133" t="s">
        <v>2376</v>
      </c>
      <c r="G1497" s="134">
        <v>5.6</v>
      </c>
      <c r="H1497" s="135">
        <v>13.45</v>
      </c>
      <c r="I1497" s="136">
        <f t="shared" si="23"/>
        <v>75.319999999999993</v>
      </c>
      <c r="J1497" s="137">
        <v>1</v>
      </c>
    </row>
    <row r="1498" spans="2:10" ht="15" customHeight="1" x14ac:dyDescent="0.3">
      <c r="B1498" s="132" t="s">
        <v>2374</v>
      </c>
      <c r="C1498" s="132" t="s">
        <v>2307</v>
      </c>
      <c r="D1498" s="132" t="s">
        <v>2308</v>
      </c>
      <c r="E1498" s="132" t="s">
        <v>320</v>
      </c>
      <c r="F1498" s="133" t="s">
        <v>2377</v>
      </c>
      <c r="G1498" s="134">
        <v>3.59</v>
      </c>
      <c r="H1498" s="135">
        <v>13.45</v>
      </c>
      <c r="I1498" s="136">
        <f t="shared" si="23"/>
        <v>48.285499999999999</v>
      </c>
      <c r="J1498" s="137">
        <v>1</v>
      </c>
    </row>
    <row r="1499" spans="2:10" ht="15" customHeight="1" x14ac:dyDescent="0.3">
      <c r="B1499" s="132" t="s">
        <v>2374</v>
      </c>
      <c r="C1499" s="132" t="s">
        <v>2307</v>
      </c>
      <c r="D1499" s="132" t="s">
        <v>2308</v>
      </c>
      <c r="E1499" s="132" t="s">
        <v>320</v>
      </c>
      <c r="F1499" s="133" t="s">
        <v>2378</v>
      </c>
      <c r="G1499" s="134">
        <v>1.59</v>
      </c>
      <c r="H1499" s="135">
        <v>13.45</v>
      </c>
      <c r="I1499" s="136">
        <f t="shared" si="23"/>
        <v>21.3855</v>
      </c>
      <c r="J1499" s="137">
        <v>1</v>
      </c>
    </row>
    <row r="1500" spans="2:10" ht="15" customHeight="1" x14ac:dyDescent="0.3">
      <c r="B1500" s="132" t="s">
        <v>2379</v>
      </c>
      <c r="C1500" s="132" t="s">
        <v>2307</v>
      </c>
      <c r="D1500" s="132" t="s">
        <v>2308</v>
      </c>
      <c r="E1500" s="132" t="s">
        <v>320</v>
      </c>
      <c r="F1500" s="133" t="s">
        <v>2380</v>
      </c>
      <c r="G1500" s="134">
        <v>4.0599999999999996</v>
      </c>
      <c r="H1500" s="135">
        <v>13.45</v>
      </c>
      <c r="I1500" s="136">
        <f t="shared" si="23"/>
        <v>54.606999999999992</v>
      </c>
      <c r="J1500" s="137">
        <v>1</v>
      </c>
    </row>
    <row r="1501" spans="2:10" ht="15" customHeight="1" x14ac:dyDescent="0.3">
      <c r="B1501" s="132" t="s">
        <v>2379</v>
      </c>
      <c r="C1501" s="132" t="s">
        <v>2307</v>
      </c>
      <c r="D1501" s="132" t="s">
        <v>2308</v>
      </c>
      <c r="E1501" s="132" t="s">
        <v>320</v>
      </c>
      <c r="F1501" s="133" t="s">
        <v>2381</v>
      </c>
      <c r="G1501" s="134">
        <v>2.4</v>
      </c>
      <c r="H1501" s="135">
        <v>13.45</v>
      </c>
      <c r="I1501" s="136">
        <f t="shared" si="23"/>
        <v>32.279999999999994</v>
      </c>
      <c r="J1501" s="137">
        <v>1</v>
      </c>
    </row>
    <row r="1502" spans="2:10" ht="15" customHeight="1" x14ac:dyDescent="0.3">
      <c r="B1502" s="132" t="s">
        <v>2382</v>
      </c>
      <c r="C1502" s="132" t="s">
        <v>2307</v>
      </c>
      <c r="D1502" s="132" t="s">
        <v>2308</v>
      </c>
      <c r="E1502" s="132" t="s">
        <v>320</v>
      </c>
      <c r="F1502" s="133" t="s">
        <v>2383</v>
      </c>
      <c r="G1502" s="134">
        <v>4.53</v>
      </c>
      <c r="H1502" s="135">
        <v>13.45</v>
      </c>
      <c r="I1502" s="136">
        <f t="shared" si="23"/>
        <v>60.9285</v>
      </c>
      <c r="J1502" s="137">
        <v>1</v>
      </c>
    </row>
    <row r="1503" spans="2:10" ht="15" customHeight="1" x14ac:dyDescent="0.3">
      <c r="B1503" s="132" t="s">
        <v>2382</v>
      </c>
      <c r="C1503" s="132" t="s">
        <v>2307</v>
      </c>
      <c r="D1503" s="132" t="s">
        <v>2308</v>
      </c>
      <c r="E1503" s="132" t="s">
        <v>320</v>
      </c>
      <c r="F1503" s="133" t="s">
        <v>2384</v>
      </c>
      <c r="G1503" s="134">
        <v>1.1299999999999999</v>
      </c>
      <c r="H1503" s="135">
        <v>13.45</v>
      </c>
      <c r="I1503" s="136">
        <f t="shared" si="23"/>
        <v>15.198499999999997</v>
      </c>
      <c r="J1503" s="137">
        <v>1</v>
      </c>
    </row>
    <row r="1504" spans="2:10" ht="15" customHeight="1" x14ac:dyDescent="0.3">
      <c r="B1504" s="132" t="s">
        <v>2382</v>
      </c>
      <c r="C1504" s="132" t="s">
        <v>2307</v>
      </c>
      <c r="D1504" s="132" t="s">
        <v>2308</v>
      </c>
      <c r="E1504" s="132" t="s">
        <v>320</v>
      </c>
      <c r="F1504" s="133" t="s">
        <v>2385</v>
      </c>
      <c r="G1504" s="134">
        <v>1.93</v>
      </c>
      <c r="H1504" s="135">
        <v>13.45</v>
      </c>
      <c r="I1504" s="136">
        <f t="shared" si="23"/>
        <v>25.958499999999997</v>
      </c>
      <c r="J1504" s="137">
        <v>1</v>
      </c>
    </row>
    <row r="1505" spans="2:10" ht="15" customHeight="1" x14ac:dyDescent="0.3">
      <c r="B1505" s="132" t="s">
        <v>2386</v>
      </c>
      <c r="C1505" s="132" t="s">
        <v>2307</v>
      </c>
      <c r="D1505" s="132" t="s">
        <v>2308</v>
      </c>
      <c r="E1505" s="132" t="s">
        <v>320</v>
      </c>
      <c r="F1505" s="133" t="s">
        <v>2387</v>
      </c>
      <c r="G1505" s="134">
        <v>1.46</v>
      </c>
      <c r="H1505" s="135">
        <v>13.45</v>
      </c>
      <c r="I1505" s="136">
        <f t="shared" si="23"/>
        <v>19.636999999999997</v>
      </c>
      <c r="J1505" s="137">
        <v>1</v>
      </c>
    </row>
    <row r="1506" spans="2:10" ht="15" customHeight="1" x14ac:dyDescent="0.3">
      <c r="B1506" s="132" t="s">
        <v>2388</v>
      </c>
      <c r="C1506" s="132" t="s">
        <v>2307</v>
      </c>
      <c r="D1506" s="132" t="s">
        <v>2308</v>
      </c>
      <c r="E1506" s="132" t="s">
        <v>320</v>
      </c>
      <c r="F1506" s="133" t="s">
        <v>2389</v>
      </c>
      <c r="G1506" s="134">
        <v>3.04</v>
      </c>
      <c r="H1506" s="135">
        <v>13.45</v>
      </c>
      <c r="I1506" s="136">
        <f t="shared" si="23"/>
        <v>40.887999999999998</v>
      </c>
      <c r="J1506" s="137">
        <v>1</v>
      </c>
    </row>
    <row r="1507" spans="2:10" ht="15" customHeight="1" x14ac:dyDescent="0.3">
      <c r="B1507" s="132" t="s">
        <v>2390</v>
      </c>
      <c r="C1507" s="132" t="s">
        <v>2307</v>
      </c>
      <c r="D1507" s="132" t="s">
        <v>2308</v>
      </c>
      <c r="E1507" s="132" t="s">
        <v>320</v>
      </c>
      <c r="F1507" s="133" t="s">
        <v>2391</v>
      </c>
      <c r="G1507" s="134">
        <v>5.66</v>
      </c>
      <c r="H1507" s="135">
        <v>13.45</v>
      </c>
      <c r="I1507" s="136">
        <f t="shared" si="23"/>
        <v>76.126999999999995</v>
      </c>
      <c r="J1507" s="137">
        <v>1</v>
      </c>
    </row>
    <row r="1508" spans="2:10" ht="15" customHeight="1" x14ac:dyDescent="0.3">
      <c r="B1508" s="132" t="s">
        <v>2392</v>
      </c>
      <c r="C1508" s="132" t="s">
        <v>2307</v>
      </c>
      <c r="D1508" s="132" t="s">
        <v>2308</v>
      </c>
      <c r="E1508" s="132" t="s">
        <v>320</v>
      </c>
      <c r="F1508" s="133" t="s">
        <v>2393</v>
      </c>
      <c r="G1508" s="134">
        <v>6.15</v>
      </c>
      <c r="H1508" s="135">
        <v>13.45</v>
      </c>
      <c r="I1508" s="136">
        <f t="shared" si="23"/>
        <v>82.717500000000001</v>
      </c>
      <c r="J1508" s="137">
        <v>1</v>
      </c>
    </row>
    <row r="1509" spans="2:10" ht="15" customHeight="1" x14ac:dyDescent="0.3">
      <c r="B1509" s="132" t="s">
        <v>2394</v>
      </c>
      <c r="C1509" s="132" t="s">
        <v>2307</v>
      </c>
      <c r="D1509" s="132" t="s">
        <v>2308</v>
      </c>
      <c r="E1509" s="132" t="s">
        <v>320</v>
      </c>
      <c r="F1509" s="133" t="s">
        <v>2395</v>
      </c>
      <c r="G1509" s="134">
        <v>2.58</v>
      </c>
      <c r="H1509" s="135">
        <v>13.45</v>
      </c>
      <c r="I1509" s="136">
        <f t="shared" si="23"/>
        <v>34.701000000000001</v>
      </c>
      <c r="J1509" s="137">
        <v>1</v>
      </c>
    </row>
    <row r="1510" spans="2:10" ht="15" customHeight="1" x14ac:dyDescent="0.3">
      <c r="B1510" s="132" t="s">
        <v>2394</v>
      </c>
      <c r="C1510" s="132" t="s">
        <v>2307</v>
      </c>
      <c r="D1510" s="132" t="s">
        <v>2308</v>
      </c>
      <c r="E1510" s="132" t="s">
        <v>320</v>
      </c>
      <c r="F1510" s="133" t="s">
        <v>2396</v>
      </c>
      <c r="G1510" s="134">
        <v>1.92</v>
      </c>
      <c r="H1510" s="135">
        <v>13.45</v>
      </c>
      <c r="I1510" s="136">
        <f t="shared" si="23"/>
        <v>25.823999999999998</v>
      </c>
      <c r="J1510" s="137">
        <v>1</v>
      </c>
    </row>
    <row r="1511" spans="2:10" ht="15" customHeight="1" x14ac:dyDescent="0.3">
      <c r="B1511" s="132" t="s">
        <v>2397</v>
      </c>
      <c r="C1511" s="132" t="s">
        <v>2307</v>
      </c>
      <c r="D1511" s="132" t="s">
        <v>2308</v>
      </c>
      <c r="E1511" s="132" t="s">
        <v>320</v>
      </c>
      <c r="F1511" s="133" t="s">
        <v>2398</v>
      </c>
      <c r="G1511" s="134">
        <v>2.2799999999999998</v>
      </c>
      <c r="H1511" s="135">
        <v>13.45</v>
      </c>
      <c r="I1511" s="136">
        <f t="shared" si="23"/>
        <v>30.665999999999997</v>
      </c>
      <c r="J1511" s="137">
        <v>1</v>
      </c>
    </row>
    <row r="1512" spans="2:10" ht="15" customHeight="1" x14ac:dyDescent="0.3">
      <c r="B1512" s="132" t="s">
        <v>2397</v>
      </c>
      <c r="C1512" s="132" t="s">
        <v>2307</v>
      </c>
      <c r="D1512" s="132" t="s">
        <v>2308</v>
      </c>
      <c r="E1512" s="132" t="s">
        <v>320</v>
      </c>
      <c r="F1512" s="133" t="s">
        <v>2399</v>
      </c>
      <c r="G1512" s="134">
        <v>2.89</v>
      </c>
      <c r="H1512" s="135">
        <v>13.45</v>
      </c>
      <c r="I1512" s="136">
        <f t="shared" si="23"/>
        <v>38.8705</v>
      </c>
      <c r="J1512" s="137">
        <v>1</v>
      </c>
    </row>
    <row r="1513" spans="2:10" ht="15" customHeight="1" x14ac:dyDescent="0.3">
      <c r="B1513" s="132" t="s">
        <v>2400</v>
      </c>
      <c r="C1513" s="132" t="s">
        <v>2307</v>
      </c>
      <c r="D1513" s="132" t="s">
        <v>2308</v>
      </c>
      <c r="E1513" s="132" t="s">
        <v>320</v>
      </c>
      <c r="F1513" s="133" t="s">
        <v>2401</v>
      </c>
      <c r="G1513" s="134">
        <v>9.42</v>
      </c>
      <c r="H1513" s="135">
        <v>13.45</v>
      </c>
      <c r="I1513" s="136">
        <f t="shared" si="23"/>
        <v>126.699</v>
      </c>
      <c r="J1513" s="137">
        <v>1</v>
      </c>
    </row>
    <row r="1514" spans="2:10" ht="15" customHeight="1" x14ac:dyDescent="0.3">
      <c r="B1514" s="132" t="s">
        <v>2402</v>
      </c>
      <c r="C1514" s="132" t="s">
        <v>2307</v>
      </c>
      <c r="D1514" s="132" t="s">
        <v>2308</v>
      </c>
      <c r="E1514" s="132" t="s">
        <v>320</v>
      </c>
      <c r="F1514" s="133" t="s">
        <v>2403</v>
      </c>
      <c r="G1514" s="134">
        <v>1.32</v>
      </c>
      <c r="H1514" s="135">
        <v>13.45</v>
      </c>
      <c r="I1514" s="136">
        <f t="shared" si="23"/>
        <v>17.754000000000001</v>
      </c>
      <c r="J1514" s="137">
        <v>1</v>
      </c>
    </row>
    <row r="1515" spans="2:10" ht="15" customHeight="1" x14ac:dyDescent="0.3">
      <c r="B1515" s="132" t="s">
        <v>2402</v>
      </c>
      <c r="C1515" s="132" t="s">
        <v>2307</v>
      </c>
      <c r="D1515" s="132" t="s">
        <v>2308</v>
      </c>
      <c r="E1515" s="132" t="s">
        <v>320</v>
      </c>
      <c r="F1515" s="133" t="s">
        <v>2404</v>
      </c>
      <c r="G1515" s="134">
        <v>1.64</v>
      </c>
      <c r="H1515" s="135">
        <v>13.45</v>
      </c>
      <c r="I1515" s="136">
        <f t="shared" si="23"/>
        <v>22.057999999999996</v>
      </c>
      <c r="J1515" s="137">
        <v>1</v>
      </c>
    </row>
    <row r="1516" spans="2:10" ht="15" customHeight="1" x14ac:dyDescent="0.3">
      <c r="B1516" s="132" t="s">
        <v>2405</v>
      </c>
      <c r="C1516" s="132" t="s">
        <v>2307</v>
      </c>
      <c r="D1516" s="132" t="s">
        <v>2308</v>
      </c>
      <c r="E1516" s="132" t="s">
        <v>320</v>
      </c>
      <c r="F1516" s="133" t="s">
        <v>2406</v>
      </c>
      <c r="G1516" s="134">
        <v>1.3</v>
      </c>
      <c r="H1516" s="135">
        <v>13.45</v>
      </c>
      <c r="I1516" s="136">
        <f t="shared" si="23"/>
        <v>17.484999999999999</v>
      </c>
      <c r="J1516" s="137">
        <v>1</v>
      </c>
    </row>
    <row r="1517" spans="2:10" ht="15" customHeight="1" x14ac:dyDescent="0.3">
      <c r="B1517" s="132" t="s">
        <v>2407</v>
      </c>
      <c r="C1517" s="132" t="s">
        <v>2307</v>
      </c>
      <c r="D1517" s="132" t="s">
        <v>2308</v>
      </c>
      <c r="E1517" s="132" t="s">
        <v>320</v>
      </c>
      <c r="F1517" s="133" t="s">
        <v>2408</v>
      </c>
      <c r="G1517" s="134">
        <v>9.8800000000000008</v>
      </c>
      <c r="H1517" s="135">
        <v>13.45</v>
      </c>
      <c r="I1517" s="136">
        <f t="shared" si="23"/>
        <v>132.886</v>
      </c>
      <c r="J1517" s="137">
        <v>1</v>
      </c>
    </row>
    <row r="1518" spans="2:10" ht="15" customHeight="1" x14ac:dyDescent="0.3">
      <c r="B1518" s="132" t="s">
        <v>2407</v>
      </c>
      <c r="C1518" s="132" t="s">
        <v>2307</v>
      </c>
      <c r="D1518" s="132" t="s">
        <v>2308</v>
      </c>
      <c r="E1518" s="132" t="s">
        <v>320</v>
      </c>
      <c r="F1518" s="133" t="s">
        <v>2409</v>
      </c>
      <c r="G1518" s="134">
        <v>1.1100000000000001</v>
      </c>
      <c r="H1518" s="135">
        <v>13.45</v>
      </c>
      <c r="I1518" s="136">
        <f t="shared" si="23"/>
        <v>14.929500000000001</v>
      </c>
      <c r="J1518" s="137">
        <v>1</v>
      </c>
    </row>
    <row r="1519" spans="2:10" ht="15" customHeight="1" x14ac:dyDescent="0.3">
      <c r="B1519" s="132" t="s">
        <v>2410</v>
      </c>
      <c r="C1519" s="132" t="s">
        <v>2307</v>
      </c>
      <c r="D1519" s="132" t="s">
        <v>2308</v>
      </c>
      <c r="E1519" s="132" t="s">
        <v>320</v>
      </c>
      <c r="F1519" s="133" t="s">
        <v>2411</v>
      </c>
      <c r="G1519" s="134">
        <v>9.82</v>
      </c>
      <c r="H1519" s="135">
        <v>13.45</v>
      </c>
      <c r="I1519" s="136">
        <f t="shared" si="23"/>
        <v>132.07900000000001</v>
      </c>
      <c r="J1519" s="137">
        <v>1</v>
      </c>
    </row>
    <row r="1520" spans="2:10" ht="15" customHeight="1" x14ac:dyDescent="0.3">
      <c r="B1520" s="132" t="s">
        <v>2412</v>
      </c>
      <c r="C1520" s="132" t="s">
        <v>2307</v>
      </c>
      <c r="D1520" s="132" t="s">
        <v>2308</v>
      </c>
      <c r="E1520" s="132" t="s">
        <v>320</v>
      </c>
      <c r="F1520" s="133" t="s">
        <v>2413</v>
      </c>
      <c r="G1520" s="134">
        <v>2.57</v>
      </c>
      <c r="H1520" s="135">
        <v>13.45</v>
      </c>
      <c r="I1520" s="136">
        <f t="shared" si="23"/>
        <v>34.566499999999998</v>
      </c>
      <c r="J1520" s="137">
        <v>1</v>
      </c>
    </row>
    <row r="1521" spans="2:10" ht="15" customHeight="1" x14ac:dyDescent="0.3">
      <c r="B1521" s="132" t="s">
        <v>2412</v>
      </c>
      <c r="C1521" s="132" t="s">
        <v>2307</v>
      </c>
      <c r="D1521" s="132" t="s">
        <v>2308</v>
      </c>
      <c r="E1521" s="132" t="s">
        <v>320</v>
      </c>
      <c r="F1521" s="133" t="s">
        <v>2414</v>
      </c>
      <c r="G1521" s="134">
        <v>4.33</v>
      </c>
      <c r="H1521" s="135">
        <v>13.45</v>
      </c>
      <c r="I1521" s="136">
        <f t="shared" si="23"/>
        <v>58.238499999999995</v>
      </c>
      <c r="J1521" s="137">
        <v>1</v>
      </c>
    </row>
    <row r="1522" spans="2:10" ht="15" customHeight="1" x14ac:dyDescent="0.3">
      <c r="B1522" s="132" t="s">
        <v>2412</v>
      </c>
      <c r="C1522" s="132" t="s">
        <v>2307</v>
      </c>
      <c r="D1522" s="132" t="s">
        <v>2308</v>
      </c>
      <c r="E1522" s="132" t="s">
        <v>320</v>
      </c>
      <c r="F1522" s="133" t="s">
        <v>2415</v>
      </c>
      <c r="G1522" s="134">
        <v>3.25</v>
      </c>
      <c r="H1522" s="135">
        <v>13.45</v>
      </c>
      <c r="I1522" s="136">
        <f t="shared" si="23"/>
        <v>43.712499999999999</v>
      </c>
      <c r="J1522" s="137">
        <v>1</v>
      </c>
    </row>
    <row r="1523" spans="2:10" ht="15" customHeight="1" x14ac:dyDescent="0.3">
      <c r="B1523" s="132" t="s">
        <v>2416</v>
      </c>
      <c r="C1523" s="132" t="s">
        <v>2307</v>
      </c>
      <c r="D1523" s="132" t="s">
        <v>2308</v>
      </c>
      <c r="E1523" s="132" t="s">
        <v>320</v>
      </c>
      <c r="F1523" s="133" t="s">
        <v>2417</v>
      </c>
      <c r="G1523" s="134">
        <v>2.64</v>
      </c>
      <c r="H1523" s="135">
        <v>13.45</v>
      </c>
      <c r="I1523" s="136">
        <f t="shared" si="23"/>
        <v>35.508000000000003</v>
      </c>
      <c r="J1523" s="137">
        <v>1</v>
      </c>
    </row>
    <row r="1524" spans="2:10" ht="15" customHeight="1" x14ac:dyDescent="0.3">
      <c r="B1524" s="132" t="s">
        <v>2418</v>
      </c>
      <c r="C1524" s="132" t="s">
        <v>2307</v>
      </c>
      <c r="D1524" s="132" t="s">
        <v>2308</v>
      </c>
      <c r="E1524" s="132" t="s">
        <v>320</v>
      </c>
      <c r="F1524" s="133" t="s">
        <v>2419</v>
      </c>
      <c r="G1524" s="134">
        <v>1.64</v>
      </c>
      <c r="H1524" s="135">
        <v>13.45</v>
      </c>
      <c r="I1524" s="136">
        <f t="shared" si="23"/>
        <v>22.057999999999996</v>
      </c>
      <c r="J1524" s="137">
        <v>1</v>
      </c>
    </row>
    <row r="1525" spans="2:10" ht="15" customHeight="1" x14ac:dyDescent="0.3">
      <c r="B1525" s="132" t="s">
        <v>2420</v>
      </c>
      <c r="C1525" s="132" t="s">
        <v>2307</v>
      </c>
      <c r="D1525" s="132" t="s">
        <v>2308</v>
      </c>
      <c r="E1525" s="132" t="s">
        <v>320</v>
      </c>
      <c r="F1525" s="133" t="s">
        <v>2421</v>
      </c>
      <c r="G1525" s="134">
        <v>4.8099999999999996</v>
      </c>
      <c r="H1525" s="135">
        <v>13.45</v>
      </c>
      <c r="I1525" s="136">
        <f t="shared" si="23"/>
        <v>64.694499999999991</v>
      </c>
      <c r="J1525" s="137">
        <v>1</v>
      </c>
    </row>
    <row r="1526" spans="2:10" ht="15" customHeight="1" x14ac:dyDescent="0.3">
      <c r="B1526" s="132" t="s">
        <v>2420</v>
      </c>
      <c r="C1526" s="132" t="s">
        <v>2307</v>
      </c>
      <c r="D1526" s="132" t="s">
        <v>2308</v>
      </c>
      <c r="E1526" s="132" t="s">
        <v>320</v>
      </c>
      <c r="F1526" s="133" t="s">
        <v>2422</v>
      </c>
      <c r="G1526" s="134">
        <v>1.1100000000000001</v>
      </c>
      <c r="H1526" s="135">
        <v>13.45</v>
      </c>
      <c r="I1526" s="136">
        <f t="shared" si="23"/>
        <v>14.929500000000001</v>
      </c>
      <c r="J1526" s="137">
        <v>1</v>
      </c>
    </row>
    <row r="1527" spans="2:10" ht="15" customHeight="1" x14ac:dyDescent="0.3">
      <c r="B1527" s="132" t="s">
        <v>2423</v>
      </c>
      <c r="C1527" s="132" t="s">
        <v>2307</v>
      </c>
      <c r="D1527" s="132" t="s">
        <v>2308</v>
      </c>
      <c r="E1527" s="132" t="s">
        <v>320</v>
      </c>
      <c r="F1527" s="133" t="s">
        <v>2424</v>
      </c>
      <c r="G1527" s="134">
        <v>1.27</v>
      </c>
      <c r="H1527" s="135">
        <v>13.45</v>
      </c>
      <c r="I1527" s="136">
        <f t="shared" si="23"/>
        <v>17.081499999999998</v>
      </c>
      <c r="J1527" s="137">
        <v>1</v>
      </c>
    </row>
    <row r="1528" spans="2:10" ht="15" customHeight="1" x14ac:dyDescent="0.3">
      <c r="B1528" s="132" t="s">
        <v>2425</v>
      </c>
      <c r="C1528" s="132" t="s">
        <v>2307</v>
      </c>
      <c r="D1528" s="132" t="s">
        <v>2308</v>
      </c>
      <c r="E1528" s="132" t="s">
        <v>320</v>
      </c>
      <c r="F1528" s="133" t="s">
        <v>2426</v>
      </c>
      <c r="G1528" s="134">
        <v>1.44</v>
      </c>
      <c r="H1528" s="135">
        <v>13.45</v>
      </c>
      <c r="I1528" s="136">
        <f t="shared" si="23"/>
        <v>19.367999999999999</v>
      </c>
      <c r="J1528" s="137">
        <v>1</v>
      </c>
    </row>
    <row r="1529" spans="2:10" ht="15" customHeight="1" x14ac:dyDescent="0.3">
      <c r="B1529" s="132" t="s">
        <v>2425</v>
      </c>
      <c r="C1529" s="132" t="s">
        <v>2307</v>
      </c>
      <c r="D1529" s="132" t="s">
        <v>2308</v>
      </c>
      <c r="E1529" s="132" t="s">
        <v>320</v>
      </c>
      <c r="F1529" s="133" t="s">
        <v>2427</v>
      </c>
      <c r="G1529" s="134">
        <v>4.83</v>
      </c>
      <c r="H1529" s="135">
        <v>13.45</v>
      </c>
      <c r="I1529" s="136">
        <f t="shared" si="23"/>
        <v>64.963499999999996</v>
      </c>
      <c r="J1529" s="137">
        <v>1</v>
      </c>
    </row>
    <row r="1530" spans="2:10" ht="15" customHeight="1" x14ac:dyDescent="0.3">
      <c r="B1530" s="132" t="s">
        <v>2425</v>
      </c>
      <c r="C1530" s="132" t="s">
        <v>2307</v>
      </c>
      <c r="D1530" s="132" t="s">
        <v>2308</v>
      </c>
      <c r="E1530" s="132" t="s">
        <v>320</v>
      </c>
      <c r="F1530" s="133" t="s">
        <v>2428</v>
      </c>
      <c r="G1530" s="134">
        <v>7.82</v>
      </c>
      <c r="H1530" s="135">
        <v>13.45</v>
      </c>
      <c r="I1530" s="136">
        <f t="shared" si="23"/>
        <v>105.179</v>
      </c>
      <c r="J1530" s="137">
        <v>1</v>
      </c>
    </row>
    <row r="1531" spans="2:10" ht="15" customHeight="1" x14ac:dyDescent="0.3">
      <c r="B1531" s="132" t="s">
        <v>2429</v>
      </c>
      <c r="C1531" s="132" t="s">
        <v>2307</v>
      </c>
      <c r="D1531" s="132" t="s">
        <v>2308</v>
      </c>
      <c r="E1531" s="132" t="s">
        <v>320</v>
      </c>
      <c r="F1531" s="133" t="s">
        <v>2430</v>
      </c>
      <c r="G1531" s="134">
        <v>2.3199999999999998</v>
      </c>
      <c r="H1531" s="135">
        <v>13.45</v>
      </c>
      <c r="I1531" s="136">
        <f t="shared" si="23"/>
        <v>31.203999999999997</v>
      </c>
      <c r="J1531" s="137">
        <v>1</v>
      </c>
    </row>
    <row r="1532" spans="2:10" ht="15" customHeight="1" x14ac:dyDescent="0.3">
      <c r="B1532" s="132" t="s">
        <v>2429</v>
      </c>
      <c r="C1532" s="132" t="s">
        <v>2307</v>
      </c>
      <c r="D1532" s="132" t="s">
        <v>2308</v>
      </c>
      <c r="E1532" s="132" t="s">
        <v>320</v>
      </c>
      <c r="F1532" s="133" t="s">
        <v>2431</v>
      </c>
      <c r="G1532" s="134">
        <v>1.3</v>
      </c>
      <c r="H1532" s="135">
        <v>13.45</v>
      </c>
      <c r="I1532" s="136">
        <f t="shared" si="23"/>
        <v>17.484999999999999</v>
      </c>
      <c r="J1532" s="137">
        <v>1</v>
      </c>
    </row>
    <row r="1533" spans="2:10" ht="15" customHeight="1" x14ac:dyDescent="0.3">
      <c r="B1533" s="132" t="s">
        <v>2429</v>
      </c>
      <c r="C1533" s="132" t="s">
        <v>2307</v>
      </c>
      <c r="D1533" s="132" t="s">
        <v>2308</v>
      </c>
      <c r="E1533" s="132" t="s">
        <v>320</v>
      </c>
      <c r="F1533" s="133" t="s">
        <v>2432</v>
      </c>
      <c r="G1533" s="134">
        <v>2.36</v>
      </c>
      <c r="H1533" s="135">
        <v>13.45</v>
      </c>
      <c r="I1533" s="136">
        <f t="shared" si="23"/>
        <v>31.741999999999997</v>
      </c>
      <c r="J1533" s="137">
        <v>1</v>
      </c>
    </row>
    <row r="1534" spans="2:10" ht="15" customHeight="1" x14ac:dyDescent="0.3">
      <c r="B1534" s="132" t="s">
        <v>2429</v>
      </c>
      <c r="C1534" s="132" t="s">
        <v>2307</v>
      </c>
      <c r="D1534" s="132" t="s">
        <v>2308</v>
      </c>
      <c r="E1534" s="132" t="s">
        <v>320</v>
      </c>
      <c r="F1534" s="133" t="s">
        <v>2433</v>
      </c>
      <c r="G1534" s="134">
        <v>2.46</v>
      </c>
      <c r="H1534" s="135">
        <v>13.45</v>
      </c>
      <c r="I1534" s="136">
        <f t="shared" si="23"/>
        <v>33.086999999999996</v>
      </c>
      <c r="J1534" s="137">
        <v>1</v>
      </c>
    </row>
    <row r="1535" spans="2:10" ht="15" customHeight="1" x14ac:dyDescent="0.3">
      <c r="B1535" s="132" t="s">
        <v>2434</v>
      </c>
      <c r="C1535" s="132" t="s">
        <v>2307</v>
      </c>
      <c r="D1535" s="132" t="s">
        <v>2308</v>
      </c>
      <c r="E1535" s="132" t="s">
        <v>320</v>
      </c>
      <c r="F1535" s="133" t="s">
        <v>2435</v>
      </c>
      <c r="G1535" s="134">
        <v>4.7699999999999996</v>
      </c>
      <c r="H1535" s="135">
        <v>13.45</v>
      </c>
      <c r="I1535" s="136">
        <f t="shared" si="23"/>
        <v>64.156499999999994</v>
      </c>
      <c r="J1535" s="137">
        <v>1</v>
      </c>
    </row>
    <row r="1536" spans="2:10" ht="15" customHeight="1" x14ac:dyDescent="0.3">
      <c r="B1536" s="132" t="s">
        <v>2434</v>
      </c>
      <c r="C1536" s="132" t="s">
        <v>2307</v>
      </c>
      <c r="D1536" s="132" t="s">
        <v>2308</v>
      </c>
      <c r="E1536" s="132" t="s">
        <v>320</v>
      </c>
      <c r="F1536" s="133" t="s">
        <v>2436</v>
      </c>
      <c r="G1536" s="134">
        <v>1.95</v>
      </c>
      <c r="H1536" s="135">
        <v>13.45</v>
      </c>
      <c r="I1536" s="136">
        <f t="shared" si="23"/>
        <v>26.227499999999999</v>
      </c>
      <c r="J1536" s="137">
        <v>1</v>
      </c>
    </row>
    <row r="1537" spans="2:10" ht="15" customHeight="1" x14ac:dyDescent="0.3">
      <c r="B1537" s="132" t="s">
        <v>2434</v>
      </c>
      <c r="C1537" s="132" t="s">
        <v>2307</v>
      </c>
      <c r="D1537" s="132" t="s">
        <v>2308</v>
      </c>
      <c r="E1537" s="132" t="s">
        <v>320</v>
      </c>
      <c r="F1537" s="133" t="s">
        <v>2437</v>
      </c>
      <c r="G1537" s="134">
        <v>1.62</v>
      </c>
      <c r="H1537" s="135">
        <v>13.45</v>
      </c>
      <c r="I1537" s="136">
        <f t="shared" si="23"/>
        <v>21.789000000000001</v>
      </c>
      <c r="J1537" s="137">
        <v>1</v>
      </c>
    </row>
    <row r="1538" spans="2:10" ht="15" customHeight="1" x14ac:dyDescent="0.3">
      <c r="B1538" s="132" t="s">
        <v>2438</v>
      </c>
      <c r="C1538" s="132" t="s">
        <v>2307</v>
      </c>
      <c r="D1538" s="132" t="s">
        <v>2308</v>
      </c>
      <c r="E1538" s="132" t="s">
        <v>320</v>
      </c>
      <c r="F1538" s="133" t="s">
        <v>2439</v>
      </c>
      <c r="G1538" s="134">
        <v>2.2400000000000002</v>
      </c>
      <c r="H1538" s="135">
        <v>13.45</v>
      </c>
      <c r="I1538" s="136">
        <f t="shared" si="23"/>
        <v>30.128</v>
      </c>
      <c r="J1538" s="137">
        <v>1</v>
      </c>
    </row>
    <row r="1539" spans="2:10" ht="15" customHeight="1" x14ac:dyDescent="0.3">
      <c r="B1539" s="132" t="s">
        <v>2440</v>
      </c>
      <c r="C1539" s="132" t="s">
        <v>2307</v>
      </c>
      <c r="D1539" s="132" t="s">
        <v>2308</v>
      </c>
      <c r="E1539" s="132" t="s">
        <v>320</v>
      </c>
      <c r="F1539" s="133" t="s">
        <v>2441</v>
      </c>
      <c r="G1539" s="134">
        <v>2.63</v>
      </c>
      <c r="H1539" s="135">
        <v>13.45</v>
      </c>
      <c r="I1539" s="136">
        <f t="shared" si="23"/>
        <v>35.3735</v>
      </c>
      <c r="J1539" s="137">
        <v>1</v>
      </c>
    </row>
    <row r="1540" spans="2:10" ht="15" customHeight="1" x14ac:dyDescent="0.3">
      <c r="B1540" s="132" t="s">
        <v>2442</v>
      </c>
      <c r="C1540" s="132" t="s">
        <v>2307</v>
      </c>
      <c r="D1540" s="132" t="s">
        <v>2308</v>
      </c>
      <c r="E1540" s="132" t="s">
        <v>320</v>
      </c>
      <c r="F1540" s="133" t="s">
        <v>2443</v>
      </c>
      <c r="G1540" s="134">
        <v>3.63</v>
      </c>
      <c r="H1540" s="135">
        <v>13.45</v>
      </c>
      <c r="I1540" s="136">
        <f t="shared" si="23"/>
        <v>48.823499999999996</v>
      </c>
      <c r="J1540" s="137">
        <v>1</v>
      </c>
    </row>
    <row r="1541" spans="2:10" ht="15" customHeight="1" x14ac:dyDescent="0.3">
      <c r="B1541" s="132" t="s">
        <v>2444</v>
      </c>
      <c r="C1541" s="132" t="s">
        <v>2307</v>
      </c>
      <c r="D1541" s="132" t="s">
        <v>2308</v>
      </c>
      <c r="E1541" s="132" t="s">
        <v>320</v>
      </c>
      <c r="F1541" s="133" t="s">
        <v>2445</v>
      </c>
      <c r="G1541" s="134">
        <v>1.1499999999999999</v>
      </c>
      <c r="H1541" s="135">
        <v>13.45</v>
      </c>
      <c r="I1541" s="136">
        <f t="shared" si="23"/>
        <v>15.467499999999998</v>
      </c>
      <c r="J1541" s="137">
        <v>1</v>
      </c>
    </row>
    <row r="1542" spans="2:10" ht="15" customHeight="1" x14ac:dyDescent="0.3">
      <c r="B1542" s="132" t="s">
        <v>2444</v>
      </c>
      <c r="C1542" s="132" t="s">
        <v>2307</v>
      </c>
      <c r="D1542" s="132" t="s">
        <v>2308</v>
      </c>
      <c r="E1542" s="132" t="s">
        <v>320</v>
      </c>
      <c r="F1542" s="133" t="s">
        <v>2446</v>
      </c>
      <c r="G1542" s="134">
        <v>1.49</v>
      </c>
      <c r="H1542" s="135">
        <v>13.45</v>
      </c>
      <c r="I1542" s="136">
        <f t="shared" si="23"/>
        <v>20.040499999999998</v>
      </c>
      <c r="J1542" s="137">
        <v>1</v>
      </c>
    </row>
    <row r="1543" spans="2:10" ht="15" customHeight="1" x14ac:dyDescent="0.3">
      <c r="B1543" s="132" t="s">
        <v>2447</v>
      </c>
      <c r="C1543" s="132" t="s">
        <v>2307</v>
      </c>
      <c r="D1543" s="132" t="s">
        <v>2308</v>
      </c>
      <c r="E1543" s="132" t="s">
        <v>320</v>
      </c>
      <c r="F1543" s="133" t="s">
        <v>2448</v>
      </c>
      <c r="G1543" s="134">
        <v>2.38</v>
      </c>
      <c r="H1543" s="135">
        <v>13.45</v>
      </c>
      <c r="I1543" s="136">
        <f t="shared" si="23"/>
        <v>32.010999999999996</v>
      </c>
      <c r="J1543" s="137">
        <v>1</v>
      </c>
    </row>
    <row r="1544" spans="2:10" ht="15" customHeight="1" x14ac:dyDescent="0.3">
      <c r="B1544" s="132" t="s">
        <v>2447</v>
      </c>
      <c r="C1544" s="132" t="s">
        <v>2307</v>
      </c>
      <c r="D1544" s="132" t="s">
        <v>2308</v>
      </c>
      <c r="E1544" s="132" t="s">
        <v>320</v>
      </c>
      <c r="F1544" s="133" t="s">
        <v>2449</v>
      </c>
      <c r="G1544" s="134">
        <v>1.01</v>
      </c>
      <c r="H1544" s="135">
        <v>13.45</v>
      </c>
      <c r="I1544" s="136">
        <f t="shared" ref="I1544:I1590" si="24">G1544*H1544</f>
        <v>13.5845</v>
      </c>
      <c r="J1544" s="137">
        <v>1</v>
      </c>
    </row>
    <row r="1545" spans="2:10" ht="15" customHeight="1" x14ac:dyDescent="0.3">
      <c r="B1545" s="132" t="s">
        <v>2450</v>
      </c>
      <c r="C1545" s="132" t="s">
        <v>2307</v>
      </c>
      <c r="D1545" s="132" t="s">
        <v>2308</v>
      </c>
      <c r="E1545" s="132" t="s">
        <v>320</v>
      </c>
      <c r="F1545" s="133" t="s">
        <v>2451</v>
      </c>
      <c r="G1545" s="134">
        <v>6.16</v>
      </c>
      <c r="H1545" s="135">
        <v>13.45</v>
      </c>
      <c r="I1545" s="136">
        <f t="shared" si="24"/>
        <v>82.852000000000004</v>
      </c>
      <c r="J1545" s="137">
        <v>1</v>
      </c>
    </row>
    <row r="1546" spans="2:10" ht="15" customHeight="1" x14ac:dyDescent="0.3">
      <c r="B1546" s="132" t="s">
        <v>2450</v>
      </c>
      <c r="C1546" s="132" t="s">
        <v>2307</v>
      </c>
      <c r="D1546" s="132" t="s">
        <v>2308</v>
      </c>
      <c r="E1546" s="132" t="s">
        <v>320</v>
      </c>
      <c r="F1546" s="133" t="s">
        <v>2452</v>
      </c>
      <c r="G1546" s="134">
        <v>3.24</v>
      </c>
      <c r="H1546" s="135">
        <v>13.45</v>
      </c>
      <c r="I1546" s="136">
        <f t="shared" si="24"/>
        <v>43.578000000000003</v>
      </c>
      <c r="J1546" s="137">
        <v>1</v>
      </c>
    </row>
    <row r="1547" spans="2:10" ht="15" customHeight="1" x14ac:dyDescent="0.3">
      <c r="B1547" s="132" t="s">
        <v>2450</v>
      </c>
      <c r="C1547" s="132" t="s">
        <v>2307</v>
      </c>
      <c r="D1547" s="132" t="s">
        <v>2308</v>
      </c>
      <c r="E1547" s="132" t="s">
        <v>320</v>
      </c>
      <c r="F1547" s="133" t="s">
        <v>2453</v>
      </c>
      <c r="G1547" s="134">
        <v>3.59</v>
      </c>
      <c r="H1547" s="135">
        <v>13.45</v>
      </c>
      <c r="I1547" s="136">
        <f t="shared" si="24"/>
        <v>48.285499999999999</v>
      </c>
      <c r="J1547" s="137">
        <v>1</v>
      </c>
    </row>
    <row r="1548" spans="2:10" ht="15" customHeight="1" x14ac:dyDescent="0.3">
      <c r="B1548" s="132" t="s">
        <v>2454</v>
      </c>
      <c r="C1548" s="132" t="s">
        <v>2307</v>
      </c>
      <c r="D1548" s="132" t="s">
        <v>2308</v>
      </c>
      <c r="E1548" s="132" t="s">
        <v>320</v>
      </c>
      <c r="F1548" s="133" t="s">
        <v>2455</v>
      </c>
      <c r="G1548" s="134">
        <v>3.22</v>
      </c>
      <c r="H1548" s="135">
        <v>13.45</v>
      </c>
      <c r="I1548" s="136">
        <f t="shared" si="24"/>
        <v>43.308999999999997</v>
      </c>
      <c r="J1548" s="137">
        <v>1</v>
      </c>
    </row>
    <row r="1549" spans="2:10" ht="15" customHeight="1" x14ac:dyDescent="0.3">
      <c r="B1549" s="132" t="s">
        <v>2456</v>
      </c>
      <c r="C1549" s="132" t="s">
        <v>2307</v>
      </c>
      <c r="D1549" s="132" t="s">
        <v>2308</v>
      </c>
      <c r="E1549" s="132" t="s">
        <v>320</v>
      </c>
      <c r="F1549" s="133" t="s">
        <v>2457</v>
      </c>
      <c r="G1549" s="134">
        <v>3.24</v>
      </c>
      <c r="H1549" s="135">
        <v>13.45</v>
      </c>
      <c r="I1549" s="136">
        <f t="shared" si="24"/>
        <v>43.578000000000003</v>
      </c>
      <c r="J1549" s="137">
        <v>1</v>
      </c>
    </row>
    <row r="1550" spans="2:10" ht="15" customHeight="1" x14ac:dyDescent="0.3">
      <c r="B1550" s="132" t="s">
        <v>2458</v>
      </c>
      <c r="C1550" s="132" t="s">
        <v>2307</v>
      </c>
      <c r="D1550" s="132" t="s">
        <v>2308</v>
      </c>
      <c r="E1550" s="132" t="s">
        <v>320</v>
      </c>
      <c r="F1550" s="133" t="s">
        <v>2459</v>
      </c>
      <c r="G1550" s="134">
        <v>4.84</v>
      </c>
      <c r="H1550" s="135">
        <v>13.45</v>
      </c>
      <c r="I1550" s="136">
        <f t="shared" si="24"/>
        <v>65.097999999999999</v>
      </c>
      <c r="J1550" s="137">
        <v>1</v>
      </c>
    </row>
    <row r="1551" spans="2:10" ht="15" customHeight="1" x14ac:dyDescent="0.3">
      <c r="B1551" s="132" t="s">
        <v>2460</v>
      </c>
      <c r="C1551" s="132" t="s">
        <v>2307</v>
      </c>
      <c r="D1551" s="132" t="s">
        <v>2308</v>
      </c>
      <c r="E1551" s="132" t="s">
        <v>320</v>
      </c>
      <c r="F1551" s="133" t="s">
        <v>2461</v>
      </c>
      <c r="G1551" s="134">
        <v>3.78</v>
      </c>
      <c r="H1551" s="135">
        <v>13.45</v>
      </c>
      <c r="I1551" s="136">
        <f t="shared" si="24"/>
        <v>50.840999999999994</v>
      </c>
      <c r="J1551" s="137">
        <v>1</v>
      </c>
    </row>
    <row r="1552" spans="2:10" ht="15" customHeight="1" x14ac:dyDescent="0.3">
      <c r="B1552" s="132" t="s">
        <v>2462</v>
      </c>
      <c r="C1552" s="132" t="s">
        <v>2307</v>
      </c>
      <c r="D1552" s="132" t="s">
        <v>2308</v>
      </c>
      <c r="E1552" s="132" t="s">
        <v>320</v>
      </c>
      <c r="F1552" s="133" t="s">
        <v>2463</v>
      </c>
      <c r="G1552" s="134">
        <v>2.42</v>
      </c>
      <c r="H1552" s="135">
        <v>13.45</v>
      </c>
      <c r="I1552" s="136">
        <f t="shared" si="24"/>
        <v>32.548999999999999</v>
      </c>
      <c r="J1552" s="137">
        <v>1</v>
      </c>
    </row>
    <row r="1553" spans="2:10" ht="15" customHeight="1" x14ac:dyDescent="0.3">
      <c r="B1553" s="132" t="s">
        <v>2464</v>
      </c>
      <c r="C1553" s="132" t="s">
        <v>2307</v>
      </c>
      <c r="D1553" s="132" t="s">
        <v>2308</v>
      </c>
      <c r="E1553" s="132" t="s">
        <v>320</v>
      </c>
      <c r="F1553" s="133" t="s">
        <v>2465</v>
      </c>
      <c r="G1553" s="134">
        <v>1.51</v>
      </c>
      <c r="H1553" s="135">
        <v>13.45</v>
      </c>
      <c r="I1553" s="136">
        <f t="shared" si="24"/>
        <v>20.3095</v>
      </c>
      <c r="J1553" s="137">
        <v>1</v>
      </c>
    </row>
    <row r="1554" spans="2:10" ht="15" customHeight="1" x14ac:dyDescent="0.3">
      <c r="B1554" s="132" t="s">
        <v>2466</v>
      </c>
      <c r="C1554" s="132" t="s">
        <v>2307</v>
      </c>
      <c r="D1554" s="132" t="s">
        <v>2308</v>
      </c>
      <c r="E1554" s="132" t="s">
        <v>320</v>
      </c>
      <c r="F1554" s="133" t="s">
        <v>2467</v>
      </c>
      <c r="G1554" s="134">
        <v>2.35</v>
      </c>
      <c r="H1554" s="135">
        <v>13.45</v>
      </c>
      <c r="I1554" s="136">
        <f t="shared" si="24"/>
        <v>31.607499999999998</v>
      </c>
      <c r="J1554" s="137">
        <v>1</v>
      </c>
    </row>
    <row r="1555" spans="2:10" ht="15" customHeight="1" x14ac:dyDescent="0.3">
      <c r="B1555" s="132" t="s">
        <v>2466</v>
      </c>
      <c r="C1555" s="132" t="s">
        <v>2307</v>
      </c>
      <c r="D1555" s="132" t="s">
        <v>2308</v>
      </c>
      <c r="E1555" s="132" t="s">
        <v>320</v>
      </c>
      <c r="F1555" s="133" t="s">
        <v>2468</v>
      </c>
      <c r="G1555" s="134">
        <v>3.88</v>
      </c>
      <c r="H1555" s="135">
        <v>13.45</v>
      </c>
      <c r="I1555" s="136">
        <f t="shared" si="24"/>
        <v>52.185999999999993</v>
      </c>
      <c r="J1555" s="137">
        <v>1</v>
      </c>
    </row>
    <row r="1556" spans="2:10" ht="15" customHeight="1" x14ac:dyDescent="0.3">
      <c r="B1556" s="132" t="s">
        <v>2466</v>
      </c>
      <c r="C1556" s="132" t="s">
        <v>2307</v>
      </c>
      <c r="D1556" s="132" t="s">
        <v>2308</v>
      </c>
      <c r="E1556" s="132" t="s">
        <v>320</v>
      </c>
      <c r="F1556" s="133" t="s">
        <v>2469</v>
      </c>
      <c r="G1556" s="134">
        <v>6.97</v>
      </c>
      <c r="H1556" s="135">
        <v>13.45</v>
      </c>
      <c r="I1556" s="136">
        <f t="shared" si="24"/>
        <v>93.746499999999997</v>
      </c>
      <c r="J1556" s="137">
        <v>1</v>
      </c>
    </row>
    <row r="1557" spans="2:10" ht="15" customHeight="1" x14ac:dyDescent="0.3">
      <c r="B1557" s="132" t="s">
        <v>2470</v>
      </c>
      <c r="C1557" s="132" t="s">
        <v>2307</v>
      </c>
      <c r="D1557" s="132" t="s">
        <v>2308</v>
      </c>
      <c r="E1557" s="132" t="s">
        <v>320</v>
      </c>
      <c r="F1557" s="133" t="s">
        <v>2471</v>
      </c>
      <c r="G1557" s="134">
        <v>8.44</v>
      </c>
      <c r="H1557" s="135">
        <v>13.45</v>
      </c>
      <c r="I1557" s="136">
        <f t="shared" si="24"/>
        <v>113.51799999999999</v>
      </c>
      <c r="J1557" s="137">
        <v>1</v>
      </c>
    </row>
    <row r="1558" spans="2:10" ht="15" customHeight="1" x14ac:dyDescent="0.3">
      <c r="B1558" s="132" t="s">
        <v>2472</v>
      </c>
      <c r="C1558" s="132" t="s">
        <v>2307</v>
      </c>
      <c r="D1558" s="132" t="s">
        <v>2308</v>
      </c>
      <c r="E1558" s="132" t="s">
        <v>320</v>
      </c>
      <c r="F1558" s="133" t="s">
        <v>2473</v>
      </c>
      <c r="G1558" s="134">
        <v>7.15</v>
      </c>
      <c r="H1558" s="135">
        <v>13.45</v>
      </c>
      <c r="I1558" s="136">
        <f t="shared" si="24"/>
        <v>96.167500000000004</v>
      </c>
      <c r="J1558" s="137">
        <v>1</v>
      </c>
    </row>
    <row r="1559" spans="2:10" ht="15" customHeight="1" x14ac:dyDescent="0.3">
      <c r="B1559" s="132" t="s">
        <v>2474</v>
      </c>
      <c r="C1559" s="132" t="s">
        <v>2307</v>
      </c>
      <c r="D1559" s="132" t="s">
        <v>2308</v>
      </c>
      <c r="E1559" s="132" t="s">
        <v>320</v>
      </c>
      <c r="F1559" s="133" t="s">
        <v>2475</v>
      </c>
      <c r="G1559" s="134">
        <v>6.05</v>
      </c>
      <c r="H1559" s="135">
        <v>13.45</v>
      </c>
      <c r="I1559" s="136">
        <f t="shared" si="24"/>
        <v>81.372499999999988</v>
      </c>
      <c r="J1559" s="137">
        <v>1</v>
      </c>
    </row>
    <row r="1560" spans="2:10" ht="15" customHeight="1" x14ac:dyDescent="0.3">
      <c r="B1560" s="132" t="s">
        <v>2476</v>
      </c>
      <c r="C1560" s="132" t="s">
        <v>2307</v>
      </c>
      <c r="D1560" s="132" t="s">
        <v>2308</v>
      </c>
      <c r="E1560" s="132" t="s">
        <v>320</v>
      </c>
      <c r="F1560" s="133" t="s">
        <v>2477</v>
      </c>
      <c r="G1560" s="134">
        <v>3.6</v>
      </c>
      <c r="H1560" s="135">
        <v>13.45</v>
      </c>
      <c r="I1560" s="136">
        <f t="shared" si="24"/>
        <v>48.42</v>
      </c>
      <c r="J1560" s="137">
        <v>1</v>
      </c>
    </row>
    <row r="1561" spans="2:10" ht="15" customHeight="1" x14ac:dyDescent="0.3">
      <c r="B1561" s="132" t="s">
        <v>2476</v>
      </c>
      <c r="C1561" s="132" t="s">
        <v>2307</v>
      </c>
      <c r="D1561" s="132" t="s">
        <v>2308</v>
      </c>
      <c r="E1561" s="132" t="s">
        <v>320</v>
      </c>
      <c r="F1561" s="133" t="s">
        <v>2478</v>
      </c>
      <c r="G1561" s="134">
        <v>2.2400000000000002</v>
      </c>
      <c r="H1561" s="135">
        <v>13.45</v>
      </c>
      <c r="I1561" s="136">
        <f t="shared" si="24"/>
        <v>30.128</v>
      </c>
      <c r="J1561" s="137">
        <v>1</v>
      </c>
    </row>
    <row r="1562" spans="2:10" ht="15" customHeight="1" x14ac:dyDescent="0.3">
      <c r="B1562" s="132" t="s">
        <v>2479</v>
      </c>
      <c r="C1562" s="132" t="s">
        <v>2307</v>
      </c>
      <c r="D1562" s="132" t="s">
        <v>2308</v>
      </c>
      <c r="E1562" s="132" t="s">
        <v>320</v>
      </c>
      <c r="F1562" s="133" t="s">
        <v>2480</v>
      </c>
      <c r="G1562" s="134">
        <v>1.26</v>
      </c>
      <c r="H1562" s="135">
        <v>13.45</v>
      </c>
      <c r="I1562" s="136">
        <f t="shared" si="24"/>
        <v>16.946999999999999</v>
      </c>
      <c r="J1562" s="137">
        <v>1</v>
      </c>
    </row>
    <row r="1563" spans="2:10" ht="15" customHeight="1" x14ac:dyDescent="0.3">
      <c r="B1563" s="132" t="s">
        <v>2481</v>
      </c>
      <c r="C1563" s="132" t="s">
        <v>2307</v>
      </c>
      <c r="D1563" s="132" t="s">
        <v>2308</v>
      </c>
      <c r="E1563" s="132" t="s">
        <v>320</v>
      </c>
      <c r="F1563" s="133" t="s">
        <v>2482</v>
      </c>
      <c r="G1563" s="134">
        <v>4.34</v>
      </c>
      <c r="H1563" s="135">
        <v>13.45</v>
      </c>
      <c r="I1563" s="136">
        <f t="shared" si="24"/>
        <v>58.372999999999998</v>
      </c>
      <c r="J1563" s="137">
        <v>1</v>
      </c>
    </row>
    <row r="1564" spans="2:10" ht="15" customHeight="1" x14ac:dyDescent="0.3">
      <c r="B1564" s="132" t="s">
        <v>2483</v>
      </c>
      <c r="C1564" s="132" t="s">
        <v>2307</v>
      </c>
      <c r="D1564" s="132" t="s">
        <v>2308</v>
      </c>
      <c r="E1564" s="132" t="s">
        <v>320</v>
      </c>
      <c r="F1564" s="133" t="s">
        <v>2484</v>
      </c>
      <c r="G1564" s="134">
        <v>1.68</v>
      </c>
      <c r="H1564" s="135">
        <v>13.45</v>
      </c>
      <c r="I1564" s="136">
        <f t="shared" si="24"/>
        <v>22.595999999999997</v>
      </c>
      <c r="J1564" s="137">
        <v>1</v>
      </c>
    </row>
    <row r="1565" spans="2:10" ht="15" customHeight="1" x14ac:dyDescent="0.3">
      <c r="B1565" s="132" t="s">
        <v>2485</v>
      </c>
      <c r="C1565" s="132" t="s">
        <v>2307</v>
      </c>
      <c r="D1565" s="132" t="s">
        <v>2308</v>
      </c>
      <c r="E1565" s="132" t="s">
        <v>320</v>
      </c>
      <c r="F1565" s="133" t="s">
        <v>2486</v>
      </c>
      <c r="G1565" s="134">
        <v>7.11</v>
      </c>
      <c r="H1565" s="135">
        <v>13.45</v>
      </c>
      <c r="I1565" s="136">
        <f t="shared" si="24"/>
        <v>95.629499999999993</v>
      </c>
      <c r="J1565" s="137">
        <v>1</v>
      </c>
    </row>
    <row r="1566" spans="2:10" ht="15" customHeight="1" x14ac:dyDescent="0.3">
      <c r="B1566" s="132" t="s">
        <v>2487</v>
      </c>
      <c r="C1566" s="132" t="s">
        <v>2307</v>
      </c>
      <c r="D1566" s="132" t="s">
        <v>2308</v>
      </c>
      <c r="E1566" s="132" t="s">
        <v>320</v>
      </c>
      <c r="F1566" s="133" t="s">
        <v>2488</v>
      </c>
      <c r="G1566" s="134">
        <v>1.69</v>
      </c>
      <c r="H1566" s="135">
        <v>13.45</v>
      </c>
      <c r="I1566" s="136">
        <f t="shared" si="24"/>
        <v>22.730499999999999</v>
      </c>
      <c r="J1566" s="137">
        <v>1</v>
      </c>
    </row>
    <row r="1567" spans="2:10" ht="15" customHeight="1" x14ac:dyDescent="0.3">
      <c r="B1567" s="132" t="s">
        <v>2489</v>
      </c>
      <c r="C1567" s="132" t="s">
        <v>2307</v>
      </c>
      <c r="D1567" s="132" t="s">
        <v>2308</v>
      </c>
      <c r="E1567" s="132" t="s">
        <v>320</v>
      </c>
      <c r="F1567" s="133" t="s">
        <v>2490</v>
      </c>
      <c r="G1567" s="134">
        <v>9.86</v>
      </c>
      <c r="H1567" s="135">
        <v>13.45</v>
      </c>
      <c r="I1567" s="136">
        <f t="shared" si="24"/>
        <v>132.61699999999999</v>
      </c>
      <c r="J1567" s="137">
        <v>1</v>
      </c>
    </row>
    <row r="1568" spans="2:10" ht="15" customHeight="1" x14ac:dyDescent="0.3">
      <c r="B1568" s="132" t="s">
        <v>2489</v>
      </c>
      <c r="C1568" s="132" t="s">
        <v>2307</v>
      </c>
      <c r="D1568" s="132" t="s">
        <v>2308</v>
      </c>
      <c r="E1568" s="132" t="s">
        <v>320</v>
      </c>
      <c r="F1568" s="133" t="s">
        <v>2491</v>
      </c>
      <c r="G1568" s="134">
        <v>3.8</v>
      </c>
      <c r="H1568" s="135">
        <v>13.45</v>
      </c>
      <c r="I1568" s="136">
        <f t="shared" si="24"/>
        <v>51.109999999999992</v>
      </c>
      <c r="J1568" s="137">
        <v>1</v>
      </c>
    </row>
    <row r="1569" spans="2:10" ht="15" customHeight="1" x14ac:dyDescent="0.3">
      <c r="B1569" s="132" t="s">
        <v>2492</v>
      </c>
      <c r="C1569" s="132" t="s">
        <v>2307</v>
      </c>
      <c r="D1569" s="132" t="s">
        <v>2308</v>
      </c>
      <c r="E1569" s="132" t="s">
        <v>320</v>
      </c>
      <c r="F1569" s="133" t="s">
        <v>2493</v>
      </c>
      <c r="G1569" s="134">
        <v>1.48</v>
      </c>
      <c r="H1569" s="135">
        <v>13.45</v>
      </c>
      <c r="I1569" s="136">
        <f t="shared" si="24"/>
        <v>19.905999999999999</v>
      </c>
      <c r="J1569" s="137">
        <v>1</v>
      </c>
    </row>
    <row r="1570" spans="2:10" ht="15" customHeight="1" x14ac:dyDescent="0.3">
      <c r="B1570" s="132" t="s">
        <v>2494</v>
      </c>
      <c r="C1570" s="132" t="s">
        <v>2307</v>
      </c>
      <c r="D1570" s="132" t="s">
        <v>2308</v>
      </c>
      <c r="E1570" s="132" t="s">
        <v>320</v>
      </c>
      <c r="F1570" s="133" t="s">
        <v>2495</v>
      </c>
      <c r="G1570" s="134">
        <v>5.99</v>
      </c>
      <c r="H1570" s="135">
        <v>13.45</v>
      </c>
      <c r="I1570" s="136">
        <f t="shared" si="24"/>
        <v>80.5655</v>
      </c>
      <c r="J1570" s="137">
        <v>1</v>
      </c>
    </row>
    <row r="1571" spans="2:10" ht="15" customHeight="1" x14ac:dyDescent="0.3">
      <c r="B1571" s="132" t="s">
        <v>2494</v>
      </c>
      <c r="C1571" s="132" t="s">
        <v>2307</v>
      </c>
      <c r="D1571" s="132" t="s">
        <v>2308</v>
      </c>
      <c r="E1571" s="132" t="s">
        <v>320</v>
      </c>
      <c r="F1571" s="133" t="s">
        <v>2496</v>
      </c>
      <c r="G1571" s="134">
        <v>1.54</v>
      </c>
      <c r="H1571" s="135">
        <v>13.45</v>
      </c>
      <c r="I1571" s="136">
        <f t="shared" si="24"/>
        <v>20.713000000000001</v>
      </c>
      <c r="J1571" s="137">
        <v>1</v>
      </c>
    </row>
    <row r="1572" spans="2:10" ht="15" customHeight="1" x14ac:dyDescent="0.3">
      <c r="B1572" s="132" t="s">
        <v>2497</v>
      </c>
      <c r="C1572" s="132" t="s">
        <v>2307</v>
      </c>
      <c r="D1572" s="132" t="s">
        <v>2308</v>
      </c>
      <c r="E1572" s="132" t="s">
        <v>320</v>
      </c>
      <c r="F1572" s="133" t="s">
        <v>2498</v>
      </c>
      <c r="G1572" s="134">
        <v>1.03</v>
      </c>
      <c r="H1572" s="135">
        <v>13.45</v>
      </c>
      <c r="I1572" s="136">
        <f t="shared" si="24"/>
        <v>13.8535</v>
      </c>
      <c r="J1572" s="137">
        <v>1</v>
      </c>
    </row>
    <row r="1573" spans="2:10" ht="15" customHeight="1" x14ac:dyDescent="0.3">
      <c r="B1573" s="132" t="s">
        <v>2499</v>
      </c>
      <c r="C1573" s="132" t="s">
        <v>2307</v>
      </c>
      <c r="D1573" s="132" t="s">
        <v>2308</v>
      </c>
      <c r="E1573" s="132" t="s">
        <v>320</v>
      </c>
      <c r="F1573" s="133" t="s">
        <v>2500</v>
      </c>
      <c r="G1573" s="134">
        <v>1.76</v>
      </c>
      <c r="H1573" s="135">
        <v>13.45</v>
      </c>
      <c r="I1573" s="136">
        <f t="shared" si="24"/>
        <v>23.672000000000001</v>
      </c>
      <c r="J1573" s="137">
        <v>1</v>
      </c>
    </row>
    <row r="1574" spans="2:10" ht="15" customHeight="1" x14ac:dyDescent="0.3">
      <c r="B1574" s="132" t="s">
        <v>2501</v>
      </c>
      <c r="C1574" s="132" t="s">
        <v>2307</v>
      </c>
      <c r="D1574" s="132" t="s">
        <v>2308</v>
      </c>
      <c r="E1574" s="132" t="s">
        <v>320</v>
      </c>
      <c r="F1574" s="133" t="s">
        <v>2502</v>
      </c>
      <c r="G1574" s="134">
        <v>1.72</v>
      </c>
      <c r="H1574" s="135">
        <v>13.45</v>
      </c>
      <c r="I1574" s="136">
        <f t="shared" si="24"/>
        <v>23.133999999999997</v>
      </c>
      <c r="J1574" s="137">
        <v>1</v>
      </c>
    </row>
    <row r="1575" spans="2:10" ht="15" customHeight="1" x14ac:dyDescent="0.3">
      <c r="B1575" s="132" t="s">
        <v>2501</v>
      </c>
      <c r="C1575" s="132" t="s">
        <v>2307</v>
      </c>
      <c r="D1575" s="132" t="s">
        <v>2308</v>
      </c>
      <c r="E1575" s="132" t="s">
        <v>320</v>
      </c>
      <c r="F1575" s="133" t="s">
        <v>2503</v>
      </c>
      <c r="G1575" s="134">
        <v>2.85</v>
      </c>
      <c r="H1575" s="135">
        <v>13.45</v>
      </c>
      <c r="I1575" s="136">
        <f t="shared" si="24"/>
        <v>38.332499999999996</v>
      </c>
      <c r="J1575" s="137">
        <v>1</v>
      </c>
    </row>
    <row r="1576" spans="2:10" ht="15" customHeight="1" x14ac:dyDescent="0.3">
      <c r="B1576" s="132" t="s">
        <v>2504</v>
      </c>
      <c r="C1576" s="132" t="s">
        <v>2307</v>
      </c>
      <c r="D1576" s="132" t="s">
        <v>2308</v>
      </c>
      <c r="E1576" s="132" t="s">
        <v>320</v>
      </c>
      <c r="F1576" s="133" t="s">
        <v>2505</v>
      </c>
      <c r="G1576" s="134">
        <v>6.6</v>
      </c>
      <c r="H1576" s="135">
        <v>13.45</v>
      </c>
      <c r="I1576" s="136">
        <f t="shared" si="24"/>
        <v>88.77</v>
      </c>
      <c r="J1576" s="137">
        <v>1</v>
      </c>
    </row>
    <row r="1577" spans="2:10" ht="15" customHeight="1" x14ac:dyDescent="0.3">
      <c r="B1577" s="132" t="s">
        <v>2506</v>
      </c>
      <c r="C1577" s="132" t="s">
        <v>2307</v>
      </c>
      <c r="D1577" s="132" t="s">
        <v>2308</v>
      </c>
      <c r="E1577" s="132" t="s">
        <v>320</v>
      </c>
      <c r="F1577" s="133" t="s">
        <v>2507</v>
      </c>
      <c r="G1577" s="134">
        <v>2.17</v>
      </c>
      <c r="H1577" s="135">
        <v>13.45</v>
      </c>
      <c r="I1577" s="136">
        <f t="shared" si="24"/>
        <v>29.186499999999999</v>
      </c>
      <c r="J1577" s="137">
        <v>1</v>
      </c>
    </row>
    <row r="1578" spans="2:10" ht="15" customHeight="1" x14ac:dyDescent="0.3">
      <c r="B1578" s="132" t="s">
        <v>2508</v>
      </c>
      <c r="C1578" s="132" t="s">
        <v>2307</v>
      </c>
      <c r="D1578" s="132" t="s">
        <v>2308</v>
      </c>
      <c r="E1578" s="132" t="s">
        <v>320</v>
      </c>
      <c r="F1578" s="133" t="s">
        <v>2509</v>
      </c>
      <c r="G1578" s="134">
        <v>1.1100000000000001</v>
      </c>
      <c r="H1578" s="135">
        <v>13.45</v>
      </c>
      <c r="I1578" s="136">
        <f t="shared" si="24"/>
        <v>14.929500000000001</v>
      </c>
      <c r="J1578" s="137">
        <v>1</v>
      </c>
    </row>
    <row r="1579" spans="2:10" ht="15" customHeight="1" x14ac:dyDescent="0.3">
      <c r="B1579" s="132" t="s">
        <v>2447</v>
      </c>
      <c r="C1579" s="132" t="s">
        <v>2307</v>
      </c>
      <c r="D1579" s="132" t="s">
        <v>2308</v>
      </c>
      <c r="E1579" s="132" t="s">
        <v>320</v>
      </c>
      <c r="F1579" s="133" t="s">
        <v>2510</v>
      </c>
      <c r="G1579" s="134">
        <v>2.38</v>
      </c>
      <c r="H1579" s="135">
        <v>13.45</v>
      </c>
      <c r="I1579" s="136">
        <f t="shared" si="24"/>
        <v>32.010999999999996</v>
      </c>
      <c r="J1579" s="137">
        <v>1</v>
      </c>
    </row>
    <row r="1580" spans="2:10" ht="15" customHeight="1" x14ac:dyDescent="0.3">
      <c r="B1580" s="132" t="s">
        <v>2511</v>
      </c>
      <c r="C1580" s="132" t="s">
        <v>2307</v>
      </c>
      <c r="D1580" s="132" t="s">
        <v>2308</v>
      </c>
      <c r="E1580" s="132" t="s">
        <v>320</v>
      </c>
      <c r="F1580" s="133" t="s">
        <v>2512</v>
      </c>
      <c r="G1580" s="134">
        <v>1.01</v>
      </c>
      <c r="H1580" s="135">
        <v>13.45</v>
      </c>
      <c r="I1580" s="136">
        <f t="shared" si="24"/>
        <v>13.5845</v>
      </c>
      <c r="J1580" s="137">
        <v>1</v>
      </c>
    </row>
    <row r="1581" spans="2:10" ht="15" customHeight="1" x14ac:dyDescent="0.3">
      <c r="B1581" s="132" t="s">
        <v>2513</v>
      </c>
      <c r="C1581" s="132" t="s">
        <v>2307</v>
      </c>
      <c r="D1581" s="132" t="s">
        <v>2308</v>
      </c>
      <c r="E1581" s="132" t="s">
        <v>320</v>
      </c>
      <c r="F1581" s="133" t="s">
        <v>2514</v>
      </c>
      <c r="G1581" s="134">
        <v>1.47</v>
      </c>
      <c r="H1581" s="135">
        <v>13.45</v>
      </c>
      <c r="I1581" s="136">
        <f t="shared" si="24"/>
        <v>19.7715</v>
      </c>
      <c r="J1581" s="137">
        <v>1</v>
      </c>
    </row>
    <row r="1582" spans="2:10" ht="15" customHeight="1" x14ac:dyDescent="0.3">
      <c r="B1582" s="132" t="s">
        <v>2515</v>
      </c>
      <c r="C1582" s="132" t="s">
        <v>2307</v>
      </c>
      <c r="D1582" s="132" t="s">
        <v>2308</v>
      </c>
      <c r="E1582" s="132" t="s">
        <v>320</v>
      </c>
      <c r="F1582" s="133" t="s">
        <v>2516</v>
      </c>
      <c r="G1582" s="134">
        <v>5.33</v>
      </c>
      <c r="H1582" s="135">
        <v>13.45</v>
      </c>
      <c r="I1582" s="136">
        <f t="shared" si="24"/>
        <v>71.688499999999991</v>
      </c>
      <c r="J1582" s="137">
        <v>1</v>
      </c>
    </row>
    <row r="1583" spans="2:10" ht="15" customHeight="1" x14ac:dyDescent="0.3">
      <c r="B1583" s="132" t="s">
        <v>2517</v>
      </c>
      <c r="C1583" s="132" t="s">
        <v>2307</v>
      </c>
      <c r="D1583" s="132" t="s">
        <v>2308</v>
      </c>
      <c r="E1583" s="132" t="s">
        <v>320</v>
      </c>
      <c r="F1583" s="133" t="s">
        <v>2518</v>
      </c>
      <c r="G1583" s="134">
        <v>1.51</v>
      </c>
      <c r="H1583" s="135">
        <v>13.45</v>
      </c>
      <c r="I1583" s="136">
        <f t="shared" si="24"/>
        <v>20.3095</v>
      </c>
      <c r="J1583" s="137">
        <v>1</v>
      </c>
    </row>
    <row r="1584" spans="2:10" ht="15" customHeight="1" x14ac:dyDescent="0.3">
      <c r="B1584" s="132" t="s">
        <v>2519</v>
      </c>
      <c r="C1584" s="132" t="s">
        <v>2307</v>
      </c>
      <c r="D1584" s="132" t="s">
        <v>2308</v>
      </c>
      <c r="E1584" s="132" t="s">
        <v>320</v>
      </c>
      <c r="F1584" s="133" t="s">
        <v>2520</v>
      </c>
      <c r="G1584" s="134">
        <v>1.27</v>
      </c>
      <c r="H1584" s="135">
        <v>13.45</v>
      </c>
      <c r="I1584" s="136">
        <f t="shared" si="24"/>
        <v>17.081499999999998</v>
      </c>
      <c r="J1584" s="137">
        <v>1</v>
      </c>
    </row>
    <row r="1585" spans="2:10" ht="15" customHeight="1" x14ac:dyDescent="0.3">
      <c r="B1585" s="132" t="s">
        <v>2521</v>
      </c>
      <c r="C1585" s="132" t="s">
        <v>2307</v>
      </c>
      <c r="D1585" s="132" t="s">
        <v>2308</v>
      </c>
      <c r="E1585" s="132" t="s">
        <v>320</v>
      </c>
      <c r="F1585" s="133" t="s">
        <v>2522</v>
      </c>
      <c r="G1585" s="134">
        <v>1.34</v>
      </c>
      <c r="H1585" s="135">
        <v>13.45</v>
      </c>
      <c r="I1585" s="136">
        <f t="shared" si="24"/>
        <v>18.023</v>
      </c>
      <c r="J1585" s="137">
        <v>1</v>
      </c>
    </row>
    <row r="1586" spans="2:10" ht="15" customHeight="1" x14ac:dyDescent="0.3">
      <c r="B1586" s="132" t="s">
        <v>2523</v>
      </c>
      <c r="C1586" s="132" t="s">
        <v>2307</v>
      </c>
      <c r="D1586" s="132" t="s">
        <v>2308</v>
      </c>
      <c r="E1586" s="132" t="s">
        <v>320</v>
      </c>
      <c r="F1586" s="133" t="s">
        <v>2524</v>
      </c>
      <c r="G1586" s="134">
        <v>1.34</v>
      </c>
      <c r="H1586" s="135">
        <v>13.45</v>
      </c>
      <c r="I1586" s="136">
        <f t="shared" si="24"/>
        <v>18.023</v>
      </c>
      <c r="J1586" s="137">
        <v>1</v>
      </c>
    </row>
    <row r="1587" spans="2:10" ht="15" customHeight="1" x14ac:dyDescent="0.3">
      <c r="B1587" s="132" t="s">
        <v>2525</v>
      </c>
      <c r="C1587" s="132" t="s">
        <v>2307</v>
      </c>
      <c r="D1587" s="132" t="s">
        <v>2308</v>
      </c>
      <c r="E1587" s="132" t="s">
        <v>320</v>
      </c>
      <c r="F1587" s="133" t="s">
        <v>2526</v>
      </c>
      <c r="G1587" s="134">
        <v>2.3199999999999998</v>
      </c>
      <c r="H1587" s="135">
        <v>13.45</v>
      </c>
      <c r="I1587" s="136">
        <f t="shared" si="24"/>
        <v>31.203999999999997</v>
      </c>
      <c r="J1587" s="137">
        <v>1</v>
      </c>
    </row>
    <row r="1588" spans="2:10" ht="15" customHeight="1" x14ac:dyDescent="0.3">
      <c r="B1588" s="132" t="s">
        <v>2525</v>
      </c>
      <c r="C1588" s="132" t="s">
        <v>2307</v>
      </c>
      <c r="D1588" s="132" t="s">
        <v>2308</v>
      </c>
      <c r="E1588" s="132" t="s">
        <v>320</v>
      </c>
      <c r="F1588" s="133" t="s">
        <v>2527</v>
      </c>
      <c r="G1588" s="134">
        <v>1.71</v>
      </c>
      <c r="H1588" s="135">
        <v>13.45</v>
      </c>
      <c r="I1588" s="136">
        <f t="shared" si="24"/>
        <v>22.999499999999998</v>
      </c>
      <c r="J1588" s="137">
        <v>1</v>
      </c>
    </row>
    <row r="1589" spans="2:10" ht="15" customHeight="1" x14ac:dyDescent="0.3">
      <c r="B1589" s="132" t="s">
        <v>2528</v>
      </c>
      <c r="C1589" s="132" t="s">
        <v>2307</v>
      </c>
      <c r="D1589" s="132" t="s">
        <v>2308</v>
      </c>
      <c r="E1589" s="132" t="s">
        <v>320</v>
      </c>
      <c r="F1589" s="133" t="s">
        <v>2529</v>
      </c>
      <c r="G1589" s="134">
        <v>4.2</v>
      </c>
      <c r="H1589" s="135">
        <v>13.45</v>
      </c>
      <c r="I1589" s="136">
        <f t="shared" si="24"/>
        <v>56.49</v>
      </c>
      <c r="J1589" s="137">
        <v>1</v>
      </c>
    </row>
    <row r="1590" spans="2:10" ht="15" customHeight="1" x14ac:dyDescent="0.3">
      <c r="B1590" s="132" t="s">
        <v>2530</v>
      </c>
      <c r="C1590" s="132" t="s">
        <v>2307</v>
      </c>
      <c r="D1590" s="132" t="s">
        <v>2308</v>
      </c>
      <c r="E1590" s="132" t="s">
        <v>320</v>
      </c>
      <c r="F1590" s="133" t="s">
        <v>2531</v>
      </c>
      <c r="G1590" s="134">
        <v>1.58</v>
      </c>
      <c r="H1590" s="135">
        <v>13.45</v>
      </c>
      <c r="I1590" s="136">
        <f t="shared" si="24"/>
        <v>21.251000000000001</v>
      </c>
      <c r="J1590" s="137">
        <v>1</v>
      </c>
    </row>
  </sheetData>
  <mergeCells count="1">
    <mergeCell ref="B2:B4"/>
  </mergeCells>
  <pageMargins left="0.511811024" right="0.511811024" top="0.78740157499999996" bottom="0.78740157499999996" header="0" footer="0"/>
  <pageSetup orientation="portrait" r:id="rId1"/>
  <headerFooter>
    <oddFooter>&amp;L_x000D_&amp;1#&amp;"Trebuchet MS"&amp;9&amp;K008542 INTERNA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F1"/>
  <sheetViews>
    <sheetView showGridLines="0" workbookViewId="0">
      <selection activeCell="C1" sqref="C1"/>
    </sheetView>
  </sheetViews>
  <sheetFormatPr defaultColWidth="14.44140625" defaultRowHeight="15" customHeight="1" x14ac:dyDescent="0.25"/>
  <cols>
    <col min="1" max="5" width="14.44140625" style="113"/>
    <col min="6" max="6" width="14.44140625" style="114"/>
    <col min="7" max="16384" width="14.44140625" style="113"/>
  </cols>
  <sheetData/>
  <pageMargins left="0.511811024" right="0.511811024" top="0.78740157499999996" bottom="0.78740157499999996" header="0" footer="0"/>
  <pageSetup orientation="landscape" r:id="rId1"/>
  <headerFooter>
    <oddFooter>&amp;L_x000D_&amp;1#&amp;"Trebuchet MS"&amp;9&amp;K008542 INTERNA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13"/>
  <dimension ref="A1:J3"/>
  <sheetViews>
    <sheetView topLeftCell="A4" workbookViewId="0">
      <selection activeCell="E13" sqref="E13"/>
    </sheetView>
  </sheetViews>
  <sheetFormatPr defaultRowHeight="14.4" x14ac:dyDescent="0.3"/>
  <cols>
    <col min="1" max="1" width="19.44140625" customWidth="1"/>
    <col min="2" max="2" width="9.5546875" customWidth="1"/>
    <col min="3" max="3" width="14.44140625" customWidth="1"/>
    <col min="4" max="4" width="20.44140625" customWidth="1"/>
    <col min="5" max="5" width="19.88671875" customWidth="1"/>
    <col min="6" max="6" width="14" customWidth="1"/>
    <col min="7" max="7" width="15.33203125" customWidth="1"/>
    <col min="8" max="8" width="16" customWidth="1"/>
  </cols>
  <sheetData>
    <row r="1" spans="1:10" x14ac:dyDescent="0.3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201</v>
      </c>
      <c r="J1" t="s">
        <v>307</v>
      </c>
    </row>
    <row r="2" spans="1:10" x14ac:dyDescent="0.3">
      <c r="A2" s="169">
        <v>45462</v>
      </c>
      <c r="B2" t="s">
        <v>155</v>
      </c>
      <c r="C2">
        <v>50</v>
      </c>
      <c r="D2" t="s">
        <v>2567</v>
      </c>
      <c r="E2" t="s">
        <v>2563</v>
      </c>
      <c r="G2">
        <v>1086</v>
      </c>
      <c r="H2">
        <v>1026</v>
      </c>
      <c r="I2" t="s">
        <v>2570</v>
      </c>
      <c r="J2" t="s">
        <v>142</v>
      </c>
    </row>
    <row r="3" spans="1:10" x14ac:dyDescent="0.3">
      <c r="A3" s="169">
        <v>45463</v>
      </c>
      <c r="B3" t="s">
        <v>155</v>
      </c>
      <c r="C3">
        <v>40</v>
      </c>
      <c r="D3" t="s">
        <v>2561</v>
      </c>
      <c r="E3" t="s">
        <v>2563</v>
      </c>
      <c r="G3">
        <v>305</v>
      </c>
      <c r="H3">
        <v>245</v>
      </c>
      <c r="I3" t="s">
        <v>2570</v>
      </c>
      <c r="J3" t="s">
        <v>157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4"/>
  <dimension ref="A1:J28"/>
  <sheetViews>
    <sheetView workbookViewId="0">
      <selection activeCell="A2" sqref="A1:J28"/>
    </sheetView>
  </sheetViews>
  <sheetFormatPr defaultRowHeight="14.4" x14ac:dyDescent="0.3"/>
  <cols>
    <col min="1" max="1" width="19.44140625" customWidth="1"/>
    <col min="2" max="2" width="9.5546875" customWidth="1"/>
    <col min="3" max="3" width="14.44140625" customWidth="1"/>
    <col min="4" max="4" width="20.44140625" customWidth="1"/>
    <col min="5" max="5" width="19.88671875" customWidth="1"/>
    <col min="6" max="6" width="14" customWidth="1"/>
    <col min="7" max="7" width="15.33203125" customWidth="1"/>
    <col min="8" max="8" width="16" customWidth="1"/>
  </cols>
  <sheetData>
    <row r="1" spans="1:10" x14ac:dyDescent="0.3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201</v>
      </c>
      <c r="J1" t="s">
        <v>307</v>
      </c>
    </row>
    <row r="2" spans="1:10" x14ac:dyDescent="0.3">
      <c r="A2" s="169">
        <v>45432</v>
      </c>
      <c r="B2" t="s">
        <v>155</v>
      </c>
      <c r="C2">
        <v>24</v>
      </c>
      <c r="D2" t="s">
        <v>2560</v>
      </c>
      <c r="E2" t="s">
        <v>2539</v>
      </c>
      <c r="F2">
        <v>2.4</v>
      </c>
      <c r="H2" t="s">
        <v>2572</v>
      </c>
      <c r="I2" t="s">
        <v>219</v>
      </c>
      <c r="J2" t="s">
        <v>142</v>
      </c>
    </row>
    <row r="3" spans="1:10" x14ac:dyDescent="0.3">
      <c r="A3" s="169">
        <v>45457</v>
      </c>
      <c r="B3" t="s">
        <v>155</v>
      </c>
      <c r="C3">
        <v>36</v>
      </c>
      <c r="D3" t="s">
        <v>2573</v>
      </c>
      <c r="E3" t="s">
        <v>2563</v>
      </c>
      <c r="F3">
        <v>3.6</v>
      </c>
      <c r="H3" t="s">
        <v>2572</v>
      </c>
      <c r="I3" t="s">
        <v>219</v>
      </c>
      <c r="J3" t="s">
        <v>142</v>
      </c>
    </row>
    <row r="4" spans="1:10" x14ac:dyDescent="0.3">
      <c r="A4" s="169">
        <v>45433</v>
      </c>
      <c r="B4" t="s">
        <v>155</v>
      </c>
      <c r="C4">
        <v>36</v>
      </c>
      <c r="D4" t="s">
        <v>2574</v>
      </c>
      <c r="E4" t="s">
        <v>2539</v>
      </c>
      <c r="F4">
        <v>3.6</v>
      </c>
      <c r="H4" t="s">
        <v>2572</v>
      </c>
      <c r="I4" t="s">
        <v>219</v>
      </c>
      <c r="J4" t="s">
        <v>142</v>
      </c>
    </row>
    <row r="5" spans="1:10" x14ac:dyDescent="0.3">
      <c r="A5" s="169">
        <v>45435</v>
      </c>
      <c r="B5" t="s">
        <v>155</v>
      </c>
      <c r="C5">
        <v>15</v>
      </c>
      <c r="D5" t="s">
        <v>2561</v>
      </c>
      <c r="E5" t="s">
        <v>2539</v>
      </c>
      <c r="F5">
        <v>1.5</v>
      </c>
      <c r="H5" t="s">
        <v>2572</v>
      </c>
      <c r="I5" t="s">
        <v>219</v>
      </c>
      <c r="J5" t="s">
        <v>157</v>
      </c>
    </row>
    <row r="6" spans="1:10" x14ac:dyDescent="0.3">
      <c r="A6" s="169">
        <v>45462</v>
      </c>
      <c r="B6" t="s">
        <v>155</v>
      </c>
      <c r="C6">
        <v>50</v>
      </c>
      <c r="D6" t="s">
        <v>2567</v>
      </c>
      <c r="E6" t="s">
        <v>2563</v>
      </c>
      <c r="F6">
        <v>5</v>
      </c>
      <c r="H6" t="s">
        <v>2572</v>
      </c>
      <c r="I6" t="s">
        <v>219</v>
      </c>
      <c r="J6" t="s">
        <v>142</v>
      </c>
    </row>
    <row r="7" spans="1:10" x14ac:dyDescent="0.3">
      <c r="A7" s="169">
        <v>45435</v>
      </c>
      <c r="B7" t="s">
        <v>155</v>
      </c>
      <c r="C7">
        <v>15</v>
      </c>
      <c r="D7" t="s">
        <v>2561</v>
      </c>
      <c r="E7" t="s">
        <v>2539</v>
      </c>
      <c r="F7">
        <v>1.5</v>
      </c>
      <c r="H7" t="s">
        <v>2572</v>
      </c>
      <c r="I7" t="s">
        <v>219</v>
      </c>
      <c r="J7" t="s">
        <v>157</v>
      </c>
    </row>
    <row r="8" spans="1:10" x14ac:dyDescent="0.3">
      <c r="A8" s="169">
        <v>45463</v>
      </c>
      <c r="B8" t="s">
        <v>155</v>
      </c>
      <c r="C8">
        <v>40</v>
      </c>
      <c r="D8" t="s">
        <v>2561</v>
      </c>
      <c r="E8" t="s">
        <v>2563</v>
      </c>
      <c r="F8">
        <v>4</v>
      </c>
      <c r="H8" t="s">
        <v>2572</v>
      </c>
      <c r="I8" t="s">
        <v>219</v>
      </c>
      <c r="J8" t="s">
        <v>157</v>
      </c>
    </row>
    <row r="9" spans="1:10" x14ac:dyDescent="0.3">
      <c r="A9" s="169">
        <v>45435</v>
      </c>
      <c r="B9" t="s">
        <v>155</v>
      </c>
      <c r="C9">
        <v>25</v>
      </c>
      <c r="D9" t="s">
        <v>2561</v>
      </c>
      <c r="E9" t="s">
        <v>2539</v>
      </c>
      <c r="F9">
        <v>2.5</v>
      </c>
      <c r="H9" t="s">
        <v>2572</v>
      </c>
      <c r="I9" t="s">
        <v>219</v>
      </c>
      <c r="J9" t="s">
        <v>157</v>
      </c>
    </row>
    <row r="10" spans="1:10" x14ac:dyDescent="0.3">
      <c r="A10" s="169">
        <v>45463</v>
      </c>
      <c r="B10" t="s">
        <v>155</v>
      </c>
      <c r="C10">
        <v>40</v>
      </c>
      <c r="D10" t="s">
        <v>2575</v>
      </c>
      <c r="E10" t="s">
        <v>2563</v>
      </c>
      <c r="F10">
        <v>4</v>
      </c>
      <c r="H10" t="s">
        <v>2572</v>
      </c>
      <c r="I10" t="s">
        <v>219</v>
      </c>
      <c r="J10" t="s">
        <v>157</v>
      </c>
    </row>
    <row r="11" spans="1:10" x14ac:dyDescent="0.3">
      <c r="A11" s="169">
        <v>45435</v>
      </c>
      <c r="B11" t="s">
        <v>155</v>
      </c>
      <c r="C11">
        <v>10</v>
      </c>
      <c r="D11" t="s">
        <v>2561</v>
      </c>
      <c r="E11" t="s">
        <v>2539</v>
      </c>
      <c r="F11">
        <v>1</v>
      </c>
      <c r="H11" t="s">
        <v>2572</v>
      </c>
      <c r="I11" t="s">
        <v>219</v>
      </c>
      <c r="J11" t="s">
        <v>157</v>
      </c>
    </row>
    <row r="12" spans="1:10" x14ac:dyDescent="0.3">
      <c r="A12" s="169">
        <v>45463</v>
      </c>
      <c r="B12" t="s">
        <v>155</v>
      </c>
      <c r="C12">
        <v>20</v>
      </c>
      <c r="D12" t="s">
        <v>2571</v>
      </c>
      <c r="E12" t="s">
        <v>2563</v>
      </c>
      <c r="F12">
        <v>2</v>
      </c>
      <c r="H12" t="s">
        <v>2572</v>
      </c>
      <c r="I12" t="s">
        <v>219</v>
      </c>
      <c r="J12" t="s">
        <v>157</v>
      </c>
    </row>
    <row r="13" spans="1:10" x14ac:dyDescent="0.3">
      <c r="A13" s="169">
        <v>45435</v>
      </c>
      <c r="B13" t="s">
        <v>155</v>
      </c>
      <c r="C13">
        <v>20</v>
      </c>
      <c r="D13" t="s">
        <v>2561</v>
      </c>
      <c r="E13" t="s">
        <v>2539</v>
      </c>
      <c r="F13">
        <v>2</v>
      </c>
      <c r="H13" t="s">
        <v>2572</v>
      </c>
      <c r="I13" t="s">
        <v>219</v>
      </c>
      <c r="J13" t="s">
        <v>157</v>
      </c>
    </row>
    <row r="14" spans="1:10" x14ac:dyDescent="0.3">
      <c r="A14" s="169">
        <v>45463</v>
      </c>
      <c r="B14" t="s">
        <v>155</v>
      </c>
      <c r="C14">
        <v>14</v>
      </c>
      <c r="D14" t="s">
        <v>2561</v>
      </c>
      <c r="E14" t="s">
        <v>2563</v>
      </c>
      <c r="F14">
        <v>1.4</v>
      </c>
      <c r="H14" t="s">
        <v>2572</v>
      </c>
      <c r="I14" t="s">
        <v>219</v>
      </c>
      <c r="J14" t="s">
        <v>157</v>
      </c>
    </row>
    <row r="15" spans="1:10" x14ac:dyDescent="0.3">
      <c r="A15" s="169">
        <v>45435</v>
      </c>
      <c r="B15" t="s">
        <v>155</v>
      </c>
      <c r="C15">
        <v>24</v>
      </c>
      <c r="D15" t="s">
        <v>2561</v>
      </c>
      <c r="E15" t="s">
        <v>2539</v>
      </c>
      <c r="F15">
        <v>2.4</v>
      </c>
      <c r="H15" t="s">
        <v>2572</v>
      </c>
      <c r="I15" t="s">
        <v>219</v>
      </c>
      <c r="J15" t="s">
        <v>157</v>
      </c>
    </row>
    <row r="16" spans="1:10" x14ac:dyDescent="0.3">
      <c r="A16" s="169">
        <v>45463</v>
      </c>
      <c r="B16" t="s">
        <v>155</v>
      </c>
      <c r="C16">
        <v>20</v>
      </c>
      <c r="D16" t="s">
        <v>2561</v>
      </c>
      <c r="E16" t="s">
        <v>2563</v>
      </c>
      <c r="F16">
        <v>2</v>
      </c>
      <c r="H16" t="s">
        <v>2572</v>
      </c>
      <c r="I16" t="s">
        <v>219</v>
      </c>
      <c r="J16" t="s">
        <v>157</v>
      </c>
    </row>
    <row r="17" spans="1:10" x14ac:dyDescent="0.3">
      <c r="A17" s="169">
        <v>45435</v>
      </c>
      <c r="B17" t="s">
        <v>155</v>
      </c>
      <c r="C17">
        <v>15</v>
      </c>
      <c r="D17" t="s">
        <v>2561</v>
      </c>
      <c r="E17" t="s">
        <v>2539</v>
      </c>
      <c r="F17">
        <v>1.5</v>
      </c>
      <c r="H17" t="s">
        <v>2572</v>
      </c>
      <c r="I17" t="s">
        <v>219</v>
      </c>
      <c r="J17" t="s">
        <v>157</v>
      </c>
    </row>
    <row r="18" spans="1:10" x14ac:dyDescent="0.3">
      <c r="A18" s="169">
        <v>45463</v>
      </c>
      <c r="B18" t="s">
        <v>155</v>
      </c>
      <c r="C18">
        <v>9</v>
      </c>
      <c r="D18" t="s">
        <v>2561</v>
      </c>
      <c r="E18" t="s">
        <v>2563</v>
      </c>
      <c r="F18">
        <v>1</v>
      </c>
      <c r="H18" t="s">
        <v>2572</v>
      </c>
      <c r="I18" t="s">
        <v>219</v>
      </c>
      <c r="J18" t="s">
        <v>157</v>
      </c>
    </row>
    <row r="19" spans="1:10" x14ac:dyDescent="0.3">
      <c r="A19" s="169">
        <v>45435</v>
      </c>
      <c r="B19" t="s">
        <v>155</v>
      </c>
      <c r="C19">
        <v>15</v>
      </c>
      <c r="D19" t="s">
        <v>2559</v>
      </c>
      <c r="E19" t="s">
        <v>2539</v>
      </c>
      <c r="F19">
        <v>1.5</v>
      </c>
      <c r="H19" t="s">
        <v>2572</v>
      </c>
      <c r="I19" t="s">
        <v>219</v>
      </c>
      <c r="J19" t="s">
        <v>157</v>
      </c>
    </row>
    <row r="20" spans="1:10" x14ac:dyDescent="0.3">
      <c r="A20" s="169">
        <v>45461</v>
      </c>
      <c r="B20" t="s">
        <v>155</v>
      </c>
      <c r="C20">
        <v>15</v>
      </c>
      <c r="D20" t="s">
        <v>2567</v>
      </c>
      <c r="E20" t="s">
        <v>2563</v>
      </c>
      <c r="F20">
        <v>1.5</v>
      </c>
      <c r="H20" t="s">
        <v>2572</v>
      </c>
      <c r="I20" t="s">
        <v>219</v>
      </c>
      <c r="J20" t="s">
        <v>142</v>
      </c>
    </row>
    <row r="21" spans="1:10" x14ac:dyDescent="0.3">
      <c r="A21" s="169">
        <v>45446</v>
      </c>
      <c r="B21" t="s">
        <v>155</v>
      </c>
      <c r="C21">
        <v>33</v>
      </c>
      <c r="D21" t="s">
        <v>2567</v>
      </c>
      <c r="E21" t="s">
        <v>2562</v>
      </c>
      <c r="F21">
        <v>3.3</v>
      </c>
      <c r="H21" t="s">
        <v>2572</v>
      </c>
      <c r="I21" t="s">
        <v>219</v>
      </c>
      <c r="J21" t="s">
        <v>142</v>
      </c>
    </row>
    <row r="22" spans="1:10" x14ac:dyDescent="0.3">
      <c r="A22" s="169">
        <v>45460</v>
      </c>
      <c r="B22" t="s">
        <v>155</v>
      </c>
      <c r="C22">
        <v>30</v>
      </c>
      <c r="D22" t="s">
        <v>2576</v>
      </c>
      <c r="E22" t="s">
        <v>2563</v>
      </c>
      <c r="F22">
        <v>3</v>
      </c>
      <c r="H22" t="s">
        <v>2572</v>
      </c>
      <c r="I22" t="s">
        <v>219</v>
      </c>
      <c r="J22" t="s">
        <v>142</v>
      </c>
    </row>
    <row r="23" spans="1:10" x14ac:dyDescent="0.3">
      <c r="A23" s="169">
        <v>45446</v>
      </c>
      <c r="B23" t="s">
        <v>155</v>
      </c>
      <c r="C23">
        <v>50</v>
      </c>
      <c r="D23" t="s">
        <v>2567</v>
      </c>
      <c r="E23" t="s">
        <v>2563</v>
      </c>
      <c r="F23">
        <v>5</v>
      </c>
      <c r="H23" t="s">
        <v>2572</v>
      </c>
      <c r="I23" t="s">
        <v>219</v>
      </c>
      <c r="J23" t="s">
        <v>142</v>
      </c>
    </row>
    <row r="24" spans="1:10" x14ac:dyDescent="0.3">
      <c r="A24" s="169">
        <v>45460</v>
      </c>
      <c r="B24" t="s">
        <v>155</v>
      </c>
      <c r="C24">
        <v>20</v>
      </c>
      <c r="D24" t="s">
        <v>2568</v>
      </c>
      <c r="E24" t="s">
        <v>2563</v>
      </c>
      <c r="F24">
        <v>2</v>
      </c>
      <c r="H24" t="s">
        <v>2572</v>
      </c>
      <c r="I24" t="s">
        <v>219</v>
      </c>
      <c r="J24" t="s">
        <v>142</v>
      </c>
    </row>
    <row r="25" spans="1:10" x14ac:dyDescent="0.3">
      <c r="A25" s="169">
        <v>45446</v>
      </c>
      <c r="B25" t="s">
        <v>155</v>
      </c>
      <c r="C25">
        <v>20</v>
      </c>
      <c r="D25" t="s">
        <v>2567</v>
      </c>
      <c r="E25" t="s">
        <v>2563</v>
      </c>
      <c r="F25">
        <v>2</v>
      </c>
      <c r="H25" t="s">
        <v>2572</v>
      </c>
      <c r="I25" t="s">
        <v>219</v>
      </c>
      <c r="J25" t="s">
        <v>142</v>
      </c>
    </row>
    <row r="26" spans="1:10" x14ac:dyDescent="0.3">
      <c r="A26" s="169">
        <v>45460</v>
      </c>
      <c r="B26" t="s">
        <v>155</v>
      </c>
      <c r="C26">
        <v>20</v>
      </c>
      <c r="D26" t="s">
        <v>2569</v>
      </c>
      <c r="E26" t="s">
        <v>2563</v>
      </c>
      <c r="F26">
        <v>2</v>
      </c>
      <c r="H26" t="s">
        <v>2572</v>
      </c>
      <c r="I26" t="s">
        <v>219</v>
      </c>
      <c r="J26" t="s">
        <v>142</v>
      </c>
    </row>
    <row r="27" spans="1:10" x14ac:dyDescent="0.3">
      <c r="A27" s="169">
        <v>45435</v>
      </c>
      <c r="B27" t="s">
        <v>155</v>
      </c>
      <c r="C27">
        <v>20</v>
      </c>
      <c r="D27" t="s">
        <v>2567</v>
      </c>
      <c r="E27" t="s">
        <v>2563</v>
      </c>
      <c r="F27">
        <v>2</v>
      </c>
      <c r="H27" t="s">
        <v>2572</v>
      </c>
      <c r="I27" t="s">
        <v>219</v>
      </c>
      <c r="J27" t="s">
        <v>142</v>
      </c>
    </row>
    <row r="28" spans="1:10" x14ac:dyDescent="0.3">
      <c r="A28" s="169">
        <v>45447</v>
      </c>
      <c r="B28" t="s">
        <v>2565</v>
      </c>
      <c r="C28">
        <v>7</v>
      </c>
      <c r="D28" t="s">
        <v>2566</v>
      </c>
      <c r="E28" t="s">
        <v>2563</v>
      </c>
      <c r="F28">
        <v>1</v>
      </c>
      <c r="H28" t="s">
        <v>2572</v>
      </c>
      <c r="I28" t="s">
        <v>219</v>
      </c>
      <c r="J28" t="s">
        <v>157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5"/>
  <dimension ref="A1:J51"/>
  <sheetViews>
    <sheetView workbookViewId="0">
      <selection activeCell="N27" sqref="N27"/>
    </sheetView>
  </sheetViews>
  <sheetFormatPr defaultRowHeight="14.4" x14ac:dyDescent="0.3"/>
  <cols>
    <col min="1" max="1" width="19.44140625" customWidth="1"/>
    <col min="2" max="2" width="9.5546875" customWidth="1"/>
    <col min="3" max="3" width="14.44140625" customWidth="1"/>
    <col min="4" max="4" width="20.44140625" customWidth="1"/>
    <col min="5" max="5" width="19.88671875" customWidth="1"/>
    <col min="6" max="6" width="14" customWidth="1"/>
    <col min="7" max="7" width="15.33203125" customWidth="1"/>
    <col min="8" max="8" width="16" customWidth="1"/>
  </cols>
  <sheetData>
    <row r="1" spans="1:10" x14ac:dyDescent="0.3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201</v>
      </c>
      <c r="J1" t="s">
        <v>307</v>
      </c>
    </row>
    <row r="2" spans="1:10" x14ac:dyDescent="0.3">
      <c r="A2" s="169">
        <v>45432</v>
      </c>
      <c r="B2" t="s">
        <v>155</v>
      </c>
      <c r="C2">
        <v>24</v>
      </c>
      <c r="D2" t="s">
        <v>2560</v>
      </c>
      <c r="E2" t="s">
        <v>2539</v>
      </c>
      <c r="F2">
        <v>2.4</v>
      </c>
      <c r="H2" t="s">
        <v>2572</v>
      </c>
      <c r="I2" t="s">
        <v>219</v>
      </c>
      <c r="J2" t="s">
        <v>142</v>
      </c>
    </row>
    <row r="3" spans="1:10" x14ac:dyDescent="0.3">
      <c r="A3" s="169">
        <v>45433</v>
      </c>
      <c r="B3" t="s">
        <v>155</v>
      </c>
      <c r="C3">
        <v>36</v>
      </c>
      <c r="D3" t="s">
        <v>2574</v>
      </c>
      <c r="E3" t="s">
        <v>2539</v>
      </c>
      <c r="F3">
        <v>3.6</v>
      </c>
      <c r="H3" t="s">
        <v>2572</v>
      </c>
      <c r="I3" t="s">
        <v>219</v>
      </c>
      <c r="J3" t="s">
        <v>142</v>
      </c>
    </row>
    <row r="4" spans="1:10" x14ac:dyDescent="0.3">
      <c r="A4" s="169">
        <v>45435</v>
      </c>
      <c r="B4" t="s">
        <v>155</v>
      </c>
      <c r="C4">
        <v>15</v>
      </c>
      <c r="D4" t="s">
        <v>2561</v>
      </c>
      <c r="E4" t="s">
        <v>2539</v>
      </c>
      <c r="F4">
        <v>1.5</v>
      </c>
      <c r="H4" t="s">
        <v>2572</v>
      </c>
      <c r="I4" t="s">
        <v>219</v>
      </c>
      <c r="J4" t="s">
        <v>157</v>
      </c>
    </row>
    <row r="5" spans="1:10" x14ac:dyDescent="0.3">
      <c r="A5" s="169">
        <v>45435</v>
      </c>
      <c r="B5" t="s">
        <v>155</v>
      </c>
      <c r="C5">
        <v>15</v>
      </c>
      <c r="D5" t="s">
        <v>2561</v>
      </c>
      <c r="E5" t="s">
        <v>2539</v>
      </c>
      <c r="F5">
        <v>1.5</v>
      </c>
      <c r="H5" t="s">
        <v>2572</v>
      </c>
      <c r="I5" t="s">
        <v>219</v>
      </c>
      <c r="J5" t="s">
        <v>157</v>
      </c>
    </row>
    <row r="6" spans="1:10" x14ac:dyDescent="0.3">
      <c r="A6" s="169">
        <v>45435</v>
      </c>
      <c r="B6" t="s">
        <v>155</v>
      </c>
      <c r="C6">
        <v>25</v>
      </c>
      <c r="D6" t="s">
        <v>2561</v>
      </c>
      <c r="E6" t="s">
        <v>2539</v>
      </c>
      <c r="F6">
        <v>2.5</v>
      </c>
      <c r="H6" t="s">
        <v>2572</v>
      </c>
      <c r="I6" t="s">
        <v>219</v>
      </c>
      <c r="J6" t="s">
        <v>157</v>
      </c>
    </row>
    <row r="7" spans="1:10" x14ac:dyDescent="0.3">
      <c r="A7" s="169">
        <v>45435</v>
      </c>
      <c r="B7" t="s">
        <v>155</v>
      </c>
      <c r="C7">
        <v>10</v>
      </c>
      <c r="D7" t="s">
        <v>2561</v>
      </c>
      <c r="E7" t="s">
        <v>2539</v>
      </c>
      <c r="F7">
        <v>1</v>
      </c>
      <c r="H7" t="s">
        <v>2572</v>
      </c>
      <c r="I7" t="s">
        <v>219</v>
      </c>
      <c r="J7" t="s">
        <v>157</v>
      </c>
    </row>
    <row r="8" spans="1:10" x14ac:dyDescent="0.3">
      <c r="A8" s="169">
        <v>45435</v>
      </c>
      <c r="B8" t="s">
        <v>155</v>
      </c>
      <c r="C8">
        <v>20</v>
      </c>
      <c r="D8" t="s">
        <v>2561</v>
      </c>
      <c r="E8" t="s">
        <v>2539</v>
      </c>
      <c r="F8">
        <v>2</v>
      </c>
      <c r="H8" t="s">
        <v>2572</v>
      </c>
      <c r="I8" t="s">
        <v>219</v>
      </c>
      <c r="J8" t="s">
        <v>157</v>
      </c>
    </row>
    <row r="9" spans="1:10" x14ac:dyDescent="0.3">
      <c r="A9" s="169">
        <v>45435</v>
      </c>
      <c r="B9" t="s">
        <v>155</v>
      </c>
      <c r="C9">
        <v>24</v>
      </c>
      <c r="D9" t="s">
        <v>2561</v>
      </c>
      <c r="E9" t="s">
        <v>2539</v>
      </c>
      <c r="F9">
        <v>2.4</v>
      </c>
      <c r="H9" t="s">
        <v>2572</v>
      </c>
      <c r="I9" t="s">
        <v>219</v>
      </c>
      <c r="J9" t="s">
        <v>157</v>
      </c>
    </row>
    <row r="10" spans="1:10" x14ac:dyDescent="0.3">
      <c r="A10" s="169">
        <v>45435</v>
      </c>
      <c r="B10" t="s">
        <v>155</v>
      </c>
      <c r="C10">
        <v>15</v>
      </c>
      <c r="D10" t="s">
        <v>2561</v>
      </c>
      <c r="E10" t="s">
        <v>2539</v>
      </c>
      <c r="F10">
        <v>1.5</v>
      </c>
      <c r="H10" t="s">
        <v>2572</v>
      </c>
      <c r="I10" t="s">
        <v>219</v>
      </c>
      <c r="J10" t="s">
        <v>157</v>
      </c>
    </row>
    <row r="11" spans="1:10" x14ac:dyDescent="0.3">
      <c r="A11" s="169">
        <v>45435</v>
      </c>
      <c r="B11" t="s">
        <v>155</v>
      </c>
      <c r="C11">
        <v>15</v>
      </c>
      <c r="D11" t="s">
        <v>2559</v>
      </c>
      <c r="E11" t="s">
        <v>2539</v>
      </c>
      <c r="F11">
        <v>1.5</v>
      </c>
      <c r="H11" t="s">
        <v>2572</v>
      </c>
      <c r="I11" t="s">
        <v>219</v>
      </c>
      <c r="J11" t="s">
        <v>157</v>
      </c>
    </row>
    <row r="12" spans="1:10" x14ac:dyDescent="0.3">
      <c r="A12" s="169">
        <v>45446</v>
      </c>
      <c r="B12" t="s">
        <v>155</v>
      </c>
      <c r="C12">
        <v>33</v>
      </c>
      <c r="D12" t="s">
        <v>2567</v>
      </c>
      <c r="E12" t="s">
        <v>2562</v>
      </c>
      <c r="F12">
        <v>3.3</v>
      </c>
      <c r="H12" t="s">
        <v>2572</v>
      </c>
      <c r="I12" t="s">
        <v>219</v>
      </c>
      <c r="J12" t="s">
        <v>142</v>
      </c>
    </row>
    <row r="13" spans="1:10" x14ac:dyDescent="0.3">
      <c r="A13" s="169">
        <v>45446</v>
      </c>
      <c r="B13" t="s">
        <v>155</v>
      </c>
      <c r="C13">
        <v>50</v>
      </c>
      <c r="D13" t="s">
        <v>2567</v>
      </c>
      <c r="E13" t="s">
        <v>2563</v>
      </c>
      <c r="F13">
        <v>5</v>
      </c>
      <c r="H13" t="s">
        <v>2572</v>
      </c>
      <c r="I13" t="s">
        <v>219</v>
      </c>
      <c r="J13" t="s">
        <v>142</v>
      </c>
    </row>
    <row r="14" spans="1:10" x14ac:dyDescent="0.3">
      <c r="A14" s="169">
        <v>45446</v>
      </c>
      <c r="B14" t="s">
        <v>155</v>
      </c>
      <c r="C14">
        <v>20</v>
      </c>
      <c r="D14" t="s">
        <v>2567</v>
      </c>
      <c r="E14" t="s">
        <v>2563</v>
      </c>
      <c r="F14">
        <v>2</v>
      </c>
      <c r="H14" t="s">
        <v>2572</v>
      </c>
      <c r="I14" t="s">
        <v>219</v>
      </c>
      <c r="J14" t="s">
        <v>142</v>
      </c>
    </row>
    <row r="15" spans="1:10" x14ac:dyDescent="0.3">
      <c r="A15" s="169">
        <v>45435</v>
      </c>
      <c r="B15" t="s">
        <v>155</v>
      </c>
      <c r="C15">
        <v>20</v>
      </c>
      <c r="D15" t="s">
        <v>2567</v>
      </c>
      <c r="E15" t="s">
        <v>2563</v>
      </c>
      <c r="F15">
        <v>2</v>
      </c>
      <c r="H15" t="s">
        <v>2572</v>
      </c>
      <c r="I15" t="s">
        <v>219</v>
      </c>
      <c r="J15" t="s">
        <v>142</v>
      </c>
    </row>
    <row r="16" spans="1:10" x14ac:dyDescent="0.3">
      <c r="A16" s="169">
        <v>45447</v>
      </c>
      <c r="B16" t="s">
        <v>2565</v>
      </c>
      <c r="C16">
        <v>7</v>
      </c>
      <c r="D16" t="s">
        <v>2566</v>
      </c>
      <c r="E16" t="s">
        <v>2563</v>
      </c>
      <c r="F16">
        <v>1</v>
      </c>
      <c r="H16" t="s">
        <v>2572</v>
      </c>
      <c r="I16" t="s">
        <v>219</v>
      </c>
      <c r="J16" t="s">
        <v>157</v>
      </c>
    </row>
    <row r="17" spans="1:10" x14ac:dyDescent="0.3">
      <c r="A17" s="169">
        <v>45460</v>
      </c>
      <c r="B17" t="s">
        <v>155</v>
      </c>
      <c r="C17">
        <v>20</v>
      </c>
      <c r="D17" t="s">
        <v>2569</v>
      </c>
      <c r="E17" t="s">
        <v>2563</v>
      </c>
      <c r="F17">
        <v>2</v>
      </c>
      <c r="H17" t="s">
        <v>2572</v>
      </c>
      <c r="I17" t="s">
        <v>219</v>
      </c>
      <c r="J17" t="s">
        <v>142</v>
      </c>
    </row>
    <row r="18" spans="1:10" x14ac:dyDescent="0.3">
      <c r="A18" s="169">
        <v>45460</v>
      </c>
      <c r="B18" t="s">
        <v>155</v>
      </c>
      <c r="C18">
        <v>20</v>
      </c>
      <c r="D18" t="s">
        <v>2568</v>
      </c>
      <c r="E18" t="s">
        <v>2563</v>
      </c>
      <c r="F18">
        <v>2</v>
      </c>
      <c r="H18" t="s">
        <v>2572</v>
      </c>
      <c r="I18" t="s">
        <v>219</v>
      </c>
      <c r="J18" t="s">
        <v>142</v>
      </c>
    </row>
    <row r="19" spans="1:10" x14ac:dyDescent="0.3">
      <c r="A19" s="169">
        <v>45460</v>
      </c>
      <c r="B19" t="s">
        <v>155</v>
      </c>
      <c r="C19">
        <v>30</v>
      </c>
      <c r="D19" t="s">
        <v>2576</v>
      </c>
      <c r="E19" t="s">
        <v>2563</v>
      </c>
      <c r="F19">
        <v>3</v>
      </c>
      <c r="H19" t="s">
        <v>2572</v>
      </c>
      <c r="I19" t="s">
        <v>219</v>
      </c>
      <c r="J19" t="s">
        <v>142</v>
      </c>
    </row>
    <row r="20" spans="1:10" x14ac:dyDescent="0.3">
      <c r="A20" s="169">
        <v>45461</v>
      </c>
      <c r="B20" t="s">
        <v>155</v>
      </c>
      <c r="C20">
        <v>15</v>
      </c>
      <c r="D20" t="s">
        <v>2567</v>
      </c>
      <c r="E20" t="s">
        <v>2563</v>
      </c>
      <c r="F20">
        <v>1.5</v>
      </c>
      <c r="H20" t="s">
        <v>2572</v>
      </c>
      <c r="I20" t="s">
        <v>219</v>
      </c>
      <c r="J20" t="s">
        <v>142</v>
      </c>
    </row>
    <row r="21" spans="1:10" x14ac:dyDescent="0.3">
      <c r="A21" s="169">
        <v>45463</v>
      </c>
      <c r="B21" t="s">
        <v>155</v>
      </c>
      <c r="C21">
        <v>9</v>
      </c>
      <c r="D21" t="s">
        <v>2561</v>
      </c>
      <c r="E21" t="s">
        <v>2563</v>
      </c>
      <c r="F21">
        <v>1</v>
      </c>
      <c r="H21" t="s">
        <v>2572</v>
      </c>
      <c r="I21" t="s">
        <v>219</v>
      </c>
      <c r="J21" t="s">
        <v>157</v>
      </c>
    </row>
    <row r="22" spans="1:10" x14ac:dyDescent="0.3">
      <c r="A22" s="169">
        <v>45463</v>
      </c>
      <c r="B22" t="s">
        <v>155</v>
      </c>
      <c r="C22">
        <v>20</v>
      </c>
      <c r="D22" t="s">
        <v>2561</v>
      </c>
      <c r="E22" t="s">
        <v>2563</v>
      </c>
      <c r="F22">
        <v>2</v>
      </c>
      <c r="H22" t="s">
        <v>2572</v>
      </c>
      <c r="I22" t="s">
        <v>219</v>
      </c>
      <c r="J22" t="s">
        <v>157</v>
      </c>
    </row>
    <row r="23" spans="1:10" x14ac:dyDescent="0.3">
      <c r="A23" s="169">
        <v>45463</v>
      </c>
      <c r="B23" t="s">
        <v>155</v>
      </c>
      <c r="C23">
        <v>14</v>
      </c>
      <c r="D23" t="s">
        <v>2561</v>
      </c>
      <c r="E23" t="s">
        <v>2563</v>
      </c>
      <c r="F23">
        <v>1.4</v>
      </c>
      <c r="H23" t="s">
        <v>2572</v>
      </c>
      <c r="I23" t="s">
        <v>219</v>
      </c>
      <c r="J23" t="s">
        <v>157</v>
      </c>
    </row>
    <row r="24" spans="1:10" x14ac:dyDescent="0.3">
      <c r="A24" s="169">
        <v>45463</v>
      </c>
      <c r="B24" t="s">
        <v>155</v>
      </c>
      <c r="C24">
        <v>20</v>
      </c>
      <c r="D24" t="s">
        <v>2571</v>
      </c>
      <c r="E24" t="s">
        <v>2563</v>
      </c>
      <c r="F24">
        <v>2</v>
      </c>
      <c r="H24" t="s">
        <v>2572</v>
      </c>
      <c r="I24" t="s">
        <v>219</v>
      </c>
      <c r="J24" t="s">
        <v>157</v>
      </c>
    </row>
    <row r="25" spans="1:10" x14ac:dyDescent="0.3">
      <c r="A25" s="169">
        <v>45463</v>
      </c>
      <c r="B25" t="s">
        <v>155</v>
      </c>
      <c r="C25">
        <v>40</v>
      </c>
      <c r="D25" t="s">
        <v>2575</v>
      </c>
      <c r="E25" t="s">
        <v>2563</v>
      </c>
      <c r="F25">
        <v>4</v>
      </c>
      <c r="H25" t="s">
        <v>2572</v>
      </c>
      <c r="I25" t="s">
        <v>219</v>
      </c>
      <c r="J25" t="s">
        <v>157</v>
      </c>
    </row>
    <row r="26" spans="1:10" x14ac:dyDescent="0.3">
      <c r="A26" s="169">
        <v>45463</v>
      </c>
      <c r="B26" t="s">
        <v>155</v>
      </c>
      <c r="C26">
        <v>40</v>
      </c>
      <c r="D26" t="s">
        <v>2561</v>
      </c>
      <c r="E26" t="s">
        <v>2563</v>
      </c>
      <c r="F26">
        <v>4</v>
      </c>
      <c r="H26" t="s">
        <v>2572</v>
      </c>
      <c r="I26" t="s">
        <v>219</v>
      </c>
      <c r="J26" t="s">
        <v>157</v>
      </c>
    </row>
    <row r="27" spans="1:10" x14ac:dyDescent="0.3">
      <c r="A27" s="169">
        <v>45462</v>
      </c>
      <c r="B27" t="s">
        <v>155</v>
      </c>
      <c r="C27">
        <v>50</v>
      </c>
      <c r="D27" t="s">
        <v>2567</v>
      </c>
      <c r="E27" t="s">
        <v>2563</v>
      </c>
      <c r="F27">
        <v>5</v>
      </c>
      <c r="H27" t="s">
        <v>2572</v>
      </c>
      <c r="I27" t="s">
        <v>219</v>
      </c>
      <c r="J27" t="s">
        <v>142</v>
      </c>
    </row>
    <row r="28" spans="1:10" x14ac:dyDescent="0.3">
      <c r="A28" s="169">
        <v>45457</v>
      </c>
      <c r="B28" t="s">
        <v>155</v>
      </c>
      <c r="C28">
        <v>36</v>
      </c>
      <c r="D28" t="s">
        <v>2573</v>
      </c>
      <c r="E28" t="s">
        <v>2563</v>
      </c>
      <c r="F28">
        <v>3.6</v>
      </c>
      <c r="H28" t="s">
        <v>2572</v>
      </c>
      <c r="I28" t="s">
        <v>219</v>
      </c>
      <c r="J28" t="s">
        <v>142</v>
      </c>
    </row>
    <row r="29" spans="1:10" x14ac:dyDescent="0.3">
      <c r="A29" s="169">
        <v>45463</v>
      </c>
      <c r="B29" t="s">
        <v>155</v>
      </c>
      <c r="C29">
        <v>40</v>
      </c>
      <c r="D29" t="s">
        <v>2561</v>
      </c>
      <c r="E29" t="s">
        <v>2563</v>
      </c>
      <c r="G29">
        <v>305</v>
      </c>
      <c r="H29">
        <v>245</v>
      </c>
      <c r="I29" t="s">
        <v>2570</v>
      </c>
      <c r="J29" t="s">
        <v>157</v>
      </c>
    </row>
    <row r="30" spans="1:10" x14ac:dyDescent="0.3">
      <c r="A30" s="169">
        <v>45462</v>
      </c>
      <c r="B30" t="s">
        <v>155</v>
      </c>
      <c r="C30">
        <v>50</v>
      </c>
      <c r="D30" t="s">
        <v>2567</v>
      </c>
      <c r="E30" t="s">
        <v>2563</v>
      </c>
      <c r="G30">
        <v>1086</v>
      </c>
      <c r="H30">
        <v>1026</v>
      </c>
      <c r="I30" t="s">
        <v>2570</v>
      </c>
      <c r="J30" t="s">
        <v>142</v>
      </c>
    </row>
    <row r="31" spans="1:10" x14ac:dyDescent="0.3">
      <c r="A31" s="169">
        <v>45432</v>
      </c>
      <c r="B31" t="s">
        <v>155</v>
      </c>
      <c r="C31">
        <v>24</v>
      </c>
      <c r="D31" t="s">
        <v>2560</v>
      </c>
      <c r="E31" t="s">
        <v>2539</v>
      </c>
      <c r="G31">
        <v>4851</v>
      </c>
      <c r="H31">
        <v>4791</v>
      </c>
      <c r="I31" t="s">
        <v>220</v>
      </c>
      <c r="J31" t="s">
        <v>142</v>
      </c>
    </row>
    <row r="32" spans="1:10" x14ac:dyDescent="0.3">
      <c r="A32" s="169">
        <v>45435</v>
      </c>
      <c r="B32" t="s">
        <v>155</v>
      </c>
      <c r="C32">
        <v>15</v>
      </c>
      <c r="D32" t="s">
        <v>2561</v>
      </c>
      <c r="E32" t="s">
        <v>2539</v>
      </c>
      <c r="G32">
        <v>305</v>
      </c>
      <c r="H32">
        <v>245</v>
      </c>
      <c r="I32" t="s">
        <v>220</v>
      </c>
      <c r="J32" t="s">
        <v>157</v>
      </c>
    </row>
    <row r="33" spans="1:10" x14ac:dyDescent="0.3">
      <c r="A33" s="169">
        <v>45435</v>
      </c>
      <c r="B33" t="s">
        <v>155</v>
      </c>
      <c r="C33">
        <v>15</v>
      </c>
      <c r="D33" t="s">
        <v>2561</v>
      </c>
      <c r="E33" t="s">
        <v>2539</v>
      </c>
      <c r="G33">
        <v>305</v>
      </c>
      <c r="H33">
        <v>245</v>
      </c>
      <c r="I33" t="s">
        <v>220</v>
      </c>
      <c r="J33" t="s">
        <v>157</v>
      </c>
    </row>
    <row r="34" spans="1:10" x14ac:dyDescent="0.3">
      <c r="A34" s="169">
        <v>45435</v>
      </c>
      <c r="B34" t="s">
        <v>155</v>
      </c>
      <c r="C34">
        <v>25</v>
      </c>
      <c r="D34" t="s">
        <v>2561</v>
      </c>
      <c r="E34" t="s">
        <v>2539</v>
      </c>
      <c r="G34">
        <v>305</v>
      </c>
      <c r="H34">
        <v>245</v>
      </c>
      <c r="I34" t="s">
        <v>220</v>
      </c>
      <c r="J34" t="s">
        <v>157</v>
      </c>
    </row>
    <row r="35" spans="1:10" x14ac:dyDescent="0.3">
      <c r="A35" s="169">
        <v>45435</v>
      </c>
      <c r="B35" t="s">
        <v>155</v>
      </c>
      <c r="C35">
        <v>10</v>
      </c>
      <c r="D35" t="s">
        <v>2561</v>
      </c>
      <c r="E35" t="s">
        <v>2539</v>
      </c>
      <c r="G35">
        <v>305</v>
      </c>
      <c r="H35">
        <v>245</v>
      </c>
      <c r="I35" t="s">
        <v>220</v>
      </c>
      <c r="J35" t="s">
        <v>157</v>
      </c>
    </row>
    <row r="36" spans="1:10" x14ac:dyDescent="0.3">
      <c r="A36" s="169">
        <v>45435</v>
      </c>
      <c r="B36" t="s">
        <v>155</v>
      </c>
      <c r="C36">
        <v>20</v>
      </c>
      <c r="D36" t="s">
        <v>2561</v>
      </c>
      <c r="E36" t="s">
        <v>2539</v>
      </c>
      <c r="G36">
        <v>305</v>
      </c>
      <c r="H36">
        <v>245</v>
      </c>
      <c r="I36" t="s">
        <v>220</v>
      </c>
      <c r="J36" t="s">
        <v>157</v>
      </c>
    </row>
    <row r="37" spans="1:10" x14ac:dyDescent="0.3">
      <c r="A37" s="169">
        <v>45435</v>
      </c>
      <c r="B37" t="s">
        <v>155</v>
      </c>
      <c r="C37">
        <v>24</v>
      </c>
      <c r="D37" t="s">
        <v>2561</v>
      </c>
      <c r="E37" t="s">
        <v>2539</v>
      </c>
      <c r="G37">
        <v>305</v>
      </c>
      <c r="H37">
        <v>245</v>
      </c>
      <c r="I37" t="s">
        <v>220</v>
      </c>
      <c r="J37" t="s">
        <v>157</v>
      </c>
    </row>
    <row r="38" spans="1:10" x14ac:dyDescent="0.3">
      <c r="A38" s="169">
        <v>45435</v>
      </c>
      <c r="B38" t="s">
        <v>155</v>
      </c>
      <c r="C38">
        <v>15</v>
      </c>
      <c r="D38" t="s">
        <v>2559</v>
      </c>
      <c r="E38" t="s">
        <v>2539</v>
      </c>
      <c r="G38">
        <v>305</v>
      </c>
      <c r="H38">
        <v>245</v>
      </c>
      <c r="I38" t="s">
        <v>220</v>
      </c>
      <c r="J38" t="s">
        <v>157</v>
      </c>
    </row>
    <row r="39" spans="1:10" x14ac:dyDescent="0.3">
      <c r="A39" s="169">
        <v>45435</v>
      </c>
      <c r="B39" t="s">
        <v>155</v>
      </c>
      <c r="C39">
        <v>15</v>
      </c>
      <c r="D39" t="s">
        <v>2559</v>
      </c>
      <c r="E39" t="s">
        <v>2539</v>
      </c>
      <c r="G39">
        <v>305</v>
      </c>
      <c r="H39">
        <v>245</v>
      </c>
      <c r="I39" t="s">
        <v>220</v>
      </c>
      <c r="J39" t="s">
        <v>157</v>
      </c>
    </row>
    <row r="40" spans="1:10" x14ac:dyDescent="0.3">
      <c r="A40" s="169">
        <v>45446</v>
      </c>
      <c r="B40" t="s">
        <v>155</v>
      </c>
      <c r="C40">
        <v>33</v>
      </c>
      <c r="D40" t="s">
        <v>2567</v>
      </c>
      <c r="E40" t="s">
        <v>2562</v>
      </c>
      <c r="G40">
        <v>1086</v>
      </c>
      <c r="H40">
        <v>1026</v>
      </c>
      <c r="I40" t="s">
        <v>220</v>
      </c>
      <c r="J40" t="s">
        <v>142</v>
      </c>
    </row>
    <row r="41" spans="1:10" x14ac:dyDescent="0.3">
      <c r="A41" s="169">
        <v>45446</v>
      </c>
      <c r="B41" t="s">
        <v>155</v>
      </c>
      <c r="C41">
        <v>50</v>
      </c>
      <c r="D41" t="s">
        <v>2567</v>
      </c>
      <c r="E41" t="s">
        <v>2563</v>
      </c>
      <c r="G41">
        <v>1086</v>
      </c>
      <c r="H41">
        <v>1026</v>
      </c>
      <c r="I41" t="s">
        <v>220</v>
      </c>
      <c r="J41" t="s">
        <v>142</v>
      </c>
    </row>
    <row r="42" spans="1:10" x14ac:dyDescent="0.3">
      <c r="A42" s="169">
        <v>45446</v>
      </c>
      <c r="B42" t="s">
        <v>155</v>
      </c>
      <c r="C42">
        <v>20</v>
      </c>
      <c r="D42" t="s">
        <v>2567</v>
      </c>
      <c r="E42" t="s">
        <v>2563</v>
      </c>
      <c r="G42">
        <v>1086</v>
      </c>
      <c r="H42">
        <v>1026</v>
      </c>
      <c r="I42" t="s">
        <v>220</v>
      </c>
      <c r="J42" t="s">
        <v>142</v>
      </c>
    </row>
    <row r="43" spans="1:10" x14ac:dyDescent="0.3">
      <c r="A43" s="169">
        <v>45435</v>
      </c>
      <c r="B43" t="s">
        <v>155</v>
      </c>
      <c r="C43">
        <v>20</v>
      </c>
      <c r="D43" t="s">
        <v>2567</v>
      </c>
      <c r="E43" t="s">
        <v>2563</v>
      </c>
      <c r="G43">
        <v>1086</v>
      </c>
      <c r="H43">
        <v>1026</v>
      </c>
      <c r="I43" t="s">
        <v>220</v>
      </c>
      <c r="J43" t="s">
        <v>142</v>
      </c>
    </row>
    <row r="44" spans="1:10" x14ac:dyDescent="0.3">
      <c r="A44" s="169">
        <v>45447</v>
      </c>
      <c r="B44" t="s">
        <v>2565</v>
      </c>
      <c r="C44">
        <v>7</v>
      </c>
      <c r="D44" t="s">
        <v>2566</v>
      </c>
      <c r="E44" t="s">
        <v>2563</v>
      </c>
      <c r="G44">
        <v>305</v>
      </c>
      <c r="H44">
        <v>245</v>
      </c>
      <c r="I44" t="s">
        <v>220</v>
      </c>
      <c r="J44" t="s">
        <v>157</v>
      </c>
    </row>
    <row r="45" spans="1:10" x14ac:dyDescent="0.3">
      <c r="A45" s="169">
        <v>45460</v>
      </c>
      <c r="B45" t="s">
        <v>155</v>
      </c>
      <c r="C45">
        <v>30</v>
      </c>
      <c r="D45" t="s">
        <v>2576</v>
      </c>
      <c r="E45" t="s">
        <v>2563</v>
      </c>
      <c r="G45">
        <v>4851</v>
      </c>
      <c r="H45">
        <v>4791</v>
      </c>
      <c r="I45" t="s">
        <v>220</v>
      </c>
      <c r="J45" t="s">
        <v>142</v>
      </c>
    </row>
    <row r="46" spans="1:10" x14ac:dyDescent="0.3">
      <c r="A46" s="169">
        <v>45461</v>
      </c>
      <c r="B46" t="s">
        <v>155</v>
      </c>
      <c r="C46">
        <v>15</v>
      </c>
      <c r="D46" t="s">
        <v>2567</v>
      </c>
      <c r="E46" t="s">
        <v>2563</v>
      </c>
      <c r="G46">
        <v>1086</v>
      </c>
      <c r="H46">
        <v>1026</v>
      </c>
      <c r="I46" t="s">
        <v>220</v>
      </c>
      <c r="J46" t="s">
        <v>142</v>
      </c>
    </row>
    <row r="47" spans="1:10" x14ac:dyDescent="0.3">
      <c r="A47" s="169">
        <v>45463</v>
      </c>
      <c r="B47" t="s">
        <v>155</v>
      </c>
      <c r="C47">
        <v>9</v>
      </c>
      <c r="D47" t="s">
        <v>2561</v>
      </c>
      <c r="E47" t="s">
        <v>2563</v>
      </c>
      <c r="G47">
        <v>305</v>
      </c>
      <c r="H47">
        <v>245</v>
      </c>
      <c r="I47" t="s">
        <v>220</v>
      </c>
      <c r="J47" t="s">
        <v>157</v>
      </c>
    </row>
    <row r="48" spans="1:10" x14ac:dyDescent="0.3">
      <c r="A48" s="169">
        <v>45463</v>
      </c>
      <c r="B48" t="s">
        <v>155</v>
      </c>
      <c r="C48">
        <v>20</v>
      </c>
      <c r="D48" t="s">
        <v>2561</v>
      </c>
      <c r="E48" t="s">
        <v>2563</v>
      </c>
      <c r="G48">
        <v>305</v>
      </c>
      <c r="H48">
        <v>245</v>
      </c>
      <c r="I48" t="s">
        <v>220</v>
      </c>
      <c r="J48" t="s">
        <v>157</v>
      </c>
    </row>
    <row r="49" spans="1:10" x14ac:dyDescent="0.3">
      <c r="A49" s="169">
        <v>45463</v>
      </c>
      <c r="B49" t="s">
        <v>155</v>
      </c>
      <c r="C49">
        <v>14</v>
      </c>
      <c r="D49" t="s">
        <v>2561</v>
      </c>
      <c r="E49" t="s">
        <v>2563</v>
      </c>
      <c r="G49">
        <v>305</v>
      </c>
      <c r="H49">
        <v>245</v>
      </c>
      <c r="I49" t="s">
        <v>220</v>
      </c>
      <c r="J49" t="s">
        <v>157</v>
      </c>
    </row>
    <row r="50" spans="1:10" x14ac:dyDescent="0.3">
      <c r="A50" s="169">
        <v>45463</v>
      </c>
      <c r="B50" t="s">
        <v>155</v>
      </c>
      <c r="C50">
        <v>20</v>
      </c>
      <c r="D50" t="s">
        <v>2571</v>
      </c>
      <c r="E50" t="s">
        <v>2563</v>
      </c>
      <c r="G50">
        <v>305</v>
      </c>
      <c r="H50">
        <v>245</v>
      </c>
      <c r="I50" t="s">
        <v>220</v>
      </c>
      <c r="J50" t="s">
        <v>157</v>
      </c>
    </row>
    <row r="51" spans="1:10" x14ac:dyDescent="0.3">
      <c r="A51" s="169">
        <v>45463</v>
      </c>
      <c r="B51" t="s">
        <v>155</v>
      </c>
      <c r="C51">
        <v>40</v>
      </c>
      <c r="D51" t="s">
        <v>2575</v>
      </c>
      <c r="E51" t="s">
        <v>2563</v>
      </c>
      <c r="G51">
        <v>305</v>
      </c>
      <c r="H51">
        <v>245</v>
      </c>
      <c r="I51" t="s">
        <v>220</v>
      </c>
      <c r="J51" t="s">
        <v>157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8"/>
  <dimension ref="A1:J876"/>
  <sheetViews>
    <sheetView showGridLines="0" zoomScale="80" zoomScaleNormal="80" workbookViewId="0">
      <pane ySplit="1" topLeftCell="A2" activePane="bottomLeft" state="frozen"/>
      <selection pane="bottomLeft" activeCell="E31" sqref="E31"/>
    </sheetView>
  </sheetViews>
  <sheetFormatPr defaultColWidth="14.44140625" defaultRowHeight="15" customHeight="1" x14ac:dyDescent="0.3"/>
  <cols>
    <col min="1" max="1" width="25.88671875" style="170" bestFit="1" customWidth="1"/>
    <col min="2" max="2" width="20.5546875" style="193" bestFit="1" customWidth="1"/>
    <col min="3" max="3" width="17.44140625" style="170" bestFit="1" customWidth="1"/>
    <col min="4" max="4" width="23.44140625" style="170" bestFit="1" customWidth="1"/>
    <col min="5" max="5" width="25.5546875" style="170" bestFit="1" customWidth="1"/>
    <col min="6" max="6" width="17" style="170" bestFit="1" customWidth="1"/>
    <col min="7" max="7" width="11.33203125" style="170" customWidth="1"/>
    <col min="8" max="8" width="10.5546875" style="171" customWidth="1"/>
    <col min="9" max="9" width="9.109375" style="170" customWidth="1"/>
    <col min="10" max="10" width="9" style="170" customWidth="1"/>
    <col min="11" max="26" width="8.6640625" style="170" customWidth="1"/>
    <col min="27" max="16384" width="14.44140625" style="170"/>
  </cols>
  <sheetData>
    <row r="1" spans="1:10" ht="27" customHeight="1" x14ac:dyDescent="0.3">
      <c r="A1" s="116" t="s">
        <v>210</v>
      </c>
      <c r="B1" s="116" t="s">
        <v>211</v>
      </c>
      <c r="C1" s="116" t="s">
        <v>212</v>
      </c>
      <c r="D1" s="116" t="s">
        <v>213</v>
      </c>
      <c r="E1" s="116" t="s">
        <v>2593</v>
      </c>
      <c r="F1" s="116" t="s">
        <v>215</v>
      </c>
      <c r="G1" s="116" t="s">
        <v>216</v>
      </c>
      <c r="H1" s="116" t="s">
        <v>217</v>
      </c>
      <c r="I1" s="116" t="s">
        <v>201</v>
      </c>
      <c r="J1" s="116" t="s">
        <v>307</v>
      </c>
    </row>
    <row r="2" spans="1:10" s="159" customFormat="1" ht="30" customHeight="1" x14ac:dyDescent="0.3">
      <c r="A2" s="223">
        <v>46211</v>
      </c>
      <c r="B2" s="196" t="s">
        <v>155</v>
      </c>
      <c r="C2" s="192">
        <v>5</v>
      </c>
      <c r="D2" s="188" t="s">
        <v>2584</v>
      </c>
      <c r="E2" s="192" t="s">
        <v>2594</v>
      </c>
      <c r="F2" s="197">
        <v>1</v>
      </c>
      <c r="G2" s="188">
        <v>746</v>
      </c>
      <c r="H2" s="195">
        <f>Table_5[[#This Row],[KM do trajeto]]-100</f>
        <v>646</v>
      </c>
      <c r="I2" s="195" t="s">
        <v>2570</v>
      </c>
      <c r="J2" s="189" t="s">
        <v>269</v>
      </c>
    </row>
    <row r="3" spans="1:10" s="159" customFormat="1" ht="30" customHeight="1" x14ac:dyDescent="0.3">
      <c r="A3" s="223">
        <v>46211</v>
      </c>
      <c r="B3" s="196" t="s">
        <v>155</v>
      </c>
      <c r="C3" s="192">
        <v>11</v>
      </c>
      <c r="D3" s="188" t="s">
        <v>2584</v>
      </c>
      <c r="E3" s="192" t="s">
        <v>2594</v>
      </c>
      <c r="F3" s="197">
        <v>1</v>
      </c>
      <c r="G3" s="188">
        <v>746</v>
      </c>
      <c r="H3" s="195">
        <f>Table_5[[#This Row],[KM do trajeto]]-100</f>
        <v>646</v>
      </c>
      <c r="I3" s="195" t="s">
        <v>2570</v>
      </c>
      <c r="J3" s="189" t="s">
        <v>269</v>
      </c>
    </row>
    <row r="4" spans="1:10" s="159" customFormat="1" ht="30" customHeight="1" x14ac:dyDescent="0.3">
      <c r="A4" s="223">
        <v>46226</v>
      </c>
      <c r="B4" s="196" t="s">
        <v>155</v>
      </c>
      <c r="C4" s="192">
        <v>22</v>
      </c>
      <c r="D4" s="188" t="s">
        <v>2705</v>
      </c>
      <c r="E4" s="192" t="s">
        <v>2594</v>
      </c>
      <c r="F4" s="197">
        <v>1</v>
      </c>
      <c r="G4" s="188">
        <v>1058</v>
      </c>
      <c r="H4" s="195">
        <f>Table_5[[#This Row],[KM do trajeto]]-100</f>
        <v>958</v>
      </c>
      <c r="I4" s="195" t="s">
        <v>2570</v>
      </c>
      <c r="J4" s="189" t="s">
        <v>156</v>
      </c>
    </row>
    <row r="5" spans="1:10" s="159" customFormat="1" ht="30" customHeight="1" x14ac:dyDescent="0.3">
      <c r="A5" s="223" t="s">
        <v>2706</v>
      </c>
      <c r="B5" s="196" t="s">
        <v>155</v>
      </c>
      <c r="C5" s="192">
        <v>9</v>
      </c>
      <c r="D5" s="188" t="s">
        <v>2705</v>
      </c>
      <c r="E5" s="192" t="s">
        <v>2594</v>
      </c>
      <c r="F5" s="197">
        <v>1</v>
      </c>
      <c r="G5" s="188">
        <v>1058</v>
      </c>
      <c r="H5" s="195">
        <f>Table_5[[#This Row],[KM do trajeto]]-100</f>
        <v>958</v>
      </c>
      <c r="I5" s="195" t="s">
        <v>2570</v>
      </c>
      <c r="J5" s="189" t="s">
        <v>156</v>
      </c>
    </row>
    <row r="6" spans="1:10" ht="15" customHeight="1" x14ac:dyDescent="0.3">
      <c r="A6" s="223" t="s">
        <v>2706</v>
      </c>
      <c r="B6" s="196" t="s">
        <v>155</v>
      </c>
      <c r="C6" s="192">
        <v>1</v>
      </c>
      <c r="D6" s="188" t="s">
        <v>2707</v>
      </c>
      <c r="E6" s="192" t="s">
        <v>2594</v>
      </c>
      <c r="F6" s="197">
        <v>1</v>
      </c>
      <c r="G6" s="188">
        <v>46</v>
      </c>
      <c r="H6" s="195">
        <f>Table_5[[#This Row],[KM do trajeto]]-100</f>
        <v>-54</v>
      </c>
      <c r="I6" s="195" t="s">
        <v>219</v>
      </c>
      <c r="J6" s="189" t="s">
        <v>142</v>
      </c>
    </row>
    <row r="7" spans="1:10" ht="14.4" x14ac:dyDescent="0.3">
      <c r="A7" s="187" t="s">
        <v>2729</v>
      </c>
      <c r="B7" s="188" t="s">
        <v>2583</v>
      </c>
      <c r="C7" s="192">
        <v>80</v>
      </c>
      <c r="D7" s="188" t="s">
        <v>2730</v>
      </c>
      <c r="E7" s="192" t="s">
        <v>2594</v>
      </c>
      <c r="F7" s="209">
        <v>1</v>
      </c>
      <c r="G7" s="188">
        <v>44</v>
      </c>
      <c r="H7" s="195">
        <f>Table_5[[#This Row],[KM do trajeto]]-100</f>
        <v>-56</v>
      </c>
      <c r="I7" s="195" t="s">
        <v>219</v>
      </c>
      <c r="J7" s="189" t="s">
        <v>142</v>
      </c>
    </row>
    <row r="8" spans="1:10" ht="15.75" customHeight="1" x14ac:dyDescent="0.3">
      <c r="A8" s="187"/>
      <c r="B8" s="196"/>
      <c r="C8" s="192"/>
      <c r="D8" s="188"/>
      <c r="E8" s="192"/>
      <c r="F8" s="197"/>
      <c r="G8" s="188"/>
      <c r="H8" s="195"/>
      <c r="I8" s="195"/>
      <c r="J8" s="189"/>
    </row>
    <row r="9" spans="1:10" ht="15.75" customHeight="1" x14ac:dyDescent="0.3">
      <c r="A9" s="187"/>
      <c r="B9" s="196"/>
      <c r="C9" s="192"/>
      <c r="D9" s="188"/>
      <c r="E9" s="192"/>
      <c r="F9" s="197"/>
      <c r="G9" s="188"/>
      <c r="H9" s="195"/>
      <c r="I9" s="195"/>
      <c r="J9" s="189"/>
    </row>
    <row r="10" spans="1:10" ht="15.75" customHeight="1" x14ac:dyDescent="0.3">
      <c r="A10" s="187"/>
      <c r="B10" s="196"/>
      <c r="C10" s="192"/>
      <c r="D10" s="188"/>
      <c r="E10" s="192"/>
      <c r="F10" s="197"/>
      <c r="G10" s="188"/>
      <c r="H10" s="195"/>
      <c r="I10" s="195"/>
      <c r="J10" s="189"/>
    </row>
    <row r="11" spans="1:10" ht="15.75" customHeight="1" x14ac:dyDescent="0.3">
      <c r="A11" s="187"/>
      <c r="B11" s="196"/>
      <c r="C11" s="192"/>
      <c r="D11" s="188"/>
      <c r="E11" s="192"/>
      <c r="F11" s="197"/>
      <c r="G11" s="188"/>
      <c r="H11" s="195"/>
      <c r="I11" s="195"/>
      <c r="J11" s="189"/>
    </row>
    <row r="12" spans="1:10" ht="15.75" customHeight="1" x14ac:dyDescent="0.3">
      <c r="A12" s="187"/>
      <c r="B12" s="196"/>
      <c r="C12" s="192"/>
      <c r="D12" s="188"/>
      <c r="E12" s="192"/>
      <c r="F12" s="197"/>
      <c r="G12" s="188"/>
      <c r="H12" s="195"/>
      <c r="I12" s="195"/>
      <c r="J12" s="189"/>
    </row>
    <row r="13" spans="1:10" ht="15.75" customHeight="1" x14ac:dyDescent="0.3">
      <c r="D13" s="172"/>
      <c r="F13" s="173"/>
      <c r="G13" s="171"/>
    </row>
    <row r="14" spans="1:10" ht="15.75" customHeight="1" x14ac:dyDescent="0.3">
      <c r="D14" s="172"/>
      <c r="F14" s="173"/>
      <c r="G14" s="171"/>
    </row>
    <row r="15" spans="1:10" ht="15.75" customHeight="1" x14ac:dyDescent="0.3">
      <c r="D15" s="172"/>
      <c r="F15" s="173"/>
      <c r="G15" s="171"/>
    </row>
    <row r="16" spans="1:10" ht="15.75" customHeight="1" x14ac:dyDescent="0.3">
      <c r="D16" s="172"/>
      <c r="F16" s="173"/>
      <c r="G16" s="171"/>
    </row>
    <row r="17" spans="2:7" ht="15.75" customHeight="1" x14ac:dyDescent="0.3">
      <c r="D17" s="172"/>
      <c r="F17" s="173"/>
      <c r="G17" s="171"/>
    </row>
    <row r="18" spans="2:7" ht="15.75" customHeight="1" x14ac:dyDescent="0.3">
      <c r="D18" s="172"/>
      <c r="F18" s="173"/>
      <c r="G18" s="171"/>
    </row>
    <row r="19" spans="2:7" ht="15.75" customHeight="1" x14ac:dyDescent="0.3">
      <c r="D19" s="172"/>
      <c r="F19" s="173"/>
      <c r="G19" s="171"/>
    </row>
    <row r="20" spans="2:7" ht="15.75" customHeight="1" x14ac:dyDescent="0.3">
      <c r="D20" s="172"/>
      <c r="F20" s="173"/>
      <c r="G20" s="171"/>
    </row>
    <row r="21" spans="2:7" ht="15.75" customHeight="1" x14ac:dyDescent="0.3">
      <c r="D21" s="172"/>
      <c r="F21" s="173"/>
      <c r="G21" s="171"/>
    </row>
    <row r="22" spans="2:7" ht="15.75" customHeight="1" x14ac:dyDescent="0.3">
      <c r="B22" s="194"/>
      <c r="D22" s="172"/>
      <c r="F22" s="173"/>
      <c r="G22" s="171"/>
    </row>
    <row r="23" spans="2:7" ht="15.75" customHeight="1" x14ac:dyDescent="0.3">
      <c r="B23" s="194"/>
      <c r="D23" s="172"/>
      <c r="F23" s="173"/>
      <c r="G23" s="171"/>
    </row>
    <row r="24" spans="2:7" ht="15.75" customHeight="1" x14ac:dyDescent="0.3">
      <c r="B24" s="194"/>
      <c r="D24" s="172"/>
      <c r="F24" s="173"/>
      <c r="G24" s="171"/>
    </row>
    <row r="25" spans="2:7" ht="15.75" customHeight="1" x14ac:dyDescent="0.3">
      <c r="B25" s="194"/>
      <c r="D25" s="172"/>
      <c r="F25" s="173"/>
      <c r="G25" s="171"/>
    </row>
    <row r="26" spans="2:7" ht="15.75" customHeight="1" x14ac:dyDescent="0.3">
      <c r="B26" s="194"/>
      <c r="D26" s="172"/>
      <c r="F26" s="173"/>
      <c r="G26" s="171"/>
    </row>
    <row r="27" spans="2:7" ht="15.75" customHeight="1" x14ac:dyDescent="0.3">
      <c r="B27" s="194"/>
      <c r="D27" s="172"/>
      <c r="F27" s="173"/>
      <c r="G27" s="171"/>
    </row>
    <row r="28" spans="2:7" ht="15.75" customHeight="1" x14ac:dyDescent="0.3">
      <c r="B28" s="194"/>
      <c r="D28" s="172"/>
      <c r="F28" s="173"/>
      <c r="G28" s="171"/>
    </row>
    <row r="29" spans="2:7" ht="15.75" customHeight="1" x14ac:dyDescent="0.3">
      <c r="B29" s="194"/>
      <c r="D29" s="172"/>
      <c r="F29" s="173"/>
      <c r="G29" s="171"/>
    </row>
    <row r="30" spans="2:7" ht="15.75" customHeight="1" x14ac:dyDescent="0.3">
      <c r="B30" s="194"/>
      <c r="D30" s="172"/>
      <c r="F30" s="173"/>
      <c r="G30" s="171"/>
    </row>
    <row r="31" spans="2:7" ht="15.75" customHeight="1" x14ac:dyDescent="0.3">
      <c r="B31" s="194"/>
      <c r="D31" s="172"/>
      <c r="F31" s="173"/>
      <c r="G31" s="171"/>
    </row>
    <row r="32" spans="2:7" ht="15.75" customHeight="1" x14ac:dyDescent="0.3">
      <c r="B32" s="194"/>
      <c r="D32" s="172"/>
      <c r="F32" s="173"/>
      <c r="G32" s="171"/>
    </row>
    <row r="33" spans="2:7" ht="15.75" customHeight="1" x14ac:dyDescent="0.3">
      <c r="B33" s="194"/>
      <c r="D33" s="172"/>
      <c r="F33" s="173"/>
      <c r="G33" s="171"/>
    </row>
    <row r="34" spans="2:7" ht="15.75" customHeight="1" x14ac:dyDescent="0.3">
      <c r="B34" s="194"/>
      <c r="D34" s="172"/>
      <c r="F34" s="173"/>
      <c r="G34" s="171"/>
    </row>
    <row r="35" spans="2:7" ht="15.75" customHeight="1" x14ac:dyDescent="0.3">
      <c r="B35" s="194"/>
      <c r="D35" s="172"/>
      <c r="F35" s="173"/>
      <c r="G35" s="171"/>
    </row>
    <row r="36" spans="2:7" ht="15.75" customHeight="1" x14ac:dyDescent="0.3">
      <c r="B36" s="194"/>
      <c r="D36" s="172"/>
      <c r="F36" s="173"/>
      <c r="G36" s="171"/>
    </row>
    <row r="37" spans="2:7" ht="15.75" customHeight="1" x14ac:dyDescent="0.3">
      <c r="B37" s="194"/>
      <c r="D37" s="172"/>
      <c r="F37" s="173"/>
      <c r="G37" s="171"/>
    </row>
    <row r="38" spans="2:7" ht="15.75" customHeight="1" x14ac:dyDescent="0.3">
      <c r="B38" s="194"/>
      <c r="D38" s="172"/>
      <c r="F38" s="173"/>
      <c r="G38" s="171"/>
    </row>
    <row r="39" spans="2:7" ht="15.75" customHeight="1" x14ac:dyDescent="0.3">
      <c r="B39" s="194"/>
      <c r="D39" s="172"/>
      <c r="F39" s="173"/>
      <c r="G39" s="171"/>
    </row>
    <row r="40" spans="2:7" ht="15.75" customHeight="1" x14ac:dyDescent="0.3">
      <c r="B40" s="194"/>
      <c r="D40" s="172"/>
      <c r="F40" s="173"/>
      <c r="G40" s="171"/>
    </row>
    <row r="41" spans="2:7" ht="15.75" customHeight="1" x14ac:dyDescent="0.3">
      <c r="B41" s="194"/>
      <c r="D41" s="172"/>
      <c r="F41" s="173"/>
      <c r="G41" s="171"/>
    </row>
    <row r="42" spans="2:7" ht="15.75" customHeight="1" x14ac:dyDescent="0.3">
      <c r="B42" s="194"/>
      <c r="D42" s="172"/>
      <c r="F42" s="173"/>
      <c r="G42" s="171"/>
    </row>
    <row r="43" spans="2:7" ht="15.75" customHeight="1" x14ac:dyDescent="0.3">
      <c r="B43" s="194"/>
      <c r="D43" s="172"/>
      <c r="F43" s="173"/>
      <c r="G43" s="171"/>
    </row>
    <row r="44" spans="2:7" ht="15.75" customHeight="1" x14ac:dyDescent="0.3">
      <c r="B44" s="194"/>
      <c r="D44" s="172"/>
      <c r="F44" s="173"/>
      <c r="G44" s="171"/>
    </row>
    <row r="45" spans="2:7" ht="15.75" customHeight="1" x14ac:dyDescent="0.3">
      <c r="B45" s="194"/>
      <c r="D45" s="172"/>
      <c r="F45" s="173"/>
      <c r="G45" s="171"/>
    </row>
    <row r="46" spans="2:7" ht="15.75" customHeight="1" x14ac:dyDescent="0.3">
      <c r="B46" s="194"/>
      <c r="D46" s="172"/>
      <c r="F46" s="173"/>
      <c r="G46" s="171"/>
    </row>
    <row r="47" spans="2:7" ht="15.75" customHeight="1" x14ac:dyDescent="0.3">
      <c r="B47" s="194"/>
      <c r="D47" s="172"/>
      <c r="F47" s="173"/>
      <c r="G47" s="171"/>
    </row>
    <row r="48" spans="2:7" ht="15.75" customHeight="1" x14ac:dyDescent="0.3">
      <c r="B48" s="194"/>
      <c r="D48" s="172"/>
      <c r="F48" s="173"/>
      <c r="G48" s="171"/>
    </row>
    <row r="49" spans="2:7" ht="15.75" customHeight="1" x14ac:dyDescent="0.3">
      <c r="B49" s="194"/>
      <c r="D49" s="172"/>
      <c r="F49" s="173"/>
      <c r="G49" s="171"/>
    </row>
    <row r="50" spans="2:7" ht="15.75" customHeight="1" x14ac:dyDescent="0.3">
      <c r="B50" s="194"/>
      <c r="D50" s="172"/>
      <c r="F50" s="173"/>
      <c r="G50" s="171"/>
    </row>
    <row r="51" spans="2:7" ht="15.75" customHeight="1" x14ac:dyDescent="0.3">
      <c r="B51" s="194"/>
      <c r="D51" s="172"/>
      <c r="F51" s="173"/>
      <c r="G51" s="171"/>
    </row>
    <row r="52" spans="2:7" ht="15.75" customHeight="1" x14ac:dyDescent="0.3">
      <c r="B52" s="194"/>
      <c r="D52" s="172"/>
      <c r="F52" s="173"/>
      <c r="G52" s="171"/>
    </row>
    <row r="53" spans="2:7" ht="15.75" customHeight="1" x14ac:dyDescent="0.3">
      <c r="B53" s="194"/>
      <c r="D53" s="172"/>
      <c r="F53" s="173"/>
      <c r="G53" s="171"/>
    </row>
    <row r="54" spans="2:7" ht="15.75" customHeight="1" x14ac:dyDescent="0.3">
      <c r="B54" s="194"/>
      <c r="D54" s="172"/>
      <c r="F54" s="173"/>
      <c r="G54" s="171"/>
    </row>
    <row r="55" spans="2:7" ht="15.75" customHeight="1" x14ac:dyDescent="0.3">
      <c r="B55" s="194"/>
      <c r="D55" s="172"/>
      <c r="F55" s="173"/>
      <c r="G55" s="171"/>
    </row>
    <row r="56" spans="2:7" ht="15.75" customHeight="1" x14ac:dyDescent="0.3">
      <c r="B56" s="194"/>
      <c r="D56" s="172"/>
      <c r="F56" s="173"/>
      <c r="G56" s="171"/>
    </row>
    <row r="57" spans="2:7" ht="15.75" customHeight="1" x14ac:dyDescent="0.3">
      <c r="B57" s="194"/>
      <c r="D57" s="172"/>
      <c r="F57" s="173"/>
      <c r="G57" s="171"/>
    </row>
    <row r="58" spans="2:7" ht="15.75" customHeight="1" x14ac:dyDescent="0.3">
      <c r="B58" s="194"/>
      <c r="D58" s="172"/>
      <c r="F58" s="173"/>
      <c r="G58" s="171"/>
    </row>
    <row r="59" spans="2:7" ht="15.75" customHeight="1" x14ac:dyDescent="0.3">
      <c r="B59" s="194"/>
      <c r="D59" s="172"/>
      <c r="F59" s="173"/>
      <c r="G59" s="171"/>
    </row>
    <row r="60" spans="2:7" ht="15.75" customHeight="1" x14ac:dyDescent="0.3">
      <c r="B60" s="194"/>
      <c r="D60" s="172"/>
      <c r="F60" s="173"/>
      <c r="G60" s="171"/>
    </row>
    <row r="61" spans="2:7" ht="15.75" customHeight="1" x14ac:dyDescent="0.3">
      <c r="B61" s="194"/>
      <c r="D61" s="172"/>
      <c r="F61" s="173"/>
      <c r="G61" s="171"/>
    </row>
    <row r="62" spans="2:7" ht="15.75" customHeight="1" x14ac:dyDescent="0.3">
      <c r="B62" s="194"/>
      <c r="D62" s="172"/>
      <c r="F62" s="173"/>
      <c r="G62" s="171"/>
    </row>
    <row r="63" spans="2:7" ht="15.75" customHeight="1" x14ac:dyDescent="0.3">
      <c r="B63" s="194"/>
      <c r="D63" s="172"/>
      <c r="F63" s="173"/>
      <c r="G63" s="171"/>
    </row>
    <row r="64" spans="2:7" ht="15.75" customHeight="1" x14ac:dyDescent="0.3">
      <c r="B64" s="194"/>
      <c r="D64" s="172"/>
      <c r="F64" s="173"/>
      <c r="G64" s="171"/>
    </row>
    <row r="65" spans="2:7" ht="15.75" customHeight="1" x14ac:dyDescent="0.3">
      <c r="B65" s="194"/>
      <c r="D65" s="172"/>
      <c r="F65" s="173"/>
      <c r="G65" s="171"/>
    </row>
    <row r="66" spans="2:7" ht="15.75" customHeight="1" x14ac:dyDescent="0.3">
      <c r="B66" s="194"/>
      <c r="D66" s="172"/>
      <c r="F66" s="173"/>
      <c r="G66" s="171"/>
    </row>
    <row r="67" spans="2:7" ht="15.75" customHeight="1" x14ac:dyDescent="0.3">
      <c r="B67" s="194"/>
      <c r="D67" s="172"/>
      <c r="F67" s="173"/>
      <c r="G67" s="171"/>
    </row>
    <row r="68" spans="2:7" ht="15.75" customHeight="1" x14ac:dyDescent="0.3">
      <c r="B68" s="194"/>
      <c r="D68" s="172"/>
      <c r="F68" s="173"/>
      <c r="G68" s="171"/>
    </row>
    <row r="69" spans="2:7" ht="15.75" customHeight="1" x14ac:dyDescent="0.3">
      <c r="B69" s="194"/>
      <c r="D69" s="172"/>
      <c r="F69" s="173"/>
      <c r="G69" s="171"/>
    </row>
    <row r="70" spans="2:7" ht="15.75" customHeight="1" x14ac:dyDescent="0.3">
      <c r="B70" s="194"/>
      <c r="D70" s="172"/>
      <c r="F70" s="173"/>
      <c r="G70" s="171"/>
    </row>
    <row r="71" spans="2:7" ht="15.75" customHeight="1" x14ac:dyDescent="0.3">
      <c r="B71" s="194"/>
      <c r="D71" s="172"/>
      <c r="F71" s="173"/>
      <c r="G71" s="171"/>
    </row>
    <row r="72" spans="2:7" ht="15.75" customHeight="1" x14ac:dyDescent="0.3">
      <c r="B72" s="194"/>
      <c r="D72" s="172"/>
      <c r="F72" s="173"/>
      <c r="G72" s="171"/>
    </row>
    <row r="73" spans="2:7" ht="15.75" customHeight="1" x14ac:dyDescent="0.3">
      <c r="B73" s="194"/>
      <c r="D73" s="172"/>
      <c r="F73" s="173"/>
      <c r="G73" s="171"/>
    </row>
    <row r="74" spans="2:7" ht="15.75" customHeight="1" x14ac:dyDescent="0.3">
      <c r="B74" s="194"/>
      <c r="D74" s="172"/>
      <c r="F74" s="173"/>
      <c r="G74" s="171"/>
    </row>
    <row r="75" spans="2:7" ht="15.75" customHeight="1" x14ac:dyDescent="0.3">
      <c r="B75" s="194"/>
      <c r="D75" s="172"/>
      <c r="F75" s="173"/>
      <c r="G75" s="171"/>
    </row>
    <row r="76" spans="2:7" ht="15.75" customHeight="1" x14ac:dyDescent="0.3">
      <c r="B76" s="194"/>
      <c r="D76" s="172"/>
      <c r="F76" s="173"/>
      <c r="G76" s="171"/>
    </row>
    <row r="77" spans="2:7" ht="15.75" customHeight="1" x14ac:dyDescent="0.3">
      <c r="B77" s="194"/>
      <c r="D77" s="172"/>
      <c r="F77" s="173"/>
      <c r="G77" s="171"/>
    </row>
    <row r="78" spans="2:7" ht="15.75" customHeight="1" x14ac:dyDescent="0.3">
      <c r="B78" s="194"/>
      <c r="D78" s="172"/>
      <c r="F78" s="173"/>
      <c r="G78" s="171"/>
    </row>
    <row r="79" spans="2:7" ht="15.75" customHeight="1" x14ac:dyDescent="0.3">
      <c r="B79" s="194"/>
      <c r="D79" s="172"/>
      <c r="F79" s="173"/>
      <c r="G79" s="171"/>
    </row>
    <row r="80" spans="2:7" ht="15.75" customHeight="1" x14ac:dyDescent="0.3">
      <c r="B80" s="194"/>
      <c r="D80" s="172"/>
      <c r="F80" s="173"/>
      <c r="G80" s="171"/>
    </row>
    <row r="81" spans="2:7" ht="15.75" customHeight="1" x14ac:dyDescent="0.3">
      <c r="B81" s="194"/>
      <c r="D81" s="172"/>
      <c r="F81" s="173"/>
      <c r="G81" s="171"/>
    </row>
    <row r="82" spans="2:7" ht="15.75" customHeight="1" x14ac:dyDescent="0.3">
      <c r="B82" s="194"/>
      <c r="D82" s="172"/>
      <c r="F82" s="173"/>
      <c r="G82" s="171"/>
    </row>
    <row r="83" spans="2:7" ht="15.75" customHeight="1" x14ac:dyDescent="0.3">
      <c r="B83" s="194"/>
      <c r="D83" s="172"/>
      <c r="F83" s="173"/>
      <c r="G83" s="171"/>
    </row>
    <row r="84" spans="2:7" ht="15.75" customHeight="1" x14ac:dyDescent="0.3">
      <c r="B84" s="194"/>
      <c r="D84" s="172"/>
      <c r="F84" s="173"/>
      <c r="G84" s="171"/>
    </row>
    <row r="85" spans="2:7" ht="15.75" customHeight="1" x14ac:dyDescent="0.3">
      <c r="B85" s="194"/>
      <c r="D85" s="172"/>
      <c r="F85" s="173"/>
      <c r="G85" s="171"/>
    </row>
    <row r="86" spans="2:7" ht="15.75" customHeight="1" x14ac:dyDescent="0.3">
      <c r="B86" s="194"/>
      <c r="D86" s="172"/>
      <c r="F86" s="173"/>
      <c r="G86" s="171"/>
    </row>
    <row r="87" spans="2:7" ht="15.75" customHeight="1" x14ac:dyDescent="0.3">
      <c r="B87" s="194"/>
      <c r="D87" s="172"/>
      <c r="F87" s="173"/>
      <c r="G87" s="171"/>
    </row>
    <row r="88" spans="2:7" ht="15.75" customHeight="1" x14ac:dyDescent="0.3">
      <c r="B88" s="194"/>
      <c r="D88" s="172"/>
      <c r="F88" s="173"/>
      <c r="G88" s="171"/>
    </row>
    <row r="89" spans="2:7" ht="15.75" customHeight="1" x14ac:dyDescent="0.3">
      <c r="B89" s="194"/>
      <c r="D89" s="172"/>
      <c r="F89" s="173"/>
      <c r="G89" s="171"/>
    </row>
    <row r="90" spans="2:7" ht="15.75" customHeight="1" x14ac:dyDescent="0.3">
      <c r="B90" s="194"/>
      <c r="D90" s="172"/>
      <c r="F90" s="173"/>
      <c r="G90" s="171"/>
    </row>
    <row r="91" spans="2:7" ht="15.75" customHeight="1" x14ac:dyDescent="0.3">
      <c r="B91" s="194"/>
      <c r="D91" s="172"/>
      <c r="F91" s="173"/>
      <c r="G91" s="171"/>
    </row>
    <row r="92" spans="2:7" ht="15.75" customHeight="1" x14ac:dyDescent="0.3">
      <c r="B92" s="194"/>
      <c r="D92" s="172"/>
      <c r="F92" s="173"/>
      <c r="G92" s="171"/>
    </row>
    <row r="93" spans="2:7" ht="15.75" customHeight="1" x14ac:dyDescent="0.3">
      <c r="B93" s="194"/>
      <c r="D93" s="172"/>
      <c r="F93" s="173"/>
      <c r="G93" s="171"/>
    </row>
    <row r="94" spans="2:7" ht="15.75" customHeight="1" x14ac:dyDescent="0.3">
      <c r="B94" s="194"/>
      <c r="D94" s="172"/>
      <c r="F94" s="173"/>
      <c r="G94" s="171"/>
    </row>
    <row r="95" spans="2:7" ht="15.75" customHeight="1" x14ac:dyDescent="0.3">
      <c r="B95" s="194"/>
      <c r="D95" s="172"/>
      <c r="F95" s="173"/>
      <c r="G95" s="171"/>
    </row>
    <row r="96" spans="2:7" ht="15.75" customHeight="1" x14ac:dyDescent="0.3">
      <c r="B96" s="194"/>
      <c r="D96" s="172"/>
      <c r="F96" s="173"/>
      <c r="G96" s="171"/>
    </row>
    <row r="97" spans="2:7" ht="15.75" customHeight="1" x14ac:dyDescent="0.3">
      <c r="B97" s="194"/>
      <c r="D97" s="172"/>
      <c r="F97" s="173"/>
      <c r="G97" s="171"/>
    </row>
    <row r="98" spans="2:7" ht="15.75" customHeight="1" x14ac:dyDescent="0.3">
      <c r="B98" s="194"/>
      <c r="D98" s="172"/>
      <c r="F98" s="173"/>
      <c r="G98" s="171"/>
    </row>
    <row r="99" spans="2:7" ht="15.75" customHeight="1" x14ac:dyDescent="0.3">
      <c r="B99" s="194"/>
      <c r="D99" s="172"/>
      <c r="F99" s="173"/>
      <c r="G99" s="171"/>
    </row>
    <row r="100" spans="2:7" ht="15.75" customHeight="1" x14ac:dyDescent="0.3">
      <c r="B100" s="194"/>
      <c r="D100" s="172"/>
      <c r="F100" s="173"/>
      <c r="G100" s="171"/>
    </row>
    <row r="101" spans="2:7" ht="15.75" customHeight="1" x14ac:dyDescent="0.3">
      <c r="B101" s="194"/>
      <c r="D101" s="172"/>
      <c r="F101" s="173"/>
      <c r="G101" s="171"/>
    </row>
    <row r="102" spans="2:7" ht="15.75" customHeight="1" x14ac:dyDescent="0.3">
      <c r="B102" s="194"/>
      <c r="D102" s="172"/>
      <c r="F102" s="173"/>
      <c r="G102" s="171"/>
    </row>
    <row r="103" spans="2:7" ht="15.75" customHeight="1" x14ac:dyDescent="0.3">
      <c r="B103" s="194"/>
      <c r="D103" s="172"/>
      <c r="F103" s="173"/>
      <c r="G103" s="171"/>
    </row>
    <row r="104" spans="2:7" ht="15.75" customHeight="1" x14ac:dyDescent="0.3">
      <c r="B104" s="194"/>
      <c r="D104" s="172"/>
      <c r="F104" s="173"/>
      <c r="G104" s="171"/>
    </row>
    <row r="105" spans="2:7" ht="15.75" customHeight="1" x14ac:dyDescent="0.3">
      <c r="B105" s="194"/>
      <c r="D105" s="172"/>
      <c r="F105" s="173"/>
      <c r="G105" s="171"/>
    </row>
    <row r="106" spans="2:7" ht="15.75" customHeight="1" x14ac:dyDescent="0.3">
      <c r="B106" s="194"/>
      <c r="D106" s="172"/>
      <c r="F106" s="173"/>
      <c r="G106" s="171"/>
    </row>
    <row r="107" spans="2:7" ht="15.75" customHeight="1" x14ac:dyDescent="0.3">
      <c r="B107" s="194"/>
      <c r="D107" s="172"/>
      <c r="F107" s="173"/>
      <c r="G107" s="171"/>
    </row>
    <row r="108" spans="2:7" ht="15.75" customHeight="1" x14ac:dyDescent="0.3">
      <c r="B108" s="194"/>
      <c r="D108" s="172"/>
      <c r="F108" s="173"/>
      <c r="G108" s="171"/>
    </row>
    <row r="109" spans="2:7" ht="15.75" customHeight="1" x14ac:dyDescent="0.3">
      <c r="B109" s="194"/>
      <c r="D109" s="172"/>
      <c r="F109" s="173"/>
      <c r="G109" s="171"/>
    </row>
    <row r="110" spans="2:7" ht="15.75" customHeight="1" x14ac:dyDescent="0.3">
      <c r="B110" s="194"/>
      <c r="D110" s="172"/>
      <c r="F110" s="173"/>
      <c r="G110" s="171"/>
    </row>
    <row r="111" spans="2:7" ht="15.75" customHeight="1" x14ac:dyDescent="0.3">
      <c r="B111" s="194"/>
      <c r="D111" s="172"/>
      <c r="F111" s="173"/>
      <c r="G111" s="171"/>
    </row>
    <row r="112" spans="2:7" ht="15.75" customHeight="1" x14ac:dyDescent="0.3">
      <c r="B112" s="194"/>
      <c r="D112" s="172"/>
      <c r="F112" s="173"/>
      <c r="G112" s="171"/>
    </row>
    <row r="113" spans="2:7" ht="15.75" customHeight="1" x14ac:dyDescent="0.3">
      <c r="B113" s="194"/>
      <c r="D113" s="172"/>
      <c r="F113" s="173"/>
      <c r="G113" s="171"/>
    </row>
    <row r="114" spans="2:7" ht="15.75" customHeight="1" x14ac:dyDescent="0.3">
      <c r="B114" s="194"/>
      <c r="D114" s="172"/>
      <c r="F114" s="173"/>
      <c r="G114" s="171"/>
    </row>
    <row r="115" spans="2:7" ht="15.75" customHeight="1" x14ac:dyDescent="0.3">
      <c r="B115" s="194"/>
      <c r="D115" s="172"/>
      <c r="F115" s="173"/>
      <c r="G115" s="171"/>
    </row>
    <row r="116" spans="2:7" ht="15.75" customHeight="1" x14ac:dyDescent="0.3">
      <c r="B116" s="194"/>
      <c r="D116" s="172"/>
      <c r="F116" s="173"/>
      <c r="G116" s="171"/>
    </row>
    <row r="117" spans="2:7" ht="15.75" customHeight="1" x14ac:dyDescent="0.3">
      <c r="B117" s="194"/>
      <c r="D117" s="172"/>
      <c r="F117" s="173"/>
      <c r="G117" s="171"/>
    </row>
    <row r="118" spans="2:7" ht="15.75" customHeight="1" x14ac:dyDescent="0.3">
      <c r="B118" s="194"/>
      <c r="D118" s="172"/>
      <c r="F118" s="173"/>
      <c r="G118" s="171"/>
    </row>
    <row r="119" spans="2:7" ht="15.75" customHeight="1" x14ac:dyDescent="0.3">
      <c r="B119" s="194"/>
      <c r="D119" s="172"/>
      <c r="F119" s="173"/>
      <c r="G119" s="171"/>
    </row>
    <row r="120" spans="2:7" ht="15.75" customHeight="1" x14ac:dyDescent="0.3">
      <c r="B120" s="194"/>
      <c r="D120" s="172"/>
      <c r="F120" s="173"/>
      <c r="G120" s="171"/>
    </row>
    <row r="121" spans="2:7" ht="15.75" customHeight="1" x14ac:dyDescent="0.3">
      <c r="B121" s="194"/>
      <c r="D121" s="172"/>
      <c r="F121" s="173"/>
      <c r="G121" s="171"/>
    </row>
    <row r="122" spans="2:7" ht="15.75" customHeight="1" x14ac:dyDescent="0.3">
      <c r="B122" s="194"/>
      <c r="D122" s="172"/>
      <c r="F122" s="173"/>
      <c r="G122" s="171"/>
    </row>
    <row r="123" spans="2:7" ht="15.75" customHeight="1" x14ac:dyDescent="0.3">
      <c r="B123" s="194"/>
      <c r="D123" s="172"/>
      <c r="F123" s="173"/>
      <c r="G123" s="171"/>
    </row>
    <row r="124" spans="2:7" ht="15.75" customHeight="1" x14ac:dyDescent="0.3">
      <c r="B124" s="194"/>
      <c r="D124" s="172"/>
      <c r="F124" s="173"/>
      <c r="G124" s="171"/>
    </row>
    <row r="125" spans="2:7" ht="15.75" customHeight="1" x14ac:dyDescent="0.3">
      <c r="B125" s="194"/>
      <c r="D125" s="172"/>
      <c r="F125" s="173"/>
      <c r="G125" s="171"/>
    </row>
    <row r="126" spans="2:7" ht="15.75" customHeight="1" x14ac:dyDescent="0.3">
      <c r="B126" s="194"/>
      <c r="D126" s="172"/>
      <c r="F126" s="173"/>
      <c r="G126" s="171"/>
    </row>
    <row r="127" spans="2:7" ht="15.75" customHeight="1" x14ac:dyDescent="0.3">
      <c r="B127" s="194"/>
      <c r="D127" s="172"/>
      <c r="F127" s="173"/>
      <c r="G127" s="171"/>
    </row>
    <row r="128" spans="2:7" ht="15.75" customHeight="1" x14ac:dyDescent="0.3">
      <c r="B128" s="194"/>
      <c r="D128" s="172"/>
      <c r="F128" s="173"/>
      <c r="G128" s="171"/>
    </row>
    <row r="129" spans="2:7" ht="15.75" customHeight="1" x14ac:dyDescent="0.3">
      <c r="B129" s="194"/>
      <c r="D129" s="172"/>
      <c r="F129" s="173"/>
      <c r="G129" s="171"/>
    </row>
    <row r="130" spans="2:7" ht="15.75" customHeight="1" x14ac:dyDescent="0.3">
      <c r="B130" s="194"/>
      <c r="D130" s="172"/>
      <c r="F130" s="173"/>
      <c r="G130" s="171"/>
    </row>
    <row r="131" spans="2:7" ht="15.75" customHeight="1" x14ac:dyDescent="0.3">
      <c r="B131" s="194"/>
      <c r="D131" s="172"/>
      <c r="F131" s="173"/>
      <c r="G131" s="171"/>
    </row>
    <row r="132" spans="2:7" ht="15.75" customHeight="1" x14ac:dyDescent="0.3">
      <c r="B132" s="194"/>
      <c r="D132" s="172"/>
      <c r="F132" s="173"/>
      <c r="G132" s="171"/>
    </row>
    <row r="133" spans="2:7" ht="15.75" customHeight="1" x14ac:dyDescent="0.3">
      <c r="B133" s="194"/>
      <c r="D133" s="172"/>
      <c r="F133" s="173"/>
      <c r="G133" s="171"/>
    </row>
    <row r="134" spans="2:7" ht="15.75" customHeight="1" x14ac:dyDescent="0.3">
      <c r="B134" s="194"/>
      <c r="D134" s="172"/>
      <c r="F134" s="173"/>
      <c r="G134" s="171"/>
    </row>
    <row r="135" spans="2:7" ht="15.75" customHeight="1" x14ac:dyDescent="0.3">
      <c r="B135" s="194"/>
      <c r="D135" s="172"/>
      <c r="F135" s="173"/>
      <c r="G135" s="171"/>
    </row>
    <row r="136" spans="2:7" ht="15.75" customHeight="1" x14ac:dyDescent="0.3">
      <c r="B136" s="194"/>
      <c r="D136" s="172"/>
      <c r="F136" s="173"/>
      <c r="G136" s="171"/>
    </row>
    <row r="137" spans="2:7" ht="15.75" customHeight="1" x14ac:dyDescent="0.3">
      <c r="B137" s="194"/>
      <c r="D137" s="172"/>
      <c r="F137" s="173"/>
      <c r="G137" s="171"/>
    </row>
    <row r="138" spans="2:7" ht="15.75" customHeight="1" x14ac:dyDescent="0.3">
      <c r="B138" s="194"/>
      <c r="D138" s="172"/>
      <c r="F138" s="173"/>
      <c r="G138" s="171"/>
    </row>
    <row r="139" spans="2:7" ht="15.75" customHeight="1" x14ac:dyDescent="0.3">
      <c r="B139" s="194"/>
      <c r="D139" s="172"/>
      <c r="F139" s="173"/>
      <c r="G139" s="171"/>
    </row>
    <row r="140" spans="2:7" ht="15.75" customHeight="1" x14ac:dyDescent="0.3">
      <c r="B140" s="194"/>
      <c r="D140" s="172"/>
      <c r="F140" s="173"/>
      <c r="G140" s="171"/>
    </row>
    <row r="141" spans="2:7" ht="15.75" customHeight="1" x14ac:dyDescent="0.3">
      <c r="B141" s="194"/>
      <c r="D141" s="172"/>
      <c r="F141" s="173"/>
      <c r="G141" s="171"/>
    </row>
    <row r="142" spans="2:7" ht="15.75" customHeight="1" x14ac:dyDescent="0.3">
      <c r="B142" s="194"/>
      <c r="D142" s="172"/>
      <c r="F142" s="173"/>
      <c r="G142" s="171"/>
    </row>
    <row r="143" spans="2:7" ht="15.75" customHeight="1" x14ac:dyDescent="0.3">
      <c r="B143" s="194"/>
      <c r="D143" s="172"/>
      <c r="F143" s="173"/>
      <c r="G143" s="171"/>
    </row>
    <row r="144" spans="2:7" ht="15.75" customHeight="1" x14ac:dyDescent="0.3">
      <c r="B144" s="194"/>
      <c r="D144" s="172"/>
      <c r="F144" s="173"/>
      <c r="G144" s="171"/>
    </row>
    <row r="145" spans="2:7" ht="15.75" customHeight="1" x14ac:dyDescent="0.3">
      <c r="B145" s="194"/>
      <c r="D145" s="172"/>
      <c r="F145" s="173"/>
      <c r="G145" s="171"/>
    </row>
    <row r="146" spans="2:7" ht="15.75" customHeight="1" x14ac:dyDescent="0.3">
      <c r="B146" s="194"/>
      <c r="D146" s="172"/>
      <c r="F146" s="173"/>
      <c r="G146" s="171"/>
    </row>
    <row r="147" spans="2:7" ht="15.75" customHeight="1" x14ac:dyDescent="0.3">
      <c r="B147" s="194"/>
      <c r="D147" s="172"/>
      <c r="F147" s="173"/>
      <c r="G147" s="171"/>
    </row>
    <row r="148" spans="2:7" ht="15.75" customHeight="1" x14ac:dyDescent="0.3">
      <c r="B148" s="194"/>
      <c r="D148" s="172"/>
      <c r="F148" s="173"/>
      <c r="G148" s="171"/>
    </row>
    <row r="149" spans="2:7" ht="15.75" customHeight="1" x14ac:dyDescent="0.3">
      <c r="B149" s="194"/>
      <c r="D149" s="172"/>
      <c r="F149" s="173"/>
      <c r="G149" s="171"/>
    </row>
    <row r="150" spans="2:7" ht="15.75" customHeight="1" x14ac:dyDescent="0.3">
      <c r="B150" s="194"/>
      <c r="D150" s="172"/>
      <c r="F150" s="173"/>
      <c r="G150" s="171"/>
    </row>
    <row r="151" spans="2:7" ht="15.75" customHeight="1" x14ac:dyDescent="0.3">
      <c r="B151" s="194"/>
      <c r="D151" s="172"/>
      <c r="F151" s="173"/>
      <c r="G151" s="171"/>
    </row>
    <row r="152" spans="2:7" ht="15.75" customHeight="1" x14ac:dyDescent="0.3">
      <c r="B152" s="194"/>
      <c r="D152" s="172"/>
      <c r="F152" s="173"/>
      <c r="G152" s="171"/>
    </row>
    <row r="153" spans="2:7" ht="15.75" customHeight="1" x14ac:dyDescent="0.3">
      <c r="B153" s="194"/>
      <c r="D153" s="172"/>
      <c r="F153" s="173"/>
      <c r="G153" s="171"/>
    </row>
    <row r="154" spans="2:7" ht="15.75" customHeight="1" x14ac:dyDescent="0.3">
      <c r="B154" s="194"/>
      <c r="D154" s="172"/>
      <c r="F154" s="173"/>
      <c r="G154" s="171"/>
    </row>
    <row r="155" spans="2:7" ht="15.75" customHeight="1" x14ac:dyDescent="0.3">
      <c r="B155" s="194"/>
      <c r="D155" s="172"/>
      <c r="F155" s="173"/>
      <c r="G155" s="171"/>
    </row>
    <row r="156" spans="2:7" ht="15.75" customHeight="1" x14ac:dyDescent="0.3">
      <c r="B156" s="194"/>
      <c r="D156" s="172"/>
      <c r="F156" s="173"/>
      <c r="G156" s="171"/>
    </row>
    <row r="157" spans="2:7" ht="15.75" customHeight="1" x14ac:dyDescent="0.3">
      <c r="B157" s="194"/>
      <c r="D157" s="172"/>
      <c r="F157" s="173"/>
      <c r="G157" s="171"/>
    </row>
    <row r="158" spans="2:7" ht="15.75" customHeight="1" x14ac:dyDescent="0.3">
      <c r="B158" s="194"/>
      <c r="D158" s="172"/>
      <c r="F158" s="173"/>
      <c r="G158" s="171"/>
    </row>
    <row r="159" spans="2:7" ht="15.75" customHeight="1" x14ac:dyDescent="0.3">
      <c r="B159" s="194"/>
      <c r="D159" s="172"/>
      <c r="F159" s="173"/>
      <c r="G159" s="171"/>
    </row>
    <row r="160" spans="2:7" ht="15.75" customHeight="1" x14ac:dyDescent="0.3">
      <c r="B160" s="194"/>
      <c r="D160" s="172"/>
      <c r="F160" s="173"/>
      <c r="G160" s="171"/>
    </row>
    <row r="161" spans="2:7" ht="15.75" customHeight="1" x14ac:dyDescent="0.3">
      <c r="B161" s="194"/>
      <c r="D161" s="172"/>
      <c r="F161" s="173"/>
      <c r="G161" s="171"/>
    </row>
    <row r="162" spans="2:7" ht="15.75" customHeight="1" x14ac:dyDescent="0.3">
      <c r="B162" s="194"/>
      <c r="D162" s="172"/>
      <c r="F162" s="173"/>
      <c r="G162" s="171"/>
    </row>
    <row r="163" spans="2:7" ht="15.75" customHeight="1" x14ac:dyDescent="0.3">
      <c r="B163" s="194"/>
      <c r="D163" s="172"/>
      <c r="F163" s="173"/>
      <c r="G163" s="171"/>
    </row>
    <row r="164" spans="2:7" ht="15.75" customHeight="1" x14ac:dyDescent="0.3">
      <c r="B164" s="194"/>
      <c r="D164" s="172"/>
      <c r="F164" s="173"/>
      <c r="G164" s="171"/>
    </row>
    <row r="165" spans="2:7" ht="15.75" customHeight="1" x14ac:dyDescent="0.3">
      <c r="B165" s="194"/>
      <c r="D165" s="172"/>
      <c r="F165" s="173"/>
      <c r="G165" s="171"/>
    </row>
    <row r="166" spans="2:7" ht="15.75" customHeight="1" x14ac:dyDescent="0.3">
      <c r="B166" s="194"/>
      <c r="D166" s="172"/>
      <c r="F166" s="173"/>
      <c r="G166" s="171"/>
    </row>
    <row r="167" spans="2:7" ht="15.75" customHeight="1" x14ac:dyDescent="0.3">
      <c r="B167" s="194"/>
      <c r="D167" s="172"/>
      <c r="F167" s="173"/>
      <c r="G167" s="171"/>
    </row>
    <row r="168" spans="2:7" ht="15.75" customHeight="1" x14ac:dyDescent="0.3">
      <c r="B168" s="194"/>
      <c r="D168" s="172"/>
      <c r="F168" s="173"/>
      <c r="G168" s="171"/>
    </row>
    <row r="169" spans="2:7" ht="15.75" customHeight="1" x14ac:dyDescent="0.3">
      <c r="B169" s="194"/>
      <c r="D169" s="172"/>
      <c r="F169" s="173"/>
      <c r="G169" s="171"/>
    </row>
    <row r="170" spans="2:7" ht="15.75" customHeight="1" x14ac:dyDescent="0.3">
      <c r="B170" s="194"/>
      <c r="D170" s="172"/>
      <c r="F170" s="173"/>
      <c r="G170" s="171"/>
    </row>
    <row r="171" spans="2:7" ht="15.75" customHeight="1" x14ac:dyDescent="0.3">
      <c r="B171" s="194"/>
      <c r="D171" s="172"/>
      <c r="F171" s="173"/>
      <c r="G171" s="171"/>
    </row>
    <row r="172" spans="2:7" ht="15.75" customHeight="1" x14ac:dyDescent="0.3">
      <c r="B172" s="194"/>
      <c r="D172" s="172"/>
      <c r="F172" s="173"/>
      <c r="G172" s="171"/>
    </row>
    <row r="173" spans="2:7" ht="15.75" customHeight="1" x14ac:dyDescent="0.3">
      <c r="B173" s="194"/>
      <c r="D173" s="172"/>
      <c r="F173" s="173"/>
      <c r="G173" s="171"/>
    </row>
    <row r="174" spans="2:7" ht="15.75" customHeight="1" x14ac:dyDescent="0.3">
      <c r="B174" s="194"/>
      <c r="D174" s="172"/>
      <c r="F174" s="173"/>
      <c r="G174" s="171"/>
    </row>
    <row r="175" spans="2:7" ht="15.75" customHeight="1" x14ac:dyDescent="0.3">
      <c r="B175" s="194"/>
      <c r="D175" s="172"/>
      <c r="F175" s="173"/>
      <c r="G175" s="171"/>
    </row>
    <row r="176" spans="2:7" ht="15.75" customHeight="1" x14ac:dyDescent="0.3">
      <c r="B176" s="194"/>
      <c r="D176" s="172"/>
      <c r="F176" s="173"/>
      <c r="G176" s="171"/>
    </row>
    <row r="177" spans="2:7" ht="15.75" customHeight="1" x14ac:dyDescent="0.3">
      <c r="B177" s="194"/>
      <c r="D177" s="172"/>
      <c r="F177" s="173"/>
      <c r="G177" s="171"/>
    </row>
    <row r="178" spans="2:7" ht="15.75" customHeight="1" x14ac:dyDescent="0.3">
      <c r="B178" s="194"/>
      <c r="D178" s="172"/>
      <c r="F178" s="173"/>
      <c r="G178" s="171"/>
    </row>
    <row r="179" spans="2:7" ht="15.75" customHeight="1" x14ac:dyDescent="0.3">
      <c r="B179" s="194"/>
      <c r="D179" s="172"/>
      <c r="F179" s="173"/>
      <c r="G179" s="171"/>
    </row>
    <row r="180" spans="2:7" ht="15.75" customHeight="1" x14ac:dyDescent="0.3">
      <c r="B180" s="194"/>
      <c r="D180" s="172"/>
      <c r="F180" s="173"/>
      <c r="G180" s="171"/>
    </row>
    <row r="181" spans="2:7" ht="15.75" customHeight="1" x14ac:dyDescent="0.3">
      <c r="B181" s="194"/>
      <c r="D181" s="172"/>
      <c r="F181" s="173"/>
      <c r="G181" s="171"/>
    </row>
    <row r="182" spans="2:7" ht="15.75" customHeight="1" x14ac:dyDescent="0.3">
      <c r="B182" s="194"/>
      <c r="D182" s="172"/>
      <c r="F182" s="173"/>
      <c r="G182" s="171"/>
    </row>
    <row r="183" spans="2:7" ht="15.75" customHeight="1" x14ac:dyDescent="0.3">
      <c r="B183" s="194"/>
      <c r="D183" s="172"/>
      <c r="F183" s="173"/>
      <c r="G183" s="171"/>
    </row>
    <row r="184" spans="2:7" ht="15.75" customHeight="1" x14ac:dyDescent="0.3">
      <c r="B184" s="194"/>
      <c r="D184" s="172"/>
      <c r="F184" s="173"/>
      <c r="G184" s="171"/>
    </row>
    <row r="185" spans="2:7" ht="15.75" customHeight="1" x14ac:dyDescent="0.3">
      <c r="B185" s="194"/>
      <c r="D185" s="172"/>
      <c r="F185" s="173"/>
      <c r="G185" s="171"/>
    </row>
    <row r="186" spans="2:7" ht="15.75" customHeight="1" x14ac:dyDescent="0.3">
      <c r="B186" s="194"/>
      <c r="D186" s="172"/>
      <c r="F186" s="173"/>
      <c r="G186" s="171"/>
    </row>
    <row r="187" spans="2:7" ht="15.75" customHeight="1" x14ac:dyDescent="0.3">
      <c r="B187" s="194"/>
      <c r="D187" s="172"/>
      <c r="F187" s="173"/>
      <c r="G187" s="171"/>
    </row>
    <row r="188" spans="2:7" ht="15.75" customHeight="1" x14ac:dyDescent="0.3">
      <c r="B188" s="194"/>
      <c r="D188" s="172"/>
      <c r="F188" s="173"/>
      <c r="G188" s="171"/>
    </row>
    <row r="189" spans="2:7" ht="15.75" customHeight="1" x14ac:dyDescent="0.3">
      <c r="B189" s="194"/>
      <c r="D189" s="172"/>
      <c r="F189" s="173"/>
      <c r="G189" s="171"/>
    </row>
    <row r="190" spans="2:7" ht="15.75" customHeight="1" x14ac:dyDescent="0.3">
      <c r="B190" s="194"/>
      <c r="D190" s="172"/>
      <c r="F190" s="173"/>
      <c r="G190" s="171"/>
    </row>
    <row r="191" spans="2:7" ht="15.75" customHeight="1" x14ac:dyDescent="0.3">
      <c r="B191" s="194"/>
      <c r="D191" s="172"/>
      <c r="F191" s="173"/>
      <c r="G191" s="171"/>
    </row>
    <row r="192" spans="2:7" ht="15.75" customHeight="1" x14ac:dyDescent="0.3">
      <c r="B192" s="194"/>
      <c r="D192" s="172"/>
      <c r="F192" s="173"/>
      <c r="G192" s="171"/>
    </row>
    <row r="193" spans="2:7" ht="15.75" customHeight="1" x14ac:dyDescent="0.3">
      <c r="B193" s="194"/>
      <c r="D193" s="172"/>
      <c r="F193" s="173"/>
      <c r="G193" s="171"/>
    </row>
    <row r="194" spans="2:7" ht="15.75" customHeight="1" x14ac:dyDescent="0.3">
      <c r="B194" s="194"/>
      <c r="D194" s="172"/>
      <c r="F194" s="173"/>
      <c r="G194" s="171"/>
    </row>
    <row r="195" spans="2:7" ht="15.75" customHeight="1" x14ac:dyDescent="0.3">
      <c r="B195" s="194"/>
      <c r="D195" s="172"/>
      <c r="F195" s="173"/>
      <c r="G195" s="171"/>
    </row>
    <row r="196" spans="2:7" ht="15.75" customHeight="1" x14ac:dyDescent="0.3">
      <c r="B196" s="194"/>
      <c r="D196" s="172"/>
      <c r="F196" s="173"/>
      <c r="G196" s="171"/>
    </row>
    <row r="197" spans="2:7" ht="15.75" customHeight="1" x14ac:dyDescent="0.3">
      <c r="B197" s="194"/>
      <c r="D197" s="172"/>
      <c r="F197" s="173"/>
      <c r="G197" s="171"/>
    </row>
    <row r="198" spans="2:7" ht="15.75" customHeight="1" x14ac:dyDescent="0.3">
      <c r="B198" s="194"/>
      <c r="D198" s="172"/>
      <c r="F198" s="173"/>
      <c r="G198" s="171"/>
    </row>
    <row r="199" spans="2:7" ht="15.75" customHeight="1" x14ac:dyDescent="0.3">
      <c r="B199" s="194"/>
      <c r="D199" s="172"/>
      <c r="F199" s="173"/>
      <c r="G199" s="171"/>
    </row>
    <row r="200" spans="2:7" ht="15.75" customHeight="1" x14ac:dyDescent="0.3">
      <c r="B200" s="194"/>
      <c r="D200" s="172"/>
      <c r="F200" s="173"/>
      <c r="G200" s="171"/>
    </row>
    <row r="201" spans="2:7" ht="15.75" customHeight="1" x14ac:dyDescent="0.3">
      <c r="B201" s="194"/>
      <c r="D201" s="172"/>
      <c r="F201" s="173"/>
      <c r="G201" s="171"/>
    </row>
    <row r="202" spans="2:7" ht="15.75" customHeight="1" x14ac:dyDescent="0.3">
      <c r="B202" s="194"/>
      <c r="D202" s="172"/>
      <c r="F202" s="173"/>
      <c r="G202" s="171"/>
    </row>
    <row r="203" spans="2:7" ht="15.75" customHeight="1" x14ac:dyDescent="0.3">
      <c r="B203" s="194"/>
      <c r="D203" s="172"/>
      <c r="F203" s="173"/>
      <c r="G203" s="171"/>
    </row>
    <row r="204" spans="2:7" ht="15.75" customHeight="1" x14ac:dyDescent="0.3">
      <c r="B204" s="194"/>
      <c r="D204" s="172"/>
      <c r="F204" s="173"/>
      <c r="G204" s="171"/>
    </row>
    <row r="205" spans="2:7" ht="15.75" customHeight="1" x14ac:dyDescent="0.3">
      <c r="B205" s="194"/>
      <c r="D205" s="172"/>
      <c r="F205" s="173"/>
      <c r="G205" s="171"/>
    </row>
    <row r="206" spans="2:7" ht="15.75" customHeight="1" x14ac:dyDescent="0.3">
      <c r="B206" s="194"/>
      <c r="D206" s="172"/>
      <c r="F206" s="173"/>
      <c r="G206" s="171"/>
    </row>
    <row r="207" spans="2:7" ht="15.75" customHeight="1" x14ac:dyDescent="0.3">
      <c r="B207" s="194"/>
      <c r="D207" s="172"/>
      <c r="F207" s="173"/>
      <c r="G207" s="171"/>
    </row>
    <row r="208" spans="2:7" ht="15.75" customHeight="1" x14ac:dyDescent="0.3">
      <c r="B208" s="194"/>
      <c r="D208" s="172"/>
      <c r="F208" s="173"/>
      <c r="G208" s="171"/>
    </row>
    <row r="209" spans="2:7" ht="15.75" customHeight="1" x14ac:dyDescent="0.3">
      <c r="B209" s="194"/>
      <c r="D209" s="172"/>
      <c r="F209" s="173"/>
      <c r="G209" s="171"/>
    </row>
    <row r="210" spans="2:7" ht="15.75" customHeight="1" x14ac:dyDescent="0.3">
      <c r="B210" s="194"/>
      <c r="D210" s="172"/>
      <c r="F210" s="173"/>
      <c r="G210" s="171"/>
    </row>
    <row r="211" spans="2:7" ht="15.75" customHeight="1" x14ac:dyDescent="0.3">
      <c r="B211" s="194"/>
      <c r="D211" s="172"/>
      <c r="F211" s="173"/>
      <c r="G211" s="171"/>
    </row>
    <row r="212" spans="2:7" ht="15.75" customHeight="1" x14ac:dyDescent="0.3">
      <c r="B212" s="194"/>
      <c r="D212" s="172"/>
      <c r="F212" s="173"/>
      <c r="G212" s="171"/>
    </row>
    <row r="213" spans="2:7" ht="15.75" customHeight="1" x14ac:dyDescent="0.3">
      <c r="B213" s="194"/>
      <c r="D213" s="172"/>
      <c r="F213" s="173"/>
      <c r="G213" s="171"/>
    </row>
    <row r="214" spans="2:7" ht="15.75" customHeight="1" x14ac:dyDescent="0.3">
      <c r="B214" s="194"/>
      <c r="D214" s="172"/>
      <c r="F214" s="173"/>
      <c r="G214" s="171"/>
    </row>
    <row r="215" spans="2:7" ht="15.75" customHeight="1" x14ac:dyDescent="0.3">
      <c r="B215" s="194"/>
      <c r="D215" s="172"/>
      <c r="F215" s="173"/>
      <c r="G215" s="171"/>
    </row>
    <row r="216" spans="2:7" ht="15.75" customHeight="1" x14ac:dyDescent="0.3">
      <c r="B216" s="194"/>
      <c r="D216" s="172"/>
      <c r="F216" s="173"/>
      <c r="G216" s="171"/>
    </row>
    <row r="217" spans="2:7" ht="15.75" customHeight="1" x14ac:dyDescent="0.3">
      <c r="B217" s="194"/>
      <c r="D217" s="172"/>
      <c r="F217" s="173"/>
      <c r="G217" s="171"/>
    </row>
    <row r="218" spans="2:7" ht="15.75" customHeight="1" x14ac:dyDescent="0.3">
      <c r="B218" s="194"/>
      <c r="D218" s="172"/>
      <c r="F218" s="173"/>
      <c r="G218" s="171"/>
    </row>
    <row r="219" spans="2:7" ht="15.75" customHeight="1" x14ac:dyDescent="0.3">
      <c r="B219" s="194"/>
      <c r="D219" s="172"/>
      <c r="F219" s="173"/>
      <c r="G219" s="171"/>
    </row>
    <row r="220" spans="2:7" ht="15.75" customHeight="1" x14ac:dyDescent="0.3">
      <c r="B220" s="194"/>
      <c r="D220" s="172"/>
      <c r="F220" s="173"/>
      <c r="G220" s="171"/>
    </row>
    <row r="221" spans="2:7" ht="15.75" customHeight="1" x14ac:dyDescent="0.3">
      <c r="B221" s="194"/>
      <c r="D221" s="172"/>
      <c r="F221" s="173"/>
      <c r="G221" s="171"/>
    </row>
    <row r="222" spans="2:7" ht="15.75" customHeight="1" x14ac:dyDescent="0.3">
      <c r="B222" s="194"/>
      <c r="D222" s="172"/>
      <c r="F222" s="173"/>
      <c r="G222" s="171"/>
    </row>
    <row r="223" spans="2:7" ht="15.75" customHeight="1" x14ac:dyDescent="0.3">
      <c r="B223" s="194"/>
      <c r="D223" s="172"/>
      <c r="F223" s="173"/>
      <c r="G223" s="171"/>
    </row>
    <row r="224" spans="2:7" ht="15.75" customHeight="1" x14ac:dyDescent="0.3">
      <c r="B224" s="194"/>
      <c r="D224" s="172"/>
      <c r="F224" s="173"/>
      <c r="G224" s="171"/>
    </row>
    <row r="225" spans="2:7" ht="15.75" customHeight="1" x14ac:dyDescent="0.3">
      <c r="B225" s="194"/>
      <c r="D225" s="172"/>
      <c r="F225" s="173"/>
      <c r="G225" s="171"/>
    </row>
    <row r="226" spans="2:7" ht="15.75" customHeight="1" x14ac:dyDescent="0.3">
      <c r="B226" s="194"/>
      <c r="D226" s="172"/>
      <c r="F226" s="173"/>
      <c r="G226" s="171"/>
    </row>
    <row r="227" spans="2:7" ht="15.75" customHeight="1" x14ac:dyDescent="0.3">
      <c r="B227" s="194"/>
      <c r="D227" s="172"/>
      <c r="F227" s="173"/>
      <c r="G227" s="171"/>
    </row>
    <row r="228" spans="2:7" ht="15.75" customHeight="1" x14ac:dyDescent="0.3">
      <c r="B228" s="194"/>
      <c r="D228" s="172"/>
      <c r="F228" s="173"/>
      <c r="G228" s="171"/>
    </row>
    <row r="229" spans="2:7" ht="15.75" customHeight="1" x14ac:dyDescent="0.3">
      <c r="B229" s="194"/>
      <c r="D229" s="172"/>
      <c r="F229" s="173"/>
      <c r="G229" s="171"/>
    </row>
    <row r="230" spans="2:7" ht="15.75" customHeight="1" x14ac:dyDescent="0.3">
      <c r="B230" s="194"/>
      <c r="D230" s="172"/>
      <c r="F230" s="173"/>
      <c r="G230" s="171"/>
    </row>
    <row r="231" spans="2:7" ht="15.75" customHeight="1" x14ac:dyDescent="0.3">
      <c r="B231" s="194"/>
      <c r="D231" s="172"/>
      <c r="F231" s="173"/>
      <c r="G231" s="171"/>
    </row>
    <row r="232" spans="2:7" ht="15.75" customHeight="1" x14ac:dyDescent="0.3">
      <c r="B232" s="194"/>
      <c r="D232" s="172"/>
      <c r="F232" s="173"/>
      <c r="G232" s="171"/>
    </row>
    <row r="233" spans="2:7" ht="15.75" customHeight="1" x14ac:dyDescent="0.3">
      <c r="B233" s="194"/>
      <c r="D233" s="172"/>
      <c r="F233" s="173"/>
      <c r="G233" s="171"/>
    </row>
    <row r="234" spans="2:7" ht="15.75" customHeight="1" x14ac:dyDescent="0.3">
      <c r="B234" s="194"/>
      <c r="D234" s="172"/>
      <c r="F234" s="173"/>
      <c r="G234" s="171"/>
    </row>
    <row r="235" spans="2:7" ht="15.75" customHeight="1" x14ac:dyDescent="0.3">
      <c r="B235" s="194"/>
      <c r="D235" s="172"/>
      <c r="F235" s="173"/>
      <c r="G235" s="171"/>
    </row>
    <row r="236" spans="2:7" ht="15.75" customHeight="1" x14ac:dyDescent="0.3">
      <c r="B236" s="194"/>
      <c r="D236" s="172"/>
      <c r="F236" s="173"/>
      <c r="G236" s="171"/>
    </row>
    <row r="237" spans="2:7" ht="15.75" customHeight="1" x14ac:dyDescent="0.3">
      <c r="B237" s="194"/>
      <c r="D237" s="172"/>
      <c r="F237" s="173"/>
      <c r="G237" s="171"/>
    </row>
    <row r="238" spans="2:7" ht="15.75" customHeight="1" x14ac:dyDescent="0.3">
      <c r="B238" s="194"/>
      <c r="D238" s="172"/>
      <c r="F238" s="173"/>
      <c r="G238" s="171"/>
    </row>
    <row r="239" spans="2:7" ht="15.75" customHeight="1" x14ac:dyDescent="0.3">
      <c r="B239" s="194"/>
      <c r="D239" s="172"/>
      <c r="F239" s="173"/>
      <c r="G239" s="171"/>
    </row>
    <row r="240" spans="2:7" ht="15.75" customHeight="1" x14ac:dyDescent="0.3">
      <c r="B240" s="194"/>
      <c r="D240" s="172"/>
      <c r="F240" s="173"/>
      <c r="G240" s="171"/>
    </row>
    <row r="241" spans="2:7" ht="15.75" customHeight="1" x14ac:dyDescent="0.3">
      <c r="B241" s="194"/>
      <c r="D241" s="172"/>
      <c r="F241" s="173"/>
      <c r="G241" s="171"/>
    </row>
    <row r="242" spans="2:7" ht="15.75" customHeight="1" x14ac:dyDescent="0.3">
      <c r="B242" s="194"/>
      <c r="D242" s="172"/>
      <c r="F242" s="173"/>
      <c r="G242" s="171"/>
    </row>
    <row r="243" spans="2:7" ht="15.75" customHeight="1" x14ac:dyDescent="0.3">
      <c r="B243" s="194"/>
      <c r="D243" s="172"/>
      <c r="F243" s="173"/>
      <c r="G243" s="171"/>
    </row>
    <row r="244" spans="2:7" ht="15.75" customHeight="1" x14ac:dyDescent="0.3">
      <c r="B244" s="194"/>
      <c r="D244" s="172"/>
      <c r="F244" s="173"/>
      <c r="G244" s="171"/>
    </row>
    <row r="245" spans="2:7" ht="15.75" customHeight="1" x14ac:dyDescent="0.3">
      <c r="B245" s="194"/>
      <c r="D245" s="172"/>
      <c r="F245" s="173"/>
      <c r="G245" s="171"/>
    </row>
    <row r="246" spans="2:7" ht="15.75" customHeight="1" x14ac:dyDescent="0.3">
      <c r="B246" s="194"/>
      <c r="D246" s="172"/>
      <c r="F246" s="173"/>
      <c r="G246" s="171"/>
    </row>
    <row r="247" spans="2:7" ht="15.75" customHeight="1" x14ac:dyDescent="0.3">
      <c r="B247" s="194"/>
      <c r="D247" s="172"/>
      <c r="F247" s="173"/>
      <c r="G247" s="171"/>
    </row>
    <row r="248" spans="2:7" ht="15.75" customHeight="1" x14ac:dyDescent="0.3">
      <c r="B248" s="194"/>
      <c r="D248" s="172"/>
      <c r="F248" s="173"/>
      <c r="G248" s="171"/>
    </row>
    <row r="249" spans="2:7" ht="15.75" customHeight="1" x14ac:dyDescent="0.3">
      <c r="B249" s="194"/>
      <c r="D249" s="172"/>
      <c r="F249" s="173"/>
      <c r="G249" s="171"/>
    </row>
    <row r="250" spans="2:7" ht="15.75" customHeight="1" x14ac:dyDescent="0.3">
      <c r="B250" s="194"/>
      <c r="D250" s="172"/>
      <c r="F250" s="173"/>
      <c r="G250" s="171"/>
    </row>
    <row r="251" spans="2:7" ht="15.75" customHeight="1" x14ac:dyDescent="0.3">
      <c r="B251" s="194"/>
      <c r="D251" s="172"/>
      <c r="F251" s="173"/>
      <c r="G251" s="171"/>
    </row>
    <row r="252" spans="2:7" ht="15.75" customHeight="1" x14ac:dyDescent="0.3">
      <c r="B252" s="194"/>
      <c r="D252" s="172"/>
      <c r="F252" s="173"/>
      <c r="G252" s="171"/>
    </row>
    <row r="253" spans="2:7" ht="15.75" customHeight="1" x14ac:dyDescent="0.3">
      <c r="B253" s="194"/>
      <c r="D253" s="172"/>
      <c r="F253" s="173"/>
      <c r="G253" s="171"/>
    </row>
    <row r="254" spans="2:7" ht="15.75" customHeight="1" x14ac:dyDescent="0.3">
      <c r="B254" s="194"/>
      <c r="D254" s="172"/>
      <c r="F254" s="173"/>
      <c r="G254" s="171"/>
    </row>
    <row r="255" spans="2:7" ht="15.75" customHeight="1" x14ac:dyDescent="0.3">
      <c r="B255" s="194"/>
      <c r="D255" s="172"/>
      <c r="F255" s="173"/>
      <c r="G255" s="171"/>
    </row>
    <row r="256" spans="2:7" ht="15.75" customHeight="1" x14ac:dyDescent="0.3">
      <c r="B256" s="194"/>
      <c r="D256" s="172"/>
      <c r="F256" s="173"/>
      <c r="G256" s="171"/>
    </row>
    <row r="257" spans="2:7" ht="15.75" customHeight="1" x14ac:dyDescent="0.3">
      <c r="B257" s="194"/>
      <c r="D257" s="172"/>
      <c r="F257" s="173"/>
      <c r="G257" s="171"/>
    </row>
    <row r="258" spans="2:7" ht="15.75" customHeight="1" x14ac:dyDescent="0.3">
      <c r="B258" s="194"/>
      <c r="D258" s="172"/>
      <c r="F258" s="173"/>
      <c r="G258" s="171"/>
    </row>
    <row r="259" spans="2:7" ht="15.75" customHeight="1" x14ac:dyDescent="0.3">
      <c r="B259" s="194"/>
      <c r="D259" s="172"/>
      <c r="F259" s="173"/>
      <c r="G259" s="171"/>
    </row>
    <row r="260" spans="2:7" ht="15.75" customHeight="1" x14ac:dyDescent="0.3">
      <c r="B260" s="194"/>
      <c r="D260" s="172"/>
      <c r="F260" s="173"/>
      <c r="G260" s="171"/>
    </row>
    <row r="261" spans="2:7" ht="15.75" customHeight="1" x14ac:dyDescent="0.3">
      <c r="B261" s="194"/>
      <c r="D261" s="172"/>
      <c r="F261" s="173"/>
      <c r="G261" s="171"/>
    </row>
    <row r="262" spans="2:7" ht="15.75" customHeight="1" x14ac:dyDescent="0.3">
      <c r="B262" s="194"/>
      <c r="D262" s="172"/>
      <c r="F262" s="173"/>
      <c r="G262" s="171"/>
    </row>
    <row r="263" spans="2:7" ht="15.75" customHeight="1" x14ac:dyDescent="0.3">
      <c r="B263" s="194"/>
      <c r="D263" s="172"/>
      <c r="F263" s="173"/>
      <c r="G263" s="171"/>
    </row>
    <row r="264" spans="2:7" ht="15.75" customHeight="1" x14ac:dyDescent="0.3">
      <c r="B264" s="194"/>
      <c r="D264" s="172"/>
      <c r="F264" s="173"/>
      <c r="G264" s="171"/>
    </row>
    <row r="265" spans="2:7" ht="15.75" customHeight="1" x14ac:dyDescent="0.3">
      <c r="B265" s="194"/>
      <c r="D265" s="172"/>
      <c r="F265" s="173"/>
      <c r="G265" s="171"/>
    </row>
    <row r="266" spans="2:7" ht="15.75" customHeight="1" x14ac:dyDescent="0.3">
      <c r="B266" s="194"/>
      <c r="D266" s="172"/>
      <c r="F266" s="173"/>
      <c r="G266" s="171"/>
    </row>
    <row r="267" spans="2:7" ht="15.75" customHeight="1" x14ac:dyDescent="0.3">
      <c r="B267" s="194"/>
      <c r="D267" s="172"/>
      <c r="F267" s="173"/>
      <c r="G267" s="171"/>
    </row>
    <row r="268" spans="2:7" ht="15.75" customHeight="1" x14ac:dyDescent="0.3">
      <c r="B268" s="194"/>
      <c r="D268" s="172"/>
      <c r="F268" s="173"/>
      <c r="G268" s="171"/>
    </row>
    <row r="269" spans="2:7" ht="15.75" customHeight="1" x14ac:dyDescent="0.3">
      <c r="B269" s="194"/>
      <c r="D269" s="172"/>
      <c r="F269" s="173"/>
      <c r="G269" s="171"/>
    </row>
    <row r="270" spans="2:7" ht="15.75" customHeight="1" x14ac:dyDescent="0.3">
      <c r="B270" s="194"/>
      <c r="D270" s="172"/>
      <c r="F270" s="173"/>
      <c r="G270" s="171"/>
    </row>
    <row r="271" spans="2:7" ht="15.75" customHeight="1" x14ac:dyDescent="0.3">
      <c r="B271" s="194"/>
      <c r="D271" s="172"/>
      <c r="F271" s="173"/>
      <c r="G271" s="171"/>
    </row>
    <row r="272" spans="2:7" ht="15.75" customHeight="1" x14ac:dyDescent="0.3">
      <c r="B272" s="194"/>
      <c r="D272" s="172"/>
      <c r="F272" s="173"/>
      <c r="G272" s="171"/>
    </row>
    <row r="273" spans="2:7" ht="15.75" customHeight="1" x14ac:dyDescent="0.3">
      <c r="B273" s="194"/>
      <c r="D273" s="172"/>
      <c r="F273" s="173"/>
      <c r="G273" s="171"/>
    </row>
    <row r="274" spans="2:7" ht="15.75" customHeight="1" x14ac:dyDescent="0.3">
      <c r="B274" s="194"/>
      <c r="D274" s="172"/>
      <c r="F274" s="173"/>
      <c r="G274" s="171"/>
    </row>
    <row r="275" spans="2:7" ht="15.75" customHeight="1" x14ac:dyDescent="0.3">
      <c r="B275" s="194"/>
      <c r="D275" s="172"/>
      <c r="F275" s="173"/>
      <c r="G275" s="171"/>
    </row>
    <row r="276" spans="2:7" ht="15.75" customHeight="1" x14ac:dyDescent="0.3">
      <c r="B276" s="194"/>
      <c r="D276" s="172"/>
      <c r="F276" s="173"/>
      <c r="G276" s="171"/>
    </row>
    <row r="277" spans="2:7" ht="15.75" customHeight="1" x14ac:dyDescent="0.3">
      <c r="B277" s="194"/>
      <c r="D277" s="172"/>
      <c r="F277" s="173"/>
      <c r="G277" s="171"/>
    </row>
    <row r="278" spans="2:7" ht="15.75" customHeight="1" x14ac:dyDescent="0.3">
      <c r="B278" s="194"/>
      <c r="D278" s="172"/>
      <c r="F278" s="173"/>
      <c r="G278" s="171"/>
    </row>
    <row r="279" spans="2:7" ht="15.75" customHeight="1" x14ac:dyDescent="0.3">
      <c r="B279" s="194"/>
      <c r="D279" s="172"/>
      <c r="F279" s="173"/>
      <c r="G279" s="171"/>
    </row>
    <row r="280" spans="2:7" ht="15.75" customHeight="1" x14ac:dyDescent="0.3">
      <c r="B280" s="194"/>
      <c r="D280" s="172"/>
      <c r="F280" s="173"/>
      <c r="G280" s="171"/>
    </row>
    <row r="281" spans="2:7" ht="15.75" customHeight="1" x14ac:dyDescent="0.3">
      <c r="B281" s="194"/>
      <c r="D281" s="172"/>
      <c r="F281" s="173"/>
      <c r="G281" s="171"/>
    </row>
    <row r="282" spans="2:7" ht="15.75" customHeight="1" x14ac:dyDescent="0.3">
      <c r="B282" s="194"/>
      <c r="D282" s="172"/>
      <c r="F282" s="173"/>
      <c r="G282" s="171"/>
    </row>
    <row r="283" spans="2:7" ht="15.75" customHeight="1" x14ac:dyDescent="0.3">
      <c r="B283" s="194"/>
      <c r="D283" s="172"/>
      <c r="F283" s="173"/>
      <c r="G283" s="171"/>
    </row>
    <row r="284" spans="2:7" ht="15.75" customHeight="1" x14ac:dyDescent="0.3">
      <c r="B284" s="194"/>
      <c r="D284" s="172"/>
      <c r="F284" s="173"/>
      <c r="G284" s="171"/>
    </row>
    <row r="285" spans="2:7" ht="15.75" customHeight="1" x14ac:dyDescent="0.3">
      <c r="B285" s="194"/>
      <c r="D285" s="172"/>
      <c r="F285" s="173"/>
      <c r="G285" s="171"/>
    </row>
    <row r="286" spans="2:7" ht="15.75" customHeight="1" x14ac:dyDescent="0.3">
      <c r="B286" s="194"/>
      <c r="D286" s="172"/>
      <c r="F286" s="173"/>
      <c r="G286" s="171"/>
    </row>
    <row r="287" spans="2:7" ht="15.75" customHeight="1" x14ac:dyDescent="0.3">
      <c r="B287" s="194"/>
      <c r="D287" s="172"/>
      <c r="F287" s="173"/>
      <c r="G287" s="171"/>
    </row>
    <row r="288" spans="2:7" ht="15.75" customHeight="1" x14ac:dyDescent="0.3">
      <c r="B288" s="194"/>
      <c r="D288" s="172"/>
      <c r="F288" s="173"/>
      <c r="G288" s="171"/>
    </row>
    <row r="289" spans="2:7" ht="15.75" customHeight="1" x14ac:dyDescent="0.3">
      <c r="B289" s="194"/>
      <c r="D289" s="172"/>
      <c r="F289" s="173"/>
      <c r="G289" s="171"/>
    </row>
    <row r="290" spans="2:7" ht="15.75" customHeight="1" x14ac:dyDescent="0.3">
      <c r="B290" s="194"/>
      <c r="D290" s="172"/>
      <c r="F290" s="173"/>
      <c r="G290" s="171"/>
    </row>
    <row r="291" spans="2:7" ht="15.75" customHeight="1" x14ac:dyDescent="0.3">
      <c r="B291" s="194"/>
      <c r="D291" s="172"/>
      <c r="F291" s="173"/>
      <c r="G291" s="171"/>
    </row>
    <row r="292" spans="2:7" ht="15.75" customHeight="1" x14ac:dyDescent="0.3">
      <c r="B292" s="194"/>
      <c r="D292" s="172"/>
      <c r="F292" s="173"/>
      <c r="G292" s="171"/>
    </row>
    <row r="293" spans="2:7" ht="15.75" customHeight="1" x14ac:dyDescent="0.3">
      <c r="B293" s="194"/>
      <c r="D293" s="172"/>
      <c r="F293" s="173"/>
      <c r="G293" s="171"/>
    </row>
    <row r="294" spans="2:7" ht="15.75" customHeight="1" x14ac:dyDescent="0.3">
      <c r="B294" s="194"/>
      <c r="D294" s="172"/>
      <c r="F294" s="173"/>
      <c r="G294" s="171"/>
    </row>
    <row r="295" spans="2:7" ht="15.75" customHeight="1" x14ac:dyDescent="0.3">
      <c r="B295" s="194"/>
      <c r="D295" s="172"/>
      <c r="F295" s="173"/>
      <c r="G295" s="171"/>
    </row>
    <row r="296" spans="2:7" ht="15.75" customHeight="1" x14ac:dyDescent="0.3">
      <c r="B296" s="194"/>
      <c r="D296" s="172"/>
      <c r="F296" s="173"/>
      <c r="G296" s="171"/>
    </row>
    <row r="297" spans="2:7" ht="15.75" customHeight="1" x14ac:dyDescent="0.3">
      <c r="B297" s="194"/>
      <c r="D297" s="172"/>
      <c r="F297" s="173"/>
      <c r="G297" s="171"/>
    </row>
    <row r="298" spans="2:7" ht="15.75" customHeight="1" x14ac:dyDescent="0.3">
      <c r="B298" s="194"/>
      <c r="D298" s="172"/>
      <c r="F298" s="173"/>
      <c r="G298" s="171"/>
    </row>
    <row r="299" spans="2:7" ht="15.75" customHeight="1" x14ac:dyDescent="0.3">
      <c r="B299" s="194"/>
      <c r="D299" s="172"/>
      <c r="F299" s="173"/>
      <c r="G299" s="171"/>
    </row>
    <row r="300" spans="2:7" ht="15.75" customHeight="1" x14ac:dyDescent="0.3">
      <c r="B300" s="194"/>
      <c r="D300" s="172"/>
      <c r="F300" s="173"/>
      <c r="G300" s="171"/>
    </row>
    <row r="301" spans="2:7" ht="15.75" customHeight="1" x14ac:dyDescent="0.3">
      <c r="B301" s="194"/>
      <c r="D301" s="172"/>
      <c r="F301" s="173"/>
      <c r="G301" s="171"/>
    </row>
    <row r="302" spans="2:7" ht="15.75" customHeight="1" x14ac:dyDescent="0.3">
      <c r="B302" s="194"/>
      <c r="D302" s="172"/>
      <c r="F302" s="173"/>
      <c r="G302" s="171"/>
    </row>
    <row r="303" spans="2:7" ht="15.75" customHeight="1" x14ac:dyDescent="0.3">
      <c r="B303" s="194"/>
      <c r="D303" s="172"/>
      <c r="F303" s="173"/>
      <c r="G303" s="171"/>
    </row>
    <row r="304" spans="2:7" ht="15.75" customHeight="1" x14ac:dyDescent="0.3">
      <c r="B304" s="194"/>
      <c r="D304" s="172"/>
      <c r="F304" s="173"/>
      <c r="G304" s="171"/>
    </row>
    <row r="305" spans="2:7" ht="15.75" customHeight="1" x14ac:dyDescent="0.3">
      <c r="B305" s="194"/>
      <c r="D305" s="172"/>
      <c r="F305" s="173"/>
      <c r="G305" s="171"/>
    </row>
    <row r="306" spans="2:7" ht="15.75" customHeight="1" x14ac:dyDescent="0.3">
      <c r="B306" s="194"/>
      <c r="D306" s="172"/>
      <c r="F306" s="173"/>
      <c r="G306" s="171"/>
    </row>
    <row r="307" spans="2:7" ht="15.75" customHeight="1" x14ac:dyDescent="0.3">
      <c r="B307" s="194"/>
      <c r="D307" s="172"/>
      <c r="F307" s="173"/>
      <c r="G307" s="171"/>
    </row>
    <row r="308" spans="2:7" ht="15.75" customHeight="1" x14ac:dyDescent="0.3">
      <c r="B308" s="194"/>
      <c r="D308" s="172"/>
      <c r="F308" s="173"/>
      <c r="G308" s="171"/>
    </row>
    <row r="309" spans="2:7" ht="15.75" customHeight="1" x14ac:dyDescent="0.3">
      <c r="B309" s="194"/>
      <c r="D309" s="172"/>
      <c r="F309" s="173"/>
      <c r="G309" s="171"/>
    </row>
    <row r="310" spans="2:7" ht="15.75" customHeight="1" x14ac:dyDescent="0.3">
      <c r="B310" s="194"/>
      <c r="D310" s="172"/>
      <c r="F310" s="173"/>
      <c r="G310" s="171"/>
    </row>
    <row r="311" spans="2:7" ht="15.75" customHeight="1" x14ac:dyDescent="0.3">
      <c r="B311" s="194"/>
      <c r="D311" s="172"/>
      <c r="F311" s="173"/>
      <c r="G311" s="171"/>
    </row>
    <row r="312" spans="2:7" ht="15.75" customHeight="1" x14ac:dyDescent="0.3">
      <c r="B312" s="194"/>
      <c r="D312" s="172"/>
      <c r="F312" s="173"/>
      <c r="G312" s="171"/>
    </row>
    <row r="313" spans="2:7" ht="15.75" customHeight="1" x14ac:dyDescent="0.3">
      <c r="B313" s="194"/>
      <c r="D313" s="172"/>
      <c r="F313" s="173"/>
      <c r="G313" s="171"/>
    </row>
    <row r="314" spans="2:7" ht="15.75" customHeight="1" x14ac:dyDescent="0.3">
      <c r="B314" s="194"/>
      <c r="D314" s="172"/>
      <c r="F314" s="173"/>
      <c r="G314" s="171"/>
    </row>
    <row r="315" spans="2:7" ht="15.75" customHeight="1" x14ac:dyDescent="0.3">
      <c r="B315" s="194"/>
      <c r="D315" s="172"/>
      <c r="F315" s="173"/>
      <c r="G315" s="171"/>
    </row>
    <row r="316" spans="2:7" ht="15.75" customHeight="1" x14ac:dyDescent="0.3">
      <c r="B316" s="194"/>
      <c r="D316" s="172"/>
      <c r="F316" s="173"/>
      <c r="G316" s="171"/>
    </row>
    <row r="317" spans="2:7" ht="15.75" customHeight="1" x14ac:dyDescent="0.3">
      <c r="B317" s="194"/>
      <c r="D317" s="172"/>
      <c r="F317" s="173"/>
      <c r="G317" s="171"/>
    </row>
    <row r="318" spans="2:7" ht="15.75" customHeight="1" x14ac:dyDescent="0.3">
      <c r="B318" s="194"/>
      <c r="D318" s="172"/>
      <c r="F318" s="173"/>
      <c r="G318" s="171"/>
    </row>
    <row r="319" spans="2:7" ht="15.75" customHeight="1" x14ac:dyDescent="0.3">
      <c r="B319" s="194"/>
      <c r="D319" s="172"/>
      <c r="F319" s="173"/>
      <c r="G319" s="171"/>
    </row>
    <row r="320" spans="2:7" ht="15.75" customHeight="1" x14ac:dyDescent="0.3">
      <c r="B320" s="194"/>
      <c r="D320" s="172"/>
      <c r="F320" s="173"/>
      <c r="G320" s="171"/>
    </row>
    <row r="321" spans="2:7" ht="15.75" customHeight="1" x14ac:dyDescent="0.3">
      <c r="B321" s="194"/>
      <c r="D321" s="172"/>
      <c r="F321" s="173"/>
      <c r="G321" s="171"/>
    </row>
    <row r="322" spans="2:7" ht="15.75" customHeight="1" x14ac:dyDescent="0.3">
      <c r="B322" s="194"/>
      <c r="D322" s="172"/>
      <c r="F322" s="173"/>
      <c r="G322" s="171"/>
    </row>
    <row r="323" spans="2:7" ht="15.75" customHeight="1" x14ac:dyDescent="0.3">
      <c r="B323" s="194"/>
      <c r="D323" s="172"/>
      <c r="F323" s="173"/>
      <c r="G323" s="171"/>
    </row>
    <row r="324" spans="2:7" ht="15.75" customHeight="1" x14ac:dyDescent="0.3">
      <c r="B324" s="194"/>
      <c r="D324" s="172"/>
      <c r="F324" s="173"/>
      <c r="G324" s="171"/>
    </row>
    <row r="325" spans="2:7" ht="15.75" customHeight="1" x14ac:dyDescent="0.3">
      <c r="B325" s="194"/>
      <c r="D325" s="172"/>
      <c r="F325" s="173"/>
      <c r="G325" s="171"/>
    </row>
    <row r="326" spans="2:7" ht="15.75" customHeight="1" x14ac:dyDescent="0.3">
      <c r="B326" s="194"/>
      <c r="D326" s="172"/>
      <c r="F326" s="173"/>
      <c r="G326" s="171"/>
    </row>
    <row r="327" spans="2:7" ht="15.75" customHeight="1" x14ac:dyDescent="0.3">
      <c r="B327" s="194"/>
      <c r="D327" s="172"/>
      <c r="F327" s="173"/>
      <c r="G327" s="171"/>
    </row>
    <row r="328" spans="2:7" ht="15.75" customHeight="1" x14ac:dyDescent="0.3">
      <c r="B328" s="194"/>
      <c r="D328" s="172"/>
      <c r="F328" s="173"/>
      <c r="G328" s="171"/>
    </row>
    <row r="329" spans="2:7" ht="15.75" customHeight="1" x14ac:dyDescent="0.3">
      <c r="B329" s="194"/>
      <c r="D329" s="172"/>
      <c r="F329" s="173"/>
      <c r="G329" s="171"/>
    </row>
    <row r="330" spans="2:7" ht="15.75" customHeight="1" x14ac:dyDescent="0.3">
      <c r="B330" s="194"/>
      <c r="D330" s="172"/>
      <c r="F330" s="173"/>
      <c r="G330" s="171"/>
    </row>
    <row r="331" spans="2:7" ht="15.75" customHeight="1" x14ac:dyDescent="0.3">
      <c r="B331" s="194"/>
      <c r="D331" s="172"/>
      <c r="F331" s="173"/>
      <c r="G331" s="171"/>
    </row>
    <row r="332" spans="2:7" ht="15.75" customHeight="1" x14ac:dyDescent="0.3">
      <c r="B332" s="194"/>
      <c r="D332" s="172"/>
      <c r="F332" s="173"/>
      <c r="G332" s="171"/>
    </row>
    <row r="333" spans="2:7" ht="15.75" customHeight="1" x14ac:dyDescent="0.3">
      <c r="B333" s="194"/>
      <c r="D333" s="172"/>
      <c r="F333" s="173"/>
      <c r="G333" s="171"/>
    </row>
    <row r="334" spans="2:7" ht="15.75" customHeight="1" x14ac:dyDescent="0.3">
      <c r="B334" s="194"/>
      <c r="D334" s="172"/>
      <c r="F334" s="173"/>
      <c r="G334" s="171"/>
    </row>
    <row r="335" spans="2:7" ht="15.75" customHeight="1" x14ac:dyDescent="0.3">
      <c r="B335" s="194"/>
      <c r="D335" s="172"/>
      <c r="F335" s="173"/>
      <c r="G335" s="171"/>
    </row>
    <row r="336" spans="2:7" ht="15.75" customHeight="1" x14ac:dyDescent="0.3">
      <c r="B336" s="194"/>
      <c r="D336" s="172"/>
      <c r="F336" s="173"/>
      <c r="G336" s="171"/>
    </row>
    <row r="337" spans="2:7" ht="15.75" customHeight="1" x14ac:dyDescent="0.3">
      <c r="B337" s="194"/>
      <c r="D337" s="172"/>
      <c r="F337" s="173"/>
      <c r="G337" s="171"/>
    </row>
    <row r="338" spans="2:7" ht="15.75" customHeight="1" x14ac:dyDescent="0.3">
      <c r="B338" s="194"/>
      <c r="D338" s="172"/>
      <c r="F338" s="173"/>
      <c r="G338" s="171"/>
    </row>
    <row r="339" spans="2:7" ht="15.75" customHeight="1" x14ac:dyDescent="0.3">
      <c r="B339" s="194"/>
      <c r="D339" s="172"/>
      <c r="F339" s="173"/>
      <c r="G339" s="171"/>
    </row>
    <row r="340" spans="2:7" ht="15.75" customHeight="1" x14ac:dyDescent="0.3">
      <c r="B340" s="194"/>
      <c r="D340" s="172"/>
      <c r="F340" s="173"/>
      <c r="G340" s="171"/>
    </row>
    <row r="341" spans="2:7" ht="15.75" customHeight="1" x14ac:dyDescent="0.3">
      <c r="B341" s="194"/>
      <c r="D341" s="172"/>
      <c r="F341" s="173"/>
      <c r="G341" s="171"/>
    </row>
    <row r="342" spans="2:7" ht="15.75" customHeight="1" x14ac:dyDescent="0.3">
      <c r="B342" s="194"/>
      <c r="D342" s="172"/>
      <c r="F342" s="173"/>
      <c r="G342" s="171"/>
    </row>
    <row r="343" spans="2:7" ht="15.75" customHeight="1" x14ac:dyDescent="0.3">
      <c r="B343" s="194"/>
      <c r="D343" s="172"/>
      <c r="F343" s="173"/>
      <c r="G343" s="171"/>
    </row>
    <row r="344" spans="2:7" ht="15.75" customHeight="1" x14ac:dyDescent="0.3">
      <c r="B344" s="194"/>
      <c r="D344" s="172"/>
      <c r="F344" s="173"/>
      <c r="G344" s="171"/>
    </row>
    <row r="345" spans="2:7" ht="15.75" customHeight="1" x14ac:dyDescent="0.3">
      <c r="B345" s="194"/>
      <c r="D345" s="172"/>
      <c r="F345" s="173"/>
      <c r="G345" s="171"/>
    </row>
    <row r="346" spans="2:7" ht="15.75" customHeight="1" x14ac:dyDescent="0.3">
      <c r="B346" s="194"/>
      <c r="D346" s="172"/>
      <c r="F346" s="173"/>
      <c r="G346" s="171"/>
    </row>
    <row r="347" spans="2:7" ht="15.75" customHeight="1" x14ac:dyDescent="0.3">
      <c r="B347" s="194"/>
      <c r="D347" s="172"/>
      <c r="F347" s="173"/>
      <c r="G347" s="171"/>
    </row>
    <row r="348" spans="2:7" ht="15.75" customHeight="1" x14ac:dyDescent="0.3">
      <c r="B348" s="194"/>
      <c r="D348" s="172"/>
      <c r="F348" s="173"/>
      <c r="G348" s="171"/>
    </row>
    <row r="349" spans="2:7" ht="15.75" customHeight="1" x14ac:dyDescent="0.3">
      <c r="B349" s="194"/>
      <c r="D349" s="172"/>
      <c r="F349" s="173"/>
      <c r="G349" s="171"/>
    </row>
    <row r="350" spans="2:7" ht="15.75" customHeight="1" x14ac:dyDescent="0.3">
      <c r="B350" s="194"/>
      <c r="D350" s="172"/>
      <c r="F350" s="173"/>
      <c r="G350" s="171"/>
    </row>
    <row r="351" spans="2:7" ht="15.75" customHeight="1" x14ac:dyDescent="0.3">
      <c r="B351" s="194"/>
      <c r="D351" s="172"/>
      <c r="F351" s="173"/>
      <c r="G351" s="171"/>
    </row>
    <row r="352" spans="2:7" ht="15.75" customHeight="1" x14ac:dyDescent="0.3">
      <c r="B352" s="194"/>
      <c r="D352" s="172"/>
      <c r="F352" s="173"/>
      <c r="G352" s="171"/>
    </row>
    <row r="353" spans="2:7" ht="15.75" customHeight="1" x14ac:dyDescent="0.3">
      <c r="B353" s="194"/>
      <c r="D353" s="172"/>
      <c r="F353" s="173"/>
      <c r="G353" s="171"/>
    </row>
    <row r="354" spans="2:7" ht="15.75" customHeight="1" x14ac:dyDescent="0.3">
      <c r="B354" s="194"/>
      <c r="D354" s="172"/>
      <c r="F354" s="173"/>
      <c r="G354" s="171"/>
    </row>
    <row r="355" spans="2:7" ht="15.75" customHeight="1" x14ac:dyDescent="0.3">
      <c r="B355" s="194"/>
      <c r="D355" s="172"/>
      <c r="F355" s="173"/>
      <c r="G355" s="171"/>
    </row>
    <row r="356" spans="2:7" ht="15.75" customHeight="1" x14ac:dyDescent="0.3">
      <c r="B356" s="194"/>
      <c r="D356" s="172"/>
      <c r="F356" s="173"/>
      <c r="G356" s="171"/>
    </row>
    <row r="357" spans="2:7" ht="15.75" customHeight="1" x14ac:dyDescent="0.3">
      <c r="B357" s="194"/>
      <c r="D357" s="172"/>
      <c r="F357" s="173"/>
      <c r="G357" s="171"/>
    </row>
    <row r="358" spans="2:7" ht="15.75" customHeight="1" x14ac:dyDescent="0.3">
      <c r="B358" s="194"/>
      <c r="D358" s="172"/>
      <c r="F358" s="173"/>
      <c r="G358" s="171"/>
    </row>
    <row r="359" spans="2:7" ht="15.75" customHeight="1" x14ac:dyDescent="0.3">
      <c r="B359" s="194"/>
      <c r="D359" s="172"/>
      <c r="F359" s="173"/>
      <c r="G359" s="171"/>
    </row>
    <row r="360" spans="2:7" ht="15.75" customHeight="1" x14ac:dyDescent="0.3">
      <c r="B360" s="194"/>
      <c r="D360" s="172"/>
      <c r="F360" s="173"/>
      <c r="G360" s="171"/>
    </row>
    <row r="361" spans="2:7" ht="15.75" customHeight="1" x14ac:dyDescent="0.3">
      <c r="B361" s="194"/>
      <c r="D361" s="172"/>
      <c r="F361" s="173"/>
      <c r="G361" s="171"/>
    </row>
    <row r="362" spans="2:7" ht="15.75" customHeight="1" x14ac:dyDescent="0.3">
      <c r="B362" s="194"/>
      <c r="D362" s="172"/>
      <c r="F362" s="173"/>
      <c r="G362" s="171"/>
    </row>
    <row r="363" spans="2:7" ht="15.75" customHeight="1" x14ac:dyDescent="0.3">
      <c r="B363" s="194"/>
      <c r="D363" s="172"/>
      <c r="F363" s="173"/>
      <c r="G363" s="171"/>
    </row>
    <row r="364" spans="2:7" ht="15.75" customHeight="1" x14ac:dyDescent="0.3">
      <c r="B364" s="194"/>
      <c r="D364" s="172"/>
      <c r="F364" s="173"/>
      <c r="G364" s="171"/>
    </row>
    <row r="365" spans="2:7" ht="15.75" customHeight="1" x14ac:dyDescent="0.3">
      <c r="B365" s="194"/>
      <c r="D365" s="172"/>
      <c r="F365" s="173"/>
      <c r="G365" s="171"/>
    </row>
    <row r="366" spans="2:7" ht="15.75" customHeight="1" x14ac:dyDescent="0.3">
      <c r="B366" s="194"/>
      <c r="D366" s="172"/>
      <c r="F366" s="173"/>
      <c r="G366" s="171"/>
    </row>
    <row r="367" spans="2:7" ht="15.75" customHeight="1" x14ac:dyDescent="0.3">
      <c r="B367" s="194"/>
      <c r="D367" s="172"/>
      <c r="F367" s="173"/>
      <c r="G367" s="171"/>
    </row>
    <row r="368" spans="2:7" ht="15.75" customHeight="1" x14ac:dyDescent="0.3">
      <c r="B368" s="194"/>
      <c r="D368" s="172"/>
      <c r="F368" s="173"/>
      <c r="G368" s="171"/>
    </row>
    <row r="369" spans="2:7" ht="15.75" customHeight="1" x14ac:dyDescent="0.3">
      <c r="B369" s="194"/>
      <c r="D369" s="172"/>
      <c r="F369" s="173"/>
      <c r="G369" s="171"/>
    </row>
    <row r="370" spans="2:7" ht="15.75" customHeight="1" x14ac:dyDescent="0.3">
      <c r="B370" s="194"/>
      <c r="D370" s="172"/>
      <c r="F370" s="173"/>
      <c r="G370" s="171"/>
    </row>
    <row r="371" spans="2:7" ht="15.75" customHeight="1" x14ac:dyDescent="0.3">
      <c r="B371" s="194"/>
      <c r="D371" s="172"/>
      <c r="F371" s="173"/>
      <c r="G371" s="171"/>
    </row>
    <row r="372" spans="2:7" ht="15.75" customHeight="1" x14ac:dyDescent="0.3">
      <c r="B372" s="194"/>
      <c r="D372" s="172"/>
      <c r="F372" s="173"/>
      <c r="G372" s="171"/>
    </row>
    <row r="373" spans="2:7" ht="15.75" customHeight="1" x14ac:dyDescent="0.3">
      <c r="B373" s="194"/>
      <c r="D373" s="172"/>
      <c r="F373" s="173"/>
      <c r="G373" s="171"/>
    </row>
    <row r="374" spans="2:7" ht="15.75" customHeight="1" x14ac:dyDescent="0.3">
      <c r="B374" s="194"/>
      <c r="D374" s="172"/>
      <c r="F374" s="173"/>
      <c r="G374" s="171"/>
    </row>
    <row r="375" spans="2:7" ht="15.75" customHeight="1" x14ac:dyDescent="0.3">
      <c r="B375" s="194"/>
      <c r="D375" s="172"/>
      <c r="F375" s="173"/>
      <c r="G375" s="171"/>
    </row>
    <row r="376" spans="2:7" ht="15.75" customHeight="1" x14ac:dyDescent="0.3">
      <c r="B376" s="194"/>
      <c r="D376" s="172"/>
      <c r="F376" s="173"/>
      <c r="G376" s="171"/>
    </row>
    <row r="377" spans="2:7" ht="15.75" customHeight="1" x14ac:dyDescent="0.3">
      <c r="B377" s="194"/>
      <c r="D377" s="172"/>
      <c r="F377" s="173"/>
      <c r="G377" s="171"/>
    </row>
    <row r="378" spans="2:7" ht="15.75" customHeight="1" x14ac:dyDescent="0.3">
      <c r="B378" s="194"/>
      <c r="D378" s="172"/>
      <c r="F378" s="173"/>
      <c r="G378" s="171"/>
    </row>
    <row r="379" spans="2:7" ht="15.75" customHeight="1" x14ac:dyDescent="0.3">
      <c r="B379" s="194"/>
      <c r="D379" s="172"/>
      <c r="F379" s="173"/>
      <c r="G379" s="171"/>
    </row>
    <row r="380" spans="2:7" ht="15.75" customHeight="1" x14ac:dyDescent="0.3">
      <c r="B380" s="194"/>
      <c r="D380" s="172"/>
      <c r="F380" s="173"/>
      <c r="G380" s="171"/>
    </row>
    <row r="381" spans="2:7" ht="15.75" customHeight="1" x14ac:dyDescent="0.3">
      <c r="B381" s="194"/>
      <c r="D381" s="172"/>
      <c r="F381" s="173"/>
      <c r="G381" s="171"/>
    </row>
    <row r="382" spans="2:7" ht="15.75" customHeight="1" x14ac:dyDescent="0.3">
      <c r="B382" s="194"/>
      <c r="D382" s="172"/>
      <c r="F382" s="173"/>
      <c r="G382" s="171"/>
    </row>
    <row r="383" spans="2:7" ht="15.75" customHeight="1" x14ac:dyDescent="0.3">
      <c r="B383" s="194"/>
      <c r="D383" s="172"/>
      <c r="F383" s="173"/>
      <c r="G383" s="171"/>
    </row>
    <row r="384" spans="2:7" ht="15.75" customHeight="1" x14ac:dyDescent="0.3">
      <c r="B384" s="194"/>
      <c r="D384" s="172"/>
      <c r="F384" s="173"/>
      <c r="G384" s="171"/>
    </row>
    <row r="385" spans="2:7" ht="15.75" customHeight="1" x14ac:dyDescent="0.3">
      <c r="B385" s="194"/>
      <c r="D385" s="172"/>
      <c r="F385" s="173"/>
      <c r="G385" s="171"/>
    </row>
    <row r="386" spans="2:7" ht="15.75" customHeight="1" x14ac:dyDescent="0.3">
      <c r="B386" s="194"/>
      <c r="D386" s="172"/>
      <c r="F386" s="173"/>
      <c r="G386" s="171"/>
    </row>
    <row r="387" spans="2:7" ht="15.75" customHeight="1" x14ac:dyDescent="0.3">
      <c r="B387" s="194"/>
      <c r="D387" s="172"/>
      <c r="F387" s="173"/>
      <c r="G387" s="171"/>
    </row>
    <row r="388" spans="2:7" ht="15.75" customHeight="1" x14ac:dyDescent="0.3">
      <c r="B388" s="194"/>
      <c r="D388" s="172"/>
      <c r="F388" s="173"/>
      <c r="G388" s="171"/>
    </row>
    <row r="389" spans="2:7" ht="15.75" customHeight="1" x14ac:dyDescent="0.3">
      <c r="B389" s="194"/>
      <c r="D389" s="172"/>
      <c r="F389" s="173"/>
      <c r="G389" s="171"/>
    </row>
    <row r="390" spans="2:7" ht="15.75" customHeight="1" x14ac:dyDescent="0.3">
      <c r="B390" s="194"/>
      <c r="D390" s="172"/>
      <c r="F390" s="173"/>
      <c r="G390" s="171"/>
    </row>
    <row r="391" spans="2:7" ht="15.75" customHeight="1" x14ac:dyDescent="0.3">
      <c r="B391" s="194"/>
      <c r="D391" s="172"/>
      <c r="F391" s="173"/>
      <c r="G391" s="171"/>
    </row>
    <row r="392" spans="2:7" ht="15.75" customHeight="1" x14ac:dyDescent="0.3">
      <c r="B392" s="194"/>
      <c r="D392" s="172"/>
      <c r="F392" s="173"/>
      <c r="G392" s="171"/>
    </row>
    <row r="393" spans="2:7" ht="15.75" customHeight="1" x14ac:dyDescent="0.3">
      <c r="B393" s="194"/>
      <c r="D393" s="172"/>
      <c r="F393" s="173"/>
      <c r="G393" s="171"/>
    </row>
    <row r="394" spans="2:7" ht="15.75" customHeight="1" x14ac:dyDescent="0.3">
      <c r="B394" s="194"/>
      <c r="D394" s="172"/>
      <c r="F394" s="173"/>
      <c r="G394" s="171"/>
    </row>
    <row r="395" spans="2:7" ht="15.75" customHeight="1" x14ac:dyDescent="0.3">
      <c r="B395" s="194"/>
      <c r="D395" s="172"/>
      <c r="F395" s="173"/>
      <c r="G395" s="171"/>
    </row>
    <row r="396" spans="2:7" ht="15.75" customHeight="1" x14ac:dyDescent="0.3">
      <c r="B396" s="194"/>
      <c r="D396" s="172"/>
      <c r="F396" s="173"/>
      <c r="G396" s="171"/>
    </row>
    <row r="397" spans="2:7" ht="15.75" customHeight="1" x14ac:dyDescent="0.3">
      <c r="B397" s="194"/>
      <c r="D397" s="172"/>
      <c r="F397" s="173"/>
      <c r="G397" s="171"/>
    </row>
    <row r="398" spans="2:7" ht="15.75" customHeight="1" x14ac:dyDescent="0.3">
      <c r="B398" s="194"/>
      <c r="D398" s="172"/>
      <c r="F398" s="173"/>
      <c r="G398" s="171"/>
    </row>
    <row r="399" spans="2:7" ht="15.75" customHeight="1" x14ac:dyDescent="0.3">
      <c r="B399" s="194"/>
      <c r="D399" s="172"/>
      <c r="F399" s="173"/>
      <c r="G399" s="171"/>
    </row>
    <row r="400" spans="2:7" ht="15.75" customHeight="1" x14ac:dyDescent="0.3">
      <c r="B400" s="194"/>
      <c r="D400" s="172"/>
      <c r="F400" s="173"/>
      <c r="G400" s="171"/>
    </row>
    <row r="401" spans="2:7" ht="15.75" customHeight="1" x14ac:dyDescent="0.3">
      <c r="B401" s="194"/>
      <c r="D401" s="172"/>
      <c r="F401" s="173"/>
      <c r="G401" s="171"/>
    </row>
    <row r="402" spans="2:7" ht="15.75" customHeight="1" x14ac:dyDescent="0.3">
      <c r="B402" s="194"/>
      <c r="D402" s="172"/>
      <c r="F402" s="173"/>
      <c r="G402" s="171"/>
    </row>
    <row r="403" spans="2:7" ht="15.75" customHeight="1" x14ac:dyDescent="0.3">
      <c r="B403" s="194"/>
      <c r="D403" s="172"/>
      <c r="F403" s="173"/>
      <c r="G403" s="171"/>
    </row>
    <row r="404" spans="2:7" ht="15.75" customHeight="1" x14ac:dyDescent="0.3">
      <c r="B404" s="194"/>
      <c r="D404" s="172"/>
      <c r="F404" s="173"/>
      <c r="G404" s="171"/>
    </row>
    <row r="405" spans="2:7" ht="15.75" customHeight="1" x14ac:dyDescent="0.3">
      <c r="B405" s="194"/>
      <c r="D405" s="172"/>
      <c r="F405" s="173"/>
      <c r="G405" s="171"/>
    </row>
    <row r="406" spans="2:7" ht="15.75" customHeight="1" x14ac:dyDescent="0.3">
      <c r="B406" s="194"/>
      <c r="D406" s="172"/>
      <c r="F406" s="173"/>
      <c r="G406" s="171"/>
    </row>
    <row r="407" spans="2:7" ht="15.75" customHeight="1" x14ac:dyDescent="0.3">
      <c r="B407" s="194"/>
      <c r="D407" s="172"/>
      <c r="F407" s="173"/>
      <c r="G407" s="171"/>
    </row>
    <row r="408" spans="2:7" ht="15.75" customHeight="1" x14ac:dyDescent="0.3">
      <c r="B408" s="194"/>
      <c r="D408" s="172"/>
      <c r="F408" s="173"/>
      <c r="G408" s="171"/>
    </row>
    <row r="409" spans="2:7" ht="15.75" customHeight="1" x14ac:dyDescent="0.3">
      <c r="B409" s="194"/>
      <c r="D409" s="172"/>
      <c r="F409" s="173"/>
      <c r="G409" s="171"/>
    </row>
    <row r="410" spans="2:7" ht="15.75" customHeight="1" x14ac:dyDescent="0.3">
      <c r="B410" s="194"/>
      <c r="D410" s="172"/>
      <c r="F410" s="173"/>
      <c r="G410" s="171"/>
    </row>
    <row r="411" spans="2:7" ht="15.75" customHeight="1" x14ac:dyDescent="0.3">
      <c r="B411" s="194"/>
      <c r="D411" s="172"/>
      <c r="F411" s="173"/>
      <c r="G411" s="171"/>
    </row>
    <row r="412" spans="2:7" ht="15.75" customHeight="1" x14ac:dyDescent="0.3">
      <c r="B412" s="194"/>
      <c r="D412" s="172"/>
      <c r="F412" s="173"/>
      <c r="G412" s="171"/>
    </row>
    <row r="413" spans="2:7" ht="15.75" customHeight="1" x14ac:dyDescent="0.3">
      <c r="B413" s="194"/>
      <c r="D413" s="172"/>
      <c r="F413" s="173"/>
      <c r="G413" s="171"/>
    </row>
    <row r="414" spans="2:7" ht="15.75" customHeight="1" x14ac:dyDescent="0.3">
      <c r="B414" s="194"/>
      <c r="D414" s="172"/>
      <c r="F414" s="173"/>
      <c r="G414" s="171"/>
    </row>
    <row r="415" spans="2:7" ht="15.75" customHeight="1" x14ac:dyDescent="0.3">
      <c r="B415" s="194"/>
      <c r="D415" s="172"/>
      <c r="F415" s="173"/>
      <c r="G415" s="171"/>
    </row>
    <row r="416" spans="2:7" ht="15.75" customHeight="1" x14ac:dyDescent="0.3">
      <c r="B416" s="194"/>
      <c r="D416" s="172"/>
      <c r="F416" s="173"/>
      <c r="G416" s="171"/>
    </row>
    <row r="417" spans="2:7" ht="15.75" customHeight="1" x14ac:dyDescent="0.3">
      <c r="B417" s="194"/>
      <c r="D417" s="172"/>
      <c r="F417" s="173"/>
      <c r="G417" s="171"/>
    </row>
    <row r="418" spans="2:7" ht="15.75" customHeight="1" x14ac:dyDescent="0.3">
      <c r="B418" s="194"/>
      <c r="D418" s="172"/>
      <c r="F418" s="173"/>
      <c r="G418" s="171"/>
    </row>
    <row r="419" spans="2:7" ht="15.75" customHeight="1" x14ac:dyDescent="0.3">
      <c r="B419" s="194"/>
      <c r="D419" s="172"/>
      <c r="F419" s="173"/>
      <c r="G419" s="171"/>
    </row>
    <row r="420" spans="2:7" ht="15.75" customHeight="1" x14ac:dyDescent="0.3">
      <c r="B420" s="194"/>
      <c r="D420" s="172"/>
      <c r="F420" s="173"/>
      <c r="G420" s="171"/>
    </row>
    <row r="421" spans="2:7" ht="15.75" customHeight="1" x14ac:dyDescent="0.3">
      <c r="B421" s="194"/>
      <c r="D421" s="172"/>
      <c r="F421" s="173"/>
      <c r="G421" s="171"/>
    </row>
    <row r="422" spans="2:7" ht="15.75" customHeight="1" x14ac:dyDescent="0.3">
      <c r="B422" s="194"/>
      <c r="D422" s="172"/>
      <c r="F422" s="173"/>
      <c r="G422" s="171"/>
    </row>
    <row r="423" spans="2:7" ht="15.75" customHeight="1" x14ac:dyDescent="0.3">
      <c r="B423" s="194"/>
      <c r="D423" s="172"/>
      <c r="F423" s="173"/>
      <c r="G423" s="171"/>
    </row>
    <row r="424" spans="2:7" ht="15.75" customHeight="1" x14ac:dyDescent="0.3">
      <c r="B424" s="194"/>
      <c r="D424" s="172"/>
      <c r="F424" s="173"/>
      <c r="G424" s="171"/>
    </row>
    <row r="425" spans="2:7" ht="15.75" customHeight="1" x14ac:dyDescent="0.3">
      <c r="B425" s="194"/>
      <c r="D425" s="172"/>
      <c r="F425" s="173"/>
      <c r="G425" s="171"/>
    </row>
    <row r="426" spans="2:7" ht="15.75" customHeight="1" x14ac:dyDescent="0.3">
      <c r="B426" s="194"/>
      <c r="D426" s="172"/>
      <c r="F426" s="173"/>
      <c r="G426" s="171"/>
    </row>
    <row r="427" spans="2:7" ht="15.75" customHeight="1" x14ac:dyDescent="0.3">
      <c r="B427" s="194"/>
      <c r="D427" s="172"/>
      <c r="F427" s="173"/>
      <c r="G427" s="171"/>
    </row>
    <row r="428" spans="2:7" ht="15.75" customHeight="1" x14ac:dyDescent="0.3">
      <c r="B428" s="194"/>
      <c r="D428" s="172"/>
      <c r="F428" s="173"/>
      <c r="G428" s="171"/>
    </row>
    <row r="429" spans="2:7" ht="15.75" customHeight="1" x14ac:dyDescent="0.3">
      <c r="B429" s="194"/>
      <c r="D429" s="172"/>
      <c r="F429" s="173"/>
      <c r="G429" s="171"/>
    </row>
    <row r="430" spans="2:7" ht="15.75" customHeight="1" x14ac:dyDescent="0.3">
      <c r="B430" s="194"/>
      <c r="D430" s="172"/>
      <c r="F430" s="173"/>
      <c r="G430" s="171"/>
    </row>
    <row r="431" spans="2:7" ht="15.75" customHeight="1" x14ac:dyDescent="0.3">
      <c r="B431" s="194"/>
      <c r="D431" s="172"/>
      <c r="F431" s="173"/>
      <c r="G431" s="171"/>
    </row>
    <row r="432" spans="2:7" ht="15.75" customHeight="1" x14ac:dyDescent="0.3">
      <c r="B432" s="194"/>
      <c r="D432" s="172"/>
      <c r="F432" s="173"/>
      <c r="G432" s="171"/>
    </row>
    <row r="433" spans="2:7" ht="15.75" customHeight="1" x14ac:dyDescent="0.3">
      <c r="B433" s="194"/>
      <c r="D433" s="172"/>
      <c r="F433" s="173"/>
      <c r="G433" s="171"/>
    </row>
    <row r="434" spans="2:7" ht="15.75" customHeight="1" x14ac:dyDescent="0.3">
      <c r="B434" s="194"/>
      <c r="D434" s="172"/>
      <c r="F434" s="173"/>
      <c r="G434" s="171"/>
    </row>
    <row r="435" spans="2:7" ht="15.75" customHeight="1" x14ac:dyDescent="0.3">
      <c r="B435" s="194"/>
      <c r="D435" s="172"/>
      <c r="F435" s="173"/>
      <c r="G435" s="171"/>
    </row>
    <row r="436" spans="2:7" ht="15.75" customHeight="1" x14ac:dyDescent="0.3">
      <c r="B436" s="194"/>
      <c r="D436" s="172"/>
      <c r="F436" s="173"/>
      <c r="G436" s="171"/>
    </row>
    <row r="437" spans="2:7" ht="15.75" customHeight="1" x14ac:dyDescent="0.3">
      <c r="B437" s="194"/>
      <c r="D437" s="172"/>
      <c r="F437" s="173"/>
      <c r="G437" s="171"/>
    </row>
    <row r="438" spans="2:7" ht="15.75" customHeight="1" x14ac:dyDescent="0.3">
      <c r="B438" s="194"/>
      <c r="D438" s="172"/>
      <c r="F438" s="173"/>
      <c r="G438" s="171"/>
    </row>
    <row r="439" spans="2:7" ht="15.75" customHeight="1" x14ac:dyDescent="0.3">
      <c r="B439" s="194"/>
      <c r="D439" s="172"/>
      <c r="F439" s="173"/>
      <c r="G439" s="171"/>
    </row>
    <row r="440" spans="2:7" ht="15.75" customHeight="1" x14ac:dyDescent="0.3">
      <c r="B440" s="194"/>
      <c r="D440" s="172"/>
      <c r="F440" s="173"/>
      <c r="G440" s="171"/>
    </row>
    <row r="441" spans="2:7" ht="15.75" customHeight="1" x14ac:dyDescent="0.3">
      <c r="B441" s="194"/>
      <c r="D441" s="172"/>
      <c r="F441" s="173"/>
      <c r="G441" s="171"/>
    </row>
    <row r="442" spans="2:7" ht="15.75" customHeight="1" x14ac:dyDescent="0.3">
      <c r="B442" s="194"/>
      <c r="D442" s="172"/>
      <c r="F442" s="173"/>
      <c r="G442" s="171"/>
    </row>
    <row r="443" spans="2:7" ht="15.75" customHeight="1" x14ac:dyDescent="0.3">
      <c r="B443" s="194"/>
      <c r="D443" s="172"/>
      <c r="F443" s="173"/>
      <c r="G443" s="171"/>
    </row>
    <row r="444" spans="2:7" ht="15.75" customHeight="1" x14ac:dyDescent="0.3">
      <c r="B444" s="194"/>
      <c r="D444" s="172"/>
      <c r="F444" s="173"/>
      <c r="G444" s="171"/>
    </row>
    <row r="445" spans="2:7" ht="15.75" customHeight="1" x14ac:dyDescent="0.3">
      <c r="B445" s="194"/>
      <c r="D445" s="172"/>
      <c r="F445" s="173"/>
      <c r="G445" s="171"/>
    </row>
    <row r="446" spans="2:7" ht="15.75" customHeight="1" x14ac:dyDescent="0.3">
      <c r="B446" s="194"/>
      <c r="D446" s="172"/>
      <c r="F446" s="173"/>
      <c r="G446" s="171"/>
    </row>
    <row r="447" spans="2:7" ht="15.75" customHeight="1" x14ac:dyDescent="0.3">
      <c r="B447" s="194"/>
      <c r="D447" s="172"/>
      <c r="F447" s="173"/>
      <c r="G447" s="171"/>
    </row>
    <row r="448" spans="2:7" ht="15.75" customHeight="1" x14ac:dyDescent="0.3">
      <c r="B448" s="194"/>
      <c r="D448" s="172"/>
      <c r="F448" s="173"/>
      <c r="G448" s="171"/>
    </row>
    <row r="449" spans="2:7" ht="15.75" customHeight="1" x14ac:dyDescent="0.3">
      <c r="B449" s="194"/>
      <c r="D449" s="172"/>
      <c r="F449" s="173"/>
      <c r="G449" s="171"/>
    </row>
    <row r="450" spans="2:7" ht="15.75" customHeight="1" x14ac:dyDescent="0.3">
      <c r="B450" s="194"/>
      <c r="D450" s="172"/>
      <c r="F450" s="173"/>
      <c r="G450" s="171"/>
    </row>
    <row r="451" spans="2:7" ht="15.75" customHeight="1" x14ac:dyDescent="0.3">
      <c r="B451" s="194"/>
      <c r="D451" s="172"/>
      <c r="F451" s="173"/>
      <c r="G451" s="171"/>
    </row>
    <row r="452" spans="2:7" ht="15.75" customHeight="1" x14ac:dyDescent="0.3">
      <c r="B452" s="194"/>
      <c r="D452" s="172"/>
      <c r="F452" s="173"/>
      <c r="G452" s="171"/>
    </row>
    <row r="453" spans="2:7" ht="15.75" customHeight="1" x14ac:dyDescent="0.3">
      <c r="B453" s="194"/>
      <c r="D453" s="172"/>
      <c r="F453" s="173"/>
      <c r="G453" s="171"/>
    </row>
    <row r="454" spans="2:7" ht="15.75" customHeight="1" x14ac:dyDescent="0.3">
      <c r="B454" s="194"/>
      <c r="D454" s="172"/>
      <c r="F454" s="173"/>
      <c r="G454" s="171"/>
    </row>
    <row r="455" spans="2:7" ht="15.75" customHeight="1" x14ac:dyDescent="0.3">
      <c r="B455" s="194"/>
      <c r="D455" s="172"/>
      <c r="F455" s="173"/>
      <c r="G455" s="171"/>
    </row>
    <row r="456" spans="2:7" ht="15.75" customHeight="1" x14ac:dyDescent="0.3">
      <c r="B456" s="194"/>
      <c r="D456" s="172"/>
      <c r="F456" s="173"/>
      <c r="G456" s="171"/>
    </row>
    <row r="457" spans="2:7" ht="15.75" customHeight="1" x14ac:dyDescent="0.3">
      <c r="B457" s="194"/>
      <c r="D457" s="172"/>
      <c r="F457" s="173"/>
      <c r="G457" s="171"/>
    </row>
    <row r="458" spans="2:7" ht="15.75" customHeight="1" x14ac:dyDescent="0.3">
      <c r="B458" s="194"/>
      <c r="D458" s="172"/>
      <c r="F458" s="173"/>
      <c r="G458" s="171"/>
    </row>
    <row r="459" spans="2:7" ht="15.75" customHeight="1" x14ac:dyDescent="0.3">
      <c r="B459" s="194"/>
      <c r="D459" s="172"/>
      <c r="F459" s="173"/>
      <c r="G459" s="171"/>
    </row>
    <row r="460" spans="2:7" ht="15.75" customHeight="1" x14ac:dyDescent="0.3">
      <c r="B460" s="194"/>
      <c r="D460" s="172"/>
      <c r="F460" s="173"/>
      <c r="G460" s="171"/>
    </row>
    <row r="461" spans="2:7" ht="15.75" customHeight="1" x14ac:dyDescent="0.3">
      <c r="B461" s="194"/>
      <c r="D461" s="172"/>
      <c r="F461" s="173"/>
      <c r="G461" s="171"/>
    </row>
    <row r="462" spans="2:7" ht="15.75" customHeight="1" x14ac:dyDescent="0.3">
      <c r="B462" s="194"/>
      <c r="D462" s="172"/>
      <c r="F462" s="173"/>
      <c r="G462" s="171"/>
    </row>
    <row r="463" spans="2:7" ht="15.75" customHeight="1" x14ac:dyDescent="0.3">
      <c r="B463" s="194"/>
      <c r="D463" s="172"/>
      <c r="F463" s="173"/>
      <c r="G463" s="171"/>
    </row>
    <row r="464" spans="2:7" ht="15.75" customHeight="1" x14ac:dyDescent="0.3">
      <c r="B464" s="194"/>
      <c r="D464" s="172"/>
      <c r="F464" s="173"/>
      <c r="G464" s="171"/>
    </row>
    <row r="465" spans="2:7" ht="15.75" customHeight="1" x14ac:dyDescent="0.3">
      <c r="B465" s="194"/>
      <c r="D465" s="172"/>
      <c r="F465" s="173"/>
      <c r="G465" s="171"/>
    </row>
    <row r="466" spans="2:7" ht="15.75" customHeight="1" x14ac:dyDescent="0.3">
      <c r="B466" s="194"/>
      <c r="D466" s="172"/>
      <c r="F466" s="173"/>
      <c r="G466" s="171"/>
    </row>
    <row r="467" spans="2:7" ht="15.75" customHeight="1" x14ac:dyDescent="0.3">
      <c r="B467" s="194"/>
      <c r="D467" s="172"/>
      <c r="F467" s="173"/>
      <c r="G467" s="171"/>
    </row>
    <row r="468" spans="2:7" ht="15.75" customHeight="1" x14ac:dyDescent="0.3">
      <c r="B468" s="194"/>
      <c r="D468" s="172"/>
      <c r="F468" s="173"/>
      <c r="G468" s="171"/>
    </row>
    <row r="469" spans="2:7" ht="15.75" customHeight="1" x14ac:dyDescent="0.3">
      <c r="B469" s="194"/>
      <c r="D469" s="172"/>
      <c r="F469" s="173"/>
      <c r="G469" s="171"/>
    </row>
    <row r="470" spans="2:7" ht="15.75" customHeight="1" x14ac:dyDescent="0.3">
      <c r="B470" s="194"/>
      <c r="D470" s="172"/>
      <c r="F470" s="173"/>
      <c r="G470" s="171"/>
    </row>
    <row r="471" spans="2:7" ht="15.75" customHeight="1" x14ac:dyDescent="0.3">
      <c r="B471" s="194"/>
      <c r="D471" s="172"/>
      <c r="F471" s="173"/>
      <c r="G471" s="171"/>
    </row>
    <row r="472" spans="2:7" ht="15.75" customHeight="1" x14ac:dyDescent="0.3">
      <c r="B472" s="194"/>
      <c r="D472" s="172"/>
      <c r="F472" s="173"/>
      <c r="G472" s="171"/>
    </row>
    <row r="473" spans="2:7" ht="15.75" customHeight="1" x14ac:dyDescent="0.3">
      <c r="B473" s="194"/>
      <c r="D473" s="172"/>
      <c r="F473" s="173"/>
      <c r="G473" s="171"/>
    </row>
    <row r="474" spans="2:7" ht="15.75" customHeight="1" x14ac:dyDescent="0.3">
      <c r="B474" s="194"/>
      <c r="D474" s="172"/>
      <c r="F474" s="173"/>
      <c r="G474" s="171"/>
    </row>
    <row r="475" spans="2:7" ht="15.75" customHeight="1" x14ac:dyDescent="0.3">
      <c r="B475" s="194"/>
      <c r="D475" s="172"/>
      <c r="F475" s="173"/>
      <c r="G475" s="171"/>
    </row>
    <row r="476" spans="2:7" ht="15.75" customHeight="1" x14ac:dyDescent="0.3">
      <c r="B476" s="194"/>
      <c r="D476" s="172"/>
      <c r="F476" s="173"/>
      <c r="G476" s="171"/>
    </row>
    <row r="477" spans="2:7" ht="15.75" customHeight="1" x14ac:dyDescent="0.3">
      <c r="B477" s="194"/>
      <c r="D477" s="172"/>
      <c r="F477" s="173"/>
      <c r="G477" s="171"/>
    </row>
    <row r="478" spans="2:7" ht="15.75" customHeight="1" x14ac:dyDescent="0.3">
      <c r="B478" s="194"/>
      <c r="D478" s="172"/>
      <c r="F478" s="173"/>
      <c r="G478" s="171"/>
    </row>
    <row r="479" spans="2:7" ht="15.75" customHeight="1" x14ac:dyDescent="0.3">
      <c r="B479" s="194"/>
      <c r="D479" s="172"/>
      <c r="F479" s="173"/>
      <c r="G479" s="171"/>
    </row>
    <row r="480" spans="2:7" ht="15.75" customHeight="1" x14ac:dyDescent="0.3">
      <c r="B480" s="194"/>
      <c r="D480" s="172"/>
      <c r="F480" s="173"/>
      <c r="G480" s="171"/>
    </row>
    <row r="481" spans="2:7" ht="15.75" customHeight="1" x14ac:dyDescent="0.3">
      <c r="B481" s="194"/>
      <c r="D481" s="172"/>
      <c r="F481" s="173"/>
      <c r="G481" s="171"/>
    </row>
    <row r="482" spans="2:7" ht="15.75" customHeight="1" x14ac:dyDescent="0.3">
      <c r="B482" s="194"/>
      <c r="D482" s="172"/>
      <c r="F482" s="173"/>
      <c r="G482" s="171"/>
    </row>
    <row r="483" spans="2:7" ht="15.75" customHeight="1" x14ac:dyDescent="0.3">
      <c r="B483" s="194"/>
      <c r="D483" s="172"/>
      <c r="F483" s="173"/>
      <c r="G483" s="171"/>
    </row>
    <row r="484" spans="2:7" ht="15.75" customHeight="1" x14ac:dyDescent="0.3">
      <c r="B484" s="194"/>
      <c r="D484" s="172"/>
      <c r="F484" s="173"/>
      <c r="G484" s="171"/>
    </row>
    <row r="485" spans="2:7" ht="15.75" customHeight="1" x14ac:dyDescent="0.3">
      <c r="B485" s="194"/>
      <c r="D485" s="172"/>
      <c r="F485" s="173"/>
      <c r="G485" s="171"/>
    </row>
    <row r="486" spans="2:7" ht="15.75" customHeight="1" x14ac:dyDescent="0.3">
      <c r="B486" s="194"/>
      <c r="D486" s="172"/>
      <c r="F486" s="173"/>
      <c r="G486" s="171"/>
    </row>
    <row r="487" spans="2:7" ht="15.75" customHeight="1" x14ac:dyDescent="0.3">
      <c r="B487" s="194"/>
      <c r="D487" s="172"/>
      <c r="F487" s="173"/>
      <c r="G487" s="171"/>
    </row>
    <row r="488" spans="2:7" ht="15.75" customHeight="1" x14ac:dyDescent="0.3">
      <c r="B488" s="194"/>
      <c r="D488" s="172"/>
      <c r="F488" s="173"/>
      <c r="G488" s="171"/>
    </row>
    <row r="489" spans="2:7" ht="15.75" customHeight="1" x14ac:dyDescent="0.3">
      <c r="B489" s="194"/>
      <c r="D489" s="172"/>
      <c r="F489" s="173"/>
      <c r="G489" s="171"/>
    </row>
    <row r="490" spans="2:7" ht="15.75" customHeight="1" x14ac:dyDescent="0.3">
      <c r="B490" s="194"/>
      <c r="D490" s="172"/>
      <c r="F490" s="173"/>
      <c r="G490" s="171"/>
    </row>
    <row r="491" spans="2:7" ht="15.75" customHeight="1" x14ac:dyDescent="0.3">
      <c r="B491" s="194"/>
      <c r="D491" s="172"/>
      <c r="F491" s="173"/>
      <c r="G491" s="171"/>
    </row>
    <row r="492" spans="2:7" ht="15.75" customHeight="1" x14ac:dyDescent="0.3">
      <c r="B492" s="194"/>
      <c r="D492" s="172"/>
      <c r="F492" s="173"/>
      <c r="G492" s="171"/>
    </row>
    <row r="493" spans="2:7" ht="15.75" customHeight="1" x14ac:dyDescent="0.3">
      <c r="B493" s="194"/>
      <c r="D493" s="172"/>
      <c r="F493" s="173"/>
      <c r="G493" s="171"/>
    </row>
    <row r="494" spans="2:7" ht="15.75" customHeight="1" x14ac:dyDescent="0.3">
      <c r="B494" s="194"/>
      <c r="D494" s="172"/>
      <c r="F494" s="173"/>
      <c r="G494" s="171"/>
    </row>
    <row r="495" spans="2:7" ht="15.75" customHeight="1" x14ac:dyDescent="0.3">
      <c r="B495" s="194"/>
      <c r="D495" s="172"/>
      <c r="F495" s="173"/>
      <c r="G495" s="171"/>
    </row>
    <row r="496" spans="2:7" ht="15.75" customHeight="1" x14ac:dyDescent="0.3">
      <c r="B496" s="194"/>
      <c r="D496" s="172"/>
      <c r="F496" s="173"/>
      <c r="G496" s="171"/>
    </row>
    <row r="497" spans="2:7" ht="15.75" customHeight="1" x14ac:dyDescent="0.3">
      <c r="B497" s="194"/>
      <c r="D497" s="172"/>
      <c r="F497" s="173"/>
      <c r="G497" s="171"/>
    </row>
    <row r="498" spans="2:7" ht="15.75" customHeight="1" x14ac:dyDescent="0.3">
      <c r="B498" s="194"/>
      <c r="D498" s="172"/>
      <c r="F498" s="173"/>
      <c r="G498" s="171"/>
    </row>
    <row r="499" spans="2:7" ht="15.75" customHeight="1" x14ac:dyDescent="0.3">
      <c r="B499" s="194"/>
      <c r="D499" s="172"/>
      <c r="F499" s="173"/>
      <c r="G499" s="171"/>
    </row>
    <row r="500" spans="2:7" ht="15.75" customHeight="1" x14ac:dyDescent="0.3">
      <c r="B500" s="194"/>
      <c r="D500" s="172"/>
      <c r="F500" s="173"/>
      <c r="G500" s="171"/>
    </row>
    <row r="501" spans="2:7" ht="15.75" customHeight="1" x14ac:dyDescent="0.3">
      <c r="B501" s="194"/>
      <c r="D501" s="172"/>
      <c r="F501" s="173"/>
      <c r="G501" s="171"/>
    </row>
    <row r="502" spans="2:7" ht="15.75" customHeight="1" x14ac:dyDescent="0.3">
      <c r="B502" s="194"/>
      <c r="D502" s="172"/>
      <c r="F502" s="173"/>
      <c r="G502" s="171"/>
    </row>
    <row r="503" spans="2:7" ht="15.75" customHeight="1" x14ac:dyDescent="0.3">
      <c r="B503" s="194"/>
      <c r="D503" s="172"/>
      <c r="F503" s="173"/>
      <c r="G503" s="171"/>
    </row>
    <row r="504" spans="2:7" ht="15.75" customHeight="1" x14ac:dyDescent="0.3">
      <c r="B504" s="194"/>
      <c r="D504" s="172"/>
      <c r="F504" s="173"/>
      <c r="G504" s="171"/>
    </row>
    <row r="505" spans="2:7" ht="15.75" customHeight="1" x14ac:dyDescent="0.3">
      <c r="B505" s="194"/>
      <c r="D505" s="172"/>
      <c r="F505" s="173"/>
      <c r="G505" s="171"/>
    </row>
    <row r="506" spans="2:7" ht="15.75" customHeight="1" x14ac:dyDescent="0.3">
      <c r="B506" s="194"/>
      <c r="D506" s="172"/>
      <c r="F506" s="173"/>
      <c r="G506" s="171"/>
    </row>
    <row r="507" spans="2:7" ht="15.75" customHeight="1" x14ac:dyDescent="0.3">
      <c r="B507" s="194"/>
      <c r="D507" s="172"/>
      <c r="F507" s="173"/>
      <c r="G507" s="171"/>
    </row>
    <row r="508" spans="2:7" ht="15.75" customHeight="1" x14ac:dyDescent="0.3">
      <c r="B508" s="194"/>
      <c r="D508" s="172"/>
      <c r="F508" s="173"/>
      <c r="G508" s="171"/>
    </row>
    <row r="509" spans="2:7" ht="15.75" customHeight="1" x14ac:dyDescent="0.3">
      <c r="B509" s="194"/>
      <c r="D509" s="172"/>
      <c r="F509" s="173"/>
      <c r="G509" s="171"/>
    </row>
    <row r="510" spans="2:7" ht="15.75" customHeight="1" x14ac:dyDescent="0.3">
      <c r="B510" s="194"/>
      <c r="D510" s="172"/>
      <c r="F510" s="173"/>
      <c r="G510" s="171"/>
    </row>
    <row r="511" spans="2:7" ht="15.75" customHeight="1" x14ac:dyDescent="0.3">
      <c r="B511" s="194"/>
      <c r="D511" s="172"/>
      <c r="F511" s="173"/>
      <c r="G511" s="171"/>
    </row>
    <row r="512" spans="2:7" ht="15.75" customHeight="1" x14ac:dyDescent="0.3">
      <c r="B512" s="194"/>
      <c r="D512" s="172"/>
      <c r="F512" s="173"/>
      <c r="G512" s="171"/>
    </row>
    <row r="513" spans="2:7" ht="15.75" customHeight="1" x14ac:dyDescent="0.3">
      <c r="B513" s="194"/>
      <c r="D513" s="172"/>
      <c r="F513" s="173"/>
      <c r="G513" s="171"/>
    </row>
    <row r="514" spans="2:7" ht="15.75" customHeight="1" x14ac:dyDescent="0.3">
      <c r="B514" s="194"/>
      <c r="D514" s="172"/>
      <c r="F514" s="173"/>
      <c r="G514" s="171"/>
    </row>
    <row r="515" spans="2:7" ht="15.75" customHeight="1" x14ac:dyDescent="0.3">
      <c r="B515" s="194"/>
      <c r="D515" s="172"/>
      <c r="F515" s="173"/>
      <c r="G515" s="171"/>
    </row>
    <row r="516" spans="2:7" ht="15.75" customHeight="1" x14ac:dyDescent="0.3">
      <c r="B516" s="194"/>
      <c r="D516" s="172"/>
      <c r="F516" s="173"/>
      <c r="G516" s="171"/>
    </row>
    <row r="517" spans="2:7" ht="15.75" customHeight="1" x14ac:dyDescent="0.3">
      <c r="B517" s="194"/>
      <c r="D517" s="172"/>
      <c r="F517" s="173"/>
      <c r="G517" s="171"/>
    </row>
    <row r="518" spans="2:7" ht="15.75" customHeight="1" x14ac:dyDescent="0.3">
      <c r="B518" s="194"/>
      <c r="D518" s="172"/>
      <c r="F518" s="173"/>
      <c r="G518" s="171"/>
    </row>
    <row r="519" spans="2:7" ht="15.75" customHeight="1" x14ac:dyDescent="0.3">
      <c r="B519" s="194"/>
      <c r="D519" s="172"/>
      <c r="F519" s="173"/>
      <c r="G519" s="171"/>
    </row>
    <row r="520" spans="2:7" ht="15.75" customHeight="1" x14ac:dyDescent="0.3">
      <c r="B520" s="194"/>
      <c r="D520" s="172"/>
      <c r="F520" s="173"/>
      <c r="G520" s="171"/>
    </row>
    <row r="521" spans="2:7" ht="15.75" customHeight="1" x14ac:dyDescent="0.3">
      <c r="B521" s="194"/>
      <c r="D521" s="172"/>
      <c r="F521" s="173"/>
      <c r="G521" s="171"/>
    </row>
    <row r="522" spans="2:7" ht="15.75" customHeight="1" x14ac:dyDescent="0.3">
      <c r="B522" s="194"/>
      <c r="D522" s="172"/>
      <c r="F522" s="173"/>
      <c r="G522" s="171"/>
    </row>
    <row r="523" spans="2:7" ht="15.75" customHeight="1" x14ac:dyDescent="0.3">
      <c r="B523" s="194"/>
      <c r="D523" s="172"/>
      <c r="F523" s="173"/>
      <c r="G523" s="171"/>
    </row>
    <row r="524" spans="2:7" ht="15.75" customHeight="1" x14ac:dyDescent="0.3">
      <c r="B524" s="194"/>
      <c r="D524" s="172"/>
      <c r="F524" s="173"/>
      <c r="G524" s="171"/>
    </row>
    <row r="525" spans="2:7" ht="15.75" customHeight="1" x14ac:dyDescent="0.3">
      <c r="B525" s="194"/>
      <c r="D525" s="172"/>
      <c r="F525" s="173"/>
      <c r="G525" s="171"/>
    </row>
    <row r="526" spans="2:7" ht="15.75" customHeight="1" x14ac:dyDescent="0.3">
      <c r="B526" s="194"/>
      <c r="D526" s="172"/>
      <c r="F526" s="173"/>
      <c r="G526" s="171"/>
    </row>
    <row r="527" spans="2:7" ht="15.75" customHeight="1" x14ac:dyDescent="0.3">
      <c r="B527" s="194"/>
      <c r="D527" s="172"/>
      <c r="F527" s="173"/>
      <c r="G527" s="171"/>
    </row>
    <row r="528" spans="2:7" ht="15.75" customHeight="1" x14ac:dyDescent="0.3">
      <c r="B528" s="194"/>
      <c r="D528" s="172"/>
      <c r="F528" s="173"/>
      <c r="G528" s="171"/>
    </row>
    <row r="529" spans="2:7" ht="15.75" customHeight="1" x14ac:dyDescent="0.3">
      <c r="B529" s="194"/>
      <c r="D529" s="172"/>
      <c r="F529" s="173"/>
      <c r="G529" s="171"/>
    </row>
    <row r="530" spans="2:7" ht="15.75" customHeight="1" x14ac:dyDescent="0.3">
      <c r="B530" s="194"/>
      <c r="D530" s="172"/>
      <c r="F530" s="173"/>
      <c r="G530" s="171"/>
    </row>
    <row r="531" spans="2:7" ht="15.75" customHeight="1" x14ac:dyDescent="0.3">
      <c r="B531" s="194"/>
      <c r="D531" s="172"/>
      <c r="F531" s="173"/>
      <c r="G531" s="171"/>
    </row>
    <row r="532" spans="2:7" ht="15.75" customHeight="1" x14ac:dyDescent="0.3">
      <c r="B532" s="194"/>
      <c r="D532" s="172"/>
      <c r="F532" s="173"/>
      <c r="G532" s="171"/>
    </row>
    <row r="533" spans="2:7" ht="15.75" customHeight="1" x14ac:dyDescent="0.3">
      <c r="B533" s="194"/>
      <c r="D533" s="172"/>
      <c r="F533" s="173"/>
      <c r="G533" s="171"/>
    </row>
    <row r="534" spans="2:7" ht="15.75" customHeight="1" x14ac:dyDescent="0.3">
      <c r="B534" s="194"/>
      <c r="D534" s="172"/>
      <c r="F534" s="173"/>
      <c r="G534" s="171"/>
    </row>
    <row r="535" spans="2:7" ht="15.75" customHeight="1" x14ac:dyDescent="0.3">
      <c r="B535" s="194"/>
      <c r="D535" s="172"/>
      <c r="F535" s="173"/>
      <c r="G535" s="171"/>
    </row>
    <row r="536" spans="2:7" ht="15.75" customHeight="1" x14ac:dyDescent="0.3">
      <c r="B536" s="194"/>
      <c r="D536" s="172"/>
      <c r="F536" s="173"/>
      <c r="G536" s="171"/>
    </row>
    <row r="537" spans="2:7" ht="15.75" customHeight="1" x14ac:dyDescent="0.3">
      <c r="B537" s="194"/>
      <c r="D537" s="172"/>
      <c r="F537" s="173"/>
      <c r="G537" s="171"/>
    </row>
    <row r="538" spans="2:7" ht="15.75" customHeight="1" x14ac:dyDescent="0.3">
      <c r="B538" s="194"/>
      <c r="D538" s="172"/>
      <c r="F538" s="173"/>
      <c r="G538" s="171"/>
    </row>
    <row r="539" spans="2:7" ht="15.75" customHeight="1" x14ac:dyDescent="0.3">
      <c r="B539" s="194"/>
      <c r="D539" s="172"/>
      <c r="F539" s="173"/>
      <c r="G539" s="171"/>
    </row>
    <row r="540" spans="2:7" ht="15.75" customHeight="1" x14ac:dyDescent="0.3">
      <c r="B540" s="194"/>
      <c r="D540" s="172"/>
      <c r="F540" s="173"/>
      <c r="G540" s="171"/>
    </row>
    <row r="541" spans="2:7" ht="15.75" customHeight="1" x14ac:dyDescent="0.3">
      <c r="B541" s="194"/>
      <c r="D541" s="172"/>
      <c r="F541" s="173"/>
      <c r="G541" s="171"/>
    </row>
    <row r="542" spans="2:7" ht="15.75" customHeight="1" x14ac:dyDescent="0.3">
      <c r="B542" s="194"/>
      <c r="D542" s="172"/>
      <c r="F542" s="173"/>
      <c r="G542" s="171"/>
    </row>
    <row r="543" spans="2:7" ht="15.75" customHeight="1" x14ac:dyDescent="0.3">
      <c r="B543" s="194"/>
      <c r="D543" s="172"/>
      <c r="F543" s="173"/>
      <c r="G543" s="171"/>
    </row>
    <row r="544" spans="2:7" ht="15.75" customHeight="1" x14ac:dyDescent="0.3">
      <c r="B544" s="194"/>
      <c r="D544" s="172"/>
      <c r="F544" s="173"/>
      <c r="G544" s="171"/>
    </row>
    <row r="545" spans="2:7" ht="15.75" customHeight="1" x14ac:dyDescent="0.3">
      <c r="B545" s="194"/>
      <c r="D545" s="172"/>
      <c r="F545" s="173"/>
      <c r="G545" s="171"/>
    </row>
    <row r="546" spans="2:7" ht="15.75" customHeight="1" x14ac:dyDescent="0.3">
      <c r="B546" s="194"/>
      <c r="D546" s="172"/>
      <c r="F546" s="173"/>
      <c r="G546" s="171"/>
    </row>
    <row r="547" spans="2:7" ht="15.75" customHeight="1" x14ac:dyDescent="0.3">
      <c r="B547" s="194"/>
      <c r="D547" s="172"/>
      <c r="F547" s="173"/>
      <c r="G547" s="171"/>
    </row>
    <row r="548" spans="2:7" ht="15.75" customHeight="1" x14ac:dyDescent="0.3">
      <c r="B548" s="194"/>
      <c r="D548" s="172"/>
      <c r="F548" s="173"/>
      <c r="G548" s="171"/>
    </row>
    <row r="549" spans="2:7" ht="15.75" customHeight="1" x14ac:dyDescent="0.3">
      <c r="B549" s="194"/>
      <c r="D549" s="172"/>
      <c r="F549" s="173"/>
      <c r="G549" s="171"/>
    </row>
    <row r="550" spans="2:7" ht="15.75" customHeight="1" x14ac:dyDescent="0.3">
      <c r="B550" s="194"/>
      <c r="D550" s="172"/>
      <c r="F550" s="173"/>
      <c r="G550" s="171"/>
    </row>
    <row r="551" spans="2:7" ht="15.75" customHeight="1" x14ac:dyDescent="0.3">
      <c r="B551" s="194"/>
      <c r="D551" s="172"/>
      <c r="F551" s="173"/>
      <c r="G551" s="171"/>
    </row>
    <row r="552" spans="2:7" ht="15.75" customHeight="1" x14ac:dyDescent="0.3">
      <c r="B552" s="194"/>
      <c r="D552" s="172"/>
      <c r="F552" s="173"/>
      <c r="G552" s="171"/>
    </row>
    <row r="553" spans="2:7" ht="15.75" customHeight="1" x14ac:dyDescent="0.3">
      <c r="B553" s="194"/>
      <c r="D553" s="172"/>
      <c r="F553" s="173"/>
      <c r="G553" s="171"/>
    </row>
    <row r="554" spans="2:7" ht="15.75" customHeight="1" x14ac:dyDescent="0.3">
      <c r="B554" s="194"/>
      <c r="D554" s="172"/>
      <c r="F554" s="173"/>
      <c r="G554" s="171"/>
    </row>
    <row r="555" spans="2:7" ht="15.75" customHeight="1" x14ac:dyDescent="0.3">
      <c r="B555" s="194"/>
      <c r="D555" s="172"/>
      <c r="F555" s="173"/>
      <c r="G555" s="171"/>
    </row>
    <row r="556" spans="2:7" ht="15.75" customHeight="1" x14ac:dyDescent="0.3">
      <c r="B556" s="194"/>
      <c r="D556" s="172"/>
      <c r="F556" s="173"/>
      <c r="G556" s="171"/>
    </row>
    <row r="557" spans="2:7" ht="15.75" customHeight="1" x14ac:dyDescent="0.3">
      <c r="B557" s="194"/>
      <c r="D557" s="172"/>
      <c r="F557" s="173"/>
      <c r="G557" s="171"/>
    </row>
    <row r="558" spans="2:7" ht="15.75" customHeight="1" x14ac:dyDescent="0.3">
      <c r="B558" s="194"/>
      <c r="D558" s="172"/>
      <c r="F558" s="173"/>
      <c r="G558" s="171"/>
    </row>
    <row r="559" spans="2:7" ht="15.75" customHeight="1" x14ac:dyDescent="0.3">
      <c r="B559" s="194"/>
      <c r="D559" s="172"/>
      <c r="F559" s="173"/>
      <c r="G559" s="171"/>
    </row>
    <row r="560" spans="2:7" ht="15.75" customHeight="1" x14ac:dyDescent="0.3">
      <c r="B560" s="194"/>
      <c r="D560" s="172"/>
      <c r="F560" s="173"/>
      <c r="G560" s="171"/>
    </row>
    <row r="561" spans="2:7" ht="15.75" customHeight="1" x14ac:dyDescent="0.3">
      <c r="B561" s="194"/>
      <c r="D561" s="172"/>
      <c r="F561" s="173"/>
      <c r="G561" s="171"/>
    </row>
    <row r="562" spans="2:7" ht="15.75" customHeight="1" x14ac:dyDescent="0.3">
      <c r="B562" s="194"/>
      <c r="D562" s="172"/>
      <c r="F562" s="173"/>
      <c r="G562" s="171"/>
    </row>
    <row r="563" spans="2:7" ht="15.75" customHeight="1" x14ac:dyDescent="0.3">
      <c r="B563" s="194"/>
      <c r="D563" s="172"/>
      <c r="F563" s="173"/>
      <c r="G563" s="171"/>
    </row>
    <row r="564" spans="2:7" ht="15.75" customHeight="1" x14ac:dyDescent="0.3">
      <c r="B564" s="194"/>
      <c r="D564" s="172"/>
      <c r="F564" s="173"/>
      <c r="G564" s="171"/>
    </row>
    <row r="565" spans="2:7" ht="15.75" customHeight="1" x14ac:dyDescent="0.3">
      <c r="B565" s="194"/>
      <c r="D565" s="172"/>
      <c r="F565" s="173"/>
      <c r="G565" s="171"/>
    </row>
    <row r="566" spans="2:7" ht="15.75" customHeight="1" x14ac:dyDescent="0.3">
      <c r="B566" s="194"/>
      <c r="D566" s="172"/>
      <c r="F566" s="173"/>
      <c r="G566" s="171"/>
    </row>
    <row r="567" spans="2:7" ht="15.75" customHeight="1" x14ac:dyDescent="0.3">
      <c r="B567" s="194"/>
      <c r="D567" s="172"/>
      <c r="F567" s="173"/>
      <c r="G567" s="171"/>
    </row>
    <row r="568" spans="2:7" ht="15.75" customHeight="1" x14ac:dyDescent="0.3">
      <c r="B568" s="194"/>
      <c r="D568" s="172"/>
      <c r="F568" s="173"/>
      <c r="G568" s="171"/>
    </row>
    <row r="569" spans="2:7" ht="15.75" customHeight="1" x14ac:dyDescent="0.3">
      <c r="B569" s="194"/>
      <c r="D569" s="172"/>
      <c r="F569" s="173"/>
      <c r="G569" s="171"/>
    </row>
    <row r="570" spans="2:7" ht="15.75" customHeight="1" x14ac:dyDescent="0.3">
      <c r="B570" s="194"/>
      <c r="D570" s="172"/>
      <c r="F570" s="173"/>
      <c r="G570" s="171"/>
    </row>
    <row r="571" spans="2:7" ht="15.75" customHeight="1" x14ac:dyDescent="0.3">
      <c r="B571" s="194"/>
      <c r="D571" s="172"/>
      <c r="F571" s="173"/>
      <c r="G571" s="171"/>
    </row>
    <row r="572" spans="2:7" ht="15.75" customHeight="1" x14ac:dyDescent="0.3">
      <c r="B572" s="194"/>
      <c r="D572" s="172"/>
      <c r="F572" s="173"/>
      <c r="G572" s="171"/>
    </row>
    <row r="573" spans="2:7" ht="15.75" customHeight="1" x14ac:dyDescent="0.3">
      <c r="B573" s="194"/>
      <c r="D573" s="172"/>
      <c r="F573" s="173"/>
      <c r="G573" s="171"/>
    </row>
    <row r="574" spans="2:7" ht="15.75" customHeight="1" x14ac:dyDescent="0.3">
      <c r="B574" s="194"/>
      <c r="D574" s="172"/>
      <c r="F574" s="173"/>
      <c r="G574" s="171"/>
    </row>
    <row r="575" spans="2:7" ht="15.75" customHeight="1" x14ac:dyDescent="0.3">
      <c r="B575" s="194"/>
      <c r="D575" s="172"/>
      <c r="F575" s="173"/>
      <c r="G575" s="171"/>
    </row>
    <row r="576" spans="2:7" ht="15.75" customHeight="1" x14ac:dyDescent="0.3">
      <c r="B576" s="194"/>
      <c r="D576" s="172"/>
      <c r="F576" s="173"/>
      <c r="G576" s="171"/>
    </row>
    <row r="577" spans="2:7" ht="15.75" customHeight="1" x14ac:dyDescent="0.3">
      <c r="B577" s="194"/>
      <c r="D577" s="172"/>
      <c r="F577" s="173"/>
      <c r="G577" s="171"/>
    </row>
    <row r="578" spans="2:7" ht="15.75" customHeight="1" x14ac:dyDescent="0.3">
      <c r="B578" s="194"/>
      <c r="D578" s="172"/>
      <c r="F578" s="173"/>
      <c r="G578" s="171"/>
    </row>
    <row r="579" spans="2:7" ht="15.75" customHeight="1" x14ac:dyDescent="0.3">
      <c r="B579" s="194"/>
      <c r="D579" s="172"/>
      <c r="F579" s="173"/>
      <c r="G579" s="171"/>
    </row>
    <row r="580" spans="2:7" ht="15.75" customHeight="1" x14ac:dyDescent="0.3">
      <c r="B580" s="194"/>
      <c r="D580" s="172"/>
      <c r="F580" s="173"/>
      <c r="G580" s="171"/>
    </row>
    <row r="581" spans="2:7" ht="15.75" customHeight="1" x14ac:dyDescent="0.3">
      <c r="B581" s="194"/>
      <c r="D581" s="172"/>
      <c r="F581" s="173"/>
      <c r="G581" s="171"/>
    </row>
    <row r="582" spans="2:7" ht="15.75" customHeight="1" x14ac:dyDescent="0.3">
      <c r="B582" s="194"/>
      <c r="D582" s="172"/>
      <c r="F582" s="173"/>
      <c r="G582" s="171"/>
    </row>
    <row r="583" spans="2:7" ht="15.75" customHeight="1" x14ac:dyDescent="0.3">
      <c r="B583" s="194"/>
      <c r="D583" s="172"/>
      <c r="F583" s="173"/>
      <c r="G583" s="171"/>
    </row>
    <row r="584" spans="2:7" ht="15.75" customHeight="1" x14ac:dyDescent="0.3">
      <c r="B584" s="194"/>
      <c r="D584" s="172"/>
      <c r="F584" s="173"/>
      <c r="G584" s="171"/>
    </row>
    <row r="585" spans="2:7" ht="15.75" customHeight="1" x14ac:dyDescent="0.3">
      <c r="B585" s="194"/>
      <c r="D585" s="172"/>
      <c r="F585" s="173"/>
      <c r="G585" s="171"/>
    </row>
    <row r="586" spans="2:7" ht="15.75" customHeight="1" x14ac:dyDescent="0.3">
      <c r="B586" s="194"/>
      <c r="D586" s="172"/>
      <c r="F586" s="173"/>
      <c r="G586" s="171"/>
    </row>
    <row r="587" spans="2:7" ht="15.75" customHeight="1" x14ac:dyDescent="0.3">
      <c r="B587" s="194"/>
      <c r="D587" s="172"/>
      <c r="F587" s="173"/>
      <c r="G587" s="171"/>
    </row>
    <row r="588" spans="2:7" ht="15.75" customHeight="1" x14ac:dyDescent="0.3">
      <c r="B588" s="194"/>
      <c r="D588" s="172"/>
      <c r="F588" s="173"/>
      <c r="G588" s="171"/>
    </row>
    <row r="589" spans="2:7" ht="15.75" customHeight="1" x14ac:dyDescent="0.3">
      <c r="B589" s="194"/>
      <c r="D589" s="172"/>
      <c r="F589" s="173"/>
      <c r="G589" s="171"/>
    </row>
    <row r="590" spans="2:7" ht="15.75" customHeight="1" x14ac:dyDescent="0.3">
      <c r="B590" s="194"/>
      <c r="D590" s="172"/>
      <c r="F590" s="173"/>
      <c r="G590" s="171"/>
    </row>
    <row r="591" spans="2:7" ht="15.75" customHeight="1" x14ac:dyDescent="0.3">
      <c r="B591" s="194"/>
      <c r="D591" s="172"/>
      <c r="F591" s="173"/>
      <c r="G591" s="171"/>
    </row>
    <row r="592" spans="2:7" ht="15.75" customHeight="1" x14ac:dyDescent="0.3">
      <c r="B592" s="194"/>
      <c r="D592" s="172"/>
      <c r="F592" s="173"/>
      <c r="G592" s="171"/>
    </row>
    <row r="593" spans="2:7" ht="15.75" customHeight="1" x14ac:dyDescent="0.3">
      <c r="B593" s="194"/>
      <c r="D593" s="172"/>
      <c r="F593" s="173"/>
      <c r="G593" s="171"/>
    </row>
    <row r="594" spans="2:7" ht="15.75" customHeight="1" x14ac:dyDescent="0.3">
      <c r="B594" s="194"/>
      <c r="D594" s="172"/>
      <c r="F594" s="173"/>
      <c r="G594" s="171"/>
    </row>
    <row r="595" spans="2:7" ht="15.75" customHeight="1" x14ac:dyDescent="0.3">
      <c r="B595" s="194"/>
      <c r="D595" s="172"/>
      <c r="F595" s="173"/>
      <c r="G595" s="171"/>
    </row>
    <row r="596" spans="2:7" ht="15.75" customHeight="1" x14ac:dyDescent="0.3">
      <c r="B596" s="194"/>
      <c r="D596" s="172"/>
      <c r="F596" s="173"/>
      <c r="G596" s="171"/>
    </row>
    <row r="597" spans="2:7" ht="15.75" customHeight="1" x14ac:dyDescent="0.3">
      <c r="B597" s="194"/>
      <c r="D597" s="172"/>
      <c r="F597" s="173"/>
      <c r="G597" s="171"/>
    </row>
    <row r="598" spans="2:7" ht="15.75" customHeight="1" x14ac:dyDescent="0.3">
      <c r="B598" s="194"/>
      <c r="D598" s="172"/>
      <c r="F598" s="173"/>
      <c r="G598" s="171"/>
    </row>
    <row r="599" spans="2:7" ht="15.75" customHeight="1" x14ac:dyDescent="0.3">
      <c r="B599" s="194"/>
      <c r="D599" s="172"/>
      <c r="F599" s="173"/>
      <c r="G599" s="171"/>
    </row>
    <row r="600" spans="2:7" ht="15.75" customHeight="1" x14ac:dyDescent="0.3">
      <c r="B600" s="194"/>
      <c r="D600" s="172"/>
      <c r="F600" s="173"/>
      <c r="G600" s="171"/>
    </row>
    <row r="601" spans="2:7" ht="15.75" customHeight="1" x14ac:dyDescent="0.3">
      <c r="B601" s="194"/>
      <c r="D601" s="172"/>
      <c r="F601" s="173"/>
      <c r="G601" s="171"/>
    </row>
    <row r="602" spans="2:7" ht="15.75" customHeight="1" x14ac:dyDescent="0.3">
      <c r="B602" s="194"/>
      <c r="D602" s="172"/>
      <c r="F602" s="173"/>
      <c r="G602" s="171"/>
    </row>
    <row r="603" spans="2:7" ht="15.75" customHeight="1" x14ac:dyDescent="0.3">
      <c r="B603" s="194"/>
      <c r="D603" s="172"/>
      <c r="F603" s="173"/>
      <c r="G603" s="171"/>
    </row>
    <row r="604" spans="2:7" ht="15.75" customHeight="1" x14ac:dyDescent="0.3">
      <c r="B604" s="194"/>
      <c r="D604" s="172"/>
      <c r="F604" s="173"/>
      <c r="G604" s="171"/>
    </row>
    <row r="605" spans="2:7" ht="15.75" customHeight="1" x14ac:dyDescent="0.3">
      <c r="B605" s="194"/>
      <c r="D605" s="172"/>
      <c r="F605" s="173"/>
      <c r="G605" s="171"/>
    </row>
    <row r="606" spans="2:7" ht="15.75" customHeight="1" x14ac:dyDescent="0.3">
      <c r="B606" s="194"/>
      <c r="D606" s="172"/>
      <c r="F606" s="173"/>
      <c r="G606" s="171"/>
    </row>
    <row r="607" spans="2:7" ht="15.75" customHeight="1" x14ac:dyDescent="0.3">
      <c r="B607" s="194"/>
      <c r="D607" s="172"/>
      <c r="F607" s="173"/>
      <c r="G607" s="171"/>
    </row>
    <row r="608" spans="2:7" ht="15.75" customHeight="1" x14ac:dyDescent="0.3">
      <c r="B608" s="194"/>
      <c r="D608" s="172"/>
      <c r="F608" s="173"/>
      <c r="G608" s="171"/>
    </row>
    <row r="609" spans="2:7" ht="15.75" customHeight="1" x14ac:dyDescent="0.3">
      <c r="B609" s="194"/>
      <c r="D609" s="172"/>
      <c r="F609" s="173"/>
      <c r="G609" s="171"/>
    </row>
    <row r="610" spans="2:7" ht="15.75" customHeight="1" x14ac:dyDescent="0.3">
      <c r="B610" s="194"/>
      <c r="D610" s="172"/>
      <c r="F610" s="173"/>
      <c r="G610" s="171"/>
    </row>
    <row r="611" spans="2:7" ht="15.75" customHeight="1" x14ac:dyDescent="0.3">
      <c r="B611" s="194"/>
      <c r="D611" s="172"/>
      <c r="F611" s="173"/>
      <c r="G611" s="171"/>
    </row>
    <row r="612" spans="2:7" ht="15.75" customHeight="1" x14ac:dyDescent="0.3">
      <c r="B612" s="194"/>
      <c r="D612" s="172"/>
      <c r="F612" s="173"/>
      <c r="G612" s="171"/>
    </row>
    <row r="613" spans="2:7" ht="15.75" customHeight="1" x14ac:dyDescent="0.3">
      <c r="B613" s="194"/>
      <c r="D613" s="172"/>
      <c r="F613" s="173"/>
      <c r="G613" s="171"/>
    </row>
    <row r="614" spans="2:7" ht="15.75" customHeight="1" x14ac:dyDescent="0.3">
      <c r="B614" s="194"/>
      <c r="D614" s="172"/>
      <c r="F614" s="173"/>
      <c r="G614" s="171"/>
    </row>
    <row r="615" spans="2:7" ht="15.75" customHeight="1" x14ac:dyDescent="0.3">
      <c r="B615" s="194"/>
      <c r="D615" s="172"/>
      <c r="F615" s="173"/>
      <c r="G615" s="171"/>
    </row>
    <row r="616" spans="2:7" ht="15.75" customHeight="1" x14ac:dyDescent="0.3">
      <c r="B616" s="194"/>
      <c r="D616" s="172"/>
      <c r="F616" s="173"/>
      <c r="G616" s="171"/>
    </row>
    <row r="617" spans="2:7" ht="15.75" customHeight="1" x14ac:dyDescent="0.3">
      <c r="B617" s="194"/>
      <c r="D617" s="172"/>
      <c r="F617" s="173"/>
      <c r="G617" s="171"/>
    </row>
    <row r="618" spans="2:7" ht="15.75" customHeight="1" x14ac:dyDescent="0.3">
      <c r="B618" s="194"/>
      <c r="D618" s="172"/>
      <c r="F618" s="173"/>
      <c r="G618" s="171"/>
    </row>
    <row r="619" spans="2:7" ht="15.75" customHeight="1" x14ac:dyDescent="0.3">
      <c r="B619" s="194"/>
      <c r="D619" s="172"/>
      <c r="F619" s="173"/>
      <c r="G619" s="171"/>
    </row>
    <row r="620" spans="2:7" ht="15.75" customHeight="1" x14ac:dyDescent="0.3">
      <c r="B620" s="194"/>
      <c r="D620" s="172"/>
      <c r="F620" s="173"/>
      <c r="G620" s="171"/>
    </row>
    <row r="621" spans="2:7" ht="15.75" customHeight="1" x14ac:dyDescent="0.3">
      <c r="B621" s="194"/>
      <c r="D621" s="172"/>
      <c r="F621" s="173"/>
      <c r="G621" s="171"/>
    </row>
    <row r="622" spans="2:7" ht="15.75" customHeight="1" x14ac:dyDescent="0.3">
      <c r="B622" s="194"/>
      <c r="D622" s="172"/>
      <c r="F622" s="173"/>
      <c r="G622" s="171"/>
    </row>
    <row r="623" spans="2:7" ht="15.75" customHeight="1" x14ac:dyDescent="0.3">
      <c r="B623" s="194"/>
      <c r="D623" s="172"/>
      <c r="F623" s="173"/>
      <c r="G623" s="171"/>
    </row>
    <row r="624" spans="2:7" ht="15.75" customHeight="1" x14ac:dyDescent="0.3">
      <c r="B624" s="194"/>
      <c r="D624" s="172"/>
      <c r="F624" s="173"/>
      <c r="G624" s="171"/>
    </row>
    <row r="625" spans="2:7" ht="15.75" customHeight="1" x14ac:dyDescent="0.3">
      <c r="B625" s="194"/>
      <c r="D625" s="172"/>
      <c r="F625" s="173"/>
      <c r="G625" s="171"/>
    </row>
    <row r="626" spans="2:7" ht="15.75" customHeight="1" x14ac:dyDescent="0.3">
      <c r="B626" s="194"/>
      <c r="D626" s="172"/>
      <c r="F626" s="173"/>
      <c r="G626" s="171"/>
    </row>
    <row r="627" spans="2:7" ht="15.75" customHeight="1" x14ac:dyDescent="0.3">
      <c r="B627" s="194"/>
      <c r="D627" s="172"/>
      <c r="F627" s="173"/>
      <c r="G627" s="171"/>
    </row>
    <row r="628" spans="2:7" ht="15.75" customHeight="1" x14ac:dyDescent="0.3">
      <c r="B628" s="194"/>
      <c r="D628" s="172"/>
      <c r="F628" s="173"/>
      <c r="G628" s="171"/>
    </row>
    <row r="629" spans="2:7" ht="15.75" customHeight="1" x14ac:dyDescent="0.3">
      <c r="B629" s="194"/>
      <c r="D629" s="172"/>
      <c r="F629" s="173"/>
      <c r="G629" s="171"/>
    </row>
    <row r="630" spans="2:7" ht="15.75" customHeight="1" x14ac:dyDescent="0.3">
      <c r="B630" s="194"/>
      <c r="D630" s="172"/>
      <c r="F630" s="173"/>
      <c r="G630" s="171"/>
    </row>
    <row r="631" spans="2:7" ht="15.75" customHeight="1" x14ac:dyDescent="0.3">
      <c r="B631" s="194"/>
      <c r="D631" s="172"/>
      <c r="F631" s="173"/>
      <c r="G631" s="171"/>
    </row>
    <row r="632" spans="2:7" ht="15.75" customHeight="1" x14ac:dyDescent="0.3">
      <c r="B632" s="194"/>
      <c r="D632" s="172"/>
      <c r="F632" s="173"/>
      <c r="G632" s="171"/>
    </row>
    <row r="633" spans="2:7" ht="15.75" customHeight="1" x14ac:dyDescent="0.3">
      <c r="B633" s="194"/>
      <c r="D633" s="172"/>
      <c r="F633" s="173"/>
      <c r="G633" s="171"/>
    </row>
    <row r="634" spans="2:7" ht="15.75" customHeight="1" x14ac:dyDescent="0.3">
      <c r="B634" s="194"/>
      <c r="D634" s="172"/>
      <c r="F634" s="173"/>
      <c r="G634" s="171"/>
    </row>
    <row r="635" spans="2:7" ht="15.75" customHeight="1" x14ac:dyDescent="0.3">
      <c r="B635" s="194"/>
      <c r="D635" s="172"/>
      <c r="F635" s="173"/>
      <c r="G635" s="171"/>
    </row>
    <row r="636" spans="2:7" ht="15.75" customHeight="1" x14ac:dyDescent="0.3">
      <c r="B636" s="194"/>
      <c r="D636" s="172"/>
      <c r="F636" s="173"/>
      <c r="G636" s="171"/>
    </row>
    <row r="637" spans="2:7" ht="15.75" customHeight="1" x14ac:dyDescent="0.3">
      <c r="B637" s="194"/>
      <c r="D637" s="172"/>
      <c r="F637" s="173"/>
      <c r="G637" s="171"/>
    </row>
    <row r="638" spans="2:7" ht="15.75" customHeight="1" x14ac:dyDescent="0.3">
      <c r="B638" s="194"/>
      <c r="D638" s="172"/>
      <c r="F638" s="173"/>
      <c r="G638" s="171"/>
    </row>
    <row r="639" spans="2:7" ht="15.75" customHeight="1" x14ac:dyDescent="0.3">
      <c r="B639" s="194"/>
      <c r="D639" s="172"/>
      <c r="F639" s="173"/>
      <c r="G639" s="171"/>
    </row>
    <row r="640" spans="2:7" ht="15.75" customHeight="1" x14ac:dyDescent="0.3">
      <c r="B640" s="194"/>
      <c r="D640" s="172"/>
      <c r="F640" s="173"/>
      <c r="G640" s="171"/>
    </row>
    <row r="641" spans="2:7" ht="15.75" customHeight="1" x14ac:dyDescent="0.3">
      <c r="B641" s="194"/>
      <c r="D641" s="172"/>
      <c r="F641" s="173"/>
      <c r="G641" s="171"/>
    </row>
    <row r="642" spans="2:7" ht="15.75" customHeight="1" x14ac:dyDescent="0.3">
      <c r="B642" s="194"/>
      <c r="D642" s="172"/>
      <c r="F642" s="173"/>
      <c r="G642" s="171"/>
    </row>
    <row r="643" spans="2:7" ht="15.75" customHeight="1" x14ac:dyDescent="0.3">
      <c r="B643" s="194"/>
      <c r="D643" s="172"/>
      <c r="F643" s="173"/>
      <c r="G643" s="171"/>
    </row>
    <row r="644" spans="2:7" ht="15.75" customHeight="1" x14ac:dyDescent="0.3">
      <c r="B644" s="194"/>
      <c r="D644" s="172"/>
      <c r="F644" s="173"/>
      <c r="G644" s="171"/>
    </row>
    <row r="645" spans="2:7" ht="15.75" customHeight="1" x14ac:dyDescent="0.3">
      <c r="B645" s="194"/>
      <c r="D645" s="172"/>
      <c r="F645" s="173"/>
      <c r="G645" s="171"/>
    </row>
    <row r="646" spans="2:7" ht="15.75" customHeight="1" x14ac:dyDescent="0.3">
      <c r="B646" s="194"/>
      <c r="D646" s="172"/>
      <c r="F646" s="173"/>
      <c r="G646" s="171"/>
    </row>
    <row r="647" spans="2:7" ht="15.75" customHeight="1" x14ac:dyDescent="0.3">
      <c r="B647" s="194"/>
      <c r="D647" s="172"/>
      <c r="F647" s="173"/>
      <c r="G647" s="171"/>
    </row>
    <row r="648" spans="2:7" ht="15.75" customHeight="1" x14ac:dyDescent="0.3">
      <c r="B648" s="194"/>
      <c r="D648" s="172"/>
      <c r="F648" s="173"/>
      <c r="G648" s="171"/>
    </row>
    <row r="649" spans="2:7" ht="15.75" customHeight="1" x14ac:dyDescent="0.3">
      <c r="B649" s="194"/>
      <c r="D649" s="172"/>
      <c r="F649" s="173"/>
      <c r="G649" s="171"/>
    </row>
    <row r="650" spans="2:7" ht="15.75" customHeight="1" x14ac:dyDescent="0.3">
      <c r="B650" s="194"/>
      <c r="D650" s="172"/>
      <c r="F650" s="173"/>
      <c r="G650" s="171"/>
    </row>
    <row r="651" spans="2:7" ht="15.75" customHeight="1" x14ac:dyDescent="0.3">
      <c r="B651" s="194"/>
      <c r="D651" s="172"/>
      <c r="F651" s="173"/>
      <c r="G651" s="171"/>
    </row>
    <row r="652" spans="2:7" ht="15.75" customHeight="1" x14ac:dyDescent="0.3">
      <c r="B652" s="194"/>
      <c r="D652" s="172"/>
      <c r="F652" s="173"/>
      <c r="G652" s="171"/>
    </row>
    <row r="653" spans="2:7" ht="15.75" customHeight="1" x14ac:dyDescent="0.3">
      <c r="B653" s="194"/>
      <c r="D653" s="172"/>
      <c r="F653" s="173"/>
      <c r="G653" s="171"/>
    </row>
    <row r="654" spans="2:7" ht="15.75" customHeight="1" x14ac:dyDescent="0.3">
      <c r="B654" s="194"/>
      <c r="D654" s="172"/>
      <c r="F654" s="173"/>
      <c r="G654" s="171"/>
    </row>
    <row r="655" spans="2:7" ht="15.75" customHeight="1" x14ac:dyDescent="0.3">
      <c r="B655" s="194"/>
      <c r="D655" s="172"/>
      <c r="F655" s="173"/>
      <c r="G655" s="171"/>
    </row>
    <row r="656" spans="2:7" ht="15.75" customHeight="1" x14ac:dyDescent="0.3">
      <c r="B656" s="194"/>
      <c r="D656" s="172"/>
      <c r="F656" s="173"/>
      <c r="G656" s="171"/>
    </row>
    <row r="657" spans="2:7" ht="15.75" customHeight="1" x14ac:dyDescent="0.3">
      <c r="B657" s="194"/>
      <c r="D657" s="172"/>
      <c r="F657" s="173"/>
      <c r="G657" s="171"/>
    </row>
    <row r="658" spans="2:7" ht="15.75" customHeight="1" x14ac:dyDescent="0.3">
      <c r="B658" s="194"/>
      <c r="D658" s="172"/>
      <c r="F658" s="173"/>
      <c r="G658" s="171"/>
    </row>
    <row r="659" spans="2:7" ht="15.75" customHeight="1" x14ac:dyDescent="0.3">
      <c r="B659" s="194"/>
      <c r="D659" s="172"/>
      <c r="F659" s="173"/>
      <c r="G659" s="171"/>
    </row>
    <row r="660" spans="2:7" ht="15.75" customHeight="1" x14ac:dyDescent="0.3">
      <c r="B660" s="194"/>
      <c r="D660" s="172"/>
      <c r="F660" s="173"/>
      <c r="G660" s="171"/>
    </row>
    <row r="661" spans="2:7" ht="15.75" customHeight="1" x14ac:dyDescent="0.3">
      <c r="B661" s="194"/>
      <c r="D661" s="172"/>
      <c r="F661" s="173"/>
      <c r="G661" s="171"/>
    </row>
    <row r="662" spans="2:7" ht="15.75" customHeight="1" x14ac:dyDescent="0.3">
      <c r="B662" s="194"/>
      <c r="D662" s="172"/>
      <c r="F662" s="173"/>
      <c r="G662" s="171"/>
    </row>
    <row r="663" spans="2:7" ht="15.75" customHeight="1" x14ac:dyDescent="0.3">
      <c r="B663" s="194"/>
      <c r="D663" s="172"/>
      <c r="F663" s="173"/>
      <c r="G663" s="171"/>
    </row>
    <row r="664" spans="2:7" ht="15.75" customHeight="1" x14ac:dyDescent="0.3">
      <c r="B664" s="194"/>
      <c r="D664" s="172"/>
      <c r="F664" s="173"/>
      <c r="G664" s="171"/>
    </row>
    <row r="665" spans="2:7" ht="15.75" customHeight="1" x14ac:dyDescent="0.3">
      <c r="B665" s="194"/>
      <c r="D665" s="172"/>
      <c r="F665" s="173"/>
      <c r="G665" s="171"/>
    </row>
    <row r="666" spans="2:7" ht="15.75" customHeight="1" x14ac:dyDescent="0.3">
      <c r="B666" s="194"/>
      <c r="D666" s="172"/>
      <c r="F666" s="173"/>
      <c r="G666" s="171"/>
    </row>
    <row r="667" spans="2:7" ht="15.75" customHeight="1" x14ac:dyDescent="0.3">
      <c r="B667" s="194"/>
      <c r="D667" s="172"/>
      <c r="F667" s="173"/>
      <c r="G667" s="171"/>
    </row>
    <row r="668" spans="2:7" ht="15.75" customHeight="1" x14ac:dyDescent="0.3">
      <c r="B668" s="194"/>
      <c r="D668" s="172"/>
      <c r="F668" s="173"/>
      <c r="G668" s="171"/>
    </row>
    <row r="669" spans="2:7" ht="15.75" customHeight="1" x14ac:dyDescent="0.3">
      <c r="B669" s="194"/>
      <c r="D669" s="172"/>
      <c r="F669" s="173"/>
      <c r="G669" s="171"/>
    </row>
    <row r="670" spans="2:7" ht="15.75" customHeight="1" x14ac:dyDescent="0.3">
      <c r="B670" s="194"/>
      <c r="D670" s="172"/>
      <c r="F670" s="173"/>
      <c r="G670" s="171"/>
    </row>
    <row r="671" spans="2:7" ht="15.75" customHeight="1" x14ac:dyDescent="0.3">
      <c r="B671" s="194"/>
      <c r="D671" s="172"/>
      <c r="F671" s="173"/>
      <c r="G671" s="171"/>
    </row>
    <row r="672" spans="2:7" ht="15.75" customHeight="1" x14ac:dyDescent="0.3">
      <c r="B672" s="194"/>
      <c r="D672" s="172"/>
      <c r="F672" s="173"/>
      <c r="G672" s="171"/>
    </row>
    <row r="673" spans="2:7" ht="15.75" customHeight="1" x14ac:dyDescent="0.3">
      <c r="B673" s="194"/>
      <c r="D673" s="172"/>
      <c r="F673" s="173"/>
      <c r="G673" s="171"/>
    </row>
    <row r="674" spans="2:7" ht="15.75" customHeight="1" x14ac:dyDescent="0.3">
      <c r="B674" s="194"/>
      <c r="D674" s="172"/>
      <c r="F674" s="173"/>
      <c r="G674" s="171"/>
    </row>
    <row r="675" spans="2:7" ht="15.75" customHeight="1" x14ac:dyDescent="0.3">
      <c r="B675" s="194"/>
      <c r="D675" s="172"/>
      <c r="F675" s="173"/>
      <c r="G675" s="171"/>
    </row>
    <row r="676" spans="2:7" ht="15.75" customHeight="1" x14ac:dyDescent="0.3">
      <c r="B676" s="194"/>
      <c r="D676" s="172"/>
      <c r="F676" s="173"/>
      <c r="G676" s="171"/>
    </row>
    <row r="677" spans="2:7" ht="15.75" customHeight="1" x14ac:dyDescent="0.3">
      <c r="B677" s="194"/>
      <c r="D677" s="172"/>
      <c r="F677" s="173"/>
      <c r="G677" s="171"/>
    </row>
    <row r="678" spans="2:7" ht="15.75" customHeight="1" x14ac:dyDescent="0.3">
      <c r="B678" s="194"/>
      <c r="D678" s="172"/>
      <c r="F678" s="173"/>
      <c r="G678" s="171"/>
    </row>
    <row r="679" spans="2:7" ht="15.75" customHeight="1" x14ac:dyDescent="0.3">
      <c r="B679" s="194"/>
      <c r="D679" s="172"/>
      <c r="F679" s="173"/>
      <c r="G679" s="171"/>
    </row>
    <row r="680" spans="2:7" ht="15.75" customHeight="1" x14ac:dyDescent="0.3">
      <c r="B680" s="194"/>
      <c r="D680" s="172"/>
      <c r="F680" s="173"/>
      <c r="G680" s="171"/>
    </row>
    <row r="681" spans="2:7" ht="15.75" customHeight="1" x14ac:dyDescent="0.3">
      <c r="B681" s="194"/>
      <c r="D681" s="172"/>
      <c r="F681" s="173"/>
      <c r="G681" s="171"/>
    </row>
    <row r="682" spans="2:7" ht="15.75" customHeight="1" x14ac:dyDescent="0.3">
      <c r="B682" s="194"/>
      <c r="D682" s="172"/>
      <c r="F682" s="173"/>
      <c r="G682" s="171"/>
    </row>
    <row r="683" spans="2:7" ht="15.75" customHeight="1" x14ac:dyDescent="0.3">
      <c r="B683" s="194"/>
      <c r="D683" s="172"/>
      <c r="F683" s="173"/>
      <c r="G683" s="171"/>
    </row>
    <row r="684" spans="2:7" ht="15.75" customHeight="1" x14ac:dyDescent="0.3">
      <c r="B684" s="194"/>
      <c r="D684" s="172"/>
      <c r="F684" s="173"/>
      <c r="G684" s="171"/>
    </row>
    <row r="685" spans="2:7" ht="15.75" customHeight="1" x14ac:dyDescent="0.3">
      <c r="B685" s="194"/>
      <c r="D685" s="172"/>
      <c r="F685" s="173"/>
      <c r="G685" s="171"/>
    </row>
    <row r="686" spans="2:7" ht="15.75" customHeight="1" x14ac:dyDescent="0.3">
      <c r="B686" s="194"/>
      <c r="D686" s="172"/>
      <c r="F686" s="173"/>
      <c r="G686" s="171"/>
    </row>
    <row r="687" spans="2:7" ht="15.75" customHeight="1" x14ac:dyDescent="0.3">
      <c r="B687" s="194"/>
      <c r="D687" s="172"/>
      <c r="F687" s="173"/>
      <c r="G687" s="171"/>
    </row>
    <row r="688" spans="2:7" ht="15.75" customHeight="1" x14ac:dyDescent="0.3">
      <c r="B688" s="194"/>
      <c r="D688" s="172"/>
      <c r="F688" s="173"/>
      <c r="G688" s="171"/>
    </row>
    <row r="689" spans="2:7" ht="15.75" customHeight="1" x14ac:dyDescent="0.3">
      <c r="B689" s="194"/>
      <c r="D689" s="172"/>
      <c r="F689" s="173"/>
      <c r="G689" s="171"/>
    </row>
    <row r="690" spans="2:7" ht="15.75" customHeight="1" x14ac:dyDescent="0.3">
      <c r="B690" s="194"/>
      <c r="D690" s="172"/>
      <c r="F690" s="173"/>
      <c r="G690" s="171"/>
    </row>
    <row r="691" spans="2:7" ht="15.75" customHeight="1" x14ac:dyDescent="0.3">
      <c r="B691" s="194"/>
      <c r="D691" s="172"/>
      <c r="F691" s="173"/>
      <c r="G691" s="171"/>
    </row>
    <row r="692" spans="2:7" ht="15.75" customHeight="1" x14ac:dyDescent="0.3">
      <c r="B692" s="194"/>
      <c r="D692" s="172"/>
      <c r="F692" s="173"/>
      <c r="G692" s="171"/>
    </row>
    <row r="693" spans="2:7" ht="15.75" customHeight="1" x14ac:dyDescent="0.3">
      <c r="B693" s="194"/>
      <c r="D693" s="172"/>
      <c r="F693" s="173"/>
      <c r="G693" s="171"/>
    </row>
    <row r="694" spans="2:7" ht="15.75" customHeight="1" x14ac:dyDescent="0.3">
      <c r="B694" s="194"/>
      <c r="D694" s="172"/>
      <c r="F694" s="173"/>
      <c r="G694" s="171"/>
    </row>
    <row r="695" spans="2:7" ht="15.75" customHeight="1" x14ac:dyDescent="0.3">
      <c r="B695" s="194"/>
      <c r="D695" s="172"/>
      <c r="F695" s="173"/>
      <c r="G695" s="171"/>
    </row>
    <row r="696" spans="2:7" ht="15.75" customHeight="1" x14ac:dyDescent="0.3">
      <c r="B696" s="194"/>
      <c r="D696" s="172"/>
      <c r="F696" s="173"/>
      <c r="G696" s="171"/>
    </row>
    <row r="697" spans="2:7" ht="15.75" customHeight="1" x14ac:dyDescent="0.3">
      <c r="B697" s="194"/>
      <c r="D697" s="172"/>
      <c r="F697" s="173"/>
      <c r="G697" s="171"/>
    </row>
    <row r="698" spans="2:7" ht="15.75" customHeight="1" x14ac:dyDescent="0.3">
      <c r="B698" s="194"/>
      <c r="D698" s="172"/>
      <c r="F698" s="173"/>
      <c r="G698" s="171"/>
    </row>
    <row r="699" spans="2:7" ht="15.75" customHeight="1" x14ac:dyDescent="0.3">
      <c r="B699" s="194"/>
      <c r="D699" s="172"/>
      <c r="F699" s="173"/>
      <c r="G699" s="171"/>
    </row>
    <row r="700" spans="2:7" ht="15.75" customHeight="1" x14ac:dyDescent="0.3">
      <c r="B700" s="194"/>
      <c r="D700" s="172"/>
      <c r="F700" s="173"/>
      <c r="G700" s="171"/>
    </row>
    <row r="701" spans="2:7" ht="15.75" customHeight="1" x14ac:dyDescent="0.3">
      <c r="B701" s="194"/>
      <c r="D701" s="172"/>
      <c r="F701" s="173"/>
      <c r="G701" s="171"/>
    </row>
    <row r="702" spans="2:7" ht="15.75" customHeight="1" x14ac:dyDescent="0.3">
      <c r="B702" s="194"/>
      <c r="D702" s="172"/>
      <c r="F702" s="173"/>
      <c r="G702" s="171"/>
    </row>
    <row r="703" spans="2:7" ht="15.75" customHeight="1" x14ac:dyDescent="0.3">
      <c r="B703" s="194"/>
      <c r="D703" s="172"/>
      <c r="F703" s="173"/>
      <c r="G703" s="171"/>
    </row>
    <row r="704" spans="2:7" ht="15.75" customHeight="1" x14ac:dyDescent="0.3">
      <c r="B704" s="194"/>
      <c r="D704" s="172"/>
      <c r="F704" s="173"/>
      <c r="G704" s="171"/>
    </row>
    <row r="705" spans="2:7" ht="15.75" customHeight="1" x14ac:dyDescent="0.3">
      <c r="B705" s="194"/>
      <c r="D705" s="172"/>
      <c r="F705" s="173"/>
      <c r="G705" s="171"/>
    </row>
    <row r="706" spans="2:7" ht="15.75" customHeight="1" x14ac:dyDescent="0.3">
      <c r="B706" s="194"/>
      <c r="D706" s="172"/>
      <c r="F706" s="173"/>
      <c r="G706" s="171"/>
    </row>
    <row r="707" spans="2:7" ht="15.75" customHeight="1" x14ac:dyDescent="0.3">
      <c r="B707" s="194"/>
      <c r="D707" s="172"/>
      <c r="F707" s="173"/>
      <c r="G707" s="171"/>
    </row>
    <row r="708" spans="2:7" ht="15.75" customHeight="1" x14ac:dyDescent="0.3">
      <c r="B708" s="194"/>
      <c r="D708" s="172"/>
      <c r="F708" s="173"/>
      <c r="G708" s="171"/>
    </row>
    <row r="709" spans="2:7" ht="15.75" customHeight="1" x14ac:dyDescent="0.3">
      <c r="B709" s="194"/>
      <c r="D709" s="172"/>
      <c r="F709" s="173"/>
      <c r="G709" s="171"/>
    </row>
    <row r="710" spans="2:7" ht="15.75" customHeight="1" x14ac:dyDescent="0.3">
      <c r="B710" s="194"/>
      <c r="D710" s="172"/>
      <c r="F710" s="173"/>
      <c r="G710" s="171"/>
    </row>
    <row r="711" spans="2:7" ht="15.75" customHeight="1" x14ac:dyDescent="0.3">
      <c r="B711" s="194"/>
      <c r="D711" s="172"/>
      <c r="F711" s="173"/>
      <c r="G711" s="171"/>
    </row>
    <row r="712" spans="2:7" ht="15.75" customHeight="1" x14ac:dyDescent="0.3">
      <c r="B712" s="194"/>
      <c r="D712" s="172"/>
      <c r="F712" s="173"/>
      <c r="G712" s="171"/>
    </row>
    <row r="713" spans="2:7" ht="15.75" customHeight="1" x14ac:dyDescent="0.3">
      <c r="B713" s="194"/>
      <c r="D713" s="172"/>
      <c r="F713" s="173"/>
      <c r="G713" s="171"/>
    </row>
    <row r="714" spans="2:7" ht="15.75" customHeight="1" x14ac:dyDescent="0.3">
      <c r="B714" s="194"/>
      <c r="D714" s="172"/>
      <c r="F714" s="173"/>
      <c r="G714" s="171"/>
    </row>
    <row r="715" spans="2:7" ht="15.75" customHeight="1" x14ac:dyDescent="0.3">
      <c r="B715" s="194"/>
      <c r="D715" s="172"/>
      <c r="F715" s="173"/>
      <c r="G715" s="171"/>
    </row>
    <row r="716" spans="2:7" ht="15.75" customHeight="1" x14ac:dyDescent="0.3">
      <c r="B716" s="194"/>
      <c r="D716" s="172"/>
      <c r="F716" s="173"/>
      <c r="G716" s="171"/>
    </row>
    <row r="717" spans="2:7" ht="15.75" customHeight="1" x14ac:dyDescent="0.3">
      <c r="B717" s="194"/>
      <c r="D717" s="172"/>
      <c r="F717" s="173"/>
      <c r="G717" s="171"/>
    </row>
    <row r="718" spans="2:7" ht="15.75" customHeight="1" x14ac:dyDescent="0.3">
      <c r="B718" s="194"/>
      <c r="D718" s="172"/>
      <c r="F718" s="173"/>
      <c r="G718" s="171"/>
    </row>
    <row r="719" spans="2:7" ht="15.75" customHeight="1" x14ac:dyDescent="0.3">
      <c r="B719" s="194"/>
      <c r="D719" s="172"/>
      <c r="F719" s="173"/>
      <c r="G719" s="171"/>
    </row>
    <row r="720" spans="2:7" ht="15.75" customHeight="1" x14ac:dyDescent="0.3">
      <c r="B720" s="194"/>
      <c r="D720" s="172"/>
      <c r="F720" s="173"/>
      <c r="G720" s="171"/>
    </row>
    <row r="721" spans="2:7" ht="15.75" customHeight="1" x14ac:dyDescent="0.3">
      <c r="B721" s="194"/>
      <c r="D721" s="172"/>
      <c r="F721" s="173"/>
      <c r="G721" s="171"/>
    </row>
    <row r="722" spans="2:7" ht="15.75" customHeight="1" x14ac:dyDescent="0.3">
      <c r="B722" s="194"/>
      <c r="D722" s="172"/>
      <c r="F722" s="173"/>
      <c r="G722" s="171"/>
    </row>
    <row r="723" spans="2:7" ht="15.75" customHeight="1" x14ac:dyDescent="0.3">
      <c r="B723" s="194"/>
      <c r="D723" s="172"/>
      <c r="F723" s="173"/>
      <c r="G723" s="171"/>
    </row>
    <row r="724" spans="2:7" ht="15.75" customHeight="1" x14ac:dyDescent="0.3">
      <c r="B724" s="194"/>
      <c r="D724" s="172"/>
      <c r="F724" s="173"/>
      <c r="G724" s="171"/>
    </row>
    <row r="725" spans="2:7" ht="15.75" customHeight="1" x14ac:dyDescent="0.3">
      <c r="B725" s="194"/>
      <c r="D725" s="172"/>
      <c r="F725" s="173"/>
      <c r="G725" s="171"/>
    </row>
    <row r="726" spans="2:7" ht="15.75" customHeight="1" x14ac:dyDescent="0.3">
      <c r="B726" s="194"/>
      <c r="D726" s="172"/>
      <c r="F726" s="173"/>
      <c r="G726" s="171"/>
    </row>
    <row r="727" spans="2:7" ht="15.75" customHeight="1" x14ac:dyDescent="0.3">
      <c r="B727" s="194"/>
      <c r="D727" s="172"/>
      <c r="F727" s="173"/>
      <c r="G727" s="171"/>
    </row>
    <row r="728" spans="2:7" ht="15.75" customHeight="1" x14ac:dyDescent="0.3">
      <c r="B728" s="194"/>
      <c r="D728" s="172"/>
      <c r="F728" s="173"/>
      <c r="G728" s="171"/>
    </row>
    <row r="729" spans="2:7" ht="15.75" customHeight="1" x14ac:dyDescent="0.3">
      <c r="B729" s="194"/>
      <c r="D729" s="172"/>
      <c r="F729" s="173"/>
      <c r="G729" s="171"/>
    </row>
    <row r="730" spans="2:7" ht="15.75" customHeight="1" x14ac:dyDescent="0.3">
      <c r="B730" s="194"/>
      <c r="D730" s="172"/>
      <c r="F730" s="173"/>
      <c r="G730" s="171"/>
    </row>
    <row r="731" spans="2:7" ht="15.75" customHeight="1" x14ac:dyDescent="0.3">
      <c r="B731" s="194"/>
      <c r="D731" s="172"/>
      <c r="F731" s="173"/>
      <c r="G731" s="171"/>
    </row>
    <row r="732" spans="2:7" ht="15.75" customHeight="1" x14ac:dyDescent="0.3">
      <c r="B732" s="194"/>
      <c r="D732" s="172"/>
      <c r="F732" s="173"/>
      <c r="G732" s="171"/>
    </row>
    <row r="733" spans="2:7" ht="15.75" customHeight="1" x14ac:dyDescent="0.3">
      <c r="B733" s="194"/>
      <c r="D733" s="172"/>
      <c r="F733" s="173"/>
      <c r="G733" s="171"/>
    </row>
    <row r="734" spans="2:7" ht="15.75" customHeight="1" x14ac:dyDescent="0.3">
      <c r="B734" s="194"/>
      <c r="D734" s="172"/>
      <c r="F734" s="173"/>
      <c r="G734" s="171"/>
    </row>
    <row r="735" spans="2:7" ht="15.75" customHeight="1" x14ac:dyDescent="0.3">
      <c r="B735" s="194"/>
      <c r="D735" s="172"/>
      <c r="F735" s="173"/>
      <c r="G735" s="171"/>
    </row>
    <row r="736" spans="2:7" ht="15.75" customHeight="1" x14ac:dyDescent="0.3">
      <c r="B736" s="194"/>
      <c r="D736" s="172"/>
      <c r="F736" s="173"/>
      <c r="G736" s="171"/>
    </row>
    <row r="737" spans="2:7" ht="15.75" customHeight="1" x14ac:dyDescent="0.3">
      <c r="B737" s="194"/>
      <c r="D737" s="172"/>
      <c r="F737" s="173"/>
      <c r="G737" s="171"/>
    </row>
    <row r="738" spans="2:7" ht="15.75" customHeight="1" x14ac:dyDescent="0.3">
      <c r="B738" s="194"/>
      <c r="D738" s="172"/>
      <c r="F738" s="173"/>
      <c r="G738" s="171"/>
    </row>
    <row r="739" spans="2:7" ht="15.75" customHeight="1" x14ac:dyDescent="0.3">
      <c r="B739" s="194"/>
      <c r="D739" s="172"/>
      <c r="F739" s="173"/>
      <c r="G739" s="171"/>
    </row>
    <row r="740" spans="2:7" ht="15.75" customHeight="1" x14ac:dyDescent="0.3">
      <c r="B740" s="194"/>
      <c r="D740" s="172"/>
      <c r="F740" s="173"/>
      <c r="G740" s="171"/>
    </row>
    <row r="741" spans="2:7" ht="15.75" customHeight="1" x14ac:dyDescent="0.3">
      <c r="B741" s="194"/>
      <c r="D741" s="172"/>
      <c r="F741" s="173"/>
      <c r="G741" s="171"/>
    </row>
    <row r="742" spans="2:7" ht="15.75" customHeight="1" x14ac:dyDescent="0.3">
      <c r="B742" s="194"/>
      <c r="D742" s="172"/>
      <c r="F742" s="173"/>
      <c r="G742" s="171"/>
    </row>
    <row r="743" spans="2:7" ht="15.75" customHeight="1" x14ac:dyDescent="0.3">
      <c r="B743" s="194"/>
      <c r="D743" s="172"/>
      <c r="F743" s="173"/>
      <c r="G743" s="171"/>
    </row>
    <row r="744" spans="2:7" ht="15.75" customHeight="1" x14ac:dyDescent="0.3">
      <c r="B744" s="194"/>
      <c r="D744" s="172"/>
      <c r="F744" s="173"/>
      <c r="G744" s="171"/>
    </row>
    <row r="745" spans="2:7" ht="15.75" customHeight="1" x14ac:dyDescent="0.3">
      <c r="B745" s="194"/>
      <c r="D745" s="172"/>
      <c r="F745" s="173"/>
      <c r="G745" s="171"/>
    </row>
    <row r="746" spans="2:7" ht="15.75" customHeight="1" x14ac:dyDescent="0.3">
      <c r="B746" s="194"/>
      <c r="D746" s="172"/>
      <c r="F746" s="173"/>
      <c r="G746" s="171"/>
    </row>
    <row r="747" spans="2:7" ht="15.75" customHeight="1" x14ac:dyDescent="0.3">
      <c r="B747" s="194"/>
      <c r="D747" s="172"/>
      <c r="F747" s="173"/>
      <c r="G747" s="171"/>
    </row>
    <row r="748" spans="2:7" ht="15.75" customHeight="1" x14ac:dyDescent="0.3">
      <c r="B748" s="194"/>
      <c r="D748" s="172"/>
      <c r="F748" s="173"/>
      <c r="G748" s="171"/>
    </row>
    <row r="749" spans="2:7" ht="15.75" customHeight="1" x14ac:dyDescent="0.3">
      <c r="B749" s="194"/>
      <c r="D749" s="172"/>
      <c r="F749" s="173"/>
      <c r="G749" s="171"/>
    </row>
    <row r="750" spans="2:7" ht="15.75" customHeight="1" x14ac:dyDescent="0.3">
      <c r="B750" s="194"/>
      <c r="D750" s="172"/>
      <c r="F750" s="173"/>
      <c r="G750" s="171"/>
    </row>
    <row r="751" spans="2:7" ht="15.75" customHeight="1" x14ac:dyDescent="0.3">
      <c r="B751" s="194"/>
      <c r="D751" s="172"/>
      <c r="F751" s="173"/>
      <c r="G751" s="171"/>
    </row>
    <row r="752" spans="2:7" ht="15.75" customHeight="1" x14ac:dyDescent="0.3">
      <c r="B752" s="194"/>
      <c r="D752" s="172"/>
      <c r="F752" s="173"/>
      <c r="G752" s="171"/>
    </row>
    <row r="753" spans="2:7" ht="15.75" customHeight="1" x14ac:dyDescent="0.3">
      <c r="B753" s="194"/>
      <c r="D753" s="172"/>
      <c r="F753" s="173"/>
      <c r="G753" s="171"/>
    </row>
    <row r="754" spans="2:7" ht="15.75" customHeight="1" x14ac:dyDescent="0.3">
      <c r="B754" s="194"/>
      <c r="D754" s="172"/>
      <c r="F754" s="173"/>
      <c r="G754" s="171"/>
    </row>
    <row r="755" spans="2:7" ht="15.75" customHeight="1" x14ac:dyDescent="0.3">
      <c r="B755" s="194"/>
      <c r="D755" s="172"/>
      <c r="F755" s="173"/>
      <c r="G755" s="171"/>
    </row>
    <row r="756" spans="2:7" ht="15.75" customHeight="1" x14ac:dyDescent="0.3">
      <c r="B756" s="194"/>
      <c r="D756" s="172"/>
      <c r="F756" s="173"/>
      <c r="G756" s="171"/>
    </row>
    <row r="757" spans="2:7" ht="15.75" customHeight="1" x14ac:dyDescent="0.3">
      <c r="B757" s="194"/>
      <c r="D757" s="172"/>
      <c r="F757" s="173"/>
      <c r="G757" s="171"/>
    </row>
    <row r="758" spans="2:7" ht="15.75" customHeight="1" x14ac:dyDescent="0.3">
      <c r="B758" s="194"/>
      <c r="D758" s="172"/>
      <c r="F758" s="173"/>
      <c r="G758" s="171"/>
    </row>
    <row r="759" spans="2:7" ht="15.75" customHeight="1" x14ac:dyDescent="0.3">
      <c r="B759" s="194"/>
      <c r="D759" s="172"/>
      <c r="F759" s="173"/>
      <c r="G759" s="171"/>
    </row>
    <row r="760" spans="2:7" ht="15.75" customHeight="1" x14ac:dyDescent="0.3">
      <c r="B760" s="194"/>
      <c r="D760" s="172"/>
      <c r="F760" s="173"/>
      <c r="G760" s="171"/>
    </row>
    <row r="761" spans="2:7" ht="15.75" customHeight="1" x14ac:dyDescent="0.3">
      <c r="B761" s="194"/>
      <c r="D761" s="172"/>
      <c r="F761" s="173"/>
      <c r="G761" s="171"/>
    </row>
    <row r="762" spans="2:7" ht="15.75" customHeight="1" x14ac:dyDescent="0.3">
      <c r="B762" s="194"/>
      <c r="D762" s="172"/>
      <c r="F762" s="173"/>
      <c r="G762" s="171"/>
    </row>
    <row r="763" spans="2:7" ht="15.75" customHeight="1" x14ac:dyDescent="0.3">
      <c r="B763" s="194"/>
      <c r="D763" s="172"/>
      <c r="F763" s="173"/>
      <c r="G763" s="171"/>
    </row>
    <row r="764" spans="2:7" ht="15.75" customHeight="1" x14ac:dyDescent="0.3">
      <c r="B764" s="194"/>
      <c r="D764" s="172"/>
      <c r="F764" s="173"/>
      <c r="G764" s="171"/>
    </row>
    <row r="765" spans="2:7" ht="15.75" customHeight="1" x14ac:dyDescent="0.3">
      <c r="B765" s="194"/>
      <c r="D765" s="172"/>
      <c r="F765" s="173"/>
      <c r="G765" s="171"/>
    </row>
    <row r="766" spans="2:7" ht="15.75" customHeight="1" x14ac:dyDescent="0.3">
      <c r="B766" s="194"/>
      <c r="D766" s="172"/>
      <c r="F766" s="173"/>
      <c r="G766" s="171"/>
    </row>
    <row r="767" spans="2:7" ht="15.75" customHeight="1" x14ac:dyDescent="0.3">
      <c r="B767" s="194"/>
      <c r="D767" s="172"/>
      <c r="F767" s="173"/>
      <c r="G767" s="171"/>
    </row>
    <row r="768" spans="2:7" ht="15.75" customHeight="1" x14ac:dyDescent="0.3">
      <c r="B768" s="194"/>
      <c r="D768" s="172"/>
      <c r="F768" s="173"/>
      <c r="G768" s="171"/>
    </row>
    <row r="769" spans="2:7" ht="15.75" customHeight="1" x14ac:dyDescent="0.3">
      <c r="B769" s="194"/>
      <c r="D769" s="172"/>
      <c r="F769" s="173"/>
      <c r="G769" s="171"/>
    </row>
    <row r="770" spans="2:7" ht="15.75" customHeight="1" x14ac:dyDescent="0.3">
      <c r="B770" s="194"/>
      <c r="D770" s="172"/>
      <c r="F770" s="173"/>
      <c r="G770" s="171"/>
    </row>
    <row r="771" spans="2:7" ht="15.75" customHeight="1" x14ac:dyDescent="0.3">
      <c r="B771" s="194"/>
      <c r="D771" s="172"/>
      <c r="F771" s="173"/>
      <c r="G771" s="171"/>
    </row>
    <row r="772" spans="2:7" ht="15.75" customHeight="1" x14ac:dyDescent="0.3">
      <c r="B772" s="194"/>
      <c r="D772" s="172"/>
      <c r="F772" s="173"/>
      <c r="G772" s="171"/>
    </row>
    <row r="773" spans="2:7" ht="15.75" customHeight="1" x14ac:dyDescent="0.3">
      <c r="B773" s="194"/>
      <c r="D773" s="172"/>
      <c r="F773" s="173"/>
      <c r="G773" s="171"/>
    </row>
    <row r="774" spans="2:7" ht="15.75" customHeight="1" x14ac:dyDescent="0.3">
      <c r="B774" s="194"/>
      <c r="D774" s="172"/>
      <c r="F774" s="173"/>
      <c r="G774" s="171"/>
    </row>
    <row r="775" spans="2:7" ht="15.75" customHeight="1" x14ac:dyDescent="0.3">
      <c r="B775" s="194"/>
      <c r="D775" s="172"/>
      <c r="F775" s="173"/>
      <c r="G775" s="171"/>
    </row>
    <row r="776" spans="2:7" ht="15.75" customHeight="1" x14ac:dyDescent="0.3">
      <c r="B776" s="194"/>
      <c r="D776" s="172"/>
      <c r="F776" s="173"/>
      <c r="G776" s="171"/>
    </row>
    <row r="777" spans="2:7" ht="15.75" customHeight="1" x14ac:dyDescent="0.3">
      <c r="B777" s="194"/>
      <c r="D777" s="172"/>
      <c r="F777" s="173"/>
      <c r="G777" s="171"/>
    </row>
    <row r="778" spans="2:7" ht="15.75" customHeight="1" x14ac:dyDescent="0.3">
      <c r="B778" s="194"/>
      <c r="D778" s="172"/>
      <c r="F778" s="173"/>
      <c r="G778" s="171"/>
    </row>
    <row r="779" spans="2:7" ht="15.75" customHeight="1" x14ac:dyDescent="0.3">
      <c r="B779" s="194"/>
      <c r="D779" s="172"/>
      <c r="F779" s="173"/>
      <c r="G779" s="171"/>
    </row>
    <row r="780" spans="2:7" ht="15.75" customHeight="1" x14ac:dyDescent="0.3">
      <c r="B780" s="194"/>
      <c r="D780" s="172"/>
      <c r="F780" s="173"/>
      <c r="G780" s="171"/>
    </row>
    <row r="781" spans="2:7" ht="15.75" customHeight="1" x14ac:dyDescent="0.3">
      <c r="B781" s="194"/>
      <c r="D781" s="172"/>
      <c r="F781" s="173"/>
      <c r="G781" s="171"/>
    </row>
    <row r="782" spans="2:7" ht="15.75" customHeight="1" x14ac:dyDescent="0.3">
      <c r="B782" s="194"/>
      <c r="D782" s="172"/>
      <c r="F782" s="173"/>
      <c r="G782" s="171"/>
    </row>
    <row r="783" spans="2:7" ht="15.75" customHeight="1" x14ac:dyDescent="0.3">
      <c r="B783" s="194"/>
      <c r="D783" s="172"/>
      <c r="F783" s="173"/>
      <c r="G783" s="171"/>
    </row>
    <row r="784" spans="2:7" ht="15.75" customHeight="1" x14ac:dyDescent="0.3">
      <c r="B784" s="194"/>
      <c r="D784" s="172"/>
      <c r="F784" s="173"/>
      <c r="G784" s="171"/>
    </row>
    <row r="785" spans="2:7" ht="15.75" customHeight="1" x14ac:dyDescent="0.3">
      <c r="B785" s="194"/>
      <c r="D785" s="172"/>
      <c r="F785" s="173"/>
      <c r="G785" s="171"/>
    </row>
    <row r="786" spans="2:7" ht="15.75" customHeight="1" x14ac:dyDescent="0.3">
      <c r="B786" s="194"/>
      <c r="D786" s="172"/>
      <c r="F786" s="173"/>
      <c r="G786" s="171"/>
    </row>
    <row r="787" spans="2:7" ht="15.75" customHeight="1" x14ac:dyDescent="0.3">
      <c r="B787" s="194"/>
      <c r="D787" s="172"/>
      <c r="F787" s="173"/>
      <c r="G787" s="171"/>
    </row>
    <row r="788" spans="2:7" ht="15.75" customHeight="1" x14ac:dyDescent="0.3">
      <c r="B788" s="194"/>
      <c r="D788" s="172"/>
      <c r="F788" s="173"/>
      <c r="G788" s="171"/>
    </row>
    <row r="789" spans="2:7" ht="15.75" customHeight="1" x14ac:dyDescent="0.3">
      <c r="B789" s="194"/>
      <c r="D789" s="172"/>
      <c r="F789" s="173"/>
      <c r="G789" s="171"/>
    </row>
    <row r="790" spans="2:7" ht="15.75" customHeight="1" x14ac:dyDescent="0.3">
      <c r="B790" s="194"/>
      <c r="D790" s="172"/>
      <c r="F790" s="173"/>
      <c r="G790" s="171"/>
    </row>
    <row r="791" spans="2:7" ht="15.75" customHeight="1" x14ac:dyDescent="0.3">
      <c r="B791" s="194"/>
      <c r="D791" s="172"/>
      <c r="F791" s="173"/>
      <c r="G791" s="171"/>
    </row>
    <row r="792" spans="2:7" ht="15.75" customHeight="1" x14ac:dyDescent="0.3">
      <c r="B792" s="194"/>
      <c r="D792" s="172"/>
      <c r="F792" s="173"/>
      <c r="G792" s="171"/>
    </row>
    <row r="793" spans="2:7" ht="15.75" customHeight="1" x14ac:dyDescent="0.3">
      <c r="B793" s="194"/>
      <c r="D793" s="172"/>
      <c r="F793" s="173"/>
      <c r="G793" s="171"/>
    </row>
    <row r="794" spans="2:7" ht="15.75" customHeight="1" x14ac:dyDescent="0.3">
      <c r="B794" s="194"/>
      <c r="D794" s="172"/>
      <c r="F794" s="173"/>
      <c r="G794" s="171"/>
    </row>
    <row r="795" spans="2:7" ht="15.75" customHeight="1" x14ac:dyDescent="0.3">
      <c r="B795" s="194"/>
      <c r="D795" s="172"/>
      <c r="F795" s="173"/>
      <c r="G795" s="171"/>
    </row>
    <row r="796" spans="2:7" ht="15.75" customHeight="1" x14ac:dyDescent="0.3">
      <c r="B796" s="194"/>
      <c r="D796" s="172"/>
      <c r="F796" s="173"/>
      <c r="G796" s="171"/>
    </row>
    <row r="797" spans="2:7" ht="15.75" customHeight="1" x14ac:dyDescent="0.3">
      <c r="B797" s="194"/>
      <c r="D797" s="172"/>
      <c r="F797" s="173"/>
      <c r="G797" s="171"/>
    </row>
    <row r="798" spans="2:7" ht="15.75" customHeight="1" x14ac:dyDescent="0.3">
      <c r="B798" s="194"/>
      <c r="D798" s="172"/>
      <c r="F798" s="173"/>
      <c r="G798" s="171"/>
    </row>
    <row r="799" spans="2:7" ht="15.75" customHeight="1" x14ac:dyDescent="0.3">
      <c r="B799" s="194"/>
      <c r="D799" s="172"/>
      <c r="F799" s="173"/>
      <c r="G799" s="171"/>
    </row>
    <row r="800" spans="2:7" ht="15.75" customHeight="1" x14ac:dyDescent="0.3">
      <c r="B800" s="194"/>
      <c r="D800" s="172"/>
      <c r="F800" s="173"/>
      <c r="G800" s="171"/>
    </row>
    <row r="801" spans="2:7" ht="15.75" customHeight="1" x14ac:dyDescent="0.3">
      <c r="B801" s="194"/>
      <c r="D801" s="172"/>
      <c r="F801" s="173"/>
      <c r="G801" s="171"/>
    </row>
    <row r="802" spans="2:7" ht="15.75" customHeight="1" x14ac:dyDescent="0.3">
      <c r="B802" s="194"/>
      <c r="D802" s="172"/>
      <c r="F802" s="173"/>
      <c r="G802" s="171"/>
    </row>
    <row r="803" spans="2:7" ht="15.75" customHeight="1" x14ac:dyDescent="0.3">
      <c r="B803" s="194"/>
      <c r="D803" s="172"/>
      <c r="F803" s="173"/>
      <c r="G803" s="171"/>
    </row>
    <row r="804" spans="2:7" ht="15.75" customHeight="1" x14ac:dyDescent="0.3">
      <c r="B804" s="194"/>
      <c r="D804" s="172"/>
      <c r="F804" s="173"/>
      <c r="G804" s="171"/>
    </row>
    <row r="805" spans="2:7" ht="15.75" customHeight="1" x14ac:dyDescent="0.3">
      <c r="B805" s="194"/>
      <c r="D805" s="172"/>
      <c r="F805" s="173"/>
      <c r="G805" s="171"/>
    </row>
    <row r="806" spans="2:7" ht="15.75" customHeight="1" x14ac:dyDescent="0.3">
      <c r="B806" s="194"/>
      <c r="D806" s="172"/>
      <c r="F806" s="173"/>
      <c r="G806" s="171"/>
    </row>
    <row r="807" spans="2:7" ht="15.75" customHeight="1" x14ac:dyDescent="0.3">
      <c r="B807" s="194"/>
      <c r="D807" s="172"/>
      <c r="F807" s="173"/>
      <c r="G807" s="171"/>
    </row>
    <row r="808" spans="2:7" ht="15.75" customHeight="1" x14ac:dyDescent="0.3">
      <c r="B808" s="194"/>
      <c r="D808" s="172"/>
      <c r="F808" s="173"/>
      <c r="G808" s="171"/>
    </row>
    <row r="809" spans="2:7" ht="15.75" customHeight="1" x14ac:dyDescent="0.3">
      <c r="B809" s="194"/>
      <c r="D809" s="172"/>
      <c r="F809" s="173"/>
      <c r="G809" s="171"/>
    </row>
    <row r="810" spans="2:7" ht="15.75" customHeight="1" x14ac:dyDescent="0.3">
      <c r="B810" s="194"/>
      <c r="D810" s="172"/>
      <c r="F810" s="173"/>
      <c r="G810" s="171"/>
    </row>
    <row r="811" spans="2:7" ht="15.75" customHeight="1" x14ac:dyDescent="0.3">
      <c r="B811" s="194"/>
      <c r="D811" s="172"/>
      <c r="F811" s="173"/>
      <c r="G811" s="171"/>
    </row>
    <row r="812" spans="2:7" ht="15.75" customHeight="1" x14ac:dyDescent="0.3">
      <c r="B812" s="194"/>
      <c r="D812" s="172"/>
      <c r="F812" s="173"/>
      <c r="G812" s="171"/>
    </row>
    <row r="813" spans="2:7" ht="15.75" customHeight="1" x14ac:dyDescent="0.3">
      <c r="B813" s="194"/>
      <c r="D813" s="172"/>
      <c r="F813" s="173"/>
      <c r="G813" s="171"/>
    </row>
    <row r="814" spans="2:7" ht="15.75" customHeight="1" x14ac:dyDescent="0.3">
      <c r="B814" s="194"/>
      <c r="D814" s="172"/>
      <c r="F814" s="173"/>
      <c r="G814" s="171"/>
    </row>
    <row r="815" spans="2:7" ht="15.75" customHeight="1" x14ac:dyDescent="0.3">
      <c r="B815" s="194"/>
      <c r="D815" s="172"/>
      <c r="F815" s="173"/>
      <c r="G815" s="171"/>
    </row>
    <row r="816" spans="2:7" ht="15.75" customHeight="1" x14ac:dyDescent="0.3">
      <c r="B816" s="194"/>
      <c r="D816" s="172"/>
      <c r="F816" s="173"/>
      <c r="G816" s="171"/>
    </row>
    <row r="817" spans="2:7" ht="15.75" customHeight="1" x14ac:dyDescent="0.3">
      <c r="B817" s="194"/>
      <c r="D817" s="172"/>
      <c r="F817" s="173"/>
      <c r="G817" s="171"/>
    </row>
    <row r="818" spans="2:7" ht="15.75" customHeight="1" x14ac:dyDescent="0.3">
      <c r="B818" s="194"/>
      <c r="D818" s="172"/>
      <c r="F818" s="173"/>
      <c r="G818" s="171"/>
    </row>
    <row r="819" spans="2:7" ht="15.75" customHeight="1" x14ac:dyDescent="0.3">
      <c r="B819" s="194"/>
      <c r="D819" s="172"/>
      <c r="F819" s="173"/>
      <c r="G819" s="171"/>
    </row>
    <row r="820" spans="2:7" ht="15.75" customHeight="1" x14ac:dyDescent="0.3">
      <c r="B820" s="194"/>
      <c r="D820" s="172"/>
      <c r="F820" s="173"/>
      <c r="G820" s="171"/>
    </row>
    <row r="821" spans="2:7" ht="15.75" customHeight="1" x14ac:dyDescent="0.3">
      <c r="B821" s="194"/>
      <c r="D821" s="172"/>
      <c r="F821" s="173"/>
      <c r="G821" s="171"/>
    </row>
    <row r="822" spans="2:7" ht="15.75" customHeight="1" x14ac:dyDescent="0.3">
      <c r="B822" s="194"/>
      <c r="D822" s="172"/>
      <c r="F822" s="173"/>
      <c r="G822" s="171"/>
    </row>
    <row r="823" spans="2:7" ht="15.75" customHeight="1" x14ac:dyDescent="0.3">
      <c r="B823" s="194"/>
      <c r="D823" s="172"/>
      <c r="F823" s="173"/>
      <c r="G823" s="171"/>
    </row>
    <row r="824" spans="2:7" ht="15.75" customHeight="1" x14ac:dyDescent="0.3">
      <c r="B824" s="194"/>
      <c r="D824" s="172"/>
      <c r="F824" s="173"/>
      <c r="G824" s="171"/>
    </row>
    <row r="825" spans="2:7" ht="15.75" customHeight="1" x14ac:dyDescent="0.3">
      <c r="B825" s="194"/>
      <c r="D825" s="172"/>
      <c r="F825" s="173"/>
      <c r="G825" s="171"/>
    </row>
    <row r="826" spans="2:7" ht="15.75" customHeight="1" x14ac:dyDescent="0.3">
      <c r="B826" s="194"/>
      <c r="D826" s="172"/>
      <c r="F826" s="173"/>
      <c r="G826" s="171"/>
    </row>
    <row r="827" spans="2:7" ht="15.75" customHeight="1" x14ac:dyDescent="0.3">
      <c r="B827" s="194"/>
      <c r="D827" s="172"/>
      <c r="F827" s="173"/>
      <c r="G827" s="171"/>
    </row>
    <row r="828" spans="2:7" ht="15.75" customHeight="1" x14ac:dyDescent="0.3">
      <c r="B828" s="194"/>
      <c r="D828" s="172"/>
      <c r="F828" s="173"/>
      <c r="G828" s="171"/>
    </row>
    <row r="829" spans="2:7" ht="15.75" customHeight="1" x14ac:dyDescent="0.3">
      <c r="B829" s="194"/>
      <c r="D829" s="172"/>
      <c r="F829" s="173"/>
      <c r="G829" s="171"/>
    </row>
    <row r="830" spans="2:7" ht="15.75" customHeight="1" x14ac:dyDescent="0.3">
      <c r="B830" s="194"/>
      <c r="D830" s="172"/>
      <c r="F830" s="173"/>
      <c r="G830" s="171"/>
    </row>
    <row r="831" spans="2:7" ht="15.75" customHeight="1" x14ac:dyDescent="0.3">
      <c r="B831" s="194"/>
      <c r="D831" s="172"/>
      <c r="F831" s="173"/>
      <c r="G831" s="171"/>
    </row>
    <row r="832" spans="2:7" ht="15.75" customHeight="1" x14ac:dyDescent="0.3">
      <c r="B832" s="194"/>
      <c r="D832" s="172"/>
      <c r="F832" s="173"/>
      <c r="G832" s="171"/>
    </row>
    <row r="833" spans="2:7" ht="15.75" customHeight="1" x14ac:dyDescent="0.3">
      <c r="B833" s="194"/>
      <c r="D833" s="172"/>
      <c r="F833" s="173"/>
      <c r="G833" s="171"/>
    </row>
    <row r="834" spans="2:7" ht="15.75" customHeight="1" x14ac:dyDescent="0.3">
      <c r="B834" s="194"/>
      <c r="D834" s="172"/>
      <c r="F834" s="173"/>
      <c r="G834" s="171"/>
    </row>
    <row r="835" spans="2:7" ht="15.75" customHeight="1" x14ac:dyDescent="0.3">
      <c r="B835" s="194"/>
      <c r="D835" s="172"/>
      <c r="F835" s="173"/>
      <c r="G835" s="171"/>
    </row>
    <row r="836" spans="2:7" ht="15.75" customHeight="1" x14ac:dyDescent="0.3">
      <c r="B836" s="194"/>
      <c r="D836" s="172"/>
      <c r="F836" s="173"/>
      <c r="G836" s="171"/>
    </row>
    <row r="837" spans="2:7" ht="15.75" customHeight="1" x14ac:dyDescent="0.3">
      <c r="B837" s="194"/>
      <c r="D837" s="172"/>
      <c r="F837" s="173"/>
      <c r="G837" s="171"/>
    </row>
    <row r="838" spans="2:7" ht="15.75" customHeight="1" x14ac:dyDescent="0.3">
      <c r="B838" s="194"/>
      <c r="D838" s="172"/>
      <c r="F838" s="173"/>
      <c r="G838" s="171"/>
    </row>
    <row r="839" spans="2:7" ht="15.75" customHeight="1" x14ac:dyDescent="0.3">
      <c r="B839" s="194"/>
      <c r="D839" s="172"/>
      <c r="F839" s="173"/>
      <c r="G839" s="171"/>
    </row>
    <row r="840" spans="2:7" ht="15.75" customHeight="1" x14ac:dyDescent="0.3">
      <c r="B840" s="194"/>
      <c r="D840" s="172"/>
      <c r="F840" s="173"/>
      <c r="G840" s="171"/>
    </row>
    <row r="841" spans="2:7" ht="15.75" customHeight="1" x14ac:dyDescent="0.3">
      <c r="B841" s="194"/>
      <c r="D841" s="172"/>
      <c r="F841" s="173"/>
      <c r="G841" s="171"/>
    </row>
    <row r="842" spans="2:7" ht="15.75" customHeight="1" x14ac:dyDescent="0.3">
      <c r="B842" s="194"/>
      <c r="D842" s="172"/>
      <c r="F842" s="173"/>
      <c r="G842" s="171"/>
    </row>
    <row r="843" spans="2:7" ht="15.75" customHeight="1" x14ac:dyDescent="0.3">
      <c r="B843" s="194"/>
      <c r="D843" s="172"/>
      <c r="F843" s="173"/>
      <c r="G843" s="171"/>
    </row>
    <row r="844" spans="2:7" ht="15.75" customHeight="1" x14ac:dyDescent="0.3">
      <c r="B844" s="194"/>
      <c r="D844" s="172"/>
      <c r="F844" s="173"/>
      <c r="G844" s="171"/>
    </row>
    <row r="845" spans="2:7" ht="15.75" customHeight="1" x14ac:dyDescent="0.3">
      <c r="B845" s="194"/>
      <c r="D845" s="172"/>
      <c r="F845" s="173"/>
      <c r="G845" s="171"/>
    </row>
    <row r="846" spans="2:7" ht="15.75" customHeight="1" x14ac:dyDescent="0.3">
      <c r="B846" s="194"/>
      <c r="D846" s="172"/>
      <c r="F846" s="173"/>
      <c r="G846" s="171"/>
    </row>
    <row r="847" spans="2:7" ht="15.75" customHeight="1" x14ac:dyDescent="0.3">
      <c r="B847" s="194"/>
      <c r="D847" s="172"/>
      <c r="F847" s="173"/>
      <c r="G847" s="171"/>
    </row>
    <row r="848" spans="2:7" ht="15.75" customHeight="1" x14ac:dyDescent="0.3">
      <c r="B848" s="194"/>
      <c r="D848" s="172"/>
      <c r="F848" s="173"/>
      <c r="G848" s="171"/>
    </row>
    <row r="849" spans="2:7" ht="15.75" customHeight="1" x14ac:dyDescent="0.3">
      <c r="B849" s="194"/>
      <c r="D849" s="172"/>
      <c r="F849" s="173"/>
      <c r="G849" s="171"/>
    </row>
    <row r="850" spans="2:7" ht="15.75" customHeight="1" x14ac:dyDescent="0.3">
      <c r="B850" s="194"/>
      <c r="D850" s="172"/>
      <c r="F850" s="173"/>
      <c r="G850" s="171"/>
    </row>
    <row r="851" spans="2:7" ht="15.75" customHeight="1" x14ac:dyDescent="0.3">
      <c r="B851" s="194"/>
      <c r="D851" s="172"/>
      <c r="F851" s="173"/>
      <c r="G851" s="171"/>
    </row>
    <row r="852" spans="2:7" ht="15.75" customHeight="1" x14ac:dyDescent="0.3">
      <c r="B852" s="194"/>
      <c r="D852" s="172"/>
      <c r="F852" s="173"/>
      <c r="G852" s="171"/>
    </row>
    <row r="853" spans="2:7" ht="15.75" customHeight="1" x14ac:dyDescent="0.3">
      <c r="B853" s="194"/>
      <c r="D853" s="172"/>
      <c r="F853" s="173"/>
      <c r="G853" s="171"/>
    </row>
    <row r="854" spans="2:7" ht="15.75" customHeight="1" x14ac:dyDescent="0.3">
      <c r="B854" s="194"/>
      <c r="D854" s="172"/>
      <c r="F854" s="173"/>
      <c r="G854" s="171"/>
    </row>
    <row r="855" spans="2:7" ht="15.75" customHeight="1" x14ac:dyDescent="0.3">
      <c r="B855" s="194"/>
      <c r="D855" s="172"/>
      <c r="F855" s="173"/>
      <c r="G855" s="171"/>
    </row>
    <row r="856" spans="2:7" ht="15.75" customHeight="1" x14ac:dyDescent="0.3">
      <c r="B856" s="194"/>
      <c r="D856" s="172"/>
      <c r="F856" s="173"/>
      <c r="G856" s="171"/>
    </row>
    <row r="857" spans="2:7" ht="15.75" customHeight="1" x14ac:dyDescent="0.3">
      <c r="B857" s="194"/>
      <c r="D857" s="172"/>
      <c r="F857" s="173"/>
      <c r="G857" s="171"/>
    </row>
    <row r="858" spans="2:7" ht="15.75" customHeight="1" x14ac:dyDescent="0.3">
      <c r="B858" s="194"/>
      <c r="D858" s="172"/>
      <c r="F858" s="173"/>
      <c r="G858" s="171"/>
    </row>
    <row r="859" spans="2:7" ht="15" customHeight="1" x14ac:dyDescent="0.3">
      <c r="B859" s="194"/>
      <c r="D859" s="172"/>
      <c r="F859" s="173"/>
      <c r="G859" s="171"/>
    </row>
    <row r="860" spans="2:7" ht="15" customHeight="1" x14ac:dyDescent="0.3">
      <c r="B860" s="194"/>
      <c r="D860" s="172"/>
      <c r="F860" s="173"/>
      <c r="G860" s="171"/>
    </row>
    <row r="861" spans="2:7" ht="15" customHeight="1" x14ac:dyDescent="0.3">
      <c r="B861" s="194"/>
      <c r="D861" s="172"/>
      <c r="F861" s="173"/>
      <c r="G861" s="171"/>
    </row>
    <row r="862" spans="2:7" ht="15" customHeight="1" x14ac:dyDescent="0.3">
      <c r="B862" s="194"/>
      <c r="D862" s="172"/>
      <c r="F862" s="173"/>
      <c r="G862" s="171"/>
    </row>
    <row r="863" spans="2:7" ht="15" customHeight="1" x14ac:dyDescent="0.3">
      <c r="B863" s="194"/>
      <c r="D863" s="172"/>
      <c r="F863" s="173"/>
      <c r="G863" s="171"/>
    </row>
    <row r="864" spans="2:7" ht="15" customHeight="1" x14ac:dyDescent="0.3">
      <c r="B864" s="194"/>
      <c r="D864" s="172"/>
      <c r="F864" s="173"/>
      <c r="G864" s="171"/>
    </row>
    <row r="865" spans="2:7" ht="15" customHeight="1" x14ac:dyDescent="0.3">
      <c r="B865" s="194"/>
      <c r="D865" s="172"/>
      <c r="F865" s="173"/>
      <c r="G865" s="171"/>
    </row>
    <row r="866" spans="2:7" ht="15" customHeight="1" x14ac:dyDescent="0.3">
      <c r="B866" s="194"/>
      <c r="D866" s="172"/>
      <c r="F866" s="173"/>
      <c r="G866" s="171"/>
    </row>
    <row r="867" spans="2:7" ht="15" customHeight="1" x14ac:dyDescent="0.3">
      <c r="B867" s="194"/>
      <c r="D867" s="172"/>
      <c r="F867" s="173"/>
      <c r="G867" s="171"/>
    </row>
    <row r="868" spans="2:7" ht="15" customHeight="1" x14ac:dyDescent="0.3">
      <c r="B868" s="194"/>
      <c r="D868" s="172"/>
      <c r="F868" s="173"/>
      <c r="G868" s="171"/>
    </row>
    <row r="869" spans="2:7" ht="15" customHeight="1" x14ac:dyDescent="0.3">
      <c r="B869" s="194"/>
      <c r="D869" s="172"/>
      <c r="F869" s="173"/>
      <c r="G869" s="171"/>
    </row>
    <row r="870" spans="2:7" ht="15" customHeight="1" x14ac:dyDescent="0.3">
      <c r="B870" s="194"/>
      <c r="D870" s="172"/>
      <c r="F870" s="173"/>
      <c r="G870" s="171"/>
    </row>
    <row r="871" spans="2:7" ht="15" customHeight="1" x14ac:dyDescent="0.3">
      <c r="B871" s="194"/>
      <c r="D871" s="172"/>
      <c r="F871" s="173"/>
      <c r="G871" s="171"/>
    </row>
    <row r="872" spans="2:7" ht="15" customHeight="1" x14ac:dyDescent="0.3">
      <c r="D872" s="172"/>
      <c r="F872" s="173"/>
      <c r="G872" s="171"/>
    </row>
    <row r="873" spans="2:7" ht="15" customHeight="1" x14ac:dyDescent="0.3">
      <c r="D873" s="172"/>
      <c r="F873" s="173"/>
      <c r="G873" s="171"/>
    </row>
    <row r="874" spans="2:7" ht="15" customHeight="1" x14ac:dyDescent="0.3">
      <c r="D874" s="172"/>
      <c r="F874" s="173"/>
      <c r="G874" s="171"/>
    </row>
    <row r="875" spans="2:7" ht="15" customHeight="1" x14ac:dyDescent="0.3">
      <c r="D875" s="172"/>
      <c r="F875" s="173"/>
      <c r="G875" s="171"/>
    </row>
    <row r="876" spans="2:7" ht="15" customHeight="1" x14ac:dyDescent="0.3">
      <c r="D876" s="172"/>
      <c r="F876" s="173"/>
      <c r="G876" s="171"/>
    </row>
  </sheetData>
  <phoneticPr fontId="39" type="noConversion"/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9"/>
  <dimension ref="B3:D1000"/>
  <sheetViews>
    <sheetView showGridLines="0" workbookViewId="0">
      <selection activeCell="E11" sqref="E11"/>
    </sheetView>
  </sheetViews>
  <sheetFormatPr defaultColWidth="14.44140625" defaultRowHeight="15" customHeight="1" x14ac:dyDescent="0.3"/>
  <cols>
    <col min="1" max="1" width="8.6640625" customWidth="1"/>
    <col min="2" max="3" width="10.33203125" customWidth="1"/>
    <col min="4" max="4" width="12.44140625" customWidth="1"/>
    <col min="5" max="26" width="8.6640625" customWidth="1"/>
  </cols>
  <sheetData>
    <row r="3" spans="2:4" ht="14.4" x14ac:dyDescent="0.3">
      <c r="B3" s="4" t="s">
        <v>195</v>
      </c>
      <c r="C3" s="4" t="s">
        <v>121</v>
      </c>
      <c r="D3" s="4" t="s">
        <v>207</v>
      </c>
    </row>
    <row r="4" spans="2:4" ht="14.4" x14ac:dyDescent="0.3">
      <c r="B4" s="4">
        <v>10000</v>
      </c>
      <c r="C4" s="4">
        <v>52</v>
      </c>
      <c r="D4" s="4" t="s">
        <v>226</v>
      </c>
    </row>
    <row r="5" spans="2:4" ht="14.4" x14ac:dyDescent="0.3">
      <c r="B5" s="4">
        <v>2000</v>
      </c>
      <c r="C5" s="4">
        <v>45</v>
      </c>
      <c r="D5" s="4" t="s">
        <v>227</v>
      </c>
    </row>
    <row r="6" spans="2:4" ht="14.4" x14ac:dyDescent="0.3">
      <c r="B6" s="4">
        <v>500</v>
      </c>
      <c r="C6" s="4">
        <v>10</v>
      </c>
      <c r="D6" s="4" t="s">
        <v>226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0"/>
  <dimension ref="A1:Z1000"/>
  <sheetViews>
    <sheetView showGridLines="0" topLeftCell="C6" workbookViewId="0">
      <selection activeCell="M6" sqref="M6"/>
    </sheetView>
  </sheetViews>
  <sheetFormatPr defaultColWidth="14.44140625" defaultRowHeight="15" customHeight="1" x14ac:dyDescent="0.3"/>
  <cols>
    <col min="1" max="1" width="1.6640625" customWidth="1"/>
    <col min="2" max="2" width="15.88671875" customWidth="1"/>
    <col min="3" max="4" width="8" customWidth="1"/>
    <col min="5" max="5" width="10.109375" customWidth="1"/>
    <col min="6" max="6" width="38" customWidth="1"/>
    <col min="7" max="7" width="43.44140625" customWidth="1"/>
    <col min="8" max="8" width="30.5546875" customWidth="1"/>
    <col min="9" max="9" width="5.44140625" customWidth="1"/>
    <col min="10" max="10" width="14.6640625" customWidth="1"/>
    <col min="11" max="11" width="11.88671875" customWidth="1"/>
    <col min="12" max="26" width="9.109375" customWidth="1"/>
  </cols>
  <sheetData>
    <row r="1" spans="1:26" ht="12.75" customHeight="1" x14ac:dyDescent="0.3">
      <c r="A1" s="69"/>
      <c r="B1" s="69"/>
      <c r="C1" s="69"/>
      <c r="D1" s="69"/>
      <c r="E1" s="69"/>
      <c r="F1" s="103"/>
      <c r="G1" s="103"/>
      <c r="H1" s="103"/>
      <c r="I1" s="103"/>
      <c r="J1" s="95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12.75" customHeight="1" x14ac:dyDescent="0.3">
      <c r="A2" s="104"/>
      <c r="B2" s="104" t="s">
        <v>228</v>
      </c>
      <c r="C2" s="104" t="s">
        <v>229</v>
      </c>
      <c r="D2" s="104" t="s">
        <v>230</v>
      </c>
      <c r="E2" s="104" t="s">
        <v>231</v>
      </c>
      <c r="F2" s="105" t="s">
        <v>232</v>
      </c>
      <c r="G2" s="105" t="s">
        <v>233</v>
      </c>
      <c r="H2" s="105" t="s">
        <v>234</v>
      </c>
      <c r="I2" s="105" t="s">
        <v>182</v>
      </c>
      <c r="J2" s="105" t="s">
        <v>183</v>
      </c>
      <c r="K2" s="104" t="s">
        <v>235</v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spans="1:26" ht="39" customHeight="1" x14ac:dyDescent="0.3">
      <c r="A3" s="69"/>
      <c r="B3" s="93" t="s">
        <v>155</v>
      </c>
      <c r="C3" s="93" t="s">
        <v>189</v>
      </c>
      <c r="D3" s="93" t="s">
        <v>219</v>
      </c>
      <c r="E3" s="93" t="s">
        <v>185</v>
      </c>
      <c r="F3" s="106" t="s">
        <v>2539</v>
      </c>
      <c r="G3" s="106" t="s">
        <v>276</v>
      </c>
      <c r="H3" s="106" t="s">
        <v>61</v>
      </c>
      <c r="I3" s="106">
        <v>1</v>
      </c>
      <c r="J3" s="107" t="s">
        <v>236</v>
      </c>
      <c r="K3" s="106" t="s">
        <v>145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39" customHeight="1" x14ac:dyDescent="0.3">
      <c r="A4" s="69"/>
      <c r="B4" s="93" t="s">
        <v>162</v>
      </c>
      <c r="C4" s="93" t="s">
        <v>237</v>
      </c>
      <c r="D4" s="93" t="s">
        <v>223</v>
      </c>
      <c r="E4" s="93" t="s">
        <v>238</v>
      </c>
      <c r="F4" s="106"/>
      <c r="G4" s="106" t="s">
        <v>239</v>
      </c>
      <c r="H4" s="106" t="s">
        <v>63</v>
      </c>
      <c r="I4" s="106">
        <v>1</v>
      </c>
      <c r="J4" s="107" t="s">
        <v>187</v>
      </c>
      <c r="K4" s="106" t="s">
        <v>240</v>
      </c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39" customHeight="1" x14ac:dyDescent="0.3">
      <c r="A5" s="69"/>
      <c r="B5" s="93" t="s">
        <v>222</v>
      </c>
      <c r="C5" s="93" t="s">
        <v>241</v>
      </c>
      <c r="D5" s="93"/>
      <c r="E5" s="93" t="s">
        <v>242</v>
      </c>
      <c r="F5" s="106"/>
      <c r="G5" s="106" t="s">
        <v>275</v>
      </c>
      <c r="H5" s="106" t="s">
        <v>186</v>
      </c>
      <c r="I5" s="106">
        <v>1</v>
      </c>
      <c r="J5" s="107"/>
      <c r="K5" s="108" t="s">
        <v>300</v>
      </c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39" customHeight="1" x14ac:dyDescent="0.3">
      <c r="A6" s="69"/>
      <c r="B6" s="93" t="s">
        <v>243</v>
      </c>
      <c r="C6" s="93" t="s">
        <v>244</v>
      </c>
      <c r="D6" s="93"/>
      <c r="E6" s="93" t="s">
        <v>245</v>
      </c>
      <c r="F6" s="106"/>
      <c r="G6" s="106" t="s">
        <v>246</v>
      </c>
      <c r="H6" s="106" t="s">
        <v>247</v>
      </c>
      <c r="I6" s="106">
        <v>2</v>
      </c>
      <c r="J6" s="107"/>
      <c r="K6" s="108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39" customHeight="1" x14ac:dyDescent="0.3">
      <c r="A7" s="69"/>
      <c r="B7" s="93" t="s">
        <v>150</v>
      </c>
      <c r="C7" s="93"/>
      <c r="D7" s="93"/>
      <c r="E7" s="93" t="s">
        <v>101</v>
      </c>
      <c r="F7" s="106"/>
      <c r="G7" s="106" t="s">
        <v>283</v>
      </c>
      <c r="H7" s="106" t="s">
        <v>248</v>
      </c>
      <c r="I7" s="106">
        <v>4</v>
      </c>
      <c r="J7" s="107"/>
      <c r="K7" s="108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39" customHeight="1" x14ac:dyDescent="0.3">
      <c r="A8" s="69"/>
      <c r="B8" s="108" t="s">
        <v>144</v>
      </c>
      <c r="C8" s="108"/>
      <c r="D8" s="108"/>
      <c r="E8" s="108" t="s">
        <v>249</v>
      </c>
      <c r="F8" s="106"/>
      <c r="G8" s="106" t="s">
        <v>218</v>
      </c>
      <c r="H8" s="106" t="s">
        <v>250</v>
      </c>
      <c r="I8" s="106">
        <v>8</v>
      </c>
      <c r="J8" s="107"/>
      <c r="K8" s="108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39" customHeight="1" x14ac:dyDescent="0.3">
      <c r="A9" s="69"/>
      <c r="B9" s="108" t="s">
        <v>251</v>
      </c>
      <c r="C9" s="108"/>
      <c r="D9" s="108"/>
      <c r="E9" s="108" t="s">
        <v>252</v>
      </c>
      <c r="F9" s="106"/>
      <c r="G9" s="106" t="s">
        <v>221</v>
      </c>
      <c r="H9" s="106" t="s">
        <v>253</v>
      </c>
      <c r="I9" s="106">
        <v>16</v>
      </c>
      <c r="J9" s="107"/>
      <c r="K9" s="108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39" customHeight="1" x14ac:dyDescent="0.3">
      <c r="A10" s="69"/>
      <c r="B10" s="108"/>
      <c r="C10" s="108"/>
      <c r="D10" s="108"/>
      <c r="E10" s="108" t="s">
        <v>254</v>
      </c>
      <c r="F10" s="106"/>
      <c r="G10" s="106" t="s">
        <v>158</v>
      </c>
      <c r="H10" s="106" t="s">
        <v>255</v>
      </c>
      <c r="I10" s="122">
        <v>13.45</v>
      </c>
      <c r="J10" s="107"/>
      <c r="K10" s="108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39" customHeight="1" x14ac:dyDescent="0.3">
      <c r="A11" s="69"/>
      <c r="B11" s="108"/>
      <c r="C11" s="108"/>
      <c r="D11" s="108"/>
      <c r="E11" s="108" t="s">
        <v>256</v>
      </c>
      <c r="F11" s="106"/>
      <c r="G11" s="106" t="s">
        <v>257</v>
      </c>
      <c r="H11" s="106" t="s">
        <v>258</v>
      </c>
      <c r="I11" s="106"/>
      <c r="J11" s="107"/>
      <c r="K11" s="108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39" customHeight="1" x14ac:dyDescent="0.3">
      <c r="A12" s="69"/>
      <c r="B12" s="108"/>
      <c r="C12" s="108"/>
      <c r="D12" s="108"/>
      <c r="E12" s="108" t="s">
        <v>259</v>
      </c>
      <c r="F12" s="106"/>
      <c r="G12" s="106" t="s">
        <v>260</v>
      </c>
      <c r="H12" s="106"/>
      <c r="I12" s="106"/>
      <c r="J12" s="107"/>
      <c r="K12" s="108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39" customHeight="1" x14ac:dyDescent="0.3">
      <c r="A13" s="69"/>
      <c r="B13" s="108"/>
      <c r="C13" s="108"/>
      <c r="D13" s="108"/>
      <c r="E13" s="108"/>
      <c r="F13" s="103"/>
      <c r="G13" s="106" t="s">
        <v>261</v>
      </c>
      <c r="H13" s="106"/>
      <c r="I13" s="106"/>
      <c r="J13" s="107"/>
      <c r="K13" s="108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39" customHeight="1" x14ac:dyDescent="0.3">
      <c r="A14" s="69"/>
      <c r="B14" s="108"/>
      <c r="C14" s="108"/>
      <c r="D14" s="108"/>
      <c r="E14" s="108"/>
      <c r="F14" s="103"/>
      <c r="G14" s="106" t="s">
        <v>262</v>
      </c>
      <c r="H14" s="106"/>
      <c r="I14" s="106"/>
      <c r="J14" s="107"/>
      <c r="K14" s="108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39" customHeight="1" x14ac:dyDescent="0.3">
      <c r="A15" s="69"/>
      <c r="B15" s="108"/>
      <c r="C15" s="108"/>
      <c r="D15" s="108"/>
      <c r="E15" s="108"/>
      <c r="F15" s="103"/>
      <c r="G15" s="106" t="s">
        <v>263</v>
      </c>
      <c r="H15" s="106"/>
      <c r="I15" s="106"/>
      <c r="J15" s="107"/>
      <c r="K15" s="108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39" customHeight="1" x14ac:dyDescent="0.3">
      <c r="A16" s="69"/>
      <c r="B16" s="108"/>
      <c r="C16" s="108"/>
      <c r="D16" s="108"/>
      <c r="E16" s="108"/>
      <c r="F16" s="103"/>
      <c r="G16" s="106" t="s">
        <v>280</v>
      </c>
      <c r="H16" s="106"/>
      <c r="I16" s="106"/>
      <c r="J16" s="107"/>
      <c r="K16" s="108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39" customHeight="1" x14ac:dyDescent="0.3">
      <c r="A17" s="69"/>
      <c r="B17" s="108"/>
      <c r="C17" s="108"/>
      <c r="D17" s="108"/>
      <c r="E17" s="108"/>
      <c r="F17" s="103"/>
      <c r="G17" s="106" t="s">
        <v>224</v>
      </c>
      <c r="H17" s="106"/>
      <c r="I17" s="106"/>
      <c r="J17" s="107"/>
      <c r="K17" s="108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39" customHeight="1" x14ac:dyDescent="0.3">
      <c r="A18" s="69"/>
      <c r="B18" s="108"/>
      <c r="C18" s="108"/>
      <c r="D18" s="108"/>
      <c r="E18" s="108"/>
      <c r="F18" s="103"/>
      <c r="G18" s="106" t="s">
        <v>225</v>
      </c>
      <c r="H18" s="106"/>
      <c r="I18" s="106"/>
      <c r="J18" s="107"/>
      <c r="K18" s="108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39" customHeight="1" x14ac:dyDescent="0.3">
      <c r="A19" s="69"/>
      <c r="B19" s="69"/>
      <c r="C19" s="69"/>
      <c r="D19" s="69"/>
      <c r="E19" s="69"/>
      <c r="F19" s="103"/>
      <c r="G19" s="106" t="s">
        <v>291</v>
      </c>
      <c r="H19" s="103"/>
      <c r="I19" s="103"/>
      <c r="J19" s="95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34.950000000000003" customHeight="1" x14ac:dyDescent="0.3">
      <c r="A20" s="69"/>
      <c r="B20" s="69"/>
      <c r="C20" s="69"/>
      <c r="D20" s="69"/>
      <c r="E20" s="69"/>
      <c r="F20" s="103"/>
      <c r="G20" s="106" t="s">
        <v>278</v>
      </c>
      <c r="H20" s="103"/>
      <c r="I20" s="103"/>
      <c r="J20" s="95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24.6" customHeight="1" x14ac:dyDescent="0.3">
      <c r="A21" s="69"/>
      <c r="B21" s="69"/>
      <c r="C21" s="69"/>
      <c r="D21" s="69"/>
      <c r="E21" s="69"/>
      <c r="F21" s="103"/>
      <c r="G21" s="106" t="s">
        <v>279</v>
      </c>
      <c r="H21" s="103"/>
      <c r="I21" s="103"/>
      <c r="J21" s="95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27.6" customHeight="1" x14ac:dyDescent="0.3">
      <c r="A22" s="69"/>
      <c r="B22" s="69"/>
      <c r="C22" s="69"/>
      <c r="D22" s="69"/>
      <c r="E22" s="69"/>
      <c r="F22" s="103"/>
      <c r="G22" s="106" t="s">
        <v>161</v>
      </c>
      <c r="H22" s="103"/>
      <c r="I22" s="103"/>
      <c r="J22" s="95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2.75" customHeight="1" x14ac:dyDescent="0.3">
      <c r="A23" s="69"/>
      <c r="B23" s="69"/>
      <c r="C23" s="69"/>
      <c r="D23" s="69"/>
      <c r="E23" s="69"/>
      <c r="F23" s="103"/>
      <c r="G23" s="106" t="s">
        <v>277</v>
      </c>
      <c r="H23" s="103"/>
      <c r="I23" s="103"/>
      <c r="J23" s="95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2.75" customHeight="1" x14ac:dyDescent="0.3">
      <c r="A24" s="69"/>
      <c r="B24" s="69"/>
      <c r="C24" s="69"/>
      <c r="D24" s="69"/>
      <c r="E24" s="69"/>
      <c r="F24" s="103"/>
      <c r="G24" s="106" t="s">
        <v>281</v>
      </c>
      <c r="H24" s="103"/>
      <c r="I24" s="103"/>
      <c r="J24" s="95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27" customHeight="1" x14ac:dyDescent="0.3">
      <c r="A25" s="69"/>
      <c r="B25" s="69"/>
      <c r="C25" s="69"/>
      <c r="D25" s="69"/>
      <c r="E25" s="69"/>
      <c r="F25" s="103"/>
      <c r="G25" s="106" t="s">
        <v>285</v>
      </c>
      <c r="H25" s="103"/>
      <c r="I25" s="103"/>
      <c r="J25" s="95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27.6" x14ac:dyDescent="0.3">
      <c r="A26" s="69"/>
      <c r="B26" s="69"/>
      <c r="C26" s="69"/>
      <c r="D26" s="69"/>
      <c r="E26" s="69"/>
      <c r="F26" s="103"/>
      <c r="G26" s="106" t="s">
        <v>282</v>
      </c>
      <c r="H26" s="103"/>
      <c r="I26" s="103"/>
      <c r="J26" s="95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69" x14ac:dyDescent="0.3">
      <c r="A27" s="69"/>
      <c r="B27" s="69"/>
      <c r="C27" s="69"/>
      <c r="D27" s="69"/>
      <c r="E27" s="69"/>
      <c r="F27" s="103"/>
      <c r="G27" s="106" t="s">
        <v>286</v>
      </c>
      <c r="H27" s="103"/>
      <c r="I27" s="103"/>
      <c r="J27" s="95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2.75" customHeight="1" x14ac:dyDescent="0.3">
      <c r="A28" s="69"/>
      <c r="B28" s="69"/>
      <c r="C28" s="69"/>
      <c r="D28" s="69"/>
      <c r="E28" s="69"/>
      <c r="F28" s="103"/>
      <c r="G28" s="106" t="s">
        <v>290</v>
      </c>
      <c r="H28" s="103"/>
      <c r="I28" s="103"/>
      <c r="J28" s="95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2.75" customHeight="1" x14ac:dyDescent="0.3">
      <c r="A29" s="69"/>
      <c r="B29" s="69"/>
      <c r="C29" s="69"/>
      <c r="D29" s="69"/>
      <c r="E29" s="69"/>
      <c r="F29" s="103"/>
      <c r="G29" s="106" t="s">
        <v>292</v>
      </c>
      <c r="H29" s="103"/>
      <c r="I29" s="103"/>
      <c r="J29" s="95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2.75" customHeight="1" x14ac:dyDescent="0.3">
      <c r="A30" s="69"/>
      <c r="B30" s="69"/>
      <c r="C30" s="69"/>
      <c r="D30" s="69"/>
      <c r="E30" s="69"/>
      <c r="F30" s="103"/>
      <c r="G30" s="106" t="s">
        <v>293</v>
      </c>
      <c r="H30" s="103"/>
      <c r="I30" s="103"/>
      <c r="J30" s="95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2.75" customHeight="1" x14ac:dyDescent="0.3">
      <c r="A31" s="69"/>
      <c r="B31" s="69"/>
      <c r="C31" s="69"/>
      <c r="D31" s="69"/>
      <c r="E31" s="69"/>
      <c r="F31" s="103"/>
      <c r="G31" s="106" t="s">
        <v>295</v>
      </c>
      <c r="H31" s="103"/>
      <c r="I31" s="103"/>
      <c r="J31" s="95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2.75" customHeight="1" x14ac:dyDescent="0.3">
      <c r="A32" s="69"/>
      <c r="B32" s="69"/>
      <c r="C32" s="69"/>
      <c r="D32" s="69"/>
      <c r="E32" s="69"/>
      <c r="F32" s="103"/>
      <c r="G32" s="123" t="s">
        <v>301</v>
      </c>
      <c r="H32" s="103"/>
      <c r="I32" s="103"/>
      <c r="J32" s="95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2.75" customHeight="1" x14ac:dyDescent="0.3">
      <c r="A33" s="69"/>
      <c r="B33" s="69"/>
      <c r="C33" s="69"/>
      <c r="D33" s="69"/>
      <c r="E33" s="69"/>
      <c r="F33" s="103"/>
      <c r="G33" s="123" t="s">
        <v>302</v>
      </c>
      <c r="H33" s="103"/>
      <c r="I33" s="103"/>
      <c r="J33" s="95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2.75" customHeight="1" x14ac:dyDescent="0.3">
      <c r="A34" s="69"/>
      <c r="B34" s="69"/>
      <c r="C34" s="69"/>
      <c r="D34" s="69"/>
      <c r="E34" s="69"/>
      <c r="F34" s="103"/>
      <c r="G34" s="123" t="s">
        <v>306</v>
      </c>
      <c r="H34" s="103"/>
      <c r="I34" s="103"/>
      <c r="J34" s="95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2.75" customHeight="1" x14ac:dyDescent="0.3">
      <c r="A35" s="69"/>
      <c r="B35" s="69"/>
      <c r="C35" s="69"/>
      <c r="D35" s="69"/>
      <c r="E35" s="69"/>
      <c r="F35" s="103"/>
      <c r="G35" s="123" t="s">
        <v>308</v>
      </c>
      <c r="H35" s="103"/>
      <c r="I35" s="103"/>
      <c r="J35" s="95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2.75" customHeight="1" x14ac:dyDescent="0.3">
      <c r="A36" s="69"/>
      <c r="B36" s="69"/>
      <c r="C36" s="69"/>
      <c r="D36" s="69"/>
      <c r="E36" s="69"/>
      <c r="F36" s="103"/>
      <c r="G36" s="103"/>
      <c r="H36" s="103"/>
      <c r="I36" s="103"/>
      <c r="J36" s="95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2.75" customHeight="1" x14ac:dyDescent="0.3">
      <c r="A37" s="69"/>
      <c r="B37" s="69"/>
      <c r="C37" s="69"/>
      <c r="D37" s="69"/>
      <c r="E37" s="69"/>
      <c r="F37" s="103"/>
      <c r="G37" s="103"/>
      <c r="H37" s="103"/>
      <c r="I37" s="103"/>
      <c r="J37" s="95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2.75" customHeight="1" x14ac:dyDescent="0.3">
      <c r="A38" s="69"/>
      <c r="B38" s="69"/>
      <c r="C38" s="69"/>
      <c r="D38" s="69"/>
      <c r="E38" s="69"/>
      <c r="F38" s="103"/>
      <c r="G38" s="103"/>
      <c r="H38" s="103"/>
      <c r="I38" s="103"/>
      <c r="J38" s="95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2.75" customHeight="1" x14ac:dyDescent="0.3">
      <c r="A39" s="69"/>
      <c r="B39" s="69"/>
      <c r="C39" s="69"/>
      <c r="D39" s="69"/>
      <c r="E39" s="69"/>
      <c r="F39" s="103"/>
      <c r="G39" s="103"/>
      <c r="H39" s="103"/>
      <c r="I39" s="103"/>
      <c r="J39" s="95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2.75" customHeight="1" x14ac:dyDescent="0.3">
      <c r="A40" s="69"/>
      <c r="B40" s="69"/>
      <c r="C40" s="69"/>
      <c r="D40" s="69"/>
      <c r="E40" s="69"/>
      <c r="F40" s="103"/>
      <c r="G40" s="103"/>
      <c r="H40" s="103"/>
      <c r="I40" s="103"/>
      <c r="J40" s="95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2.75" customHeight="1" x14ac:dyDescent="0.3">
      <c r="A41" s="69"/>
      <c r="B41" s="69"/>
      <c r="C41" s="69"/>
      <c r="D41" s="69"/>
      <c r="E41" s="69"/>
      <c r="F41" s="103"/>
      <c r="G41" s="103"/>
      <c r="H41" s="103"/>
      <c r="I41" s="103"/>
      <c r="J41" s="95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2.75" customHeight="1" x14ac:dyDescent="0.3">
      <c r="A42" s="69"/>
      <c r="B42" s="69"/>
      <c r="C42" s="69"/>
      <c r="D42" s="69"/>
      <c r="E42" s="69"/>
      <c r="F42" s="103"/>
      <c r="G42" s="103"/>
      <c r="H42" s="103"/>
      <c r="I42" s="103"/>
      <c r="J42" s="95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2.75" customHeight="1" x14ac:dyDescent="0.3">
      <c r="A43" s="69"/>
      <c r="B43" s="69"/>
      <c r="C43" s="69"/>
      <c r="D43" s="69"/>
      <c r="E43" s="69"/>
      <c r="F43" s="103"/>
      <c r="G43" s="103"/>
      <c r="H43" s="103"/>
      <c r="I43" s="103"/>
      <c r="J43" s="95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2.75" customHeight="1" x14ac:dyDescent="0.3">
      <c r="A44" s="69"/>
      <c r="B44" s="69"/>
      <c r="C44" s="69"/>
      <c r="D44" s="69"/>
      <c r="E44" s="69"/>
      <c r="F44" s="103"/>
      <c r="G44" s="103"/>
      <c r="H44" s="103"/>
      <c r="I44" s="103"/>
      <c r="J44" s="95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2.75" customHeight="1" x14ac:dyDescent="0.3">
      <c r="A45" s="69"/>
      <c r="B45" s="69"/>
      <c r="C45" s="69"/>
      <c r="D45" s="69"/>
      <c r="E45" s="69"/>
      <c r="F45" s="103"/>
      <c r="G45" s="103"/>
      <c r="H45" s="103"/>
      <c r="I45" s="103"/>
      <c r="J45" s="95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2.75" customHeight="1" x14ac:dyDescent="0.3">
      <c r="A46" s="69"/>
      <c r="B46" s="69"/>
      <c r="C46" s="69"/>
      <c r="D46" s="69"/>
      <c r="E46" s="69"/>
      <c r="F46" s="103"/>
      <c r="G46" s="103"/>
      <c r="H46" s="103"/>
      <c r="I46" s="103"/>
      <c r="J46" s="95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2.75" customHeight="1" x14ac:dyDescent="0.3">
      <c r="A47" s="69"/>
      <c r="B47" s="69"/>
      <c r="C47" s="69"/>
      <c r="D47" s="69"/>
      <c r="E47" s="69"/>
      <c r="F47" s="103"/>
      <c r="G47" s="103"/>
      <c r="H47" s="103"/>
      <c r="I47" s="103"/>
      <c r="J47" s="95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2.75" customHeight="1" x14ac:dyDescent="0.3">
      <c r="A48" s="69"/>
      <c r="B48" s="69"/>
      <c r="C48" s="69"/>
      <c r="D48" s="69"/>
      <c r="E48" s="69"/>
      <c r="F48" s="103"/>
      <c r="G48" s="103"/>
      <c r="H48" s="103"/>
      <c r="I48" s="103"/>
      <c r="J48" s="95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2.75" customHeight="1" x14ac:dyDescent="0.3">
      <c r="A49" s="69"/>
      <c r="B49" s="69"/>
      <c r="C49" s="69"/>
      <c r="D49" s="69"/>
      <c r="E49" s="69"/>
      <c r="F49" s="103"/>
      <c r="G49" s="103"/>
      <c r="H49" s="103"/>
      <c r="I49" s="103"/>
      <c r="J49" s="95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2.75" customHeight="1" x14ac:dyDescent="0.3">
      <c r="A50" s="69"/>
      <c r="B50" s="69"/>
      <c r="C50" s="69"/>
      <c r="D50" s="69"/>
      <c r="E50" s="69"/>
      <c r="F50" s="103"/>
      <c r="G50" s="103"/>
      <c r="H50" s="103"/>
      <c r="I50" s="103"/>
      <c r="J50" s="95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2.75" customHeight="1" x14ac:dyDescent="0.3">
      <c r="A51" s="69"/>
      <c r="B51" s="69"/>
      <c r="C51" s="69"/>
      <c r="D51" s="69"/>
      <c r="E51" s="69"/>
      <c r="F51" s="103"/>
      <c r="G51" s="103"/>
      <c r="H51" s="103"/>
      <c r="I51" s="103"/>
      <c r="J51" s="95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2.75" customHeight="1" x14ac:dyDescent="0.3">
      <c r="A52" s="69"/>
      <c r="B52" s="69"/>
      <c r="C52" s="69"/>
      <c r="D52" s="69"/>
      <c r="E52" s="69"/>
      <c r="F52" s="103"/>
      <c r="G52" s="103"/>
      <c r="H52" s="103"/>
      <c r="I52" s="103"/>
      <c r="J52" s="95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2.75" customHeight="1" x14ac:dyDescent="0.3">
      <c r="A53" s="69"/>
      <c r="B53" s="69"/>
      <c r="C53" s="69"/>
      <c r="D53" s="69"/>
      <c r="E53" s="69"/>
      <c r="F53" s="103"/>
      <c r="G53" s="103"/>
      <c r="H53" s="103"/>
      <c r="I53" s="103"/>
      <c r="J53" s="95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2.75" customHeight="1" x14ac:dyDescent="0.3">
      <c r="A54" s="69"/>
      <c r="B54" s="69"/>
      <c r="C54" s="69"/>
      <c r="D54" s="69"/>
      <c r="E54" s="69"/>
      <c r="F54" s="103"/>
      <c r="G54" s="103"/>
      <c r="H54" s="103"/>
      <c r="I54" s="103"/>
      <c r="J54" s="95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2.75" customHeight="1" x14ac:dyDescent="0.3">
      <c r="A55" s="69"/>
      <c r="B55" s="69"/>
      <c r="C55" s="69"/>
      <c r="D55" s="69"/>
      <c r="E55" s="69"/>
      <c r="F55" s="103"/>
      <c r="G55" s="103"/>
      <c r="H55" s="103"/>
      <c r="I55" s="103"/>
      <c r="J55" s="95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2.75" customHeight="1" x14ac:dyDescent="0.3">
      <c r="A56" s="69"/>
      <c r="B56" s="69"/>
      <c r="C56" s="69"/>
      <c r="D56" s="69"/>
      <c r="E56" s="69"/>
      <c r="F56" s="103"/>
      <c r="G56" s="103"/>
      <c r="H56" s="103"/>
      <c r="I56" s="103"/>
      <c r="J56" s="95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2.75" customHeight="1" x14ac:dyDescent="0.3">
      <c r="A57" s="69"/>
      <c r="B57" s="69"/>
      <c r="C57" s="69"/>
      <c r="D57" s="69"/>
      <c r="E57" s="69"/>
      <c r="F57" s="103"/>
      <c r="G57" s="103"/>
      <c r="H57" s="103"/>
      <c r="I57" s="103"/>
      <c r="J57" s="95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2.75" customHeight="1" x14ac:dyDescent="0.3">
      <c r="A58" s="69"/>
      <c r="B58" s="69"/>
      <c r="C58" s="69"/>
      <c r="D58" s="69"/>
      <c r="E58" s="69"/>
      <c r="F58" s="103"/>
      <c r="G58" s="103"/>
      <c r="H58" s="103"/>
      <c r="I58" s="103"/>
      <c r="J58" s="95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2.75" customHeight="1" x14ac:dyDescent="0.3">
      <c r="A59" s="69"/>
      <c r="B59" s="69"/>
      <c r="C59" s="69"/>
      <c r="D59" s="69"/>
      <c r="E59" s="69"/>
      <c r="F59" s="103"/>
      <c r="G59" s="103"/>
      <c r="H59" s="103"/>
      <c r="I59" s="103"/>
      <c r="J59" s="95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2.75" customHeight="1" x14ac:dyDescent="0.3">
      <c r="A60" s="69"/>
      <c r="B60" s="69"/>
      <c r="C60" s="69"/>
      <c r="D60" s="69"/>
      <c r="E60" s="69"/>
      <c r="F60" s="103"/>
      <c r="G60" s="103"/>
      <c r="H60" s="103"/>
      <c r="I60" s="103"/>
      <c r="J60" s="95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2.75" customHeight="1" x14ac:dyDescent="0.3">
      <c r="A61" s="69"/>
      <c r="B61" s="69"/>
      <c r="C61" s="69"/>
      <c r="D61" s="69"/>
      <c r="E61" s="69"/>
      <c r="F61" s="103"/>
      <c r="G61" s="103"/>
      <c r="H61" s="103"/>
      <c r="I61" s="103"/>
      <c r="J61" s="95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2.75" customHeight="1" x14ac:dyDescent="0.3">
      <c r="A62" s="69"/>
      <c r="B62" s="69"/>
      <c r="C62" s="69"/>
      <c r="D62" s="69"/>
      <c r="E62" s="69"/>
      <c r="F62" s="103"/>
      <c r="G62" s="103"/>
      <c r="H62" s="103"/>
      <c r="I62" s="103"/>
      <c r="J62" s="95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2.75" customHeight="1" x14ac:dyDescent="0.3">
      <c r="A63" s="69"/>
      <c r="B63" s="69"/>
      <c r="C63" s="69"/>
      <c r="D63" s="69"/>
      <c r="E63" s="69"/>
      <c r="F63" s="103"/>
      <c r="G63" s="103"/>
      <c r="H63" s="103"/>
      <c r="I63" s="103"/>
      <c r="J63" s="95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2.75" customHeight="1" x14ac:dyDescent="0.3">
      <c r="A64" s="69"/>
      <c r="B64" s="69"/>
      <c r="C64" s="69"/>
      <c r="D64" s="69"/>
      <c r="E64" s="69"/>
      <c r="F64" s="103"/>
      <c r="G64" s="103"/>
      <c r="H64" s="103"/>
      <c r="I64" s="103"/>
      <c r="J64" s="95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2.75" customHeight="1" x14ac:dyDescent="0.3">
      <c r="A65" s="69"/>
      <c r="B65" s="69"/>
      <c r="C65" s="69"/>
      <c r="D65" s="69"/>
      <c r="E65" s="69"/>
      <c r="F65" s="103"/>
      <c r="G65" s="103"/>
      <c r="H65" s="103"/>
      <c r="I65" s="103"/>
      <c r="J65" s="95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2.75" customHeight="1" x14ac:dyDescent="0.3">
      <c r="A66" s="69"/>
      <c r="B66" s="69"/>
      <c r="C66" s="69"/>
      <c r="D66" s="69"/>
      <c r="E66" s="69"/>
      <c r="F66" s="103"/>
      <c r="G66" s="103"/>
      <c r="H66" s="103"/>
      <c r="I66" s="103"/>
      <c r="J66" s="95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2.75" customHeight="1" x14ac:dyDescent="0.3">
      <c r="A67" s="69"/>
      <c r="B67" s="69"/>
      <c r="C67" s="69"/>
      <c r="D67" s="69"/>
      <c r="E67" s="69"/>
      <c r="F67" s="103"/>
      <c r="G67" s="103"/>
      <c r="H67" s="103"/>
      <c r="I67" s="103"/>
      <c r="J67" s="95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2.75" customHeight="1" x14ac:dyDescent="0.3">
      <c r="A68" s="69"/>
      <c r="B68" s="69"/>
      <c r="C68" s="69"/>
      <c r="D68" s="69"/>
      <c r="E68" s="69"/>
      <c r="F68" s="103"/>
      <c r="G68" s="103"/>
      <c r="H68" s="103"/>
      <c r="I68" s="103"/>
      <c r="J68" s="95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2.75" customHeight="1" x14ac:dyDescent="0.3">
      <c r="A69" s="69"/>
      <c r="B69" s="69"/>
      <c r="C69" s="69"/>
      <c r="D69" s="69"/>
      <c r="E69" s="69"/>
      <c r="F69" s="103"/>
      <c r="G69" s="103"/>
      <c r="H69" s="103"/>
      <c r="I69" s="103"/>
      <c r="J69" s="95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2.75" customHeight="1" x14ac:dyDescent="0.3">
      <c r="A70" s="69"/>
      <c r="B70" s="69"/>
      <c r="C70" s="69"/>
      <c r="D70" s="69"/>
      <c r="E70" s="69"/>
      <c r="F70" s="103"/>
      <c r="G70" s="103"/>
      <c r="H70" s="103"/>
      <c r="I70" s="103"/>
      <c r="J70" s="95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2.75" customHeight="1" x14ac:dyDescent="0.3">
      <c r="A71" s="69"/>
      <c r="B71" s="69"/>
      <c r="C71" s="69"/>
      <c r="D71" s="69"/>
      <c r="E71" s="69"/>
      <c r="F71" s="103"/>
      <c r="G71" s="103"/>
      <c r="H71" s="103"/>
      <c r="I71" s="103"/>
      <c r="J71" s="95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2.75" customHeight="1" x14ac:dyDescent="0.3">
      <c r="A72" s="69"/>
      <c r="B72" s="69"/>
      <c r="C72" s="69"/>
      <c r="D72" s="69"/>
      <c r="E72" s="69"/>
      <c r="F72" s="103"/>
      <c r="G72" s="103"/>
      <c r="H72" s="103"/>
      <c r="I72" s="103"/>
      <c r="J72" s="95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2.75" customHeight="1" x14ac:dyDescent="0.3">
      <c r="A73" s="69"/>
      <c r="B73" s="69"/>
      <c r="C73" s="69"/>
      <c r="D73" s="69"/>
      <c r="E73" s="69"/>
      <c r="F73" s="103"/>
      <c r="G73" s="103"/>
      <c r="H73" s="103"/>
      <c r="I73" s="103"/>
      <c r="J73" s="95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2.75" customHeight="1" x14ac:dyDescent="0.3">
      <c r="A74" s="69"/>
      <c r="B74" s="69"/>
      <c r="C74" s="69"/>
      <c r="D74" s="69"/>
      <c r="E74" s="69"/>
      <c r="F74" s="103"/>
      <c r="G74" s="103"/>
      <c r="H74" s="103"/>
      <c r="I74" s="103"/>
      <c r="J74" s="95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2.75" customHeight="1" x14ac:dyDescent="0.3">
      <c r="A75" s="69"/>
      <c r="B75" s="69"/>
      <c r="C75" s="69"/>
      <c r="D75" s="69"/>
      <c r="E75" s="69"/>
      <c r="F75" s="103"/>
      <c r="G75" s="103"/>
      <c r="H75" s="103"/>
      <c r="I75" s="103"/>
      <c r="J75" s="95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2.75" customHeight="1" x14ac:dyDescent="0.3">
      <c r="A76" s="69"/>
      <c r="B76" s="69"/>
      <c r="C76" s="69"/>
      <c r="D76" s="69"/>
      <c r="E76" s="69"/>
      <c r="F76" s="103"/>
      <c r="G76" s="103"/>
      <c r="H76" s="103"/>
      <c r="I76" s="103"/>
      <c r="J76" s="95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2.75" customHeight="1" x14ac:dyDescent="0.3">
      <c r="A77" s="69"/>
      <c r="B77" s="69"/>
      <c r="C77" s="69"/>
      <c r="D77" s="69"/>
      <c r="E77" s="69"/>
      <c r="F77" s="103"/>
      <c r="G77" s="103"/>
      <c r="H77" s="103"/>
      <c r="I77" s="103"/>
      <c r="J77" s="95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2.75" customHeight="1" x14ac:dyDescent="0.3">
      <c r="A78" s="69"/>
      <c r="B78" s="69"/>
      <c r="C78" s="69"/>
      <c r="D78" s="69"/>
      <c r="E78" s="69"/>
      <c r="F78" s="103"/>
      <c r="G78" s="103"/>
      <c r="H78" s="103"/>
      <c r="I78" s="103"/>
      <c r="J78" s="95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2.75" customHeight="1" x14ac:dyDescent="0.3">
      <c r="A79" s="69"/>
      <c r="B79" s="69"/>
      <c r="C79" s="69"/>
      <c r="D79" s="69"/>
      <c r="E79" s="69"/>
      <c r="F79" s="103"/>
      <c r="G79" s="103"/>
      <c r="H79" s="103"/>
      <c r="I79" s="103"/>
      <c r="J79" s="95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2.75" customHeight="1" x14ac:dyDescent="0.3">
      <c r="A80" s="69"/>
      <c r="B80" s="69"/>
      <c r="C80" s="69"/>
      <c r="D80" s="69"/>
      <c r="E80" s="69"/>
      <c r="F80" s="103"/>
      <c r="G80" s="103"/>
      <c r="H80" s="103"/>
      <c r="I80" s="103"/>
      <c r="J80" s="95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2.75" customHeight="1" x14ac:dyDescent="0.3">
      <c r="A81" s="69"/>
      <c r="B81" s="69"/>
      <c r="C81" s="69"/>
      <c r="D81" s="69"/>
      <c r="E81" s="69"/>
      <c r="F81" s="103"/>
      <c r="G81" s="103"/>
      <c r="H81" s="103"/>
      <c r="I81" s="103"/>
      <c r="J81" s="95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2.75" customHeight="1" x14ac:dyDescent="0.3">
      <c r="A82" s="69"/>
      <c r="B82" s="69"/>
      <c r="C82" s="69"/>
      <c r="D82" s="69"/>
      <c r="E82" s="69"/>
      <c r="F82" s="103"/>
      <c r="G82" s="103"/>
      <c r="H82" s="103"/>
      <c r="I82" s="103"/>
      <c r="J82" s="95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2.75" customHeight="1" x14ac:dyDescent="0.3">
      <c r="A83" s="69"/>
      <c r="B83" s="69"/>
      <c r="C83" s="69"/>
      <c r="D83" s="69"/>
      <c r="E83" s="69"/>
      <c r="F83" s="103"/>
      <c r="G83" s="103"/>
      <c r="H83" s="103"/>
      <c r="I83" s="103"/>
      <c r="J83" s="95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2.75" customHeight="1" x14ac:dyDescent="0.3">
      <c r="A84" s="69"/>
      <c r="B84" s="69"/>
      <c r="C84" s="69"/>
      <c r="D84" s="69"/>
      <c r="E84" s="69"/>
      <c r="F84" s="103"/>
      <c r="G84" s="103"/>
      <c r="H84" s="103"/>
      <c r="I84" s="103"/>
      <c r="J84" s="95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2.75" customHeight="1" x14ac:dyDescent="0.3">
      <c r="A85" s="69"/>
      <c r="B85" s="69"/>
      <c r="C85" s="69"/>
      <c r="D85" s="69"/>
      <c r="E85" s="69"/>
      <c r="F85" s="103"/>
      <c r="G85" s="103"/>
      <c r="H85" s="103"/>
      <c r="I85" s="103"/>
      <c r="J85" s="95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2.75" customHeight="1" x14ac:dyDescent="0.3">
      <c r="A86" s="69"/>
      <c r="B86" s="69"/>
      <c r="C86" s="69"/>
      <c r="D86" s="69"/>
      <c r="E86" s="69"/>
      <c r="F86" s="103"/>
      <c r="G86" s="103"/>
      <c r="H86" s="103"/>
      <c r="I86" s="103"/>
      <c r="J86" s="95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2.75" customHeight="1" x14ac:dyDescent="0.3">
      <c r="A87" s="69"/>
      <c r="B87" s="69"/>
      <c r="C87" s="69"/>
      <c r="D87" s="69"/>
      <c r="E87" s="69"/>
      <c r="F87" s="103"/>
      <c r="G87" s="103"/>
      <c r="H87" s="103"/>
      <c r="I87" s="103"/>
      <c r="J87" s="95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2.75" customHeight="1" x14ac:dyDescent="0.3">
      <c r="A88" s="69"/>
      <c r="B88" s="69"/>
      <c r="C88" s="69"/>
      <c r="D88" s="69"/>
      <c r="E88" s="69"/>
      <c r="F88" s="103"/>
      <c r="G88" s="103"/>
      <c r="H88" s="103"/>
      <c r="I88" s="103"/>
      <c r="J88" s="95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2.75" customHeight="1" x14ac:dyDescent="0.3">
      <c r="A89" s="69"/>
      <c r="B89" s="69"/>
      <c r="C89" s="69"/>
      <c r="D89" s="69"/>
      <c r="E89" s="69"/>
      <c r="F89" s="103"/>
      <c r="G89" s="103"/>
      <c r="H89" s="103"/>
      <c r="I89" s="103"/>
      <c r="J89" s="95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2.75" customHeight="1" x14ac:dyDescent="0.3">
      <c r="A90" s="69"/>
      <c r="B90" s="69"/>
      <c r="C90" s="69"/>
      <c r="D90" s="69"/>
      <c r="E90" s="69"/>
      <c r="F90" s="103"/>
      <c r="G90" s="103"/>
      <c r="H90" s="103"/>
      <c r="I90" s="103"/>
      <c r="J90" s="95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2.75" customHeight="1" x14ac:dyDescent="0.3">
      <c r="A91" s="69"/>
      <c r="B91" s="69"/>
      <c r="C91" s="69"/>
      <c r="D91" s="69"/>
      <c r="E91" s="69"/>
      <c r="F91" s="103"/>
      <c r="G91" s="103"/>
      <c r="H91" s="103"/>
      <c r="I91" s="103"/>
      <c r="J91" s="95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2.75" customHeight="1" x14ac:dyDescent="0.3">
      <c r="A92" s="69"/>
      <c r="B92" s="69"/>
      <c r="C92" s="69"/>
      <c r="D92" s="69"/>
      <c r="E92" s="69"/>
      <c r="F92" s="103"/>
      <c r="G92" s="103"/>
      <c r="H92" s="103"/>
      <c r="I92" s="103"/>
      <c r="J92" s="95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2.75" customHeight="1" x14ac:dyDescent="0.3">
      <c r="A93" s="69"/>
      <c r="B93" s="69"/>
      <c r="C93" s="69"/>
      <c r="D93" s="69"/>
      <c r="E93" s="69"/>
      <c r="F93" s="103"/>
      <c r="G93" s="103"/>
      <c r="H93" s="103"/>
      <c r="I93" s="103"/>
      <c r="J93" s="95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2.75" customHeight="1" x14ac:dyDescent="0.3">
      <c r="A94" s="69"/>
      <c r="B94" s="69"/>
      <c r="C94" s="69"/>
      <c r="D94" s="69"/>
      <c r="E94" s="69"/>
      <c r="F94" s="103"/>
      <c r="G94" s="103"/>
      <c r="H94" s="103"/>
      <c r="I94" s="103"/>
      <c r="J94" s="95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2.75" customHeight="1" x14ac:dyDescent="0.3">
      <c r="A95" s="69"/>
      <c r="B95" s="69"/>
      <c r="C95" s="69"/>
      <c r="D95" s="69"/>
      <c r="E95" s="69"/>
      <c r="F95" s="103"/>
      <c r="G95" s="103"/>
      <c r="H95" s="103"/>
      <c r="I95" s="103"/>
      <c r="J95" s="95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2.75" customHeight="1" x14ac:dyDescent="0.3">
      <c r="A96" s="69"/>
      <c r="B96" s="69"/>
      <c r="C96" s="69"/>
      <c r="D96" s="69"/>
      <c r="E96" s="69"/>
      <c r="F96" s="103"/>
      <c r="G96" s="103"/>
      <c r="H96" s="103"/>
      <c r="I96" s="103"/>
      <c r="J96" s="95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2.75" customHeight="1" x14ac:dyDescent="0.3">
      <c r="A97" s="69"/>
      <c r="B97" s="69"/>
      <c r="C97" s="69"/>
      <c r="D97" s="69"/>
      <c r="E97" s="69"/>
      <c r="F97" s="103"/>
      <c r="G97" s="103"/>
      <c r="H97" s="103"/>
      <c r="I97" s="103"/>
      <c r="J97" s="95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2.75" customHeight="1" x14ac:dyDescent="0.3">
      <c r="A98" s="69"/>
      <c r="B98" s="69"/>
      <c r="C98" s="69"/>
      <c r="D98" s="69"/>
      <c r="E98" s="69"/>
      <c r="F98" s="103"/>
      <c r="G98" s="103"/>
      <c r="H98" s="103"/>
      <c r="I98" s="103"/>
      <c r="J98" s="95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2.75" customHeight="1" x14ac:dyDescent="0.3">
      <c r="A99" s="69"/>
      <c r="B99" s="69"/>
      <c r="C99" s="69"/>
      <c r="D99" s="69"/>
      <c r="E99" s="69"/>
      <c r="F99" s="103"/>
      <c r="G99" s="103"/>
      <c r="H99" s="103"/>
      <c r="I99" s="103"/>
      <c r="J99" s="95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2.75" customHeight="1" x14ac:dyDescent="0.3">
      <c r="A100" s="69"/>
      <c r="B100" s="69"/>
      <c r="C100" s="69"/>
      <c r="D100" s="69"/>
      <c r="E100" s="69"/>
      <c r="F100" s="103"/>
      <c r="G100" s="103"/>
      <c r="H100" s="103"/>
      <c r="I100" s="103"/>
      <c r="J100" s="95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2.75" customHeight="1" x14ac:dyDescent="0.3">
      <c r="A101" s="69"/>
      <c r="B101" s="69"/>
      <c r="C101" s="69"/>
      <c r="D101" s="69"/>
      <c r="E101" s="69"/>
      <c r="F101" s="103"/>
      <c r="G101" s="103"/>
      <c r="H101" s="103"/>
      <c r="I101" s="103"/>
      <c r="J101" s="95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2.75" customHeight="1" x14ac:dyDescent="0.3">
      <c r="A102" s="69"/>
      <c r="B102" s="69"/>
      <c r="C102" s="69"/>
      <c r="D102" s="69"/>
      <c r="E102" s="69"/>
      <c r="F102" s="103"/>
      <c r="G102" s="103"/>
      <c r="H102" s="103"/>
      <c r="I102" s="103"/>
      <c r="J102" s="95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2.75" customHeight="1" x14ac:dyDescent="0.3">
      <c r="A103" s="69"/>
      <c r="B103" s="69"/>
      <c r="C103" s="69"/>
      <c r="D103" s="69"/>
      <c r="E103" s="69"/>
      <c r="F103" s="103"/>
      <c r="G103" s="103"/>
      <c r="H103" s="103"/>
      <c r="I103" s="103"/>
      <c r="J103" s="95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2.75" customHeight="1" x14ac:dyDescent="0.3">
      <c r="A104" s="69"/>
      <c r="B104" s="69"/>
      <c r="C104" s="69"/>
      <c r="D104" s="69"/>
      <c r="E104" s="69"/>
      <c r="F104" s="103"/>
      <c r="G104" s="103"/>
      <c r="H104" s="103"/>
      <c r="I104" s="103"/>
      <c r="J104" s="95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2.75" customHeight="1" x14ac:dyDescent="0.3">
      <c r="A105" s="69"/>
      <c r="B105" s="69"/>
      <c r="C105" s="69"/>
      <c r="D105" s="69"/>
      <c r="E105" s="69"/>
      <c r="F105" s="103"/>
      <c r="G105" s="103"/>
      <c r="H105" s="103"/>
      <c r="I105" s="103"/>
      <c r="J105" s="95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2.75" customHeight="1" x14ac:dyDescent="0.3">
      <c r="A106" s="69"/>
      <c r="B106" s="69"/>
      <c r="C106" s="69"/>
      <c r="D106" s="69"/>
      <c r="E106" s="69"/>
      <c r="F106" s="103"/>
      <c r="G106" s="103"/>
      <c r="H106" s="103"/>
      <c r="I106" s="103"/>
      <c r="J106" s="95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2.75" customHeight="1" x14ac:dyDescent="0.3">
      <c r="A107" s="69"/>
      <c r="B107" s="69"/>
      <c r="C107" s="69"/>
      <c r="D107" s="69"/>
      <c r="E107" s="69"/>
      <c r="F107" s="103"/>
      <c r="G107" s="103"/>
      <c r="H107" s="103"/>
      <c r="I107" s="103"/>
      <c r="J107" s="95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2.75" customHeight="1" x14ac:dyDescent="0.3">
      <c r="A108" s="69"/>
      <c r="B108" s="69"/>
      <c r="C108" s="69"/>
      <c r="D108" s="69"/>
      <c r="E108" s="69"/>
      <c r="F108" s="103"/>
      <c r="G108" s="103"/>
      <c r="H108" s="103"/>
      <c r="I108" s="103"/>
      <c r="J108" s="95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2.75" customHeight="1" x14ac:dyDescent="0.3">
      <c r="A109" s="69"/>
      <c r="B109" s="69"/>
      <c r="C109" s="69"/>
      <c r="D109" s="69"/>
      <c r="E109" s="69"/>
      <c r="F109" s="103"/>
      <c r="G109" s="103"/>
      <c r="H109" s="103"/>
      <c r="I109" s="103"/>
      <c r="J109" s="95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2.75" customHeight="1" x14ac:dyDescent="0.3">
      <c r="A110" s="69"/>
      <c r="B110" s="69"/>
      <c r="C110" s="69"/>
      <c r="D110" s="69"/>
      <c r="E110" s="69"/>
      <c r="F110" s="103"/>
      <c r="G110" s="103"/>
      <c r="H110" s="103"/>
      <c r="I110" s="103"/>
      <c r="J110" s="95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2.75" customHeight="1" x14ac:dyDescent="0.3">
      <c r="A111" s="69"/>
      <c r="B111" s="69"/>
      <c r="C111" s="69"/>
      <c r="D111" s="69"/>
      <c r="E111" s="69"/>
      <c r="F111" s="103"/>
      <c r="G111" s="103"/>
      <c r="H111" s="103"/>
      <c r="I111" s="103"/>
      <c r="J111" s="95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2.75" customHeight="1" x14ac:dyDescent="0.3">
      <c r="A112" s="69"/>
      <c r="B112" s="69"/>
      <c r="C112" s="69"/>
      <c r="D112" s="69"/>
      <c r="E112" s="69"/>
      <c r="F112" s="103"/>
      <c r="G112" s="103"/>
      <c r="H112" s="103"/>
      <c r="I112" s="103"/>
      <c r="J112" s="95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2.75" customHeight="1" x14ac:dyDescent="0.3">
      <c r="A113" s="69"/>
      <c r="B113" s="69"/>
      <c r="C113" s="69"/>
      <c r="D113" s="69"/>
      <c r="E113" s="69"/>
      <c r="F113" s="103"/>
      <c r="G113" s="103"/>
      <c r="H113" s="103"/>
      <c r="I113" s="103"/>
      <c r="J113" s="95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2.75" customHeight="1" x14ac:dyDescent="0.3">
      <c r="A114" s="69"/>
      <c r="B114" s="69"/>
      <c r="C114" s="69"/>
      <c r="D114" s="69"/>
      <c r="E114" s="69"/>
      <c r="F114" s="103"/>
      <c r="G114" s="103"/>
      <c r="H114" s="103"/>
      <c r="I114" s="103"/>
      <c r="J114" s="95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2.75" customHeight="1" x14ac:dyDescent="0.3">
      <c r="A115" s="69"/>
      <c r="B115" s="69"/>
      <c r="C115" s="69"/>
      <c r="D115" s="69"/>
      <c r="E115" s="69"/>
      <c r="F115" s="103"/>
      <c r="G115" s="103"/>
      <c r="H115" s="103"/>
      <c r="I115" s="103"/>
      <c r="J115" s="95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2.75" customHeight="1" x14ac:dyDescent="0.3">
      <c r="A116" s="69"/>
      <c r="B116" s="69"/>
      <c r="C116" s="69"/>
      <c r="D116" s="69"/>
      <c r="E116" s="69"/>
      <c r="F116" s="103"/>
      <c r="G116" s="103"/>
      <c r="H116" s="103"/>
      <c r="I116" s="103"/>
      <c r="J116" s="95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2.75" customHeight="1" x14ac:dyDescent="0.3">
      <c r="A117" s="69"/>
      <c r="B117" s="69"/>
      <c r="C117" s="69"/>
      <c r="D117" s="69"/>
      <c r="E117" s="69"/>
      <c r="F117" s="103"/>
      <c r="G117" s="103"/>
      <c r="H117" s="103"/>
      <c r="I117" s="103"/>
      <c r="J117" s="95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2.75" customHeight="1" x14ac:dyDescent="0.3">
      <c r="A118" s="69"/>
      <c r="B118" s="69"/>
      <c r="C118" s="69"/>
      <c r="D118" s="69"/>
      <c r="E118" s="69"/>
      <c r="F118" s="103"/>
      <c r="G118" s="103"/>
      <c r="H118" s="103"/>
      <c r="I118" s="103"/>
      <c r="J118" s="95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2.75" customHeight="1" x14ac:dyDescent="0.3">
      <c r="A119" s="69"/>
      <c r="B119" s="69"/>
      <c r="C119" s="69"/>
      <c r="D119" s="69"/>
      <c r="E119" s="69"/>
      <c r="F119" s="103"/>
      <c r="G119" s="103"/>
      <c r="H119" s="103"/>
      <c r="I119" s="103"/>
      <c r="J119" s="95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2.75" customHeight="1" x14ac:dyDescent="0.3">
      <c r="A120" s="69"/>
      <c r="B120" s="69"/>
      <c r="C120" s="69"/>
      <c r="D120" s="69"/>
      <c r="E120" s="69"/>
      <c r="F120" s="103"/>
      <c r="G120" s="103"/>
      <c r="H120" s="103"/>
      <c r="I120" s="103"/>
      <c r="J120" s="95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2.75" customHeight="1" x14ac:dyDescent="0.3">
      <c r="A121" s="69"/>
      <c r="B121" s="69"/>
      <c r="C121" s="69"/>
      <c r="D121" s="69"/>
      <c r="E121" s="69"/>
      <c r="F121" s="103"/>
      <c r="G121" s="103"/>
      <c r="H121" s="103"/>
      <c r="I121" s="103"/>
      <c r="J121" s="95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2.75" customHeight="1" x14ac:dyDescent="0.3">
      <c r="A122" s="69"/>
      <c r="B122" s="69"/>
      <c r="C122" s="69"/>
      <c r="D122" s="69"/>
      <c r="E122" s="69"/>
      <c r="F122" s="103"/>
      <c r="G122" s="103"/>
      <c r="H122" s="103"/>
      <c r="I122" s="103"/>
      <c r="J122" s="95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2.75" customHeight="1" x14ac:dyDescent="0.3">
      <c r="A123" s="69"/>
      <c r="B123" s="69"/>
      <c r="C123" s="69"/>
      <c r="D123" s="69"/>
      <c r="E123" s="69"/>
      <c r="F123" s="103"/>
      <c r="G123" s="103"/>
      <c r="H123" s="103"/>
      <c r="I123" s="103"/>
      <c r="J123" s="95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2.75" customHeight="1" x14ac:dyDescent="0.3">
      <c r="A124" s="69"/>
      <c r="B124" s="69"/>
      <c r="C124" s="69"/>
      <c r="D124" s="69"/>
      <c r="E124" s="69"/>
      <c r="F124" s="103"/>
      <c r="G124" s="103"/>
      <c r="H124" s="103"/>
      <c r="I124" s="103"/>
      <c r="J124" s="95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2.75" customHeight="1" x14ac:dyDescent="0.3">
      <c r="A125" s="69"/>
      <c r="B125" s="69"/>
      <c r="C125" s="69"/>
      <c r="D125" s="69"/>
      <c r="E125" s="69"/>
      <c r="F125" s="103"/>
      <c r="G125" s="103"/>
      <c r="H125" s="103"/>
      <c r="I125" s="103"/>
      <c r="J125" s="95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2.75" customHeight="1" x14ac:dyDescent="0.3">
      <c r="A126" s="69"/>
      <c r="B126" s="69"/>
      <c r="C126" s="69"/>
      <c r="D126" s="69"/>
      <c r="E126" s="69"/>
      <c r="F126" s="103"/>
      <c r="G126" s="103"/>
      <c r="H126" s="103"/>
      <c r="I126" s="103"/>
      <c r="J126" s="95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2.75" customHeight="1" x14ac:dyDescent="0.3">
      <c r="A127" s="69"/>
      <c r="B127" s="69"/>
      <c r="C127" s="69"/>
      <c r="D127" s="69"/>
      <c r="E127" s="69"/>
      <c r="F127" s="103"/>
      <c r="G127" s="103"/>
      <c r="H127" s="103"/>
      <c r="I127" s="103"/>
      <c r="J127" s="95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2.75" customHeight="1" x14ac:dyDescent="0.3">
      <c r="A128" s="69"/>
      <c r="B128" s="69"/>
      <c r="C128" s="69"/>
      <c r="D128" s="69"/>
      <c r="E128" s="69"/>
      <c r="F128" s="103"/>
      <c r="G128" s="103"/>
      <c r="H128" s="103"/>
      <c r="I128" s="103"/>
      <c r="J128" s="95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2.75" customHeight="1" x14ac:dyDescent="0.3">
      <c r="A129" s="69"/>
      <c r="B129" s="69"/>
      <c r="C129" s="69"/>
      <c r="D129" s="69"/>
      <c r="E129" s="69"/>
      <c r="F129" s="103"/>
      <c r="G129" s="103"/>
      <c r="H129" s="103"/>
      <c r="I129" s="103"/>
      <c r="J129" s="95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2.75" customHeight="1" x14ac:dyDescent="0.3">
      <c r="A130" s="69"/>
      <c r="B130" s="69"/>
      <c r="C130" s="69"/>
      <c r="D130" s="69"/>
      <c r="E130" s="69"/>
      <c r="F130" s="103"/>
      <c r="G130" s="103"/>
      <c r="H130" s="103"/>
      <c r="I130" s="103"/>
      <c r="J130" s="95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2.75" customHeight="1" x14ac:dyDescent="0.3">
      <c r="A131" s="69"/>
      <c r="B131" s="69"/>
      <c r="C131" s="69"/>
      <c r="D131" s="69"/>
      <c r="E131" s="69"/>
      <c r="F131" s="103"/>
      <c r="G131" s="103"/>
      <c r="H131" s="103"/>
      <c r="I131" s="103"/>
      <c r="J131" s="95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2.75" customHeight="1" x14ac:dyDescent="0.3">
      <c r="A132" s="69"/>
      <c r="B132" s="69"/>
      <c r="C132" s="69"/>
      <c r="D132" s="69"/>
      <c r="E132" s="69"/>
      <c r="F132" s="103"/>
      <c r="G132" s="103"/>
      <c r="H132" s="103"/>
      <c r="I132" s="103"/>
      <c r="J132" s="95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2.75" customHeight="1" x14ac:dyDescent="0.3">
      <c r="A133" s="69"/>
      <c r="B133" s="69"/>
      <c r="C133" s="69"/>
      <c r="D133" s="69"/>
      <c r="E133" s="69"/>
      <c r="F133" s="103"/>
      <c r="G133" s="103"/>
      <c r="H133" s="103"/>
      <c r="I133" s="103"/>
      <c r="J133" s="95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2.75" customHeight="1" x14ac:dyDescent="0.3">
      <c r="A134" s="69"/>
      <c r="B134" s="69"/>
      <c r="C134" s="69"/>
      <c r="D134" s="69"/>
      <c r="E134" s="69"/>
      <c r="F134" s="103"/>
      <c r="G134" s="103"/>
      <c r="H134" s="103"/>
      <c r="I134" s="103"/>
      <c r="J134" s="95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2.75" customHeight="1" x14ac:dyDescent="0.3">
      <c r="A135" s="69"/>
      <c r="B135" s="69"/>
      <c r="C135" s="69"/>
      <c r="D135" s="69"/>
      <c r="E135" s="69"/>
      <c r="F135" s="103"/>
      <c r="G135" s="103"/>
      <c r="H135" s="103"/>
      <c r="I135" s="103"/>
      <c r="J135" s="95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2.75" customHeight="1" x14ac:dyDescent="0.3">
      <c r="A136" s="69"/>
      <c r="B136" s="69"/>
      <c r="C136" s="69"/>
      <c r="D136" s="69"/>
      <c r="E136" s="69"/>
      <c r="F136" s="103"/>
      <c r="G136" s="103"/>
      <c r="H136" s="103"/>
      <c r="I136" s="103"/>
      <c r="J136" s="95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2.75" customHeight="1" x14ac:dyDescent="0.3">
      <c r="A137" s="69"/>
      <c r="B137" s="69"/>
      <c r="C137" s="69"/>
      <c r="D137" s="69"/>
      <c r="E137" s="69"/>
      <c r="F137" s="103"/>
      <c r="G137" s="103"/>
      <c r="H137" s="103"/>
      <c r="I137" s="103"/>
      <c r="J137" s="95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2.75" customHeight="1" x14ac:dyDescent="0.3">
      <c r="A138" s="69"/>
      <c r="B138" s="69"/>
      <c r="C138" s="69"/>
      <c r="D138" s="69"/>
      <c r="E138" s="69"/>
      <c r="F138" s="103"/>
      <c r="G138" s="103"/>
      <c r="H138" s="103"/>
      <c r="I138" s="103"/>
      <c r="J138" s="95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2.75" customHeight="1" x14ac:dyDescent="0.3">
      <c r="A139" s="69"/>
      <c r="B139" s="69"/>
      <c r="C139" s="69"/>
      <c r="D139" s="69"/>
      <c r="E139" s="69"/>
      <c r="F139" s="103"/>
      <c r="G139" s="103"/>
      <c r="H139" s="103"/>
      <c r="I139" s="103"/>
      <c r="J139" s="95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2.75" customHeight="1" x14ac:dyDescent="0.3">
      <c r="A140" s="69"/>
      <c r="B140" s="69"/>
      <c r="C140" s="69"/>
      <c r="D140" s="69"/>
      <c r="E140" s="69"/>
      <c r="F140" s="103"/>
      <c r="G140" s="103"/>
      <c r="H140" s="103"/>
      <c r="I140" s="103"/>
      <c r="J140" s="95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2.75" customHeight="1" x14ac:dyDescent="0.3">
      <c r="A141" s="69"/>
      <c r="B141" s="69"/>
      <c r="C141" s="69"/>
      <c r="D141" s="69"/>
      <c r="E141" s="69"/>
      <c r="F141" s="103"/>
      <c r="G141" s="103"/>
      <c r="H141" s="103"/>
      <c r="I141" s="103"/>
      <c r="J141" s="95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2.75" customHeight="1" x14ac:dyDescent="0.3">
      <c r="A142" s="69"/>
      <c r="B142" s="69"/>
      <c r="C142" s="69"/>
      <c r="D142" s="69"/>
      <c r="E142" s="69"/>
      <c r="F142" s="103"/>
      <c r="G142" s="103"/>
      <c r="H142" s="103"/>
      <c r="I142" s="103"/>
      <c r="J142" s="95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2.75" customHeight="1" x14ac:dyDescent="0.3">
      <c r="A143" s="69"/>
      <c r="B143" s="69"/>
      <c r="C143" s="69"/>
      <c r="D143" s="69"/>
      <c r="E143" s="69"/>
      <c r="F143" s="103"/>
      <c r="G143" s="103"/>
      <c r="H143" s="103"/>
      <c r="I143" s="103"/>
      <c r="J143" s="95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2.75" customHeight="1" x14ac:dyDescent="0.3">
      <c r="A144" s="69"/>
      <c r="B144" s="69"/>
      <c r="C144" s="69"/>
      <c r="D144" s="69"/>
      <c r="E144" s="69"/>
      <c r="F144" s="103"/>
      <c r="G144" s="103"/>
      <c r="H144" s="103"/>
      <c r="I144" s="103"/>
      <c r="J144" s="95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2.75" customHeight="1" x14ac:dyDescent="0.3">
      <c r="A145" s="69"/>
      <c r="B145" s="69"/>
      <c r="C145" s="69"/>
      <c r="D145" s="69"/>
      <c r="E145" s="69"/>
      <c r="F145" s="103"/>
      <c r="G145" s="103"/>
      <c r="H145" s="103"/>
      <c r="I145" s="103"/>
      <c r="J145" s="95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2.75" customHeight="1" x14ac:dyDescent="0.3">
      <c r="A146" s="69"/>
      <c r="B146" s="69"/>
      <c r="C146" s="69"/>
      <c r="D146" s="69"/>
      <c r="E146" s="69"/>
      <c r="F146" s="103"/>
      <c r="G146" s="103"/>
      <c r="H146" s="103"/>
      <c r="I146" s="103"/>
      <c r="J146" s="95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2.75" customHeight="1" x14ac:dyDescent="0.3">
      <c r="A147" s="69"/>
      <c r="B147" s="69"/>
      <c r="C147" s="69"/>
      <c r="D147" s="69"/>
      <c r="E147" s="69"/>
      <c r="F147" s="103"/>
      <c r="G147" s="103"/>
      <c r="H147" s="103"/>
      <c r="I147" s="103"/>
      <c r="J147" s="95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2.75" customHeight="1" x14ac:dyDescent="0.3">
      <c r="A148" s="69"/>
      <c r="B148" s="69"/>
      <c r="C148" s="69"/>
      <c r="D148" s="69"/>
      <c r="E148" s="69"/>
      <c r="F148" s="103"/>
      <c r="G148" s="103"/>
      <c r="H148" s="103"/>
      <c r="I148" s="103"/>
      <c r="J148" s="95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2.75" customHeight="1" x14ac:dyDescent="0.3">
      <c r="A149" s="69"/>
      <c r="B149" s="69"/>
      <c r="C149" s="69"/>
      <c r="D149" s="69"/>
      <c r="E149" s="69"/>
      <c r="F149" s="103"/>
      <c r="G149" s="103"/>
      <c r="H149" s="103"/>
      <c r="I149" s="103"/>
      <c r="J149" s="95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2.75" customHeight="1" x14ac:dyDescent="0.3">
      <c r="A150" s="69"/>
      <c r="B150" s="69"/>
      <c r="C150" s="69"/>
      <c r="D150" s="69"/>
      <c r="E150" s="69"/>
      <c r="F150" s="103"/>
      <c r="G150" s="103"/>
      <c r="H150" s="103"/>
      <c r="I150" s="103"/>
      <c r="J150" s="95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2.75" customHeight="1" x14ac:dyDescent="0.3">
      <c r="A151" s="69"/>
      <c r="B151" s="69"/>
      <c r="C151" s="69"/>
      <c r="D151" s="69"/>
      <c r="E151" s="69"/>
      <c r="F151" s="103"/>
      <c r="G151" s="103"/>
      <c r="H151" s="103"/>
      <c r="I151" s="103"/>
      <c r="J151" s="95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2.75" customHeight="1" x14ac:dyDescent="0.3">
      <c r="A152" s="69"/>
      <c r="B152" s="69"/>
      <c r="C152" s="69"/>
      <c r="D152" s="69"/>
      <c r="E152" s="69"/>
      <c r="F152" s="103"/>
      <c r="G152" s="103"/>
      <c r="H152" s="103"/>
      <c r="I152" s="103"/>
      <c r="J152" s="95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2.75" customHeight="1" x14ac:dyDescent="0.3">
      <c r="A153" s="69"/>
      <c r="B153" s="69"/>
      <c r="C153" s="69"/>
      <c r="D153" s="69"/>
      <c r="E153" s="69"/>
      <c r="F153" s="103"/>
      <c r="G153" s="103"/>
      <c r="H153" s="103"/>
      <c r="I153" s="103"/>
      <c r="J153" s="95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2.75" customHeight="1" x14ac:dyDescent="0.3">
      <c r="A154" s="69"/>
      <c r="B154" s="69"/>
      <c r="C154" s="69"/>
      <c r="D154" s="69"/>
      <c r="E154" s="69"/>
      <c r="F154" s="103"/>
      <c r="G154" s="103"/>
      <c r="H154" s="103"/>
      <c r="I154" s="103"/>
      <c r="J154" s="95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2.75" customHeight="1" x14ac:dyDescent="0.3">
      <c r="A155" s="69"/>
      <c r="B155" s="69"/>
      <c r="C155" s="69"/>
      <c r="D155" s="69"/>
      <c r="E155" s="69"/>
      <c r="F155" s="103"/>
      <c r="G155" s="103"/>
      <c r="H155" s="103"/>
      <c r="I155" s="103"/>
      <c r="J155" s="95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2.75" customHeight="1" x14ac:dyDescent="0.3">
      <c r="A156" s="69"/>
      <c r="B156" s="69"/>
      <c r="C156" s="69"/>
      <c r="D156" s="69"/>
      <c r="E156" s="69"/>
      <c r="F156" s="103"/>
      <c r="G156" s="103"/>
      <c r="H156" s="103"/>
      <c r="I156" s="103"/>
      <c r="J156" s="95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2.75" customHeight="1" x14ac:dyDescent="0.3">
      <c r="A157" s="69"/>
      <c r="B157" s="69"/>
      <c r="C157" s="69"/>
      <c r="D157" s="69"/>
      <c r="E157" s="69"/>
      <c r="F157" s="103"/>
      <c r="G157" s="103"/>
      <c r="H157" s="103"/>
      <c r="I157" s="103"/>
      <c r="J157" s="95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2.75" customHeight="1" x14ac:dyDescent="0.3">
      <c r="A158" s="69"/>
      <c r="B158" s="69"/>
      <c r="C158" s="69"/>
      <c r="D158" s="69"/>
      <c r="E158" s="69"/>
      <c r="F158" s="103"/>
      <c r="G158" s="103"/>
      <c r="H158" s="103"/>
      <c r="I158" s="103"/>
      <c r="J158" s="95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2.75" customHeight="1" x14ac:dyDescent="0.3">
      <c r="A159" s="69"/>
      <c r="B159" s="69"/>
      <c r="C159" s="69"/>
      <c r="D159" s="69"/>
      <c r="E159" s="69"/>
      <c r="F159" s="103"/>
      <c r="G159" s="103"/>
      <c r="H159" s="103"/>
      <c r="I159" s="103"/>
      <c r="J159" s="95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2.75" customHeight="1" x14ac:dyDescent="0.3">
      <c r="A160" s="69"/>
      <c r="B160" s="69"/>
      <c r="C160" s="69"/>
      <c r="D160" s="69"/>
      <c r="E160" s="69"/>
      <c r="F160" s="103"/>
      <c r="G160" s="103"/>
      <c r="H160" s="103"/>
      <c r="I160" s="103"/>
      <c r="J160" s="95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2.75" customHeight="1" x14ac:dyDescent="0.3">
      <c r="A161" s="69"/>
      <c r="B161" s="69"/>
      <c r="C161" s="69"/>
      <c r="D161" s="69"/>
      <c r="E161" s="69"/>
      <c r="F161" s="103"/>
      <c r="G161" s="103"/>
      <c r="H161" s="103"/>
      <c r="I161" s="103"/>
      <c r="J161" s="95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2.75" customHeight="1" x14ac:dyDescent="0.3">
      <c r="A162" s="69"/>
      <c r="B162" s="69"/>
      <c r="C162" s="69"/>
      <c r="D162" s="69"/>
      <c r="E162" s="69"/>
      <c r="F162" s="103"/>
      <c r="G162" s="103"/>
      <c r="H162" s="103"/>
      <c r="I162" s="103"/>
      <c r="J162" s="95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2.75" customHeight="1" x14ac:dyDescent="0.3">
      <c r="A163" s="69"/>
      <c r="B163" s="69"/>
      <c r="C163" s="69"/>
      <c r="D163" s="69"/>
      <c r="E163" s="69"/>
      <c r="F163" s="103"/>
      <c r="G163" s="103"/>
      <c r="H163" s="103"/>
      <c r="I163" s="103"/>
      <c r="J163" s="95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2.75" customHeight="1" x14ac:dyDescent="0.3">
      <c r="A164" s="69"/>
      <c r="B164" s="69"/>
      <c r="C164" s="69"/>
      <c r="D164" s="69"/>
      <c r="E164" s="69"/>
      <c r="F164" s="103"/>
      <c r="G164" s="103"/>
      <c r="H164" s="103"/>
      <c r="I164" s="103"/>
      <c r="J164" s="95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2.75" customHeight="1" x14ac:dyDescent="0.3">
      <c r="A165" s="69"/>
      <c r="B165" s="69"/>
      <c r="C165" s="69"/>
      <c r="D165" s="69"/>
      <c r="E165" s="69"/>
      <c r="F165" s="103"/>
      <c r="G165" s="103"/>
      <c r="H165" s="103"/>
      <c r="I165" s="103"/>
      <c r="J165" s="95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2.75" customHeight="1" x14ac:dyDescent="0.3">
      <c r="A166" s="69"/>
      <c r="B166" s="69"/>
      <c r="C166" s="69"/>
      <c r="D166" s="69"/>
      <c r="E166" s="69"/>
      <c r="F166" s="103"/>
      <c r="G166" s="103"/>
      <c r="H166" s="103"/>
      <c r="I166" s="103"/>
      <c r="J166" s="95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2.75" customHeight="1" x14ac:dyDescent="0.3">
      <c r="A167" s="69"/>
      <c r="B167" s="69"/>
      <c r="C167" s="69"/>
      <c r="D167" s="69"/>
      <c r="E167" s="69"/>
      <c r="F167" s="103"/>
      <c r="G167" s="103"/>
      <c r="H167" s="103"/>
      <c r="I167" s="103"/>
      <c r="J167" s="95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2.75" customHeight="1" x14ac:dyDescent="0.3">
      <c r="A168" s="69"/>
      <c r="B168" s="69"/>
      <c r="C168" s="69"/>
      <c r="D168" s="69"/>
      <c r="E168" s="69"/>
      <c r="F168" s="103"/>
      <c r="G168" s="103"/>
      <c r="H168" s="103"/>
      <c r="I168" s="103"/>
      <c r="J168" s="95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2.75" customHeight="1" x14ac:dyDescent="0.3">
      <c r="A169" s="69"/>
      <c r="B169" s="69"/>
      <c r="C169" s="69"/>
      <c r="D169" s="69"/>
      <c r="E169" s="69"/>
      <c r="F169" s="103"/>
      <c r="G169" s="103"/>
      <c r="H169" s="103"/>
      <c r="I169" s="103"/>
      <c r="J169" s="95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2.75" customHeight="1" x14ac:dyDescent="0.3">
      <c r="A170" s="69"/>
      <c r="B170" s="69"/>
      <c r="C170" s="69"/>
      <c r="D170" s="69"/>
      <c r="E170" s="69"/>
      <c r="F170" s="103"/>
      <c r="G170" s="103"/>
      <c r="H170" s="103"/>
      <c r="I170" s="103"/>
      <c r="J170" s="95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2.75" customHeight="1" x14ac:dyDescent="0.3">
      <c r="A171" s="69"/>
      <c r="B171" s="69"/>
      <c r="C171" s="69"/>
      <c r="D171" s="69"/>
      <c r="E171" s="69"/>
      <c r="F171" s="103"/>
      <c r="G171" s="103"/>
      <c r="H171" s="103"/>
      <c r="I171" s="103"/>
      <c r="J171" s="95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2.75" customHeight="1" x14ac:dyDescent="0.3">
      <c r="A172" s="69"/>
      <c r="B172" s="69"/>
      <c r="C172" s="69"/>
      <c r="D172" s="69"/>
      <c r="E172" s="69"/>
      <c r="F172" s="103"/>
      <c r="G172" s="103"/>
      <c r="H172" s="103"/>
      <c r="I172" s="103"/>
      <c r="J172" s="95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2.75" customHeight="1" x14ac:dyDescent="0.3">
      <c r="A173" s="69"/>
      <c r="B173" s="69"/>
      <c r="C173" s="69"/>
      <c r="D173" s="69"/>
      <c r="E173" s="69"/>
      <c r="F173" s="103"/>
      <c r="G173" s="103"/>
      <c r="H173" s="103"/>
      <c r="I173" s="103"/>
      <c r="J173" s="95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2.75" customHeight="1" x14ac:dyDescent="0.3">
      <c r="A174" s="69"/>
      <c r="B174" s="69"/>
      <c r="C174" s="69"/>
      <c r="D174" s="69"/>
      <c r="E174" s="69"/>
      <c r="F174" s="103"/>
      <c r="G174" s="103"/>
      <c r="H174" s="103"/>
      <c r="I174" s="103"/>
      <c r="J174" s="95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2.75" customHeight="1" x14ac:dyDescent="0.3">
      <c r="A175" s="69"/>
      <c r="B175" s="69"/>
      <c r="C175" s="69"/>
      <c r="D175" s="69"/>
      <c r="E175" s="69"/>
      <c r="F175" s="103"/>
      <c r="G175" s="103"/>
      <c r="H175" s="103"/>
      <c r="I175" s="103"/>
      <c r="J175" s="95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2.75" customHeight="1" x14ac:dyDescent="0.3">
      <c r="A176" s="69"/>
      <c r="B176" s="69"/>
      <c r="C176" s="69"/>
      <c r="D176" s="69"/>
      <c r="E176" s="69"/>
      <c r="F176" s="103"/>
      <c r="G176" s="103"/>
      <c r="H176" s="103"/>
      <c r="I176" s="103"/>
      <c r="J176" s="95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2.75" customHeight="1" x14ac:dyDescent="0.3">
      <c r="A177" s="69"/>
      <c r="B177" s="69"/>
      <c r="C177" s="69"/>
      <c r="D177" s="69"/>
      <c r="E177" s="69"/>
      <c r="F177" s="103"/>
      <c r="G177" s="103"/>
      <c r="H177" s="103"/>
      <c r="I177" s="103"/>
      <c r="J177" s="95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2.75" customHeight="1" x14ac:dyDescent="0.3">
      <c r="A178" s="69"/>
      <c r="B178" s="69"/>
      <c r="C178" s="69"/>
      <c r="D178" s="69"/>
      <c r="E178" s="69"/>
      <c r="F178" s="103"/>
      <c r="G178" s="103"/>
      <c r="H178" s="103"/>
      <c r="I178" s="103"/>
      <c r="J178" s="95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2.75" customHeight="1" x14ac:dyDescent="0.3">
      <c r="A179" s="69"/>
      <c r="B179" s="69"/>
      <c r="C179" s="69"/>
      <c r="D179" s="69"/>
      <c r="E179" s="69"/>
      <c r="F179" s="103"/>
      <c r="G179" s="103"/>
      <c r="H179" s="103"/>
      <c r="I179" s="103"/>
      <c r="J179" s="95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2.75" customHeight="1" x14ac:dyDescent="0.3">
      <c r="A180" s="69"/>
      <c r="B180" s="69"/>
      <c r="C180" s="69"/>
      <c r="D180" s="69"/>
      <c r="E180" s="69"/>
      <c r="F180" s="103"/>
      <c r="G180" s="103"/>
      <c r="H180" s="103"/>
      <c r="I180" s="103"/>
      <c r="J180" s="95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2.75" customHeight="1" x14ac:dyDescent="0.3">
      <c r="A181" s="69"/>
      <c r="B181" s="69"/>
      <c r="C181" s="69"/>
      <c r="D181" s="69"/>
      <c r="E181" s="69"/>
      <c r="F181" s="103"/>
      <c r="G181" s="103"/>
      <c r="H181" s="103"/>
      <c r="I181" s="103"/>
      <c r="J181" s="95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2.75" customHeight="1" x14ac:dyDescent="0.3">
      <c r="A182" s="69"/>
      <c r="B182" s="69"/>
      <c r="C182" s="69"/>
      <c r="D182" s="69"/>
      <c r="E182" s="69"/>
      <c r="F182" s="103"/>
      <c r="G182" s="103"/>
      <c r="H182" s="103"/>
      <c r="I182" s="103"/>
      <c r="J182" s="95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2.75" customHeight="1" x14ac:dyDescent="0.3">
      <c r="A183" s="69"/>
      <c r="B183" s="69"/>
      <c r="C183" s="69"/>
      <c r="D183" s="69"/>
      <c r="E183" s="69"/>
      <c r="F183" s="103"/>
      <c r="G183" s="103"/>
      <c r="H183" s="103"/>
      <c r="I183" s="103"/>
      <c r="J183" s="95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2.75" customHeight="1" x14ac:dyDescent="0.3">
      <c r="A184" s="69"/>
      <c r="B184" s="69"/>
      <c r="C184" s="69"/>
      <c r="D184" s="69"/>
      <c r="E184" s="69"/>
      <c r="F184" s="103"/>
      <c r="G184" s="103"/>
      <c r="H184" s="103"/>
      <c r="I184" s="103"/>
      <c r="J184" s="95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2.75" customHeight="1" x14ac:dyDescent="0.3">
      <c r="A185" s="69"/>
      <c r="B185" s="69"/>
      <c r="C185" s="69"/>
      <c r="D185" s="69"/>
      <c r="E185" s="69"/>
      <c r="F185" s="103"/>
      <c r="G185" s="103"/>
      <c r="H185" s="103"/>
      <c r="I185" s="103"/>
      <c r="J185" s="95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2.75" customHeight="1" x14ac:dyDescent="0.3">
      <c r="A186" s="69"/>
      <c r="B186" s="69"/>
      <c r="C186" s="69"/>
      <c r="D186" s="69"/>
      <c r="E186" s="69"/>
      <c r="F186" s="103"/>
      <c r="G186" s="103"/>
      <c r="H186" s="103"/>
      <c r="I186" s="103"/>
      <c r="J186" s="95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2.75" customHeight="1" x14ac:dyDescent="0.3">
      <c r="A187" s="69"/>
      <c r="B187" s="69"/>
      <c r="C187" s="69"/>
      <c r="D187" s="69"/>
      <c r="E187" s="69"/>
      <c r="F187" s="103"/>
      <c r="G187" s="103"/>
      <c r="H187" s="103"/>
      <c r="I187" s="103"/>
      <c r="J187" s="95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2.75" customHeight="1" x14ac:dyDescent="0.3">
      <c r="A188" s="69"/>
      <c r="B188" s="69"/>
      <c r="C188" s="69"/>
      <c r="D188" s="69"/>
      <c r="E188" s="69"/>
      <c r="F188" s="103"/>
      <c r="G188" s="103"/>
      <c r="H188" s="103"/>
      <c r="I188" s="103"/>
      <c r="J188" s="95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2.75" customHeight="1" x14ac:dyDescent="0.3">
      <c r="A189" s="69"/>
      <c r="B189" s="69"/>
      <c r="C189" s="69"/>
      <c r="D189" s="69"/>
      <c r="E189" s="69"/>
      <c r="F189" s="103"/>
      <c r="G189" s="103"/>
      <c r="H189" s="103"/>
      <c r="I189" s="103"/>
      <c r="J189" s="95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2.75" customHeight="1" x14ac:dyDescent="0.3">
      <c r="A190" s="69"/>
      <c r="B190" s="69"/>
      <c r="C190" s="69"/>
      <c r="D190" s="69"/>
      <c r="E190" s="69"/>
      <c r="F190" s="103"/>
      <c r="G190" s="103"/>
      <c r="H190" s="103"/>
      <c r="I190" s="103"/>
      <c r="J190" s="95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2.75" customHeight="1" x14ac:dyDescent="0.3">
      <c r="A191" s="69"/>
      <c r="B191" s="69"/>
      <c r="C191" s="69"/>
      <c r="D191" s="69"/>
      <c r="E191" s="69"/>
      <c r="F191" s="103"/>
      <c r="G191" s="103"/>
      <c r="H191" s="103"/>
      <c r="I191" s="103"/>
      <c r="J191" s="95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2.75" customHeight="1" x14ac:dyDescent="0.3">
      <c r="A192" s="69"/>
      <c r="B192" s="69"/>
      <c r="C192" s="69"/>
      <c r="D192" s="69"/>
      <c r="E192" s="69"/>
      <c r="F192" s="103"/>
      <c r="G192" s="103"/>
      <c r="H192" s="103"/>
      <c r="I192" s="103"/>
      <c r="J192" s="95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2.75" customHeight="1" x14ac:dyDescent="0.3">
      <c r="A193" s="69"/>
      <c r="B193" s="69"/>
      <c r="C193" s="69"/>
      <c r="D193" s="69"/>
      <c r="E193" s="69"/>
      <c r="F193" s="103"/>
      <c r="G193" s="103"/>
      <c r="H193" s="103"/>
      <c r="I193" s="103"/>
      <c r="J193" s="95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2.75" customHeight="1" x14ac:dyDescent="0.3">
      <c r="A194" s="69"/>
      <c r="B194" s="69"/>
      <c r="C194" s="69"/>
      <c r="D194" s="69"/>
      <c r="E194" s="69"/>
      <c r="F194" s="103"/>
      <c r="G194" s="103"/>
      <c r="H194" s="103"/>
      <c r="I194" s="103"/>
      <c r="J194" s="95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2.75" customHeight="1" x14ac:dyDescent="0.3">
      <c r="A195" s="69"/>
      <c r="B195" s="69"/>
      <c r="C195" s="69"/>
      <c r="D195" s="69"/>
      <c r="E195" s="69"/>
      <c r="F195" s="103"/>
      <c r="G195" s="103"/>
      <c r="H195" s="103"/>
      <c r="I195" s="103"/>
      <c r="J195" s="95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2.75" customHeight="1" x14ac:dyDescent="0.3">
      <c r="A196" s="69"/>
      <c r="B196" s="69"/>
      <c r="C196" s="69"/>
      <c r="D196" s="69"/>
      <c r="E196" s="69"/>
      <c r="F196" s="103"/>
      <c r="G196" s="103"/>
      <c r="H196" s="103"/>
      <c r="I196" s="103"/>
      <c r="J196" s="95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2.75" customHeight="1" x14ac:dyDescent="0.3">
      <c r="A197" s="69"/>
      <c r="B197" s="69"/>
      <c r="C197" s="69"/>
      <c r="D197" s="69"/>
      <c r="E197" s="69"/>
      <c r="F197" s="103"/>
      <c r="G197" s="103"/>
      <c r="H197" s="103"/>
      <c r="I197" s="103"/>
      <c r="J197" s="95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2.75" customHeight="1" x14ac:dyDescent="0.3">
      <c r="A198" s="69"/>
      <c r="B198" s="69"/>
      <c r="C198" s="69"/>
      <c r="D198" s="69"/>
      <c r="E198" s="69"/>
      <c r="F198" s="103"/>
      <c r="G198" s="103"/>
      <c r="H198" s="103"/>
      <c r="I198" s="103"/>
      <c r="J198" s="95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2.75" customHeight="1" x14ac:dyDescent="0.3">
      <c r="A199" s="69"/>
      <c r="B199" s="69"/>
      <c r="C199" s="69"/>
      <c r="D199" s="69"/>
      <c r="E199" s="69"/>
      <c r="F199" s="103"/>
      <c r="G199" s="103"/>
      <c r="H199" s="103"/>
      <c r="I199" s="103"/>
      <c r="J199" s="95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2.75" customHeight="1" x14ac:dyDescent="0.3">
      <c r="A200" s="69"/>
      <c r="B200" s="69"/>
      <c r="C200" s="69"/>
      <c r="D200" s="69"/>
      <c r="E200" s="69"/>
      <c r="F200" s="103"/>
      <c r="G200" s="103"/>
      <c r="H200" s="103"/>
      <c r="I200" s="103"/>
      <c r="J200" s="95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2.75" customHeight="1" x14ac:dyDescent="0.3">
      <c r="A201" s="69"/>
      <c r="B201" s="69"/>
      <c r="C201" s="69"/>
      <c r="D201" s="69"/>
      <c r="E201" s="69"/>
      <c r="F201" s="103"/>
      <c r="G201" s="103"/>
      <c r="H201" s="103"/>
      <c r="I201" s="103"/>
      <c r="J201" s="95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2.75" customHeight="1" x14ac:dyDescent="0.3">
      <c r="A202" s="69"/>
      <c r="B202" s="69"/>
      <c r="C202" s="69"/>
      <c r="D202" s="69"/>
      <c r="E202" s="69"/>
      <c r="F202" s="103"/>
      <c r="G202" s="103"/>
      <c r="H202" s="103"/>
      <c r="I202" s="103"/>
      <c r="J202" s="95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2.75" customHeight="1" x14ac:dyDescent="0.3">
      <c r="A203" s="69"/>
      <c r="B203" s="69"/>
      <c r="C203" s="69"/>
      <c r="D203" s="69"/>
      <c r="E203" s="69"/>
      <c r="F203" s="103"/>
      <c r="G203" s="103"/>
      <c r="H203" s="103"/>
      <c r="I203" s="103"/>
      <c r="J203" s="95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2.75" customHeight="1" x14ac:dyDescent="0.3">
      <c r="A204" s="69"/>
      <c r="B204" s="69"/>
      <c r="C204" s="69"/>
      <c r="D204" s="69"/>
      <c r="E204" s="69"/>
      <c r="F204" s="103"/>
      <c r="G204" s="103"/>
      <c r="H204" s="103"/>
      <c r="I204" s="103"/>
      <c r="J204" s="95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2.75" customHeight="1" x14ac:dyDescent="0.3">
      <c r="A205" s="69"/>
      <c r="B205" s="69"/>
      <c r="C205" s="69"/>
      <c r="D205" s="69"/>
      <c r="E205" s="69"/>
      <c r="F205" s="103"/>
      <c r="G205" s="103"/>
      <c r="H205" s="103"/>
      <c r="I205" s="103"/>
      <c r="J205" s="95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2.75" customHeight="1" x14ac:dyDescent="0.3">
      <c r="A206" s="69"/>
      <c r="B206" s="69"/>
      <c r="C206" s="69"/>
      <c r="D206" s="69"/>
      <c r="E206" s="69"/>
      <c r="F206" s="103"/>
      <c r="G206" s="103"/>
      <c r="H206" s="103"/>
      <c r="I206" s="103"/>
      <c r="J206" s="95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2.75" customHeight="1" x14ac:dyDescent="0.3">
      <c r="A207" s="69"/>
      <c r="B207" s="69"/>
      <c r="C207" s="69"/>
      <c r="D207" s="69"/>
      <c r="E207" s="69"/>
      <c r="F207" s="103"/>
      <c r="G207" s="103"/>
      <c r="H207" s="103"/>
      <c r="I207" s="103"/>
      <c r="J207" s="95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2.75" customHeight="1" x14ac:dyDescent="0.3">
      <c r="A208" s="69"/>
      <c r="B208" s="69"/>
      <c r="C208" s="69"/>
      <c r="D208" s="69"/>
      <c r="E208" s="69"/>
      <c r="F208" s="103"/>
      <c r="G208" s="103"/>
      <c r="H208" s="103"/>
      <c r="I208" s="103"/>
      <c r="J208" s="95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2.75" customHeight="1" x14ac:dyDescent="0.3">
      <c r="A209" s="69"/>
      <c r="B209" s="69"/>
      <c r="C209" s="69"/>
      <c r="D209" s="69"/>
      <c r="E209" s="69"/>
      <c r="F209" s="103"/>
      <c r="G209" s="103"/>
      <c r="H209" s="103"/>
      <c r="I209" s="103"/>
      <c r="J209" s="95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2.75" customHeight="1" x14ac:dyDescent="0.3">
      <c r="A210" s="69"/>
      <c r="B210" s="69"/>
      <c r="C210" s="69"/>
      <c r="D210" s="69"/>
      <c r="E210" s="69"/>
      <c r="F210" s="103"/>
      <c r="G210" s="103"/>
      <c r="H210" s="103"/>
      <c r="I210" s="103"/>
      <c r="J210" s="95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2.75" customHeight="1" x14ac:dyDescent="0.3">
      <c r="A211" s="69"/>
      <c r="B211" s="69"/>
      <c r="C211" s="69"/>
      <c r="D211" s="69"/>
      <c r="E211" s="69"/>
      <c r="F211" s="103"/>
      <c r="G211" s="103"/>
      <c r="H211" s="103"/>
      <c r="I211" s="103"/>
      <c r="J211" s="95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2.75" customHeight="1" x14ac:dyDescent="0.3">
      <c r="A212" s="69"/>
      <c r="B212" s="69"/>
      <c r="C212" s="69"/>
      <c r="D212" s="69"/>
      <c r="E212" s="69"/>
      <c r="F212" s="103"/>
      <c r="G212" s="103"/>
      <c r="H212" s="103"/>
      <c r="I212" s="103"/>
      <c r="J212" s="95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2.75" customHeight="1" x14ac:dyDescent="0.3">
      <c r="A213" s="69"/>
      <c r="B213" s="69"/>
      <c r="C213" s="69"/>
      <c r="D213" s="69"/>
      <c r="E213" s="69"/>
      <c r="F213" s="103"/>
      <c r="G213" s="103"/>
      <c r="H213" s="103"/>
      <c r="I213" s="103"/>
      <c r="J213" s="95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2.75" customHeight="1" x14ac:dyDescent="0.3">
      <c r="A214" s="69"/>
      <c r="B214" s="69"/>
      <c r="C214" s="69"/>
      <c r="D214" s="69"/>
      <c r="E214" s="69"/>
      <c r="F214" s="103"/>
      <c r="G214" s="103"/>
      <c r="H214" s="103"/>
      <c r="I214" s="103"/>
      <c r="J214" s="95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2.75" customHeight="1" x14ac:dyDescent="0.3">
      <c r="A215" s="69"/>
      <c r="B215" s="69"/>
      <c r="C215" s="69"/>
      <c r="D215" s="69"/>
      <c r="E215" s="69"/>
      <c r="F215" s="103"/>
      <c r="G215" s="103"/>
      <c r="H215" s="103"/>
      <c r="I215" s="103"/>
      <c r="J215" s="95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2.75" customHeight="1" x14ac:dyDescent="0.3">
      <c r="A216" s="69"/>
      <c r="B216" s="69"/>
      <c r="C216" s="69"/>
      <c r="D216" s="69"/>
      <c r="E216" s="69"/>
      <c r="F216" s="103"/>
      <c r="G216" s="103"/>
      <c r="H216" s="103"/>
      <c r="I216" s="103"/>
      <c r="J216" s="95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2.75" customHeight="1" x14ac:dyDescent="0.3">
      <c r="A217" s="69"/>
      <c r="B217" s="69"/>
      <c r="C217" s="69"/>
      <c r="D217" s="69"/>
      <c r="E217" s="69"/>
      <c r="F217" s="103"/>
      <c r="G217" s="103"/>
      <c r="H217" s="103"/>
      <c r="I217" s="103"/>
      <c r="J217" s="95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2.75" customHeight="1" x14ac:dyDescent="0.3">
      <c r="A218" s="69"/>
      <c r="B218" s="69"/>
      <c r="C218" s="69"/>
      <c r="D218" s="69"/>
      <c r="E218" s="69"/>
      <c r="F218" s="103"/>
      <c r="G218" s="103"/>
      <c r="H218" s="103"/>
      <c r="I218" s="103"/>
      <c r="J218" s="95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2.75" customHeight="1" x14ac:dyDescent="0.3">
      <c r="A219" s="69"/>
      <c r="B219" s="69"/>
      <c r="C219" s="69"/>
      <c r="D219" s="69"/>
      <c r="E219" s="69"/>
      <c r="F219" s="103"/>
      <c r="G219" s="103"/>
      <c r="H219" s="103"/>
      <c r="I219" s="103"/>
      <c r="J219" s="95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2.75" customHeight="1" x14ac:dyDescent="0.3">
      <c r="A220" s="69"/>
      <c r="B220" s="69"/>
      <c r="C220" s="69"/>
      <c r="D220" s="69"/>
      <c r="E220" s="69"/>
      <c r="F220" s="103"/>
      <c r="G220" s="103"/>
      <c r="H220" s="103"/>
      <c r="I220" s="103"/>
      <c r="J220" s="95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2.75" customHeight="1" x14ac:dyDescent="0.3">
      <c r="A221" s="69"/>
      <c r="B221" s="69"/>
      <c r="C221" s="69"/>
      <c r="D221" s="69"/>
      <c r="E221" s="69"/>
      <c r="F221" s="103"/>
      <c r="G221" s="103"/>
      <c r="H221" s="103"/>
      <c r="I221" s="103"/>
      <c r="J221" s="95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2.75" customHeight="1" x14ac:dyDescent="0.3">
      <c r="A222" s="69"/>
      <c r="B222" s="69"/>
      <c r="C222" s="69"/>
      <c r="D222" s="69"/>
      <c r="E222" s="69"/>
      <c r="F222" s="103"/>
      <c r="G222" s="103"/>
      <c r="H222" s="103"/>
      <c r="I222" s="103"/>
      <c r="J222" s="95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2.75" customHeight="1" x14ac:dyDescent="0.3">
      <c r="A223" s="69"/>
      <c r="B223" s="69"/>
      <c r="C223" s="69"/>
      <c r="D223" s="69"/>
      <c r="E223" s="69"/>
      <c r="F223" s="103"/>
      <c r="G223" s="103"/>
      <c r="H223" s="103"/>
      <c r="I223" s="103"/>
      <c r="J223" s="95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2.75" customHeight="1" x14ac:dyDescent="0.3">
      <c r="A224" s="69"/>
      <c r="B224" s="69"/>
      <c r="C224" s="69"/>
      <c r="D224" s="69"/>
      <c r="E224" s="69"/>
      <c r="F224" s="103"/>
      <c r="G224" s="103"/>
      <c r="H224" s="103"/>
      <c r="I224" s="103"/>
      <c r="J224" s="95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2.75" customHeight="1" x14ac:dyDescent="0.3">
      <c r="A225" s="69"/>
      <c r="B225" s="69"/>
      <c r="C225" s="69"/>
      <c r="D225" s="69"/>
      <c r="E225" s="69"/>
      <c r="F225" s="103"/>
      <c r="G225" s="103"/>
      <c r="H225" s="103"/>
      <c r="I225" s="103"/>
      <c r="J225" s="95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2.75" customHeight="1" x14ac:dyDescent="0.3">
      <c r="A226" s="69"/>
      <c r="B226" s="69"/>
      <c r="C226" s="69"/>
      <c r="D226" s="69"/>
      <c r="E226" s="69"/>
      <c r="F226" s="103"/>
      <c r="G226" s="103"/>
      <c r="H226" s="103"/>
      <c r="I226" s="103"/>
      <c r="J226" s="95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2.75" customHeight="1" x14ac:dyDescent="0.3">
      <c r="A227" s="69"/>
      <c r="B227" s="69"/>
      <c r="C227" s="69"/>
      <c r="D227" s="69"/>
      <c r="E227" s="69"/>
      <c r="F227" s="103"/>
      <c r="G227" s="103"/>
      <c r="H227" s="103"/>
      <c r="I227" s="103"/>
      <c r="J227" s="95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2.75" customHeight="1" x14ac:dyDescent="0.3">
      <c r="A228" s="69"/>
      <c r="B228" s="69"/>
      <c r="C228" s="69"/>
      <c r="D228" s="69"/>
      <c r="E228" s="69"/>
      <c r="F228" s="103"/>
      <c r="G228" s="103"/>
      <c r="H228" s="103"/>
      <c r="I228" s="103"/>
      <c r="J228" s="95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2.75" customHeight="1" x14ac:dyDescent="0.3">
      <c r="A229" s="69"/>
      <c r="B229" s="69"/>
      <c r="C229" s="69"/>
      <c r="D229" s="69"/>
      <c r="E229" s="69"/>
      <c r="F229" s="103"/>
      <c r="G229" s="103"/>
      <c r="H229" s="103"/>
      <c r="I229" s="103"/>
      <c r="J229" s="95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2.75" customHeight="1" x14ac:dyDescent="0.3">
      <c r="A230" s="69"/>
      <c r="B230" s="69"/>
      <c r="C230" s="69"/>
      <c r="D230" s="69"/>
      <c r="E230" s="69"/>
      <c r="F230" s="103"/>
      <c r="G230" s="103"/>
      <c r="H230" s="103"/>
      <c r="I230" s="103"/>
      <c r="J230" s="95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2.75" customHeight="1" x14ac:dyDescent="0.3">
      <c r="A231" s="69"/>
      <c r="B231" s="69"/>
      <c r="C231" s="69"/>
      <c r="D231" s="69"/>
      <c r="E231" s="69"/>
      <c r="F231" s="103"/>
      <c r="G231" s="103"/>
      <c r="H231" s="103"/>
      <c r="I231" s="103"/>
      <c r="J231" s="95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2.75" customHeight="1" x14ac:dyDescent="0.3">
      <c r="A232" s="69"/>
      <c r="B232" s="69"/>
      <c r="C232" s="69"/>
      <c r="D232" s="69"/>
      <c r="E232" s="69"/>
      <c r="F232" s="103"/>
      <c r="G232" s="103"/>
      <c r="H232" s="103"/>
      <c r="I232" s="103"/>
      <c r="J232" s="95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2.75" customHeight="1" x14ac:dyDescent="0.3">
      <c r="A233" s="69"/>
      <c r="B233" s="69"/>
      <c r="C233" s="69"/>
      <c r="D233" s="69"/>
      <c r="E233" s="69"/>
      <c r="F233" s="103"/>
      <c r="G233" s="103"/>
      <c r="H233" s="103"/>
      <c r="I233" s="103"/>
      <c r="J233" s="95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2.75" customHeight="1" x14ac:dyDescent="0.3">
      <c r="A234" s="69"/>
      <c r="B234" s="69"/>
      <c r="C234" s="69"/>
      <c r="D234" s="69"/>
      <c r="E234" s="69"/>
      <c r="F234" s="103"/>
      <c r="G234" s="103"/>
      <c r="H234" s="103"/>
      <c r="I234" s="103"/>
      <c r="J234" s="95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2.75" customHeight="1" x14ac:dyDescent="0.3">
      <c r="A235" s="69"/>
      <c r="B235" s="69"/>
      <c r="C235" s="69"/>
      <c r="D235" s="69"/>
      <c r="E235" s="69"/>
      <c r="F235" s="103"/>
      <c r="G235" s="103"/>
      <c r="H235" s="103"/>
      <c r="I235" s="103"/>
      <c r="J235" s="95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2.75" customHeight="1" x14ac:dyDescent="0.3">
      <c r="A236" s="69"/>
      <c r="B236" s="69"/>
      <c r="C236" s="69"/>
      <c r="D236" s="69"/>
      <c r="E236" s="69"/>
      <c r="F236" s="103"/>
      <c r="G236" s="103"/>
      <c r="H236" s="103"/>
      <c r="I236" s="103"/>
      <c r="J236" s="95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2.75" customHeight="1" x14ac:dyDescent="0.3">
      <c r="A237" s="69"/>
      <c r="B237" s="69"/>
      <c r="C237" s="69"/>
      <c r="D237" s="69"/>
      <c r="E237" s="69"/>
      <c r="F237" s="103"/>
      <c r="G237" s="103"/>
      <c r="H237" s="103"/>
      <c r="I237" s="103"/>
      <c r="J237" s="95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2.75" customHeight="1" x14ac:dyDescent="0.3">
      <c r="A238" s="69"/>
      <c r="B238" s="69"/>
      <c r="C238" s="69"/>
      <c r="D238" s="69"/>
      <c r="E238" s="69"/>
      <c r="F238" s="103"/>
      <c r="G238" s="103"/>
      <c r="H238" s="103"/>
      <c r="I238" s="103"/>
      <c r="J238" s="95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2.75" customHeight="1" x14ac:dyDescent="0.3">
      <c r="A239" s="69"/>
      <c r="B239" s="69"/>
      <c r="C239" s="69"/>
      <c r="D239" s="69"/>
      <c r="E239" s="69"/>
      <c r="F239" s="103"/>
      <c r="G239" s="103"/>
      <c r="H239" s="103"/>
      <c r="I239" s="103"/>
      <c r="J239" s="95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2.75" customHeight="1" x14ac:dyDescent="0.3">
      <c r="A240" s="69"/>
      <c r="B240" s="69"/>
      <c r="C240" s="69"/>
      <c r="D240" s="69"/>
      <c r="E240" s="69"/>
      <c r="F240" s="103"/>
      <c r="G240" s="103"/>
      <c r="H240" s="103"/>
      <c r="I240" s="103"/>
      <c r="J240" s="95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2.75" customHeight="1" x14ac:dyDescent="0.3">
      <c r="A241" s="69"/>
      <c r="B241" s="69"/>
      <c r="C241" s="69"/>
      <c r="D241" s="69"/>
      <c r="E241" s="69"/>
      <c r="F241" s="103"/>
      <c r="G241" s="103"/>
      <c r="H241" s="103"/>
      <c r="I241" s="103"/>
      <c r="J241" s="95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2.75" customHeight="1" x14ac:dyDescent="0.3">
      <c r="A242" s="69"/>
      <c r="B242" s="69"/>
      <c r="C242" s="69"/>
      <c r="D242" s="69"/>
      <c r="E242" s="69"/>
      <c r="F242" s="103"/>
      <c r="G242" s="103"/>
      <c r="H242" s="103"/>
      <c r="I242" s="103"/>
      <c r="J242" s="95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2.75" customHeight="1" x14ac:dyDescent="0.3">
      <c r="A243" s="69"/>
      <c r="B243" s="69"/>
      <c r="C243" s="69"/>
      <c r="D243" s="69"/>
      <c r="E243" s="69"/>
      <c r="F243" s="103"/>
      <c r="G243" s="103"/>
      <c r="H243" s="103"/>
      <c r="I243" s="103"/>
      <c r="J243" s="95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2.75" customHeight="1" x14ac:dyDescent="0.3">
      <c r="A244" s="69"/>
      <c r="B244" s="69"/>
      <c r="C244" s="69"/>
      <c r="D244" s="69"/>
      <c r="E244" s="69"/>
      <c r="F244" s="103"/>
      <c r="G244" s="103"/>
      <c r="H244" s="103"/>
      <c r="I244" s="103"/>
      <c r="J244" s="95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2.75" customHeight="1" x14ac:dyDescent="0.3">
      <c r="A245" s="69"/>
      <c r="B245" s="69"/>
      <c r="C245" s="69"/>
      <c r="D245" s="69"/>
      <c r="E245" s="69"/>
      <c r="F245" s="103"/>
      <c r="G245" s="103"/>
      <c r="H245" s="103"/>
      <c r="I245" s="103"/>
      <c r="J245" s="95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2.75" customHeight="1" x14ac:dyDescent="0.3">
      <c r="A246" s="69"/>
      <c r="B246" s="69"/>
      <c r="C246" s="69"/>
      <c r="D246" s="69"/>
      <c r="E246" s="69"/>
      <c r="F246" s="103"/>
      <c r="G246" s="103"/>
      <c r="H246" s="103"/>
      <c r="I246" s="103"/>
      <c r="J246" s="95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2.75" customHeight="1" x14ac:dyDescent="0.3">
      <c r="A247" s="69"/>
      <c r="B247" s="69"/>
      <c r="C247" s="69"/>
      <c r="D247" s="69"/>
      <c r="E247" s="69"/>
      <c r="F247" s="103"/>
      <c r="G247" s="103"/>
      <c r="H247" s="103"/>
      <c r="I247" s="103"/>
      <c r="J247" s="95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2.75" customHeight="1" x14ac:dyDescent="0.3">
      <c r="A248" s="69"/>
      <c r="B248" s="69"/>
      <c r="C248" s="69"/>
      <c r="D248" s="69"/>
      <c r="E248" s="69"/>
      <c r="F248" s="103"/>
      <c r="G248" s="103"/>
      <c r="H248" s="103"/>
      <c r="I248" s="103"/>
      <c r="J248" s="95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2.75" customHeight="1" x14ac:dyDescent="0.3">
      <c r="A249" s="69"/>
      <c r="B249" s="69"/>
      <c r="C249" s="69"/>
      <c r="D249" s="69"/>
      <c r="E249" s="69"/>
      <c r="F249" s="103"/>
      <c r="G249" s="103"/>
      <c r="H249" s="103"/>
      <c r="I249" s="103"/>
      <c r="J249" s="95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2.75" customHeight="1" x14ac:dyDescent="0.3">
      <c r="A250" s="69"/>
      <c r="B250" s="69"/>
      <c r="C250" s="69"/>
      <c r="D250" s="69"/>
      <c r="E250" s="69"/>
      <c r="F250" s="103"/>
      <c r="G250" s="103"/>
      <c r="H250" s="103"/>
      <c r="I250" s="103"/>
      <c r="J250" s="95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2.75" customHeight="1" x14ac:dyDescent="0.3">
      <c r="A251" s="69"/>
      <c r="B251" s="69"/>
      <c r="C251" s="69"/>
      <c r="D251" s="69"/>
      <c r="E251" s="69"/>
      <c r="F251" s="103"/>
      <c r="G251" s="103"/>
      <c r="H251" s="103"/>
      <c r="I251" s="103"/>
      <c r="J251" s="95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2.75" customHeight="1" x14ac:dyDescent="0.3">
      <c r="A252" s="69"/>
      <c r="B252" s="69"/>
      <c r="C252" s="69"/>
      <c r="D252" s="69"/>
      <c r="E252" s="69"/>
      <c r="F252" s="103"/>
      <c r="G252" s="103"/>
      <c r="H252" s="103"/>
      <c r="I252" s="103"/>
      <c r="J252" s="95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2.75" customHeight="1" x14ac:dyDescent="0.3">
      <c r="A253" s="69"/>
      <c r="B253" s="69"/>
      <c r="C253" s="69"/>
      <c r="D253" s="69"/>
      <c r="E253" s="69"/>
      <c r="F253" s="103"/>
      <c r="G253" s="103"/>
      <c r="H253" s="103"/>
      <c r="I253" s="103"/>
      <c r="J253" s="95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2.75" customHeight="1" x14ac:dyDescent="0.3">
      <c r="A254" s="69"/>
      <c r="B254" s="69"/>
      <c r="C254" s="69"/>
      <c r="D254" s="69"/>
      <c r="E254" s="69"/>
      <c r="F254" s="103"/>
      <c r="G254" s="103"/>
      <c r="H254" s="103"/>
      <c r="I254" s="103"/>
      <c r="J254" s="95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2.75" customHeight="1" x14ac:dyDescent="0.3">
      <c r="A255" s="69"/>
      <c r="B255" s="69"/>
      <c r="C255" s="69"/>
      <c r="D255" s="69"/>
      <c r="E255" s="69"/>
      <c r="F255" s="103"/>
      <c r="G255" s="103"/>
      <c r="H255" s="103"/>
      <c r="I255" s="103"/>
      <c r="J255" s="95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2.75" customHeight="1" x14ac:dyDescent="0.3">
      <c r="A256" s="69"/>
      <c r="B256" s="69"/>
      <c r="C256" s="69"/>
      <c r="D256" s="69"/>
      <c r="E256" s="69"/>
      <c r="F256" s="103"/>
      <c r="G256" s="103"/>
      <c r="H256" s="103"/>
      <c r="I256" s="103"/>
      <c r="J256" s="95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2.75" customHeight="1" x14ac:dyDescent="0.3">
      <c r="A257" s="69"/>
      <c r="B257" s="69"/>
      <c r="C257" s="69"/>
      <c r="D257" s="69"/>
      <c r="E257" s="69"/>
      <c r="F257" s="103"/>
      <c r="G257" s="103"/>
      <c r="H257" s="103"/>
      <c r="I257" s="103"/>
      <c r="J257" s="95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2.75" customHeight="1" x14ac:dyDescent="0.3">
      <c r="A258" s="69"/>
      <c r="B258" s="69"/>
      <c r="C258" s="69"/>
      <c r="D258" s="69"/>
      <c r="E258" s="69"/>
      <c r="F258" s="103"/>
      <c r="G258" s="103"/>
      <c r="H258" s="103"/>
      <c r="I258" s="103"/>
      <c r="J258" s="95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2.75" customHeight="1" x14ac:dyDescent="0.3">
      <c r="A259" s="69"/>
      <c r="B259" s="69"/>
      <c r="C259" s="69"/>
      <c r="D259" s="69"/>
      <c r="E259" s="69"/>
      <c r="F259" s="103"/>
      <c r="G259" s="103"/>
      <c r="H259" s="103"/>
      <c r="I259" s="103"/>
      <c r="J259" s="95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2.75" customHeight="1" x14ac:dyDescent="0.3">
      <c r="A260" s="69"/>
      <c r="B260" s="69"/>
      <c r="C260" s="69"/>
      <c r="D260" s="69"/>
      <c r="E260" s="69"/>
      <c r="F260" s="103"/>
      <c r="G260" s="103"/>
      <c r="H260" s="103"/>
      <c r="I260" s="103"/>
      <c r="J260" s="95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2.75" customHeight="1" x14ac:dyDescent="0.3">
      <c r="A261" s="69"/>
      <c r="B261" s="69"/>
      <c r="C261" s="69"/>
      <c r="D261" s="69"/>
      <c r="E261" s="69"/>
      <c r="F261" s="103"/>
      <c r="G261" s="103"/>
      <c r="H261" s="103"/>
      <c r="I261" s="103"/>
      <c r="J261" s="95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2.75" customHeight="1" x14ac:dyDescent="0.3">
      <c r="A262" s="69"/>
      <c r="B262" s="69"/>
      <c r="C262" s="69"/>
      <c r="D262" s="69"/>
      <c r="E262" s="69"/>
      <c r="F262" s="103"/>
      <c r="G262" s="103"/>
      <c r="H262" s="103"/>
      <c r="I262" s="103"/>
      <c r="J262" s="95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2.75" customHeight="1" x14ac:dyDescent="0.3">
      <c r="A263" s="69"/>
      <c r="B263" s="69"/>
      <c r="C263" s="69"/>
      <c r="D263" s="69"/>
      <c r="E263" s="69"/>
      <c r="F263" s="103"/>
      <c r="G263" s="103"/>
      <c r="H263" s="103"/>
      <c r="I263" s="103"/>
      <c r="J263" s="95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2.75" customHeight="1" x14ac:dyDescent="0.3">
      <c r="A264" s="69"/>
      <c r="B264" s="69"/>
      <c r="C264" s="69"/>
      <c r="D264" s="69"/>
      <c r="E264" s="69"/>
      <c r="F264" s="103"/>
      <c r="G264" s="103"/>
      <c r="H264" s="103"/>
      <c r="I264" s="103"/>
      <c r="J264" s="95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2.75" customHeight="1" x14ac:dyDescent="0.3">
      <c r="A265" s="69"/>
      <c r="B265" s="69"/>
      <c r="C265" s="69"/>
      <c r="D265" s="69"/>
      <c r="E265" s="69"/>
      <c r="F265" s="103"/>
      <c r="G265" s="103"/>
      <c r="H265" s="103"/>
      <c r="I265" s="103"/>
      <c r="J265" s="95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2.75" customHeight="1" x14ac:dyDescent="0.3">
      <c r="A266" s="69"/>
      <c r="B266" s="69"/>
      <c r="C266" s="69"/>
      <c r="D266" s="69"/>
      <c r="E266" s="69"/>
      <c r="F266" s="103"/>
      <c r="G266" s="103"/>
      <c r="H266" s="103"/>
      <c r="I266" s="103"/>
      <c r="J266" s="95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2.75" customHeight="1" x14ac:dyDescent="0.3">
      <c r="A267" s="69"/>
      <c r="B267" s="69"/>
      <c r="C267" s="69"/>
      <c r="D267" s="69"/>
      <c r="E267" s="69"/>
      <c r="F267" s="103"/>
      <c r="G267" s="103"/>
      <c r="H267" s="103"/>
      <c r="I267" s="103"/>
      <c r="J267" s="95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2.75" customHeight="1" x14ac:dyDescent="0.3">
      <c r="A268" s="69"/>
      <c r="B268" s="69"/>
      <c r="C268" s="69"/>
      <c r="D268" s="69"/>
      <c r="E268" s="69"/>
      <c r="F268" s="103"/>
      <c r="G268" s="103"/>
      <c r="H268" s="103"/>
      <c r="I268" s="103"/>
      <c r="J268" s="95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2.75" customHeight="1" x14ac:dyDescent="0.3">
      <c r="A269" s="69"/>
      <c r="B269" s="69"/>
      <c r="C269" s="69"/>
      <c r="D269" s="69"/>
      <c r="E269" s="69"/>
      <c r="F269" s="103"/>
      <c r="G269" s="103"/>
      <c r="H269" s="103"/>
      <c r="I269" s="103"/>
      <c r="J269" s="95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2.75" customHeight="1" x14ac:dyDescent="0.3">
      <c r="A270" s="69"/>
      <c r="B270" s="69"/>
      <c r="C270" s="69"/>
      <c r="D270" s="69"/>
      <c r="E270" s="69"/>
      <c r="F270" s="103"/>
      <c r="G270" s="103"/>
      <c r="H270" s="103"/>
      <c r="I270" s="103"/>
      <c r="J270" s="95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2.75" customHeight="1" x14ac:dyDescent="0.3">
      <c r="A271" s="69"/>
      <c r="B271" s="69"/>
      <c r="C271" s="69"/>
      <c r="D271" s="69"/>
      <c r="E271" s="69"/>
      <c r="F271" s="103"/>
      <c r="G271" s="103"/>
      <c r="H271" s="103"/>
      <c r="I271" s="103"/>
      <c r="J271" s="95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2.75" customHeight="1" x14ac:dyDescent="0.3">
      <c r="A272" s="69"/>
      <c r="B272" s="69"/>
      <c r="C272" s="69"/>
      <c r="D272" s="69"/>
      <c r="E272" s="69"/>
      <c r="F272" s="103"/>
      <c r="G272" s="103"/>
      <c r="H272" s="103"/>
      <c r="I272" s="103"/>
      <c r="J272" s="95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2.75" customHeight="1" x14ac:dyDescent="0.3">
      <c r="A273" s="69"/>
      <c r="B273" s="69"/>
      <c r="C273" s="69"/>
      <c r="D273" s="69"/>
      <c r="E273" s="69"/>
      <c r="F273" s="103"/>
      <c r="G273" s="103"/>
      <c r="H273" s="103"/>
      <c r="I273" s="103"/>
      <c r="J273" s="95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2.75" customHeight="1" x14ac:dyDescent="0.3">
      <c r="A274" s="69"/>
      <c r="B274" s="69"/>
      <c r="C274" s="69"/>
      <c r="D274" s="69"/>
      <c r="E274" s="69"/>
      <c r="F274" s="103"/>
      <c r="G274" s="103"/>
      <c r="H274" s="103"/>
      <c r="I274" s="103"/>
      <c r="J274" s="95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2.75" customHeight="1" x14ac:dyDescent="0.3">
      <c r="A275" s="69"/>
      <c r="B275" s="69"/>
      <c r="C275" s="69"/>
      <c r="D275" s="69"/>
      <c r="E275" s="69"/>
      <c r="F275" s="103"/>
      <c r="G275" s="103"/>
      <c r="H275" s="103"/>
      <c r="I275" s="103"/>
      <c r="J275" s="95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2.75" customHeight="1" x14ac:dyDescent="0.3">
      <c r="A276" s="69"/>
      <c r="B276" s="69"/>
      <c r="C276" s="69"/>
      <c r="D276" s="69"/>
      <c r="E276" s="69"/>
      <c r="F276" s="103"/>
      <c r="G276" s="103"/>
      <c r="H276" s="103"/>
      <c r="I276" s="103"/>
      <c r="J276" s="95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2.75" customHeight="1" x14ac:dyDescent="0.3">
      <c r="A277" s="69"/>
      <c r="B277" s="69"/>
      <c r="C277" s="69"/>
      <c r="D277" s="69"/>
      <c r="E277" s="69"/>
      <c r="F277" s="103"/>
      <c r="G277" s="103"/>
      <c r="H277" s="103"/>
      <c r="I277" s="103"/>
      <c r="J277" s="95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2.75" customHeight="1" x14ac:dyDescent="0.3">
      <c r="A278" s="69"/>
      <c r="B278" s="69"/>
      <c r="C278" s="69"/>
      <c r="D278" s="69"/>
      <c r="E278" s="69"/>
      <c r="F278" s="103"/>
      <c r="G278" s="103"/>
      <c r="H278" s="103"/>
      <c r="I278" s="103"/>
      <c r="J278" s="95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2.75" customHeight="1" x14ac:dyDescent="0.3">
      <c r="A279" s="69"/>
      <c r="B279" s="69"/>
      <c r="C279" s="69"/>
      <c r="D279" s="69"/>
      <c r="E279" s="69"/>
      <c r="F279" s="103"/>
      <c r="G279" s="103"/>
      <c r="H279" s="103"/>
      <c r="I279" s="103"/>
      <c r="J279" s="95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2.75" customHeight="1" x14ac:dyDescent="0.3">
      <c r="A280" s="69"/>
      <c r="B280" s="69"/>
      <c r="C280" s="69"/>
      <c r="D280" s="69"/>
      <c r="E280" s="69"/>
      <c r="F280" s="103"/>
      <c r="G280" s="103"/>
      <c r="H280" s="103"/>
      <c r="I280" s="103"/>
      <c r="J280" s="95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2.75" customHeight="1" x14ac:dyDescent="0.3">
      <c r="A281" s="69"/>
      <c r="B281" s="69"/>
      <c r="C281" s="69"/>
      <c r="D281" s="69"/>
      <c r="E281" s="69"/>
      <c r="F281" s="103"/>
      <c r="G281" s="103"/>
      <c r="H281" s="103"/>
      <c r="I281" s="103"/>
      <c r="J281" s="95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2.75" customHeight="1" x14ac:dyDescent="0.3">
      <c r="A282" s="69"/>
      <c r="B282" s="69"/>
      <c r="C282" s="69"/>
      <c r="D282" s="69"/>
      <c r="E282" s="69"/>
      <c r="F282" s="103"/>
      <c r="G282" s="103"/>
      <c r="H282" s="103"/>
      <c r="I282" s="103"/>
      <c r="J282" s="95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2.75" customHeight="1" x14ac:dyDescent="0.3">
      <c r="A283" s="69"/>
      <c r="B283" s="69"/>
      <c r="C283" s="69"/>
      <c r="D283" s="69"/>
      <c r="E283" s="69"/>
      <c r="F283" s="103"/>
      <c r="G283" s="103"/>
      <c r="H283" s="103"/>
      <c r="I283" s="103"/>
      <c r="J283" s="95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2.75" customHeight="1" x14ac:dyDescent="0.3">
      <c r="A284" s="69"/>
      <c r="B284" s="69"/>
      <c r="C284" s="69"/>
      <c r="D284" s="69"/>
      <c r="E284" s="69"/>
      <c r="F284" s="103"/>
      <c r="G284" s="103"/>
      <c r="H284" s="103"/>
      <c r="I284" s="103"/>
      <c r="J284" s="95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2.75" customHeight="1" x14ac:dyDescent="0.3">
      <c r="A285" s="69"/>
      <c r="B285" s="69"/>
      <c r="C285" s="69"/>
      <c r="D285" s="69"/>
      <c r="E285" s="69"/>
      <c r="F285" s="103"/>
      <c r="G285" s="103"/>
      <c r="H285" s="103"/>
      <c r="I285" s="103"/>
      <c r="J285" s="95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2.75" customHeight="1" x14ac:dyDescent="0.3">
      <c r="A286" s="69"/>
      <c r="B286" s="69"/>
      <c r="C286" s="69"/>
      <c r="D286" s="69"/>
      <c r="E286" s="69"/>
      <c r="F286" s="103"/>
      <c r="G286" s="103"/>
      <c r="H286" s="103"/>
      <c r="I286" s="103"/>
      <c r="J286" s="95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2.75" customHeight="1" x14ac:dyDescent="0.3">
      <c r="A287" s="69"/>
      <c r="B287" s="69"/>
      <c r="C287" s="69"/>
      <c r="D287" s="69"/>
      <c r="E287" s="69"/>
      <c r="F287" s="103"/>
      <c r="G287" s="103"/>
      <c r="H287" s="103"/>
      <c r="I287" s="103"/>
      <c r="J287" s="95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2.75" customHeight="1" x14ac:dyDescent="0.3">
      <c r="A288" s="69"/>
      <c r="B288" s="69"/>
      <c r="C288" s="69"/>
      <c r="D288" s="69"/>
      <c r="E288" s="69"/>
      <c r="F288" s="103"/>
      <c r="G288" s="103"/>
      <c r="H288" s="103"/>
      <c r="I288" s="103"/>
      <c r="J288" s="95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2.75" customHeight="1" x14ac:dyDescent="0.3">
      <c r="A289" s="69"/>
      <c r="B289" s="69"/>
      <c r="C289" s="69"/>
      <c r="D289" s="69"/>
      <c r="E289" s="69"/>
      <c r="F289" s="103"/>
      <c r="G289" s="103"/>
      <c r="H289" s="103"/>
      <c r="I289" s="103"/>
      <c r="J289" s="95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2.75" customHeight="1" x14ac:dyDescent="0.3">
      <c r="A290" s="69"/>
      <c r="B290" s="69"/>
      <c r="C290" s="69"/>
      <c r="D290" s="69"/>
      <c r="E290" s="69"/>
      <c r="F290" s="103"/>
      <c r="G290" s="103"/>
      <c r="H290" s="103"/>
      <c r="I290" s="103"/>
      <c r="J290" s="95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2.75" customHeight="1" x14ac:dyDescent="0.3">
      <c r="A291" s="69"/>
      <c r="B291" s="69"/>
      <c r="C291" s="69"/>
      <c r="D291" s="69"/>
      <c r="E291" s="69"/>
      <c r="F291" s="103"/>
      <c r="G291" s="103"/>
      <c r="H291" s="103"/>
      <c r="I291" s="103"/>
      <c r="J291" s="95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2.75" customHeight="1" x14ac:dyDescent="0.3">
      <c r="A292" s="69"/>
      <c r="B292" s="69"/>
      <c r="C292" s="69"/>
      <c r="D292" s="69"/>
      <c r="E292" s="69"/>
      <c r="F292" s="103"/>
      <c r="G292" s="103"/>
      <c r="H292" s="103"/>
      <c r="I292" s="103"/>
      <c r="J292" s="95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2.75" customHeight="1" x14ac:dyDescent="0.3">
      <c r="A293" s="69"/>
      <c r="B293" s="69"/>
      <c r="C293" s="69"/>
      <c r="D293" s="69"/>
      <c r="E293" s="69"/>
      <c r="F293" s="103"/>
      <c r="G293" s="103"/>
      <c r="H293" s="103"/>
      <c r="I293" s="103"/>
      <c r="J293" s="95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2.75" customHeight="1" x14ac:dyDescent="0.3">
      <c r="A294" s="69"/>
      <c r="B294" s="69"/>
      <c r="C294" s="69"/>
      <c r="D294" s="69"/>
      <c r="E294" s="69"/>
      <c r="F294" s="103"/>
      <c r="G294" s="103"/>
      <c r="H294" s="103"/>
      <c r="I294" s="103"/>
      <c r="J294" s="95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2.75" customHeight="1" x14ac:dyDescent="0.3">
      <c r="A295" s="69"/>
      <c r="B295" s="69"/>
      <c r="C295" s="69"/>
      <c r="D295" s="69"/>
      <c r="E295" s="69"/>
      <c r="F295" s="103"/>
      <c r="G295" s="103"/>
      <c r="H295" s="103"/>
      <c r="I295" s="103"/>
      <c r="J295" s="95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2.75" customHeight="1" x14ac:dyDescent="0.3">
      <c r="A296" s="69"/>
      <c r="B296" s="69"/>
      <c r="C296" s="69"/>
      <c r="D296" s="69"/>
      <c r="E296" s="69"/>
      <c r="F296" s="103"/>
      <c r="G296" s="103"/>
      <c r="H296" s="103"/>
      <c r="I296" s="103"/>
      <c r="J296" s="95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2.75" customHeight="1" x14ac:dyDescent="0.3">
      <c r="A297" s="69"/>
      <c r="B297" s="69"/>
      <c r="C297" s="69"/>
      <c r="D297" s="69"/>
      <c r="E297" s="69"/>
      <c r="F297" s="103"/>
      <c r="G297" s="103"/>
      <c r="H297" s="103"/>
      <c r="I297" s="103"/>
      <c r="J297" s="95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2.75" customHeight="1" x14ac:dyDescent="0.3">
      <c r="A298" s="69"/>
      <c r="B298" s="69"/>
      <c r="C298" s="69"/>
      <c r="D298" s="69"/>
      <c r="E298" s="69"/>
      <c r="F298" s="103"/>
      <c r="G298" s="103"/>
      <c r="H298" s="103"/>
      <c r="I298" s="103"/>
      <c r="J298" s="95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2.75" customHeight="1" x14ac:dyDescent="0.3">
      <c r="A299" s="69"/>
      <c r="B299" s="69"/>
      <c r="C299" s="69"/>
      <c r="D299" s="69"/>
      <c r="E299" s="69"/>
      <c r="F299" s="103"/>
      <c r="G299" s="103"/>
      <c r="H299" s="103"/>
      <c r="I299" s="103"/>
      <c r="J299" s="95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2.75" customHeight="1" x14ac:dyDescent="0.3">
      <c r="A300" s="69"/>
      <c r="B300" s="69"/>
      <c r="C300" s="69"/>
      <c r="D300" s="69"/>
      <c r="E300" s="69"/>
      <c r="F300" s="103"/>
      <c r="G300" s="103"/>
      <c r="H300" s="103"/>
      <c r="I300" s="103"/>
      <c r="J300" s="95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2.75" customHeight="1" x14ac:dyDescent="0.3">
      <c r="A301" s="69"/>
      <c r="B301" s="69"/>
      <c r="C301" s="69"/>
      <c r="D301" s="69"/>
      <c r="E301" s="69"/>
      <c r="F301" s="103"/>
      <c r="G301" s="103"/>
      <c r="H301" s="103"/>
      <c r="I301" s="103"/>
      <c r="J301" s="95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2.75" customHeight="1" x14ac:dyDescent="0.3">
      <c r="A302" s="69"/>
      <c r="B302" s="69"/>
      <c r="C302" s="69"/>
      <c r="D302" s="69"/>
      <c r="E302" s="69"/>
      <c r="F302" s="103"/>
      <c r="G302" s="103"/>
      <c r="H302" s="103"/>
      <c r="I302" s="103"/>
      <c r="J302" s="95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2.75" customHeight="1" x14ac:dyDescent="0.3">
      <c r="A303" s="69"/>
      <c r="B303" s="69"/>
      <c r="C303" s="69"/>
      <c r="D303" s="69"/>
      <c r="E303" s="69"/>
      <c r="F303" s="103"/>
      <c r="G303" s="103"/>
      <c r="H303" s="103"/>
      <c r="I303" s="103"/>
      <c r="J303" s="95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2.75" customHeight="1" x14ac:dyDescent="0.3">
      <c r="A304" s="69"/>
      <c r="B304" s="69"/>
      <c r="C304" s="69"/>
      <c r="D304" s="69"/>
      <c r="E304" s="69"/>
      <c r="F304" s="103"/>
      <c r="G304" s="103"/>
      <c r="H304" s="103"/>
      <c r="I304" s="103"/>
      <c r="J304" s="95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2.75" customHeight="1" x14ac:dyDescent="0.3">
      <c r="A305" s="69"/>
      <c r="B305" s="69"/>
      <c r="C305" s="69"/>
      <c r="D305" s="69"/>
      <c r="E305" s="69"/>
      <c r="F305" s="103"/>
      <c r="G305" s="103"/>
      <c r="H305" s="103"/>
      <c r="I305" s="103"/>
      <c r="J305" s="95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2.75" customHeight="1" x14ac:dyDescent="0.3">
      <c r="A306" s="69"/>
      <c r="B306" s="69"/>
      <c r="C306" s="69"/>
      <c r="D306" s="69"/>
      <c r="E306" s="69"/>
      <c r="F306" s="103"/>
      <c r="G306" s="103"/>
      <c r="H306" s="103"/>
      <c r="I306" s="103"/>
      <c r="J306" s="95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2.75" customHeight="1" x14ac:dyDescent="0.3">
      <c r="A307" s="69"/>
      <c r="B307" s="69"/>
      <c r="C307" s="69"/>
      <c r="D307" s="69"/>
      <c r="E307" s="69"/>
      <c r="F307" s="103"/>
      <c r="G307" s="103"/>
      <c r="H307" s="103"/>
      <c r="I307" s="103"/>
      <c r="J307" s="95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2.75" customHeight="1" x14ac:dyDescent="0.3">
      <c r="A308" s="69"/>
      <c r="B308" s="69"/>
      <c r="C308" s="69"/>
      <c r="D308" s="69"/>
      <c r="E308" s="69"/>
      <c r="F308" s="103"/>
      <c r="G308" s="103"/>
      <c r="H308" s="103"/>
      <c r="I308" s="103"/>
      <c r="J308" s="95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2.75" customHeight="1" x14ac:dyDescent="0.3">
      <c r="A309" s="69"/>
      <c r="B309" s="69"/>
      <c r="C309" s="69"/>
      <c r="D309" s="69"/>
      <c r="E309" s="69"/>
      <c r="F309" s="103"/>
      <c r="G309" s="103"/>
      <c r="H309" s="103"/>
      <c r="I309" s="103"/>
      <c r="J309" s="95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2.75" customHeight="1" x14ac:dyDescent="0.3">
      <c r="A310" s="69"/>
      <c r="B310" s="69"/>
      <c r="C310" s="69"/>
      <c r="D310" s="69"/>
      <c r="E310" s="69"/>
      <c r="F310" s="103"/>
      <c r="G310" s="103"/>
      <c r="H310" s="103"/>
      <c r="I310" s="103"/>
      <c r="J310" s="95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2.75" customHeight="1" x14ac:dyDescent="0.3">
      <c r="A311" s="69"/>
      <c r="B311" s="69"/>
      <c r="C311" s="69"/>
      <c r="D311" s="69"/>
      <c r="E311" s="69"/>
      <c r="F311" s="103"/>
      <c r="G311" s="103"/>
      <c r="H311" s="103"/>
      <c r="I311" s="103"/>
      <c r="J311" s="95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2.75" customHeight="1" x14ac:dyDescent="0.3">
      <c r="A312" s="69"/>
      <c r="B312" s="69"/>
      <c r="C312" s="69"/>
      <c r="D312" s="69"/>
      <c r="E312" s="69"/>
      <c r="F312" s="103"/>
      <c r="G312" s="103"/>
      <c r="H312" s="103"/>
      <c r="I312" s="103"/>
      <c r="J312" s="95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2.75" customHeight="1" x14ac:dyDescent="0.3">
      <c r="A313" s="69"/>
      <c r="B313" s="69"/>
      <c r="C313" s="69"/>
      <c r="D313" s="69"/>
      <c r="E313" s="69"/>
      <c r="F313" s="103"/>
      <c r="G313" s="103"/>
      <c r="H313" s="103"/>
      <c r="I313" s="103"/>
      <c r="J313" s="95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2.75" customHeight="1" x14ac:dyDescent="0.3">
      <c r="A314" s="69"/>
      <c r="B314" s="69"/>
      <c r="C314" s="69"/>
      <c r="D314" s="69"/>
      <c r="E314" s="69"/>
      <c r="F314" s="103"/>
      <c r="G314" s="103"/>
      <c r="H314" s="103"/>
      <c r="I314" s="103"/>
      <c r="J314" s="95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2.75" customHeight="1" x14ac:dyDescent="0.3">
      <c r="A315" s="69"/>
      <c r="B315" s="69"/>
      <c r="C315" s="69"/>
      <c r="D315" s="69"/>
      <c r="E315" s="69"/>
      <c r="F315" s="103"/>
      <c r="G315" s="103"/>
      <c r="H315" s="103"/>
      <c r="I315" s="103"/>
      <c r="J315" s="95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2.75" customHeight="1" x14ac:dyDescent="0.3">
      <c r="A316" s="69"/>
      <c r="B316" s="69"/>
      <c r="C316" s="69"/>
      <c r="D316" s="69"/>
      <c r="E316" s="69"/>
      <c r="F316" s="103"/>
      <c r="G316" s="103"/>
      <c r="H316" s="103"/>
      <c r="I316" s="103"/>
      <c r="J316" s="95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2.75" customHeight="1" x14ac:dyDescent="0.3">
      <c r="A317" s="69"/>
      <c r="B317" s="69"/>
      <c r="C317" s="69"/>
      <c r="D317" s="69"/>
      <c r="E317" s="69"/>
      <c r="F317" s="103"/>
      <c r="G317" s="103"/>
      <c r="H317" s="103"/>
      <c r="I317" s="103"/>
      <c r="J317" s="95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2.75" customHeight="1" x14ac:dyDescent="0.3">
      <c r="A318" s="69"/>
      <c r="B318" s="69"/>
      <c r="C318" s="69"/>
      <c r="D318" s="69"/>
      <c r="E318" s="69"/>
      <c r="F318" s="103"/>
      <c r="G318" s="103"/>
      <c r="H318" s="103"/>
      <c r="I318" s="103"/>
      <c r="J318" s="95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2.75" customHeight="1" x14ac:dyDescent="0.3">
      <c r="A319" s="69"/>
      <c r="B319" s="69"/>
      <c r="C319" s="69"/>
      <c r="D319" s="69"/>
      <c r="E319" s="69"/>
      <c r="F319" s="103"/>
      <c r="G319" s="103"/>
      <c r="H319" s="103"/>
      <c r="I319" s="103"/>
      <c r="J319" s="95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2.75" customHeight="1" x14ac:dyDescent="0.3">
      <c r="A320" s="69"/>
      <c r="B320" s="69"/>
      <c r="C320" s="69"/>
      <c r="D320" s="69"/>
      <c r="E320" s="69"/>
      <c r="F320" s="103"/>
      <c r="G320" s="103"/>
      <c r="H320" s="103"/>
      <c r="I320" s="103"/>
      <c r="J320" s="95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2.75" customHeight="1" x14ac:dyDescent="0.3">
      <c r="A321" s="69"/>
      <c r="B321" s="69"/>
      <c r="C321" s="69"/>
      <c r="D321" s="69"/>
      <c r="E321" s="69"/>
      <c r="F321" s="103"/>
      <c r="G321" s="103"/>
      <c r="H321" s="103"/>
      <c r="I321" s="103"/>
      <c r="J321" s="95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2.75" customHeight="1" x14ac:dyDescent="0.3">
      <c r="A322" s="69"/>
      <c r="B322" s="69"/>
      <c r="C322" s="69"/>
      <c r="D322" s="69"/>
      <c r="E322" s="69"/>
      <c r="F322" s="103"/>
      <c r="G322" s="103"/>
      <c r="H322" s="103"/>
      <c r="I322" s="103"/>
      <c r="J322" s="95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2.75" customHeight="1" x14ac:dyDescent="0.3">
      <c r="A323" s="69"/>
      <c r="B323" s="69"/>
      <c r="C323" s="69"/>
      <c r="D323" s="69"/>
      <c r="E323" s="69"/>
      <c r="F323" s="103"/>
      <c r="G323" s="103"/>
      <c r="H323" s="103"/>
      <c r="I323" s="103"/>
      <c r="J323" s="95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2.75" customHeight="1" x14ac:dyDescent="0.3">
      <c r="A324" s="69"/>
      <c r="B324" s="69"/>
      <c r="C324" s="69"/>
      <c r="D324" s="69"/>
      <c r="E324" s="69"/>
      <c r="F324" s="103"/>
      <c r="G324" s="103"/>
      <c r="H324" s="103"/>
      <c r="I324" s="103"/>
      <c r="J324" s="95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2.75" customHeight="1" x14ac:dyDescent="0.3">
      <c r="A325" s="69"/>
      <c r="B325" s="69"/>
      <c r="C325" s="69"/>
      <c r="D325" s="69"/>
      <c r="E325" s="69"/>
      <c r="F325" s="103"/>
      <c r="G325" s="103"/>
      <c r="H325" s="103"/>
      <c r="I325" s="103"/>
      <c r="J325" s="95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2.75" customHeight="1" x14ac:dyDescent="0.3">
      <c r="A326" s="69"/>
      <c r="B326" s="69"/>
      <c r="C326" s="69"/>
      <c r="D326" s="69"/>
      <c r="E326" s="69"/>
      <c r="F326" s="103"/>
      <c r="G326" s="103"/>
      <c r="H326" s="103"/>
      <c r="I326" s="103"/>
      <c r="J326" s="95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2.75" customHeight="1" x14ac:dyDescent="0.3">
      <c r="A327" s="69"/>
      <c r="B327" s="69"/>
      <c r="C327" s="69"/>
      <c r="D327" s="69"/>
      <c r="E327" s="69"/>
      <c r="F327" s="103"/>
      <c r="G327" s="103"/>
      <c r="H327" s="103"/>
      <c r="I327" s="103"/>
      <c r="J327" s="95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2.75" customHeight="1" x14ac:dyDescent="0.3">
      <c r="A328" s="69"/>
      <c r="B328" s="69"/>
      <c r="C328" s="69"/>
      <c r="D328" s="69"/>
      <c r="E328" s="69"/>
      <c r="F328" s="103"/>
      <c r="G328" s="103"/>
      <c r="H328" s="103"/>
      <c r="I328" s="103"/>
      <c r="J328" s="95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2.75" customHeight="1" x14ac:dyDescent="0.3">
      <c r="A329" s="69"/>
      <c r="B329" s="69"/>
      <c r="C329" s="69"/>
      <c r="D329" s="69"/>
      <c r="E329" s="69"/>
      <c r="F329" s="103"/>
      <c r="G329" s="103"/>
      <c r="H329" s="103"/>
      <c r="I329" s="103"/>
      <c r="J329" s="95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2.75" customHeight="1" x14ac:dyDescent="0.3">
      <c r="A330" s="69"/>
      <c r="B330" s="69"/>
      <c r="C330" s="69"/>
      <c r="D330" s="69"/>
      <c r="E330" s="69"/>
      <c r="F330" s="103"/>
      <c r="G330" s="103"/>
      <c r="H330" s="103"/>
      <c r="I330" s="103"/>
      <c r="J330" s="95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2.75" customHeight="1" x14ac:dyDescent="0.3">
      <c r="A331" s="69"/>
      <c r="B331" s="69"/>
      <c r="C331" s="69"/>
      <c r="D331" s="69"/>
      <c r="E331" s="69"/>
      <c r="F331" s="103"/>
      <c r="G331" s="103"/>
      <c r="H331" s="103"/>
      <c r="I331" s="103"/>
      <c r="J331" s="95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2.75" customHeight="1" x14ac:dyDescent="0.3">
      <c r="A332" s="69"/>
      <c r="B332" s="69"/>
      <c r="C332" s="69"/>
      <c r="D332" s="69"/>
      <c r="E332" s="69"/>
      <c r="F332" s="103"/>
      <c r="G332" s="103"/>
      <c r="H332" s="103"/>
      <c r="I332" s="103"/>
      <c r="J332" s="95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2.75" customHeight="1" x14ac:dyDescent="0.3">
      <c r="A333" s="69"/>
      <c r="B333" s="69"/>
      <c r="C333" s="69"/>
      <c r="D333" s="69"/>
      <c r="E333" s="69"/>
      <c r="F333" s="103"/>
      <c r="G333" s="103"/>
      <c r="H333" s="103"/>
      <c r="I333" s="103"/>
      <c r="J333" s="95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2.75" customHeight="1" x14ac:dyDescent="0.3">
      <c r="A334" s="69"/>
      <c r="B334" s="69"/>
      <c r="C334" s="69"/>
      <c r="D334" s="69"/>
      <c r="E334" s="69"/>
      <c r="F334" s="103"/>
      <c r="G334" s="103"/>
      <c r="H334" s="103"/>
      <c r="I334" s="103"/>
      <c r="J334" s="95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2.75" customHeight="1" x14ac:dyDescent="0.3">
      <c r="A335" s="69"/>
      <c r="B335" s="69"/>
      <c r="C335" s="69"/>
      <c r="D335" s="69"/>
      <c r="E335" s="69"/>
      <c r="F335" s="103"/>
      <c r="G335" s="103"/>
      <c r="H335" s="103"/>
      <c r="I335" s="103"/>
      <c r="J335" s="95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2.75" customHeight="1" x14ac:dyDescent="0.3">
      <c r="A336" s="69"/>
      <c r="B336" s="69"/>
      <c r="C336" s="69"/>
      <c r="D336" s="69"/>
      <c r="E336" s="69"/>
      <c r="F336" s="103"/>
      <c r="G336" s="103"/>
      <c r="H336" s="103"/>
      <c r="I336" s="103"/>
      <c r="J336" s="95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2.75" customHeight="1" x14ac:dyDescent="0.3">
      <c r="A337" s="69"/>
      <c r="B337" s="69"/>
      <c r="C337" s="69"/>
      <c r="D337" s="69"/>
      <c r="E337" s="69"/>
      <c r="F337" s="103"/>
      <c r="G337" s="103"/>
      <c r="H337" s="103"/>
      <c r="I337" s="103"/>
      <c r="J337" s="95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2.75" customHeight="1" x14ac:dyDescent="0.3">
      <c r="A338" s="69"/>
      <c r="B338" s="69"/>
      <c r="C338" s="69"/>
      <c r="D338" s="69"/>
      <c r="E338" s="69"/>
      <c r="F338" s="103"/>
      <c r="G338" s="103"/>
      <c r="H338" s="103"/>
      <c r="I338" s="103"/>
      <c r="J338" s="95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2.75" customHeight="1" x14ac:dyDescent="0.3">
      <c r="A339" s="69"/>
      <c r="B339" s="69"/>
      <c r="C339" s="69"/>
      <c r="D339" s="69"/>
      <c r="E339" s="69"/>
      <c r="F339" s="103"/>
      <c r="G339" s="103"/>
      <c r="H339" s="103"/>
      <c r="I339" s="103"/>
      <c r="J339" s="95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2.75" customHeight="1" x14ac:dyDescent="0.3">
      <c r="A340" s="69"/>
      <c r="B340" s="69"/>
      <c r="C340" s="69"/>
      <c r="D340" s="69"/>
      <c r="E340" s="69"/>
      <c r="F340" s="103"/>
      <c r="G340" s="103"/>
      <c r="H340" s="103"/>
      <c r="I340" s="103"/>
      <c r="J340" s="95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2.75" customHeight="1" x14ac:dyDescent="0.3">
      <c r="A341" s="69"/>
      <c r="B341" s="69"/>
      <c r="C341" s="69"/>
      <c r="D341" s="69"/>
      <c r="E341" s="69"/>
      <c r="F341" s="103"/>
      <c r="G341" s="103"/>
      <c r="H341" s="103"/>
      <c r="I341" s="103"/>
      <c r="J341" s="95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2.75" customHeight="1" x14ac:dyDescent="0.3">
      <c r="A342" s="69"/>
      <c r="B342" s="69"/>
      <c r="C342" s="69"/>
      <c r="D342" s="69"/>
      <c r="E342" s="69"/>
      <c r="F342" s="103"/>
      <c r="G342" s="103"/>
      <c r="H342" s="103"/>
      <c r="I342" s="103"/>
      <c r="J342" s="95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2.75" customHeight="1" x14ac:dyDescent="0.3">
      <c r="A343" s="69"/>
      <c r="B343" s="69"/>
      <c r="C343" s="69"/>
      <c r="D343" s="69"/>
      <c r="E343" s="69"/>
      <c r="F343" s="103"/>
      <c r="G343" s="103"/>
      <c r="H343" s="103"/>
      <c r="I343" s="103"/>
      <c r="J343" s="95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2.75" customHeight="1" x14ac:dyDescent="0.3">
      <c r="A344" s="69"/>
      <c r="B344" s="69"/>
      <c r="C344" s="69"/>
      <c r="D344" s="69"/>
      <c r="E344" s="69"/>
      <c r="F344" s="103"/>
      <c r="G344" s="103"/>
      <c r="H344" s="103"/>
      <c r="I344" s="103"/>
      <c r="J344" s="95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2.75" customHeight="1" x14ac:dyDescent="0.3">
      <c r="A345" s="69"/>
      <c r="B345" s="69"/>
      <c r="C345" s="69"/>
      <c r="D345" s="69"/>
      <c r="E345" s="69"/>
      <c r="F345" s="103"/>
      <c r="G345" s="103"/>
      <c r="H345" s="103"/>
      <c r="I345" s="103"/>
      <c r="J345" s="95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2.75" customHeight="1" x14ac:dyDescent="0.3">
      <c r="A346" s="69"/>
      <c r="B346" s="69"/>
      <c r="C346" s="69"/>
      <c r="D346" s="69"/>
      <c r="E346" s="69"/>
      <c r="F346" s="103"/>
      <c r="G346" s="103"/>
      <c r="H346" s="103"/>
      <c r="I346" s="103"/>
      <c r="J346" s="95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2.75" customHeight="1" x14ac:dyDescent="0.3">
      <c r="A347" s="69"/>
      <c r="B347" s="69"/>
      <c r="C347" s="69"/>
      <c r="D347" s="69"/>
      <c r="E347" s="69"/>
      <c r="F347" s="103"/>
      <c r="G347" s="103"/>
      <c r="H347" s="103"/>
      <c r="I347" s="103"/>
      <c r="J347" s="95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2.75" customHeight="1" x14ac:dyDescent="0.3">
      <c r="A348" s="69"/>
      <c r="B348" s="69"/>
      <c r="C348" s="69"/>
      <c r="D348" s="69"/>
      <c r="E348" s="69"/>
      <c r="F348" s="103"/>
      <c r="G348" s="103"/>
      <c r="H348" s="103"/>
      <c r="I348" s="103"/>
      <c r="J348" s="95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2.75" customHeight="1" x14ac:dyDescent="0.3">
      <c r="A349" s="69"/>
      <c r="B349" s="69"/>
      <c r="C349" s="69"/>
      <c r="D349" s="69"/>
      <c r="E349" s="69"/>
      <c r="F349" s="103"/>
      <c r="G349" s="103"/>
      <c r="H349" s="103"/>
      <c r="I349" s="103"/>
      <c r="J349" s="95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2.75" customHeight="1" x14ac:dyDescent="0.3">
      <c r="A350" s="69"/>
      <c r="B350" s="69"/>
      <c r="C350" s="69"/>
      <c r="D350" s="69"/>
      <c r="E350" s="69"/>
      <c r="F350" s="103"/>
      <c r="G350" s="103"/>
      <c r="H350" s="103"/>
      <c r="I350" s="103"/>
      <c r="J350" s="95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2.75" customHeight="1" x14ac:dyDescent="0.3">
      <c r="A351" s="69"/>
      <c r="B351" s="69"/>
      <c r="C351" s="69"/>
      <c r="D351" s="69"/>
      <c r="E351" s="69"/>
      <c r="F351" s="103"/>
      <c r="G351" s="103"/>
      <c r="H351" s="103"/>
      <c r="I351" s="103"/>
      <c r="J351" s="95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2.75" customHeight="1" x14ac:dyDescent="0.3">
      <c r="A352" s="69"/>
      <c r="B352" s="69"/>
      <c r="C352" s="69"/>
      <c r="D352" s="69"/>
      <c r="E352" s="69"/>
      <c r="F352" s="103"/>
      <c r="G352" s="103"/>
      <c r="H352" s="103"/>
      <c r="I352" s="103"/>
      <c r="J352" s="95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2.75" customHeight="1" x14ac:dyDescent="0.3">
      <c r="A353" s="69"/>
      <c r="B353" s="69"/>
      <c r="C353" s="69"/>
      <c r="D353" s="69"/>
      <c r="E353" s="69"/>
      <c r="F353" s="103"/>
      <c r="G353" s="103"/>
      <c r="H353" s="103"/>
      <c r="I353" s="103"/>
      <c r="J353" s="95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2.75" customHeight="1" x14ac:dyDescent="0.3">
      <c r="A354" s="69"/>
      <c r="B354" s="69"/>
      <c r="C354" s="69"/>
      <c r="D354" s="69"/>
      <c r="E354" s="69"/>
      <c r="F354" s="103"/>
      <c r="G354" s="103"/>
      <c r="H354" s="103"/>
      <c r="I354" s="103"/>
      <c r="J354" s="95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2.75" customHeight="1" x14ac:dyDescent="0.3">
      <c r="A355" s="69"/>
      <c r="B355" s="69"/>
      <c r="C355" s="69"/>
      <c r="D355" s="69"/>
      <c r="E355" s="69"/>
      <c r="F355" s="103"/>
      <c r="G355" s="103"/>
      <c r="H355" s="103"/>
      <c r="I355" s="103"/>
      <c r="J355" s="95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2.75" customHeight="1" x14ac:dyDescent="0.3">
      <c r="A356" s="69"/>
      <c r="B356" s="69"/>
      <c r="C356" s="69"/>
      <c r="D356" s="69"/>
      <c r="E356" s="69"/>
      <c r="F356" s="103"/>
      <c r="G356" s="103"/>
      <c r="H356" s="103"/>
      <c r="I356" s="103"/>
      <c r="J356" s="95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2.75" customHeight="1" x14ac:dyDescent="0.3">
      <c r="A357" s="69"/>
      <c r="B357" s="69"/>
      <c r="C357" s="69"/>
      <c r="D357" s="69"/>
      <c r="E357" s="69"/>
      <c r="F357" s="103"/>
      <c r="G357" s="103"/>
      <c r="H357" s="103"/>
      <c r="I357" s="103"/>
      <c r="J357" s="95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2.75" customHeight="1" x14ac:dyDescent="0.3">
      <c r="A358" s="69"/>
      <c r="B358" s="69"/>
      <c r="C358" s="69"/>
      <c r="D358" s="69"/>
      <c r="E358" s="69"/>
      <c r="F358" s="103"/>
      <c r="G358" s="103"/>
      <c r="H358" s="103"/>
      <c r="I358" s="103"/>
      <c r="J358" s="95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2.75" customHeight="1" x14ac:dyDescent="0.3">
      <c r="A359" s="69"/>
      <c r="B359" s="69"/>
      <c r="C359" s="69"/>
      <c r="D359" s="69"/>
      <c r="E359" s="69"/>
      <c r="F359" s="103"/>
      <c r="G359" s="103"/>
      <c r="H359" s="103"/>
      <c r="I359" s="103"/>
      <c r="J359" s="95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2.75" customHeight="1" x14ac:dyDescent="0.3">
      <c r="A360" s="69"/>
      <c r="B360" s="69"/>
      <c r="C360" s="69"/>
      <c r="D360" s="69"/>
      <c r="E360" s="69"/>
      <c r="F360" s="103"/>
      <c r="G360" s="103"/>
      <c r="H360" s="103"/>
      <c r="I360" s="103"/>
      <c r="J360" s="95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2.75" customHeight="1" x14ac:dyDescent="0.3">
      <c r="A361" s="69"/>
      <c r="B361" s="69"/>
      <c r="C361" s="69"/>
      <c r="D361" s="69"/>
      <c r="E361" s="69"/>
      <c r="F361" s="103"/>
      <c r="G361" s="103"/>
      <c r="H361" s="103"/>
      <c r="I361" s="103"/>
      <c r="J361" s="95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2.75" customHeight="1" x14ac:dyDescent="0.3">
      <c r="A362" s="69"/>
      <c r="B362" s="69"/>
      <c r="C362" s="69"/>
      <c r="D362" s="69"/>
      <c r="E362" s="69"/>
      <c r="F362" s="103"/>
      <c r="G362" s="103"/>
      <c r="H362" s="103"/>
      <c r="I362" s="103"/>
      <c r="J362" s="95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2.75" customHeight="1" x14ac:dyDescent="0.3">
      <c r="A363" s="69"/>
      <c r="B363" s="69"/>
      <c r="C363" s="69"/>
      <c r="D363" s="69"/>
      <c r="E363" s="69"/>
      <c r="F363" s="103"/>
      <c r="G363" s="103"/>
      <c r="H363" s="103"/>
      <c r="I363" s="103"/>
      <c r="J363" s="95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2.75" customHeight="1" x14ac:dyDescent="0.3">
      <c r="A364" s="69"/>
      <c r="B364" s="69"/>
      <c r="C364" s="69"/>
      <c r="D364" s="69"/>
      <c r="E364" s="69"/>
      <c r="F364" s="103"/>
      <c r="G364" s="103"/>
      <c r="H364" s="103"/>
      <c r="I364" s="103"/>
      <c r="J364" s="95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2.75" customHeight="1" x14ac:dyDescent="0.3">
      <c r="A365" s="69"/>
      <c r="B365" s="69"/>
      <c r="C365" s="69"/>
      <c r="D365" s="69"/>
      <c r="E365" s="69"/>
      <c r="F365" s="103"/>
      <c r="G365" s="103"/>
      <c r="H365" s="103"/>
      <c r="I365" s="103"/>
      <c r="J365" s="95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2.75" customHeight="1" x14ac:dyDescent="0.3">
      <c r="A366" s="69"/>
      <c r="B366" s="69"/>
      <c r="C366" s="69"/>
      <c r="D366" s="69"/>
      <c r="E366" s="69"/>
      <c r="F366" s="103"/>
      <c r="G366" s="103"/>
      <c r="H366" s="103"/>
      <c r="I366" s="103"/>
      <c r="J366" s="95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2.75" customHeight="1" x14ac:dyDescent="0.3">
      <c r="A367" s="69"/>
      <c r="B367" s="69"/>
      <c r="C367" s="69"/>
      <c r="D367" s="69"/>
      <c r="E367" s="69"/>
      <c r="F367" s="103"/>
      <c r="G367" s="103"/>
      <c r="H367" s="103"/>
      <c r="I367" s="103"/>
      <c r="J367" s="95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2.75" customHeight="1" x14ac:dyDescent="0.3">
      <c r="A368" s="69"/>
      <c r="B368" s="69"/>
      <c r="C368" s="69"/>
      <c r="D368" s="69"/>
      <c r="E368" s="69"/>
      <c r="F368" s="103"/>
      <c r="G368" s="103"/>
      <c r="H368" s="103"/>
      <c r="I368" s="103"/>
      <c r="J368" s="95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2.75" customHeight="1" x14ac:dyDescent="0.3">
      <c r="A369" s="69"/>
      <c r="B369" s="69"/>
      <c r="C369" s="69"/>
      <c r="D369" s="69"/>
      <c r="E369" s="69"/>
      <c r="F369" s="103"/>
      <c r="G369" s="103"/>
      <c r="H369" s="103"/>
      <c r="I369" s="103"/>
      <c r="J369" s="95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2.75" customHeight="1" x14ac:dyDescent="0.3">
      <c r="A370" s="69"/>
      <c r="B370" s="69"/>
      <c r="C370" s="69"/>
      <c r="D370" s="69"/>
      <c r="E370" s="69"/>
      <c r="F370" s="103"/>
      <c r="G370" s="103"/>
      <c r="H370" s="103"/>
      <c r="I370" s="103"/>
      <c r="J370" s="95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2.75" customHeight="1" x14ac:dyDescent="0.3">
      <c r="A371" s="69"/>
      <c r="B371" s="69"/>
      <c r="C371" s="69"/>
      <c r="D371" s="69"/>
      <c r="E371" s="69"/>
      <c r="F371" s="103"/>
      <c r="G371" s="103"/>
      <c r="H371" s="103"/>
      <c r="I371" s="103"/>
      <c r="J371" s="95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2.75" customHeight="1" x14ac:dyDescent="0.3">
      <c r="A372" s="69"/>
      <c r="B372" s="69"/>
      <c r="C372" s="69"/>
      <c r="D372" s="69"/>
      <c r="E372" s="69"/>
      <c r="F372" s="103"/>
      <c r="G372" s="103"/>
      <c r="H372" s="103"/>
      <c r="I372" s="103"/>
      <c r="J372" s="95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2.75" customHeight="1" x14ac:dyDescent="0.3">
      <c r="A373" s="69"/>
      <c r="B373" s="69"/>
      <c r="C373" s="69"/>
      <c r="D373" s="69"/>
      <c r="E373" s="69"/>
      <c r="F373" s="103"/>
      <c r="G373" s="103"/>
      <c r="H373" s="103"/>
      <c r="I373" s="103"/>
      <c r="J373" s="95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2.75" customHeight="1" x14ac:dyDescent="0.3">
      <c r="A374" s="69"/>
      <c r="B374" s="69"/>
      <c r="C374" s="69"/>
      <c r="D374" s="69"/>
      <c r="E374" s="69"/>
      <c r="F374" s="103"/>
      <c r="G374" s="103"/>
      <c r="H374" s="103"/>
      <c r="I374" s="103"/>
      <c r="J374" s="95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2.75" customHeight="1" x14ac:dyDescent="0.3">
      <c r="A375" s="69"/>
      <c r="B375" s="69"/>
      <c r="C375" s="69"/>
      <c r="D375" s="69"/>
      <c r="E375" s="69"/>
      <c r="F375" s="103"/>
      <c r="G375" s="103"/>
      <c r="H375" s="103"/>
      <c r="I375" s="103"/>
      <c r="J375" s="95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2.75" customHeight="1" x14ac:dyDescent="0.3">
      <c r="A376" s="69"/>
      <c r="B376" s="69"/>
      <c r="C376" s="69"/>
      <c r="D376" s="69"/>
      <c r="E376" s="69"/>
      <c r="F376" s="103"/>
      <c r="G376" s="103"/>
      <c r="H376" s="103"/>
      <c r="I376" s="103"/>
      <c r="J376" s="95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2.75" customHeight="1" x14ac:dyDescent="0.3">
      <c r="A377" s="69"/>
      <c r="B377" s="69"/>
      <c r="C377" s="69"/>
      <c r="D377" s="69"/>
      <c r="E377" s="69"/>
      <c r="F377" s="103"/>
      <c r="G377" s="103"/>
      <c r="H377" s="103"/>
      <c r="I377" s="103"/>
      <c r="J377" s="95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2.75" customHeight="1" x14ac:dyDescent="0.3">
      <c r="A378" s="69"/>
      <c r="B378" s="69"/>
      <c r="C378" s="69"/>
      <c r="D378" s="69"/>
      <c r="E378" s="69"/>
      <c r="F378" s="103"/>
      <c r="G378" s="103"/>
      <c r="H378" s="103"/>
      <c r="I378" s="103"/>
      <c r="J378" s="95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2.75" customHeight="1" x14ac:dyDescent="0.3">
      <c r="A379" s="69"/>
      <c r="B379" s="69"/>
      <c r="C379" s="69"/>
      <c r="D379" s="69"/>
      <c r="E379" s="69"/>
      <c r="F379" s="103"/>
      <c r="G379" s="103"/>
      <c r="H379" s="103"/>
      <c r="I379" s="103"/>
      <c r="J379" s="95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2.75" customHeight="1" x14ac:dyDescent="0.3">
      <c r="A380" s="69"/>
      <c r="B380" s="69"/>
      <c r="C380" s="69"/>
      <c r="D380" s="69"/>
      <c r="E380" s="69"/>
      <c r="F380" s="103"/>
      <c r="G380" s="103"/>
      <c r="H380" s="103"/>
      <c r="I380" s="103"/>
      <c r="J380" s="95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2.75" customHeight="1" x14ac:dyDescent="0.3">
      <c r="A381" s="69"/>
      <c r="B381" s="69"/>
      <c r="C381" s="69"/>
      <c r="D381" s="69"/>
      <c r="E381" s="69"/>
      <c r="F381" s="103"/>
      <c r="G381" s="103"/>
      <c r="H381" s="103"/>
      <c r="I381" s="103"/>
      <c r="J381" s="95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2.75" customHeight="1" x14ac:dyDescent="0.3">
      <c r="A382" s="69"/>
      <c r="B382" s="69"/>
      <c r="C382" s="69"/>
      <c r="D382" s="69"/>
      <c r="E382" s="69"/>
      <c r="F382" s="103"/>
      <c r="G382" s="103"/>
      <c r="H382" s="103"/>
      <c r="I382" s="103"/>
      <c r="J382" s="95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2.75" customHeight="1" x14ac:dyDescent="0.3">
      <c r="A383" s="69"/>
      <c r="B383" s="69"/>
      <c r="C383" s="69"/>
      <c r="D383" s="69"/>
      <c r="E383" s="69"/>
      <c r="F383" s="103"/>
      <c r="G383" s="103"/>
      <c r="H383" s="103"/>
      <c r="I383" s="103"/>
      <c r="J383" s="95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2.75" customHeight="1" x14ac:dyDescent="0.3">
      <c r="A384" s="69"/>
      <c r="B384" s="69"/>
      <c r="C384" s="69"/>
      <c r="D384" s="69"/>
      <c r="E384" s="69"/>
      <c r="F384" s="103"/>
      <c r="G384" s="103"/>
      <c r="H384" s="103"/>
      <c r="I384" s="103"/>
      <c r="J384" s="95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2.75" customHeight="1" x14ac:dyDescent="0.3">
      <c r="A385" s="69"/>
      <c r="B385" s="69"/>
      <c r="C385" s="69"/>
      <c r="D385" s="69"/>
      <c r="E385" s="69"/>
      <c r="F385" s="103"/>
      <c r="G385" s="103"/>
      <c r="H385" s="103"/>
      <c r="I385" s="103"/>
      <c r="J385" s="95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2.75" customHeight="1" x14ac:dyDescent="0.3">
      <c r="A386" s="69"/>
      <c r="B386" s="69"/>
      <c r="C386" s="69"/>
      <c r="D386" s="69"/>
      <c r="E386" s="69"/>
      <c r="F386" s="103"/>
      <c r="G386" s="103"/>
      <c r="H386" s="103"/>
      <c r="I386" s="103"/>
      <c r="J386" s="95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2.75" customHeight="1" x14ac:dyDescent="0.3">
      <c r="A387" s="69"/>
      <c r="B387" s="69"/>
      <c r="C387" s="69"/>
      <c r="D387" s="69"/>
      <c r="E387" s="69"/>
      <c r="F387" s="103"/>
      <c r="G387" s="103"/>
      <c r="H387" s="103"/>
      <c r="I387" s="103"/>
      <c r="J387" s="95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2.75" customHeight="1" x14ac:dyDescent="0.3">
      <c r="A388" s="69"/>
      <c r="B388" s="69"/>
      <c r="C388" s="69"/>
      <c r="D388" s="69"/>
      <c r="E388" s="69"/>
      <c r="F388" s="103"/>
      <c r="G388" s="103"/>
      <c r="H388" s="103"/>
      <c r="I388" s="103"/>
      <c r="J388" s="95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2.75" customHeight="1" x14ac:dyDescent="0.3">
      <c r="A389" s="69"/>
      <c r="B389" s="69"/>
      <c r="C389" s="69"/>
      <c r="D389" s="69"/>
      <c r="E389" s="69"/>
      <c r="F389" s="103"/>
      <c r="G389" s="103"/>
      <c r="H389" s="103"/>
      <c r="I389" s="103"/>
      <c r="J389" s="95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2.75" customHeight="1" x14ac:dyDescent="0.3">
      <c r="A390" s="69"/>
      <c r="B390" s="69"/>
      <c r="C390" s="69"/>
      <c r="D390" s="69"/>
      <c r="E390" s="69"/>
      <c r="F390" s="103"/>
      <c r="G390" s="103"/>
      <c r="H390" s="103"/>
      <c r="I390" s="103"/>
      <c r="J390" s="95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2.75" customHeight="1" x14ac:dyDescent="0.3">
      <c r="A391" s="69"/>
      <c r="B391" s="69"/>
      <c r="C391" s="69"/>
      <c r="D391" s="69"/>
      <c r="E391" s="69"/>
      <c r="F391" s="103"/>
      <c r="G391" s="103"/>
      <c r="H391" s="103"/>
      <c r="I391" s="103"/>
      <c r="J391" s="95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2.75" customHeight="1" x14ac:dyDescent="0.3">
      <c r="A392" s="69"/>
      <c r="B392" s="69"/>
      <c r="C392" s="69"/>
      <c r="D392" s="69"/>
      <c r="E392" s="69"/>
      <c r="F392" s="103"/>
      <c r="G392" s="103"/>
      <c r="H392" s="103"/>
      <c r="I392" s="103"/>
      <c r="J392" s="95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2.75" customHeight="1" x14ac:dyDescent="0.3">
      <c r="A393" s="69"/>
      <c r="B393" s="69"/>
      <c r="C393" s="69"/>
      <c r="D393" s="69"/>
      <c r="E393" s="69"/>
      <c r="F393" s="103"/>
      <c r="G393" s="103"/>
      <c r="H393" s="103"/>
      <c r="I393" s="103"/>
      <c r="J393" s="95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2.75" customHeight="1" x14ac:dyDescent="0.3">
      <c r="A394" s="69"/>
      <c r="B394" s="69"/>
      <c r="C394" s="69"/>
      <c r="D394" s="69"/>
      <c r="E394" s="69"/>
      <c r="F394" s="103"/>
      <c r="G394" s="103"/>
      <c r="H394" s="103"/>
      <c r="I394" s="103"/>
      <c r="J394" s="95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2.75" customHeight="1" x14ac:dyDescent="0.3">
      <c r="A395" s="69"/>
      <c r="B395" s="69"/>
      <c r="C395" s="69"/>
      <c r="D395" s="69"/>
      <c r="E395" s="69"/>
      <c r="F395" s="103"/>
      <c r="G395" s="103"/>
      <c r="H395" s="103"/>
      <c r="I395" s="103"/>
      <c r="J395" s="95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2.75" customHeight="1" x14ac:dyDescent="0.3">
      <c r="A396" s="69"/>
      <c r="B396" s="69"/>
      <c r="C396" s="69"/>
      <c r="D396" s="69"/>
      <c r="E396" s="69"/>
      <c r="F396" s="103"/>
      <c r="G396" s="103"/>
      <c r="H396" s="103"/>
      <c r="I396" s="103"/>
      <c r="J396" s="95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2.75" customHeight="1" x14ac:dyDescent="0.3">
      <c r="A397" s="69"/>
      <c r="B397" s="69"/>
      <c r="C397" s="69"/>
      <c r="D397" s="69"/>
      <c r="E397" s="69"/>
      <c r="F397" s="103"/>
      <c r="G397" s="103"/>
      <c r="H397" s="103"/>
      <c r="I397" s="103"/>
      <c r="J397" s="95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2.75" customHeight="1" x14ac:dyDescent="0.3">
      <c r="A398" s="69"/>
      <c r="B398" s="69"/>
      <c r="C398" s="69"/>
      <c r="D398" s="69"/>
      <c r="E398" s="69"/>
      <c r="F398" s="103"/>
      <c r="G398" s="103"/>
      <c r="H398" s="103"/>
      <c r="I398" s="103"/>
      <c r="J398" s="95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2.75" customHeight="1" x14ac:dyDescent="0.3">
      <c r="A399" s="69"/>
      <c r="B399" s="69"/>
      <c r="C399" s="69"/>
      <c r="D399" s="69"/>
      <c r="E399" s="69"/>
      <c r="F399" s="103"/>
      <c r="G399" s="103"/>
      <c r="H399" s="103"/>
      <c r="I399" s="103"/>
      <c r="J399" s="95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2.75" customHeight="1" x14ac:dyDescent="0.3">
      <c r="A400" s="69"/>
      <c r="B400" s="69"/>
      <c r="C400" s="69"/>
      <c r="D400" s="69"/>
      <c r="E400" s="69"/>
      <c r="F400" s="103"/>
      <c r="G400" s="103"/>
      <c r="H400" s="103"/>
      <c r="I400" s="103"/>
      <c r="J400" s="95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2.75" customHeight="1" x14ac:dyDescent="0.3">
      <c r="A401" s="69"/>
      <c r="B401" s="69"/>
      <c r="C401" s="69"/>
      <c r="D401" s="69"/>
      <c r="E401" s="69"/>
      <c r="F401" s="103"/>
      <c r="G401" s="103"/>
      <c r="H401" s="103"/>
      <c r="I401" s="103"/>
      <c r="J401" s="95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2.75" customHeight="1" x14ac:dyDescent="0.3">
      <c r="A402" s="69"/>
      <c r="B402" s="69"/>
      <c r="C402" s="69"/>
      <c r="D402" s="69"/>
      <c r="E402" s="69"/>
      <c r="F402" s="103"/>
      <c r="G402" s="103"/>
      <c r="H402" s="103"/>
      <c r="I402" s="103"/>
      <c r="J402" s="95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2.75" customHeight="1" x14ac:dyDescent="0.3">
      <c r="A403" s="69"/>
      <c r="B403" s="69"/>
      <c r="C403" s="69"/>
      <c r="D403" s="69"/>
      <c r="E403" s="69"/>
      <c r="F403" s="103"/>
      <c r="G403" s="103"/>
      <c r="H403" s="103"/>
      <c r="I403" s="103"/>
      <c r="J403" s="95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2.75" customHeight="1" x14ac:dyDescent="0.3">
      <c r="A404" s="69"/>
      <c r="B404" s="69"/>
      <c r="C404" s="69"/>
      <c r="D404" s="69"/>
      <c r="E404" s="69"/>
      <c r="F404" s="103"/>
      <c r="G404" s="103"/>
      <c r="H404" s="103"/>
      <c r="I404" s="103"/>
      <c r="J404" s="95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2.75" customHeight="1" x14ac:dyDescent="0.3">
      <c r="A405" s="69"/>
      <c r="B405" s="69"/>
      <c r="C405" s="69"/>
      <c r="D405" s="69"/>
      <c r="E405" s="69"/>
      <c r="F405" s="103"/>
      <c r="G405" s="103"/>
      <c r="H405" s="103"/>
      <c r="I405" s="103"/>
      <c r="J405" s="95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2.75" customHeight="1" x14ac:dyDescent="0.3">
      <c r="A406" s="69"/>
      <c r="B406" s="69"/>
      <c r="C406" s="69"/>
      <c r="D406" s="69"/>
      <c r="E406" s="69"/>
      <c r="F406" s="103"/>
      <c r="G406" s="103"/>
      <c r="H406" s="103"/>
      <c r="I406" s="103"/>
      <c r="J406" s="95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2.75" customHeight="1" x14ac:dyDescent="0.3">
      <c r="A407" s="69"/>
      <c r="B407" s="69"/>
      <c r="C407" s="69"/>
      <c r="D407" s="69"/>
      <c r="E407" s="69"/>
      <c r="F407" s="103"/>
      <c r="G407" s="103"/>
      <c r="H407" s="103"/>
      <c r="I407" s="103"/>
      <c r="J407" s="95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2.75" customHeight="1" x14ac:dyDescent="0.3">
      <c r="A408" s="69"/>
      <c r="B408" s="69"/>
      <c r="C408" s="69"/>
      <c r="D408" s="69"/>
      <c r="E408" s="69"/>
      <c r="F408" s="103"/>
      <c r="G408" s="103"/>
      <c r="H408" s="103"/>
      <c r="I408" s="103"/>
      <c r="J408" s="95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2.75" customHeight="1" x14ac:dyDescent="0.3">
      <c r="A409" s="69"/>
      <c r="B409" s="69"/>
      <c r="C409" s="69"/>
      <c r="D409" s="69"/>
      <c r="E409" s="69"/>
      <c r="F409" s="103"/>
      <c r="G409" s="103"/>
      <c r="H409" s="103"/>
      <c r="I409" s="103"/>
      <c r="J409" s="95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2.75" customHeight="1" x14ac:dyDescent="0.3">
      <c r="A410" s="69"/>
      <c r="B410" s="69"/>
      <c r="C410" s="69"/>
      <c r="D410" s="69"/>
      <c r="E410" s="69"/>
      <c r="F410" s="103"/>
      <c r="G410" s="103"/>
      <c r="H410" s="103"/>
      <c r="I410" s="103"/>
      <c r="J410" s="95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2.75" customHeight="1" x14ac:dyDescent="0.3">
      <c r="A411" s="69"/>
      <c r="B411" s="69"/>
      <c r="C411" s="69"/>
      <c r="D411" s="69"/>
      <c r="E411" s="69"/>
      <c r="F411" s="103"/>
      <c r="G411" s="103"/>
      <c r="H411" s="103"/>
      <c r="I411" s="103"/>
      <c r="J411" s="95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2.75" customHeight="1" x14ac:dyDescent="0.3">
      <c r="A412" s="69"/>
      <c r="B412" s="69"/>
      <c r="C412" s="69"/>
      <c r="D412" s="69"/>
      <c r="E412" s="69"/>
      <c r="F412" s="103"/>
      <c r="G412" s="103"/>
      <c r="H412" s="103"/>
      <c r="I412" s="103"/>
      <c r="J412" s="95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2.75" customHeight="1" x14ac:dyDescent="0.3">
      <c r="A413" s="69"/>
      <c r="B413" s="69"/>
      <c r="C413" s="69"/>
      <c r="D413" s="69"/>
      <c r="E413" s="69"/>
      <c r="F413" s="103"/>
      <c r="G413" s="103"/>
      <c r="H413" s="103"/>
      <c r="I413" s="103"/>
      <c r="J413" s="95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2.75" customHeight="1" x14ac:dyDescent="0.3">
      <c r="A414" s="69"/>
      <c r="B414" s="69"/>
      <c r="C414" s="69"/>
      <c r="D414" s="69"/>
      <c r="E414" s="69"/>
      <c r="F414" s="103"/>
      <c r="G414" s="103"/>
      <c r="H414" s="103"/>
      <c r="I414" s="103"/>
      <c r="J414" s="95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2.75" customHeight="1" x14ac:dyDescent="0.3">
      <c r="A415" s="69"/>
      <c r="B415" s="69"/>
      <c r="C415" s="69"/>
      <c r="D415" s="69"/>
      <c r="E415" s="69"/>
      <c r="F415" s="103"/>
      <c r="G415" s="103"/>
      <c r="H415" s="103"/>
      <c r="I415" s="103"/>
      <c r="J415" s="95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2.75" customHeight="1" x14ac:dyDescent="0.3">
      <c r="A416" s="69"/>
      <c r="B416" s="69"/>
      <c r="C416" s="69"/>
      <c r="D416" s="69"/>
      <c r="E416" s="69"/>
      <c r="F416" s="103"/>
      <c r="G416" s="103"/>
      <c r="H416" s="103"/>
      <c r="I416" s="103"/>
      <c r="J416" s="95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2.75" customHeight="1" x14ac:dyDescent="0.3">
      <c r="A417" s="69"/>
      <c r="B417" s="69"/>
      <c r="C417" s="69"/>
      <c r="D417" s="69"/>
      <c r="E417" s="69"/>
      <c r="F417" s="103"/>
      <c r="G417" s="103"/>
      <c r="H417" s="103"/>
      <c r="I417" s="103"/>
      <c r="J417" s="95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2.75" customHeight="1" x14ac:dyDescent="0.3">
      <c r="A418" s="69"/>
      <c r="B418" s="69"/>
      <c r="C418" s="69"/>
      <c r="D418" s="69"/>
      <c r="E418" s="69"/>
      <c r="F418" s="103"/>
      <c r="G418" s="103"/>
      <c r="H418" s="103"/>
      <c r="I418" s="103"/>
      <c r="J418" s="95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2.75" customHeight="1" x14ac:dyDescent="0.3">
      <c r="A419" s="69"/>
      <c r="B419" s="69"/>
      <c r="C419" s="69"/>
      <c r="D419" s="69"/>
      <c r="E419" s="69"/>
      <c r="F419" s="103"/>
      <c r="G419" s="103"/>
      <c r="H419" s="103"/>
      <c r="I419" s="103"/>
      <c r="J419" s="95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2.75" customHeight="1" x14ac:dyDescent="0.3">
      <c r="A420" s="69"/>
      <c r="B420" s="69"/>
      <c r="C420" s="69"/>
      <c r="D420" s="69"/>
      <c r="E420" s="69"/>
      <c r="F420" s="103"/>
      <c r="G420" s="103"/>
      <c r="H420" s="103"/>
      <c r="I420" s="103"/>
      <c r="J420" s="95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2.75" customHeight="1" x14ac:dyDescent="0.3">
      <c r="A421" s="69"/>
      <c r="B421" s="69"/>
      <c r="C421" s="69"/>
      <c r="D421" s="69"/>
      <c r="E421" s="69"/>
      <c r="F421" s="103"/>
      <c r="G421" s="103"/>
      <c r="H421" s="103"/>
      <c r="I421" s="103"/>
      <c r="J421" s="95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2.75" customHeight="1" x14ac:dyDescent="0.3">
      <c r="A422" s="69"/>
      <c r="B422" s="69"/>
      <c r="C422" s="69"/>
      <c r="D422" s="69"/>
      <c r="E422" s="69"/>
      <c r="F422" s="103"/>
      <c r="G422" s="103"/>
      <c r="H422" s="103"/>
      <c r="I422" s="103"/>
      <c r="J422" s="95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2.75" customHeight="1" x14ac:dyDescent="0.3">
      <c r="A423" s="69"/>
      <c r="B423" s="69"/>
      <c r="C423" s="69"/>
      <c r="D423" s="69"/>
      <c r="E423" s="69"/>
      <c r="F423" s="103"/>
      <c r="G423" s="103"/>
      <c r="H423" s="103"/>
      <c r="I423" s="103"/>
      <c r="J423" s="95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2.75" customHeight="1" x14ac:dyDescent="0.3">
      <c r="A424" s="69"/>
      <c r="B424" s="69"/>
      <c r="C424" s="69"/>
      <c r="D424" s="69"/>
      <c r="E424" s="69"/>
      <c r="F424" s="103"/>
      <c r="G424" s="103"/>
      <c r="H424" s="103"/>
      <c r="I424" s="103"/>
      <c r="J424" s="95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2.75" customHeight="1" x14ac:dyDescent="0.3">
      <c r="A425" s="69"/>
      <c r="B425" s="69"/>
      <c r="C425" s="69"/>
      <c r="D425" s="69"/>
      <c r="E425" s="69"/>
      <c r="F425" s="103"/>
      <c r="G425" s="103"/>
      <c r="H425" s="103"/>
      <c r="I425" s="103"/>
      <c r="J425" s="95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2.75" customHeight="1" x14ac:dyDescent="0.3">
      <c r="A426" s="69"/>
      <c r="B426" s="69"/>
      <c r="C426" s="69"/>
      <c r="D426" s="69"/>
      <c r="E426" s="69"/>
      <c r="F426" s="103"/>
      <c r="G426" s="103"/>
      <c r="H426" s="103"/>
      <c r="I426" s="103"/>
      <c r="J426" s="95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2.75" customHeight="1" x14ac:dyDescent="0.3">
      <c r="A427" s="69"/>
      <c r="B427" s="69"/>
      <c r="C427" s="69"/>
      <c r="D427" s="69"/>
      <c r="E427" s="69"/>
      <c r="F427" s="103"/>
      <c r="G427" s="103"/>
      <c r="H427" s="103"/>
      <c r="I427" s="103"/>
      <c r="J427" s="95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2.75" customHeight="1" x14ac:dyDescent="0.3">
      <c r="A428" s="69"/>
      <c r="B428" s="69"/>
      <c r="C428" s="69"/>
      <c r="D428" s="69"/>
      <c r="E428" s="69"/>
      <c r="F428" s="103"/>
      <c r="G428" s="103"/>
      <c r="H428" s="103"/>
      <c r="I428" s="103"/>
      <c r="J428" s="95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2.75" customHeight="1" x14ac:dyDescent="0.3">
      <c r="A429" s="69"/>
      <c r="B429" s="69"/>
      <c r="C429" s="69"/>
      <c r="D429" s="69"/>
      <c r="E429" s="69"/>
      <c r="F429" s="103"/>
      <c r="G429" s="103"/>
      <c r="H429" s="103"/>
      <c r="I429" s="103"/>
      <c r="J429" s="95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2.75" customHeight="1" x14ac:dyDescent="0.3">
      <c r="A430" s="69"/>
      <c r="B430" s="69"/>
      <c r="C430" s="69"/>
      <c r="D430" s="69"/>
      <c r="E430" s="69"/>
      <c r="F430" s="103"/>
      <c r="G430" s="103"/>
      <c r="H430" s="103"/>
      <c r="I430" s="103"/>
      <c r="J430" s="95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2.75" customHeight="1" x14ac:dyDescent="0.3">
      <c r="A431" s="69"/>
      <c r="B431" s="69"/>
      <c r="C431" s="69"/>
      <c r="D431" s="69"/>
      <c r="E431" s="69"/>
      <c r="F431" s="103"/>
      <c r="G431" s="103"/>
      <c r="H431" s="103"/>
      <c r="I431" s="103"/>
      <c r="J431" s="95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2.75" customHeight="1" x14ac:dyDescent="0.3">
      <c r="A432" s="69"/>
      <c r="B432" s="69"/>
      <c r="C432" s="69"/>
      <c r="D432" s="69"/>
      <c r="E432" s="69"/>
      <c r="F432" s="103"/>
      <c r="G432" s="103"/>
      <c r="H432" s="103"/>
      <c r="I432" s="103"/>
      <c r="J432" s="95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2.75" customHeight="1" x14ac:dyDescent="0.3">
      <c r="A433" s="69"/>
      <c r="B433" s="69"/>
      <c r="C433" s="69"/>
      <c r="D433" s="69"/>
      <c r="E433" s="69"/>
      <c r="F433" s="103"/>
      <c r="G433" s="103"/>
      <c r="H433" s="103"/>
      <c r="I433" s="103"/>
      <c r="J433" s="95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2.75" customHeight="1" x14ac:dyDescent="0.3">
      <c r="A434" s="69"/>
      <c r="B434" s="69"/>
      <c r="C434" s="69"/>
      <c r="D434" s="69"/>
      <c r="E434" s="69"/>
      <c r="F434" s="103"/>
      <c r="G434" s="103"/>
      <c r="H434" s="103"/>
      <c r="I434" s="103"/>
      <c r="J434" s="95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2.75" customHeight="1" x14ac:dyDescent="0.3">
      <c r="A435" s="69"/>
      <c r="B435" s="69"/>
      <c r="C435" s="69"/>
      <c r="D435" s="69"/>
      <c r="E435" s="69"/>
      <c r="F435" s="103"/>
      <c r="G435" s="103"/>
      <c r="H435" s="103"/>
      <c r="I435" s="103"/>
      <c r="J435" s="95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2.75" customHeight="1" x14ac:dyDescent="0.3">
      <c r="A436" s="69"/>
      <c r="B436" s="69"/>
      <c r="C436" s="69"/>
      <c r="D436" s="69"/>
      <c r="E436" s="69"/>
      <c r="F436" s="103"/>
      <c r="G436" s="103"/>
      <c r="H436" s="103"/>
      <c r="I436" s="103"/>
      <c r="J436" s="95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2.75" customHeight="1" x14ac:dyDescent="0.3">
      <c r="A437" s="69"/>
      <c r="B437" s="69"/>
      <c r="C437" s="69"/>
      <c r="D437" s="69"/>
      <c r="E437" s="69"/>
      <c r="F437" s="103"/>
      <c r="G437" s="103"/>
      <c r="H437" s="103"/>
      <c r="I437" s="103"/>
      <c r="J437" s="95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2.75" customHeight="1" x14ac:dyDescent="0.3">
      <c r="A438" s="69"/>
      <c r="B438" s="69"/>
      <c r="C438" s="69"/>
      <c r="D438" s="69"/>
      <c r="E438" s="69"/>
      <c r="F438" s="103"/>
      <c r="G438" s="103"/>
      <c r="H438" s="103"/>
      <c r="I438" s="103"/>
      <c r="J438" s="95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2.75" customHeight="1" x14ac:dyDescent="0.3">
      <c r="A439" s="69"/>
      <c r="B439" s="69"/>
      <c r="C439" s="69"/>
      <c r="D439" s="69"/>
      <c r="E439" s="69"/>
      <c r="F439" s="103"/>
      <c r="G439" s="103"/>
      <c r="H439" s="103"/>
      <c r="I439" s="103"/>
      <c r="J439" s="95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2.75" customHeight="1" x14ac:dyDescent="0.3">
      <c r="A440" s="69"/>
      <c r="B440" s="69"/>
      <c r="C440" s="69"/>
      <c r="D440" s="69"/>
      <c r="E440" s="69"/>
      <c r="F440" s="103"/>
      <c r="G440" s="103"/>
      <c r="H440" s="103"/>
      <c r="I440" s="103"/>
      <c r="J440" s="95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2.75" customHeight="1" x14ac:dyDescent="0.3">
      <c r="A441" s="69"/>
      <c r="B441" s="69"/>
      <c r="C441" s="69"/>
      <c r="D441" s="69"/>
      <c r="E441" s="69"/>
      <c r="F441" s="103"/>
      <c r="G441" s="103"/>
      <c r="H441" s="103"/>
      <c r="I441" s="103"/>
      <c r="J441" s="95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2.75" customHeight="1" x14ac:dyDescent="0.3">
      <c r="A442" s="69"/>
      <c r="B442" s="69"/>
      <c r="C442" s="69"/>
      <c r="D442" s="69"/>
      <c r="E442" s="69"/>
      <c r="F442" s="103"/>
      <c r="G442" s="103"/>
      <c r="H442" s="103"/>
      <c r="I442" s="103"/>
      <c r="J442" s="95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2.75" customHeight="1" x14ac:dyDescent="0.3">
      <c r="A443" s="69"/>
      <c r="B443" s="69"/>
      <c r="C443" s="69"/>
      <c r="D443" s="69"/>
      <c r="E443" s="69"/>
      <c r="F443" s="103"/>
      <c r="G443" s="103"/>
      <c r="H443" s="103"/>
      <c r="I443" s="103"/>
      <c r="J443" s="95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2.75" customHeight="1" x14ac:dyDescent="0.3">
      <c r="A444" s="69"/>
      <c r="B444" s="69"/>
      <c r="C444" s="69"/>
      <c r="D444" s="69"/>
      <c r="E444" s="69"/>
      <c r="F444" s="103"/>
      <c r="G444" s="103"/>
      <c r="H444" s="103"/>
      <c r="I444" s="103"/>
      <c r="J444" s="95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2.75" customHeight="1" x14ac:dyDescent="0.3">
      <c r="A445" s="69"/>
      <c r="B445" s="69"/>
      <c r="C445" s="69"/>
      <c r="D445" s="69"/>
      <c r="E445" s="69"/>
      <c r="F445" s="103"/>
      <c r="G445" s="103"/>
      <c r="H445" s="103"/>
      <c r="I445" s="103"/>
      <c r="J445" s="95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2.75" customHeight="1" x14ac:dyDescent="0.3">
      <c r="A446" s="69"/>
      <c r="B446" s="69"/>
      <c r="C446" s="69"/>
      <c r="D446" s="69"/>
      <c r="E446" s="69"/>
      <c r="F446" s="103"/>
      <c r="G446" s="103"/>
      <c r="H446" s="103"/>
      <c r="I446" s="103"/>
      <c r="J446" s="95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2.75" customHeight="1" x14ac:dyDescent="0.3">
      <c r="A447" s="69"/>
      <c r="B447" s="69"/>
      <c r="C447" s="69"/>
      <c r="D447" s="69"/>
      <c r="E447" s="69"/>
      <c r="F447" s="103"/>
      <c r="G447" s="103"/>
      <c r="H447" s="103"/>
      <c r="I447" s="103"/>
      <c r="J447" s="95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2.75" customHeight="1" x14ac:dyDescent="0.3">
      <c r="A448" s="69"/>
      <c r="B448" s="69"/>
      <c r="C448" s="69"/>
      <c r="D448" s="69"/>
      <c r="E448" s="69"/>
      <c r="F448" s="103"/>
      <c r="G448" s="103"/>
      <c r="H448" s="103"/>
      <c r="I448" s="103"/>
      <c r="J448" s="95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2.75" customHeight="1" x14ac:dyDescent="0.3">
      <c r="A449" s="69"/>
      <c r="B449" s="69"/>
      <c r="C449" s="69"/>
      <c r="D449" s="69"/>
      <c r="E449" s="69"/>
      <c r="F449" s="103"/>
      <c r="G449" s="103"/>
      <c r="H449" s="103"/>
      <c r="I449" s="103"/>
      <c r="J449" s="95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2.75" customHeight="1" x14ac:dyDescent="0.3">
      <c r="A450" s="69"/>
      <c r="B450" s="69"/>
      <c r="C450" s="69"/>
      <c r="D450" s="69"/>
      <c r="E450" s="69"/>
      <c r="F450" s="103"/>
      <c r="G450" s="103"/>
      <c r="H450" s="103"/>
      <c r="I450" s="103"/>
      <c r="J450" s="95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2.75" customHeight="1" x14ac:dyDescent="0.3">
      <c r="A451" s="69"/>
      <c r="B451" s="69"/>
      <c r="C451" s="69"/>
      <c r="D451" s="69"/>
      <c r="E451" s="69"/>
      <c r="F451" s="103"/>
      <c r="G451" s="103"/>
      <c r="H451" s="103"/>
      <c r="I451" s="103"/>
      <c r="J451" s="95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2.75" customHeight="1" x14ac:dyDescent="0.3">
      <c r="A452" s="69"/>
      <c r="B452" s="69"/>
      <c r="C452" s="69"/>
      <c r="D452" s="69"/>
      <c r="E452" s="69"/>
      <c r="F452" s="103"/>
      <c r="G452" s="103"/>
      <c r="H452" s="103"/>
      <c r="I452" s="103"/>
      <c r="J452" s="95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2.75" customHeight="1" x14ac:dyDescent="0.3">
      <c r="A453" s="69"/>
      <c r="B453" s="69"/>
      <c r="C453" s="69"/>
      <c r="D453" s="69"/>
      <c r="E453" s="69"/>
      <c r="F453" s="103"/>
      <c r="G453" s="103"/>
      <c r="H453" s="103"/>
      <c r="I453" s="103"/>
      <c r="J453" s="95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2.75" customHeight="1" x14ac:dyDescent="0.3">
      <c r="A454" s="69"/>
      <c r="B454" s="69"/>
      <c r="C454" s="69"/>
      <c r="D454" s="69"/>
      <c r="E454" s="69"/>
      <c r="F454" s="103"/>
      <c r="G454" s="103"/>
      <c r="H454" s="103"/>
      <c r="I454" s="103"/>
      <c r="J454" s="95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2.75" customHeight="1" x14ac:dyDescent="0.3">
      <c r="A455" s="69"/>
      <c r="B455" s="69"/>
      <c r="C455" s="69"/>
      <c r="D455" s="69"/>
      <c r="E455" s="69"/>
      <c r="F455" s="103"/>
      <c r="G455" s="103"/>
      <c r="H455" s="103"/>
      <c r="I455" s="103"/>
      <c r="J455" s="95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2.75" customHeight="1" x14ac:dyDescent="0.3">
      <c r="A456" s="69"/>
      <c r="B456" s="69"/>
      <c r="C456" s="69"/>
      <c r="D456" s="69"/>
      <c r="E456" s="69"/>
      <c r="F456" s="103"/>
      <c r="G456" s="103"/>
      <c r="H456" s="103"/>
      <c r="I456" s="103"/>
      <c r="J456" s="95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2.75" customHeight="1" x14ac:dyDescent="0.3">
      <c r="A457" s="69"/>
      <c r="B457" s="69"/>
      <c r="C457" s="69"/>
      <c r="D457" s="69"/>
      <c r="E457" s="69"/>
      <c r="F457" s="103"/>
      <c r="G457" s="103"/>
      <c r="H457" s="103"/>
      <c r="I457" s="103"/>
      <c r="J457" s="95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2.75" customHeight="1" x14ac:dyDescent="0.3">
      <c r="A458" s="69"/>
      <c r="B458" s="69"/>
      <c r="C458" s="69"/>
      <c r="D458" s="69"/>
      <c r="E458" s="69"/>
      <c r="F458" s="103"/>
      <c r="G458" s="103"/>
      <c r="H458" s="103"/>
      <c r="I458" s="103"/>
      <c r="J458" s="95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2.75" customHeight="1" x14ac:dyDescent="0.3">
      <c r="A459" s="69"/>
      <c r="B459" s="69"/>
      <c r="C459" s="69"/>
      <c r="D459" s="69"/>
      <c r="E459" s="69"/>
      <c r="F459" s="103"/>
      <c r="G459" s="103"/>
      <c r="H459" s="103"/>
      <c r="I459" s="103"/>
      <c r="J459" s="95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2.75" customHeight="1" x14ac:dyDescent="0.3">
      <c r="A460" s="69"/>
      <c r="B460" s="69"/>
      <c r="C460" s="69"/>
      <c r="D460" s="69"/>
      <c r="E460" s="69"/>
      <c r="F460" s="103"/>
      <c r="G460" s="103"/>
      <c r="H460" s="103"/>
      <c r="I460" s="103"/>
      <c r="J460" s="95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2.75" customHeight="1" x14ac:dyDescent="0.3">
      <c r="A461" s="69"/>
      <c r="B461" s="69"/>
      <c r="C461" s="69"/>
      <c r="D461" s="69"/>
      <c r="E461" s="69"/>
      <c r="F461" s="103"/>
      <c r="G461" s="103"/>
      <c r="H461" s="103"/>
      <c r="I461" s="103"/>
      <c r="J461" s="95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2.75" customHeight="1" x14ac:dyDescent="0.3">
      <c r="A462" s="69"/>
      <c r="B462" s="69"/>
      <c r="C462" s="69"/>
      <c r="D462" s="69"/>
      <c r="E462" s="69"/>
      <c r="F462" s="103"/>
      <c r="G462" s="103"/>
      <c r="H462" s="103"/>
      <c r="I462" s="103"/>
      <c r="J462" s="95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2.75" customHeight="1" x14ac:dyDescent="0.3">
      <c r="A463" s="69"/>
      <c r="B463" s="69"/>
      <c r="C463" s="69"/>
      <c r="D463" s="69"/>
      <c r="E463" s="69"/>
      <c r="F463" s="103"/>
      <c r="G463" s="103"/>
      <c r="H463" s="103"/>
      <c r="I463" s="103"/>
      <c r="J463" s="95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2.75" customHeight="1" x14ac:dyDescent="0.3">
      <c r="A464" s="69"/>
      <c r="B464" s="69"/>
      <c r="C464" s="69"/>
      <c r="D464" s="69"/>
      <c r="E464" s="69"/>
      <c r="F464" s="103"/>
      <c r="G464" s="103"/>
      <c r="H464" s="103"/>
      <c r="I464" s="103"/>
      <c r="J464" s="95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2.75" customHeight="1" x14ac:dyDescent="0.3">
      <c r="A465" s="69"/>
      <c r="B465" s="69"/>
      <c r="C465" s="69"/>
      <c r="D465" s="69"/>
      <c r="E465" s="69"/>
      <c r="F465" s="103"/>
      <c r="G465" s="103"/>
      <c r="H465" s="103"/>
      <c r="I465" s="103"/>
      <c r="J465" s="95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2.75" customHeight="1" x14ac:dyDescent="0.3">
      <c r="A466" s="69"/>
      <c r="B466" s="69"/>
      <c r="C466" s="69"/>
      <c r="D466" s="69"/>
      <c r="E466" s="69"/>
      <c r="F466" s="103"/>
      <c r="G466" s="103"/>
      <c r="H466" s="103"/>
      <c r="I466" s="103"/>
      <c r="J466" s="95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2.75" customHeight="1" x14ac:dyDescent="0.3">
      <c r="A467" s="69"/>
      <c r="B467" s="69"/>
      <c r="C467" s="69"/>
      <c r="D467" s="69"/>
      <c r="E467" s="69"/>
      <c r="F467" s="103"/>
      <c r="G467" s="103"/>
      <c r="H467" s="103"/>
      <c r="I467" s="103"/>
      <c r="J467" s="95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2.75" customHeight="1" x14ac:dyDescent="0.3">
      <c r="A468" s="69"/>
      <c r="B468" s="69"/>
      <c r="C468" s="69"/>
      <c r="D468" s="69"/>
      <c r="E468" s="69"/>
      <c r="F468" s="103"/>
      <c r="G468" s="103"/>
      <c r="H468" s="103"/>
      <c r="I468" s="103"/>
      <c r="J468" s="95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2.75" customHeight="1" x14ac:dyDescent="0.3">
      <c r="A469" s="69"/>
      <c r="B469" s="69"/>
      <c r="C469" s="69"/>
      <c r="D469" s="69"/>
      <c r="E469" s="69"/>
      <c r="F469" s="103"/>
      <c r="G469" s="103"/>
      <c r="H469" s="103"/>
      <c r="I469" s="103"/>
      <c r="J469" s="95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2.75" customHeight="1" x14ac:dyDescent="0.3">
      <c r="A470" s="69"/>
      <c r="B470" s="69"/>
      <c r="C470" s="69"/>
      <c r="D470" s="69"/>
      <c r="E470" s="69"/>
      <c r="F470" s="103"/>
      <c r="G470" s="103"/>
      <c r="H470" s="103"/>
      <c r="I470" s="103"/>
      <c r="J470" s="95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2.75" customHeight="1" x14ac:dyDescent="0.3">
      <c r="A471" s="69"/>
      <c r="B471" s="69"/>
      <c r="C471" s="69"/>
      <c r="D471" s="69"/>
      <c r="E471" s="69"/>
      <c r="F471" s="103"/>
      <c r="G471" s="103"/>
      <c r="H471" s="103"/>
      <c r="I471" s="103"/>
      <c r="J471" s="95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2.75" customHeight="1" x14ac:dyDescent="0.3">
      <c r="A472" s="69"/>
      <c r="B472" s="69"/>
      <c r="C472" s="69"/>
      <c r="D472" s="69"/>
      <c r="E472" s="69"/>
      <c r="F472" s="103"/>
      <c r="G472" s="103"/>
      <c r="H472" s="103"/>
      <c r="I472" s="103"/>
      <c r="J472" s="95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2.75" customHeight="1" x14ac:dyDescent="0.3">
      <c r="A473" s="69"/>
      <c r="B473" s="69"/>
      <c r="C473" s="69"/>
      <c r="D473" s="69"/>
      <c r="E473" s="69"/>
      <c r="F473" s="103"/>
      <c r="G473" s="103"/>
      <c r="H473" s="103"/>
      <c r="I473" s="103"/>
      <c r="J473" s="95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2.75" customHeight="1" x14ac:dyDescent="0.3">
      <c r="A474" s="69"/>
      <c r="B474" s="69"/>
      <c r="C474" s="69"/>
      <c r="D474" s="69"/>
      <c r="E474" s="69"/>
      <c r="F474" s="103"/>
      <c r="G474" s="103"/>
      <c r="H474" s="103"/>
      <c r="I474" s="103"/>
      <c r="J474" s="95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2.75" customHeight="1" x14ac:dyDescent="0.3">
      <c r="A475" s="69"/>
      <c r="B475" s="69"/>
      <c r="C475" s="69"/>
      <c r="D475" s="69"/>
      <c r="E475" s="69"/>
      <c r="F475" s="103"/>
      <c r="G475" s="103"/>
      <c r="H475" s="103"/>
      <c r="I475" s="103"/>
      <c r="J475" s="95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2.75" customHeight="1" x14ac:dyDescent="0.3">
      <c r="A476" s="69"/>
      <c r="B476" s="69"/>
      <c r="C476" s="69"/>
      <c r="D476" s="69"/>
      <c r="E476" s="69"/>
      <c r="F476" s="103"/>
      <c r="G476" s="103"/>
      <c r="H476" s="103"/>
      <c r="I476" s="103"/>
      <c r="J476" s="95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2.75" customHeight="1" x14ac:dyDescent="0.3">
      <c r="A477" s="69"/>
      <c r="B477" s="69"/>
      <c r="C477" s="69"/>
      <c r="D477" s="69"/>
      <c r="E477" s="69"/>
      <c r="F477" s="103"/>
      <c r="G477" s="103"/>
      <c r="H477" s="103"/>
      <c r="I477" s="103"/>
      <c r="J477" s="95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2.75" customHeight="1" x14ac:dyDescent="0.3">
      <c r="A478" s="69"/>
      <c r="B478" s="69"/>
      <c r="C478" s="69"/>
      <c r="D478" s="69"/>
      <c r="E478" s="69"/>
      <c r="F478" s="103"/>
      <c r="G478" s="103"/>
      <c r="H478" s="103"/>
      <c r="I478" s="103"/>
      <c r="J478" s="95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2.75" customHeight="1" x14ac:dyDescent="0.3">
      <c r="A479" s="69"/>
      <c r="B479" s="69"/>
      <c r="C479" s="69"/>
      <c r="D479" s="69"/>
      <c r="E479" s="69"/>
      <c r="F479" s="103"/>
      <c r="G479" s="103"/>
      <c r="H479" s="103"/>
      <c r="I479" s="103"/>
      <c r="J479" s="95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2.75" customHeight="1" x14ac:dyDescent="0.3">
      <c r="A480" s="69"/>
      <c r="B480" s="69"/>
      <c r="C480" s="69"/>
      <c r="D480" s="69"/>
      <c r="E480" s="69"/>
      <c r="F480" s="103"/>
      <c r="G480" s="103"/>
      <c r="H480" s="103"/>
      <c r="I480" s="103"/>
      <c r="J480" s="95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2.75" customHeight="1" x14ac:dyDescent="0.3">
      <c r="A481" s="69"/>
      <c r="B481" s="69"/>
      <c r="C481" s="69"/>
      <c r="D481" s="69"/>
      <c r="E481" s="69"/>
      <c r="F481" s="103"/>
      <c r="G481" s="103"/>
      <c r="H481" s="103"/>
      <c r="I481" s="103"/>
      <c r="J481" s="95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2.75" customHeight="1" x14ac:dyDescent="0.3">
      <c r="A482" s="69"/>
      <c r="B482" s="69"/>
      <c r="C482" s="69"/>
      <c r="D482" s="69"/>
      <c r="E482" s="69"/>
      <c r="F482" s="103"/>
      <c r="G482" s="103"/>
      <c r="H482" s="103"/>
      <c r="I482" s="103"/>
      <c r="J482" s="95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2.75" customHeight="1" x14ac:dyDescent="0.3">
      <c r="A483" s="69"/>
      <c r="B483" s="69"/>
      <c r="C483" s="69"/>
      <c r="D483" s="69"/>
      <c r="E483" s="69"/>
      <c r="F483" s="103"/>
      <c r="G483" s="103"/>
      <c r="H483" s="103"/>
      <c r="I483" s="103"/>
      <c r="J483" s="95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2.75" customHeight="1" x14ac:dyDescent="0.3">
      <c r="A484" s="69"/>
      <c r="B484" s="69"/>
      <c r="C484" s="69"/>
      <c r="D484" s="69"/>
      <c r="E484" s="69"/>
      <c r="F484" s="103"/>
      <c r="G484" s="103"/>
      <c r="H484" s="103"/>
      <c r="I484" s="103"/>
      <c r="J484" s="95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2.75" customHeight="1" x14ac:dyDescent="0.3">
      <c r="A485" s="69"/>
      <c r="B485" s="69"/>
      <c r="C485" s="69"/>
      <c r="D485" s="69"/>
      <c r="E485" s="69"/>
      <c r="F485" s="103"/>
      <c r="G485" s="103"/>
      <c r="H485" s="103"/>
      <c r="I485" s="103"/>
      <c r="J485" s="95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2.75" customHeight="1" x14ac:dyDescent="0.3">
      <c r="A486" s="69"/>
      <c r="B486" s="69"/>
      <c r="C486" s="69"/>
      <c r="D486" s="69"/>
      <c r="E486" s="69"/>
      <c r="F486" s="103"/>
      <c r="G486" s="103"/>
      <c r="H486" s="103"/>
      <c r="I486" s="103"/>
      <c r="J486" s="95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2.75" customHeight="1" x14ac:dyDescent="0.3">
      <c r="A487" s="69"/>
      <c r="B487" s="69"/>
      <c r="C487" s="69"/>
      <c r="D487" s="69"/>
      <c r="E487" s="69"/>
      <c r="F487" s="103"/>
      <c r="G487" s="103"/>
      <c r="H487" s="103"/>
      <c r="I487" s="103"/>
      <c r="J487" s="95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2.75" customHeight="1" x14ac:dyDescent="0.3">
      <c r="A488" s="69"/>
      <c r="B488" s="69"/>
      <c r="C488" s="69"/>
      <c r="D488" s="69"/>
      <c r="E488" s="69"/>
      <c r="F488" s="103"/>
      <c r="G488" s="103"/>
      <c r="H488" s="103"/>
      <c r="I488" s="103"/>
      <c r="J488" s="95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2.75" customHeight="1" x14ac:dyDescent="0.3">
      <c r="A489" s="69"/>
      <c r="B489" s="69"/>
      <c r="C489" s="69"/>
      <c r="D489" s="69"/>
      <c r="E489" s="69"/>
      <c r="F489" s="103"/>
      <c r="G489" s="103"/>
      <c r="H489" s="103"/>
      <c r="I489" s="103"/>
      <c r="J489" s="95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2.75" customHeight="1" x14ac:dyDescent="0.3">
      <c r="A490" s="69"/>
      <c r="B490" s="69"/>
      <c r="C490" s="69"/>
      <c r="D490" s="69"/>
      <c r="E490" s="69"/>
      <c r="F490" s="103"/>
      <c r="G490" s="103"/>
      <c r="H490" s="103"/>
      <c r="I490" s="103"/>
      <c r="J490" s="95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2.75" customHeight="1" x14ac:dyDescent="0.3">
      <c r="A491" s="69"/>
      <c r="B491" s="69"/>
      <c r="C491" s="69"/>
      <c r="D491" s="69"/>
      <c r="E491" s="69"/>
      <c r="F491" s="103"/>
      <c r="G491" s="103"/>
      <c r="H491" s="103"/>
      <c r="I491" s="103"/>
      <c r="J491" s="95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2.75" customHeight="1" x14ac:dyDescent="0.3">
      <c r="A492" s="69"/>
      <c r="B492" s="69"/>
      <c r="C492" s="69"/>
      <c r="D492" s="69"/>
      <c r="E492" s="69"/>
      <c r="F492" s="103"/>
      <c r="G492" s="103"/>
      <c r="H492" s="103"/>
      <c r="I492" s="103"/>
      <c r="J492" s="95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2.75" customHeight="1" x14ac:dyDescent="0.3">
      <c r="A493" s="69"/>
      <c r="B493" s="69"/>
      <c r="C493" s="69"/>
      <c r="D493" s="69"/>
      <c r="E493" s="69"/>
      <c r="F493" s="103"/>
      <c r="G493" s="103"/>
      <c r="H493" s="103"/>
      <c r="I493" s="103"/>
      <c r="J493" s="95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2.75" customHeight="1" x14ac:dyDescent="0.3">
      <c r="A494" s="69"/>
      <c r="B494" s="69"/>
      <c r="C494" s="69"/>
      <c r="D494" s="69"/>
      <c r="E494" s="69"/>
      <c r="F494" s="103"/>
      <c r="G494" s="103"/>
      <c r="H494" s="103"/>
      <c r="I494" s="103"/>
      <c r="J494" s="95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2.75" customHeight="1" x14ac:dyDescent="0.3">
      <c r="A495" s="69"/>
      <c r="B495" s="69"/>
      <c r="C495" s="69"/>
      <c r="D495" s="69"/>
      <c r="E495" s="69"/>
      <c r="F495" s="103"/>
      <c r="G495" s="103"/>
      <c r="H495" s="103"/>
      <c r="I495" s="103"/>
      <c r="J495" s="95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2.75" customHeight="1" x14ac:dyDescent="0.3">
      <c r="A496" s="69"/>
      <c r="B496" s="69"/>
      <c r="C496" s="69"/>
      <c r="D496" s="69"/>
      <c r="E496" s="69"/>
      <c r="F496" s="103"/>
      <c r="G496" s="103"/>
      <c r="H496" s="103"/>
      <c r="I496" s="103"/>
      <c r="J496" s="95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2.75" customHeight="1" x14ac:dyDescent="0.3">
      <c r="A497" s="69"/>
      <c r="B497" s="69"/>
      <c r="C497" s="69"/>
      <c r="D497" s="69"/>
      <c r="E497" s="69"/>
      <c r="F497" s="103"/>
      <c r="G497" s="103"/>
      <c r="H497" s="103"/>
      <c r="I497" s="103"/>
      <c r="J497" s="95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2.75" customHeight="1" x14ac:dyDescent="0.3">
      <c r="A498" s="69"/>
      <c r="B498" s="69"/>
      <c r="C498" s="69"/>
      <c r="D498" s="69"/>
      <c r="E498" s="69"/>
      <c r="F498" s="103"/>
      <c r="G498" s="103"/>
      <c r="H498" s="103"/>
      <c r="I498" s="103"/>
      <c r="J498" s="95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2.75" customHeight="1" x14ac:dyDescent="0.3">
      <c r="A499" s="69"/>
      <c r="B499" s="69"/>
      <c r="C499" s="69"/>
      <c r="D499" s="69"/>
      <c r="E499" s="69"/>
      <c r="F499" s="103"/>
      <c r="G499" s="103"/>
      <c r="H499" s="103"/>
      <c r="I499" s="103"/>
      <c r="J499" s="95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2.75" customHeight="1" x14ac:dyDescent="0.3">
      <c r="A500" s="69"/>
      <c r="B500" s="69"/>
      <c r="C500" s="69"/>
      <c r="D500" s="69"/>
      <c r="E500" s="69"/>
      <c r="F500" s="103"/>
      <c r="G500" s="103"/>
      <c r="H500" s="103"/>
      <c r="I500" s="103"/>
      <c r="J500" s="95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2.75" customHeight="1" x14ac:dyDescent="0.3">
      <c r="A501" s="69"/>
      <c r="B501" s="69"/>
      <c r="C501" s="69"/>
      <c r="D501" s="69"/>
      <c r="E501" s="69"/>
      <c r="F501" s="103"/>
      <c r="G501" s="103"/>
      <c r="H501" s="103"/>
      <c r="I501" s="103"/>
      <c r="J501" s="95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2.75" customHeight="1" x14ac:dyDescent="0.3">
      <c r="A502" s="69"/>
      <c r="B502" s="69"/>
      <c r="C502" s="69"/>
      <c r="D502" s="69"/>
      <c r="E502" s="69"/>
      <c r="F502" s="103"/>
      <c r="G502" s="103"/>
      <c r="H502" s="103"/>
      <c r="I502" s="103"/>
      <c r="J502" s="95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2.75" customHeight="1" x14ac:dyDescent="0.3">
      <c r="A503" s="69"/>
      <c r="B503" s="69"/>
      <c r="C503" s="69"/>
      <c r="D503" s="69"/>
      <c r="E503" s="69"/>
      <c r="F503" s="103"/>
      <c r="G503" s="103"/>
      <c r="H503" s="103"/>
      <c r="I503" s="103"/>
      <c r="J503" s="95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2.75" customHeight="1" x14ac:dyDescent="0.3">
      <c r="A504" s="69"/>
      <c r="B504" s="69"/>
      <c r="C504" s="69"/>
      <c r="D504" s="69"/>
      <c r="E504" s="69"/>
      <c r="F504" s="103"/>
      <c r="G504" s="103"/>
      <c r="H504" s="103"/>
      <c r="I504" s="103"/>
      <c r="J504" s="95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2.75" customHeight="1" x14ac:dyDescent="0.3">
      <c r="A505" s="69"/>
      <c r="B505" s="69"/>
      <c r="C505" s="69"/>
      <c r="D505" s="69"/>
      <c r="E505" s="69"/>
      <c r="F505" s="103"/>
      <c r="G505" s="103"/>
      <c r="H505" s="103"/>
      <c r="I505" s="103"/>
      <c r="J505" s="95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2.75" customHeight="1" x14ac:dyDescent="0.3">
      <c r="A506" s="69"/>
      <c r="B506" s="69"/>
      <c r="C506" s="69"/>
      <c r="D506" s="69"/>
      <c r="E506" s="69"/>
      <c r="F506" s="103"/>
      <c r="G506" s="103"/>
      <c r="H506" s="103"/>
      <c r="I506" s="103"/>
      <c r="J506" s="95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2.75" customHeight="1" x14ac:dyDescent="0.3">
      <c r="A507" s="69"/>
      <c r="B507" s="69"/>
      <c r="C507" s="69"/>
      <c r="D507" s="69"/>
      <c r="E507" s="69"/>
      <c r="F507" s="103"/>
      <c r="G507" s="103"/>
      <c r="H507" s="103"/>
      <c r="I507" s="103"/>
      <c r="J507" s="95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2.75" customHeight="1" x14ac:dyDescent="0.3">
      <c r="A508" s="69"/>
      <c r="B508" s="69"/>
      <c r="C508" s="69"/>
      <c r="D508" s="69"/>
      <c r="E508" s="69"/>
      <c r="F508" s="103"/>
      <c r="G508" s="103"/>
      <c r="H508" s="103"/>
      <c r="I508" s="103"/>
      <c r="J508" s="95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2.75" customHeight="1" x14ac:dyDescent="0.3">
      <c r="A509" s="69"/>
      <c r="B509" s="69"/>
      <c r="C509" s="69"/>
      <c r="D509" s="69"/>
      <c r="E509" s="69"/>
      <c r="F509" s="103"/>
      <c r="G509" s="103"/>
      <c r="H509" s="103"/>
      <c r="I509" s="103"/>
      <c r="J509" s="95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2.75" customHeight="1" x14ac:dyDescent="0.3">
      <c r="A510" s="69"/>
      <c r="B510" s="69"/>
      <c r="C510" s="69"/>
      <c r="D510" s="69"/>
      <c r="E510" s="69"/>
      <c r="F510" s="103"/>
      <c r="G510" s="103"/>
      <c r="H510" s="103"/>
      <c r="I510" s="103"/>
      <c r="J510" s="95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2.75" customHeight="1" x14ac:dyDescent="0.3">
      <c r="A511" s="69"/>
      <c r="B511" s="69"/>
      <c r="C511" s="69"/>
      <c r="D511" s="69"/>
      <c r="E511" s="69"/>
      <c r="F511" s="103"/>
      <c r="G511" s="103"/>
      <c r="H511" s="103"/>
      <c r="I511" s="103"/>
      <c r="J511" s="95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2.75" customHeight="1" x14ac:dyDescent="0.3">
      <c r="A512" s="69"/>
      <c r="B512" s="69"/>
      <c r="C512" s="69"/>
      <c r="D512" s="69"/>
      <c r="E512" s="69"/>
      <c r="F512" s="103"/>
      <c r="G512" s="103"/>
      <c r="H512" s="103"/>
      <c r="I512" s="103"/>
      <c r="J512" s="95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2.75" customHeight="1" x14ac:dyDescent="0.3">
      <c r="A513" s="69"/>
      <c r="B513" s="69"/>
      <c r="C513" s="69"/>
      <c r="D513" s="69"/>
      <c r="E513" s="69"/>
      <c r="F513" s="103"/>
      <c r="G513" s="103"/>
      <c r="H513" s="103"/>
      <c r="I513" s="103"/>
      <c r="J513" s="95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2.75" customHeight="1" x14ac:dyDescent="0.3">
      <c r="A514" s="69"/>
      <c r="B514" s="69"/>
      <c r="C514" s="69"/>
      <c r="D514" s="69"/>
      <c r="E514" s="69"/>
      <c r="F514" s="103"/>
      <c r="G514" s="103"/>
      <c r="H514" s="103"/>
      <c r="I514" s="103"/>
      <c r="J514" s="95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2.75" customHeight="1" x14ac:dyDescent="0.3">
      <c r="A515" s="69"/>
      <c r="B515" s="69"/>
      <c r="C515" s="69"/>
      <c r="D515" s="69"/>
      <c r="E515" s="69"/>
      <c r="F515" s="103"/>
      <c r="G515" s="103"/>
      <c r="H515" s="103"/>
      <c r="I515" s="103"/>
      <c r="J515" s="95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2.75" customHeight="1" x14ac:dyDescent="0.3">
      <c r="A516" s="69"/>
      <c r="B516" s="69"/>
      <c r="C516" s="69"/>
      <c r="D516" s="69"/>
      <c r="E516" s="69"/>
      <c r="F516" s="103"/>
      <c r="G516" s="103"/>
      <c r="H516" s="103"/>
      <c r="I516" s="103"/>
      <c r="J516" s="95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2.75" customHeight="1" x14ac:dyDescent="0.3">
      <c r="A517" s="69"/>
      <c r="B517" s="69"/>
      <c r="C517" s="69"/>
      <c r="D517" s="69"/>
      <c r="E517" s="69"/>
      <c r="F517" s="103"/>
      <c r="G517" s="103"/>
      <c r="H517" s="103"/>
      <c r="I517" s="103"/>
      <c r="J517" s="95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2.75" customHeight="1" x14ac:dyDescent="0.3">
      <c r="A518" s="69"/>
      <c r="B518" s="69"/>
      <c r="C518" s="69"/>
      <c r="D518" s="69"/>
      <c r="E518" s="69"/>
      <c r="F518" s="103"/>
      <c r="G518" s="103"/>
      <c r="H518" s="103"/>
      <c r="I518" s="103"/>
      <c r="J518" s="95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2.75" customHeight="1" x14ac:dyDescent="0.3">
      <c r="A519" s="69"/>
      <c r="B519" s="69"/>
      <c r="C519" s="69"/>
      <c r="D519" s="69"/>
      <c r="E519" s="69"/>
      <c r="F519" s="103"/>
      <c r="G519" s="103"/>
      <c r="H519" s="103"/>
      <c r="I519" s="103"/>
      <c r="J519" s="95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2.75" customHeight="1" x14ac:dyDescent="0.3">
      <c r="A520" s="69"/>
      <c r="B520" s="69"/>
      <c r="C520" s="69"/>
      <c r="D520" s="69"/>
      <c r="E520" s="69"/>
      <c r="F520" s="103"/>
      <c r="G520" s="103"/>
      <c r="H520" s="103"/>
      <c r="I520" s="103"/>
      <c r="J520" s="95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2.75" customHeight="1" x14ac:dyDescent="0.3">
      <c r="A521" s="69"/>
      <c r="B521" s="69"/>
      <c r="C521" s="69"/>
      <c r="D521" s="69"/>
      <c r="E521" s="69"/>
      <c r="F521" s="103"/>
      <c r="G521" s="103"/>
      <c r="H521" s="103"/>
      <c r="I521" s="103"/>
      <c r="J521" s="95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2.75" customHeight="1" x14ac:dyDescent="0.3">
      <c r="A522" s="69"/>
      <c r="B522" s="69"/>
      <c r="C522" s="69"/>
      <c r="D522" s="69"/>
      <c r="E522" s="69"/>
      <c r="F522" s="103"/>
      <c r="G522" s="103"/>
      <c r="H522" s="103"/>
      <c r="I522" s="103"/>
      <c r="J522" s="95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2.75" customHeight="1" x14ac:dyDescent="0.3">
      <c r="A523" s="69"/>
      <c r="B523" s="69"/>
      <c r="C523" s="69"/>
      <c r="D523" s="69"/>
      <c r="E523" s="69"/>
      <c r="F523" s="103"/>
      <c r="G523" s="103"/>
      <c r="H523" s="103"/>
      <c r="I523" s="103"/>
      <c r="J523" s="95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2.75" customHeight="1" x14ac:dyDescent="0.3">
      <c r="A524" s="69"/>
      <c r="B524" s="69"/>
      <c r="C524" s="69"/>
      <c r="D524" s="69"/>
      <c r="E524" s="69"/>
      <c r="F524" s="103"/>
      <c r="G524" s="103"/>
      <c r="H524" s="103"/>
      <c r="I524" s="103"/>
      <c r="J524" s="95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2.75" customHeight="1" x14ac:dyDescent="0.3">
      <c r="A525" s="69"/>
      <c r="B525" s="69"/>
      <c r="C525" s="69"/>
      <c r="D525" s="69"/>
      <c r="E525" s="69"/>
      <c r="F525" s="103"/>
      <c r="G525" s="103"/>
      <c r="H525" s="103"/>
      <c r="I525" s="103"/>
      <c r="J525" s="95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2.75" customHeight="1" x14ac:dyDescent="0.3">
      <c r="A526" s="69"/>
      <c r="B526" s="69"/>
      <c r="C526" s="69"/>
      <c r="D526" s="69"/>
      <c r="E526" s="69"/>
      <c r="F526" s="103"/>
      <c r="G526" s="103"/>
      <c r="H526" s="103"/>
      <c r="I526" s="103"/>
      <c r="J526" s="95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2.75" customHeight="1" x14ac:dyDescent="0.3">
      <c r="A527" s="69"/>
      <c r="B527" s="69"/>
      <c r="C527" s="69"/>
      <c r="D527" s="69"/>
      <c r="E527" s="69"/>
      <c r="F527" s="103"/>
      <c r="G527" s="103"/>
      <c r="H527" s="103"/>
      <c r="I527" s="103"/>
      <c r="J527" s="95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2.75" customHeight="1" x14ac:dyDescent="0.3">
      <c r="A528" s="69"/>
      <c r="B528" s="69"/>
      <c r="C528" s="69"/>
      <c r="D528" s="69"/>
      <c r="E528" s="69"/>
      <c r="F528" s="103"/>
      <c r="G528" s="103"/>
      <c r="H528" s="103"/>
      <c r="I528" s="103"/>
      <c r="J528" s="95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2.75" customHeight="1" x14ac:dyDescent="0.3">
      <c r="A529" s="69"/>
      <c r="B529" s="69"/>
      <c r="C529" s="69"/>
      <c r="D529" s="69"/>
      <c r="E529" s="69"/>
      <c r="F529" s="103"/>
      <c r="G529" s="103"/>
      <c r="H529" s="103"/>
      <c r="I529" s="103"/>
      <c r="J529" s="95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2.75" customHeight="1" x14ac:dyDescent="0.3">
      <c r="A530" s="69"/>
      <c r="B530" s="69"/>
      <c r="C530" s="69"/>
      <c r="D530" s="69"/>
      <c r="E530" s="69"/>
      <c r="F530" s="103"/>
      <c r="G530" s="103"/>
      <c r="H530" s="103"/>
      <c r="I530" s="103"/>
      <c r="J530" s="95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2.75" customHeight="1" x14ac:dyDescent="0.3">
      <c r="A531" s="69"/>
      <c r="B531" s="69"/>
      <c r="C531" s="69"/>
      <c r="D531" s="69"/>
      <c r="E531" s="69"/>
      <c r="F531" s="103"/>
      <c r="G531" s="103"/>
      <c r="H531" s="103"/>
      <c r="I531" s="103"/>
      <c r="J531" s="95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2.75" customHeight="1" x14ac:dyDescent="0.3">
      <c r="A532" s="69"/>
      <c r="B532" s="69"/>
      <c r="C532" s="69"/>
      <c r="D532" s="69"/>
      <c r="E532" s="69"/>
      <c r="F532" s="103"/>
      <c r="G532" s="103"/>
      <c r="H532" s="103"/>
      <c r="I532" s="103"/>
      <c r="J532" s="95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2.75" customHeight="1" x14ac:dyDescent="0.3">
      <c r="A533" s="69"/>
      <c r="B533" s="69"/>
      <c r="C533" s="69"/>
      <c r="D533" s="69"/>
      <c r="E533" s="69"/>
      <c r="F533" s="103"/>
      <c r="G533" s="103"/>
      <c r="H533" s="103"/>
      <c r="I533" s="103"/>
      <c r="J533" s="95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2.75" customHeight="1" x14ac:dyDescent="0.3">
      <c r="A534" s="69"/>
      <c r="B534" s="69"/>
      <c r="C534" s="69"/>
      <c r="D534" s="69"/>
      <c r="E534" s="69"/>
      <c r="F534" s="103"/>
      <c r="G534" s="103"/>
      <c r="H534" s="103"/>
      <c r="I534" s="103"/>
      <c r="J534" s="95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2.75" customHeight="1" x14ac:dyDescent="0.3">
      <c r="A535" s="69"/>
      <c r="B535" s="69"/>
      <c r="C535" s="69"/>
      <c r="D535" s="69"/>
      <c r="E535" s="69"/>
      <c r="F535" s="103"/>
      <c r="G535" s="103"/>
      <c r="H535" s="103"/>
      <c r="I535" s="103"/>
      <c r="J535" s="95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2.75" customHeight="1" x14ac:dyDescent="0.3">
      <c r="A536" s="69"/>
      <c r="B536" s="69"/>
      <c r="C536" s="69"/>
      <c r="D536" s="69"/>
      <c r="E536" s="69"/>
      <c r="F536" s="103"/>
      <c r="G536" s="103"/>
      <c r="H536" s="103"/>
      <c r="I536" s="103"/>
      <c r="J536" s="95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2.75" customHeight="1" x14ac:dyDescent="0.3">
      <c r="A537" s="69"/>
      <c r="B537" s="69"/>
      <c r="C537" s="69"/>
      <c r="D537" s="69"/>
      <c r="E537" s="69"/>
      <c r="F537" s="103"/>
      <c r="G537" s="103"/>
      <c r="H537" s="103"/>
      <c r="I537" s="103"/>
      <c r="J537" s="95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2.75" customHeight="1" x14ac:dyDescent="0.3">
      <c r="A538" s="69"/>
      <c r="B538" s="69"/>
      <c r="C538" s="69"/>
      <c r="D538" s="69"/>
      <c r="E538" s="69"/>
      <c r="F538" s="103"/>
      <c r="G538" s="103"/>
      <c r="H538" s="103"/>
      <c r="I538" s="103"/>
      <c r="J538" s="95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2.75" customHeight="1" x14ac:dyDescent="0.3">
      <c r="A539" s="69"/>
      <c r="B539" s="69"/>
      <c r="C539" s="69"/>
      <c r="D539" s="69"/>
      <c r="E539" s="69"/>
      <c r="F539" s="103"/>
      <c r="G539" s="103"/>
      <c r="H539" s="103"/>
      <c r="I539" s="103"/>
      <c r="J539" s="95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2.75" customHeight="1" x14ac:dyDescent="0.3">
      <c r="A540" s="69"/>
      <c r="B540" s="69"/>
      <c r="C540" s="69"/>
      <c r="D540" s="69"/>
      <c r="E540" s="69"/>
      <c r="F540" s="103"/>
      <c r="G540" s="103"/>
      <c r="H540" s="103"/>
      <c r="I540" s="103"/>
      <c r="J540" s="95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2.75" customHeight="1" x14ac:dyDescent="0.3">
      <c r="A541" s="69"/>
      <c r="B541" s="69"/>
      <c r="C541" s="69"/>
      <c r="D541" s="69"/>
      <c r="E541" s="69"/>
      <c r="F541" s="103"/>
      <c r="G541" s="103"/>
      <c r="H541" s="103"/>
      <c r="I541" s="103"/>
      <c r="J541" s="95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2.75" customHeight="1" x14ac:dyDescent="0.3">
      <c r="A542" s="69"/>
      <c r="B542" s="69"/>
      <c r="C542" s="69"/>
      <c r="D542" s="69"/>
      <c r="E542" s="69"/>
      <c r="F542" s="103"/>
      <c r="G542" s="103"/>
      <c r="H542" s="103"/>
      <c r="I542" s="103"/>
      <c r="J542" s="95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2.75" customHeight="1" x14ac:dyDescent="0.3">
      <c r="A543" s="69"/>
      <c r="B543" s="69"/>
      <c r="C543" s="69"/>
      <c r="D543" s="69"/>
      <c r="E543" s="69"/>
      <c r="F543" s="103"/>
      <c r="G543" s="103"/>
      <c r="H543" s="103"/>
      <c r="I543" s="103"/>
      <c r="J543" s="95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2.75" customHeight="1" x14ac:dyDescent="0.3">
      <c r="A544" s="69"/>
      <c r="B544" s="69"/>
      <c r="C544" s="69"/>
      <c r="D544" s="69"/>
      <c r="E544" s="69"/>
      <c r="F544" s="103"/>
      <c r="G544" s="103"/>
      <c r="H544" s="103"/>
      <c r="I544" s="103"/>
      <c r="J544" s="95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2.75" customHeight="1" x14ac:dyDescent="0.3">
      <c r="A545" s="69"/>
      <c r="B545" s="69"/>
      <c r="C545" s="69"/>
      <c r="D545" s="69"/>
      <c r="E545" s="69"/>
      <c r="F545" s="103"/>
      <c r="G545" s="103"/>
      <c r="H545" s="103"/>
      <c r="I545" s="103"/>
      <c r="J545" s="95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2.75" customHeight="1" x14ac:dyDescent="0.3">
      <c r="A546" s="69"/>
      <c r="B546" s="69"/>
      <c r="C546" s="69"/>
      <c r="D546" s="69"/>
      <c r="E546" s="69"/>
      <c r="F546" s="103"/>
      <c r="G546" s="103"/>
      <c r="H546" s="103"/>
      <c r="I546" s="103"/>
      <c r="J546" s="95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2.75" customHeight="1" x14ac:dyDescent="0.3">
      <c r="A547" s="69"/>
      <c r="B547" s="69"/>
      <c r="C547" s="69"/>
      <c r="D547" s="69"/>
      <c r="E547" s="69"/>
      <c r="F547" s="103"/>
      <c r="G547" s="103"/>
      <c r="H547" s="103"/>
      <c r="I547" s="103"/>
      <c r="J547" s="95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2.75" customHeight="1" x14ac:dyDescent="0.3">
      <c r="A548" s="69"/>
      <c r="B548" s="69"/>
      <c r="C548" s="69"/>
      <c r="D548" s="69"/>
      <c r="E548" s="69"/>
      <c r="F548" s="103"/>
      <c r="G548" s="103"/>
      <c r="H548" s="103"/>
      <c r="I548" s="103"/>
      <c r="J548" s="95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2.75" customHeight="1" x14ac:dyDescent="0.3">
      <c r="A549" s="69"/>
      <c r="B549" s="69"/>
      <c r="C549" s="69"/>
      <c r="D549" s="69"/>
      <c r="E549" s="69"/>
      <c r="F549" s="103"/>
      <c r="G549" s="103"/>
      <c r="H549" s="103"/>
      <c r="I549" s="103"/>
      <c r="J549" s="95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2.75" customHeight="1" x14ac:dyDescent="0.3">
      <c r="A550" s="69"/>
      <c r="B550" s="69"/>
      <c r="C550" s="69"/>
      <c r="D550" s="69"/>
      <c r="E550" s="69"/>
      <c r="F550" s="103"/>
      <c r="G550" s="103"/>
      <c r="H550" s="103"/>
      <c r="I550" s="103"/>
      <c r="J550" s="95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2.75" customHeight="1" x14ac:dyDescent="0.3">
      <c r="A551" s="69"/>
      <c r="B551" s="69"/>
      <c r="C551" s="69"/>
      <c r="D551" s="69"/>
      <c r="E551" s="69"/>
      <c r="F551" s="103"/>
      <c r="G551" s="103"/>
      <c r="H551" s="103"/>
      <c r="I551" s="103"/>
      <c r="J551" s="95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2.75" customHeight="1" x14ac:dyDescent="0.3">
      <c r="A552" s="69"/>
      <c r="B552" s="69"/>
      <c r="C552" s="69"/>
      <c r="D552" s="69"/>
      <c r="E552" s="69"/>
      <c r="F552" s="103"/>
      <c r="G552" s="103"/>
      <c r="H552" s="103"/>
      <c r="I552" s="103"/>
      <c r="J552" s="95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2.75" customHeight="1" x14ac:dyDescent="0.3">
      <c r="A553" s="69"/>
      <c r="B553" s="69"/>
      <c r="C553" s="69"/>
      <c r="D553" s="69"/>
      <c r="E553" s="69"/>
      <c r="F553" s="103"/>
      <c r="G553" s="103"/>
      <c r="H553" s="103"/>
      <c r="I553" s="103"/>
      <c r="J553" s="95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2.75" customHeight="1" x14ac:dyDescent="0.3">
      <c r="A554" s="69"/>
      <c r="B554" s="69"/>
      <c r="C554" s="69"/>
      <c r="D554" s="69"/>
      <c r="E554" s="69"/>
      <c r="F554" s="103"/>
      <c r="G554" s="103"/>
      <c r="H554" s="103"/>
      <c r="I554" s="103"/>
      <c r="J554" s="95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2.75" customHeight="1" x14ac:dyDescent="0.3">
      <c r="A555" s="69"/>
      <c r="B555" s="69"/>
      <c r="C555" s="69"/>
      <c r="D555" s="69"/>
      <c r="E555" s="69"/>
      <c r="F555" s="103"/>
      <c r="G555" s="103"/>
      <c r="H555" s="103"/>
      <c r="I555" s="103"/>
      <c r="J555" s="95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2.75" customHeight="1" x14ac:dyDescent="0.3">
      <c r="A556" s="69"/>
      <c r="B556" s="69"/>
      <c r="C556" s="69"/>
      <c r="D556" s="69"/>
      <c r="E556" s="69"/>
      <c r="F556" s="103"/>
      <c r="G556" s="103"/>
      <c r="H556" s="103"/>
      <c r="I556" s="103"/>
      <c r="J556" s="95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2.75" customHeight="1" x14ac:dyDescent="0.3">
      <c r="A557" s="69"/>
      <c r="B557" s="69"/>
      <c r="C557" s="69"/>
      <c r="D557" s="69"/>
      <c r="E557" s="69"/>
      <c r="F557" s="103"/>
      <c r="G557" s="103"/>
      <c r="H557" s="103"/>
      <c r="I557" s="103"/>
      <c r="J557" s="95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2.75" customHeight="1" x14ac:dyDescent="0.3">
      <c r="A558" s="69"/>
      <c r="B558" s="69"/>
      <c r="C558" s="69"/>
      <c r="D558" s="69"/>
      <c r="E558" s="69"/>
      <c r="F558" s="103"/>
      <c r="G558" s="103"/>
      <c r="H558" s="103"/>
      <c r="I558" s="103"/>
      <c r="J558" s="95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2.75" customHeight="1" x14ac:dyDescent="0.3">
      <c r="A559" s="69"/>
      <c r="B559" s="69"/>
      <c r="C559" s="69"/>
      <c r="D559" s="69"/>
      <c r="E559" s="69"/>
      <c r="F559" s="103"/>
      <c r="G559" s="103"/>
      <c r="H559" s="103"/>
      <c r="I559" s="103"/>
      <c r="J559" s="95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2.75" customHeight="1" x14ac:dyDescent="0.3">
      <c r="A560" s="69"/>
      <c r="B560" s="69"/>
      <c r="C560" s="69"/>
      <c r="D560" s="69"/>
      <c r="E560" s="69"/>
      <c r="F560" s="103"/>
      <c r="G560" s="103"/>
      <c r="H560" s="103"/>
      <c r="I560" s="103"/>
      <c r="J560" s="95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2.75" customHeight="1" x14ac:dyDescent="0.3">
      <c r="A561" s="69"/>
      <c r="B561" s="69"/>
      <c r="C561" s="69"/>
      <c r="D561" s="69"/>
      <c r="E561" s="69"/>
      <c r="F561" s="103"/>
      <c r="G561" s="103"/>
      <c r="H561" s="103"/>
      <c r="I561" s="103"/>
      <c r="J561" s="95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2.75" customHeight="1" x14ac:dyDescent="0.3">
      <c r="A562" s="69"/>
      <c r="B562" s="69"/>
      <c r="C562" s="69"/>
      <c r="D562" s="69"/>
      <c r="E562" s="69"/>
      <c r="F562" s="103"/>
      <c r="G562" s="103"/>
      <c r="H562" s="103"/>
      <c r="I562" s="103"/>
      <c r="J562" s="95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2.75" customHeight="1" x14ac:dyDescent="0.3">
      <c r="A563" s="69"/>
      <c r="B563" s="69"/>
      <c r="C563" s="69"/>
      <c r="D563" s="69"/>
      <c r="E563" s="69"/>
      <c r="F563" s="103"/>
      <c r="G563" s="103"/>
      <c r="H563" s="103"/>
      <c r="I563" s="103"/>
      <c r="J563" s="95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2.75" customHeight="1" x14ac:dyDescent="0.3">
      <c r="A564" s="69"/>
      <c r="B564" s="69"/>
      <c r="C564" s="69"/>
      <c r="D564" s="69"/>
      <c r="E564" s="69"/>
      <c r="F564" s="103"/>
      <c r="G564" s="103"/>
      <c r="H564" s="103"/>
      <c r="I564" s="103"/>
      <c r="J564" s="95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2.75" customHeight="1" x14ac:dyDescent="0.3">
      <c r="A565" s="69"/>
      <c r="B565" s="69"/>
      <c r="C565" s="69"/>
      <c r="D565" s="69"/>
      <c r="E565" s="69"/>
      <c r="F565" s="103"/>
      <c r="G565" s="103"/>
      <c r="H565" s="103"/>
      <c r="I565" s="103"/>
      <c r="J565" s="95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2.75" customHeight="1" x14ac:dyDescent="0.3">
      <c r="A566" s="69"/>
      <c r="B566" s="69"/>
      <c r="C566" s="69"/>
      <c r="D566" s="69"/>
      <c r="E566" s="69"/>
      <c r="F566" s="103"/>
      <c r="G566" s="103"/>
      <c r="H566" s="103"/>
      <c r="I566" s="103"/>
      <c r="J566" s="95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2.75" customHeight="1" x14ac:dyDescent="0.3">
      <c r="A567" s="69"/>
      <c r="B567" s="69"/>
      <c r="C567" s="69"/>
      <c r="D567" s="69"/>
      <c r="E567" s="69"/>
      <c r="F567" s="103"/>
      <c r="G567" s="103"/>
      <c r="H567" s="103"/>
      <c r="I567" s="103"/>
      <c r="J567" s="95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2.75" customHeight="1" x14ac:dyDescent="0.3">
      <c r="A568" s="69"/>
      <c r="B568" s="69"/>
      <c r="C568" s="69"/>
      <c r="D568" s="69"/>
      <c r="E568" s="69"/>
      <c r="F568" s="103"/>
      <c r="G568" s="103"/>
      <c r="H568" s="103"/>
      <c r="I568" s="103"/>
      <c r="J568" s="95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2.75" customHeight="1" x14ac:dyDescent="0.3">
      <c r="A569" s="69"/>
      <c r="B569" s="69"/>
      <c r="C569" s="69"/>
      <c r="D569" s="69"/>
      <c r="E569" s="69"/>
      <c r="F569" s="103"/>
      <c r="G569" s="103"/>
      <c r="H569" s="103"/>
      <c r="I569" s="103"/>
      <c r="J569" s="95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2.75" customHeight="1" x14ac:dyDescent="0.3">
      <c r="A570" s="69"/>
      <c r="B570" s="69"/>
      <c r="C570" s="69"/>
      <c r="D570" s="69"/>
      <c r="E570" s="69"/>
      <c r="F570" s="103"/>
      <c r="G570" s="103"/>
      <c r="H570" s="103"/>
      <c r="I570" s="103"/>
      <c r="J570" s="95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2.75" customHeight="1" x14ac:dyDescent="0.3">
      <c r="A571" s="69"/>
      <c r="B571" s="69"/>
      <c r="C571" s="69"/>
      <c r="D571" s="69"/>
      <c r="E571" s="69"/>
      <c r="F571" s="103"/>
      <c r="G571" s="103"/>
      <c r="H571" s="103"/>
      <c r="I571" s="103"/>
      <c r="J571" s="95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2.75" customHeight="1" x14ac:dyDescent="0.3">
      <c r="A572" s="69"/>
      <c r="B572" s="69"/>
      <c r="C572" s="69"/>
      <c r="D572" s="69"/>
      <c r="E572" s="69"/>
      <c r="F572" s="103"/>
      <c r="G572" s="103"/>
      <c r="H572" s="103"/>
      <c r="I572" s="103"/>
      <c r="J572" s="95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2.75" customHeight="1" x14ac:dyDescent="0.3">
      <c r="A573" s="69"/>
      <c r="B573" s="69"/>
      <c r="C573" s="69"/>
      <c r="D573" s="69"/>
      <c r="E573" s="69"/>
      <c r="F573" s="103"/>
      <c r="G573" s="103"/>
      <c r="H573" s="103"/>
      <c r="I573" s="103"/>
      <c r="J573" s="95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2.75" customHeight="1" x14ac:dyDescent="0.3">
      <c r="A574" s="69"/>
      <c r="B574" s="69"/>
      <c r="C574" s="69"/>
      <c r="D574" s="69"/>
      <c r="E574" s="69"/>
      <c r="F574" s="103"/>
      <c r="G574" s="103"/>
      <c r="H574" s="103"/>
      <c r="I574" s="103"/>
      <c r="J574" s="95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2.75" customHeight="1" x14ac:dyDescent="0.3">
      <c r="A575" s="69"/>
      <c r="B575" s="69"/>
      <c r="C575" s="69"/>
      <c r="D575" s="69"/>
      <c r="E575" s="69"/>
      <c r="F575" s="103"/>
      <c r="G575" s="103"/>
      <c r="H575" s="103"/>
      <c r="I575" s="103"/>
      <c r="J575" s="95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2.75" customHeight="1" x14ac:dyDescent="0.3">
      <c r="A576" s="69"/>
      <c r="B576" s="69"/>
      <c r="C576" s="69"/>
      <c r="D576" s="69"/>
      <c r="E576" s="69"/>
      <c r="F576" s="103"/>
      <c r="G576" s="103"/>
      <c r="H576" s="103"/>
      <c r="I576" s="103"/>
      <c r="J576" s="95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2.75" customHeight="1" x14ac:dyDescent="0.3">
      <c r="A577" s="69"/>
      <c r="B577" s="69"/>
      <c r="C577" s="69"/>
      <c r="D577" s="69"/>
      <c r="E577" s="69"/>
      <c r="F577" s="103"/>
      <c r="G577" s="103"/>
      <c r="H577" s="103"/>
      <c r="I577" s="103"/>
      <c r="J577" s="95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2.75" customHeight="1" x14ac:dyDescent="0.3">
      <c r="A578" s="69"/>
      <c r="B578" s="69"/>
      <c r="C578" s="69"/>
      <c r="D578" s="69"/>
      <c r="E578" s="69"/>
      <c r="F578" s="103"/>
      <c r="G578" s="103"/>
      <c r="H578" s="103"/>
      <c r="I578" s="103"/>
      <c r="J578" s="95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2.75" customHeight="1" x14ac:dyDescent="0.3">
      <c r="A579" s="69"/>
      <c r="B579" s="69"/>
      <c r="C579" s="69"/>
      <c r="D579" s="69"/>
      <c r="E579" s="69"/>
      <c r="F579" s="103"/>
      <c r="G579" s="103"/>
      <c r="H579" s="103"/>
      <c r="I579" s="103"/>
      <c r="J579" s="95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2.75" customHeight="1" x14ac:dyDescent="0.3">
      <c r="A580" s="69"/>
      <c r="B580" s="69"/>
      <c r="C580" s="69"/>
      <c r="D580" s="69"/>
      <c r="E580" s="69"/>
      <c r="F580" s="103"/>
      <c r="G580" s="103"/>
      <c r="H580" s="103"/>
      <c r="I580" s="103"/>
      <c r="J580" s="95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2.75" customHeight="1" x14ac:dyDescent="0.3">
      <c r="A581" s="69"/>
      <c r="B581" s="69"/>
      <c r="C581" s="69"/>
      <c r="D581" s="69"/>
      <c r="E581" s="69"/>
      <c r="F581" s="103"/>
      <c r="G581" s="103"/>
      <c r="H581" s="103"/>
      <c r="I581" s="103"/>
      <c r="J581" s="95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2.75" customHeight="1" x14ac:dyDescent="0.3">
      <c r="A582" s="69"/>
      <c r="B582" s="69"/>
      <c r="C582" s="69"/>
      <c r="D582" s="69"/>
      <c r="E582" s="69"/>
      <c r="F582" s="103"/>
      <c r="G582" s="103"/>
      <c r="H582" s="103"/>
      <c r="I582" s="103"/>
      <c r="J582" s="95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2.75" customHeight="1" x14ac:dyDescent="0.3">
      <c r="A583" s="69"/>
      <c r="B583" s="69"/>
      <c r="C583" s="69"/>
      <c r="D583" s="69"/>
      <c r="E583" s="69"/>
      <c r="F583" s="103"/>
      <c r="G583" s="103"/>
      <c r="H583" s="103"/>
      <c r="I583" s="103"/>
      <c r="J583" s="95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2.75" customHeight="1" x14ac:dyDescent="0.3">
      <c r="A584" s="69"/>
      <c r="B584" s="69"/>
      <c r="C584" s="69"/>
      <c r="D584" s="69"/>
      <c r="E584" s="69"/>
      <c r="F584" s="103"/>
      <c r="G584" s="103"/>
      <c r="H584" s="103"/>
      <c r="I584" s="103"/>
      <c r="J584" s="95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2.75" customHeight="1" x14ac:dyDescent="0.3">
      <c r="A585" s="69"/>
      <c r="B585" s="69"/>
      <c r="C585" s="69"/>
      <c r="D585" s="69"/>
      <c r="E585" s="69"/>
      <c r="F585" s="103"/>
      <c r="G585" s="103"/>
      <c r="H585" s="103"/>
      <c r="I585" s="103"/>
      <c r="J585" s="95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2.75" customHeight="1" x14ac:dyDescent="0.3">
      <c r="A586" s="69"/>
      <c r="B586" s="69"/>
      <c r="C586" s="69"/>
      <c r="D586" s="69"/>
      <c r="E586" s="69"/>
      <c r="F586" s="103"/>
      <c r="G586" s="103"/>
      <c r="H586" s="103"/>
      <c r="I586" s="103"/>
      <c r="J586" s="95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2.75" customHeight="1" x14ac:dyDescent="0.3">
      <c r="A587" s="69"/>
      <c r="B587" s="69"/>
      <c r="C587" s="69"/>
      <c r="D587" s="69"/>
      <c r="E587" s="69"/>
      <c r="F587" s="103"/>
      <c r="G587" s="103"/>
      <c r="H587" s="103"/>
      <c r="I587" s="103"/>
      <c r="J587" s="95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2.75" customHeight="1" x14ac:dyDescent="0.3">
      <c r="A588" s="69"/>
      <c r="B588" s="69"/>
      <c r="C588" s="69"/>
      <c r="D588" s="69"/>
      <c r="E588" s="69"/>
      <c r="F588" s="103"/>
      <c r="G588" s="103"/>
      <c r="H588" s="103"/>
      <c r="I588" s="103"/>
      <c r="J588" s="95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2.75" customHeight="1" x14ac:dyDescent="0.3">
      <c r="A589" s="69"/>
      <c r="B589" s="69"/>
      <c r="C589" s="69"/>
      <c r="D589" s="69"/>
      <c r="E589" s="69"/>
      <c r="F589" s="103"/>
      <c r="G589" s="103"/>
      <c r="H589" s="103"/>
      <c r="I589" s="103"/>
      <c r="J589" s="95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2.75" customHeight="1" x14ac:dyDescent="0.3">
      <c r="A590" s="69"/>
      <c r="B590" s="69"/>
      <c r="C590" s="69"/>
      <c r="D590" s="69"/>
      <c r="E590" s="69"/>
      <c r="F590" s="103"/>
      <c r="G590" s="103"/>
      <c r="H590" s="103"/>
      <c r="I590" s="103"/>
      <c r="J590" s="95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2.75" customHeight="1" x14ac:dyDescent="0.3">
      <c r="A591" s="69"/>
      <c r="B591" s="69"/>
      <c r="C591" s="69"/>
      <c r="D591" s="69"/>
      <c r="E591" s="69"/>
      <c r="F591" s="103"/>
      <c r="G591" s="103"/>
      <c r="H591" s="103"/>
      <c r="I591" s="103"/>
      <c r="J591" s="95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2.75" customHeight="1" x14ac:dyDescent="0.3">
      <c r="A592" s="69"/>
      <c r="B592" s="69"/>
      <c r="C592" s="69"/>
      <c r="D592" s="69"/>
      <c r="E592" s="69"/>
      <c r="F592" s="103"/>
      <c r="G592" s="103"/>
      <c r="H592" s="103"/>
      <c r="I592" s="103"/>
      <c r="J592" s="95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2.75" customHeight="1" x14ac:dyDescent="0.3">
      <c r="A593" s="69"/>
      <c r="B593" s="69"/>
      <c r="C593" s="69"/>
      <c r="D593" s="69"/>
      <c r="E593" s="69"/>
      <c r="F593" s="103"/>
      <c r="G593" s="103"/>
      <c r="H593" s="103"/>
      <c r="I593" s="103"/>
      <c r="J593" s="95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2.75" customHeight="1" x14ac:dyDescent="0.3">
      <c r="A594" s="69"/>
      <c r="B594" s="69"/>
      <c r="C594" s="69"/>
      <c r="D594" s="69"/>
      <c r="E594" s="69"/>
      <c r="F594" s="103"/>
      <c r="G594" s="103"/>
      <c r="H594" s="103"/>
      <c r="I594" s="103"/>
      <c r="J594" s="95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2.75" customHeight="1" x14ac:dyDescent="0.3">
      <c r="A595" s="69"/>
      <c r="B595" s="69"/>
      <c r="C595" s="69"/>
      <c r="D595" s="69"/>
      <c r="E595" s="69"/>
      <c r="F595" s="103"/>
      <c r="G595" s="103"/>
      <c r="H595" s="103"/>
      <c r="I595" s="103"/>
      <c r="J595" s="95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2.75" customHeight="1" x14ac:dyDescent="0.3">
      <c r="A596" s="69"/>
      <c r="B596" s="69"/>
      <c r="C596" s="69"/>
      <c r="D596" s="69"/>
      <c r="E596" s="69"/>
      <c r="F596" s="103"/>
      <c r="G596" s="103"/>
      <c r="H596" s="103"/>
      <c r="I596" s="103"/>
      <c r="J596" s="95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2.75" customHeight="1" x14ac:dyDescent="0.3">
      <c r="A597" s="69"/>
      <c r="B597" s="69"/>
      <c r="C597" s="69"/>
      <c r="D597" s="69"/>
      <c r="E597" s="69"/>
      <c r="F597" s="103"/>
      <c r="G597" s="103"/>
      <c r="H597" s="103"/>
      <c r="I597" s="103"/>
      <c r="J597" s="95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2.75" customHeight="1" x14ac:dyDescent="0.3">
      <c r="A598" s="69"/>
      <c r="B598" s="69"/>
      <c r="C598" s="69"/>
      <c r="D598" s="69"/>
      <c r="E598" s="69"/>
      <c r="F598" s="103"/>
      <c r="G598" s="103"/>
      <c r="H598" s="103"/>
      <c r="I598" s="103"/>
      <c r="J598" s="95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2.75" customHeight="1" x14ac:dyDescent="0.3">
      <c r="A599" s="69"/>
      <c r="B599" s="69"/>
      <c r="C599" s="69"/>
      <c r="D599" s="69"/>
      <c r="E599" s="69"/>
      <c r="F599" s="103"/>
      <c r="G599" s="103"/>
      <c r="H599" s="103"/>
      <c r="I599" s="103"/>
      <c r="J599" s="95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2.75" customHeight="1" x14ac:dyDescent="0.3">
      <c r="A600" s="69"/>
      <c r="B600" s="69"/>
      <c r="C600" s="69"/>
      <c r="D600" s="69"/>
      <c r="E600" s="69"/>
      <c r="F600" s="103"/>
      <c r="G600" s="103"/>
      <c r="H600" s="103"/>
      <c r="I600" s="103"/>
      <c r="J600" s="95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2.75" customHeight="1" x14ac:dyDescent="0.3">
      <c r="A601" s="69"/>
      <c r="B601" s="69"/>
      <c r="C601" s="69"/>
      <c r="D601" s="69"/>
      <c r="E601" s="69"/>
      <c r="F601" s="103"/>
      <c r="G601" s="103"/>
      <c r="H601" s="103"/>
      <c r="I601" s="103"/>
      <c r="J601" s="95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2.75" customHeight="1" x14ac:dyDescent="0.3">
      <c r="A602" s="69"/>
      <c r="B602" s="69"/>
      <c r="C602" s="69"/>
      <c r="D602" s="69"/>
      <c r="E602" s="69"/>
      <c r="F602" s="103"/>
      <c r="G602" s="103"/>
      <c r="H602" s="103"/>
      <c r="I602" s="103"/>
      <c r="J602" s="95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2.75" customHeight="1" x14ac:dyDescent="0.3">
      <c r="A603" s="69"/>
      <c r="B603" s="69"/>
      <c r="C603" s="69"/>
      <c r="D603" s="69"/>
      <c r="E603" s="69"/>
      <c r="F603" s="103"/>
      <c r="G603" s="103"/>
      <c r="H603" s="103"/>
      <c r="I603" s="103"/>
      <c r="J603" s="95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2.75" customHeight="1" x14ac:dyDescent="0.3">
      <c r="A604" s="69"/>
      <c r="B604" s="69"/>
      <c r="C604" s="69"/>
      <c r="D604" s="69"/>
      <c r="E604" s="69"/>
      <c r="F604" s="103"/>
      <c r="G604" s="103"/>
      <c r="H604" s="103"/>
      <c r="I604" s="103"/>
      <c r="J604" s="95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2.75" customHeight="1" x14ac:dyDescent="0.3">
      <c r="A605" s="69"/>
      <c r="B605" s="69"/>
      <c r="C605" s="69"/>
      <c r="D605" s="69"/>
      <c r="E605" s="69"/>
      <c r="F605" s="103"/>
      <c r="G605" s="103"/>
      <c r="H605" s="103"/>
      <c r="I605" s="103"/>
      <c r="J605" s="95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2.75" customHeight="1" x14ac:dyDescent="0.3">
      <c r="A606" s="69"/>
      <c r="B606" s="69"/>
      <c r="C606" s="69"/>
      <c r="D606" s="69"/>
      <c r="E606" s="69"/>
      <c r="F606" s="103"/>
      <c r="G606" s="103"/>
      <c r="H606" s="103"/>
      <c r="I606" s="103"/>
      <c r="J606" s="95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2.75" customHeight="1" x14ac:dyDescent="0.3">
      <c r="A607" s="69"/>
      <c r="B607" s="69"/>
      <c r="C607" s="69"/>
      <c r="D607" s="69"/>
      <c r="E607" s="69"/>
      <c r="F607" s="103"/>
      <c r="G607" s="103"/>
      <c r="H607" s="103"/>
      <c r="I607" s="103"/>
      <c r="J607" s="95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2.75" customHeight="1" x14ac:dyDescent="0.3">
      <c r="A608" s="69"/>
      <c r="B608" s="69"/>
      <c r="C608" s="69"/>
      <c r="D608" s="69"/>
      <c r="E608" s="69"/>
      <c r="F608" s="103"/>
      <c r="G608" s="103"/>
      <c r="H608" s="103"/>
      <c r="I608" s="103"/>
      <c r="J608" s="95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2.75" customHeight="1" x14ac:dyDescent="0.3">
      <c r="A609" s="69"/>
      <c r="B609" s="69"/>
      <c r="C609" s="69"/>
      <c r="D609" s="69"/>
      <c r="E609" s="69"/>
      <c r="F609" s="103"/>
      <c r="G609" s="103"/>
      <c r="H609" s="103"/>
      <c r="I609" s="103"/>
      <c r="J609" s="95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2.75" customHeight="1" x14ac:dyDescent="0.3">
      <c r="A610" s="69"/>
      <c r="B610" s="69"/>
      <c r="C610" s="69"/>
      <c r="D610" s="69"/>
      <c r="E610" s="69"/>
      <c r="F610" s="103"/>
      <c r="G610" s="103"/>
      <c r="H610" s="103"/>
      <c r="I610" s="103"/>
      <c r="J610" s="95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2.75" customHeight="1" x14ac:dyDescent="0.3">
      <c r="A611" s="69"/>
      <c r="B611" s="69"/>
      <c r="C611" s="69"/>
      <c r="D611" s="69"/>
      <c r="E611" s="69"/>
      <c r="F611" s="103"/>
      <c r="G611" s="103"/>
      <c r="H611" s="103"/>
      <c r="I611" s="103"/>
      <c r="J611" s="95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2.75" customHeight="1" x14ac:dyDescent="0.3">
      <c r="A612" s="69"/>
      <c r="B612" s="69"/>
      <c r="C612" s="69"/>
      <c r="D612" s="69"/>
      <c r="E612" s="69"/>
      <c r="F612" s="103"/>
      <c r="G612" s="103"/>
      <c r="H612" s="103"/>
      <c r="I612" s="103"/>
      <c r="J612" s="95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2.75" customHeight="1" x14ac:dyDescent="0.3">
      <c r="A613" s="69"/>
      <c r="B613" s="69"/>
      <c r="C613" s="69"/>
      <c r="D613" s="69"/>
      <c r="E613" s="69"/>
      <c r="F613" s="103"/>
      <c r="G613" s="103"/>
      <c r="H613" s="103"/>
      <c r="I613" s="103"/>
      <c r="J613" s="95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2.75" customHeight="1" x14ac:dyDescent="0.3">
      <c r="A614" s="69"/>
      <c r="B614" s="69"/>
      <c r="C614" s="69"/>
      <c r="D614" s="69"/>
      <c r="E614" s="69"/>
      <c r="F614" s="103"/>
      <c r="G614" s="103"/>
      <c r="H614" s="103"/>
      <c r="I614" s="103"/>
      <c r="J614" s="95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2.75" customHeight="1" x14ac:dyDescent="0.3">
      <c r="A615" s="69"/>
      <c r="B615" s="69"/>
      <c r="C615" s="69"/>
      <c r="D615" s="69"/>
      <c r="E615" s="69"/>
      <c r="F615" s="103"/>
      <c r="G615" s="103"/>
      <c r="H615" s="103"/>
      <c r="I615" s="103"/>
      <c r="J615" s="95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2.75" customHeight="1" x14ac:dyDescent="0.3">
      <c r="A616" s="69"/>
      <c r="B616" s="69"/>
      <c r="C616" s="69"/>
      <c r="D616" s="69"/>
      <c r="E616" s="69"/>
      <c r="F616" s="103"/>
      <c r="G616" s="103"/>
      <c r="H616" s="103"/>
      <c r="I616" s="103"/>
      <c r="J616" s="95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2.75" customHeight="1" x14ac:dyDescent="0.3">
      <c r="A617" s="69"/>
      <c r="B617" s="69"/>
      <c r="C617" s="69"/>
      <c r="D617" s="69"/>
      <c r="E617" s="69"/>
      <c r="F617" s="103"/>
      <c r="G617" s="103"/>
      <c r="H617" s="103"/>
      <c r="I617" s="103"/>
      <c r="J617" s="95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2.75" customHeight="1" x14ac:dyDescent="0.3">
      <c r="A618" s="69"/>
      <c r="B618" s="69"/>
      <c r="C618" s="69"/>
      <c r="D618" s="69"/>
      <c r="E618" s="69"/>
      <c r="F618" s="103"/>
      <c r="G618" s="103"/>
      <c r="H618" s="103"/>
      <c r="I618" s="103"/>
      <c r="J618" s="95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2.75" customHeight="1" x14ac:dyDescent="0.3">
      <c r="A619" s="69"/>
      <c r="B619" s="69"/>
      <c r="C619" s="69"/>
      <c r="D619" s="69"/>
      <c r="E619" s="69"/>
      <c r="F619" s="103"/>
      <c r="G619" s="103"/>
      <c r="H619" s="103"/>
      <c r="I619" s="103"/>
      <c r="J619" s="95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2.75" customHeight="1" x14ac:dyDescent="0.3">
      <c r="A620" s="69"/>
      <c r="B620" s="69"/>
      <c r="C620" s="69"/>
      <c r="D620" s="69"/>
      <c r="E620" s="69"/>
      <c r="F620" s="103"/>
      <c r="G620" s="103"/>
      <c r="H620" s="103"/>
      <c r="I620" s="103"/>
      <c r="J620" s="95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2.75" customHeight="1" x14ac:dyDescent="0.3">
      <c r="A621" s="69"/>
      <c r="B621" s="69"/>
      <c r="C621" s="69"/>
      <c r="D621" s="69"/>
      <c r="E621" s="69"/>
      <c r="F621" s="103"/>
      <c r="G621" s="103"/>
      <c r="H621" s="103"/>
      <c r="I621" s="103"/>
      <c r="J621" s="95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2.75" customHeight="1" x14ac:dyDescent="0.3">
      <c r="A622" s="69"/>
      <c r="B622" s="69"/>
      <c r="C622" s="69"/>
      <c r="D622" s="69"/>
      <c r="E622" s="69"/>
      <c r="F622" s="103"/>
      <c r="G622" s="103"/>
      <c r="H622" s="103"/>
      <c r="I622" s="103"/>
      <c r="J622" s="95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2.75" customHeight="1" x14ac:dyDescent="0.3">
      <c r="A623" s="69"/>
      <c r="B623" s="69"/>
      <c r="C623" s="69"/>
      <c r="D623" s="69"/>
      <c r="E623" s="69"/>
      <c r="F623" s="103"/>
      <c r="G623" s="103"/>
      <c r="H623" s="103"/>
      <c r="I623" s="103"/>
      <c r="J623" s="95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2.75" customHeight="1" x14ac:dyDescent="0.3">
      <c r="A624" s="69"/>
      <c r="B624" s="69"/>
      <c r="C624" s="69"/>
      <c r="D624" s="69"/>
      <c r="E624" s="69"/>
      <c r="F624" s="103"/>
      <c r="G624" s="103"/>
      <c r="H624" s="103"/>
      <c r="I624" s="103"/>
      <c r="J624" s="95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2.75" customHeight="1" x14ac:dyDescent="0.3">
      <c r="A625" s="69"/>
      <c r="B625" s="69"/>
      <c r="C625" s="69"/>
      <c r="D625" s="69"/>
      <c r="E625" s="69"/>
      <c r="F625" s="103"/>
      <c r="G625" s="103"/>
      <c r="H625" s="103"/>
      <c r="I625" s="103"/>
      <c r="J625" s="95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2.75" customHeight="1" x14ac:dyDescent="0.3">
      <c r="A626" s="69"/>
      <c r="B626" s="69"/>
      <c r="C626" s="69"/>
      <c r="D626" s="69"/>
      <c r="E626" s="69"/>
      <c r="F626" s="103"/>
      <c r="G626" s="103"/>
      <c r="H626" s="103"/>
      <c r="I626" s="103"/>
      <c r="J626" s="95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2.75" customHeight="1" x14ac:dyDescent="0.3">
      <c r="A627" s="69"/>
      <c r="B627" s="69"/>
      <c r="C627" s="69"/>
      <c r="D627" s="69"/>
      <c r="E627" s="69"/>
      <c r="F627" s="103"/>
      <c r="G627" s="103"/>
      <c r="H627" s="103"/>
      <c r="I627" s="103"/>
      <c r="J627" s="95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2.75" customHeight="1" x14ac:dyDescent="0.3">
      <c r="A628" s="69"/>
      <c r="B628" s="69"/>
      <c r="C628" s="69"/>
      <c r="D628" s="69"/>
      <c r="E628" s="69"/>
      <c r="F628" s="103"/>
      <c r="G628" s="103"/>
      <c r="H628" s="103"/>
      <c r="I628" s="103"/>
      <c r="J628" s="95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2.75" customHeight="1" x14ac:dyDescent="0.3">
      <c r="A629" s="69"/>
      <c r="B629" s="69"/>
      <c r="C629" s="69"/>
      <c r="D629" s="69"/>
      <c r="E629" s="69"/>
      <c r="F629" s="103"/>
      <c r="G629" s="103"/>
      <c r="H629" s="103"/>
      <c r="I629" s="103"/>
      <c r="J629" s="95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2.75" customHeight="1" x14ac:dyDescent="0.3">
      <c r="A630" s="69"/>
      <c r="B630" s="69"/>
      <c r="C630" s="69"/>
      <c r="D630" s="69"/>
      <c r="E630" s="69"/>
      <c r="F630" s="103"/>
      <c r="G630" s="103"/>
      <c r="H630" s="103"/>
      <c r="I630" s="103"/>
      <c r="J630" s="95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2.75" customHeight="1" x14ac:dyDescent="0.3">
      <c r="A631" s="69"/>
      <c r="B631" s="69"/>
      <c r="C631" s="69"/>
      <c r="D631" s="69"/>
      <c r="E631" s="69"/>
      <c r="F631" s="103"/>
      <c r="G631" s="103"/>
      <c r="H631" s="103"/>
      <c r="I631" s="103"/>
      <c r="J631" s="95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2.75" customHeight="1" x14ac:dyDescent="0.3">
      <c r="A632" s="69"/>
      <c r="B632" s="69"/>
      <c r="C632" s="69"/>
      <c r="D632" s="69"/>
      <c r="E632" s="69"/>
      <c r="F632" s="103"/>
      <c r="G632" s="103"/>
      <c r="H632" s="103"/>
      <c r="I632" s="103"/>
      <c r="J632" s="95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2.75" customHeight="1" x14ac:dyDescent="0.3">
      <c r="A633" s="69"/>
      <c r="B633" s="69"/>
      <c r="C633" s="69"/>
      <c r="D633" s="69"/>
      <c r="E633" s="69"/>
      <c r="F633" s="103"/>
      <c r="G633" s="103"/>
      <c r="H633" s="103"/>
      <c r="I633" s="103"/>
      <c r="J633" s="95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2.75" customHeight="1" x14ac:dyDescent="0.3">
      <c r="A634" s="69"/>
      <c r="B634" s="69"/>
      <c r="C634" s="69"/>
      <c r="D634" s="69"/>
      <c r="E634" s="69"/>
      <c r="F634" s="103"/>
      <c r="G634" s="103"/>
      <c r="H634" s="103"/>
      <c r="I634" s="103"/>
      <c r="J634" s="95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2.75" customHeight="1" x14ac:dyDescent="0.3">
      <c r="A635" s="69"/>
      <c r="B635" s="69"/>
      <c r="C635" s="69"/>
      <c r="D635" s="69"/>
      <c r="E635" s="69"/>
      <c r="F635" s="103"/>
      <c r="G635" s="103"/>
      <c r="H635" s="103"/>
      <c r="I635" s="103"/>
      <c r="J635" s="95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2.75" customHeight="1" x14ac:dyDescent="0.3">
      <c r="A636" s="69"/>
      <c r="B636" s="69"/>
      <c r="C636" s="69"/>
      <c r="D636" s="69"/>
      <c r="E636" s="69"/>
      <c r="F636" s="103"/>
      <c r="G636" s="103"/>
      <c r="H636" s="103"/>
      <c r="I636" s="103"/>
      <c r="J636" s="95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2.75" customHeight="1" x14ac:dyDescent="0.3">
      <c r="A637" s="69"/>
      <c r="B637" s="69"/>
      <c r="C637" s="69"/>
      <c r="D637" s="69"/>
      <c r="E637" s="69"/>
      <c r="F637" s="103"/>
      <c r="G637" s="103"/>
      <c r="H637" s="103"/>
      <c r="I637" s="103"/>
      <c r="J637" s="95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2.75" customHeight="1" x14ac:dyDescent="0.3">
      <c r="A638" s="69"/>
      <c r="B638" s="69"/>
      <c r="C638" s="69"/>
      <c r="D638" s="69"/>
      <c r="E638" s="69"/>
      <c r="F638" s="103"/>
      <c r="G638" s="103"/>
      <c r="H638" s="103"/>
      <c r="I638" s="103"/>
      <c r="J638" s="95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2.75" customHeight="1" x14ac:dyDescent="0.3">
      <c r="A639" s="69"/>
      <c r="B639" s="69"/>
      <c r="C639" s="69"/>
      <c r="D639" s="69"/>
      <c r="E639" s="69"/>
      <c r="F639" s="103"/>
      <c r="G639" s="103"/>
      <c r="H639" s="103"/>
      <c r="I639" s="103"/>
      <c r="J639" s="95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2.75" customHeight="1" x14ac:dyDescent="0.3">
      <c r="A640" s="69"/>
      <c r="B640" s="69"/>
      <c r="C640" s="69"/>
      <c r="D640" s="69"/>
      <c r="E640" s="69"/>
      <c r="F640" s="103"/>
      <c r="G640" s="103"/>
      <c r="H640" s="103"/>
      <c r="I640" s="103"/>
      <c r="J640" s="95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2.75" customHeight="1" x14ac:dyDescent="0.3">
      <c r="A641" s="69"/>
      <c r="B641" s="69"/>
      <c r="C641" s="69"/>
      <c r="D641" s="69"/>
      <c r="E641" s="69"/>
      <c r="F641" s="103"/>
      <c r="G641" s="103"/>
      <c r="H641" s="103"/>
      <c r="I641" s="103"/>
      <c r="J641" s="95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2.75" customHeight="1" x14ac:dyDescent="0.3">
      <c r="A642" s="69"/>
      <c r="B642" s="69"/>
      <c r="C642" s="69"/>
      <c r="D642" s="69"/>
      <c r="E642" s="69"/>
      <c r="F642" s="103"/>
      <c r="G642" s="103"/>
      <c r="H642" s="103"/>
      <c r="I642" s="103"/>
      <c r="J642" s="95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2.75" customHeight="1" x14ac:dyDescent="0.3">
      <c r="A643" s="69"/>
      <c r="B643" s="69"/>
      <c r="C643" s="69"/>
      <c r="D643" s="69"/>
      <c r="E643" s="69"/>
      <c r="F643" s="103"/>
      <c r="G643" s="103"/>
      <c r="H643" s="103"/>
      <c r="I643" s="103"/>
      <c r="J643" s="95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2.75" customHeight="1" x14ac:dyDescent="0.3">
      <c r="A644" s="69"/>
      <c r="B644" s="69"/>
      <c r="C644" s="69"/>
      <c r="D644" s="69"/>
      <c r="E644" s="69"/>
      <c r="F644" s="103"/>
      <c r="G644" s="103"/>
      <c r="H644" s="103"/>
      <c r="I644" s="103"/>
      <c r="J644" s="95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2.75" customHeight="1" x14ac:dyDescent="0.3">
      <c r="A645" s="69"/>
      <c r="B645" s="69"/>
      <c r="C645" s="69"/>
      <c r="D645" s="69"/>
      <c r="E645" s="69"/>
      <c r="F645" s="103"/>
      <c r="G645" s="103"/>
      <c r="H645" s="103"/>
      <c r="I645" s="103"/>
      <c r="J645" s="95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2.75" customHeight="1" x14ac:dyDescent="0.3">
      <c r="A646" s="69"/>
      <c r="B646" s="69"/>
      <c r="C646" s="69"/>
      <c r="D646" s="69"/>
      <c r="E646" s="69"/>
      <c r="F646" s="103"/>
      <c r="G646" s="103"/>
      <c r="H646" s="103"/>
      <c r="I646" s="103"/>
      <c r="J646" s="95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2.75" customHeight="1" x14ac:dyDescent="0.3">
      <c r="A647" s="69"/>
      <c r="B647" s="69"/>
      <c r="C647" s="69"/>
      <c r="D647" s="69"/>
      <c r="E647" s="69"/>
      <c r="F647" s="103"/>
      <c r="G647" s="103"/>
      <c r="H647" s="103"/>
      <c r="I647" s="103"/>
      <c r="J647" s="95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2.75" customHeight="1" x14ac:dyDescent="0.3">
      <c r="A648" s="69"/>
      <c r="B648" s="69"/>
      <c r="C648" s="69"/>
      <c r="D648" s="69"/>
      <c r="E648" s="69"/>
      <c r="F648" s="103"/>
      <c r="G648" s="103"/>
      <c r="H648" s="103"/>
      <c r="I648" s="103"/>
      <c r="J648" s="95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2.75" customHeight="1" x14ac:dyDescent="0.3">
      <c r="A649" s="69"/>
      <c r="B649" s="69"/>
      <c r="C649" s="69"/>
      <c r="D649" s="69"/>
      <c r="E649" s="69"/>
      <c r="F649" s="103"/>
      <c r="G649" s="103"/>
      <c r="H649" s="103"/>
      <c r="I649" s="103"/>
      <c r="J649" s="95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2.75" customHeight="1" x14ac:dyDescent="0.3">
      <c r="A650" s="69"/>
      <c r="B650" s="69"/>
      <c r="C650" s="69"/>
      <c r="D650" s="69"/>
      <c r="E650" s="69"/>
      <c r="F650" s="103"/>
      <c r="G650" s="103"/>
      <c r="H650" s="103"/>
      <c r="I650" s="103"/>
      <c r="J650" s="95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2.75" customHeight="1" x14ac:dyDescent="0.3">
      <c r="A651" s="69"/>
      <c r="B651" s="69"/>
      <c r="C651" s="69"/>
      <c r="D651" s="69"/>
      <c r="E651" s="69"/>
      <c r="F651" s="103"/>
      <c r="G651" s="103"/>
      <c r="H651" s="103"/>
      <c r="I651" s="103"/>
      <c r="J651" s="95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2.75" customHeight="1" x14ac:dyDescent="0.3">
      <c r="A652" s="69"/>
      <c r="B652" s="69"/>
      <c r="C652" s="69"/>
      <c r="D652" s="69"/>
      <c r="E652" s="69"/>
      <c r="F652" s="103"/>
      <c r="G652" s="103"/>
      <c r="H652" s="103"/>
      <c r="I652" s="103"/>
      <c r="J652" s="95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2.75" customHeight="1" x14ac:dyDescent="0.3">
      <c r="A653" s="69"/>
      <c r="B653" s="69"/>
      <c r="C653" s="69"/>
      <c r="D653" s="69"/>
      <c r="E653" s="69"/>
      <c r="F653" s="103"/>
      <c r="G653" s="103"/>
      <c r="H653" s="103"/>
      <c r="I653" s="103"/>
      <c r="J653" s="95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2.75" customHeight="1" x14ac:dyDescent="0.3">
      <c r="A654" s="69"/>
      <c r="B654" s="69"/>
      <c r="C654" s="69"/>
      <c r="D654" s="69"/>
      <c r="E654" s="69"/>
      <c r="F654" s="103"/>
      <c r="G654" s="103"/>
      <c r="H654" s="103"/>
      <c r="I654" s="103"/>
      <c r="J654" s="95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2.75" customHeight="1" x14ac:dyDescent="0.3">
      <c r="A655" s="69"/>
      <c r="B655" s="69"/>
      <c r="C655" s="69"/>
      <c r="D655" s="69"/>
      <c r="E655" s="69"/>
      <c r="F655" s="103"/>
      <c r="G655" s="103"/>
      <c r="H655" s="103"/>
      <c r="I655" s="103"/>
      <c r="J655" s="95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2.75" customHeight="1" x14ac:dyDescent="0.3">
      <c r="A656" s="69"/>
      <c r="B656" s="69"/>
      <c r="C656" s="69"/>
      <c r="D656" s="69"/>
      <c r="E656" s="69"/>
      <c r="F656" s="103"/>
      <c r="G656" s="103"/>
      <c r="H656" s="103"/>
      <c r="I656" s="103"/>
      <c r="J656" s="95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2.75" customHeight="1" x14ac:dyDescent="0.3">
      <c r="A657" s="69"/>
      <c r="B657" s="69"/>
      <c r="C657" s="69"/>
      <c r="D657" s="69"/>
      <c r="E657" s="69"/>
      <c r="F657" s="103"/>
      <c r="G657" s="103"/>
      <c r="H657" s="103"/>
      <c r="I657" s="103"/>
      <c r="J657" s="95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2.75" customHeight="1" x14ac:dyDescent="0.3">
      <c r="A658" s="69"/>
      <c r="B658" s="69"/>
      <c r="C658" s="69"/>
      <c r="D658" s="69"/>
      <c r="E658" s="69"/>
      <c r="F658" s="103"/>
      <c r="G658" s="103"/>
      <c r="H658" s="103"/>
      <c r="I658" s="103"/>
      <c r="J658" s="95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2.75" customHeight="1" x14ac:dyDescent="0.3">
      <c r="A659" s="69"/>
      <c r="B659" s="69"/>
      <c r="C659" s="69"/>
      <c r="D659" s="69"/>
      <c r="E659" s="69"/>
      <c r="F659" s="103"/>
      <c r="G659" s="103"/>
      <c r="H659" s="103"/>
      <c r="I659" s="103"/>
      <c r="J659" s="95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2.75" customHeight="1" x14ac:dyDescent="0.3">
      <c r="A660" s="69"/>
      <c r="B660" s="69"/>
      <c r="C660" s="69"/>
      <c r="D660" s="69"/>
      <c r="E660" s="69"/>
      <c r="F660" s="103"/>
      <c r="G660" s="103"/>
      <c r="H660" s="103"/>
      <c r="I660" s="103"/>
      <c r="J660" s="95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2.75" customHeight="1" x14ac:dyDescent="0.3">
      <c r="A661" s="69"/>
      <c r="B661" s="69"/>
      <c r="C661" s="69"/>
      <c r="D661" s="69"/>
      <c r="E661" s="69"/>
      <c r="F661" s="103"/>
      <c r="G661" s="103"/>
      <c r="H661" s="103"/>
      <c r="I661" s="103"/>
      <c r="J661" s="95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2.75" customHeight="1" x14ac:dyDescent="0.3">
      <c r="A662" s="69"/>
      <c r="B662" s="69"/>
      <c r="C662" s="69"/>
      <c r="D662" s="69"/>
      <c r="E662" s="69"/>
      <c r="F662" s="103"/>
      <c r="G662" s="103"/>
      <c r="H662" s="103"/>
      <c r="I662" s="103"/>
      <c r="J662" s="95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2.75" customHeight="1" x14ac:dyDescent="0.3">
      <c r="A663" s="69"/>
      <c r="B663" s="69"/>
      <c r="C663" s="69"/>
      <c r="D663" s="69"/>
      <c r="E663" s="69"/>
      <c r="F663" s="103"/>
      <c r="G663" s="103"/>
      <c r="H663" s="103"/>
      <c r="I663" s="103"/>
      <c r="J663" s="95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2.75" customHeight="1" x14ac:dyDescent="0.3">
      <c r="A664" s="69"/>
      <c r="B664" s="69"/>
      <c r="C664" s="69"/>
      <c r="D664" s="69"/>
      <c r="E664" s="69"/>
      <c r="F664" s="103"/>
      <c r="G664" s="103"/>
      <c r="H664" s="103"/>
      <c r="I664" s="103"/>
      <c r="J664" s="95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2.75" customHeight="1" x14ac:dyDescent="0.3">
      <c r="A665" s="69"/>
      <c r="B665" s="69"/>
      <c r="C665" s="69"/>
      <c r="D665" s="69"/>
      <c r="E665" s="69"/>
      <c r="F665" s="103"/>
      <c r="G665" s="103"/>
      <c r="H665" s="103"/>
      <c r="I665" s="103"/>
      <c r="J665" s="95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2.75" customHeight="1" x14ac:dyDescent="0.3">
      <c r="A666" s="69"/>
      <c r="B666" s="69"/>
      <c r="C666" s="69"/>
      <c r="D666" s="69"/>
      <c r="E666" s="69"/>
      <c r="F666" s="103"/>
      <c r="G666" s="103"/>
      <c r="H666" s="103"/>
      <c r="I666" s="103"/>
      <c r="J666" s="95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2.75" customHeight="1" x14ac:dyDescent="0.3">
      <c r="A667" s="69"/>
      <c r="B667" s="69"/>
      <c r="C667" s="69"/>
      <c r="D667" s="69"/>
      <c r="E667" s="69"/>
      <c r="F667" s="103"/>
      <c r="G667" s="103"/>
      <c r="H667" s="103"/>
      <c r="I667" s="103"/>
      <c r="J667" s="95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2.75" customHeight="1" x14ac:dyDescent="0.3">
      <c r="A668" s="69"/>
      <c r="B668" s="69"/>
      <c r="C668" s="69"/>
      <c r="D668" s="69"/>
      <c r="E668" s="69"/>
      <c r="F668" s="103"/>
      <c r="G668" s="103"/>
      <c r="H668" s="103"/>
      <c r="I668" s="103"/>
      <c r="J668" s="95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2.75" customHeight="1" x14ac:dyDescent="0.3">
      <c r="A669" s="69"/>
      <c r="B669" s="69"/>
      <c r="C669" s="69"/>
      <c r="D669" s="69"/>
      <c r="E669" s="69"/>
      <c r="F669" s="103"/>
      <c r="G669" s="103"/>
      <c r="H669" s="103"/>
      <c r="I669" s="103"/>
      <c r="J669" s="95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2.75" customHeight="1" x14ac:dyDescent="0.3">
      <c r="A670" s="69"/>
      <c r="B670" s="69"/>
      <c r="C670" s="69"/>
      <c r="D670" s="69"/>
      <c r="E670" s="69"/>
      <c r="F670" s="103"/>
      <c r="G670" s="103"/>
      <c r="H670" s="103"/>
      <c r="I670" s="103"/>
      <c r="J670" s="95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2.75" customHeight="1" x14ac:dyDescent="0.3">
      <c r="A671" s="69"/>
      <c r="B671" s="69"/>
      <c r="C671" s="69"/>
      <c r="D671" s="69"/>
      <c r="E671" s="69"/>
      <c r="F671" s="103"/>
      <c r="G671" s="103"/>
      <c r="H671" s="103"/>
      <c r="I671" s="103"/>
      <c r="J671" s="95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2.75" customHeight="1" x14ac:dyDescent="0.3">
      <c r="A672" s="69"/>
      <c r="B672" s="69"/>
      <c r="C672" s="69"/>
      <c r="D672" s="69"/>
      <c r="E672" s="69"/>
      <c r="F672" s="103"/>
      <c r="G672" s="103"/>
      <c r="H672" s="103"/>
      <c r="I672" s="103"/>
      <c r="J672" s="95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2.75" customHeight="1" x14ac:dyDescent="0.3">
      <c r="A673" s="69"/>
      <c r="B673" s="69"/>
      <c r="C673" s="69"/>
      <c r="D673" s="69"/>
      <c r="E673" s="69"/>
      <c r="F673" s="103"/>
      <c r="G673" s="103"/>
      <c r="H673" s="103"/>
      <c r="I673" s="103"/>
      <c r="J673" s="95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2.75" customHeight="1" x14ac:dyDescent="0.3">
      <c r="A674" s="69"/>
      <c r="B674" s="69"/>
      <c r="C674" s="69"/>
      <c r="D674" s="69"/>
      <c r="E674" s="69"/>
      <c r="F674" s="103"/>
      <c r="G674" s="103"/>
      <c r="H674" s="103"/>
      <c r="I674" s="103"/>
      <c r="J674" s="95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2.75" customHeight="1" x14ac:dyDescent="0.3">
      <c r="A675" s="69"/>
      <c r="B675" s="69"/>
      <c r="C675" s="69"/>
      <c r="D675" s="69"/>
      <c r="E675" s="69"/>
      <c r="F675" s="103"/>
      <c r="G675" s="103"/>
      <c r="H675" s="103"/>
      <c r="I675" s="103"/>
      <c r="J675" s="95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2.75" customHeight="1" x14ac:dyDescent="0.3">
      <c r="A676" s="69"/>
      <c r="B676" s="69"/>
      <c r="C676" s="69"/>
      <c r="D676" s="69"/>
      <c r="E676" s="69"/>
      <c r="F676" s="103"/>
      <c r="G676" s="103"/>
      <c r="H676" s="103"/>
      <c r="I676" s="103"/>
      <c r="J676" s="95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2.75" customHeight="1" x14ac:dyDescent="0.3">
      <c r="A677" s="69"/>
      <c r="B677" s="69"/>
      <c r="C677" s="69"/>
      <c r="D677" s="69"/>
      <c r="E677" s="69"/>
      <c r="F677" s="103"/>
      <c r="G677" s="103"/>
      <c r="H677" s="103"/>
      <c r="I677" s="103"/>
      <c r="J677" s="95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2.75" customHeight="1" x14ac:dyDescent="0.3">
      <c r="A678" s="69"/>
      <c r="B678" s="69"/>
      <c r="C678" s="69"/>
      <c r="D678" s="69"/>
      <c r="E678" s="69"/>
      <c r="F678" s="103"/>
      <c r="G678" s="103"/>
      <c r="H678" s="103"/>
      <c r="I678" s="103"/>
      <c r="J678" s="95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2.75" customHeight="1" x14ac:dyDescent="0.3">
      <c r="A679" s="69"/>
      <c r="B679" s="69"/>
      <c r="C679" s="69"/>
      <c r="D679" s="69"/>
      <c r="E679" s="69"/>
      <c r="F679" s="103"/>
      <c r="G679" s="103"/>
      <c r="H679" s="103"/>
      <c r="I679" s="103"/>
      <c r="J679" s="95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2.75" customHeight="1" x14ac:dyDescent="0.3">
      <c r="A680" s="69"/>
      <c r="B680" s="69"/>
      <c r="C680" s="69"/>
      <c r="D680" s="69"/>
      <c r="E680" s="69"/>
      <c r="F680" s="103"/>
      <c r="G680" s="103"/>
      <c r="H680" s="103"/>
      <c r="I680" s="103"/>
      <c r="J680" s="95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2.75" customHeight="1" x14ac:dyDescent="0.3">
      <c r="A681" s="69"/>
      <c r="B681" s="69"/>
      <c r="C681" s="69"/>
      <c r="D681" s="69"/>
      <c r="E681" s="69"/>
      <c r="F681" s="103"/>
      <c r="G681" s="103"/>
      <c r="H681" s="103"/>
      <c r="I681" s="103"/>
      <c r="J681" s="95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2.75" customHeight="1" x14ac:dyDescent="0.3">
      <c r="A682" s="69"/>
      <c r="B682" s="69"/>
      <c r="C682" s="69"/>
      <c r="D682" s="69"/>
      <c r="E682" s="69"/>
      <c r="F682" s="103"/>
      <c r="G682" s="103"/>
      <c r="H682" s="103"/>
      <c r="I682" s="103"/>
      <c r="J682" s="95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2.75" customHeight="1" x14ac:dyDescent="0.3">
      <c r="A683" s="69"/>
      <c r="B683" s="69"/>
      <c r="C683" s="69"/>
      <c r="D683" s="69"/>
      <c r="E683" s="69"/>
      <c r="F683" s="103"/>
      <c r="G683" s="103"/>
      <c r="H683" s="103"/>
      <c r="I683" s="103"/>
      <c r="J683" s="95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2.75" customHeight="1" x14ac:dyDescent="0.3">
      <c r="A684" s="69"/>
      <c r="B684" s="69"/>
      <c r="C684" s="69"/>
      <c r="D684" s="69"/>
      <c r="E684" s="69"/>
      <c r="F684" s="103"/>
      <c r="G684" s="103"/>
      <c r="H684" s="103"/>
      <c r="I684" s="103"/>
      <c r="J684" s="95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2.75" customHeight="1" x14ac:dyDescent="0.3">
      <c r="A685" s="69"/>
      <c r="B685" s="69"/>
      <c r="C685" s="69"/>
      <c r="D685" s="69"/>
      <c r="E685" s="69"/>
      <c r="F685" s="103"/>
      <c r="G685" s="103"/>
      <c r="H685" s="103"/>
      <c r="I685" s="103"/>
      <c r="J685" s="95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2.75" customHeight="1" x14ac:dyDescent="0.3">
      <c r="A686" s="69"/>
      <c r="B686" s="69"/>
      <c r="C686" s="69"/>
      <c r="D686" s="69"/>
      <c r="E686" s="69"/>
      <c r="F686" s="103"/>
      <c r="G686" s="103"/>
      <c r="H686" s="103"/>
      <c r="I686" s="103"/>
      <c r="J686" s="95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2.75" customHeight="1" x14ac:dyDescent="0.3">
      <c r="A687" s="69"/>
      <c r="B687" s="69"/>
      <c r="C687" s="69"/>
      <c r="D687" s="69"/>
      <c r="E687" s="69"/>
      <c r="F687" s="103"/>
      <c r="G687" s="103"/>
      <c r="H687" s="103"/>
      <c r="I687" s="103"/>
      <c r="J687" s="95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2.75" customHeight="1" x14ac:dyDescent="0.3">
      <c r="A688" s="69"/>
      <c r="B688" s="69"/>
      <c r="C688" s="69"/>
      <c r="D688" s="69"/>
      <c r="E688" s="69"/>
      <c r="F688" s="103"/>
      <c r="G688" s="103"/>
      <c r="H688" s="103"/>
      <c r="I688" s="103"/>
      <c r="J688" s="95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2.75" customHeight="1" x14ac:dyDescent="0.3">
      <c r="A689" s="69"/>
      <c r="B689" s="69"/>
      <c r="C689" s="69"/>
      <c r="D689" s="69"/>
      <c r="E689" s="69"/>
      <c r="F689" s="103"/>
      <c r="G689" s="103"/>
      <c r="H689" s="103"/>
      <c r="I689" s="103"/>
      <c r="J689" s="95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2.75" customHeight="1" x14ac:dyDescent="0.3">
      <c r="A690" s="69"/>
      <c r="B690" s="69"/>
      <c r="C690" s="69"/>
      <c r="D690" s="69"/>
      <c r="E690" s="69"/>
      <c r="F690" s="103"/>
      <c r="G690" s="103"/>
      <c r="H690" s="103"/>
      <c r="I690" s="103"/>
      <c r="J690" s="95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2.75" customHeight="1" x14ac:dyDescent="0.3">
      <c r="A691" s="69"/>
      <c r="B691" s="69"/>
      <c r="C691" s="69"/>
      <c r="D691" s="69"/>
      <c r="E691" s="69"/>
      <c r="F691" s="103"/>
      <c r="G691" s="103"/>
      <c r="H691" s="103"/>
      <c r="I691" s="103"/>
      <c r="J691" s="95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2.75" customHeight="1" x14ac:dyDescent="0.3">
      <c r="A692" s="69"/>
      <c r="B692" s="69"/>
      <c r="C692" s="69"/>
      <c r="D692" s="69"/>
      <c r="E692" s="69"/>
      <c r="F692" s="103"/>
      <c r="G692" s="103"/>
      <c r="H692" s="103"/>
      <c r="I692" s="103"/>
      <c r="J692" s="95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2.75" customHeight="1" x14ac:dyDescent="0.3">
      <c r="A693" s="69"/>
      <c r="B693" s="69"/>
      <c r="C693" s="69"/>
      <c r="D693" s="69"/>
      <c r="E693" s="69"/>
      <c r="F693" s="103"/>
      <c r="G693" s="103"/>
      <c r="H693" s="103"/>
      <c r="I693" s="103"/>
      <c r="J693" s="95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2.75" customHeight="1" x14ac:dyDescent="0.3">
      <c r="A694" s="69"/>
      <c r="B694" s="69"/>
      <c r="C694" s="69"/>
      <c r="D694" s="69"/>
      <c r="E694" s="69"/>
      <c r="F694" s="103"/>
      <c r="G694" s="103"/>
      <c r="H694" s="103"/>
      <c r="I694" s="103"/>
      <c r="J694" s="95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2.75" customHeight="1" x14ac:dyDescent="0.3">
      <c r="A695" s="69"/>
      <c r="B695" s="69"/>
      <c r="C695" s="69"/>
      <c r="D695" s="69"/>
      <c r="E695" s="69"/>
      <c r="F695" s="103"/>
      <c r="G695" s="103"/>
      <c r="H695" s="103"/>
      <c r="I695" s="103"/>
      <c r="J695" s="95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2.75" customHeight="1" x14ac:dyDescent="0.3">
      <c r="A696" s="69"/>
      <c r="B696" s="69"/>
      <c r="C696" s="69"/>
      <c r="D696" s="69"/>
      <c r="E696" s="69"/>
      <c r="F696" s="103"/>
      <c r="G696" s="103"/>
      <c r="H696" s="103"/>
      <c r="I696" s="103"/>
      <c r="J696" s="95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2.75" customHeight="1" x14ac:dyDescent="0.3">
      <c r="A697" s="69"/>
      <c r="B697" s="69"/>
      <c r="C697" s="69"/>
      <c r="D697" s="69"/>
      <c r="E697" s="69"/>
      <c r="F697" s="103"/>
      <c r="G697" s="103"/>
      <c r="H697" s="103"/>
      <c r="I697" s="103"/>
      <c r="J697" s="95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2.75" customHeight="1" x14ac:dyDescent="0.3">
      <c r="A698" s="69"/>
      <c r="B698" s="69"/>
      <c r="C698" s="69"/>
      <c r="D698" s="69"/>
      <c r="E698" s="69"/>
      <c r="F698" s="103"/>
      <c r="G698" s="103"/>
      <c r="H698" s="103"/>
      <c r="I698" s="103"/>
      <c r="J698" s="95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2.75" customHeight="1" x14ac:dyDescent="0.3">
      <c r="A699" s="69"/>
      <c r="B699" s="69"/>
      <c r="C699" s="69"/>
      <c r="D699" s="69"/>
      <c r="E699" s="69"/>
      <c r="F699" s="103"/>
      <c r="G699" s="103"/>
      <c r="H699" s="103"/>
      <c r="I699" s="103"/>
      <c r="J699" s="95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2.75" customHeight="1" x14ac:dyDescent="0.3">
      <c r="A700" s="69"/>
      <c r="B700" s="69"/>
      <c r="C700" s="69"/>
      <c r="D700" s="69"/>
      <c r="E700" s="69"/>
      <c r="F700" s="103"/>
      <c r="G700" s="103"/>
      <c r="H700" s="103"/>
      <c r="I700" s="103"/>
      <c r="J700" s="95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2.75" customHeight="1" x14ac:dyDescent="0.3">
      <c r="A701" s="69"/>
      <c r="B701" s="69"/>
      <c r="C701" s="69"/>
      <c r="D701" s="69"/>
      <c r="E701" s="69"/>
      <c r="F701" s="103"/>
      <c r="G701" s="103"/>
      <c r="H701" s="103"/>
      <c r="I701" s="103"/>
      <c r="J701" s="95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2.75" customHeight="1" x14ac:dyDescent="0.3">
      <c r="A702" s="69"/>
      <c r="B702" s="69"/>
      <c r="C702" s="69"/>
      <c r="D702" s="69"/>
      <c r="E702" s="69"/>
      <c r="F702" s="103"/>
      <c r="G702" s="103"/>
      <c r="H702" s="103"/>
      <c r="I702" s="103"/>
      <c r="J702" s="95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2.75" customHeight="1" x14ac:dyDescent="0.3">
      <c r="A703" s="69"/>
      <c r="B703" s="69"/>
      <c r="C703" s="69"/>
      <c r="D703" s="69"/>
      <c r="E703" s="69"/>
      <c r="F703" s="103"/>
      <c r="G703" s="103"/>
      <c r="H703" s="103"/>
      <c r="I703" s="103"/>
      <c r="J703" s="95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2.75" customHeight="1" x14ac:dyDescent="0.3">
      <c r="A704" s="69"/>
      <c r="B704" s="69"/>
      <c r="C704" s="69"/>
      <c r="D704" s="69"/>
      <c r="E704" s="69"/>
      <c r="F704" s="103"/>
      <c r="G704" s="103"/>
      <c r="H704" s="103"/>
      <c r="I704" s="103"/>
      <c r="J704" s="95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2.75" customHeight="1" x14ac:dyDescent="0.3">
      <c r="A705" s="69"/>
      <c r="B705" s="69"/>
      <c r="C705" s="69"/>
      <c r="D705" s="69"/>
      <c r="E705" s="69"/>
      <c r="F705" s="103"/>
      <c r="G705" s="103"/>
      <c r="H705" s="103"/>
      <c r="I705" s="103"/>
      <c r="J705" s="95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2.75" customHeight="1" x14ac:dyDescent="0.3">
      <c r="A706" s="69"/>
      <c r="B706" s="69"/>
      <c r="C706" s="69"/>
      <c r="D706" s="69"/>
      <c r="E706" s="69"/>
      <c r="F706" s="103"/>
      <c r="G706" s="103"/>
      <c r="H706" s="103"/>
      <c r="I706" s="103"/>
      <c r="J706" s="95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2.75" customHeight="1" x14ac:dyDescent="0.3">
      <c r="A707" s="69"/>
      <c r="B707" s="69"/>
      <c r="C707" s="69"/>
      <c r="D707" s="69"/>
      <c r="E707" s="69"/>
      <c r="F707" s="103"/>
      <c r="G707" s="103"/>
      <c r="H707" s="103"/>
      <c r="I707" s="103"/>
      <c r="J707" s="95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2.75" customHeight="1" x14ac:dyDescent="0.3">
      <c r="A708" s="69"/>
      <c r="B708" s="69"/>
      <c r="C708" s="69"/>
      <c r="D708" s="69"/>
      <c r="E708" s="69"/>
      <c r="F708" s="103"/>
      <c r="G708" s="103"/>
      <c r="H708" s="103"/>
      <c r="I708" s="103"/>
      <c r="J708" s="95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2.75" customHeight="1" x14ac:dyDescent="0.3">
      <c r="A709" s="69"/>
      <c r="B709" s="69"/>
      <c r="C709" s="69"/>
      <c r="D709" s="69"/>
      <c r="E709" s="69"/>
      <c r="F709" s="103"/>
      <c r="G709" s="103"/>
      <c r="H709" s="103"/>
      <c r="I709" s="103"/>
      <c r="J709" s="95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2.75" customHeight="1" x14ac:dyDescent="0.3">
      <c r="A710" s="69"/>
      <c r="B710" s="69"/>
      <c r="C710" s="69"/>
      <c r="D710" s="69"/>
      <c r="E710" s="69"/>
      <c r="F710" s="103"/>
      <c r="G710" s="103"/>
      <c r="H710" s="103"/>
      <c r="I710" s="103"/>
      <c r="J710" s="95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2.75" customHeight="1" x14ac:dyDescent="0.3">
      <c r="A711" s="69"/>
      <c r="B711" s="69"/>
      <c r="C711" s="69"/>
      <c r="D711" s="69"/>
      <c r="E711" s="69"/>
      <c r="F711" s="103"/>
      <c r="G711" s="103"/>
      <c r="H711" s="103"/>
      <c r="I711" s="103"/>
      <c r="J711" s="95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2.75" customHeight="1" x14ac:dyDescent="0.3">
      <c r="A712" s="69"/>
      <c r="B712" s="69"/>
      <c r="C712" s="69"/>
      <c r="D712" s="69"/>
      <c r="E712" s="69"/>
      <c r="F712" s="103"/>
      <c r="G712" s="103"/>
      <c r="H712" s="103"/>
      <c r="I712" s="103"/>
      <c r="J712" s="95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2.75" customHeight="1" x14ac:dyDescent="0.3">
      <c r="A713" s="69"/>
      <c r="B713" s="69"/>
      <c r="C713" s="69"/>
      <c r="D713" s="69"/>
      <c r="E713" s="69"/>
      <c r="F713" s="103"/>
      <c r="G713" s="103"/>
      <c r="H713" s="103"/>
      <c r="I713" s="103"/>
      <c r="J713" s="95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2.75" customHeight="1" x14ac:dyDescent="0.3">
      <c r="A714" s="69"/>
      <c r="B714" s="69"/>
      <c r="C714" s="69"/>
      <c r="D714" s="69"/>
      <c r="E714" s="69"/>
      <c r="F714" s="103"/>
      <c r="G714" s="103"/>
      <c r="H714" s="103"/>
      <c r="I714" s="103"/>
      <c r="J714" s="95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2.75" customHeight="1" x14ac:dyDescent="0.3">
      <c r="A715" s="69"/>
      <c r="B715" s="69"/>
      <c r="C715" s="69"/>
      <c r="D715" s="69"/>
      <c r="E715" s="69"/>
      <c r="F715" s="103"/>
      <c r="G715" s="103"/>
      <c r="H715" s="103"/>
      <c r="I715" s="103"/>
      <c r="J715" s="95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2.75" customHeight="1" x14ac:dyDescent="0.3">
      <c r="A716" s="69"/>
      <c r="B716" s="69"/>
      <c r="C716" s="69"/>
      <c r="D716" s="69"/>
      <c r="E716" s="69"/>
      <c r="F716" s="103"/>
      <c r="G716" s="103"/>
      <c r="H716" s="103"/>
      <c r="I716" s="103"/>
      <c r="J716" s="95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2.75" customHeight="1" x14ac:dyDescent="0.3">
      <c r="A717" s="69"/>
      <c r="B717" s="69"/>
      <c r="C717" s="69"/>
      <c r="D717" s="69"/>
      <c r="E717" s="69"/>
      <c r="F717" s="103"/>
      <c r="G717" s="103"/>
      <c r="H717" s="103"/>
      <c r="I717" s="103"/>
      <c r="J717" s="95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2.75" customHeight="1" x14ac:dyDescent="0.3">
      <c r="A718" s="69"/>
      <c r="B718" s="69"/>
      <c r="C718" s="69"/>
      <c r="D718" s="69"/>
      <c r="E718" s="69"/>
      <c r="F718" s="103"/>
      <c r="G718" s="103"/>
      <c r="H718" s="103"/>
      <c r="I718" s="103"/>
      <c r="J718" s="95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2.75" customHeight="1" x14ac:dyDescent="0.3">
      <c r="A719" s="69"/>
      <c r="B719" s="69"/>
      <c r="C719" s="69"/>
      <c r="D719" s="69"/>
      <c r="E719" s="69"/>
      <c r="F719" s="103"/>
      <c r="G719" s="103"/>
      <c r="H719" s="103"/>
      <c r="I719" s="103"/>
      <c r="J719" s="95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2.75" customHeight="1" x14ac:dyDescent="0.3">
      <c r="A720" s="69"/>
      <c r="B720" s="69"/>
      <c r="C720" s="69"/>
      <c r="D720" s="69"/>
      <c r="E720" s="69"/>
      <c r="F720" s="103"/>
      <c r="G720" s="103"/>
      <c r="H720" s="103"/>
      <c r="I720" s="103"/>
      <c r="J720" s="95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2.75" customHeight="1" x14ac:dyDescent="0.3">
      <c r="A721" s="69"/>
      <c r="B721" s="69"/>
      <c r="C721" s="69"/>
      <c r="D721" s="69"/>
      <c r="E721" s="69"/>
      <c r="F721" s="103"/>
      <c r="G721" s="103"/>
      <c r="H721" s="103"/>
      <c r="I721" s="103"/>
      <c r="J721" s="95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2.75" customHeight="1" x14ac:dyDescent="0.3">
      <c r="A722" s="69"/>
      <c r="B722" s="69"/>
      <c r="C722" s="69"/>
      <c r="D722" s="69"/>
      <c r="E722" s="69"/>
      <c r="F722" s="103"/>
      <c r="G722" s="103"/>
      <c r="H722" s="103"/>
      <c r="I722" s="103"/>
      <c r="J722" s="95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2.75" customHeight="1" x14ac:dyDescent="0.3">
      <c r="A723" s="69"/>
      <c r="B723" s="69"/>
      <c r="C723" s="69"/>
      <c r="D723" s="69"/>
      <c r="E723" s="69"/>
      <c r="F723" s="103"/>
      <c r="G723" s="103"/>
      <c r="H723" s="103"/>
      <c r="I723" s="103"/>
      <c r="J723" s="95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2.75" customHeight="1" x14ac:dyDescent="0.3">
      <c r="A724" s="69"/>
      <c r="B724" s="69"/>
      <c r="C724" s="69"/>
      <c r="D724" s="69"/>
      <c r="E724" s="69"/>
      <c r="F724" s="103"/>
      <c r="G724" s="103"/>
      <c r="H724" s="103"/>
      <c r="I724" s="103"/>
      <c r="J724" s="95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2.75" customHeight="1" x14ac:dyDescent="0.3">
      <c r="A725" s="69"/>
      <c r="B725" s="69"/>
      <c r="C725" s="69"/>
      <c r="D725" s="69"/>
      <c r="E725" s="69"/>
      <c r="F725" s="103"/>
      <c r="G725" s="103"/>
      <c r="H725" s="103"/>
      <c r="I725" s="103"/>
      <c r="J725" s="95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2.75" customHeight="1" x14ac:dyDescent="0.3">
      <c r="A726" s="69"/>
      <c r="B726" s="69"/>
      <c r="C726" s="69"/>
      <c r="D726" s="69"/>
      <c r="E726" s="69"/>
      <c r="F726" s="103"/>
      <c r="G726" s="103"/>
      <c r="H726" s="103"/>
      <c r="I726" s="103"/>
      <c r="J726" s="95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2.75" customHeight="1" x14ac:dyDescent="0.3">
      <c r="A727" s="69"/>
      <c r="B727" s="69"/>
      <c r="C727" s="69"/>
      <c r="D727" s="69"/>
      <c r="E727" s="69"/>
      <c r="F727" s="103"/>
      <c r="G727" s="103"/>
      <c r="H727" s="103"/>
      <c r="I727" s="103"/>
      <c r="J727" s="95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2.75" customHeight="1" x14ac:dyDescent="0.3">
      <c r="A728" s="69"/>
      <c r="B728" s="69"/>
      <c r="C728" s="69"/>
      <c r="D728" s="69"/>
      <c r="E728" s="69"/>
      <c r="F728" s="103"/>
      <c r="G728" s="103"/>
      <c r="H728" s="103"/>
      <c r="I728" s="103"/>
      <c r="J728" s="95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2.75" customHeight="1" x14ac:dyDescent="0.3">
      <c r="A729" s="69"/>
      <c r="B729" s="69"/>
      <c r="C729" s="69"/>
      <c r="D729" s="69"/>
      <c r="E729" s="69"/>
      <c r="F729" s="103"/>
      <c r="G729" s="103"/>
      <c r="H729" s="103"/>
      <c r="I729" s="103"/>
      <c r="J729" s="95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2.75" customHeight="1" x14ac:dyDescent="0.3">
      <c r="A730" s="69"/>
      <c r="B730" s="69"/>
      <c r="C730" s="69"/>
      <c r="D730" s="69"/>
      <c r="E730" s="69"/>
      <c r="F730" s="103"/>
      <c r="G730" s="103"/>
      <c r="H730" s="103"/>
      <c r="I730" s="103"/>
      <c r="J730" s="95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2.75" customHeight="1" x14ac:dyDescent="0.3">
      <c r="A731" s="69"/>
      <c r="B731" s="69"/>
      <c r="C731" s="69"/>
      <c r="D731" s="69"/>
      <c r="E731" s="69"/>
      <c r="F731" s="103"/>
      <c r="G731" s="103"/>
      <c r="H731" s="103"/>
      <c r="I731" s="103"/>
      <c r="J731" s="95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2.75" customHeight="1" x14ac:dyDescent="0.3">
      <c r="A732" s="69"/>
      <c r="B732" s="69"/>
      <c r="C732" s="69"/>
      <c r="D732" s="69"/>
      <c r="E732" s="69"/>
      <c r="F732" s="103"/>
      <c r="G732" s="103"/>
      <c r="H732" s="103"/>
      <c r="I732" s="103"/>
      <c r="J732" s="95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2.75" customHeight="1" x14ac:dyDescent="0.3">
      <c r="A733" s="69"/>
      <c r="B733" s="69"/>
      <c r="C733" s="69"/>
      <c r="D733" s="69"/>
      <c r="E733" s="69"/>
      <c r="F733" s="103"/>
      <c r="G733" s="103"/>
      <c r="H733" s="103"/>
      <c r="I733" s="103"/>
      <c r="J733" s="95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2.75" customHeight="1" x14ac:dyDescent="0.3">
      <c r="A734" s="69"/>
      <c r="B734" s="69"/>
      <c r="C734" s="69"/>
      <c r="D734" s="69"/>
      <c r="E734" s="69"/>
      <c r="F734" s="103"/>
      <c r="G734" s="103"/>
      <c r="H734" s="103"/>
      <c r="I734" s="103"/>
      <c r="J734" s="95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2.75" customHeight="1" x14ac:dyDescent="0.3">
      <c r="A735" s="69"/>
      <c r="B735" s="69"/>
      <c r="C735" s="69"/>
      <c r="D735" s="69"/>
      <c r="E735" s="69"/>
      <c r="F735" s="103"/>
      <c r="G735" s="103"/>
      <c r="H735" s="103"/>
      <c r="I735" s="103"/>
      <c r="J735" s="95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2.75" customHeight="1" x14ac:dyDescent="0.3">
      <c r="A736" s="69"/>
      <c r="B736" s="69"/>
      <c r="C736" s="69"/>
      <c r="D736" s="69"/>
      <c r="E736" s="69"/>
      <c r="F736" s="103"/>
      <c r="G736" s="103"/>
      <c r="H736" s="103"/>
      <c r="I736" s="103"/>
      <c r="J736" s="95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2.75" customHeight="1" x14ac:dyDescent="0.3">
      <c r="A737" s="69"/>
      <c r="B737" s="69"/>
      <c r="C737" s="69"/>
      <c r="D737" s="69"/>
      <c r="E737" s="69"/>
      <c r="F737" s="103"/>
      <c r="G737" s="103"/>
      <c r="H737" s="103"/>
      <c r="I737" s="103"/>
      <c r="J737" s="95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2.75" customHeight="1" x14ac:dyDescent="0.3">
      <c r="A738" s="69"/>
      <c r="B738" s="69"/>
      <c r="C738" s="69"/>
      <c r="D738" s="69"/>
      <c r="E738" s="69"/>
      <c r="F738" s="103"/>
      <c r="G738" s="103"/>
      <c r="H738" s="103"/>
      <c r="I738" s="103"/>
      <c r="J738" s="95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2.75" customHeight="1" x14ac:dyDescent="0.3">
      <c r="A739" s="69"/>
      <c r="B739" s="69"/>
      <c r="C739" s="69"/>
      <c r="D739" s="69"/>
      <c r="E739" s="69"/>
      <c r="F739" s="103"/>
      <c r="G739" s="103"/>
      <c r="H739" s="103"/>
      <c r="I739" s="103"/>
      <c r="J739" s="95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2.75" customHeight="1" x14ac:dyDescent="0.3">
      <c r="A740" s="69"/>
      <c r="B740" s="69"/>
      <c r="C740" s="69"/>
      <c r="D740" s="69"/>
      <c r="E740" s="69"/>
      <c r="F740" s="103"/>
      <c r="G740" s="103"/>
      <c r="H740" s="103"/>
      <c r="I740" s="103"/>
      <c r="J740" s="95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2.75" customHeight="1" x14ac:dyDescent="0.3">
      <c r="A741" s="69"/>
      <c r="B741" s="69"/>
      <c r="C741" s="69"/>
      <c r="D741" s="69"/>
      <c r="E741" s="69"/>
      <c r="F741" s="103"/>
      <c r="G741" s="103"/>
      <c r="H741" s="103"/>
      <c r="I741" s="103"/>
      <c r="J741" s="95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2.75" customHeight="1" x14ac:dyDescent="0.3">
      <c r="A742" s="69"/>
      <c r="B742" s="69"/>
      <c r="C742" s="69"/>
      <c r="D742" s="69"/>
      <c r="E742" s="69"/>
      <c r="F742" s="103"/>
      <c r="G742" s="103"/>
      <c r="H742" s="103"/>
      <c r="I742" s="103"/>
      <c r="J742" s="95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2.75" customHeight="1" x14ac:dyDescent="0.3">
      <c r="A743" s="69"/>
      <c r="B743" s="69"/>
      <c r="C743" s="69"/>
      <c r="D743" s="69"/>
      <c r="E743" s="69"/>
      <c r="F743" s="103"/>
      <c r="G743" s="103"/>
      <c r="H743" s="103"/>
      <c r="I743" s="103"/>
      <c r="J743" s="95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2.75" customHeight="1" x14ac:dyDescent="0.3">
      <c r="A744" s="69"/>
      <c r="B744" s="69"/>
      <c r="C744" s="69"/>
      <c r="D744" s="69"/>
      <c r="E744" s="69"/>
      <c r="F744" s="103"/>
      <c r="G744" s="103"/>
      <c r="H744" s="103"/>
      <c r="I744" s="103"/>
      <c r="J744" s="95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2.75" customHeight="1" x14ac:dyDescent="0.3">
      <c r="A745" s="69"/>
      <c r="B745" s="69"/>
      <c r="C745" s="69"/>
      <c r="D745" s="69"/>
      <c r="E745" s="69"/>
      <c r="F745" s="103"/>
      <c r="G745" s="103"/>
      <c r="H745" s="103"/>
      <c r="I745" s="103"/>
      <c r="J745" s="95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2.75" customHeight="1" x14ac:dyDescent="0.3">
      <c r="A746" s="69"/>
      <c r="B746" s="69"/>
      <c r="C746" s="69"/>
      <c r="D746" s="69"/>
      <c r="E746" s="69"/>
      <c r="F746" s="103"/>
      <c r="G746" s="103"/>
      <c r="H746" s="103"/>
      <c r="I746" s="103"/>
      <c r="J746" s="95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2.75" customHeight="1" x14ac:dyDescent="0.3">
      <c r="A747" s="69"/>
      <c r="B747" s="69"/>
      <c r="C747" s="69"/>
      <c r="D747" s="69"/>
      <c r="E747" s="69"/>
      <c r="F747" s="103"/>
      <c r="G747" s="103"/>
      <c r="H747" s="103"/>
      <c r="I747" s="103"/>
      <c r="J747" s="95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2.75" customHeight="1" x14ac:dyDescent="0.3">
      <c r="A748" s="69"/>
      <c r="B748" s="69"/>
      <c r="C748" s="69"/>
      <c r="D748" s="69"/>
      <c r="E748" s="69"/>
      <c r="F748" s="103"/>
      <c r="G748" s="103"/>
      <c r="H748" s="103"/>
      <c r="I748" s="103"/>
      <c r="J748" s="95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2.75" customHeight="1" x14ac:dyDescent="0.3">
      <c r="A749" s="69"/>
      <c r="B749" s="69"/>
      <c r="C749" s="69"/>
      <c r="D749" s="69"/>
      <c r="E749" s="69"/>
      <c r="F749" s="103"/>
      <c r="G749" s="103"/>
      <c r="H749" s="103"/>
      <c r="I749" s="103"/>
      <c r="J749" s="95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2.75" customHeight="1" x14ac:dyDescent="0.3">
      <c r="A750" s="69"/>
      <c r="B750" s="69"/>
      <c r="C750" s="69"/>
      <c r="D750" s="69"/>
      <c r="E750" s="69"/>
      <c r="F750" s="103"/>
      <c r="G750" s="103"/>
      <c r="H750" s="103"/>
      <c r="I750" s="103"/>
      <c r="J750" s="95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2.75" customHeight="1" x14ac:dyDescent="0.3">
      <c r="A751" s="69"/>
      <c r="B751" s="69"/>
      <c r="C751" s="69"/>
      <c r="D751" s="69"/>
      <c r="E751" s="69"/>
      <c r="F751" s="103"/>
      <c r="G751" s="103"/>
      <c r="H751" s="103"/>
      <c r="I751" s="103"/>
      <c r="J751" s="95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2.75" customHeight="1" x14ac:dyDescent="0.3">
      <c r="A752" s="69"/>
      <c r="B752" s="69"/>
      <c r="C752" s="69"/>
      <c r="D752" s="69"/>
      <c r="E752" s="69"/>
      <c r="F752" s="103"/>
      <c r="G752" s="103"/>
      <c r="H752" s="103"/>
      <c r="I752" s="103"/>
      <c r="J752" s="95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2.75" customHeight="1" x14ac:dyDescent="0.3">
      <c r="A753" s="69"/>
      <c r="B753" s="69"/>
      <c r="C753" s="69"/>
      <c r="D753" s="69"/>
      <c r="E753" s="69"/>
      <c r="F753" s="103"/>
      <c r="G753" s="103"/>
      <c r="H753" s="103"/>
      <c r="I753" s="103"/>
      <c r="J753" s="95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2.75" customHeight="1" x14ac:dyDescent="0.3">
      <c r="A754" s="69"/>
      <c r="B754" s="69"/>
      <c r="C754" s="69"/>
      <c r="D754" s="69"/>
      <c r="E754" s="69"/>
      <c r="F754" s="103"/>
      <c r="G754" s="103"/>
      <c r="H754" s="103"/>
      <c r="I754" s="103"/>
      <c r="J754" s="95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2.75" customHeight="1" x14ac:dyDescent="0.3">
      <c r="A755" s="69"/>
      <c r="B755" s="69"/>
      <c r="C755" s="69"/>
      <c r="D755" s="69"/>
      <c r="E755" s="69"/>
      <c r="F755" s="103"/>
      <c r="G755" s="103"/>
      <c r="H755" s="103"/>
      <c r="I755" s="103"/>
      <c r="J755" s="95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2.75" customHeight="1" x14ac:dyDescent="0.3">
      <c r="A756" s="69"/>
      <c r="B756" s="69"/>
      <c r="C756" s="69"/>
      <c r="D756" s="69"/>
      <c r="E756" s="69"/>
      <c r="F756" s="103"/>
      <c r="G756" s="103"/>
      <c r="H756" s="103"/>
      <c r="I756" s="103"/>
      <c r="J756" s="95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2.75" customHeight="1" x14ac:dyDescent="0.3">
      <c r="A757" s="69"/>
      <c r="B757" s="69"/>
      <c r="C757" s="69"/>
      <c r="D757" s="69"/>
      <c r="E757" s="69"/>
      <c r="F757" s="103"/>
      <c r="G757" s="103"/>
      <c r="H757" s="103"/>
      <c r="I757" s="103"/>
      <c r="J757" s="95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2.75" customHeight="1" x14ac:dyDescent="0.3">
      <c r="A758" s="69"/>
      <c r="B758" s="69"/>
      <c r="C758" s="69"/>
      <c r="D758" s="69"/>
      <c r="E758" s="69"/>
      <c r="F758" s="103"/>
      <c r="G758" s="103"/>
      <c r="H758" s="103"/>
      <c r="I758" s="103"/>
      <c r="J758" s="95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2.75" customHeight="1" x14ac:dyDescent="0.3">
      <c r="A759" s="69"/>
      <c r="B759" s="69"/>
      <c r="C759" s="69"/>
      <c r="D759" s="69"/>
      <c r="E759" s="69"/>
      <c r="F759" s="103"/>
      <c r="G759" s="103"/>
      <c r="H759" s="103"/>
      <c r="I759" s="103"/>
      <c r="J759" s="95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2.75" customHeight="1" x14ac:dyDescent="0.3">
      <c r="A760" s="69"/>
      <c r="B760" s="69"/>
      <c r="C760" s="69"/>
      <c r="D760" s="69"/>
      <c r="E760" s="69"/>
      <c r="F760" s="103"/>
      <c r="G760" s="103"/>
      <c r="H760" s="103"/>
      <c r="I760" s="103"/>
      <c r="J760" s="95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2.75" customHeight="1" x14ac:dyDescent="0.3">
      <c r="A761" s="69"/>
      <c r="B761" s="69"/>
      <c r="C761" s="69"/>
      <c r="D761" s="69"/>
      <c r="E761" s="69"/>
      <c r="F761" s="103"/>
      <c r="G761" s="103"/>
      <c r="H761" s="103"/>
      <c r="I761" s="103"/>
      <c r="J761" s="95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2.75" customHeight="1" x14ac:dyDescent="0.3">
      <c r="A762" s="69"/>
      <c r="B762" s="69"/>
      <c r="C762" s="69"/>
      <c r="D762" s="69"/>
      <c r="E762" s="69"/>
      <c r="F762" s="103"/>
      <c r="G762" s="103"/>
      <c r="H762" s="103"/>
      <c r="I762" s="103"/>
      <c r="J762" s="95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2.75" customHeight="1" x14ac:dyDescent="0.3">
      <c r="A763" s="69"/>
      <c r="B763" s="69"/>
      <c r="C763" s="69"/>
      <c r="D763" s="69"/>
      <c r="E763" s="69"/>
      <c r="F763" s="103"/>
      <c r="G763" s="103"/>
      <c r="H763" s="103"/>
      <c r="I763" s="103"/>
      <c r="J763" s="95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2.75" customHeight="1" x14ac:dyDescent="0.3">
      <c r="A764" s="69"/>
      <c r="B764" s="69"/>
      <c r="C764" s="69"/>
      <c r="D764" s="69"/>
      <c r="E764" s="69"/>
      <c r="F764" s="103"/>
      <c r="G764" s="103"/>
      <c r="H764" s="103"/>
      <c r="I764" s="103"/>
      <c r="J764" s="95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2.75" customHeight="1" x14ac:dyDescent="0.3">
      <c r="A765" s="69"/>
      <c r="B765" s="69"/>
      <c r="C765" s="69"/>
      <c r="D765" s="69"/>
      <c r="E765" s="69"/>
      <c r="F765" s="103"/>
      <c r="G765" s="103"/>
      <c r="H765" s="103"/>
      <c r="I765" s="103"/>
      <c r="J765" s="95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2.75" customHeight="1" x14ac:dyDescent="0.3">
      <c r="A766" s="69"/>
      <c r="B766" s="69"/>
      <c r="C766" s="69"/>
      <c r="D766" s="69"/>
      <c r="E766" s="69"/>
      <c r="F766" s="103"/>
      <c r="G766" s="103"/>
      <c r="H766" s="103"/>
      <c r="I766" s="103"/>
      <c r="J766" s="95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2.75" customHeight="1" x14ac:dyDescent="0.3">
      <c r="A767" s="69"/>
      <c r="B767" s="69"/>
      <c r="C767" s="69"/>
      <c r="D767" s="69"/>
      <c r="E767" s="69"/>
      <c r="F767" s="103"/>
      <c r="G767" s="103"/>
      <c r="H767" s="103"/>
      <c r="I767" s="103"/>
      <c r="J767" s="95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2.75" customHeight="1" x14ac:dyDescent="0.3">
      <c r="A768" s="69"/>
      <c r="B768" s="69"/>
      <c r="C768" s="69"/>
      <c r="D768" s="69"/>
      <c r="E768" s="69"/>
      <c r="F768" s="103"/>
      <c r="G768" s="103"/>
      <c r="H768" s="103"/>
      <c r="I768" s="103"/>
      <c r="J768" s="95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2.75" customHeight="1" x14ac:dyDescent="0.3">
      <c r="A769" s="69"/>
      <c r="B769" s="69"/>
      <c r="C769" s="69"/>
      <c r="D769" s="69"/>
      <c r="E769" s="69"/>
      <c r="F769" s="103"/>
      <c r="G769" s="103"/>
      <c r="H769" s="103"/>
      <c r="I769" s="103"/>
      <c r="J769" s="95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2.75" customHeight="1" x14ac:dyDescent="0.3">
      <c r="A770" s="69"/>
      <c r="B770" s="69"/>
      <c r="C770" s="69"/>
      <c r="D770" s="69"/>
      <c r="E770" s="69"/>
      <c r="F770" s="103"/>
      <c r="G770" s="103"/>
      <c r="H770" s="103"/>
      <c r="I770" s="103"/>
      <c r="J770" s="95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2.75" customHeight="1" x14ac:dyDescent="0.3">
      <c r="A771" s="69"/>
      <c r="B771" s="69"/>
      <c r="C771" s="69"/>
      <c r="D771" s="69"/>
      <c r="E771" s="69"/>
      <c r="F771" s="103"/>
      <c r="G771" s="103"/>
      <c r="H771" s="103"/>
      <c r="I771" s="103"/>
      <c r="J771" s="95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2.75" customHeight="1" x14ac:dyDescent="0.3">
      <c r="A772" s="69"/>
      <c r="B772" s="69"/>
      <c r="C772" s="69"/>
      <c r="D772" s="69"/>
      <c r="E772" s="69"/>
      <c r="F772" s="103"/>
      <c r="G772" s="103"/>
      <c r="H772" s="103"/>
      <c r="I772" s="103"/>
      <c r="J772" s="95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2.75" customHeight="1" x14ac:dyDescent="0.3">
      <c r="A773" s="69"/>
      <c r="B773" s="69"/>
      <c r="C773" s="69"/>
      <c r="D773" s="69"/>
      <c r="E773" s="69"/>
      <c r="F773" s="103"/>
      <c r="G773" s="103"/>
      <c r="H773" s="103"/>
      <c r="I773" s="103"/>
      <c r="J773" s="95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2.75" customHeight="1" x14ac:dyDescent="0.3">
      <c r="A774" s="69"/>
      <c r="B774" s="69"/>
      <c r="C774" s="69"/>
      <c r="D774" s="69"/>
      <c r="E774" s="69"/>
      <c r="F774" s="103"/>
      <c r="G774" s="103"/>
      <c r="H774" s="103"/>
      <c r="I774" s="103"/>
      <c r="J774" s="95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2.75" customHeight="1" x14ac:dyDescent="0.3">
      <c r="A775" s="69"/>
      <c r="B775" s="69"/>
      <c r="C775" s="69"/>
      <c r="D775" s="69"/>
      <c r="E775" s="69"/>
      <c r="F775" s="103"/>
      <c r="G775" s="103"/>
      <c r="H775" s="103"/>
      <c r="I775" s="103"/>
      <c r="J775" s="95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2.75" customHeight="1" x14ac:dyDescent="0.3">
      <c r="A776" s="69"/>
      <c r="B776" s="69"/>
      <c r="C776" s="69"/>
      <c r="D776" s="69"/>
      <c r="E776" s="69"/>
      <c r="F776" s="103"/>
      <c r="G776" s="103"/>
      <c r="H776" s="103"/>
      <c r="I776" s="103"/>
      <c r="J776" s="95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2.75" customHeight="1" x14ac:dyDescent="0.3">
      <c r="A777" s="69"/>
      <c r="B777" s="69"/>
      <c r="C777" s="69"/>
      <c r="D777" s="69"/>
      <c r="E777" s="69"/>
      <c r="F777" s="103"/>
      <c r="G777" s="103"/>
      <c r="H777" s="103"/>
      <c r="I777" s="103"/>
      <c r="J777" s="95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2.75" customHeight="1" x14ac:dyDescent="0.3">
      <c r="A778" s="69"/>
      <c r="B778" s="69"/>
      <c r="C778" s="69"/>
      <c r="D778" s="69"/>
      <c r="E778" s="69"/>
      <c r="F778" s="103"/>
      <c r="G778" s="103"/>
      <c r="H778" s="103"/>
      <c r="I778" s="103"/>
      <c r="J778" s="95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2.75" customHeight="1" x14ac:dyDescent="0.3">
      <c r="A779" s="69"/>
      <c r="B779" s="69"/>
      <c r="C779" s="69"/>
      <c r="D779" s="69"/>
      <c r="E779" s="69"/>
      <c r="F779" s="103"/>
      <c r="G779" s="103"/>
      <c r="H779" s="103"/>
      <c r="I779" s="103"/>
      <c r="J779" s="95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2.75" customHeight="1" x14ac:dyDescent="0.3">
      <c r="A780" s="69"/>
      <c r="B780" s="69"/>
      <c r="C780" s="69"/>
      <c r="D780" s="69"/>
      <c r="E780" s="69"/>
      <c r="F780" s="103"/>
      <c r="G780" s="103"/>
      <c r="H780" s="103"/>
      <c r="I780" s="103"/>
      <c r="J780" s="95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2.75" customHeight="1" x14ac:dyDescent="0.3">
      <c r="A781" s="69"/>
      <c r="B781" s="69"/>
      <c r="C781" s="69"/>
      <c r="D781" s="69"/>
      <c r="E781" s="69"/>
      <c r="F781" s="103"/>
      <c r="G781" s="103"/>
      <c r="H781" s="103"/>
      <c r="I781" s="103"/>
      <c r="J781" s="95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2.75" customHeight="1" x14ac:dyDescent="0.3">
      <c r="A782" s="69"/>
      <c r="B782" s="69"/>
      <c r="C782" s="69"/>
      <c r="D782" s="69"/>
      <c r="E782" s="69"/>
      <c r="F782" s="103"/>
      <c r="G782" s="103"/>
      <c r="H782" s="103"/>
      <c r="I782" s="103"/>
      <c r="J782" s="95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2.75" customHeight="1" x14ac:dyDescent="0.3">
      <c r="A783" s="69"/>
      <c r="B783" s="69"/>
      <c r="C783" s="69"/>
      <c r="D783" s="69"/>
      <c r="E783" s="69"/>
      <c r="F783" s="103"/>
      <c r="G783" s="103"/>
      <c r="H783" s="103"/>
      <c r="I783" s="103"/>
      <c r="J783" s="95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2.75" customHeight="1" x14ac:dyDescent="0.3">
      <c r="A784" s="69"/>
      <c r="B784" s="69"/>
      <c r="C784" s="69"/>
      <c r="D784" s="69"/>
      <c r="E784" s="69"/>
      <c r="F784" s="103"/>
      <c r="G784" s="103"/>
      <c r="H784" s="103"/>
      <c r="I784" s="103"/>
      <c r="J784" s="95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2.75" customHeight="1" x14ac:dyDescent="0.3">
      <c r="A785" s="69"/>
      <c r="B785" s="69"/>
      <c r="C785" s="69"/>
      <c r="D785" s="69"/>
      <c r="E785" s="69"/>
      <c r="F785" s="103"/>
      <c r="G785" s="103"/>
      <c r="H785" s="103"/>
      <c r="I785" s="103"/>
      <c r="J785" s="95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2.75" customHeight="1" x14ac:dyDescent="0.3">
      <c r="A786" s="69"/>
      <c r="B786" s="69"/>
      <c r="C786" s="69"/>
      <c r="D786" s="69"/>
      <c r="E786" s="69"/>
      <c r="F786" s="103"/>
      <c r="G786" s="103"/>
      <c r="H786" s="103"/>
      <c r="I786" s="103"/>
      <c r="J786" s="95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2.75" customHeight="1" x14ac:dyDescent="0.3">
      <c r="A787" s="69"/>
      <c r="B787" s="69"/>
      <c r="C787" s="69"/>
      <c r="D787" s="69"/>
      <c r="E787" s="69"/>
      <c r="F787" s="103"/>
      <c r="G787" s="103"/>
      <c r="H787" s="103"/>
      <c r="I787" s="103"/>
      <c r="J787" s="95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2.75" customHeight="1" x14ac:dyDescent="0.3">
      <c r="A788" s="69"/>
      <c r="B788" s="69"/>
      <c r="C788" s="69"/>
      <c r="D788" s="69"/>
      <c r="E788" s="69"/>
      <c r="F788" s="103"/>
      <c r="G788" s="103"/>
      <c r="H788" s="103"/>
      <c r="I788" s="103"/>
      <c r="J788" s="95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2.75" customHeight="1" x14ac:dyDescent="0.3">
      <c r="A789" s="69"/>
      <c r="B789" s="69"/>
      <c r="C789" s="69"/>
      <c r="D789" s="69"/>
      <c r="E789" s="69"/>
      <c r="F789" s="103"/>
      <c r="G789" s="103"/>
      <c r="H789" s="103"/>
      <c r="I789" s="103"/>
      <c r="J789" s="95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2.75" customHeight="1" x14ac:dyDescent="0.3">
      <c r="A790" s="69"/>
      <c r="B790" s="69"/>
      <c r="C790" s="69"/>
      <c r="D790" s="69"/>
      <c r="E790" s="69"/>
      <c r="F790" s="103"/>
      <c r="G790" s="103"/>
      <c r="H790" s="103"/>
      <c r="I790" s="103"/>
      <c r="J790" s="95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2.75" customHeight="1" x14ac:dyDescent="0.3">
      <c r="A791" s="69"/>
      <c r="B791" s="69"/>
      <c r="C791" s="69"/>
      <c r="D791" s="69"/>
      <c r="E791" s="69"/>
      <c r="F791" s="103"/>
      <c r="G791" s="103"/>
      <c r="H791" s="103"/>
      <c r="I791" s="103"/>
      <c r="J791" s="95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2.75" customHeight="1" x14ac:dyDescent="0.3">
      <c r="A792" s="69"/>
      <c r="B792" s="69"/>
      <c r="C792" s="69"/>
      <c r="D792" s="69"/>
      <c r="E792" s="69"/>
      <c r="F792" s="103"/>
      <c r="G792" s="103"/>
      <c r="H792" s="103"/>
      <c r="I792" s="103"/>
      <c r="J792" s="95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2.75" customHeight="1" x14ac:dyDescent="0.3">
      <c r="A793" s="69"/>
      <c r="B793" s="69"/>
      <c r="C793" s="69"/>
      <c r="D793" s="69"/>
      <c r="E793" s="69"/>
      <c r="F793" s="103"/>
      <c r="G793" s="103"/>
      <c r="H793" s="103"/>
      <c r="I793" s="103"/>
      <c r="J793" s="95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2.75" customHeight="1" x14ac:dyDescent="0.3">
      <c r="A794" s="69"/>
      <c r="B794" s="69"/>
      <c r="C794" s="69"/>
      <c r="D794" s="69"/>
      <c r="E794" s="69"/>
      <c r="F794" s="103"/>
      <c r="G794" s="103"/>
      <c r="H794" s="103"/>
      <c r="I794" s="103"/>
      <c r="J794" s="95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2.75" customHeight="1" x14ac:dyDescent="0.3">
      <c r="A795" s="69"/>
      <c r="B795" s="69"/>
      <c r="C795" s="69"/>
      <c r="D795" s="69"/>
      <c r="E795" s="69"/>
      <c r="F795" s="103"/>
      <c r="G795" s="103"/>
      <c r="H795" s="103"/>
      <c r="I795" s="103"/>
      <c r="J795" s="95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2.75" customHeight="1" x14ac:dyDescent="0.3">
      <c r="A796" s="69"/>
      <c r="B796" s="69"/>
      <c r="C796" s="69"/>
      <c r="D796" s="69"/>
      <c r="E796" s="69"/>
      <c r="F796" s="103"/>
      <c r="G796" s="103"/>
      <c r="H796" s="103"/>
      <c r="I796" s="103"/>
      <c r="J796" s="95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2.75" customHeight="1" x14ac:dyDescent="0.3">
      <c r="A797" s="69"/>
      <c r="B797" s="69"/>
      <c r="C797" s="69"/>
      <c r="D797" s="69"/>
      <c r="E797" s="69"/>
      <c r="F797" s="103"/>
      <c r="G797" s="103"/>
      <c r="H797" s="103"/>
      <c r="I797" s="103"/>
      <c r="J797" s="95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2.75" customHeight="1" x14ac:dyDescent="0.3">
      <c r="A798" s="69"/>
      <c r="B798" s="69"/>
      <c r="C798" s="69"/>
      <c r="D798" s="69"/>
      <c r="E798" s="69"/>
      <c r="F798" s="103"/>
      <c r="G798" s="103"/>
      <c r="H798" s="103"/>
      <c r="I798" s="103"/>
      <c r="J798" s="95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2.75" customHeight="1" x14ac:dyDescent="0.3">
      <c r="A799" s="69"/>
      <c r="B799" s="69"/>
      <c r="C799" s="69"/>
      <c r="D799" s="69"/>
      <c r="E799" s="69"/>
      <c r="F799" s="103"/>
      <c r="G799" s="103"/>
      <c r="H799" s="103"/>
      <c r="I799" s="103"/>
      <c r="J799" s="95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2.75" customHeight="1" x14ac:dyDescent="0.3">
      <c r="A800" s="69"/>
      <c r="B800" s="69"/>
      <c r="C800" s="69"/>
      <c r="D800" s="69"/>
      <c r="E800" s="69"/>
      <c r="F800" s="103"/>
      <c r="G800" s="103"/>
      <c r="H800" s="103"/>
      <c r="I800" s="103"/>
      <c r="J800" s="95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2.75" customHeight="1" x14ac:dyDescent="0.3">
      <c r="A801" s="69"/>
      <c r="B801" s="69"/>
      <c r="C801" s="69"/>
      <c r="D801" s="69"/>
      <c r="E801" s="69"/>
      <c r="F801" s="103"/>
      <c r="G801" s="103"/>
      <c r="H801" s="103"/>
      <c r="I801" s="103"/>
      <c r="J801" s="95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2.75" customHeight="1" x14ac:dyDescent="0.3">
      <c r="A802" s="69"/>
      <c r="B802" s="69"/>
      <c r="C802" s="69"/>
      <c r="D802" s="69"/>
      <c r="E802" s="69"/>
      <c r="F802" s="103"/>
      <c r="G802" s="103"/>
      <c r="H802" s="103"/>
      <c r="I802" s="103"/>
      <c r="J802" s="95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2.75" customHeight="1" x14ac:dyDescent="0.3">
      <c r="A803" s="69"/>
      <c r="B803" s="69"/>
      <c r="C803" s="69"/>
      <c r="D803" s="69"/>
      <c r="E803" s="69"/>
      <c r="F803" s="103"/>
      <c r="G803" s="103"/>
      <c r="H803" s="103"/>
      <c r="I803" s="103"/>
      <c r="J803" s="95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2.75" customHeight="1" x14ac:dyDescent="0.3">
      <c r="A804" s="69"/>
      <c r="B804" s="69"/>
      <c r="C804" s="69"/>
      <c r="D804" s="69"/>
      <c r="E804" s="69"/>
      <c r="F804" s="103"/>
      <c r="G804" s="103"/>
      <c r="H804" s="103"/>
      <c r="I804" s="103"/>
      <c r="J804" s="95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2.75" customHeight="1" x14ac:dyDescent="0.3">
      <c r="A805" s="69"/>
      <c r="B805" s="69"/>
      <c r="C805" s="69"/>
      <c r="D805" s="69"/>
      <c r="E805" s="69"/>
      <c r="F805" s="103"/>
      <c r="G805" s="103"/>
      <c r="H805" s="103"/>
      <c r="I805" s="103"/>
      <c r="J805" s="95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2.75" customHeight="1" x14ac:dyDescent="0.3">
      <c r="A806" s="69"/>
      <c r="B806" s="69"/>
      <c r="C806" s="69"/>
      <c r="D806" s="69"/>
      <c r="E806" s="69"/>
      <c r="F806" s="103"/>
      <c r="G806" s="103"/>
      <c r="H806" s="103"/>
      <c r="I806" s="103"/>
      <c r="J806" s="95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2.75" customHeight="1" x14ac:dyDescent="0.3">
      <c r="A807" s="69"/>
      <c r="B807" s="69"/>
      <c r="C807" s="69"/>
      <c r="D807" s="69"/>
      <c r="E807" s="69"/>
      <c r="F807" s="103"/>
      <c r="G807" s="103"/>
      <c r="H807" s="103"/>
      <c r="I807" s="103"/>
      <c r="J807" s="95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2.75" customHeight="1" x14ac:dyDescent="0.3">
      <c r="A808" s="69"/>
      <c r="B808" s="69"/>
      <c r="C808" s="69"/>
      <c r="D808" s="69"/>
      <c r="E808" s="69"/>
      <c r="F808" s="103"/>
      <c r="G808" s="103"/>
      <c r="H808" s="103"/>
      <c r="I808" s="103"/>
      <c r="J808" s="95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2.75" customHeight="1" x14ac:dyDescent="0.3">
      <c r="A809" s="69"/>
      <c r="B809" s="69"/>
      <c r="C809" s="69"/>
      <c r="D809" s="69"/>
      <c r="E809" s="69"/>
      <c r="F809" s="103"/>
      <c r="G809" s="103"/>
      <c r="H809" s="103"/>
      <c r="I809" s="103"/>
      <c r="J809" s="95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2.75" customHeight="1" x14ac:dyDescent="0.3">
      <c r="A810" s="69"/>
      <c r="B810" s="69"/>
      <c r="C810" s="69"/>
      <c r="D810" s="69"/>
      <c r="E810" s="69"/>
      <c r="F810" s="103"/>
      <c r="G810" s="103"/>
      <c r="H810" s="103"/>
      <c r="I810" s="103"/>
      <c r="J810" s="95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2.75" customHeight="1" x14ac:dyDescent="0.3">
      <c r="A811" s="69"/>
      <c r="B811" s="69"/>
      <c r="C811" s="69"/>
      <c r="D811" s="69"/>
      <c r="E811" s="69"/>
      <c r="F811" s="103"/>
      <c r="G811" s="103"/>
      <c r="H811" s="103"/>
      <c r="I811" s="103"/>
      <c r="J811" s="95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2.75" customHeight="1" x14ac:dyDescent="0.3">
      <c r="A812" s="69"/>
      <c r="B812" s="69"/>
      <c r="C812" s="69"/>
      <c r="D812" s="69"/>
      <c r="E812" s="69"/>
      <c r="F812" s="103"/>
      <c r="G812" s="103"/>
      <c r="H812" s="103"/>
      <c r="I812" s="103"/>
      <c r="J812" s="95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2.75" customHeight="1" x14ac:dyDescent="0.3">
      <c r="A813" s="69"/>
      <c r="B813" s="69"/>
      <c r="C813" s="69"/>
      <c r="D813" s="69"/>
      <c r="E813" s="69"/>
      <c r="F813" s="103"/>
      <c r="G813" s="103"/>
      <c r="H813" s="103"/>
      <c r="I813" s="103"/>
      <c r="J813" s="95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2.75" customHeight="1" x14ac:dyDescent="0.3">
      <c r="A814" s="69"/>
      <c r="B814" s="69"/>
      <c r="C814" s="69"/>
      <c r="D814" s="69"/>
      <c r="E814" s="69"/>
      <c r="F814" s="103"/>
      <c r="G814" s="103"/>
      <c r="H814" s="103"/>
      <c r="I814" s="103"/>
      <c r="J814" s="95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2.75" customHeight="1" x14ac:dyDescent="0.3">
      <c r="A815" s="69"/>
      <c r="B815" s="69"/>
      <c r="C815" s="69"/>
      <c r="D815" s="69"/>
      <c r="E815" s="69"/>
      <c r="F815" s="103"/>
      <c r="G815" s="103"/>
      <c r="H815" s="103"/>
      <c r="I815" s="103"/>
      <c r="J815" s="95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2.75" customHeight="1" x14ac:dyDescent="0.3">
      <c r="A816" s="69"/>
      <c r="B816" s="69"/>
      <c r="C816" s="69"/>
      <c r="D816" s="69"/>
      <c r="E816" s="69"/>
      <c r="F816" s="103"/>
      <c r="G816" s="103"/>
      <c r="H816" s="103"/>
      <c r="I816" s="103"/>
      <c r="J816" s="95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2.75" customHeight="1" x14ac:dyDescent="0.3">
      <c r="A817" s="69"/>
      <c r="B817" s="69"/>
      <c r="C817" s="69"/>
      <c r="D817" s="69"/>
      <c r="E817" s="69"/>
      <c r="F817" s="103"/>
      <c r="G817" s="103"/>
      <c r="H817" s="103"/>
      <c r="I817" s="103"/>
      <c r="J817" s="95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2.75" customHeight="1" x14ac:dyDescent="0.3">
      <c r="A818" s="69"/>
      <c r="B818" s="69"/>
      <c r="C818" s="69"/>
      <c r="D818" s="69"/>
      <c r="E818" s="69"/>
      <c r="F818" s="103"/>
      <c r="G818" s="103"/>
      <c r="H818" s="103"/>
      <c r="I818" s="103"/>
      <c r="J818" s="95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2.75" customHeight="1" x14ac:dyDescent="0.3">
      <c r="A819" s="69"/>
      <c r="B819" s="69"/>
      <c r="C819" s="69"/>
      <c r="D819" s="69"/>
      <c r="E819" s="69"/>
      <c r="F819" s="103"/>
      <c r="G819" s="103"/>
      <c r="H819" s="103"/>
      <c r="I819" s="103"/>
      <c r="J819" s="95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2.75" customHeight="1" x14ac:dyDescent="0.3">
      <c r="A820" s="69"/>
      <c r="B820" s="69"/>
      <c r="C820" s="69"/>
      <c r="D820" s="69"/>
      <c r="E820" s="69"/>
      <c r="F820" s="103"/>
      <c r="G820" s="103"/>
      <c r="H820" s="103"/>
      <c r="I820" s="103"/>
      <c r="J820" s="95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2.75" customHeight="1" x14ac:dyDescent="0.3">
      <c r="A821" s="69"/>
      <c r="B821" s="69"/>
      <c r="C821" s="69"/>
      <c r="D821" s="69"/>
      <c r="E821" s="69"/>
      <c r="F821" s="103"/>
      <c r="G821" s="103"/>
      <c r="H821" s="103"/>
      <c r="I821" s="103"/>
      <c r="J821" s="95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2.75" customHeight="1" x14ac:dyDescent="0.3">
      <c r="A822" s="69"/>
      <c r="B822" s="69"/>
      <c r="C822" s="69"/>
      <c r="D822" s="69"/>
      <c r="E822" s="69"/>
      <c r="F822" s="103"/>
      <c r="G822" s="103"/>
      <c r="H822" s="103"/>
      <c r="I822" s="103"/>
      <c r="J822" s="95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2.75" customHeight="1" x14ac:dyDescent="0.3">
      <c r="A823" s="69"/>
      <c r="B823" s="69"/>
      <c r="C823" s="69"/>
      <c r="D823" s="69"/>
      <c r="E823" s="69"/>
      <c r="F823" s="103"/>
      <c r="G823" s="103"/>
      <c r="H823" s="103"/>
      <c r="I823" s="103"/>
      <c r="J823" s="95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2.75" customHeight="1" x14ac:dyDescent="0.3">
      <c r="A824" s="69"/>
      <c r="B824" s="69"/>
      <c r="C824" s="69"/>
      <c r="D824" s="69"/>
      <c r="E824" s="69"/>
      <c r="F824" s="103"/>
      <c r="G824" s="103"/>
      <c r="H824" s="103"/>
      <c r="I824" s="103"/>
      <c r="J824" s="95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2.75" customHeight="1" x14ac:dyDescent="0.3">
      <c r="A825" s="69"/>
      <c r="B825" s="69"/>
      <c r="C825" s="69"/>
      <c r="D825" s="69"/>
      <c r="E825" s="69"/>
      <c r="F825" s="103"/>
      <c r="G825" s="103"/>
      <c r="H825" s="103"/>
      <c r="I825" s="103"/>
      <c r="J825" s="95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2.75" customHeight="1" x14ac:dyDescent="0.3">
      <c r="A826" s="69"/>
      <c r="B826" s="69"/>
      <c r="C826" s="69"/>
      <c r="D826" s="69"/>
      <c r="E826" s="69"/>
      <c r="F826" s="103"/>
      <c r="G826" s="103"/>
      <c r="H826" s="103"/>
      <c r="I826" s="103"/>
      <c r="J826" s="95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2.75" customHeight="1" x14ac:dyDescent="0.3">
      <c r="A827" s="69"/>
      <c r="B827" s="69"/>
      <c r="C827" s="69"/>
      <c r="D827" s="69"/>
      <c r="E827" s="69"/>
      <c r="F827" s="103"/>
      <c r="G827" s="103"/>
      <c r="H827" s="103"/>
      <c r="I827" s="103"/>
      <c r="J827" s="95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2.75" customHeight="1" x14ac:dyDescent="0.3">
      <c r="A828" s="69"/>
      <c r="B828" s="69"/>
      <c r="C828" s="69"/>
      <c r="D828" s="69"/>
      <c r="E828" s="69"/>
      <c r="F828" s="103"/>
      <c r="G828" s="103"/>
      <c r="H828" s="103"/>
      <c r="I828" s="103"/>
      <c r="J828" s="95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2.75" customHeight="1" x14ac:dyDescent="0.3">
      <c r="A829" s="69"/>
      <c r="B829" s="69"/>
      <c r="C829" s="69"/>
      <c r="D829" s="69"/>
      <c r="E829" s="69"/>
      <c r="F829" s="103"/>
      <c r="G829" s="103"/>
      <c r="H829" s="103"/>
      <c r="I829" s="103"/>
      <c r="J829" s="95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2.75" customHeight="1" x14ac:dyDescent="0.3">
      <c r="A830" s="69"/>
      <c r="B830" s="69"/>
      <c r="C830" s="69"/>
      <c r="D830" s="69"/>
      <c r="E830" s="69"/>
      <c r="F830" s="103"/>
      <c r="G830" s="103"/>
      <c r="H830" s="103"/>
      <c r="I830" s="103"/>
      <c r="J830" s="95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2.75" customHeight="1" x14ac:dyDescent="0.3">
      <c r="A831" s="69"/>
      <c r="B831" s="69"/>
      <c r="C831" s="69"/>
      <c r="D831" s="69"/>
      <c r="E831" s="69"/>
      <c r="F831" s="103"/>
      <c r="G831" s="103"/>
      <c r="H831" s="103"/>
      <c r="I831" s="103"/>
      <c r="J831" s="95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2.75" customHeight="1" x14ac:dyDescent="0.3">
      <c r="A832" s="69"/>
      <c r="B832" s="69"/>
      <c r="C832" s="69"/>
      <c r="D832" s="69"/>
      <c r="E832" s="69"/>
      <c r="F832" s="103"/>
      <c r="G832" s="103"/>
      <c r="H832" s="103"/>
      <c r="I832" s="103"/>
      <c r="J832" s="95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2.75" customHeight="1" x14ac:dyDescent="0.3">
      <c r="A833" s="69"/>
      <c r="B833" s="69"/>
      <c r="C833" s="69"/>
      <c r="D833" s="69"/>
      <c r="E833" s="69"/>
      <c r="F833" s="103"/>
      <c r="G833" s="103"/>
      <c r="H833" s="103"/>
      <c r="I833" s="103"/>
      <c r="J833" s="95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2.75" customHeight="1" x14ac:dyDescent="0.3">
      <c r="A834" s="69"/>
      <c r="B834" s="69"/>
      <c r="C834" s="69"/>
      <c r="D834" s="69"/>
      <c r="E834" s="69"/>
      <c r="F834" s="103"/>
      <c r="G834" s="103"/>
      <c r="H834" s="103"/>
      <c r="I834" s="103"/>
      <c r="J834" s="95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2.75" customHeight="1" x14ac:dyDescent="0.3">
      <c r="A835" s="69"/>
      <c r="B835" s="69"/>
      <c r="C835" s="69"/>
      <c r="D835" s="69"/>
      <c r="E835" s="69"/>
      <c r="F835" s="103"/>
      <c r="G835" s="103"/>
      <c r="H835" s="103"/>
      <c r="I835" s="103"/>
      <c r="J835" s="95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2.75" customHeight="1" x14ac:dyDescent="0.3">
      <c r="A836" s="69"/>
      <c r="B836" s="69"/>
      <c r="C836" s="69"/>
      <c r="D836" s="69"/>
      <c r="E836" s="69"/>
      <c r="F836" s="103"/>
      <c r="G836" s="103"/>
      <c r="H836" s="103"/>
      <c r="I836" s="103"/>
      <c r="J836" s="95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2.75" customHeight="1" x14ac:dyDescent="0.3">
      <c r="A837" s="69"/>
      <c r="B837" s="69"/>
      <c r="C837" s="69"/>
      <c r="D837" s="69"/>
      <c r="E837" s="69"/>
      <c r="F837" s="103"/>
      <c r="G837" s="103"/>
      <c r="H837" s="103"/>
      <c r="I837" s="103"/>
      <c r="J837" s="95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2.75" customHeight="1" x14ac:dyDescent="0.3">
      <c r="A838" s="69"/>
      <c r="B838" s="69"/>
      <c r="C838" s="69"/>
      <c r="D838" s="69"/>
      <c r="E838" s="69"/>
      <c r="F838" s="103"/>
      <c r="G838" s="103"/>
      <c r="H838" s="103"/>
      <c r="I838" s="103"/>
      <c r="J838" s="95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2.75" customHeight="1" x14ac:dyDescent="0.3">
      <c r="A839" s="69"/>
      <c r="B839" s="69"/>
      <c r="C839" s="69"/>
      <c r="D839" s="69"/>
      <c r="E839" s="69"/>
      <c r="F839" s="103"/>
      <c r="G839" s="103"/>
      <c r="H839" s="103"/>
      <c r="I839" s="103"/>
      <c r="J839" s="95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2.75" customHeight="1" x14ac:dyDescent="0.3">
      <c r="A840" s="69"/>
      <c r="B840" s="69"/>
      <c r="C840" s="69"/>
      <c r="D840" s="69"/>
      <c r="E840" s="69"/>
      <c r="F840" s="103"/>
      <c r="G840" s="103"/>
      <c r="H840" s="103"/>
      <c r="I840" s="103"/>
      <c r="J840" s="95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2.75" customHeight="1" x14ac:dyDescent="0.3">
      <c r="A841" s="69"/>
      <c r="B841" s="69"/>
      <c r="C841" s="69"/>
      <c r="D841" s="69"/>
      <c r="E841" s="69"/>
      <c r="F841" s="103"/>
      <c r="G841" s="103"/>
      <c r="H841" s="103"/>
      <c r="I841" s="103"/>
      <c r="J841" s="95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2.75" customHeight="1" x14ac:dyDescent="0.3">
      <c r="A842" s="69"/>
      <c r="B842" s="69"/>
      <c r="C842" s="69"/>
      <c r="D842" s="69"/>
      <c r="E842" s="69"/>
      <c r="F842" s="103"/>
      <c r="G842" s="103"/>
      <c r="H842" s="103"/>
      <c r="I842" s="103"/>
      <c r="J842" s="95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2.75" customHeight="1" x14ac:dyDescent="0.3">
      <c r="A843" s="69"/>
      <c r="B843" s="69"/>
      <c r="C843" s="69"/>
      <c r="D843" s="69"/>
      <c r="E843" s="69"/>
      <c r="F843" s="103"/>
      <c r="G843" s="103"/>
      <c r="H843" s="103"/>
      <c r="I843" s="103"/>
      <c r="J843" s="95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2.75" customHeight="1" x14ac:dyDescent="0.3">
      <c r="A844" s="69"/>
      <c r="B844" s="69"/>
      <c r="C844" s="69"/>
      <c r="D844" s="69"/>
      <c r="E844" s="69"/>
      <c r="F844" s="103"/>
      <c r="G844" s="103"/>
      <c r="H844" s="103"/>
      <c r="I844" s="103"/>
      <c r="J844" s="95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2.75" customHeight="1" x14ac:dyDescent="0.3">
      <c r="A845" s="69"/>
      <c r="B845" s="69"/>
      <c r="C845" s="69"/>
      <c r="D845" s="69"/>
      <c r="E845" s="69"/>
      <c r="F845" s="103"/>
      <c r="G845" s="103"/>
      <c r="H845" s="103"/>
      <c r="I845" s="103"/>
      <c r="J845" s="95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2.75" customHeight="1" x14ac:dyDescent="0.3">
      <c r="A846" s="69"/>
      <c r="B846" s="69"/>
      <c r="C846" s="69"/>
      <c r="D846" s="69"/>
      <c r="E846" s="69"/>
      <c r="F846" s="103"/>
      <c r="G846" s="103"/>
      <c r="H846" s="103"/>
      <c r="I846" s="103"/>
      <c r="J846" s="95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2.75" customHeight="1" x14ac:dyDescent="0.3">
      <c r="A847" s="69"/>
      <c r="B847" s="69"/>
      <c r="C847" s="69"/>
      <c r="D847" s="69"/>
      <c r="E847" s="69"/>
      <c r="F847" s="103"/>
      <c r="G847" s="103"/>
      <c r="H847" s="103"/>
      <c r="I847" s="103"/>
      <c r="J847" s="95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2.75" customHeight="1" x14ac:dyDescent="0.3">
      <c r="A848" s="69"/>
      <c r="B848" s="69"/>
      <c r="C848" s="69"/>
      <c r="D848" s="69"/>
      <c r="E848" s="69"/>
      <c r="F848" s="103"/>
      <c r="G848" s="103"/>
      <c r="H848" s="103"/>
      <c r="I848" s="103"/>
      <c r="J848" s="95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2.75" customHeight="1" x14ac:dyDescent="0.3">
      <c r="A849" s="69"/>
      <c r="B849" s="69"/>
      <c r="C849" s="69"/>
      <c r="D849" s="69"/>
      <c r="E849" s="69"/>
      <c r="F849" s="103"/>
      <c r="G849" s="103"/>
      <c r="H849" s="103"/>
      <c r="I849" s="103"/>
      <c r="J849" s="95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2.75" customHeight="1" x14ac:dyDescent="0.3">
      <c r="A850" s="69"/>
      <c r="B850" s="69"/>
      <c r="C850" s="69"/>
      <c r="D850" s="69"/>
      <c r="E850" s="69"/>
      <c r="F850" s="103"/>
      <c r="G850" s="103"/>
      <c r="H850" s="103"/>
      <c r="I850" s="103"/>
      <c r="J850" s="95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2.75" customHeight="1" x14ac:dyDescent="0.3">
      <c r="A851" s="69"/>
      <c r="B851" s="69"/>
      <c r="C851" s="69"/>
      <c r="D851" s="69"/>
      <c r="E851" s="69"/>
      <c r="F851" s="103"/>
      <c r="G851" s="103"/>
      <c r="H851" s="103"/>
      <c r="I851" s="103"/>
      <c r="J851" s="95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2.75" customHeight="1" x14ac:dyDescent="0.3">
      <c r="A852" s="69"/>
      <c r="B852" s="69"/>
      <c r="C852" s="69"/>
      <c r="D852" s="69"/>
      <c r="E852" s="69"/>
      <c r="F852" s="103"/>
      <c r="G852" s="103"/>
      <c r="H852" s="103"/>
      <c r="I852" s="103"/>
      <c r="J852" s="95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2.75" customHeight="1" x14ac:dyDescent="0.3">
      <c r="A853" s="69"/>
      <c r="B853" s="69"/>
      <c r="C853" s="69"/>
      <c r="D853" s="69"/>
      <c r="E853" s="69"/>
      <c r="F853" s="103"/>
      <c r="G853" s="103"/>
      <c r="H853" s="103"/>
      <c r="I853" s="103"/>
      <c r="J853" s="95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2.75" customHeight="1" x14ac:dyDescent="0.3">
      <c r="A854" s="69"/>
      <c r="B854" s="69"/>
      <c r="C854" s="69"/>
      <c r="D854" s="69"/>
      <c r="E854" s="69"/>
      <c r="F854" s="103"/>
      <c r="G854" s="103"/>
      <c r="H854" s="103"/>
      <c r="I854" s="103"/>
      <c r="J854" s="95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2.75" customHeight="1" x14ac:dyDescent="0.3">
      <c r="A855" s="69"/>
      <c r="B855" s="69"/>
      <c r="C855" s="69"/>
      <c r="D855" s="69"/>
      <c r="E855" s="69"/>
      <c r="F855" s="103"/>
      <c r="G855" s="103"/>
      <c r="H855" s="103"/>
      <c r="I855" s="103"/>
      <c r="J855" s="95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2.75" customHeight="1" x14ac:dyDescent="0.3">
      <c r="A856" s="69"/>
      <c r="B856" s="69"/>
      <c r="C856" s="69"/>
      <c r="D856" s="69"/>
      <c r="E856" s="69"/>
      <c r="F856" s="103"/>
      <c r="G856" s="103"/>
      <c r="H856" s="103"/>
      <c r="I856" s="103"/>
      <c r="J856" s="95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2.75" customHeight="1" x14ac:dyDescent="0.3">
      <c r="A857" s="69"/>
      <c r="B857" s="69"/>
      <c r="C857" s="69"/>
      <c r="D857" s="69"/>
      <c r="E857" s="69"/>
      <c r="F857" s="103"/>
      <c r="G857" s="103"/>
      <c r="H857" s="103"/>
      <c r="I857" s="103"/>
      <c r="J857" s="95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2.75" customHeight="1" x14ac:dyDescent="0.3">
      <c r="A858" s="69"/>
      <c r="B858" s="69"/>
      <c r="C858" s="69"/>
      <c r="D858" s="69"/>
      <c r="E858" s="69"/>
      <c r="F858" s="103"/>
      <c r="G858" s="103"/>
      <c r="H858" s="103"/>
      <c r="I858" s="103"/>
      <c r="J858" s="95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2.75" customHeight="1" x14ac:dyDescent="0.3">
      <c r="A859" s="69"/>
      <c r="B859" s="69"/>
      <c r="C859" s="69"/>
      <c r="D859" s="69"/>
      <c r="E859" s="69"/>
      <c r="F859" s="103"/>
      <c r="G859" s="103"/>
      <c r="H859" s="103"/>
      <c r="I859" s="103"/>
      <c r="J859" s="95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2.75" customHeight="1" x14ac:dyDescent="0.3">
      <c r="A860" s="69"/>
      <c r="B860" s="69"/>
      <c r="C860" s="69"/>
      <c r="D860" s="69"/>
      <c r="E860" s="69"/>
      <c r="F860" s="103"/>
      <c r="G860" s="103"/>
      <c r="H860" s="103"/>
      <c r="I860" s="103"/>
      <c r="J860" s="95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2.75" customHeight="1" x14ac:dyDescent="0.3">
      <c r="A861" s="69"/>
      <c r="B861" s="69"/>
      <c r="C861" s="69"/>
      <c r="D861" s="69"/>
      <c r="E861" s="69"/>
      <c r="F861" s="103"/>
      <c r="G861" s="103"/>
      <c r="H861" s="103"/>
      <c r="I861" s="103"/>
      <c r="J861" s="95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2.75" customHeight="1" x14ac:dyDescent="0.3">
      <c r="A862" s="69"/>
      <c r="B862" s="69"/>
      <c r="C862" s="69"/>
      <c r="D862" s="69"/>
      <c r="E862" s="69"/>
      <c r="F862" s="103"/>
      <c r="G862" s="103"/>
      <c r="H862" s="103"/>
      <c r="I862" s="103"/>
      <c r="J862" s="95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2.75" customHeight="1" x14ac:dyDescent="0.3">
      <c r="A863" s="69"/>
      <c r="B863" s="69"/>
      <c r="C863" s="69"/>
      <c r="D863" s="69"/>
      <c r="E863" s="69"/>
      <c r="F863" s="103"/>
      <c r="G863" s="103"/>
      <c r="H863" s="103"/>
      <c r="I863" s="103"/>
      <c r="J863" s="95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2.75" customHeight="1" x14ac:dyDescent="0.3">
      <c r="A864" s="69"/>
      <c r="B864" s="69"/>
      <c r="C864" s="69"/>
      <c r="D864" s="69"/>
      <c r="E864" s="69"/>
      <c r="F864" s="103"/>
      <c r="G864" s="103"/>
      <c r="H864" s="103"/>
      <c r="I864" s="103"/>
      <c r="J864" s="95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2.75" customHeight="1" x14ac:dyDescent="0.3">
      <c r="A865" s="69"/>
      <c r="B865" s="69"/>
      <c r="C865" s="69"/>
      <c r="D865" s="69"/>
      <c r="E865" s="69"/>
      <c r="F865" s="103"/>
      <c r="G865" s="103"/>
      <c r="H865" s="103"/>
      <c r="I865" s="103"/>
      <c r="J865" s="95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2.75" customHeight="1" x14ac:dyDescent="0.3">
      <c r="A866" s="69"/>
      <c r="B866" s="69"/>
      <c r="C866" s="69"/>
      <c r="D866" s="69"/>
      <c r="E866" s="69"/>
      <c r="F866" s="103"/>
      <c r="G866" s="103"/>
      <c r="H866" s="103"/>
      <c r="I866" s="103"/>
      <c r="J866" s="95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2.75" customHeight="1" x14ac:dyDescent="0.3">
      <c r="A867" s="69"/>
      <c r="B867" s="69"/>
      <c r="C867" s="69"/>
      <c r="D867" s="69"/>
      <c r="E867" s="69"/>
      <c r="F867" s="103"/>
      <c r="G867" s="103"/>
      <c r="H867" s="103"/>
      <c r="I867" s="103"/>
      <c r="J867" s="95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2.75" customHeight="1" x14ac:dyDescent="0.3">
      <c r="A868" s="69"/>
      <c r="B868" s="69"/>
      <c r="C868" s="69"/>
      <c r="D868" s="69"/>
      <c r="E868" s="69"/>
      <c r="F868" s="103"/>
      <c r="G868" s="103"/>
      <c r="H868" s="103"/>
      <c r="I868" s="103"/>
      <c r="J868" s="95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2.75" customHeight="1" x14ac:dyDescent="0.3">
      <c r="A869" s="69"/>
      <c r="B869" s="69"/>
      <c r="C869" s="69"/>
      <c r="D869" s="69"/>
      <c r="E869" s="69"/>
      <c r="F869" s="103"/>
      <c r="G869" s="103"/>
      <c r="H869" s="103"/>
      <c r="I869" s="103"/>
      <c r="J869" s="95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2.75" customHeight="1" x14ac:dyDescent="0.3">
      <c r="A870" s="69"/>
      <c r="B870" s="69"/>
      <c r="C870" s="69"/>
      <c r="D870" s="69"/>
      <c r="E870" s="69"/>
      <c r="F870" s="103"/>
      <c r="G870" s="103"/>
      <c r="H870" s="103"/>
      <c r="I870" s="103"/>
      <c r="J870" s="95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2.75" customHeight="1" x14ac:dyDescent="0.3">
      <c r="A871" s="69"/>
      <c r="B871" s="69"/>
      <c r="C871" s="69"/>
      <c r="D871" s="69"/>
      <c r="E871" s="69"/>
      <c r="F871" s="103"/>
      <c r="G871" s="103"/>
      <c r="H871" s="103"/>
      <c r="I871" s="103"/>
      <c r="J871" s="95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2.75" customHeight="1" x14ac:dyDescent="0.3">
      <c r="A872" s="69"/>
      <c r="B872" s="69"/>
      <c r="C872" s="69"/>
      <c r="D872" s="69"/>
      <c r="E872" s="69"/>
      <c r="F872" s="103"/>
      <c r="G872" s="103"/>
      <c r="H872" s="103"/>
      <c r="I872" s="103"/>
      <c r="J872" s="95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2.75" customHeight="1" x14ac:dyDescent="0.3">
      <c r="A873" s="69"/>
      <c r="B873" s="69"/>
      <c r="C873" s="69"/>
      <c r="D873" s="69"/>
      <c r="E873" s="69"/>
      <c r="F873" s="103"/>
      <c r="G873" s="103"/>
      <c r="H873" s="103"/>
      <c r="I873" s="103"/>
      <c r="J873" s="95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2.75" customHeight="1" x14ac:dyDescent="0.3">
      <c r="A874" s="69"/>
      <c r="B874" s="69"/>
      <c r="C874" s="69"/>
      <c r="D874" s="69"/>
      <c r="E874" s="69"/>
      <c r="F874" s="103"/>
      <c r="G874" s="103"/>
      <c r="H874" s="103"/>
      <c r="I874" s="103"/>
      <c r="J874" s="95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2.75" customHeight="1" x14ac:dyDescent="0.3">
      <c r="A875" s="69"/>
      <c r="B875" s="69"/>
      <c r="C875" s="69"/>
      <c r="D875" s="69"/>
      <c r="E875" s="69"/>
      <c r="F875" s="103"/>
      <c r="G875" s="103"/>
      <c r="H875" s="103"/>
      <c r="I875" s="103"/>
      <c r="J875" s="95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2.75" customHeight="1" x14ac:dyDescent="0.3">
      <c r="A876" s="69"/>
      <c r="B876" s="69"/>
      <c r="C876" s="69"/>
      <c r="D876" s="69"/>
      <c r="E876" s="69"/>
      <c r="F876" s="103"/>
      <c r="G876" s="103"/>
      <c r="H876" s="103"/>
      <c r="I876" s="103"/>
      <c r="J876" s="95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2.75" customHeight="1" x14ac:dyDescent="0.3">
      <c r="A877" s="69"/>
      <c r="B877" s="69"/>
      <c r="C877" s="69"/>
      <c r="D877" s="69"/>
      <c r="E877" s="69"/>
      <c r="F877" s="103"/>
      <c r="G877" s="103"/>
      <c r="H877" s="103"/>
      <c r="I877" s="103"/>
      <c r="J877" s="95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2.75" customHeight="1" x14ac:dyDescent="0.3">
      <c r="A878" s="69"/>
      <c r="B878" s="69"/>
      <c r="C878" s="69"/>
      <c r="D878" s="69"/>
      <c r="E878" s="69"/>
      <c r="F878" s="103"/>
      <c r="G878" s="103"/>
      <c r="H878" s="103"/>
      <c r="I878" s="103"/>
      <c r="J878" s="95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2.75" customHeight="1" x14ac:dyDescent="0.3">
      <c r="A879" s="69"/>
      <c r="B879" s="69"/>
      <c r="C879" s="69"/>
      <c r="D879" s="69"/>
      <c r="E879" s="69"/>
      <c r="F879" s="103"/>
      <c r="G879" s="103"/>
      <c r="H879" s="103"/>
      <c r="I879" s="103"/>
      <c r="J879" s="95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2.75" customHeight="1" x14ac:dyDescent="0.3">
      <c r="A880" s="69"/>
      <c r="B880" s="69"/>
      <c r="C880" s="69"/>
      <c r="D880" s="69"/>
      <c r="E880" s="69"/>
      <c r="F880" s="103"/>
      <c r="G880" s="103"/>
      <c r="H880" s="103"/>
      <c r="I880" s="103"/>
      <c r="J880" s="95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2.75" customHeight="1" x14ac:dyDescent="0.3">
      <c r="A881" s="69"/>
      <c r="B881" s="69"/>
      <c r="C881" s="69"/>
      <c r="D881" s="69"/>
      <c r="E881" s="69"/>
      <c r="F881" s="103"/>
      <c r="G881" s="103"/>
      <c r="H881" s="103"/>
      <c r="I881" s="103"/>
      <c r="J881" s="95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2.75" customHeight="1" x14ac:dyDescent="0.3">
      <c r="A882" s="69"/>
      <c r="B882" s="69"/>
      <c r="C882" s="69"/>
      <c r="D882" s="69"/>
      <c r="E882" s="69"/>
      <c r="F882" s="103"/>
      <c r="G882" s="103"/>
      <c r="H882" s="103"/>
      <c r="I882" s="103"/>
      <c r="J882" s="95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2.75" customHeight="1" x14ac:dyDescent="0.3">
      <c r="A883" s="69"/>
      <c r="B883" s="69"/>
      <c r="C883" s="69"/>
      <c r="D883" s="69"/>
      <c r="E883" s="69"/>
      <c r="F883" s="103"/>
      <c r="G883" s="103"/>
      <c r="H883" s="103"/>
      <c r="I883" s="103"/>
      <c r="J883" s="95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2.75" customHeight="1" x14ac:dyDescent="0.3">
      <c r="A884" s="69"/>
      <c r="B884" s="69"/>
      <c r="C884" s="69"/>
      <c r="D884" s="69"/>
      <c r="E884" s="69"/>
      <c r="F884" s="103"/>
      <c r="G884" s="103"/>
      <c r="H884" s="103"/>
      <c r="I884" s="103"/>
      <c r="J884" s="95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2.75" customHeight="1" x14ac:dyDescent="0.3">
      <c r="A885" s="69"/>
      <c r="B885" s="69"/>
      <c r="C885" s="69"/>
      <c r="D885" s="69"/>
      <c r="E885" s="69"/>
      <c r="F885" s="103"/>
      <c r="G885" s="103"/>
      <c r="H885" s="103"/>
      <c r="I885" s="103"/>
      <c r="J885" s="95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2.75" customHeight="1" x14ac:dyDescent="0.3">
      <c r="A886" s="69"/>
      <c r="B886" s="69"/>
      <c r="C886" s="69"/>
      <c r="D886" s="69"/>
      <c r="E886" s="69"/>
      <c r="F886" s="103"/>
      <c r="G886" s="103"/>
      <c r="H886" s="103"/>
      <c r="I886" s="103"/>
      <c r="J886" s="95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2.75" customHeight="1" x14ac:dyDescent="0.3">
      <c r="A887" s="69"/>
      <c r="B887" s="69"/>
      <c r="C887" s="69"/>
      <c r="D887" s="69"/>
      <c r="E887" s="69"/>
      <c r="F887" s="103"/>
      <c r="G887" s="103"/>
      <c r="H887" s="103"/>
      <c r="I887" s="103"/>
      <c r="J887" s="95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2.75" customHeight="1" x14ac:dyDescent="0.3">
      <c r="A888" s="69"/>
      <c r="B888" s="69"/>
      <c r="C888" s="69"/>
      <c r="D888" s="69"/>
      <c r="E888" s="69"/>
      <c r="F888" s="103"/>
      <c r="G888" s="103"/>
      <c r="H888" s="103"/>
      <c r="I888" s="103"/>
      <c r="J888" s="95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2.75" customHeight="1" x14ac:dyDescent="0.3">
      <c r="A889" s="69"/>
      <c r="B889" s="69"/>
      <c r="C889" s="69"/>
      <c r="D889" s="69"/>
      <c r="E889" s="69"/>
      <c r="F889" s="103"/>
      <c r="G889" s="103"/>
      <c r="H889" s="103"/>
      <c r="I889" s="103"/>
      <c r="J889" s="95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2.75" customHeight="1" x14ac:dyDescent="0.3">
      <c r="A890" s="69"/>
      <c r="B890" s="69"/>
      <c r="C890" s="69"/>
      <c r="D890" s="69"/>
      <c r="E890" s="69"/>
      <c r="F890" s="103"/>
      <c r="G890" s="103"/>
      <c r="H890" s="103"/>
      <c r="I890" s="103"/>
      <c r="J890" s="95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2.75" customHeight="1" x14ac:dyDescent="0.3">
      <c r="A891" s="69"/>
      <c r="B891" s="69"/>
      <c r="C891" s="69"/>
      <c r="D891" s="69"/>
      <c r="E891" s="69"/>
      <c r="F891" s="103"/>
      <c r="G891" s="103"/>
      <c r="H891" s="103"/>
      <c r="I891" s="103"/>
      <c r="J891" s="95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2.75" customHeight="1" x14ac:dyDescent="0.3">
      <c r="A892" s="69"/>
      <c r="B892" s="69"/>
      <c r="C892" s="69"/>
      <c r="D892" s="69"/>
      <c r="E892" s="69"/>
      <c r="F892" s="103"/>
      <c r="G892" s="103"/>
      <c r="H892" s="103"/>
      <c r="I892" s="103"/>
      <c r="J892" s="95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2.75" customHeight="1" x14ac:dyDescent="0.3">
      <c r="A893" s="69"/>
      <c r="B893" s="69"/>
      <c r="C893" s="69"/>
      <c r="D893" s="69"/>
      <c r="E893" s="69"/>
      <c r="F893" s="103"/>
      <c r="G893" s="103"/>
      <c r="H893" s="103"/>
      <c r="I893" s="103"/>
      <c r="J893" s="95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2.75" customHeight="1" x14ac:dyDescent="0.3">
      <c r="A894" s="69"/>
      <c r="B894" s="69"/>
      <c r="C894" s="69"/>
      <c r="D894" s="69"/>
      <c r="E894" s="69"/>
      <c r="F894" s="103"/>
      <c r="G894" s="103"/>
      <c r="H894" s="103"/>
      <c r="I894" s="103"/>
      <c r="J894" s="95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2.75" customHeight="1" x14ac:dyDescent="0.3">
      <c r="A895" s="69"/>
      <c r="B895" s="69"/>
      <c r="C895" s="69"/>
      <c r="D895" s="69"/>
      <c r="E895" s="69"/>
      <c r="F895" s="103"/>
      <c r="G895" s="103"/>
      <c r="H895" s="103"/>
      <c r="I895" s="103"/>
      <c r="J895" s="95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2.75" customHeight="1" x14ac:dyDescent="0.3">
      <c r="A896" s="69"/>
      <c r="B896" s="69"/>
      <c r="C896" s="69"/>
      <c r="D896" s="69"/>
      <c r="E896" s="69"/>
      <c r="F896" s="103"/>
      <c r="G896" s="103"/>
      <c r="H896" s="103"/>
      <c r="I896" s="103"/>
      <c r="J896" s="95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2.75" customHeight="1" x14ac:dyDescent="0.3">
      <c r="A897" s="69"/>
      <c r="B897" s="69"/>
      <c r="C897" s="69"/>
      <c r="D897" s="69"/>
      <c r="E897" s="69"/>
      <c r="F897" s="103"/>
      <c r="G897" s="103"/>
      <c r="H897" s="103"/>
      <c r="I897" s="103"/>
      <c r="J897" s="95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2.75" customHeight="1" x14ac:dyDescent="0.3">
      <c r="A898" s="69"/>
      <c r="B898" s="69"/>
      <c r="C898" s="69"/>
      <c r="D898" s="69"/>
      <c r="E898" s="69"/>
      <c r="F898" s="103"/>
      <c r="G898" s="103"/>
      <c r="H898" s="103"/>
      <c r="I898" s="103"/>
      <c r="J898" s="95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2.75" customHeight="1" x14ac:dyDescent="0.3">
      <c r="A899" s="69"/>
      <c r="B899" s="69"/>
      <c r="C899" s="69"/>
      <c r="D899" s="69"/>
      <c r="E899" s="69"/>
      <c r="F899" s="103"/>
      <c r="G899" s="103"/>
      <c r="H899" s="103"/>
      <c r="I899" s="103"/>
      <c r="J899" s="95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2.75" customHeight="1" x14ac:dyDescent="0.3">
      <c r="A900" s="69"/>
      <c r="B900" s="69"/>
      <c r="C900" s="69"/>
      <c r="D900" s="69"/>
      <c r="E900" s="69"/>
      <c r="F900" s="103"/>
      <c r="G900" s="103"/>
      <c r="H900" s="103"/>
      <c r="I900" s="103"/>
      <c r="J900" s="95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2.75" customHeight="1" x14ac:dyDescent="0.3">
      <c r="A901" s="69"/>
      <c r="B901" s="69"/>
      <c r="C901" s="69"/>
      <c r="D901" s="69"/>
      <c r="E901" s="69"/>
      <c r="F901" s="103"/>
      <c r="G901" s="103"/>
      <c r="H901" s="103"/>
      <c r="I901" s="103"/>
      <c r="J901" s="95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2.75" customHeight="1" x14ac:dyDescent="0.3">
      <c r="A902" s="69"/>
      <c r="B902" s="69"/>
      <c r="C902" s="69"/>
      <c r="D902" s="69"/>
      <c r="E902" s="69"/>
      <c r="F902" s="103"/>
      <c r="G902" s="103"/>
      <c r="H902" s="103"/>
      <c r="I902" s="103"/>
      <c r="J902" s="95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2.75" customHeight="1" x14ac:dyDescent="0.3">
      <c r="A903" s="69"/>
      <c r="B903" s="69"/>
      <c r="C903" s="69"/>
      <c r="D903" s="69"/>
      <c r="E903" s="69"/>
      <c r="F903" s="103"/>
      <c r="G903" s="103"/>
      <c r="H903" s="103"/>
      <c r="I903" s="103"/>
      <c r="J903" s="95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2.75" customHeight="1" x14ac:dyDescent="0.3">
      <c r="A904" s="69"/>
      <c r="B904" s="69"/>
      <c r="C904" s="69"/>
      <c r="D904" s="69"/>
      <c r="E904" s="69"/>
      <c r="F904" s="103"/>
      <c r="G904" s="103"/>
      <c r="H904" s="103"/>
      <c r="I904" s="103"/>
      <c r="J904" s="95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2.75" customHeight="1" x14ac:dyDescent="0.3">
      <c r="A905" s="69"/>
      <c r="B905" s="69"/>
      <c r="C905" s="69"/>
      <c r="D905" s="69"/>
      <c r="E905" s="69"/>
      <c r="F905" s="103"/>
      <c r="G905" s="103"/>
      <c r="H905" s="103"/>
      <c r="I905" s="103"/>
      <c r="J905" s="95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2.75" customHeight="1" x14ac:dyDescent="0.3">
      <c r="A906" s="69"/>
      <c r="B906" s="69"/>
      <c r="C906" s="69"/>
      <c r="D906" s="69"/>
      <c r="E906" s="69"/>
      <c r="F906" s="103"/>
      <c r="G906" s="103"/>
      <c r="H906" s="103"/>
      <c r="I906" s="103"/>
      <c r="J906" s="95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2.75" customHeight="1" x14ac:dyDescent="0.3">
      <c r="A907" s="69"/>
      <c r="B907" s="69"/>
      <c r="C907" s="69"/>
      <c r="D907" s="69"/>
      <c r="E907" s="69"/>
      <c r="F907" s="103"/>
      <c r="G907" s="103"/>
      <c r="H907" s="103"/>
      <c r="I907" s="103"/>
      <c r="J907" s="95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2.75" customHeight="1" x14ac:dyDescent="0.3">
      <c r="A908" s="69"/>
      <c r="B908" s="69"/>
      <c r="C908" s="69"/>
      <c r="D908" s="69"/>
      <c r="E908" s="69"/>
      <c r="F908" s="103"/>
      <c r="G908" s="103"/>
      <c r="H908" s="103"/>
      <c r="I908" s="103"/>
      <c r="J908" s="95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2.75" customHeight="1" x14ac:dyDescent="0.3">
      <c r="A909" s="69"/>
      <c r="B909" s="69"/>
      <c r="C909" s="69"/>
      <c r="D909" s="69"/>
      <c r="E909" s="69"/>
      <c r="F909" s="103"/>
      <c r="G909" s="103"/>
      <c r="H909" s="103"/>
      <c r="I909" s="103"/>
      <c r="J909" s="95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2.75" customHeight="1" x14ac:dyDescent="0.3">
      <c r="A910" s="69"/>
      <c r="B910" s="69"/>
      <c r="C910" s="69"/>
      <c r="D910" s="69"/>
      <c r="E910" s="69"/>
      <c r="F910" s="103"/>
      <c r="G910" s="103"/>
      <c r="H910" s="103"/>
      <c r="I910" s="103"/>
      <c r="J910" s="95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2.75" customHeight="1" x14ac:dyDescent="0.3">
      <c r="A911" s="69"/>
      <c r="B911" s="69"/>
      <c r="C911" s="69"/>
      <c r="D911" s="69"/>
      <c r="E911" s="69"/>
      <c r="F911" s="103"/>
      <c r="G911" s="103"/>
      <c r="H911" s="103"/>
      <c r="I911" s="103"/>
      <c r="J911" s="95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2.75" customHeight="1" x14ac:dyDescent="0.3">
      <c r="A912" s="69"/>
      <c r="B912" s="69"/>
      <c r="C912" s="69"/>
      <c r="D912" s="69"/>
      <c r="E912" s="69"/>
      <c r="F912" s="103"/>
      <c r="G912" s="103"/>
      <c r="H912" s="103"/>
      <c r="I912" s="103"/>
      <c r="J912" s="95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2.75" customHeight="1" x14ac:dyDescent="0.3">
      <c r="A913" s="69"/>
      <c r="B913" s="69"/>
      <c r="C913" s="69"/>
      <c r="D913" s="69"/>
      <c r="E913" s="69"/>
      <c r="F913" s="103"/>
      <c r="G913" s="103"/>
      <c r="H913" s="103"/>
      <c r="I913" s="103"/>
      <c r="J913" s="95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2.75" customHeight="1" x14ac:dyDescent="0.3">
      <c r="A914" s="69"/>
      <c r="B914" s="69"/>
      <c r="C914" s="69"/>
      <c r="D914" s="69"/>
      <c r="E914" s="69"/>
      <c r="F914" s="103"/>
      <c r="G914" s="103"/>
      <c r="H914" s="103"/>
      <c r="I914" s="103"/>
      <c r="J914" s="95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2.75" customHeight="1" x14ac:dyDescent="0.3">
      <c r="A915" s="69"/>
      <c r="B915" s="69"/>
      <c r="C915" s="69"/>
      <c r="D915" s="69"/>
      <c r="E915" s="69"/>
      <c r="F915" s="103"/>
      <c r="G915" s="103"/>
      <c r="H915" s="103"/>
      <c r="I915" s="103"/>
      <c r="J915" s="95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2.75" customHeight="1" x14ac:dyDescent="0.3">
      <c r="A916" s="69"/>
      <c r="B916" s="69"/>
      <c r="C916" s="69"/>
      <c r="D916" s="69"/>
      <c r="E916" s="69"/>
      <c r="F916" s="103"/>
      <c r="G916" s="103"/>
      <c r="H916" s="103"/>
      <c r="I916" s="103"/>
      <c r="J916" s="95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2.75" customHeight="1" x14ac:dyDescent="0.3">
      <c r="A917" s="69"/>
      <c r="B917" s="69"/>
      <c r="C917" s="69"/>
      <c r="D917" s="69"/>
      <c r="E917" s="69"/>
      <c r="F917" s="103"/>
      <c r="G917" s="103"/>
      <c r="H917" s="103"/>
      <c r="I917" s="103"/>
      <c r="J917" s="95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2.75" customHeight="1" x14ac:dyDescent="0.3">
      <c r="A918" s="69"/>
      <c r="B918" s="69"/>
      <c r="C918" s="69"/>
      <c r="D918" s="69"/>
      <c r="E918" s="69"/>
      <c r="F918" s="103"/>
      <c r="G918" s="103"/>
      <c r="H918" s="103"/>
      <c r="I918" s="103"/>
      <c r="J918" s="95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2.75" customHeight="1" x14ac:dyDescent="0.3">
      <c r="A919" s="69"/>
      <c r="B919" s="69"/>
      <c r="C919" s="69"/>
      <c r="D919" s="69"/>
      <c r="E919" s="69"/>
      <c r="F919" s="103"/>
      <c r="G919" s="103"/>
      <c r="H919" s="103"/>
      <c r="I919" s="103"/>
      <c r="J919" s="95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2.75" customHeight="1" x14ac:dyDescent="0.3">
      <c r="A920" s="69"/>
      <c r="B920" s="69"/>
      <c r="C920" s="69"/>
      <c r="D920" s="69"/>
      <c r="E920" s="69"/>
      <c r="F920" s="103"/>
      <c r="G920" s="103"/>
      <c r="H920" s="103"/>
      <c r="I920" s="103"/>
      <c r="J920" s="95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2.75" customHeight="1" x14ac:dyDescent="0.3">
      <c r="A921" s="69"/>
      <c r="B921" s="69"/>
      <c r="C921" s="69"/>
      <c r="D921" s="69"/>
      <c r="E921" s="69"/>
      <c r="F921" s="103"/>
      <c r="G921" s="103"/>
      <c r="H921" s="103"/>
      <c r="I921" s="103"/>
      <c r="J921" s="95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2.75" customHeight="1" x14ac:dyDescent="0.3">
      <c r="A922" s="69"/>
      <c r="B922" s="69"/>
      <c r="C922" s="69"/>
      <c r="D922" s="69"/>
      <c r="E922" s="69"/>
      <c r="F922" s="103"/>
      <c r="G922" s="103"/>
      <c r="H922" s="103"/>
      <c r="I922" s="103"/>
      <c r="J922" s="95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2.75" customHeight="1" x14ac:dyDescent="0.3">
      <c r="A923" s="69"/>
      <c r="B923" s="69"/>
      <c r="C923" s="69"/>
      <c r="D923" s="69"/>
      <c r="E923" s="69"/>
      <c r="F923" s="103"/>
      <c r="G923" s="103"/>
      <c r="H923" s="103"/>
      <c r="I923" s="103"/>
      <c r="J923" s="95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2.75" customHeight="1" x14ac:dyDescent="0.3">
      <c r="A924" s="69"/>
      <c r="B924" s="69"/>
      <c r="C924" s="69"/>
      <c r="D924" s="69"/>
      <c r="E924" s="69"/>
      <c r="F924" s="103"/>
      <c r="G924" s="103"/>
      <c r="H924" s="103"/>
      <c r="I924" s="103"/>
      <c r="J924" s="95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2.75" customHeight="1" x14ac:dyDescent="0.3">
      <c r="A925" s="69"/>
      <c r="B925" s="69"/>
      <c r="C925" s="69"/>
      <c r="D925" s="69"/>
      <c r="E925" s="69"/>
      <c r="F925" s="103"/>
      <c r="G925" s="103"/>
      <c r="H925" s="103"/>
      <c r="I925" s="103"/>
      <c r="J925" s="95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2.75" customHeight="1" x14ac:dyDescent="0.3">
      <c r="A926" s="69"/>
      <c r="B926" s="69"/>
      <c r="C926" s="69"/>
      <c r="D926" s="69"/>
      <c r="E926" s="69"/>
      <c r="F926" s="103"/>
      <c r="G926" s="103"/>
      <c r="H926" s="103"/>
      <c r="I926" s="103"/>
      <c r="J926" s="95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2.75" customHeight="1" x14ac:dyDescent="0.3">
      <c r="A927" s="69"/>
      <c r="B927" s="69"/>
      <c r="C927" s="69"/>
      <c r="D927" s="69"/>
      <c r="E927" s="69"/>
      <c r="F927" s="103"/>
      <c r="G927" s="103"/>
      <c r="H927" s="103"/>
      <c r="I927" s="103"/>
      <c r="J927" s="95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2.75" customHeight="1" x14ac:dyDescent="0.3">
      <c r="A928" s="69"/>
      <c r="B928" s="69"/>
      <c r="C928" s="69"/>
      <c r="D928" s="69"/>
      <c r="E928" s="69"/>
      <c r="F928" s="103"/>
      <c r="G928" s="103"/>
      <c r="H928" s="103"/>
      <c r="I928" s="103"/>
      <c r="J928" s="95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2.75" customHeight="1" x14ac:dyDescent="0.3">
      <c r="A929" s="69"/>
      <c r="B929" s="69"/>
      <c r="C929" s="69"/>
      <c r="D929" s="69"/>
      <c r="E929" s="69"/>
      <c r="F929" s="103"/>
      <c r="G929" s="103"/>
      <c r="H929" s="103"/>
      <c r="I929" s="103"/>
      <c r="J929" s="95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2.75" customHeight="1" x14ac:dyDescent="0.3">
      <c r="A930" s="69"/>
      <c r="B930" s="69"/>
      <c r="C930" s="69"/>
      <c r="D930" s="69"/>
      <c r="E930" s="69"/>
      <c r="F930" s="103"/>
      <c r="G930" s="103"/>
      <c r="H930" s="103"/>
      <c r="I930" s="103"/>
      <c r="J930" s="95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2.75" customHeight="1" x14ac:dyDescent="0.3">
      <c r="A931" s="69"/>
      <c r="B931" s="69"/>
      <c r="C931" s="69"/>
      <c r="D931" s="69"/>
      <c r="E931" s="69"/>
      <c r="F931" s="103"/>
      <c r="G931" s="103"/>
      <c r="H931" s="103"/>
      <c r="I931" s="103"/>
      <c r="J931" s="95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2.75" customHeight="1" x14ac:dyDescent="0.3">
      <c r="A932" s="69"/>
      <c r="B932" s="69"/>
      <c r="C932" s="69"/>
      <c r="D932" s="69"/>
      <c r="E932" s="69"/>
      <c r="F932" s="103"/>
      <c r="G932" s="103"/>
      <c r="H932" s="103"/>
      <c r="I932" s="103"/>
      <c r="J932" s="95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2.75" customHeight="1" x14ac:dyDescent="0.3">
      <c r="A933" s="69"/>
      <c r="B933" s="69"/>
      <c r="C933" s="69"/>
      <c r="D933" s="69"/>
      <c r="E933" s="69"/>
      <c r="F933" s="103"/>
      <c r="G933" s="103"/>
      <c r="H933" s="103"/>
      <c r="I933" s="103"/>
      <c r="J933" s="95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2.75" customHeight="1" x14ac:dyDescent="0.3">
      <c r="A934" s="69"/>
      <c r="B934" s="69"/>
      <c r="C934" s="69"/>
      <c r="D934" s="69"/>
      <c r="E934" s="69"/>
      <c r="F934" s="103"/>
      <c r="G934" s="103"/>
      <c r="H934" s="103"/>
      <c r="I934" s="103"/>
      <c r="J934" s="95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2.75" customHeight="1" x14ac:dyDescent="0.3">
      <c r="A935" s="69"/>
      <c r="B935" s="69"/>
      <c r="C935" s="69"/>
      <c r="D935" s="69"/>
      <c r="E935" s="69"/>
      <c r="F935" s="103"/>
      <c r="G935" s="103"/>
      <c r="H935" s="103"/>
      <c r="I935" s="103"/>
      <c r="J935" s="95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2.75" customHeight="1" x14ac:dyDescent="0.3">
      <c r="A936" s="69"/>
      <c r="B936" s="69"/>
      <c r="C936" s="69"/>
      <c r="D936" s="69"/>
      <c r="E936" s="69"/>
      <c r="F936" s="103"/>
      <c r="G936" s="103"/>
      <c r="H936" s="103"/>
      <c r="I936" s="103"/>
      <c r="J936" s="95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2.75" customHeight="1" x14ac:dyDescent="0.3">
      <c r="A937" s="69"/>
      <c r="B937" s="69"/>
      <c r="C937" s="69"/>
      <c r="D937" s="69"/>
      <c r="E937" s="69"/>
      <c r="F937" s="103"/>
      <c r="G937" s="103"/>
      <c r="H937" s="103"/>
      <c r="I937" s="103"/>
      <c r="J937" s="95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2.75" customHeight="1" x14ac:dyDescent="0.3">
      <c r="A938" s="69"/>
      <c r="B938" s="69"/>
      <c r="C938" s="69"/>
      <c r="D938" s="69"/>
      <c r="E938" s="69"/>
      <c r="F938" s="103"/>
      <c r="G938" s="103"/>
      <c r="H938" s="103"/>
      <c r="I938" s="103"/>
      <c r="J938" s="95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2.75" customHeight="1" x14ac:dyDescent="0.3">
      <c r="A939" s="69"/>
      <c r="B939" s="69"/>
      <c r="C939" s="69"/>
      <c r="D939" s="69"/>
      <c r="E939" s="69"/>
      <c r="F939" s="103"/>
      <c r="G939" s="103"/>
      <c r="H939" s="103"/>
      <c r="I939" s="103"/>
      <c r="J939" s="95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2.75" customHeight="1" x14ac:dyDescent="0.3">
      <c r="A940" s="69"/>
      <c r="B940" s="69"/>
      <c r="C940" s="69"/>
      <c r="D940" s="69"/>
      <c r="E940" s="69"/>
      <c r="F940" s="103"/>
      <c r="G940" s="103"/>
      <c r="H940" s="103"/>
      <c r="I940" s="103"/>
      <c r="J940" s="95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2.75" customHeight="1" x14ac:dyDescent="0.3">
      <c r="A941" s="69"/>
      <c r="B941" s="69"/>
      <c r="C941" s="69"/>
      <c r="D941" s="69"/>
      <c r="E941" s="69"/>
      <c r="F941" s="103"/>
      <c r="G941" s="103"/>
      <c r="H941" s="103"/>
      <c r="I941" s="103"/>
      <c r="J941" s="95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2.75" customHeight="1" x14ac:dyDescent="0.3">
      <c r="A942" s="69"/>
      <c r="B942" s="69"/>
      <c r="C942" s="69"/>
      <c r="D942" s="69"/>
      <c r="E942" s="69"/>
      <c r="F942" s="103"/>
      <c r="G942" s="103"/>
      <c r="H942" s="103"/>
      <c r="I942" s="103"/>
      <c r="J942" s="95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2.75" customHeight="1" x14ac:dyDescent="0.3">
      <c r="A943" s="69"/>
      <c r="B943" s="69"/>
      <c r="C943" s="69"/>
      <c r="D943" s="69"/>
      <c r="E943" s="69"/>
      <c r="F943" s="103"/>
      <c r="G943" s="103"/>
      <c r="H943" s="103"/>
      <c r="I943" s="103"/>
      <c r="J943" s="95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2.75" customHeight="1" x14ac:dyDescent="0.3">
      <c r="A944" s="69"/>
      <c r="B944" s="69"/>
      <c r="C944" s="69"/>
      <c r="D944" s="69"/>
      <c r="E944" s="69"/>
      <c r="F944" s="103"/>
      <c r="G944" s="103"/>
      <c r="H944" s="103"/>
      <c r="I944" s="103"/>
      <c r="J944" s="95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2.75" customHeight="1" x14ac:dyDescent="0.3">
      <c r="A945" s="69"/>
      <c r="B945" s="69"/>
      <c r="C945" s="69"/>
      <c r="D945" s="69"/>
      <c r="E945" s="69"/>
      <c r="F945" s="103"/>
      <c r="G945" s="103"/>
      <c r="H945" s="103"/>
      <c r="I945" s="103"/>
      <c r="J945" s="95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2.75" customHeight="1" x14ac:dyDescent="0.3">
      <c r="A946" s="69"/>
      <c r="B946" s="69"/>
      <c r="C946" s="69"/>
      <c r="D946" s="69"/>
      <c r="E946" s="69"/>
      <c r="F946" s="103"/>
      <c r="G946" s="103"/>
      <c r="H946" s="103"/>
      <c r="I946" s="103"/>
      <c r="J946" s="95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2.75" customHeight="1" x14ac:dyDescent="0.3">
      <c r="A947" s="69"/>
      <c r="B947" s="69"/>
      <c r="C947" s="69"/>
      <c r="D947" s="69"/>
      <c r="E947" s="69"/>
      <c r="F947" s="103"/>
      <c r="G947" s="103"/>
      <c r="H947" s="103"/>
      <c r="I947" s="103"/>
      <c r="J947" s="95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2.75" customHeight="1" x14ac:dyDescent="0.3">
      <c r="A948" s="69"/>
      <c r="B948" s="69"/>
      <c r="C948" s="69"/>
      <c r="D948" s="69"/>
      <c r="E948" s="69"/>
      <c r="F948" s="103"/>
      <c r="G948" s="103"/>
      <c r="H948" s="103"/>
      <c r="I948" s="103"/>
      <c r="J948" s="95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2.75" customHeight="1" x14ac:dyDescent="0.3">
      <c r="A949" s="69"/>
      <c r="B949" s="69"/>
      <c r="C949" s="69"/>
      <c r="D949" s="69"/>
      <c r="E949" s="69"/>
      <c r="F949" s="103"/>
      <c r="G949" s="103"/>
      <c r="H949" s="103"/>
      <c r="I949" s="103"/>
      <c r="J949" s="95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2.75" customHeight="1" x14ac:dyDescent="0.3">
      <c r="A950" s="69"/>
      <c r="B950" s="69"/>
      <c r="C950" s="69"/>
      <c r="D950" s="69"/>
      <c r="E950" s="69"/>
      <c r="F950" s="103"/>
      <c r="G950" s="103"/>
      <c r="H950" s="103"/>
      <c r="I950" s="103"/>
      <c r="J950" s="95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2.75" customHeight="1" x14ac:dyDescent="0.3">
      <c r="A951" s="69"/>
      <c r="B951" s="69"/>
      <c r="C951" s="69"/>
      <c r="D951" s="69"/>
      <c r="E951" s="69"/>
      <c r="F951" s="103"/>
      <c r="G951" s="103"/>
      <c r="H951" s="103"/>
      <c r="I951" s="103"/>
      <c r="J951" s="95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2.75" customHeight="1" x14ac:dyDescent="0.3">
      <c r="A952" s="69"/>
      <c r="B952" s="69"/>
      <c r="C952" s="69"/>
      <c r="D952" s="69"/>
      <c r="E952" s="69"/>
      <c r="F952" s="103"/>
      <c r="G952" s="103"/>
      <c r="H952" s="103"/>
      <c r="I952" s="103"/>
      <c r="J952" s="95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2.75" customHeight="1" x14ac:dyDescent="0.3">
      <c r="A953" s="69"/>
      <c r="B953" s="69"/>
      <c r="C953" s="69"/>
      <c r="D953" s="69"/>
      <c r="E953" s="69"/>
      <c r="F953" s="103"/>
      <c r="G953" s="103"/>
      <c r="H953" s="103"/>
      <c r="I953" s="103"/>
      <c r="J953" s="95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2.75" customHeight="1" x14ac:dyDescent="0.3">
      <c r="A954" s="69"/>
      <c r="B954" s="69"/>
      <c r="C954" s="69"/>
      <c r="D954" s="69"/>
      <c r="E954" s="69"/>
      <c r="F954" s="103"/>
      <c r="G954" s="103"/>
      <c r="H954" s="103"/>
      <c r="I954" s="103"/>
      <c r="J954" s="95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2.75" customHeight="1" x14ac:dyDescent="0.3">
      <c r="A955" s="69"/>
      <c r="B955" s="69"/>
      <c r="C955" s="69"/>
      <c r="D955" s="69"/>
      <c r="E955" s="69"/>
      <c r="F955" s="103"/>
      <c r="G955" s="103"/>
      <c r="H955" s="103"/>
      <c r="I955" s="103"/>
      <c r="J955" s="95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2.75" customHeight="1" x14ac:dyDescent="0.3">
      <c r="A956" s="69"/>
      <c r="B956" s="69"/>
      <c r="C956" s="69"/>
      <c r="D956" s="69"/>
      <c r="E956" s="69"/>
      <c r="F956" s="103"/>
      <c r="G956" s="103"/>
      <c r="H956" s="103"/>
      <c r="I956" s="103"/>
      <c r="J956" s="95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2.75" customHeight="1" x14ac:dyDescent="0.3">
      <c r="A957" s="69"/>
      <c r="B957" s="69"/>
      <c r="C957" s="69"/>
      <c r="D957" s="69"/>
      <c r="E957" s="69"/>
      <c r="F957" s="103"/>
      <c r="G957" s="103"/>
      <c r="H957" s="103"/>
      <c r="I957" s="103"/>
      <c r="J957" s="95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2.75" customHeight="1" x14ac:dyDescent="0.3">
      <c r="A958" s="69"/>
      <c r="B958" s="69"/>
      <c r="C958" s="69"/>
      <c r="D958" s="69"/>
      <c r="E958" s="69"/>
      <c r="F958" s="103"/>
      <c r="G958" s="103"/>
      <c r="H958" s="103"/>
      <c r="I958" s="103"/>
      <c r="J958" s="95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2.75" customHeight="1" x14ac:dyDescent="0.3">
      <c r="A959" s="69"/>
      <c r="B959" s="69"/>
      <c r="C959" s="69"/>
      <c r="D959" s="69"/>
      <c r="E959" s="69"/>
      <c r="F959" s="103"/>
      <c r="G959" s="103"/>
      <c r="H959" s="103"/>
      <c r="I959" s="103"/>
      <c r="J959" s="95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2.75" customHeight="1" x14ac:dyDescent="0.3">
      <c r="A960" s="69"/>
      <c r="B960" s="69"/>
      <c r="C960" s="69"/>
      <c r="D960" s="69"/>
      <c r="E960" s="69"/>
      <c r="F960" s="103"/>
      <c r="G960" s="103"/>
      <c r="H960" s="103"/>
      <c r="I960" s="103"/>
      <c r="J960" s="95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2.75" customHeight="1" x14ac:dyDescent="0.3">
      <c r="A961" s="69"/>
      <c r="B961" s="69"/>
      <c r="C961" s="69"/>
      <c r="D961" s="69"/>
      <c r="E961" s="69"/>
      <c r="F961" s="103"/>
      <c r="G961" s="103"/>
      <c r="H961" s="103"/>
      <c r="I961" s="103"/>
      <c r="J961" s="95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2.75" customHeight="1" x14ac:dyDescent="0.3">
      <c r="A962" s="69"/>
      <c r="B962" s="69"/>
      <c r="C962" s="69"/>
      <c r="D962" s="69"/>
      <c r="E962" s="69"/>
      <c r="F962" s="103"/>
      <c r="G962" s="103"/>
      <c r="H962" s="103"/>
      <c r="I962" s="103"/>
      <c r="J962" s="95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2.75" customHeight="1" x14ac:dyDescent="0.3">
      <c r="A963" s="69"/>
      <c r="B963" s="69"/>
      <c r="C963" s="69"/>
      <c r="D963" s="69"/>
      <c r="E963" s="69"/>
      <c r="F963" s="103"/>
      <c r="G963" s="103"/>
      <c r="H963" s="103"/>
      <c r="I963" s="103"/>
      <c r="J963" s="95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2.75" customHeight="1" x14ac:dyDescent="0.3">
      <c r="A964" s="69"/>
      <c r="B964" s="69"/>
      <c r="C964" s="69"/>
      <c r="D964" s="69"/>
      <c r="E964" s="69"/>
      <c r="F964" s="103"/>
      <c r="G964" s="103"/>
      <c r="H964" s="103"/>
      <c r="I964" s="103"/>
      <c r="J964" s="95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2.75" customHeight="1" x14ac:dyDescent="0.3">
      <c r="A965" s="69"/>
      <c r="B965" s="69"/>
      <c r="C965" s="69"/>
      <c r="D965" s="69"/>
      <c r="E965" s="69"/>
      <c r="F965" s="103"/>
      <c r="G965" s="103"/>
      <c r="H965" s="103"/>
      <c r="I965" s="103"/>
      <c r="J965" s="95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2.75" customHeight="1" x14ac:dyDescent="0.3">
      <c r="A966" s="69"/>
      <c r="B966" s="69"/>
      <c r="C966" s="69"/>
      <c r="D966" s="69"/>
      <c r="E966" s="69"/>
      <c r="F966" s="103"/>
      <c r="G966" s="103"/>
      <c r="H966" s="103"/>
      <c r="I966" s="103"/>
      <c r="J966" s="95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2.75" customHeight="1" x14ac:dyDescent="0.3">
      <c r="A967" s="69"/>
      <c r="B967" s="69"/>
      <c r="C967" s="69"/>
      <c r="D967" s="69"/>
      <c r="E967" s="69"/>
      <c r="F967" s="103"/>
      <c r="G967" s="103"/>
      <c r="H967" s="103"/>
      <c r="I967" s="103"/>
      <c r="J967" s="95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2.75" customHeight="1" x14ac:dyDescent="0.3">
      <c r="A968" s="69"/>
      <c r="B968" s="69"/>
      <c r="C968" s="69"/>
      <c r="D968" s="69"/>
      <c r="E968" s="69"/>
      <c r="F968" s="103"/>
      <c r="G968" s="103"/>
      <c r="H968" s="103"/>
      <c r="I968" s="103"/>
      <c r="J968" s="95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2.75" customHeight="1" x14ac:dyDescent="0.3">
      <c r="A969" s="69"/>
      <c r="B969" s="69"/>
      <c r="C969" s="69"/>
      <c r="D969" s="69"/>
      <c r="E969" s="69"/>
      <c r="F969" s="103"/>
      <c r="G969" s="103"/>
      <c r="H969" s="103"/>
      <c r="I969" s="103"/>
      <c r="J969" s="95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2.75" customHeight="1" x14ac:dyDescent="0.3">
      <c r="A970" s="69"/>
      <c r="B970" s="69"/>
      <c r="C970" s="69"/>
      <c r="D970" s="69"/>
      <c r="E970" s="69"/>
      <c r="F970" s="103"/>
      <c r="G970" s="103"/>
      <c r="H970" s="103"/>
      <c r="I970" s="103"/>
      <c r="J970" s="95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2.75" customHeight="1" x14ac:dyDescent="0.3">
      <c r="A971" s="69"/>
      <c r="B971" s="69"/>
      <c r="C971" s="69"/>
      <c r="D971" s="69"/>
      <c r="E971" s="69"/>
      <c r="F971" s="103"/>
      <c r="G971" s="103"/>
      <c r="H971" s="103"/>
      <c r="I971" s="103"/>
      <c r="J971" s="95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2.75" customHeight="1" x14ac:dyDescent="0.3">
      <c r="A972" s="69"/>
      <c r="B972" s="69"/>
      <c r="C972" s="69"/>
      <c r="D972" s="69"/>
      <c r="E972" s="69"/>
      <c r="F972" s="103"/>
      <c r="G972" s="103"/>
      <c r="H972" s="103"/>
      <c r="I972" s="103"/>
      <c r="J972" s="95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2.75" customHeight="1" x14ac:dyDescent="0.3">
      <c r="A973" s="69"/>
      <c r="B973" s="69"/>
      <c r="C973" s="69"/>
      <c r="D973" s="69"/>
      <c r="E973" s="69"/>
      <c r="F973" s="103"/>
      <c r="G973" s="103"/>
      <c r="H973" s="103"/>
      <c r="I973" s="103"/>
      <c r="J973" s="95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2.75" customHeight="1" x14ac:dyDescent="0.3">
      <c r="A974" s="69"/>
      <c r="B974" s="69"/>
      <c r="C974" s="69"/>
      <c r="D974" s="69"/>
      <c r="E974" s="69"/>
      <c r="F974" s="103"/>
      <c r="G974" s="103"/>
      <c r="H974" s="103"/>
      <c r="I974" s="103"/>
      <c r="J974" s="95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2.75" customHeight="1" x14ac:dyDescent="0.3">
      <c r="A975" s="69"/>
      <c r="B975" s="69"/>
      <c r="C975" s="69"/>
      <c r="D975" s="69"/>
      <c r="E975" s="69"/>
      <c r="F975" s="103"/>
      <c r="G975" s="103"/>
      <c r="H975" s="103"/>
      <c r="I975" s="103"/>
      <c r="J975" s="95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2.75" customHeight="1" x14ac:dyDescent="0.3">
      <c r="A976" s="69"/>
      <c r="B976" s="69"/>
      <c r="C976" s="69"/>
      <c r="D976" s="69"/>
      <c r="E976" s="69"/>
      <c r="F976" s="103"/>
      <c r="G976" s="103"/>
      <c r="H976" s="103"/>
      <c r="I976" s="103"/>
      <c r="J976" s="95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2.75" customHeight="1" x14ac:dyDescent="0.3">
      <c r="A977" s="69"/>
      <c r="B977" s="69"/>
      <c r="C977" s="69"/>
      <c r="D977" s="69"/>
      <c r="E977" s="69"/>
      <c r="F977" s="103"/>
      <c r="G977" s="103"/>
      <c r="H977" s="103"/>
      <c r="I977" s="103"/>
      <c r="J977" s="95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2.75" customHeight="1" x14ac:dyDescent="0.3">
      <c r="A978" s="69"/>
      <c r="B978" s="69"/>
      <c r="C978" s="69"/>
      <c r="D978" s="69"/>
      <c r="E978" s="69"/>
      <c r="F978" s="103"/>
      <c r="G978" s="103"/>
      <c r="H978" s="103"/>
      <c r="I978" s="103"/>
      <c r="J978" s="95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2.75" customHeight="1" x14ac:dyDescent="0.3">
      <c r="A979" s="69"/>
      <c r="B979" s="69"/>
      <c r="C979" s="69"/>
      <c r="D979" s="69"/>
      <c r="E979" s="69"/>
      <c r="F979" s="103"/>
      <c r="G979" s="103"/>
      <c r="H979" s="103"/>
      <c r="I979" s="103"/>
      <c r="J979" s="95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2.75" customHeight="1" x14ac:dyDescent="0.3">
      <c r="A980" s="69"/>
      <c r="B980" s="69"/>
      <c r="C980" s="69"/>
      <c r="D980" s="69"/>
      <c r="E980" s="69"/>
      <c r="F980" s="103"/>
      <c r="G980" s="103"/>
      <c r="H980" s="103"/>
      <c r="I980" s="103"/>
      <c r="J980" s="95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2.75" customHeight="1" x14ac:dyDescent="0.3">
      <c r="A981" s="69"/>
      <c r="B981" s="69"/>
      <c r="C981" s="69"/>
      <c r="D981" s="69"/>
      <c r="E981" s="69"/>
      <c r="F981" s="103"/>
      <c r="G981" s="103"/>
      <c r="H981" s="103"/>
      <c r="I981" s="103"/>
      <c r="J981" s="95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2.75" customHeight="1" x14ac:dyDescent="0.3">
      <c r="A982" s="69"/>
      <c r="B982" s="69"/>
      <c r="C982" s="69"/>
      <c r="D982" s="69"/>
      <c r="E982" s="69"/>
      <c r="F982" s="103"/>
      <c r="G982" s="103"/>
      <c r="H982" s="103"/>
      <c r="I982" s="103"/>
      <c r="J982" s="95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2.75" customHeight="1" x14ac:dyDescent="0.3">
      <c r="A983" s="69"/>
      <c r="B983" s="69"/>
      <c r="C983" s="69"/>
      <c r="D983" s="69"/>
      <c r="E983" s="69"/>
      <c r="F983" s="103"/>
      <c r="G983" s="103"/>
      <c r="H983" s="103"/>
      <c r="I983" s="103"/>
      <c r="J983" s="95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2.75" customHeight="1" x14ac:dyDescent="0.3">
      <c r="A984" s="69"/>
      <c r="B984" s="69"/>
      <c r="C984" s="69"/>
      <c r="D984" s="69"/>
      <c r="E984" s="69"/>
      <c r="F984" s="103"/>
      <c r="G984" s="103"/>
      <c r="H984" s="103"/>
      <c r="I984" s="103"/>
      <c r="J984" s="95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2.75" customHeight="1" x14ac:dyDescent="0.3">
      <c r="A985" s="69"/>
      <c r="B985" s="69"/>
      <c r="C985" s="69"/>
      <c r="D985" s="69"/>
      <c r="E985" s="69"/>
      <c r="F985" s="103"/>
      <c r="G985" s="103"/>
      <c r="H985" s="103"/>
      <c r="I985" s="103"/>
      <c r="J985" s="95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2.75" customHeight="1" x14ac:dyDescent="0.3">
      <c r="A986" s="69"/>
      <c r="B986" s="69"/>
      <c r="C986" s="69"/>
      <c r="D986" s="69"/>
      <c r="E986" s="69"/>
      <c r="F986" s="103"/>
      <c r="G986" s="103"/>
      <c r="H986" s="103"/>
      <c r="I986" s="103"/>
      <c r="J986" s="95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2.75" customHeight="1" x14ac:dyDescent="0.3">
      <c r="A987" s="69"/>
      <c r="B987" s="69"/>
      <c r="C987" s="69"/>
      <c r="D987" s="69"/>
      <c r="E987" s="69"/>
      <c r="F987" s="103"/>
      <c r="G987" s="103"/>
      <c r="H987" s="103"/>
      <c r="I987" s="103"/>
      <c r="J987" s="95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2.75" customHeight="1" x14ac:dyDescent="0.3">
      <c r="A988" s="69"/>
      <c r="B988" s="69"/>
      <c r="C988" s="69"/>
      <c r="D988" s="69"/>
      <c r="E988" s="69"/>
      <c r="F988" s="103"/>
      <c r="G988" s="103"/>
      <c r="H988" s="103"/>
      <c r="I988" s="103"/>
      <c r="J988" s="95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2.75" customHeight="1" x14ac:dyDescent="0.3">
      <c r="A989" s="69"/>
      <c r="B989" s="69"/>
      <c r="C989" s="69"/>
      <c r="D989" s="69"/>
      <c r="E989" s="69"/>
      <c r="F989" s="103"/>
      <c r="G989" s="103"/>
      <c r="H989" s="103"/>
      <c r="I989" s="103"/>
      <c r="J989" s="95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2.75" customHeight="1" x14ac:dyDescent="0.3">
      <c r="A990" s="69"/>
      <c r="B990" s="69"/>
      <c r="C990" s="69"/>
      <c r="D990" s="69"/>
      <c r="E990" s="69"/>
      <c r="F990" s="103"/>
      <c r="G990" s="103"/>
      <c r="H990" s="103"/>
      <c r="I990" s="103"/>
      <c r="J990" s="95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2.75" customHeight="1" x14ac:dyDescent="0.3">
      <c r="A991" s="69"/>
      <c r="B991" s="69"/>
      <c r="C991" s="69"/>
      <c r="D991" s="69"/>
      <c r="E991" s="69"/>
      <c r="F991" s="103"/>
      <c r="G991" s="103"/>
      <c r="H991" s="103"/>
      <c r="I991" s="103"/>
      <c r="J991" s="95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2.75" customHeight="1" x14ac:dyDescent="0.3">
      <c r="A992" s="69"/>
      <c r="B992" s="69"/>
      <c r="C992" s="69"/>
      <c r="D992" s="69"/>
      <c r="E992" s="69"/>
      <c r="F992" s="103"/>
      <c r="G992" s="103"/>
      <c r="H992" s="103"/>
      <c r="I992" s="103"/>
      <c r="J992" s="95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2.75" customHeight="1" x14ac:dyDescent="0.3">
      <c r="A993" s="69"/>
      <c r="B993" s="69"/>
      <c r="C993" s="69"/>
      <c r="D993" s="69"/>
      <c r="E993" s="69"/>
      <c r="F993" s="103"/>
      <c r="G993" s="103"/>
      <c r="H993" s="103"/>
      <c r="I993" s="103"/>
      <c r="J993" s="95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2.75" customHeight="1" x14ac:dyDescent="0.3">
      <c r="A994" s="69"/>
      <c r="B994" s="69"/>
      <c r="C994" s="69"/>
      <c r="D994" s="69"/>
      <c r="E994" s="69"/>
      <c r="F994" s="103"/>
      <c r="G994" s="103"/>
      <c r="H994" s="103"/>
      <c r="I994" s="103"/>
      <c r="J994" s="95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2.75" customHeight="1" x14ac:dyDescent="0.3">
      <c r="A995" s="69"/>
      <c r="B995" s="69"/>
      <c r="C995" s="69"/>
      <c r="D995" s="69"/>
      <c r="E995" s="69"/>
      <c r="F995" s="103"/>
      <c r="G995" s="103"/>
      <c r="H995" s="103"/>
      <c r="I995" s="103"/>
      <c r="J995" s="95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2.75" customHeight="1" x14ac:dyDescent="0.3">
      <c r="A996" s="69"/>
      <c r="B996" s="69"/>
      <c r="C996" s="69"/>
      <c r="D996" s="69"/>
      <c r="E996" s="69"/>
      <c r="F996" s="103"/>
      <c r="G996" s="103"/>
      <c r="H996" s="103"/>
      <c r="I996" s="103"/>
      <c r="J996" s="95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12.75" customHeight="1" x14ac:dyDescent="0.3">
      <c r="A997" s="69"/>
      <c r="B997" s="69"/>
      <c r="C997" s="69"/>
      <c r="D997" s="69"/>
      <c r="E997" s="69"/>
      <c r="F997" s="103"/>
      <c r="G997" s="103"/>
      <c r="H997" s="103"/>
      <c r="I997" s="103"/>
      <c r="J997" s="95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12.75" customHeight="1" x14ac:dyDescent="0.3">
      <c r="A998" s="69"/>
      <c r="B998" s="69"/>
      <c r="C998" s="69"/>
      <c r="D998" s="69"/>
      <c r="E998" s="69"/>
      <c r="F998" s="103"/>
      <c r="G998" s="103"/>
      <c r="H998" s="103"/>
      <c r="I998" s="103"/>
      <c r="J998" s="95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12.75" customHeight="1" x14ac:dyDescent="0.3">
      <c r="A999" s="69"/>
      <c r="B999" s="69"/>
      <c r="C999" s="69"/>
      <c r="D999" s="69"/>
      <c r="E999" s="69"/>
      <c r="F999" s="103"/>
      <c r="G999" s="103"/>
      <c r="H999" s="103"/>
      <c r="I999" s="103"/>
      <c r="J999" s="95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 ht="12.75" customHeight="1" x14ac:dyDescent="0.3">
      <c r="A1000" s="69"/>
      <c r="B1000" s="69"/>
      <c r="C1000" s="69"/>
      <c r="D1000" s="69"/>
      <c r="E1000" s="69"/>
      <c r="F1000" s="103"/>
      <c r="G1000" s="103"/>
      <c r="H1000" s="103"/>
      <c r="I1000" s="103"/>
      <c r="J1000" s="95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autoFilter ref="B2:K28" xr:uid="{00000000-0009-0000-0000-00000C000000}"/>
  <dataValidations count="1">
    <dataValidation type="list" allowBlank="1" showErrorMessage="1" sqref="G11" xr:uid="{00000000-0002-0000-0C00-000000000000}">
      <formula1>$G$3:$G$232</formula1>
    </dataValidation>
  </dataValidations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1"/>
  <dimension ref="B2:P1000"/>
  <sheetViews>
    <sheetView showGridLines="0" workbookViewId="0">
      <selection activeCell="L3" sqref="L3:L14"/>
    </sheetView>
  </sheetViews>
  <sheetFormatPr defaultColWidth="14.44140625" defaultRowHeight="15" customHeight="1" x14ac:dyDescent="0.3"/>
  <cols>
    <col min="1" max="1" width="2.33203125" customWidth="1"/>
    <col min="2" max="2" width="21.109375" customWidth="1"/>
    <col min="3" max="3" width="8.6640625" customWidth="1"/>
    <col min="4" max="4" width="27.109375" customWidth="1"/>
    <col min="5" max="5" width="8.6640625" customWidth="1"/>
    <col min="6" max="6" width="24.88671875" customWidth="1"/>
    <col min="7" max="7" width="8.6640625" customWidth="1"/>
    <col min="8" max="8" width="15" customWidth="1"/>
    <col min="9" max="9" width="8.6640625" customWidth="1"/>
    <col min="10" max="10" width="12.88671875" customWidth="1"/>
    <col min="11" max="11" width="8.6640625" customWidth="1"/>
    <col min="12" max="12" width="22.109375" customWidth="1"/>
    <col min="13" max="13" width="8.6640625" customWidth="1"/>
    <col min="14" max="14" width="6.88671875" customWidth="1"/>
    <col min="15" max="15" width="8.6640625" customWidth="1"/>
    <col min="16" max="16" width="15.109375" customWidth="1"/>
    <col min="17" max="26" width="8.6640625" customWidth="1"/>
  </cols>
  <sheetData>
    <row r="2" spans="2:16" ht="15.6" x14ac:dyDescent="0.3">
      <c r="B2" s="109" t="s">
        <v>117</v>
      </c>
      <c r="D2" s="109" t="s">
        <v>118</v>
      </c>
      <c r="F2" s="109" t="s">
        <v>120</v>
      </c>
      <c r="H2" s="109" t="s">
        <v>123</v>
      </c>
      <c r="J2" s="109" t="s">
        <v>264</v>
      </c>
      <c r="L2" s="109" t="s">
        <v>119</v>
      </c>
      <c r="N2" s="109" t="s">
        <v>265</v>
      </c>
      <c r="P2" s="109" t="s">
        <v>131</v>
      </c>
    </row>
    <row r="3" spans="2:16" ht="14.4" x14ac:dyDescent="0.3">
      <c r="B3" s="110"/>
      <c r="D3" s="110" t="s">
        <v>151</v>
      </c>
      <c r="F3" s="110" t="s">
        <v>153</v>
      </c>
      <c r="H3" s="110" t="s">
        <v>303</v>
      </c>
      <c r="J3" s="110" t="s">
        <v>226</v>
      </c>
      <c r="L3" s="110" t="s">
        <v>2546</v>
      </c>
      <c r="N3" s="110" t="s">
        <v>142</v>
      </c>
      <c r="P3" s="110" t="s">
        <v>145</v>
      </c>
    </row>
    <row r="4" spans="2:16" ht="14.4" x14ac:dyDescent="0.3">
      <c r="B4" s="110" t="s">
        <v>266</v>
      </c>
      <c r="D4" s="110" t="s">
        <v>147</v>
      </c>
      <c r="F4" s="110" t="s">
        <v>267</v>
      </c>
      <c r="H4" s="110"/>
      <c r="J4" s="110" t="s">
        <v>268</v>
      </c>
      <c r="L4" s="110" t="s">
        <v>2547</v>
      </c>
      <c r="N4" s="110" t="s">
        <v>269</v>
      </c>
      <c r="P4" s="110" t="s">
        <v>270</v>
      </c>
    </row>
    <row r="5" spans="2:16" ht="14.4" x14ac:dyDescent="0.3">
      <c r="B5" s="110" t="s">
        <v>140</v>
      </c>
      <c r="D5" s="110" t="s">
        <v>160</v>
      </c>
      <c r="F5" s="110" t="s">
        <v>141</v>
      </c>
      <c r="H5" s="110"/>
      <c r="L5" s="110" t="s">
        <v>2548</v>
      </c>
      <c r="N5" s="110" t="s">
        <v>154</v>
      </c>
      <c r="P5" s="110" t="s">
        <v>297</v>
      </c>
    </row>
    <row r="6" spans="2:16" ht="14.4" x14ac:dyDescent="0.3">
      <c r="B6" s="110" t="s">
        <v>146</v>
      </c>
      <c r="D6" s="110" t="s">
        <v>159</v>
      </c>
      <c r="F6" s="111" t="s">
        <v>271</v>
      </c>
      <c r="H6" s="110"/>
      <c r="L6" s="110" t="s">
        <v>2549</v>
      </c>
      <c r="N6" s="110" t="s">
        <v>152</v>
      </c>
    </row>
    <row r="7" spans="2:16" ht="14.4" x14ac:dyDescent="0.3">
      <c r="F7" s="111" t="s">
        <v>148</v>
      </c>
      <c r="H7" s="110"/>
      <c r="L7" s="110" t="s">
        <v>2550</v>
      </c>
      <c r="N7" s="112" t="s">
        <v>156</v>
      </c>
    </row>
    <row r="8" spans="2:16" ht="14.4" x14ac:dyDescent="0.3">
      <c r="F8" s="111" t="s">
        <v>2538</v>
      </c>
      <c r="L8" s="110" t="s">
        <v>2551</v>
      </c>
      <c r="N8" s="112" t="s">
        <v>157</v>
      </c>
    </row>
    <row r="9" spans="2:16" ht="14.4" x14ac:dyDescent="0.3">
      <c r="L9" s="110" t="s">
        <v>2552</v>
      </c>
      <c r="N9" s="112" t="s">
        <v>272</v>
      </c>
    </row>
    <row r="10" spans="2:16" ht="14.4" x14ac:dyDescent="0.3">
      <c r="L10" s="110" t="s">
        <v>2553</v>
      </c>
    </row>
    <row r="11" spans="2:16" ht="15.6" x14ac:dyDescent="0.3">
      <c r="B11" s="109" t="s">
        <v>273</v>
      </c>
      <c r="L11" s="110" t="s">
        <v>2554</v>
      </c>
    </row>
    <row r="12" spans="2:16" ht="14.4" x14ac:dyDescent="0.3">
      <c r="B12" s="110" t="s">
        <v>143</v>
      </c>
      <c r="L12" s="110" t="s">
        <v>2555</v>
      </c>
    </row>
    <row r="13" spans="2:16" ht="14.4" x14ac:dyDescent="0.3">
      <c r="B13" s="110" t="s">
        <v>274</v>
      </c>
      <c r="L13" s="110" t="s">
        <v>2556</v>
      </c>
    </row>
    <row r="14" spans="2:16" ht="14.4" x14ac:dyDescent="0.3">
      <c r="B14" s="110" t="s">
        <v>149</v>
      </c>
      <c r="L14" s="110" t="s">
        <v>2557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</worksheet>
</file>

<file path=docMetadata/LabelInfo.xml><?xml version="1.0" encoding="utf-8"?>
<clbl:labelList xmlns:clbl="http://schemas.microsoft.com/office/2020/mipLabelMetadata">
  <clbl:label id="{cdac03a7-e156-4c4b-b35d-d580a54520f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6</vt:i4>
      </vt:variant>
    </vt:vector>
  </HeadingPairs>
  <TitlesOfParts>
    <vt:vector size="21" baseType="lpstr">
      <vt:lpstr>MC BA</vt:lpstr>
      <vt:lpstr>Consolidado</vt:lpstr>
      <vt:lpstr>Tabela</vt:lpstr>
      <vt:lpstr>Mapa Geral</vt:lpstr>
      <vt:lpstr>Digitalização Click</vt:lpstr>
      <vt:lpstr>Atendimentos</vt:lpstr>
      <vt:lpstr>Digitalização Projeto</vt:lpstr>
      <vt:lpstr>Catalogação projeto</vt:lpstr>
      <vt:lpstr>Planilha1</vt:lpstr>
      <vt:lpstr>Planilha2</vt:lpstr>
      <vt:lpstr>Planilha3</vt:lpstr>
      <vt:lpstr>Fretes cálculo</vt:lpstr>
      <vt:lpstr>Relação de ordens de serviço</vt:lpstr>
      <vt:lpstr>Combos</vt:lpstr>
      <vt:lpstr>Base</vt:lpstr>
      <vt:lpstr>ARMCXDOC</vt:lpstr>
      <vt:lpstr>ARMCXMID</vt:lpstr>
      <vt:lpstr>ARMMA</vt:lpstr>
      <vt:lpstr>ARMMIC</vt:lpstr>
      <vt:lpstr>ARMMID</vt:lpstr>
      <vt:lpstr>ARMTB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alamo.diretoria@outlook.com</dc:creator>
  <cp:lastModifiedBy>Thelmo Pinheiro Sym - PrestServ</cp:lastModifiedBy>
  <dcterms:created xsi:type="dcterms:W3CDTF">2021-05-25T21:02:45Z</dcterms:created>
  <dcterms:modified xsi:type="dcterms:W3CDTF">2026-08-28T14:55:32Z</dcterms:modified>
</cp:coreProperties>
</file>