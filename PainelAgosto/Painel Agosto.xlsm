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omments3.xml" ContentType="application/vnd.openxmlformats-officedocument.spreadsheetml.comments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comments4.xml" ContentType="application/vnd.openxmlformats-officedocument.spreadsheetml.comments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comments5.xml" ContentType="application/vnd.openxmlformats-officedocument.spreadsheetml.comments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tables/table23.xml" ContentType="application/vnd.openxmlformats-officedocument.spreadsheetml.table+xml"/>
  <Override PartName="/xl/queryTables/queryTable22.xml" ContentType="application/vnd.openxmlformats-officedocument.spreadsheetml.query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-main\PainelAgosto\"/>
    </mc:Choice>
  </mc:AlternateContent>
  <xr:revisionPtr revIDLastSave="0" documentId="13_ncr:1_{5607FECC-872E-4A1D-9DFC-11CA50FD5BE0}" xr6:coauthVersionLast="47" xr6:coauthVersionMax="47" xr10:uidLastSave="{00000000-0000-0000-0000-000000000000}"/>
  <bookViews>
    <workbookView xWindow="-108" yWindow="-108" windowWidth="30936" windowHeight="16776" tabRatio="885" xr2:uid="{00000000-000D-0000-FFFF-FFFF00000000}"/>
  </bookViews>
  <sheets>
    <sheet name="TabelaFDMPorContrato" sheetId="33" r:id="rId1"/>
    <sheet name="Painel" sheetId="71" r:id="rId2"/>
    <sheet name="Painel T2M" sheetId="75" r:id="rId3"/>
    <sheet name="LOG_CRITICAS" sheetId="74" r:id="rId4"/>
    <sheet name="DASHBOARD" sheetId="73" state="hidden" r:id="rId5"/>
    <sheet name="Validações" sheetId="21" r:id="rId6"/>
    <sheet name="MC_IRON-LT1-ES" sheetId="67" r:id="rId7"/>
    <sheet name="ARM_IRON-LT1-ES" sheetId="58" r:id="rId8"/>
    <sheet name="DADOS_IRON-LT1-ES" sheetId="59" r:id="rId9"/>
    <sheet name="FRETE_IRON-LT1-ES" sheetId="60" r:id="rId10"/>
    <sheet name="MC_IRON-LT1-SP" sheetId="68" r:id="rId11"/>
    <sheet name="ARM_IRON-LT1-SP" sheetId="55" r:id="rId12"/>
    <sheet name="DADOS_IRON-LT1-SP" sheetId="56" r:id="rId13"/>
    <sheet name="FRETE_IRON-LT1-SP" sheetId="57" r:id="rId14"/>
    <sheet name="MC_IRON-LT1-RJ" sheetId="69" r:id="rId15"/>
    <sheet name="ARM_IRON-LT1-RJ" sheetId="47" r:id="rId16"/>
    <sheet name="DADOS_IRON-LT1-RJ" sheetId="76" r:id="rId17"/>
    <sheet name="PPU-IRON-LT1" sheetId="46" state="hidden" r:id="rId18"/>
    <sheet name="ARM_IRON-LT1" sheetId="64" state="hidden" r:id="rId19"/>
    <sheet name="Dados_IRON-LT1" sheetId="65" state="hidden" r:id="rId20"/>
    <sheet name="Frete_IRON-LT1" sheetId="66" state="hidden" r:id="rId21"/>
    <sheet name="MC_IRON-LT1" sheetId="32" state="hidden" r:id="rId22"/>
    <sheet name="FRETE_IRON-LT1-RJ" sheetId="77" r:id="rId23"/>
    <sheet name="MC_PA-LT2" sheetId="37" r:id="rId24"/>
    <sheet name="ARM_PA-LT2" sheetId="39" r:id="rId25"/>
    <sheet name="DADOS_PA-LT2" sheetId="40" r:id="rId26"/>
    <sheet name="FRETE_PA-LT2" sheetId="41" r:id="rId27"/>
    <sheet name="ARM" sheetId="27" r:id="rId28"/>
    <sheet name="DADOS" sheetId="29" r:id="rId29"/>
    <sheet name="Frete" sheetId="31" r:id="rId30"/>
    <sheet name="tabelaA" sheetId="3" r:id="rId31"/>
  </sheets>
  <definedNames>
    <definedName name="_xlnm._FilterDatabase" localSheetId="3" hidden="1">LOG_CRITICAS!$A$4:$I$4</definedName>
    <definedName name="aa">tabelaA!$T$4:$T$25</definedName>
    <definedName name="ARMCXDOC" localSheetId="6">'MC_IRON-LT1-ES'!$D$12</definedName>
    <definedName name="ARMCXDOC" localSheetId="14">'MC_IRON-LT1-RJ'!$D$12</definedName>
    <definedName name="ARMCXDOC" localSheetId="10">'MC_IRON-LT1-SP'!$D$12</definedName>
    <definedName name="ARMCXDOC">'MC_IRON-LT1'!$D$12</definedName>
    <definedName name="ARMCXMID" localSheetId="6">'MC_IRON-LT1-ES'!$D$15</definedName>
    <definedName name="ARMCXMID" localSheetId="14">'MC_IRON-LT1-RJ'!$D$15</definedName>
    <definedName name="ARMCXMID" localSheetId="10">'MC_IRON-LT1-SP'!$D$15</definedName>
    <definedName name="ARMCXMID">'MC_IRON-LT1'!$D$15</definedName>
    <definedName name="ARMMA" localSheetId="6">'MC_IRON-LT1-ES'!$D$21</definedName>
    <definedName name="ARMMA" localSheetId="14">'MC_IRON-LT1-RJ'!$D$21</definedName>
    <definedName name="ARMMA" localSheetId="10">'MC_IRON-LT1-SP'!$D$21</definedName>
    <definedName name="ARMMA">'MC_IRON-LT1'!$D$21</definedName>
    <definedName name="ARMMIC" localSheetId="6">'MC_IRON-LT1-ES'!$D$24</definedName>
    <definedName name="ARMMIC" localSheetId="14">'MC_IRON-LT1-RJ'!$D$24</definedName>
    <definedName name="ARMMIC" localSheetId="10">'MC_IRON-LT1-SP'!$D$24</definedName>
    <definedName name="ARMMIC">'MC_IRON-LT1'!$D$24</definedName>
    <definedName name="ARMMID" localSheetId="6">'MC_IRON-LT1-ES'!$D$27</definedName>
    <definedName name="ARMMID" localSheetId="14">'MC_IRON-LT1-RJ'!$D$27</definedName>
    <definedName name="ARMMID" localSheetId="10">'MC_IRON-LT1-SP'!$D$27</definedName>
    <definedName name="ARMMID">'MC_IRON-LT1'!$D$27</definedName>
    <definedName name="ARMTB" localSheetId="6">'MC_IRON-LT1-ES'!$D$18</definedName>
    <definedName name="ARMTB" localSheetId="14">'MC_IRON-LT1-RJ'!$D$18</definedName>
    <definedName name="ARMTB" localSheetId="10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18" hidden="1">'ARM_IRON-LT1'!$A$1:$K$24</definedName>
    <definedName name="DadosExternos_1" localSheetId="24" hidden="1">'ARM_PA-LT2'!$A$1:$J$15</definedName>
    <definedName name="DadosExternos_1" localSheetId="22" hidden="1">'FRETE_IRON-LT1-RJ'!$A$1:$R$123</definedName>
    <definedName name="DadosExternos_1" localSheetId="2" hidden="1">'Painel T2M'!$A$1:$BE$481</definedName>
    <definedName name="DadosExternos_1" localSheetId="0" hidden="1">TabelaFDMPorContrato!$A$1:$L$3</definedName>
    <definedName name="DadosExternos_10" localSheetId="13" hidden="1">'FRETE_IRON-LT1-SP'!$A$1:$R$14</definedName>
    <definedName name="DadosExternos_11" localSheetId="7" hidden="1">'ARM_IRON-LT1-ES'!$A$1:$K$2</definedName>
    <definedName name="DadosExternos_12" localSheetId="8" hidden="1">'DADOS_IRON-LT1-ES'!$A$1:$AF$10</definedName>
    <definedName name="DadosExternos_13" localSheetId="9" hidden="1">'FRETE_IRON-LT1-ES'!$A$1:$R$6</definedName>
    <definedName name="DadosExternos_15" localSheetId="16" hidden="1">'DADOS_IRON-LT1-RJ'!$A$1:$AF$325</definedName>
    <definedName name="DadosExternos_2" localSheetId="15" hidden="1">'ARM_IRON-LT1-RJ'!$A$1:$J$10</definedName>
    <definedName name="DadosExternos_2" localSheetId="19" hidden="1">'Dados_IRON-LT1'!$A$1:$AF$368</definedName>
    <definedName name="DadosExternos_2" localSheetId="25" hidden="1">'DADOS_PA-LT2'!$A$1:$AF$114</definedName>
    <definedName name="DadosExternos_3" localSheetId="20" hidden="1">'Frete_IRON-LT1'!$A$1:$R$141</definedName>
    <definedName name="DadosExternos_3" localSheetId="26" hidden="1">'FRETE_PA-LT2'!$A$1:$R$3</definedName>
    <definedName name="DadosExternos_3" localSheetId="17" hidden="1">'PPU-IRON-LT1'!$H$1:$M$23</definedName>
    <definedName name="DadosExternos_4" localSheetId="17" hidden="1">'PPU-IRON-LT1'!$A$1:$F$24</definedName>
    <definedName name="DadosExternos_6" localSheetId="27" hidden="1">ARM!$A$1:$K$38</definedName>
    <definedName name="DadosExternos_7" localSheetId="28" hidden="1">DADOS!$A$2:$AF$482</definedName>
    <definedName name="DadosExternos_8" localSheetId="11" hidden="1">'ARM_IRON-LT1-SP'!$A$1:$K$14</definedName>
    <definedName name="DadosExternos_8" localSheetId="29" hidden="1">Frete!$A$1:$R$143</definedName>
    <definedName name="DadosExternos_9" localSheetId="12" hidden="1">'DADOS_IRON-LT1-SP'!$A$1:$AF$35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Validações!#REF!</definedName>
    <definedName name="localTemplateLt2">Validações!#REF!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Painel!$D$7</definedName>
    <definedName name="PeriodoMes">Painel!$C$7</definedName>
    <definedName name="ra">tabelaA!$T$205:$T$206</definedName>
    <definedName name="SubDirLT1">Validações!#REF!</definedName>
    <definedName name="SubDirLT2">Validações!#REF!</definedName>
    <definedName name="ta">tabelaA!$T$84:$T$84</definedName>
    <definedName name="TabelaB">Validações!$D$8</definedName>
    <definedName name="TemplateLT1">Validações!#REF!</definedName>
    <definedName name="TemplateMCContratoLT1">Validações!#REF!</definedName>
    <definedName name="TemplateMCContratoLT2">Validações!#REF!</definedName>
    <definedName name="TemplateRLDadosMC">Validações!#REF!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3" i="67" l="1"/>
  <c r="J39" i="69"/>
  <c r="J40" i="69"/>
  <c r="J41" i="69"/>
  <c r="J42" i="69"/>
  <c r="J43" i="69"/>
  <c r="J44" i="69"/>
  <c r="J45" i="69"/>
  <c r="J46" i="69"/>
  <c r="J47" i="69"/>
  <c r="J38" i="69"/>
  <c r="J32" i="69"/>
  <c r="J31" i="69"/>
  <c r="J33" i="69"/>
  <c r="J34" i="69"/>
  <c r="J35" i="69"/>
  <c r="J36" i="69"/>
  <c r="J30" i="69"/>
  <c r="C28" i="73" l="1"/>
  <c r="C27" i="73"/>
  <c r="C26" i="73"/>
  <c r="C25" i="73"/>
  <c r="D5" i="21" a="1"/>
  <c r="J36" i="37"/>
  <c r="J35" i="37"/>
  <c r="J34" i="37"/>
  <c r="J33" i="37"/>
  <c r="J31" i="37"/>
  <c r="J30" i="37"/>
  <c r="J36" i="68" l="1"/>
  <c r="J35" i="68"/>
  <c r="J34" i="68"/>
  <c r="J33" i="68"/>
  <c r="J31" i="68"/>
  <c r="J30" i="68"/>
  <c r="J36" i="67"/>
  <c r="J35" i="67"/>
  <c r="J34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K32" i="69" l="1"/>
  <c r="K46" i="69"/>
  <c r="K44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M30" i="67" l="1"/>
  <c r="M16" i="68"/>
  <c r="M36" i="68"/>
  <c r="M34" i="67"/>
  <c r="M31" i="68"/>
  <c r="M31" i="69"/>
  <c r="M33" i="67"/>
  <c r="M30" i="68"/>
  <c r="M40" i="68"/>
  <c r="M32" i="68"/>
  <c r="M13" i="69"/>
  <c r="M33" i="69"/>
  <c r="M22" i="67"/>
  <c r="M31" i="67"/>
  <c r="M34" i="69"/>
  <c r="M32" i="67"/>
  <c r="M13" i="68"/>
  <c r="M38" i="68"/>
  <c r="M35" i="69"/>
  <c r="M36" i="69"/>
  <c r="M44" i="68"/>
  <c r="M35" i="68"/>
  <c r="M44" i="69"/>
  <c r="M36" i="67"/>
  <c r="M34" i="68"/>
  <c r="M46" i="69"/>
  <c r="M35" i="67"/>
  <c r="M33" i="68"/>
  <c r="M30" i="69"/>
  <c r="M32" i="69"/>
  <c r="K13" i="67"/>
  <c r="M13" i="67" s="1"/>
  <c r="H26" i="69"/>
  <c r="H17" i="69"/>
  <c r="H23" i="69"/>
  <c r="H29" i="69"/>
  <c r="H20" i="69"/>
  <c r="K28" i="69"/>
  <c r="M28" i="69" s="1"/>
  <c r="K22" i="69"/>
  <c r="M22" i="69" s="1"/>
  <c r="H14" i="69"/>
  <c r="K16" i="69"/>
  <c r="M16" i="69" s="1"/>
  <c r="K19" i="69"/>
  <c r="M19" i="69" s="1"/>
  <c r="K38" i="69"/>
  <c r="M38" i="69" s="1"/>
  <c r="K42" i="69"/>
  <c r="M42" i="69" s="1"/>
  <c r="K40" i="69"/>
  <c r="M40" i="69" s="1"/>
  <c r="K25" i="69"/>
  <c r="M25" i="69" s="1"/>
  <c r="K39" i="69"/>
  <c r="M39" i="69" s="1"/>
  <c r="K41" i="69"/>
  <c r="M41" i="69" s="1"/>
  <c r="K43" i="69"/>
  <c r="M43" i="69" s="1"/>
  <c r="K45" i="69"/>
  <c r="M45" i="69" s="1"/>
  <c r="K47" i="69"/>
  <c r="M47" i="69" s="1"/>
  <c r="H23" i="68"/>
  <c r="H29" i="68"/>
  <c r="H20" i="67"/>
  <c r="H26" i="67"/>
  <c r="K25" i="68"/>
  <c r="M25" i="68" s="1"/>
  <c r="H23" i="32"/>
  <c r="K19" i="68"/>
  <c r="M19" i="68" s="1"/>
  <c r="H17" i="68"/>
  <c r="H20" i="68"/>
  <c r="H26" i="68"/>
  <c r="H14" i="68"/>
  <c r="H17" i="67"/>
  <c r="H23" i="67"/>
  <c r="H29" i="67"/>
  <c r="K42" i="68"/>
  <c r="M42" i="68" s="1"/>
  <c r="K46" i="68"/>
  <c r="M46" i="68" s="1"/>
  <c r="K22" i="68"/>
  <c r="M22" i="68" s="1"/>
  <c r="K28" i="68"/>
  <c r="M28" i="68" s="1"/>
  <c r="K39" i="68"/>
  <c r="M39" i="68" s="1"/>
  <c r="K41" i="68"/>
  <c r="M41" i="68" s="1"/>
  <c r="K43" i="68"/>
  <c r="M43" i="68" s="1"/>
  <c r="K45" i="68"/>
  <c r="M45" i="68" s="1"/>
  <c r="K47" i="68"/>
  <c r="M47" i="68" s="1"/>
  <c r="K28" i="67"/>
  <c r="M28" i="67" s="1"/>
  <c r="H14" i="67"/>
  <c r="K16" i="67"/>
  <c r="M16" i="67" s="1"/>
  <c r="K19" i="67"/>
  <c r="M19" i="67" s="1"/>
  <c r="K38" i="67"/>
  <c r="M38" i="67" s="1"/>
  <c r="K40" i="67"/>
  <c r="M40" i="67" s="1"/>
  <c r="K42" i="67"/>
  <c r="M42" i="67" s="1"/>
  <c r="K44" i="67"/>
  <c r="M44" i="67" s="1"/>
  <c r="K46" i="67"/>
  <c r="M46" i="67" s="1"/>
  <c r="K25" i="67"/>
  <c r="M25" i="67" s="1"/>
  <c r="K39" i="67"/>
  <c r="M39" i="67" s="1"/>
  <c r="K41" i="67"/>
  <c r="M41" i="67" s="1"/>
  <c r="K43" i="67"/>
  <c r="M43" i="67" s="1"/>
  <c r="K45" i="67"/>
  <c r="M45" i="67" s="1"/>
  <c r="K47" i="67"/>
  <c r="M47" i="67" s="1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M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M46" i="37" s="1"/>
  <c r="K45" i="37"/>
  <c r="M45" i="37" s="1"/>
  <c r="K44" i="37"/>
  <c r="M44" i="37" s="1"/>
  <c r="K43" i="37"/>
  <c r="M43" i="37" s="1"/>
  <c r="K42" i="37"/>
  <c r="M42" i="37" s="1"/>
  <c r="K41" i="37"/>
  <c r="M41" i="37" s="1"/>
  <c r="K40" i="37"/>
  <c r="M40" i="37" s="1"/>
  <c r="K39" i="37"/>
  <c r="M39" i="37" s="1"/>
  <c r="K38" i="37"/>
  <c r="M38" i="37" s="1"/>
  <c r="K36" i="37"/>
  <c r="M36" i="37" s="1"/>
  <c r="K35" i="37"/>
  <c r="M35" i="37" s="1"/>
  <c r="K34" i="37"/>
  <c r="M34" i="37" s="1"/>
  <c r="K33" i="37"/>
  <c r="M33" i="37" s="1"/>
  <c r="K32" i="37"/>
  <c r="M32" i="37" s="1"/>
  <c r="K31" i="37"/>
  <c r="M31" i="37" s="1"/>
  <c r="K30" i="37"/>
  <c r="M30" i="37" s="1"/>
  <c r="K28" i="37"/>
  <c r="M28" i="37" s="1"/>
  <c r="K25" i="37"/>
  <c r="M25" i="37" s="1"/>
  <c r="K19" i="37"/>
  <c r="M19" i="37" s="1"/>
  <c r="K16" i="37"/>
  <c r="M16" i="37" s="1"/>
  <c r="H14" i="37"/>
  <c r="K13" i="37"/>
  <c r="M13" i="37" s="1"/>
  <c r="M47" i="32" l="1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6" i="21" a="1"/>
  <c r="D23" i="21" l="1"/>
  <c r="D19" i="21"/>
  <c r="D15" i="21"/>
  <c r="D9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E45059BF-FE3E-4B61-A44D-5A1EB70272BF}" keepAlive="1" name="Consulta - ARM_IRON-LT1" description="Conexão com a consulta 'ARM_IRON-LT1' na pasta de trabalho." type="5" refreshedVersion="8" saveData="1">
    <dbPr connection="Provider=Microsoft.Mashup.OleDb.1;Data Source=$Workbook$;Location=ARM_IRON-LT1;Extended Properties=&quot;&quot;" command="SELECT * FROM [ARM_IRON-LT1]"/>
  </connection>
  <connection id="3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4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5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6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7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8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9" xr16:uid="{896B3F24-2328-4DFD-B9FB-318F8C875487}" keepAlive="1" name="Consulta - Calendario(1)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10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1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2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3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4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5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6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7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8" xr16:uid="{58CA7CED-984B-48A1-BF65-488532C5CB99}" keepAlive="1" name="Consulta - DADOS_IRON-LT1" description="Conexão com a consulta 'DADOS_IRON-LT1' na pasta de trabalho." type="5" refreshedVersion="8" saveData="1">
    <dbPr connection="Provider=Microsoft.Mashup.OleDb.1;Data Source=$Workbook$;Location=DADOS_IRON-LT1;Extended Properties=&quot;&quot;" command="SELECT * FROM [DADOS_IRON-LT1]"/>
  </connection>
  <connection id="19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20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21" xr16:uid="{3ED231F2-8CB4-4475-A6E9-C5B3EEDEED8A}" keepAlive="1" name="Consulta - DADOS_IRON-LT1-RJ" description="Conexão com a consulta 'DADOS_IRON-LT1-RJ' na pasta de trabalho." type="5" refreshedVersion="8" saveData="1">
    <dbPr connection="Provider=Microsoft.Mashup.OleDb.1;Data Source=$Workbook$;Location=DADOS_IRON-LT1-RJ;Extended Properties=&quot;&quot;" command="SELECT * FROM [DADOS_IRON-LT1-RJ]"/>
  </connection>
  <connection id="22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3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4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5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6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7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8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29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30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31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2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3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4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5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6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7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8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39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40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41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2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3" xr16:uid="{2968551B-E4CD-4C37-A266-BEDC7FACDD61}" keepAlive="1" name="Consulta - FRETE_IRON-LT1" description="Conexão com a consulta 'FRETE_IRON-LT1' na pasta de trabalho." type="5" refreshedVersion="8" saveData="1">
    <dbPr connection="Provider=Microsoft.Mashup.OleDb.1;Data Source=$Workbook$;Location=FRETE_IRON-LT1;Extended Properties=&quot;&quot;" command="SELECT * FROM [FRETE_IRON-LT1]"/>
  </connection>
  <connection id="44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5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6" xr16:uid="{4F2CDC99-F0ED-49F3-B387-CD006CB99AF7}" keepAlive="1" name="Consulta - FRETE_IRON-LT1-RJ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7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8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49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50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51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52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3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4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5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6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7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8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59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0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61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62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3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4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5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6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7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8" xr16:uid="{A041846E-EE7C-4E4B-BEDF-A19DE17B26E5}" keepAlive="1" name="Consulta - Painel otimizado" description="Conexão com a consulta 'Painel otimizado' na pasta de trabalho." type="5" refreshedVersion="8" saveData="1">
    <dbPr connection="Provider=Microsoft.Mashup.OleDb.1;Data Source=$Workbook$;Location=&quot;Painel otimizado&quot;;Extended Properties=&quot;&quot;" command="SELECT * FROM [Painel otimizado]"/>
  </connection>
  <connection id="69" xr16:uid="{2F23ACAB-8CF3-4BB4-8261-B8AB56E7A096}" keepAlive="1" name="Consulta - Painel T2M" description="Conexão com a consulta 'Painel T2M' na pasta de trabalho." type="5" refreshedVersion="8" saveData="1">
    <dbPr connection="Provider=Microsoft.Mashup.OleDb.1;Data Source=$Workbook$;Location=&quot;Painel T2M&quot;;Extended Properties=&quot;&quot;" command="SELECT * FROM [Painel T2M]"/>
  </connection>
  <connection id="70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71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72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73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4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5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6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7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8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79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80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81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82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83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4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5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6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7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8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89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90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91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<sst xmlns="http://schemas.openxmlformats.org/spreadsheetml/2006/main" count="50182" uniqueCount="1959">
  <si>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</si>
  <si>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</si>
  <si>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</si>
  <si>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</si>
  <si>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</si>
  <si>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</si>
  <si>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</si>
  <si>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</si>
  <si>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</si>
  <si>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</si>
  <si>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</si>
  <si>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</si>
  <si>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</si>
  <si>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</si>
  <si>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</si>
  <si>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</si>
  <si>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</si>
  <si>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</si>
  <si>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</si>
  <si>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</si>
  <si>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</si>
  <si>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</si>
  <si>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</si>
  <si>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</si>
  <si>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</si>
  <si>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</si>
  <si>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</si>
  <si>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</si>
  <si>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</si>
  <si>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</si>
  <si>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</si>
  <si>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</si>
  <si>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</si>
  <si>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</si>
  <si>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</si>
  <si>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</si>
  <si>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</si>
  <si>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</si>
  <si>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</si>
  <si>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</si>
  <si>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</si>
  <si>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</si>
  <si>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</si>
  <si>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</si>
  <si>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</si>
  <si>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</si>
  <si>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</si>
  <si>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</si>
  <si>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</si>
  <si>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</si>
  <si>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</si>
  <si>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</si>
  <si>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</si>
  <si>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</si>
  <si>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</si>
  <si>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</si>
  <si>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</si>
  <si>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</si>
  <si>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</si>
  <si>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</si>
  <si>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</si>
  <si>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</si>
  <si>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</si>
  <si>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</si>
  <si>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</si>
  <si>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</si>
  <si>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</si>
  <si>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</si>
  <si>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</si>
  <si>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</si>
  <si>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</si>
  <si>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</si>
  <si>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</si>
  <si>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</si>
  <si>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</si>
  <si>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</si>
  <si>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</si>
  <si>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</si>
  <si>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</si>
  <si>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</si>
  <si>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</si>
  <si>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</si>
  <si>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</si>
  <si>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</si>
  <si>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</si>
  <si>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</si>
  <si>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</si>
  <si>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</si>
  <si>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</si>
  <si>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</si>
  <si>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</si>
  <si>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</si>
  <si>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</si>
  <si>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</si>
  <si>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</si>
  <si>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</si>
  <si>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</si>
  <si>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</si>
  <si>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</si>
  <si>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</si>
  <si>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</si>
  <si>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</si>
  <si>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</si>
  <si>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</si>
  <si>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</si>
  <si>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</si>
  <si>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</si>
  <si>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</si>
  <si>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</si>
  <si>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</si>
  <si>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</si>
  <si>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</si>
  <si>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</si>
  <si>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</si>
  <si>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</si>
  <si>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</si>
  <si>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</si>
  <si>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</si>
  <si>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</si>
  <si>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</si>
  <si>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</si>
  <si>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</si>
  <si>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</si>
  <si>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</si>
  <si>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</si>
  <si>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</si>
  <si>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</si>
  <si>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</si>
  <si>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</si>
  <si>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</si>
  <si>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</si>
  <si>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</si>
  <si>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</si>
  <si>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</si>
  <si>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</si>
  <si>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</si>
  <si>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</si>
  <si>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</si>
  <si>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</si>
  <si>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</si>
  <si>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</si>
  <si>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</si>
  <si>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CO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</si>
  <si>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</si>
  <si>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</si>
  <si>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</si>
  <si>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</si>
  <si>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</si>
  <si>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</si>
  <si>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</si>
  <si>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</si>
  <si>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</si>
  <si>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</si>
  <si>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</si>
  <si>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</si>
  <si>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</si>
  <si>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</si>
  <si>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</si>
  <si>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</si>
  <si>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</si>
  <si>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</si>
  <si>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</si>
  <si>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</si>
  <si>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</si>
  <si>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</si>
  <si>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</si>
  <si>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</si>
  <si>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</si>
  <si>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</si>
  <si>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</si>
  <si>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</si>
  <si>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</si>
  <si>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</si>
  <si>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</si>
  <si>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</si>
  <si>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</si>
  <si>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</si>
  <si>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</si>
  <si>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</si>
  <si>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</si>
  <si>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</si>
  <si>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</si>
  <si>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</si>
  <si>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</si>
  <si>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</si>
  <si>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</si>
  <si>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</si>
  <si>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</si>
  <si>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</si>
  <si>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</si>
  <si>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</si>
  <si>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</si>
  <si>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</si>
  <si>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</si>
  <si>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</si>
  <si>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</si>
  <si>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</si>
  <si>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</si>
  <si>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</si>
  <si>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</si>
  <si>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</si>
  <si>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</si>
  <si>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</si>
  <si>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</si>
  <si>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</si>
  <si>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</si>
  <si>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</si>
  <si>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</si>
  <si>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</si>
  <si>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</si>
  <si>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</si>
  <si>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</si>
  <si>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</si>
  <si>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</si>
  <si>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</si>
  <si>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</si>
  <si>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</si>
  <si>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</si>
  <si>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</si>
  <si>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</si>
  <si>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</si>
  <si>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</si>
  <si>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</si>
  <si>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</si>
  <si>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</si>
  <si>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</si>
  <si>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</si>
  <si>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</si>
  <si>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</si>
  <si>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</si>
  <si>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</si>
  <si>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</si>
  <si>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</si>
  <si>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</si>
  <si>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</si>
  <si>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</si>
  <si>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</si>
  <si>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</si>
  <si>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</si>
  <si>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</si>
  <si>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</si>
  <si>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</si>
  <si>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</si>
  <si>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</si>
  <si>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</si>
  <si>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</si>
  <si>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</si>
  <si>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</si>
  <si>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</si>
  <si>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</si>
  <si>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</si>
  <si>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</si>
  <si>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</si>
  <si>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</si>
  <si>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</si>
  <si>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</si>
  <si>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</si>
  <si>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</si>
  <si>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</si>
  <si>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</si>
  <si>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</si>
  <si>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</si>
  <si>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</si>
  <si>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</si>
  <si>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</si>
  <si>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</si>
  <si>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</si>
  <si>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</si>
  <si>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</si>
  <si>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</si>
  <si>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</si>
  <si>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</si>
  <si>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</si>
  <si>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</si>
  <si>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</si>
  <si>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</si>
  <si>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</si>
  <si>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</si>
  <si>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</si>
  <si>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</si>
  <si>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</si>
  <si>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</si>
  <si>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</si>
  <si>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</si>
  <si>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</si>
  <si>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</si>
  <si>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</si>
  <si>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</si>
  <si>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</si>
  <si>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</si>
  <si>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</si>
  <si>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</si>
  <si>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</si>
  <si>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</si>
  <si>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</si>
  <si>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</si>
  <si>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</si>
  <si>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</si>
  <si>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</si>
  <si>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</si>
  <si>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</si>
  <si>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</si>
  <si>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</si>
  <si>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</si>
  <si>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</si>
  <si>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</si>
  <si>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</si>
  <si>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</si>
  <si>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</si>
  <si>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</si>
  <si>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</si>
  <si>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</si>
  <si>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</si>
  <si>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</si>
  <si>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</si>
  <si>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</si>
  <si>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</si>
  <si>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</si>
  <si>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</si>
  <si>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</si>
  <si>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</si>
  <si>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</si>
  <si>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</si>
  <si>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</si>
  <si>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</si>
  <si>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</si>
  <si>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</si>
  <si>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</si>
  <si>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</si>
  <si>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</si>
  <si>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</si>
  <si>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</si>
  <si>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</si>
  <si>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</si>
  <si>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</si>
  <si>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</si>
  <si>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</si>
  <si>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</si>
  <si>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</si>
  <si>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</si>
  <si>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</si>
  <si>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</si>
  <si>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</si>
  <si>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</si>
  <si>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</si>
  <si>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IRON-LT1</t>
  </si>
  <si>
    <t>PA-LT2</t>
  </si>
  <si>
    <t>IRON-LT1-SP</t>
  </si>
  <si>
    <t>IRON-LT1-RJ</t>
  </si>
  <si>
    <t>IRON-LT1-ES</t>
  </si>
  <si>
    <t>PA-LT2-BA</t>
  </si>
  <si>
    <t>São Paulo</t>
  </si>
  <si>
    <t>Salvador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</si>
  <si>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</si>
  <si>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</si>
  <si>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</si>
  <si>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</si>
  <si>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</si>
  <si>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</si>
  <si>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</si>
  <si>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</si>
  <si>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REPLAN</t>
  </si>
  <si>
    <t>REVAP</t>
  </si>
  <si>
    <t>TAQUIPE</t>
  </si>
  <si>
    <t>RNEST</t>
  </si>
  <si>
    <t>TERMINAL ARACAJU</t>
  </si>
  <si>
    <t>21010-410</t>
  </si>
  <si>
    <t>Centro</t>
  </si>
  <si>
    <t>Macaé</t>
  </si>
  <si>
    <t>Rio de Janeiro</t>
  </si>
  <si>
    <t>Duque de Caxias</t>
  </si>
  <si>
    <t>Santos</t>
  </si>
  <si>
    <t>Paulínia</t>
  </si>
  <si>
    <t>São José dos Campos</t>
  </si>
  <si>
    <t>Camaçari</t>
  </si>
  <si>
    <t>Ipojuca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</si>
  <si>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</si>
  <si>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</si>
  <si>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</si>
  <si>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</si>
  <si>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</si>
  <si>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</si>
  <si>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</si>
  <si>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</si>
  <si>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</si>
  <si>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</si>
  <si>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</si>
  <si>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</si>
  <si>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</si>
  <si>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</si>
  <si>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</si>
  <si>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</si>
  <si>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</si>
  <si>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</si>
  <si>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</si>
  <si>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</si>
  <si>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</si>
  <si>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</si>
  <si>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GAD-AGP/PC/PGCAD</t>
  </si>
  <si>
    <t>SMS/SA/SAO/STO</t>
  </si>
  <si>
    <t>REVAP/ES/BS</t>
  </si>
  <si>
    <t>RH/RBO/COA/CB</t>
  </si>
  <si>
    <t>COMPARTILHADO/SC/SID</t>
  </si>
  <si>
    <t>SUPRIMENTOS/RMF/RDR</t>
  </si>
  <si>
    <t>REDUC/IE</t>
  </si>
  <si>
    <t>SMS/SA/SAO/DENGE-DPI-DLCM-DTEN</t>
  </si>
  <si>
    <t>CENPES/GIT/CT/GC</t>
  </si>
  <si>
    <t>G&amp;E/TERM/UTE-SRP-BF/MAN</t>
  </si>
  <si>
    <t>REDUC/SMS/SSO</t>
  </si>
  <si>
    <t>IRON-RJ</t>
  </si>
  <si>
    <t>IRON-SP</t>
  </si>
  <si>
    <t>REPLAN/ES/PROJ</t>
  </si>
  <si>
    <t>G&amp;E/TERM/UTE-TMA</t>
  </si>
  <si>
    <t>GAD-AGP/SMS</t>
  </si>
  <si>
    <t xml:space="preserve">Caixa 20 kg (contendo Mídias e Microfilmes) </t>
  </si>
  <si>
    <t>Caixa 10 Kg - Jumbo</t>
  </si>
  <si>
    <t>Mídia óptica (individuais)</t>
  </si>
  <si>
    <t>Microfilme (individuais)</t>
  </si>
  <si>
    <t>BA/ATP/OP-BA-C</t>
  </si>
  <si>
    <t>SRGE/SI-III/LOG/OS</t>
  </si>
  <si>
    <t>POCOS/CAMAP-T-AB/PROJ/PROJ-I</t>
  </si>
  <si>
    <t>TAR/PC/REC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</si>
  <si>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</si>
  <si>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</si>
  <si>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</si>
  <si>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</si>
  <si>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</si>
  <si>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</si>
  <si>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</si>
  <si>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</si>
  <si>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</si>
  <si>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</si>
  <si>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</si>
  <si>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</si>
  <si>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</si>
  <si>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</si>
  <si>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</si>
  <si>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</si>
  <si>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</si>
  <si>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</si>
  <si>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</si>
  <si>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</si>
  <si>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</si>
  <si>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</si>
  <si>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</si>
  <si>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</si>
  <si>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</si>
  <si>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</si>
  <si>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</si>
  <si>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Código da
solicitação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</si>
  <si>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</si>
  <si>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</si>
  <si>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</si>
  <si>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</si>
  <si>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</si>
  <si>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</si>
  <si>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</si>
  <si>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</si>
  <si>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</si>
  <si>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</si>
  <si>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</si>
  <si>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</si>
  <si>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</si>
  <si>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</si>
  <si>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</si>
  <si>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</si>
  <si>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</si>
  <si>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</si>
  <si>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</si>
  <si>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</si>
  <si>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</si>
  <si>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</si>
  <si>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</si>
  <si>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</si>
  <si>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</si>
  <si>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Altere apenas esse diretorio em caso de mudança de drive de rede, ele pe o raiz do projeto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</si>
  <si>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</si>
  <si>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</si>
  <si>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</si>
  <si>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</si>
  <si>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</si>
  <si>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</si>
  <si>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</si>
  <si>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</si>
  <si>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</si>
  <si>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</si>
  <si>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</si>
  <si>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</si>
  <si>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</si>
  <si>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</si>
  <si>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</si>
  <si>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</si>
  <si>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</si>
  <si>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</si>
  <si>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</si>
  <si>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</si>
  <si>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</si>
  <si>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</si>
  <si>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</si>
  <si>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</si>
  <si>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</si>
  <si>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</si>
  <si>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</si>
  <si>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</si>
  <si>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</si>
  <si>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</si>
  <si>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</si>
  <si>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</si>
  <si>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</si>
  <si>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</si>
  <si>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</si>
  <si>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</si>
  <si>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</si>
  <si>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</si>
  <si>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</si>
  <si>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</si>
  <si>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</si>
  <si>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</si>
  <si>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</si>
  <si>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</si>
  <si>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</si>
  <si>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</si>
  <si>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</si>
  <si>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</si>
  <si>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</si>
  <si>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</si>
  <si>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</si>
  <si>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</si>
  <si>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</si>
  <si>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</si>
  <si>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</si>
  <si>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</si>
  <si>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</si>
  <si>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</si>
  <si>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</si>
  <si>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</si>
  <si>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</si>
  <si>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</si>
  <si>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</si>
  <si>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</si>
  <si>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</si>
  <si>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</si>
  <si>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</si>
  <si>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</si>
  <si>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</si>
  <si>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</si>
  <si>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</si>
  <si>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</si>
  <si>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</si>
  <si>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</si>
  <si>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</si>
  <si>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</si>
  <si>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</si>
  <si>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</si>
  <si>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</si>
  <si>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</si>
  <si>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</si>
  <si>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</si>
  <si>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</si>
  <si>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</si>
  <si>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</si>
  <si>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</si>
  <si>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</si>
  <si>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</si>
  <si>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</si>
  <si>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</si>
  <si>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</si>
  <si>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</si>
  <si>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</si>
  <si>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</si>
  <si>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</si>
  <si>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</si>
  <si>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</si>
  <si>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</si>
  <si>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</si>
  <si>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</si>
  <si>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</si>
  <si>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</si>
  <si>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</si>
  <si>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</si>
  <si>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</si>
  <si>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</si>
  <si>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</si>
  <si>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</si>
  <si>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</si>
  <si>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</si>
  <si>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</si>
  <si>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</si>
  <si>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</si>
  <si>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</si>
  <si>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</si>
  <si>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</si>
  <si>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</si>
  <si>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</si>
  <si>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</si>
  <si>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</si>
  <si>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</si>
  <si>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</si>
  <si>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</si>
  <si>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</si>
  <si>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</si>
  <si>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</si>
  <si>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</si>
  <si>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</si>
  <si>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</si>
  <si>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</si>
  <si>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</si>
  <si>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</si>
  <si>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</si>
  <si>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</si>
  <si>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</si>
  <si>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</si>
  <si>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</si>
  <si>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</si>
  <si>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</si>
  <si>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</si>
  <si>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</si>
  <si>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</si>
  <si>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</si>
  <si>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</si>
  <si>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</si>
  <si>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</si>
  <si>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</si>
  <si>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</si>
  <si>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</si>
  <si>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</si>
  <si>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</si>
  <si>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</si>
  <si>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</si>
  <si>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</si>
  <si>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</si>
  <si>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</si>
  <si>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</si>
  <si>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</si>
  <si>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</si>
  <si>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</si>
  <si>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</si>
  <si>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</si>
  <si>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</si>
  <si>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</si>
  <si>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</si>
  <si>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</si>
  <si>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</si>
  <si>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</si>
  <si>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</si>
  <si>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</si>
  <si>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</si>
  <si>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</si>
  <si>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</si>
  <si>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</si>
  <si>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</si>
  <si>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</si>
  <si>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</si>
  <si>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</si>
  <si>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</si>
  <si>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</si>
  <si>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</si>
  <si>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</si>
  <si>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</si>
  <si>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</si>
  <si>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</si>
  <si>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</si>
  <si>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</si>
  <si>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</si>
  <si>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</si>
  <si>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</si>
  <si>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</si>
  <si>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</si>
  <si>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</si>
  <si>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</si>
  <si>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</si>
  <si>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</si>
  <si>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</si>
  <si>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</si>
  <si>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</si>
  <si>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</si>
  <si>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</si>
  <si>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</si>
  <si>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</si>
  <si>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</si>
  <si>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</si>
  <si>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</si>
  <si>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</si>
  <si>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</si>
  <si>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</si>
  <si>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</si>
  <si>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</si>
  <si>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</si>
  <si>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</si>
  <si>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</si>
  <si>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</si>
  <si>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</si>
  <si>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</si>
  <si>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</si>
  <si>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</si>
  <si>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</si>
  <si>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</si>
  <si>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</si>
  <si>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</si>
  <si>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</si>
  <si>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</si>
  <si>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</si>
  <si>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</si>
  <si>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</si>
  <si>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</si>
  <si>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</si>
  <si>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</si>
  <si>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</si>
  <si>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</si>
  <si>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</si>
  <si>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</si>
  <si>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</si>
  <si>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</si>
  <si>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</si>
  <si>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</si>
  <si>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</si>
  <si>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</si>
  <si>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</si>
  <si>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</si>
  <si>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</si>
  <si>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</si>
  <si>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</si>
  <si>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</si>
  <si>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</si>
  <si>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</si>
  <si>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</si>
  <si>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</si>
  <si>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</si>
  <si>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</si>
  <si>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</si>
  <si>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</si>
  <si>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</si>
  <si>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</si>
  <si>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</si>
  <si>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</si>
  <si>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</si>
  <si>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</si>
  <si>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</si>
  <si>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</si>
  <si>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</si>
  <si>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CSC0870067</t>
  </si>
  <si>
    <t>CSC0866373</t>
  </si>
  <si>
    <t>SRGE/PPSGP/PPAC</t>
  </si>
  <si>
    <t>CSC0857678</t>
  </si>
  <si>
    <t>306589268</t>
  </si>
  <si>
    <t>CSC0868434</t>
  </si>
  <si>
    <t>CSC0867885</t>
  </si>
  <si>
    <t>CSC0868840</t>
  </si>
  <si>
    <t>CSC0868850</t>
  </si>
  <si>
    <t>GAPRE/GDOC</t>
  </si>
  <si>
    <t>EDIVIT</t>
  </si>
  <si>
    <t>Vitória</t>
  </si>
  <si>
    <t>ES/SMS/SEG</t>
  </si>
  <si>
    <t>CSC0868350</t>
  </si>
  <si>
    <t>306603818</t>
  </si>
  <si>
    <t>CSC0861719</t>
  </si>
  <si>
    <t>306564185</t>
  </si>
  <si>
    <t>306533109</t>
  </si>
  <si>
    <t>306535255</t>
  </si>
  <si>
    <t>SRGE/SI-IV/REF/LSA</t>
  </si>
  <si>
    <t>Linha de Serviço</t>
  </si>
  <si>
    <t>Lote 1-ES</t>
  </si>
  <si>
    <t>Tubo de Engenharia</t>
  </si>
  <si>
    <t>L 10 X P 30</t>
  </si>
  <si>
    <t>26/07/2026  à  25/08/2026</t>
  </si>
  <si>
    <t>PAINEL DE CONTROLE | MEMORIA PETROBRAS</t>
  </si>
  <si>
    <t>FILTROS E CONTEXTO OPERACIONAL</t>
  </si>
  <si>
    <t>REGISTROS</t>
  </si>
  <si>
    <t>QTD. SOLICITADA</t>
  </si>
  <si>
    <t>QTD. ATENDIDA</t>
  </si>
  <si>
    <t>QEXEC TOTAL</t>
  </si>
  <si>
    <t>CONTRATOS</t>
  </si>
  <si>
    <t>FORA DO PRAZO</t>
  </si>
  <si>
    <t>RESUMO CONSOLIDADO POR CONTRATO</t>
  </si>
  <si>
    <t>Registros</t>
  </si>
  <si>
    <t>Qtd. Solicitada</t>
  </si>
  <si>
    <t>Qtd. Atendida</t>
  </si>
  <si>
    <t>No Prazo</t>
  </si>
  <si>
    <t>Fora Prazo</t>
  </si>
  <si>
    <t>Status</t>
  </si>
  <si>
    <t>TOTAL GERAL</t>
  </si>
  <si>
    <t>ALERTAS E PENDENCIAS</t>
  </si>
  <si>
    <t>ARQUIVOS DE MEMORIA DE CALCULO GERADOS</t>
  </si>
  <si>
    <t>Nome do arquivo</t>
  </si>
  <si>
    <t>Data de geracao</t>
  </si>
  <si>
    <t>Acao</t>
  </si>
  <si>
    <t>Verificar link</t>
  </si>
  <si>
    <t>Fonte principal: DADOS | Atualizacao: Power Query M | Exportacao: VBA | Aba original PAINEL preservada</t>
  </si>
  <si>
    <t>4 de 4</t>
  </si>
  <si>
    <t>Sem dados</t>
  </si>
  <si>
    <t>Pronto</t>
  </si>
  <si>
    <t>Linha Base</t>
  </si>
  <si>
    <t>Atividade</t>
  </si>
  <si>
    <t>Severidade</t>
  </si>
  <si>
    <t>Regra / Campo</t>
  </si>
  <si>
    <t>RELATORIO DE AUDITORIA E LOG DE CRITICAS - MEDICAO PETROBRAS</t>
  </si>
  <si>
    <t>Codigo OS</t>
  </si>
  <si>
    <t>Cod. Solicitacao</t>
  </si>
  <si>
    <t>Descricao Detalhada da Inconsistencia</t>
  </si>
  <si>
    <t>Periodo de medicao: Setembro/2026    |    Ultima atualizacao: 29/09/2026 11:43</t>
  </si>
  <si>
    <t>Registros totais: 583_x000D_
Diferenca solicitado x atendido: 0,00_x000D_
Fora do prazo: 0_x000D_
Consulte a aba DADOS para auditoria detalhada.</t>
  </si>
  <si>
    <t>Período
faturamento</t>
  </si>
  <si>
    <t>Chave
solicitante</t>
  </si>
  <si>
    <t>Prazo
aplicação</t>
  </si>
  <si>
    <t>Obs. Sigla</t>
  </si>
  <si>
    <t>Localidade</t>
  </si>
  <si>
    <t>Comentários</t>
  </si>
  <si>
    <t>Município</t>
  </si>
  <si>
    <t>ValidarGalpao</t>
  </si>
  <si>
    <t>ObsSiglaGalpao</t>
  </si>
  <si>
    <t>ColunaConcatenadaCalculoFDN</t>
  </si>
  <si>
    <t>CalculoFDM</t>
  </si>
  <si>
    <t>codContDataMuniUF</t>
  </si>
  <si>
    <t>Grupo.1</t>
  </si>
  <si>
    <t>codPrazoContrato</t>
  </si>
  <si>
    <t>tabelaPrazoContrato.Prazo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</si>
  <si>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</si>
  <si>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</si>
  <si>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</si>
  <si>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</si>
  <si>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</si>
  <si>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</si>
  <si>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</si>
  <si>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cod_Tabela_FC</t>
  </si>
  <si>
    <t>codOrigemDestino</t>
  </si>
  <si>
    <t>Origem_Destino.KM</t>
  </si>
  <si>
    <t>Verdadeiro</t>
  </si>
  <si>
    <t>Rio de Janeiro\RJ</t>
  </si>
  <si>
    <t>IRON-LT1\COLETA DE EMBALAGEM\A</t>
  </si>
  <si>
    <t>COLETA DE EMBALAGEMCaixa 20 kg - Tipo 1</t>
  </si>
  <si>
    <t>EDISENRio de JaneiroIRON-LT1-RJRio de Janeiro</t>
  </si>
  <si>
    <t>GLF2</t>
  </si>
  <si>
    <t>IRON-LT1\ENTREGA DE EMBALAGEM NORMAL\A</t>
  </si>
  <si>
    <t>ENTREGA DE EMBALAGEM NORMALCaixa 20 kg - Tipo 1</t>
  </si>
  <si>
    <t>CYAZ</t>
  </si>
  <si>
    <t>GKFN</t>
  </si>
  <si>
    <t>FQ4I</t>
  </si>
  <si>
    <t>OS CADASTRADA GEDOC</t>
  </si>
  <si>
    <t>IRON-LT1\DEVOLUCAO DE EMPRESTIMO\A</t>
  </si>
  <si>
    <t>DEVOLUCAO DE EMPRESTIMOEmbalagem</t>
  </si>
  <si>
    <t>GJ8I</t>
  </si>
  <si>
    <t>CENPESRio de JaneiroIRON-LT1-RJRio de Janeiro</t>
  </si>
  <si>
    <t>F4Z2</t>
  </si>
  <si>
    <t>BN55</t>
  </si>
  <si>
    <t>C8AM</t>
  </si>
  <si>
    <t>EF13</t>
  </si>
  <si>
    <t>EDIHBRio de JaneiroIRON-LT1-RJRio de Janeiro</t>
  </si>
  <si>
    <t>FRONAPERio de JaneiroIRON-LT1-RJRio de Janeiro</t>
  </si>
  <si>
    <t>139749/2026- saída definitiva SOS DOCS"</t>
  </si>
  <si>
    <t>F1VX</t>
  </si>
  <si>
    <t>UTE-SEROPEDICARio de JaneiroIRON-LT1-RJRio de Janeiro</t>
  </si>
  <si>
    <t>Falso</t>
  </si>
  <si>
    <t>IRON-LT1\MATERIAL PARA ARQUIVAMENTO\A</t>
  </si>
  <si>
    <t>MATERIAL PARA ARQUIVAMENTOKit de material</t>
  </si>
  <si>
    <t>EDISENRio de JaneiroN/AN/A</t>
  </si>
  <si>
    <t>IRON-LT1\DIGITALIZACAO DE DOCUMENTO ADMINISTRATIVO\A</t>
  </si>
  <si>
    <t>DIGITALIZACAO DE DOCUMENTO ADMINISTRATIVODocumento - Formato A4</t>
  </si>
  <si>
    <t>S2XU</t>
  </si>
  <si>
    <t>CENPESRio de JaneiroN/AN/A</t>
  </si>
  <si>
    <t>EDIHBRio de JaneiroN/AN/A</t>
  </si>
  <si>
    <t>EH9T</t>
  </si>
  <si>
    <t>IRON-LT1\INDEXACAO DE DOCUMENTO\A</t>
  </si>
  <si>
    <t>INDEXACAO DE DOCUMENTODocumentação administrativa</t>
  </si>
  <si>
    <t>FRONAPERio de JaneiroN/AN/A</t>
  </si>
  <si>
    <t>CDTT</t>
  </si>
  <si>
    <t>DIGITALIZACAO DE DOCUMENTO ADMINISTRATIVO/CSC0861719/306564185</t>
  </si>
  <si>
    <t>DIGITALIZACAO DE DOCUMENTO ADMINISTRATIVODocumento - Formato A0</t>
  </si>
  <si>
    <t>DIGITALIZACAO DE DOCUMENTO ADMINISTRATIVO/CSC0861719/306533109</t>
  </si>
  <si>
    <t>DIGITALIZACAO DE DOCUMENTO ADMINISTRATIVO/CSC0861719/306535255</t>
  </si>
  <si>
    <t>INDEXACAO DE DOCUMENTO/CSC0861719/306535255</t>
  </si>
  <si>
    <t>INDEXACAO DE DOCUMENTO/CSC0861719/306533109</t>
  </si>
  <si>
    <t>INDEXACAO DE DOCUMENTO/CSC0861719/306564185</t>
  </si>
  <si>
    <t>IRON-LT1\DIGITALIZACAO DE MICROFICHA\A</t>
  </si>
  <si>
    <t>DIGITALIZACAO DE MICROFICHAMicroficha</t>
  </si>
  <si>
    <t>BBIF</t>
  </si>
  <si>
    <t>IRON-LT1\BAIXA PERMANENTE\A</t>
  </si>
  <si>
    <t>BAIXA PERMANENTECaixa 20 kg - Tipo 1</t>
  </si>
  <si>
    <t>S37C</t>
  </si>
  <si>
    <t>IRON-LT1\ENTREGA DE EMBALAGEM EXPRESSO\A</t>
  </si>
  <si>
    <t>ENTREGA DE EMBALAGEM EXPRESSOCaixa 20 kg - Tipo 1</t>
  </si>
  <si>
    <t>CGGV</t>
  </si>
  <si>
    <t>Duque de Caxias\RJ</t>
  </si>
  <si>
    <t>REDUCDuque de CaxiasIRON-LT1-RJRio de Janeiro</t>
  </si>
  <si>
    <t>EKTY</t>
  </si>
  <si>
    <t>REDUCDuque de CaxiasN/AN/A</t>
  </si>
  <si>
    <t>LDAH</t>
  </si>
  <si>
    <t>Macaé\RJ</t>
  </si>
  <si>
    <t>IRON-LT1\MATERIAL PARA ARQUIVAMENTO\B</t>
  </si>
  <si>
    <t>IRON-LT1\COLETA DE EMBALAGEM\B</t>
  </si>
  <si>
    <t>TERMOMACAEMacaéIRON-LT1-RJRio de Janeiro</t>
  </si>
  <si>
    <t>GJ70</t>
  </si>
  <si>
    <t>IMBETIBAMacaéN/AN/A</t>
  </si>
  <si>
    <t>KKDQ</t>
  </si>
  <si>
    <t>IMBETIBAMacaéIRON-LT1-RJRio de Janeiro</t>
  </si>
  <si>
    <t>F02R</t>
  </si>
  <si>
    <t>ZIJ0</t>
  </si>
  <si>
    <t>FVHK</t>
  </si>
  <si>
    <t>LTFV</t>
  </si>
  <si>
    <t>XBL1</t>
  </si>
  <si>
    <t>IRON-LT1\INDEXACAO DE DOCUMENTO\B</t>
  </si>
  <si>
    <t>IRON-LT1\DIGITALIZACAO DE DOCUMENTO ADMINISTRATIVO\B</t>
  </si>
  <si>
    <t>GKU7</t>
  </si>
  <si>
    <t>IRON-LT1\DEVOLUCAO DE EMPRESTIMO\B</t>
  </si>
  <si>
    <t>IRON-LT1\ENTREGA DE EMBALAGEM NORMAL\B</t>
  </si>
  <si>
    <t>FZ2E</t>
  </si>
  <si>
    <t>MATERIAL PARA ARQUIVAMENTO/CSC0868350/306603818</t>
  </si>
  <si>
    <t>Vitória\ES</t>
  </si>
  <si>
    <t>EDIVITVitóriaN/AN/A</t>
  </si>
  <si>
    <t>GHX2</t>
  </si>
  <si>
    <t>EDIVITVitóriaIRON-LT1-ESViana</t>
  </si>
  <si>
    <t>FGGM</t>
  </si>
  <si>
    <t>São José dos Campos\SP</t>
  </si>
  <si>
    <t>REVAPSão José dos CamposIRON-LT1-SPSão Paulo</t>
  </si>
  <si>
    <t>REVAPSão José dos CamposN/AN/A</t>
  </si>
  <si>
    <t>Paulínia\SP</t>
  </si>
  <si>
    <t>REPLANPaulíniaN/AN/A</t>
  </si>
  <si>
    <t>Santos\SP</t>
  </si>
  <si>
    <t>EDISASantosN/AN/A</t>
  </si>
  <si>
    <t>IRON-LT1\COLETA DE EMBALAGEM\C</t>
  </si>
  <si>
    <t>B4M1</t>
  </si>
  <si>
    <t>Aracaju\SE</t>
  </si>
  <si>
    <t>TERMINAL ARACAJUAracajuN/AN/A</t>
  </si>
  <si>
    <t>Salvador\BA</t>
  </si>
  <si>
    <t>PA-LT2\INDEXACAO DE DOCUMENTO\A</t>
  </si>
  <si>
    <t>TAQUIPESalvadorN/AN/A</t>
  </si>
  <si>
    <t>WTT6</t>
  </si>
  <si>
    <t>PA-LT2\MATERIAL PARA ARQUIVAMENTO\A</t>
  </si>
  <si>
    <t>Ipojuca\PE</t>
  </si>
  <si>
    <t>PA-LT2\COLETA DE EMBALAGEM\B</t>
  </si>
  <si>
    <t>RNESTIpojucaPA-LT2-BACamaçari</t>
  </si>
  <si>
    <t>AAE9</t>
  </si>
  <si>
    <t>PA-LT2\DIGITALIZACAO DE DOCUMENTO ADMINISTRATIVO\A</t>
  </si>
  <si>
    <t>Atendimento pendente</t>
  </si>
  <si>
    <t>Natal\RN</t>
  </si>
  <si>
    <t>PA-LT2\COLETA DE EMBALAGEM\C</t>
  </si>
  <si>
    <t>EDIRNNatalPA-LT2-BACamaçari</t>
  </si>
  <si>
    <t>PA-LT2\CATALOGACAO DE ITEM AVULSO\A</t>
  </si>
  <si>
    <t>CATALOGACAO DE ITEM AVULSOItem documental em caixa</t>
  </si>
  <si>
    <t>GICO</t>
  </si>
  <si>
    <t>GMUA</t>
  </si>
  <si>
    <t>EDIRNNatalN/AN/A</t>
  </si>
  <si>
    <t>CX00120G60186827SOS</t>
  </si>
  <si>
    <t>CSC0860561</t>
  </si>
  <si>
    <t>306488844</t>
  </si>
  <si>
    <t>CSC0855885</t>
  </si>
  <si>
    <t>306046935</t>
  </si>
  <si>
    <t>CSC0845032</t>
  </si>
  <si>
    <t>CMI/MA/PRC/DA</t>
  </si>
  <si>
    <t>305732535</t>
  </si>
  <si>
    <t>CSC0845034</t>
  </si>
  <si>
    <t>305732558</t>
  </si>
  <si>
    <t>CSC0793196</t>
  </si>
  <si>
    <t>305890959</t>
  </si>
  <si>
    <t>CSC0864021</t>
  </si>
  <si>
    <t>306532410</t>
  </si>
  <si>
    <t>CSC0862770</t>
  </si>
  <si>
    <t>306519380</t>
  </si>
  <si>
    <t>CSC0861438</t>
  </si>
  <si>
    <t>306494445</t>
  </si>
  <si>
    <t>CSC0859950</t>
  </si>
  <si>
    <t>306198594</t>
  </si>
  <si>
    <t>CSC0858931</t>
  </si>
  <si>
    <t>306195844</t>
  </si>
  <si>
    <t>CSC0855266</t>
  </si>
  <si>
    <t>306019363</t>
  </si>
  <si>
    <t>CSC0846753</t>
  </si>
  <si>
    <t>305771712</t>
  </si>
  <si>
    <t>CSC0859878</t>
  </si>
  <si>
    <t>306198059</t>
  </si>
  <si>
    <t>CSC0859864</t>
  </si>
  <si>
    <t>306196887</t>
  </si>
  <si>
    <t>CSC0855892</t>
  </si>
  <si>
    <t>306046723</t>
  </si>
  <si>
    <t>CSC0860879</t>
  </si>
  <si>
    <t>306488404</t>
  </si>
  <si>
    <t>CSC0864593</t>
  </si>
  <si>
    <t>306584490</t>
  </si>
  <si>
    <t>CSC0867923</t>
  </si>
  <si>
    <t>306588631</t>
  </si>
  <si>
    <t>CSC0870639</t>
  </si>
  <si>
    <t>306624554</t>
  </si>
  <si>
    <t>CSC0864458</t>
  </si>
  <si>
    <t>306625465</t>
  </si>
  <si>
    <t>CSC0863601</t>
  </si>
  <si>
    <t>CSC0869547</t>
  </si>
  <si>
    <t>306613461</t>
  </si>
  <si>
    <t>CSC0857756</t>
  </si>
  <si>
    <t>306117672</t>
  </si>
  <si>
    <t>CSC0857783</t>
  </si>
  <si>
    <t>306116895</t>
  </si>
  <si>
    <t>CSC0850786</t>
  </si>
  <si>
    <t>305892206</t>
  </si>
  <si>
    <t>CSC0848598</t>
  </si>
  <si>
    <t>306043505</t>
  </si>
  <si>
    <t>CSC0862141</t>
  </si>
  <si>
    <t>306512805</t>
  </si>
  <si>
    <t>CSC0862170</t>
  </si>
  <si>
    <t>306513930</t>
  </si>
  <si>
    <t>CSC0851934</t>
  </si>
  <si>
    <t>305930107</t>
  </si>
  <si>
    <t>CSC0862066</t>
  </si>
  <si>
    <t>CSC0858568</t>
  </si>
  <si>
    <t>306160207</t>
  </si>
  <si>
    <t>CSC0858570</t>
  </si>
  <si>
    <t>306159909</t>
  </si>
  <si>
    <t>CSC0858566</t>
  </si>
  <si>
    <t>306159186</t>
  </si>
  <si>
    <t>306197197</t>
  </si>
  <si>
    <t>CSC0855546</t>
  </si>
  <si>
    <t>306197350</t>
  </si>
  <si>
    <t>CSC0849521</t>
  </si>
  <si>
    <t>305871113</t>
  </si>
  <si>
    <t>CSC0849520</t>
  </si>
  <si>
    <t>CSC0849702</t>
  </si>
  <si>
    <t>305871827</t>
  </si>
  <si>
    <t>CSC0850113</t>
  </si>
  <si>
    <t>305872083</t>
  </si>
  <si>
    <t>CSC0850649</t>
  </si>
  <si>
    <t>305891275</t>
  </si>
  <si>
    <t>306605391</t>
  </si>
  <si>
    <t>306598345</t>
  </si>
  <si>
    <t>306589494</t>
  </si>
  <si>
    <t>CSC0857471</t>
  </si>
  <si>
    <t>306112749</t>
  </si>
  <si>
    <t>CSC0863469</t>
  </si>
  <si>
    <t>306568349</t>
  </si>
  <si>
    <t>CSC0849332</t>
  </si>
  <si>
    <t>305896820</t>
  </si>
  <si>
    <t>CSC0846814</t>
  </si>
  <si>
    <t>305846740</t>
  </si>
  <si>
    <t>CSC0855218</t>
  </si>
  <si>
    <t>306017669</t>
  </si>
  <si>
    <t>CSC0868683</t>
  </si>
  <si>
    <t>306603913</t>
  </si>
  <si>
    <t>CSC0868672</t>
  </si>
  <si>
    <t>CSC0868678</t>
  </si>
  <si>
    <t>CSC0851657</t>
  </si>
  <si>
    <t>305929660</t>
  </si>
  <si>
    <t>CSC0851650</t>
  </si>
  <si>
    <t>305949545</t>
  </si>
  <si>
    <t>CSC0850174</t>
  </si>
  <si>
    <t>LOEP/LTA/OPTT/IEDR</t>
  </si>
  <si>
    <t>305870666</t>
  </si>
  <si>
    <t>CSC0849933</t>
  </si>
  <si>
    <t>SPSG/COCM/COMPRAS</t>
  </si>
  <si>
    <t>305869074</t>
  </si>
  <si>
    <t>CSC0855282</t>
  </si>
  <si>
    <t>COMPARTILHADO/GIO/SSE/AO-SP</t>
  </si>
  <si>
    <t>306034649</t>
  </si>
  <si>
    <t>CSC0855279</t>
  </si>
  <si>
    <t>306019173</t>
  </si>
  <si>
    <t>CSC0871587</t>
  </si>
  <si>
    <t>306625936</t>
  </si>
  <si>
    <t>CSC0870671</t>
  </si>
  <si>
    <t>306615615</t>
  </si>
  <si>
    <t>CSC0870676</t>
  </si>
  <si>
    <t>CSC0870684</t>
  </si>
  <si>
    <t>CSC0854167</t>
  </si>
  <si>
    <t>COMPARTILHADO/GAPO/DC</t>
  </si>
  <si>
    <t>305989720</t>
  </si>
  <si>
    <t>CSC0854108</t>
  </si>
  <si>
    <t>CSC0854106</t>
  </si>
  <si>
    <t>CSC0854103</t>
  </si>
  <si>
    <t>CSC0854099</t>
  </si>
  <si>
    <t>CSC0854096</t>
  </si>
  <si>
    <t>305988948</t>
  </si>
  <si>
    <t>CSC0863259</t>
  </si>
  <si>
    <t>306534284</t>
  </si>
  <si>
    <t>306589655</t>
  </si>
  <si>
    <t>CSC0841569</t>
  </si>
  <si>
    <t>305950285</t>
  </si>
  <si>
    <t>CSC0867362</t>
  </si>
  <si>
    <t>306570783</t>
  </si>
  <si>
    <t>CSC0852567</t>
  </si>
  <si>
    <t>305951077</t>
  </si>
  <si>
    <t>CSC0852593</t>
  </si>
  <si>
    <t>305956878</t>
  </si>
  <si>
    <t>306606002</t>
  </si>
  <si>
    <t>306610660</t>
  </si>
  <si>
    <t>CSC0854080</t>
  </si>
  <si>
    <t>306085922</t>
  </si>
  <si>
    <t>CSC0852239</t>
  </si>
  <si>
    <t>306016704</t>
  </si>
  <si>
    <t>CSC0863465</t>
  </si>
  <si>
    <t>306523170</t>
  </si>
  <si>
    <t>CSC0863464</t>
  </si>
  <si>
    <t>306522886</t>
  </si>
  <si>
    <t>CSC0868691</t>
  </si>
  <si>
    <t>306603849</t>
  </si>
  <si>
    <t>CSC0854316</t>
  </si>
  <si>
    <t>306183474</t>
  </si>
  <si>
    <t>CSC0853363</t>
  </si>
  <si>
    <t>305979253</t>
  </si>
  <si>
    <t>CSC0851922</t>
  </si>
  <si>
    <t>306035039</t>
  </si>
  <si>
    <t>BRK74114</t>
  </si>
  <si>
    <t>CSC0860239</t>
  </si>
  <si>
    <t>306345719</t>
  </si>
  <si>
    <t>CSC0863658</t>
  </si>
  <si>
    <t>306541818</t>
  </si>
  <si>
    <t>CSC0863115</t>
  </si>
  <si>
    <t>306532665</t>
  </si>
  <si>
    <t>CSC0860379</t>
  </si>
  <si>
    <t>306501927</t>
  </si>
  <si>
    <t>CSC0858731</t>
  </si>
  <si>
    <t>306160100</t>
  </si>
  <si>
    <t>CSC0862324</t>
  </si>
  <si>
    <t>306533049</t>
  </si>
  <si>
    <t>CSC0862401</t>
  </si>
  <si>
    <t>306521390</t>
  </si>
  <si>
    <t>CSC0862393</t>
  </si>
  <si>
    <t>306549486</t>
  </si>
  <si>
    <t>CSC0861485</t>
  </si>
  <si>
    <t>306495014</t>
  </si>
  <si>
    <t>CSC0831323</t>
  </si>
  <si>
    <t>306505678</t>
  </si>
  <si>
    <t>CSC0852601</t>
  </si>
  <si>
    <t>EXP/GEOF/AG/SPAG</t>
  </si>
  <si>
    <t>306037304</t>
  </si>
  <si>
    <t>CSC0854397</t>
  </si>
  <si>
    <t>306015684</t>
  </si>
  <si>
    <t>CSC0840649</t>
  </si>
  <si>
    <t>305986831</t>
  </si>
  <si>
    <t>CSC0848356</t>
  </si>
  <si>
    <t>306034300</t>
  </si>
  <si>
    <t>CSC0856321</t>
  </si>
  <si>
    <t>306079987</t>
  </si>
  <si>
    <t>306081939</t>
  </si>
  <si>
    <t>305365195</t>
  </si>
  <si>
    <t>306196733</t>
  </si>
  <si>
    <t>CSC0869725</t>
  </si>
  <si>
    <t>306624795</t>
  </si>
  <si>
    <t>CSC0849598</t>
  </si>
  <si>
    <t>306036518</t>
  </si>
  <si>
    <t>CSC0848046</t>
  </si>
  <si>
    <t>305980155</t>
  </si>
  <si>
    <t>305827996</t>
  </si>
  <si>
    <t>CSC0843695</t>
  </si>
  <si>
    <t>305765808</t>
  </si>
  <si>
    <t>CSC0858353</t>
  </si>
  <si>
    <t>306144031</t>
  </si>
  <si>
    <t>306508999</t>
  </si>
  <si>
    <t>306144088</t>
  </si>
  <si>
    <t>CSC0839536</t>
  </si>
  <si>
    <t>305733645</t>
  </si>
  <si>
    <t>306115005</t>
  </si>
  <si>
    <t>CSC0865378</t>
  </si>
  <si>
    <t>306553108</t>
  </si>
  <si>
    <t>CSC0861831</t>
  </si>
  <si>
    <t>306553079</t>
  </si>
  <si>
    <t>CSC0858397</t>
  </si>
  <si>
    <t>306162335</t>
  </si>
  <si>
    <t>CSC0856890</t>
  </si>
  <si>
    <t>306087216</t>
  </si>
  <si>
    <t>CSC0855838</t>
  </si>
  <si>
    <t>306044635</t>
  </si>
  <si>
    <t>CSC0855836</t>
  </si>
  <si>
    <t>CSC0855834</t>
  </si>
  <si>
    <t>CSC0859741</t>
  </si>
  <si>
    <t>306329344</t>
  </si>
  <si>
    <t>CSC0862409</t>
  </si>
  <si>
    <t>306525141</t>
  </si>
  <si>
    <t>CSC0864940</t>
  </si>
  <si>
    <t>306540469</t>
  </si>
  <si>
    <t>CSC0864936</t>
  </si>
  <si>
    <t>AD-AGP/PC/PGCAD</t>
  </si>
  <si>
    <t>CSC0863578</t>
  </si>
  <si>
    <t>306526697</t>
  </si>
  <si>
    <t>CSC0862789</t>
  </si>
  <si>
    <t>306519478</t>
  </si>
  <si>
    <t>CSC0862413</t>
  </si>
  <si>
    <t>306513592</t>
  </si>
  <si>
    <t>CSC0864933</t>
  </si>
  <si>
    <t>CSC0862426</t>
  </si>
  <si>
    <t>CSC0862410</t>
  </si>
  <si>
    <t>306513225</t>
  </si>
  <si>
    <t>CSC0862415</t>
  </si>
  <si>
    <t>CSC0857641</t>
  </si>
  <si>
    <t>306117864</t>
  </si>
  <si>
    <t>CSC0862422</t>
  </si>
  <si>
    <t>CSC0864934</t>
  </si>
  <si>
    <t>CSC0867849</t>
  </si>
  <si>
    <t>306603624</t>
  </si>
  <si>
    <t>CSC0867802</t>
  </si>
  <si>
    <t>306601857</t>
  </si>
  <si>
    <t>CSC0867770</t>
  </si>
  <si>
    <t>CSC0862503</t>
  </si>
  <si>
    <t>GPP-E&amp;P/MCAEP/SE/LFCAM</t>
  </si>
  <si>
    <t>306520730</t>
  </si>
  <si>
    <t>CSC0860889</t>
  </si>
  <si>
    <t>306507305</t>
  </si>
  <si>
    <t>CSC0870564</t>
  </si>
  <si>
    <t>306613932</t>
  </si>
  <si>
    <t>CSC0869920</t>
  </si>
  <si>
    <t>306610219</t>
  </si>
  <si>
    <t>CSC0869927</t>
  </si>
  <si>
    <t>CSC0869926</t>
  </si>
  <si>
    <t>CSC0855832</t>
  </si>
  <si>
    <t>306043837</t>
  </si>
  <si>
    <t>CSC0855831</t>
  </si>
  <si>
    <t>CSC0855822</t>
  </si>
  <si>
    <t>CSC0850165</t>
  </si>
  <si>
    <t>305891283</t>
  </si>
  <si>
    <t>CSC0850163</t>
  </si>
  <si>
    <t>CSC0850161</t>
  </si>
  <si>
    <t>CSC0849603</t>
  </si>
  <si>
    <t>305890408</t>
  </si>
  <si>
    <t>CSC0849544</t>
  </si>
  <si>
    <t>305865045</t>
  </si>
  <si>
    <t>CSC0847728</t>
  </si>
  <si>
    <t>305805189</t>
  </si>
  <si>
    <t>CSC0847727</t>
  </si>
  <si>
    <t>CSC0849557</t>
  </si>
  <si>
    <t>305871368</t>
  </si>
  <si>
    <t>CSC0849553</t>
  </si>
  <si>
    <t>CSC0849552</t>
  </si>
  <si>
    <t>CSC0849284</t>
  </si>
  <si>
    <t>305870780</t>
  </si>
  <si>
    <t>CSC0849282</t>
  </si>
  <si>
    <t>CSC0849559</t>
  </si>
  <si>
    <t>CSC0849562</t>
  </si>
  <si>
    <t>CSC0852949</t>
  </si>
  <si>
    <t>305980326</t>
  </si>
  <si>
    <t>CSC0852722</t>
  </si>
  <si>
    <t>305960232</t>
  </si>
  <si>
    <t>CSC0852719</t>
  </si>
  <si>
    <t>CSC0850868</t>
  </si>
  <si>
    <t>BC/SOP/GPS</t>
  </si>
  <si>
    <t>305892096</t>
  </si>
  <si>
    <t>CSC0849566</t>
  </si>
  <si>
    <t>CSC0862507</t>
  </si>
  <si>
    <t>306513879</t>
  </si>
  <si>
    <t>CSC0865966</t>
  </si>
  <si>
    <t>306552297</t>
  </si>
  <si>
    <t>CSC0868395</t>
  </si>
  <si>
    <t>306589614</t>
  </si>
  <si>
    <t>CSC0867782</t>
  </si>
  <si>
    <t>306580961</t>
  </si>
  <si>
    <t>CSC0848625</t>
  </si>
  <si>
    <t>305844575</t>
  </si>
  <si>
    <t>CSC0852382</t>
  </si>
  <si>
    <t>305950115</t>
  </si>
  <si>
    <t>CSC0851040</t>
  </si>
  <si>
    <t>305922712</t>
  </si>
  <si>
    <t>CSC0867395</t>
  </si>
  <si>
    <t>306581174</t>
  </si>
  <si>
    <t>306214285</t>
  </si>
  <si>
    <t>CSC0867366</t>
  </si>
  <si>
    <t>306570061</t>
  </si>
  <si>
    <t>CSC0867384</t>
  </si>
  <si>
    <t>306570940</t>
  </si>
  <si>
    <t>CSC0851387</t>
  </si>
  <si>
    <t>305920445</t>
  </si>
  <si>
    <t>CSC0845266</t>
  </si>
  <si>
    <t>305732688</t>
  </si>
  <si>
    <t>CSC0869487</t>
  </si>
  <si>
    <t>306604758</t>
  </si>
  <si>
    <t>RPBC</t>
  </si>
  <si>
    <t>Cubatão</t>
  </si>
  <si>
    <t>CSC0868711</t>
  </si>
  <si>
    <t>RPBC/ES/BS</t>
  </si>
  <si>
    <t>306605481</t>
  </si>
  <si>
    <t>CSC0862849</t>
  </si>
  <si>
    <t>306519746</t>
  </si>
  <si>
    <t>CSC0868707</t>
  </si>
  <si>
    <t>306588463</t>
  </si>
  <si>
    <t>CSC0857304</t>
  </si>
  <si>
    <t>306106265</t>
  </si>
  <si>
    <t>CSC0844540</t>
  </si>
  <si>
    <t>REPLAN/OT/LB</t>
  </si>
  <si>
    <t>305714708</t>
  </si>
  <si>
    <t>CSC0853172</t>
  </si>
  <si>
    <t>305960140</t>
  </si>
  <si>
    <t>CSC0866463</t>
  </si>
  <si>
    <t>306572026</t>
  </si>
  <si>
    <t>CSC0869373</t>
  </si>
  <si>
    <t>306603820</t>
  </si>
  <si>
    <t>CSC0869371</t>
  </si>
  <si>
    <t>CSC0869374</t>
  </si>
  <si>
    <t>CSC0862818</t>
  </si>
  <si>
    <t>306532552</t>
  </si>
  <si>
    <t>CSC0862797</t>
  </si>
  <si>
    <t>306519202</t>
  </si>
  <si>
    <t>CSC0862807</t>
  </si>
  <si>
    <t>306520214</t>
  </si>
  <si>
    <t>CSC0862804</t>
  </si>
  <si>
    <t>CSC0862801</t>
  </si>
  <si>
    <t>CSC0872330</t>
  </si>
  <si>
    <t>306603819</t>
  </si>
  <si>
    <t>CSC0856083</t>
  </si>
  <si>
    <t>REVAP/ES/PROJ</t>
  </si>
  <si>
    <t>306044284</t>
  </si>
  <si>
    <t>CSC0858837</t>
  </si>
  <si>
    <t>306159283</t>
  </si>
  <si>
    <t>CSC0854205</t>
  </si>
  <si>
    <t>306015934</t>
  </si>
  <si>
    <t>EDISP</t>
  </si>
  <si>
    <t>CSC0851828</t>
  </si>
  <si>
    <t>305949156</t>
  </si>
  <si>
    <t>CSC0849274</t>
  </si>
  <si>
    <t>G&amp;E/TERM/UTE-JF</t>
  </si>
  <si>
    <t>305864397</t>
  </si>
  <si>
    <t>UTE-JF</t>
  </si>
  <si>
    <t>Juiz de Fora</t>
  </si>
  <si>
    <t>CSC0861821</t>
  </si>
  <si>
    <t>306508954</t>
  </si>
  <si>
    <t>CSC0842482</t>
  </si>
  <si>
    <t>305762002</t>
  </si>
  <si>
    <t>CSC0861352</t>
  </si>
  <si>
    <t>306493991</t>
  </si>
  <si>
    <t>CSC0860381</t>
  </si>
  <si>
    <t>306342113</t>
  </si>
  <si>
    <t>CSC0869445</t>
  </si>
  <si>
    <t>0070-2026</t>
  </si>
  <si>
    <t>CSC0869998</t>
  </si>
  <si>
    <t>0073-2026</t>
  </si>
  <si>
    <t>CSC0865478</t>
  </si>
  <si>
    <t>REGAP/SMS/SSO</t>
  </si>
  <si>
    <t>0058-2026</t>
  </si>
  <si>
    <t>CSC0867175</t>
  </si>
  <si>
    <t>0062-2026</t>
  </si>
  <si>
    <t>CSC0867291</t>
  </si>
  <si>
    <t>0063-2026</t>
  </si>
  <si>
    <t>CSC0869428</t>
  </si>
  <si>
    <t>0068-2026</t>
  </si>
  <si>
    <t>CSC0811759</t>
  </si>
  <si>
    <t>0028-2026</t>
  </si>
  <si>
    <t>CSC0851630</t>
  </si>
  <si>
    <t>000028/2026</t>
  </si>
  <si>
    <t>CSC0847315</t>
  </si>
  <si>
    <t>ARQ-00029-2026</t>
  </si>
  <si>
    <t>CSC0843036</t>
  </si>
  <si>
    <t>RNEST/SMS/SSO</t>
  </si>
  <si>
    <t>ARQ-00028-2026</t>
  </si>
  <si>
    <t>CSC0862127</t>
  </si>
  <si>
    <t>0053-2026</t>
  </si>
  <si>
    <t>0045-2026</t>
  </si>
  <si>
    <t>CSC0853365</t>
  </si>
  <si>
    <t>0047-2026</t>
  </si>
  <si>
    <t>CSC0853037</t>
  </si>
  <si>
    <t>0043-2026</t>
  </si>
  <si>
    <t>CSC0853026</t>
  </si>
  <si>
    <t>0046-2026</t>
  </si>
  <si>
    <t>CSC0825054</t>
  </si>
  <si>
    <t>0035-2026</t>
  </si>
  <si>
    <t>CSC0854882</t>
  </si>
  <si>
    <t>TRIBUTARIO/TPG/IAF/FISC-FM</t>
  </si>
  <si>
    <t>0048-2026</t>
  </si>
  <si>
    <t>CSC0847689</t>
  </si>
  <si>
    <t>000027/2026</t>
  </si>
  <si>
    <t>CSC0846393</t>
  </si>
  <si>
    <t>000026/2026</t>
  </si>
  <si>
    <t>0069-2026</t>
  </si>
  <si>
    <t>CSC0867283</t>
  </si>
  <si>
    <t>0065-2026</t>
  </si>
  <si>
    <t>CSC0867179</t>
  </si>
  <si>
    <t>0061-2026</t>
  </si>
  <si>
    <t>CSC0856319</t>
  </si>
  <si>
    <t>0050-2026</t>
  </si>
  <si>
    <t>CSC0856318</t>
  </si>
  <si>
    <t>0049-2026</t>
  </si>
  <si>
    <t>GIS7</t>
  </si>
  <si>
    <t>306224389 OS CANCELADA / OS CADASTRADA GEDOC</t>
  </si>
  <si>
    <t>DEVOLUCAO DE EMPRESTIMO/CSC0860561/306488844</t>
  </si>
  <si>
    <t>EDISASantosIRON-LT1-SPSão Paulo</t>
  </si>
  <si>
    <t>OS 306046935 o mesmo será encaminhado em substituição ao pedido SKP 306046629 que não foi integrado devido dificuldades técnicas no sistema</t>
  </si>
  <si>
    <t>ENTREGA DE EMBALAGEM EXPRESSO/CSC0855885/306046935</t>
  </si>
  <si>
    <t>IRON-LT1\ENTREGA DE EMBALAGEM EXPRESSO\B</t>
  </si>
  <si>
    <t>UQEG</t>
  </si>
  <si>
    <t>001065/2026</t>
  </si>
  <si>
    <t>COLETA DE EMBALAGEM/CSC0845032/305732535</t>
  </si>
  <si>
    <t>001119/2026</t>
  </si>
  <si>
    <t>COLETA DE EMBALAGEM/CSC0845034/305732558</t>
  </si>
  <si>
    <t>CMD4</t>
  </si>
  <si>
    <t>OS SAIDA SOS 134202/2026 / OS CADASTRADA GEDOC</t>
  </si>
  <si>
    <t>ENTREGA DE EMBALAGEM NORMAL/CSC0793196/305890959</t>
  </si>
  <si>
    <t>DEVOLUCAO DE EMPRESTIMO/CSC0864021/306532410</t>
  </si>
  <si>
    <t>DEVOLUCAO DE EMPRESTIMO/CSC0862770/306519380</t>
  </si>
  <si>
    <t>DEVOLUCAO DE EMPRESTIMO/CSC0861438/306494445</t>
  </si>
  <si>
    <t>DEVOLUCAO DE EMPRESTIMO/CSC0859950/306198594</t>
  </si>
  <si>
    <t>001214/2026</t>
  </si>
  <si>
    <t>COLETA DE EMBALAGEM/CSC0858931/306195844</t>
  </si>
  <si>
    <t>DEVOLUCAO DE EMPRESTIMO/CSC0855266/306019363</t>
  </si>
  <si>
    <t>DEVOLUCAO DE EMPRESTIMO/CSC0846753/305771712</t>
  </si>
  <si>
    <t>ENTREGA DE EMBALAGEM EXPRESSO/CSC0859878/306198059</t>
  </si>
  <si>
    <t>ENTREGA DE EMBALAGEM EXPRESSO/CSC0859864/306196887</t>
  </si>
  <si>
    <t>ENTREGA DE EMBALAGEM EXPRESSO/CSC0855892/306046723</t>
  </si>
  <si>
    <t>ENTREGA DE EMBALAGEM EXPRESSO/CSC0860879/306488404</t>
  </si>
  <si>
    <t>OS SAIDA SOS 139084/2026 / OS CADASTRADA GEDOC</t>
  </si>
  <si>
    <t>ENTREGA DE EMBALAGEM NORMAL/CSC0864593/306584490</t>
  </si>
  <si>
    <t>ENTREGA DE EMBALAGEM NORMAL/CSC0867923/306589268</t>
  </si>
  <si>
    <t>ENTREGA DE EMBALAGEM NORMAL/CSC0867923/306588631</t>
  </si>
  <si>
    <t>ENTREGA DE EMBALAGEM NORMAL/CSC0870639/306624554</t>
  </si>
  <si>
    <t>139049/2026- saída definitiva SOS DOCS"</t>
  </si>
  <si>
    <t>ENTREGA DE EMBALAGEM NORMAL/CSC0864458/306625465</t>
  </si>
  <si>
    <t>ENTREGA DE EMBALAGEM NORMAL/CSC0863601/306625465</t>
  </si>
  <si>
    <t>ENTREGA DE EMBALAGEM NORMAL/CSC0869547/306613461</t>
  </si>
  <si>
    <t>ENTREGA DE EMBALAGEM NORMAL/CSC0857756/306117672</t>
  </si>
  <si>
    <t>ENTREGA DE EMBALAGEM NORMAL/CSC0857783/306116895</t>
  </si>
  <si>
    <t>ENTREGA DE EMBALAGEM NORMAL/CSC0850786/305892206</t>
  </si>
  <si>
    <t>135965/2026 - saída definitiva SOS DOCS</t>
  </si>
  <si>
    <t>aguardando iron cadastrar caixa 30/07</t>
  </si>
  <si>
    <t>ENTREGA DE EMBALAGEM NORMAL/CSC0848598/306043505</t>
  </si>
  <si>
    <t>DEVOLUCAO DE EMPRESTIMO/CSC0862141/306512805</t>
  </si>
  <si>
    <t>ENTREGA DE EMBALAGEM NORMAL/CSC0862170/306513930</t>
  </si>
  <si>
    <t>DEVOLUCAO DE EMPRESTIMO/CSC0851934/305930107</t>
  </si>
  <si>
    <t>ENTREGA DE EMBALAGEM EXPRESSO/CSC0862066/306488404</t>
  </si>
  <si>
    <t>001150/2026</t>
  </si>
  <si>
    <t>COLETA DE EMBALAGEM/CSC0858568/306160207</t>
  </si>
  <si>
    <t>001162/2026</t>
  </si>
  <si>
    <t>COLETA DE EMBALAGEM/CSC0858570/306159909</t>
  </si>
  <si>
    <t>001144/2026</t>
  </si>
  <si>
    <t>COLETA DE EMBALAGEM/CSC0858566/306159186</t>
  </si>
  <si>
    <t>001206/2026</t>
  </si>
  <si>
    <t>COLETA DE EMBALAGEM/CSC0857678/306197197</t>
  </si>
  <si>
    <t>OS SAIDA SOS 137258/2026 / OS CADASTRADA GEDOC</t>
  </si>
  <si>
    <t>ENTREGA DE EMBALAGEM NORMAL/CSC0855546/306197350</t>
  </si>
  <si>
    <t>001172/2026</t>
  </si>
  <si>
    <t>COLETA DE EMBALAGEM/CSC0849521/305871113</t>
  </si>
  <si>
    <t>001149/2026</t>
  </si>
  <si>
    <t>COLETA DE EMBALAGEM/CSC0849520/305871113</t>
  </si>
  <si>
    <t>ENTREGA DE EMBALAGEM NORMAL/CSC0849702/305871827</t>
  </si>
  <si>
    <t>ENTREGA DE EMBALAGEM NORMAL/CSC0850113/305872083</t>
  </si>
  <si>
    <t>DEVOLUCAO DE EMPRESTIMO/CSC0850649/305891275</t>
  </si>
  <si>
    <t>ENTREGA DE EMBALAGEM NORMAL/CSC0868434/306605391</t>
  </si>
  <si>
    <t>ENTREGA DE EMBALAGEM NORMAL/CSC0868434/306598345</t>
  </si>
  <si>
    <t>OS SAIDA 139798/2026 / OS CADASTRADA GEDOC</t>
  </si>
  <si>
    <t>ENTREGA DE EMBALAGEM NORMAL/CSC0867885/306589494</t>
  </si>
  <si>
    <t>ENTREGA DE EMBALAGEM NORMAL/CSC0857471/306112749</t>
  </si>
  <si>
    <t>138973/2026	 - saída definitiva SOS DOCS</t>
  </si>
  <si>
    <t>ENTREGA DE EMBALAGEM NORMAL/CSC0863469/306568349</t>
  </si>
  <si>
    <t>136105/2026 - saída definitiva SOS DOCS</t>
  </si>
  <si>
    <t>CX00120G40327058SOS</t>
  </si>
  <si>
    <t>ENTREGA DE EMBALAGEM NORMAL/CSC0849332/305896820</t>
  </si>
  <si>
    <t>ENTREGA DE EMBALAGEM NORMAL/CSC0846814/305846740</t>
  </si>
  <si>
    <t>A6PE</t>
  </si>
  <si>
    <t>MATERIAL PARA ARQUIVAMENTO/CSC0855218/306017669</t>
  </si>
  <si>
    <t>MATERIAL PARA ARQUIVAMENTO/CSC0868683/306603913</t>
  </si>
  <si>
    <t>MATERIAL PARA ARQUIVAMENTO/CSC0868672/306603913</t>
  </si>
  <si>
    <t>MATERIAL PARA ARQUIVAMENTO/CSC0868678/306603913</t>
  </si>
  <si>
    <t>MATERIAL PARA ARQUIVAMENTO/CSC0851657/305929660</t>
  </si>
  <si>
    <t>BAIXA PERMANENTE/CSC0851650/305949545</t>
  </si>
  <si>
    <t>CEZY</t>
  </si>
  <si>
    <t>MATERIAL PARA ARQUIVAMENTO/CSC0850174/305870666</t>
  </si>
  <si>
    <t>CSCE</t>
  </si>
  <si>
    <t>MATERIAL PARA ARQUIVAMENTO/CSC0849933/305869074</t>
  </si>
  <si>
    <t>FD39</t>
  </si>
  <si>
    <t>MATERIAL PARA ARQUIVAMENTO/CSC0855282/306034649</t>
  </si>
  <si>
    <t>MATERIAL PARA ARQUIVAMENTO/CSC0855279/306019173</t>
  </si>
  <si>
    <t>001249/2026</t>
  </si>
  <si>
    <t>COLETA DE EMBALAGEM/CSC0871587/306625936</t>
  </si>
  <si>
    <t>001197/2026</t>
  </si>
  <si>
    <t>COLETA DE EMBALAGEM/CSC0870671/306615615</t>
  </si>
  <si>
    <t>001205/2026</t>
  </si>
  <si>
    <t>COLETA DE EMBALAGEM/CSC0870676/306615615</t>
  </si>
  <si>
    <t>001225/2026</t>
  </si>
  <si>
    <t>COLETA DE EMBALAGEM/CSC0870684/306615615</t>
  </si>
  <si>
    <t>001154/2026</t>
  </si>
  <si>
    <t>COLETA DE EMBALAGEM/CSC0854167/305989720</t>
  </si>
  <si>
    <t>001130/2026</t>
  </si>
  <si>
    <t>COLETA DE EMBALAGEM/CSC0854108/305989720</t>
  </si>
  <si>
    <t>001120/2026</t>
  </si>
  <si>
    <t>COLETA DE EMBALAGEM/CSC0854106/305989720</t>
  </si>
  <si>
    <t>001110/2026</t>
  </si>
  <si>
    <t>COLETA DE EMBALAGEM/CSC0854103/305989720</t>
  </si>
  <si>
    <t>001108/2026</t>
  </si>
  <si>
    <t>COLETA DE EMBALAGEM/CSC0854099/305989720</t>
  </si>
  <si>
    <t>001099/2026</t>
  </si>
  <si>
    <t>COLETA DE EMBALAGEM/CSC0854096/305988948</t>
  </si>
  <si>
    <t>ENTREGA DE EMBALAGEM NORMAL/CSC0863259/306534284</t>
  </si>
  <si>
    <t>OS SAIDA SOS  138953/2026 / OS CADASTRADA GEDOC</t>
  </si>
  <si>
    <t>ENTREGA DE EMBALAGEM NORMAL/CSC0863259/306589655</t>
  </si>
  <si>
    <t>ZBAV</t>
  </si>
  <si>
    <t>134626/2026 - saída definitiva SOS DOCS / não disponibilizada pela SOS 21/07</t>
  </si>
  <si>
    <t>ENTREGA DE EMBALAGEM NORMAL/CSC0841569/305950285</t>
  </si>
  <si>
    <t>001251/2026</t>
  </si>
  <si>
    <t>COLETA DE EMBALAGEM/CSC0867362/306570783</t>
  </si>
  <si>
    <t>001184/2026</t>
  </si>
  <si>
    <t>COLETA DE EMBALAGEM/CSC0852567/305951077</t>
  </si>
  <si>
    <t>001186/2026</t>
  </si>
  <si>
    <t>COLETA DE EMBALAGEM/CSC0852593/305956878</t>
  </si>
  <si>
    <t>ENTREGA DE EMBALAGEM NORMAL/CSC0868840/306606002</t>
  </si>
  <si>
    <t>ENTREGA DE EMBALAGEM NORMAL/CSC0868850/306610660</t>
  </si>
  <si>
    <t>136994/2026 - saída definitiva SOS DOCS</t>
  </si>
  <si>
    <t>ENTREGA DE EMBALAGEM NORMAL/CSC0854080/306085922</t>
  </si>
  <si>
    <t>136653/2026 - saída definitiva SOS DOCS</t>
  </si>
  <si>
    <t>ENTREGA DE EMBALAGEM NORMAL/CSC0852239/306016704</t>
  </si>
  <si>
    <t>001201/2026</t>
  </si>
  <si>
    <t>COLETA DE EMBALAGEM/CSC0863465/306523170</t>
  </si>
  <si>
    <t>001123/2026</t>
  </si>
  <si>
    <t>COLETA DE EMBALAGEM/CSC0863464/306522886</t>
  </si>
  <si>
    <t>CR6B</t>
  </si>
  <si>
    <t>ENTREGA DE EMBALAGEM NORMAL/CSC0868691/306603849</t>
  </si>
  <si>
    <t>OS SAIDA SOS  137050/2026 / OS CADASTRADA GEDOC</t>
  </si>
  <si>
    <t>ENTREGA DE EMBALAGEM NORMAL/CSC0854316/306183474</t>
  </si>
  <si>
    <t>ENTREGA DE EMBALAGEM NORMAL/CSC0853363/305979253</t>
  </si>
  <si>
    <t>OS SAIDA SOS 136652/2026	/ OS CADASTRADA GEDOC</t>
  </si>
  <si>
    <t>ENTREGA DE EMBALAGEM NORMAL/CSC0851922/306035039</t>
  </si>
  <si>
    <t>CX0012000050092SOS/RF904359633</t>
  </si>
  <si>
    <t>INDEXACAO DE DOCUMENTO/CSC0866373/BRK74114</t>
  </si>
  <si>
    <t>CX0012000006173SOS/RF904380985</t>
  </si>
  <si>
    <t>INDEXACAO DE DOCUMENTO/CSC0860239/306345719</t>
  </si>
  <si>
    <t>CX0012000007734SOS/RF904278019</t>
  </si>
  <si>
    <t>INDEXACAO DE DOCUMENTO/CSC0863658/306541818</t>
  </si>
  <si>
    <t>INDEXACAO DE DOCUMENTO/CSC0863115/306532665</t>
  </si>
  <si>
    <t>INDEXACAO DE DOCUMENTO/CSC0860379/306501927</t>
  </si>
  <si>
    <t>INDEXACAO DE DOCUMENTO/CSC0858731/306160100</t>
  </si>
  <si>
    <t>CX00120G40555296SOS/RF904253505</t>
  </si>
  <si>
    <t>INDEXACAO DE DOCUMENTO/CSC0862324/306533049</t>
  </si>
  <si>
    <t>CX00120G40555295SOS/RF904253481</t>
  </si>
  <si>
    <t>CX00120G40555287SOS/RF904253492</t>
  </si>
  <si>
    <t>CX00120G40555286SOS/RF904253494</t>
  </si>
  <si>
    <t>CX00120G40548139SOS/RF904384917</t>
  </si>
  <si>
    <t>CX00120G40548140SOS/RF904384915</t>
  </si>
  <si>
    <t>CX00120G40548129SOS/RF904509814</t>
  </si>
  <si>
    <t>CX00120G40548138SOS/RF904384914</t>
  </si>
  <si>
    <t>CX00120G40548141SOS/RF904308212</t>
  </si>
  <si>
    <t>CX00120G40167592SOS/RF904524745</t>
  </si>
  <si>
    <t>INDEXACAO DE DOCUMENTO/CSC0862401/306521390</t>
  </si>
  <si>
    <t>INDEXACAO DE DOCUMENTO/CSC0862393/306549486</t>
  </si>
  <si>
    <t>INDEXACAO DE DOCUMENTO/CSC0861485/306495014</t>
  </si>
  <si>
    <t>132719/2026 - saída definitiva SOS DOCS / caixa não disponibilizada pela SOS em 05/08</t>
  </si>
  <si>
    <t>CX00120G40312668SOS</t>
  </si>
  <si>
    <t>INDEXACAO DE DOCUMENTO/CSC0831323/306505678</t>
  </si>
  <si>
    <t>S118</t>
  </si>
  <si>
    <t>CX00120G40556729SOS</t>
  </si>
  <si>
    <t>INDEXACAO DE DOCUMENTO/CSC0852601/306037304</t>
  </si>
  <si>
    <t>CX00120G40556718SOS</t>
  </si>
  <si>
    <t>CX00120G40556717SOS</t>
  </si>
  <si>
    <t>CX00120G40556730SOS</t>
  </si>
  <si>
    <t>CX00120G40556716SOS</t>
  </si>
  <si>
    <t>CX00120G40556715SOS</t>
  </si>
  <si>
    <t>CX00120G40556714SOS</t>
  </si>
  <si>
    <t>CX00120G40556731SOS</t>
  </si>
  <si>
    <t>CX00120G40556733SOS</t>
  </si>
  <si>
    <t>CX00120G40556732SOS</t>
  </si>
  <si>
    <t>CX0012000004423SOS</t>
  </si>
  <si>
    <t>INDEXACAO DE DOCUMENTO/CSC0854397/306015684</t>
  </si>
  <si>
    <t>TV50</t>
  </si>
  <si>
    <t>127721/2026  - saída definitiva SOS DOCS</t>
  </si>
  <si>
    <t>CX00120G40334776SOS</t>
  </si>
  <si>
    <t>INDEXACAO DE DOCUMENTO/CSC0840649/305986831</t>
  </si>
  <si>
    <t>134414/2026 - saída definitiva SOS DOCS / não disponibilizada pela SOS 21/07</t>
  </si>
  <si>
    <t>CX00120G40333103SOS</t>
  </si>
  <si>
    <t>135943/2026 - saída definitiva SOS DOCS</t>
  </si>
  <si>
    <t>CX0012000060121SOS</t>
  </si>
  <si>
    <t>INDEXACAO DE DOCUMENTO/CSC0848356/306034300</t>
  </si>
  <si>
    <t>CX0012000052005SOS</t>
  </si>
  <si>
    <t>INDEXACAO DE DOCUMENTO/CSC0856321/306079987</t>
  </si>
  <si>
    <t>CB00120G40076179SOS</t>
  </si>
  <si>
    <t>INDEXACAO DE DOCUMENTO/CSC0856321/306081939</t>
  </si>
  <si>
    <t>CX00120G40353441SOS</t>
  </si>
  <si>
    <t>CB00120G40079360SOS</t>
  </si>
  <si>
    <t>INDEXACAO DE DOCUMENTO/CSC0831323/305365195</t>
  </si>
  <si>
    <t>CB00120G40079345SOS</t>
  </si>
  <si>
    <t>132719/2026 - saída definitiva SOS DOCS / caixa não disponibilizada pela SOS em 21/07</t>
  </si>
  <si>
    <t>CX00120G40260720SOS</t>
  </si>
  <si>
    <t>INDEXACAO DE DOCUMENTO/CSC0831323/306196733</t>
  </si>
  <si>
    <t>INDEXACAO DE DOCUMENTO/CSC0869725/306624795</t>
  </si>
  <si>
    <t>136161/2026 - saída definitiva SOS DOCS</t>
  </si>
  <si>
    <t>CX00120G40354004SOS</t>
  </si>
  <si>
    <t>INDEXACAO DE DOCUMENTO/CSC0849598/306036518</t>
  </si>
  <si>
    <t>OS SAIDA SOS 135871/2026</t>
  </si>
  <si>
    <t>CX00120G40264632SOS/RF904591002</t>
  </si>
  <si>
    <t>INDEXACAO DE DOCUMENTO/CSC0848046/305980155</t>
  </si>
  <si>
    <t>CX00120G40136567SOS/RF904591001</t>
  </si>
  <si>
    <t>CX00120G40341140SOS/RF903932643</t>
  </si>
  <si>
    <t>INDEXACAO DE DOCUMENTO/CSC0848046/305827996</t>
  </si>
  <si>
    <t>UPII</t>
  </si>
  <si>
    <t>CB00120G40076200SOS/2039819535</t>
  </si>
  <si>
    <t>INDEXACAO DE DOCUMENTO/CSC0843695/305765808</t>
  </si>
  <si>
    <t>CB00120G40076181SOS/2039777681</t>
  </si>
  <si>
    <t>CB00120G40076182SOS/2039777745</t>
  </si>
  <si>
    <t>DIGITALIZACAO DE DOCUMENTO ADMINISTRATIVO/CSC0866373/BRK74114</t>
  </si>
  <si>
    <t>DIGITALIZACAO DE DOCUMENTO ADMINISTRATIVO/CSC0860239/306345719</t>
  </si>
  <si>
    <t>DIGITALIZACAO DE DOCUMENTO ADMINISTRATIVO/CSC0863658/306541818</t>
  </si>
  <si>
    <t>DIGITALIZACAO DE DOCUMENTO ADMINISTRATIVO/CSC0863115/306532665</t>
  </si>
  <si>
    <t>DIGITALIZACAO DE DOCUMENTO ADMINISTRATIVO/CSC0860379/306501927</t>
  </si>
  <si>
    <t>DIGITALIZACAO DE DOCUMENTO ADMINISTRATIVO/CSC0858731/306160100</t>
  </si>
  <si>
    <t>DIGITALIZACAO DE DOCUMENTO ADMINISTRATIVO/CSC0862324/306533049</t>
  </si>
  <si>
    <t>DIGITALIZACAO DE DOCUMENTO ADMINISTRATIVO/CSC0862401/306521390</t>
  </si>
  <si>
    <t>DIGITALIZACAO DE DOCUMENTO ADMINISTRATIVO/CSC0862393/306549486</t>
  </si>
  <si>
    <t>DIGITALIZACAO DE DOCUMENTO ADMINISTRATIVO/CSC0861485/306495014</t>
  </si>
  <si>
    <t>DIGITALIZACAO DE DOCUMENTO ADMINISTRATIVO/CSC0831323/306505678</t>
  </si>
  <si>
    <t>DIGITALIZACAO DE DOCUMENTO ADMINISTRATIVO/CSC0852601/306037304</t>
  </si>
  <si>
    <t>DIGITALIZACAO DE DOCUMENTO ADMINISTRATIVO/CSC0854397/306015684</t>
  </si>
  <si>
    <t>DIGITALIZACAO DE DOCUMENTO ADMINISTRATIVO/CSC0869725/306624795</t>
  </si>
  <si>
    <t>DIGITALIZACAO DE DOCUMENTO ADMINISTRATIVO/CSC0849598/306036518</t>
  </si>
  <si>
    <t>DIGITALIZACAO DE DOCUMENTO ADMINISTRATIVO/CSC0848356/306034300</t>
  </si>
  <si>
    <t>DIGITALIZACAO DE DOCUMENTO ADMINISTRATIVO/CSC0856321/306079987</t>
  </si>
  <si>
    <t>DIGITALIZACAO DE DOCUMENTO ADMINISTRATIVO/CSC0840649/305986831</t>
  </si>
  <si>
    <t>DIGITALIZACAO DE DOCUMENTO ADMINISTRATIVO/CSC0848046/305980155</t>
  </si>
  <si>
    <t>DIGITALIZACAO DE DOCUMENTO ADMINISTRATIVO/CSC0848046/305827996</t>
  </si>
  <si>
    <t>CATALOGACAO DE ITEM AVULSO/CSC0866373/BRK74114</t>
  </si>
  <si>
    <t>IRON-LT1\CATALOGACAO DE ITEM AVULSO\A</t>
  </si>
  <si>
    <t>CATALOGACAO DE ITEM AVULSO/CSC0860239/306345719</t>
  </si>
  <si>
    <t>CATALOGACAO DE ITEM AVULSO/CSC0863658/306541818</t>
  </si>
  <si>
    <t>CATALOGACAO DE ITEM AVULSO/CSC0863115/306532665</t>
  </si>
  <si>
    <t>CATALOGACAO DE ITEM AVULSO/CSC0860379/306501927</t>
  </si>
  <si>
    <t>CATALOGACAO DE ITEM AVULSO/CSC0858731/306160100</t>
  </si>
  <si>
    <t>CATALOGACAO DE ITEM AVULSO/CSC0862324/306533049</t>
  </si>
  <si>
    <t>CATALOGACAO DE ITEM AVULSO/CSC0862401/306521390</t>
  </si>
  <si>
    <t>CATALOGACAO DE ITEM AVULSO/CSC0862393/306549486</t>
  </si>
  <si>
    <t>CATALOGACAO DE ITEM AVULSO/CSC0861485/306495014</t>
  </si>
  <si>
    <t>CATALOGACAO DE ITEM AVULSO/CSC0831323/306505678</t>
  </si>
  <si>
    <t>CATALOGACAO DE ITEM AVULSO/CSC0852601/306037304</t>
  </si>
  <si>
    <t>CATALOGACAO DE ITEM AVULSO/CSC0840649/305986831</t>
  </si>
  <si>
    <t>CATALOGACAO DE ITEM AVULSO/CSC0848356/306034300</t>
  </si>
  <si>
    <t>CATALOGACAO DE ITEM AVULSO/CSC0856321/306079987</t>
  </si>
  <si>
    <t>CATALOGACAO DE ITEM AVULSO/CSC0856321/306081939</t>
  </si>
  <si>
    <t>CATALOGACAO DE ITEM AVULSO/CSC0831323/305365195</t>
  </si>
  <si>
    <t>CATALOGACAO DE ITEM AVULSO/CSC0831323/306196733</t>
  </si>
  <si>
    <t>CATALOGACAO DE ITEM AVULSO/CSC0869725/306624795</t>
  </si>
  <si>
    <t>CATALOGACAO DE ITEM AVULSO/CSC0849598/306036518</t>
  </si>
  <si>
    <t>CATALOGACAO DE ITEM AVULSO/CSC0854397/306015684</t>
  </si>
  <si>
    <t>CATALOGACAO DE ITEM AVULSO/CSC0848046/305980155</t>
  </si>
  <si>
    <t>CATALOGACAO DE ITEM AVULSO/CSC0848046/305827996</t>
  </si>
  <si>
    <t>CATALOGACAO DE ITEM AVULSO/CSC0843695/305765808</t>
  </si>
  <si>
    <t>DIGITALIZACAO DE MICROFICHA/CSC0843695/305765808</t>
  </si>
  <si>
    <t>DIGITALIZACAO DE DOCUMENTO ADMINISTRATIVO/CSC0831323/306196733</t>
  </si>
  <si>
    <t>COPIA DE MIDIA/CSC0831323/305365195</t>
  </si>
  <si>
    <t>IRON-LT1\COPIA DE MIDIA\A</t>
  </si>
  <si>
    <t>COPIA DE MIDIAMídia</t>
  </si>
  <si>
    <t>CB00120G40074477SOS (CX00120G40262832SOS)</t>
  </si>
  <si>
    <t>DIGITALIZACAO DE MICROFICHA/CSC0858353/306144031</t>
  </si>
  <si>
    <t>CB00120G40074463SOS (CX00120G40290880SOS)</t>
  </si>
  <si>
    <t>CATALOGACAO DE ITEM AVULSO/CSC0858353/306144031</t>
  </si>
  <si>
    <t>INDEXACAO DE DOCUMENTO/CSC0858353/306144031</t>
  </si>
  <si>
    <t>caixa completa solicitada por Phablo</t>
  </si>
  <si>
    <t>CX0012000052023SOS</t>
  </si>
  <si>
    <t>CATALOGACAO DE ITEM AVULSO/CSC0856321/306508999</t>
  </si>
  <si>
    <t>INDEXACAO DE DOCUMENTO/CSC0856321/306508999</t>
  </si>
  <si>
    <t>137447/2026 - saída definitiva SOS DOCS - caixa não recepcionada pela iron 03/08</t>
  </si>
  <si>
    <t>CX0012000052985SOS</t>
  </si>
  <si>
    <t>CATALOGACAO DE ITEM AVULSO/CSC0856321/306144088</t>
  </si>
  <si>
    <t>INDEXACAO DE DOCUMENTO/CSC0856321/306144088</t>
  </si>
  <si>
    <t>DIGITALIZACAO DE DOCUMENTO ADMINISTRATIVO/CSC0856321/306144088</t>
  </si>
  <si>
    <t>DIGITALIZACAO DE MICROFICHA/CSC0856321/306081939</t>
  </si>
  <si>
    <t>DIGITALIZACAO DE DOCUMENTO ADMINISTRATIVO/CSC0856321/306508999</t>
  </si>
  <si>
    <t>OS SAIDA SOS 134155/2026 / OS CADASTRADA GEDOC EM RASCUNHO INCOMPLETA</t>
  </si>
  <si>
    <t>ENTREGA DE EMBALAGEM EXPRESSO/CSC0839536/305733645</t>
  </si>
  <si>
    <t>OS SAIDA SOS 135191/2026</t>
  </si>
  <si>
    <t>CX00120G40334892SOS/RF904507366</t>
  </si>
  <si>
    <t>DIGITALIZACAO DE DOCUMENTO ADMINISTRATIVO/CSC0843695/306115005</t>
  </si>
  <si>
    <t>CX0012000013003SOS/RF904573757</t>
  </si>
  <si>
    <t>INDEXACAO DE DOCUMENTO/CSC0865378/306553108</t>
  </si>
  <si>
    <t>CX0012000010630SOS/RF904521382</t>
  </si>
  <si>
    <t>INDEXACAO DE DOCUMENTO/CSC0861831/306553079</t>
  </si>
  <si>
    <t>CX00120G40234884SOS/RF904274227</t>
  </si>
  <si>
    <t>INDEXACAO DE DOCUMENTO/CSC0858397/306162335</t>
  </si>
  <si>
    <t>DIGITALIZACAO DE DOCUMENTO ADMINISTRATIVO/CSC0865378/306553108</t>
  </si>
  <si>
    <t xml:space="preserve">OS SAIDA SOS  </t>
  </si>
  <si>
    <t>DIGITALIZACAO DE DOCUMENTO ADMINISTRATIVO/CSC0861831/306553079</t>
  </si>
  <si>
    <t>DIGITALIZACAO DE DOCUMENTO ADMINISTRATIVO/CSC0858397/306162335</t>
  </si>
  <si>
    <t>CATALOGACAO DE ITEM AVULSO/CSC0865378/306553108</t>
  </si>
  <si>
    <t>IRON-LT1\CATALOGACAO DE ITEM AVULSO\B</t>
  </si>
  <si>
    <t>CATALOGACAO DE ITEM AVULSO/CSC0861831/306553079</t>
  </si>
  <si>
    <t>CATALOGACAO DE ITEM AVULSO/CSC0858397/306162335</t>
  </si>
  <si>
    <t>CHAMADO FOI CANCELADO DEVIDO A DUPLICADADE DE GDD NO MESMO DIA</t>
  </si>
  <si>
    <t>001195/2026</t>
  </si>
  <si>
    <t>COLETA DE EMBALAGEM/CSC0856890/306087216</t>
  </si>
  <si>
    <t>001181/2026</t>
  </si>
  <si>
    <t>COLETA DE EMBALAGEM/CSC0855838/306044635</t>
  </si>
  <si>
    <t>001180/2026</t>
  </si>
  <si>
    <t>COLETA DE EMBALAGEM/CSC0855836/306044635</t>
  </si>
  <si>
    <t>001179/2026</t>
  </si>
  <si>
    <t>COLETA DE EMBALAGEM/CSC0855834/306044635</t>
  </si>
  <si>
    <t>DIGITALIZACAO DE DOCUMENTO ADMINISTRATIVO/CSC0859741/306329344</t>
  </si>
  <si>
    <t>CATALOGACAO DE ITEM AVULSO/CSC0859741/306329344</t>
  </si>
  <si>
    <t>INDEXACAO DE DOCUMENTO/CSC0859741/306329344</t>
  </si>
  <si>
    <t>001217/2026</t>
  </si>
  <si>
    <t>COLETA DE EMBALAGEM/CSC0862409/306525141</t>
  </si>
  <si>
    <t>001230/2026</t>
  </si>
  <si>
    <t>COLETA DE EMBALAGEM/CSC0864940/306540469</t>
  </si>
  <si>
    <t>001229/2026</t>
  </si>
  <si>
    <t>COLETA DE EMBALAGEM/CSC0864936/306540469</t>
  </si>
  <si>
    <t>001232/2026</t>
  </si>
  <si>
    <t>COLETA DE EMBALAGEM/CSC0863578/306526697</t>
  </si>
  <si>
    <t>001220/2026</t>
  </si>
  <si>
    <t>COLETA DE EMBALAGEM/CSC0862789/306519478</t>
  </si>
  <si>
    <t>001219/2026</t>
  </si>
  <si>
    <t>COLETA DE EMBALAGEM/CSC0862413/306513592</t>
  </si>
  <si>
    <t>001226/2026</t>
  </si>
  <si>
    <t>COLETA DE EMBALAGEM/CSC0864933/306540469</t>
  </si>
  <si>
    <t>001209/2026</t>
  </si>
  <si>
    <t>COLETA DE EMBALAGEM/CSC0862426/306513592</t>
  </si>
  <si>
    <t>001218/2026</t>
  </si>
  <si>
    <t>COLETA DE EMBALAGEM/CSC0862410/306513225</t>
  </si>
  <si>
    <t>001207/2026</t>
  </si>
  <si>
    <t>COLETA DE EMBALAGEM/CSC0862415/306513225</t>
  </si>
  <si>
    <t>COLETA DE EMBALAGEM/CSC0857641/306117864</t>
  </si>
  <si>
    <t>001208/2026</t>
  </si>
  <si>
    <t>COLETA DE EMBALAGEM/CSC0862422/306513225</t>
  </si>
  <si>
    <t>001227/2026</t>
  </si>
  <si>
    <t>COLETA DE EMBALAGEM/CSC0864934/306540469</t>
  </si>
  <si>
    <t>001183/2026</t>
  </si>
  <si>
    <t>COLETA DE EMBALAGEM/CSC0867849/306603624</t>
  </si>
  <si>
    <t>OS CADASTRADA</t>
  </si>
  <si>
    <t>OS 306598344 cancelada</t>
  </si>
  <si>
    <t>MATERIAL PARA ARQUIVAMENTO/CSC0867802/306601857</t>
  </si>
  <si>
    <t xml:space="preserve"> OS CADASTRADA GEDOC</t>
  </si>
  <si>
    <t>MATERIAL PARA ARQUIVAMENTO/CSC0867770/306601857</t>
  </si>
  <si>
    <t>OS cadastrada gedoc</t>
  </si>
  <si>
    <t>MATERIAL PARA ARQUIVAMENTO/CSC0862503/306520730</t>
  </si>
  <si>
    <t>306490770 os cancelada a pedido da Iron / OS cadastrata gedoc</t>
  </si>
  <si>
    <t>MATERIAL PARA ARQUIVAMENTO/CSC0860889/306507305</t>
  </si>
  <si>
    <t>001258/2026</t>
  </si>
  <si>
    <t>COLETA DE EMBALAGEM/CSC0870564/306613932</t>
  </si>
  <si>
    <t>001228/2026</t>
  </si>
  <si>
    <t>COLETA DE EMBALAGEM/CSC0869920/306610219</t>
  </si>
  <si>
    <t>001267/2026</t>
  </si>
  <si>
    <t>COLETA DE EMBALAGEM/CSC0869927/306610219</t>
  </si>
  <si>
    <t>001231/2026</t>
  </si>
  <si>
    <t>COLETA DE EMBALAGEM/CSC0869926/306610219</t>
  </si>
  <si>
    <t>001178/2026</t>
  </si>
  <si>
    <t>COLETA DE EMBALAGEM/CSC0855832/306043837</t>
  </si>
  <si>
    <t>001171/2026</t>
  </si>
  <si>
    <t>COLETA DE EMBALAGEM/CSC0855831/306043837</t>
  </si>
  <si>
    <t>001134/2026</t>
  </si>
  <si>
    <t>COLETA DE EMBALAGEM/CSC0855822/306043837</t>
  </si>
  <si>
    <t>001170/2026</t>
  </si>
  <si>
    <t>COLETA DE EMBALAGEM/CSC0850165/305891283</t>
  </si>
  <si>
    <t>001168/2026</t>
  </si>
  <si>
    <t>COLETA DE EMBALAGEM/CSC0850163/305891283</t>
  </si>
  <si>
    <t>001157/2026</t>
  </si>
  <si>
    <t>COLETA DE EMBALAGEM/CSC0850161/305891283</t>
  </si>
  <si>
    <t>Os pendente</t>
  </si>
  <si>
    <t>001056/2026</t>
  </si>
  <si>
    <t>COLETA DE EMBALAGEM/CSC0849603/305890408</t>
  </si>
  <si>
    <t>001166/2026</t>
  </si>
  <si>
    <t>COLETA DE EMBALAGEM/CSC0849544/305865045</t>
  </si>
  <si>
    <t>001127/2026</t>
  </si>
  <si>
    <t>COLETA DE EMBALAGEM/CSC0847728/305805189</t>
  </si>
  <si>
    <t>001125/2026</t>
  </si>
  <si>
    <t>COLETA DE EMBALAGEM/CSC0847727/305805189</t>
  </si>
  <si>
    <t>001156/2026</t>
  </si>
  <si>
    <t>COLETA DE EMBALAGEM/CSC0849557/305871368</t>
  </si>
  <si>
    <t>001155/2026</t>
  </si>
  <si>
    <t>COLETA DE EMBALAGEM/CSC0849553/305871368</t>
  </si>
  <si>
    <t>001152/2026</t>
  </si>
  <si>
    <t>COLETA DE EMBALAGEM/CSC0849552/305871368</t>
  </si>
  <si>
    <t>001113/2026</t>
  </si>
  <si>
    <t>COLETA DE EMBALAGEM/CSC0849284/305870780</t>
  </si>
  <si>
    <t>001137/2026</t>
  </si>
  <si>
    <t>COLETA DE EMBALAGEM/CSC0849282/305870780</t>
  </si>
  <si>
    <t>001160/2026</t>
  </si>
  <si>
    <t>COLETA DE EMBALAGEM/CSC0849559/305871368</t>
  </si>
  <si>
    <t>001163/2026</t>
  </si>
  <si>
    <t>COLETA DE EMBALAGEM/CSC0849562/305871368</t>
  </si>
  <si>
    <t xml:space="preserve"> CX00120G40225079SOS/RF904278754</t>
  </si>
  <si>
    <t>CATALOGACAO DE ITEM AVULSO/CSC0852949/305980326</t>
  </si>
  <si>
    <t>INDEXACAO DE DOCUMENTO/CSC0852949/305980326</t>
  </si>
  <si>
    <t>DIGITALIZACAO DE DOCUMENTO ADMINISTRATIVO/CSC0852949/305980326</t>
  </si>
  <si>
    <t>001121/2026</t>
  </si>
  <si>
    <t>COLETA DE EMBALAGEM/CSC0852722/305960232</t>
  </si>
  <si>
    <t>001169/2026</t>
  </si>
  <si>
    <t>COLETA DE EMBALAGEM/CSC0852719/305960232</t>
  </si>
  <si>
    <t>RM2A</t>
  </si>
  <si>
    <t>DEVOLUCAO DE EMPRESTIMO/CSC0850868/305892096</t>
  </si>
  <si>
    <t>001164/2026</t>
  </si>
  <si>
    <t>COLETA DE EMBALAGEM/CSC0849566/305871368</t>
  </si>
  <si>
    <t>001222/2026</t>
  </si>
  <si>
    <t>COLETA DE EMBALAGEM/CSC0862507/306513879</t>
  </si>
  <si>
    <t>MATERIAL PARA ARQUIVAMENTO/CSC0865966/306552297</t>
  </si>
  <si>
    <t>001254/2026</t>
  </si>
  <si>
    <t>COLETA DE EMBALAGEM/CSC0868395/306589614</t>
  </si>
  <si>
    <t>001255/2026</t>
  </si>
  <si>
    <t>COLETA DE EMBALAGEM/CSC0867782/306580961</t>
  </si>
  <si>
    <t>001136/2026</t>
  </si>
  <si>
    <t>COLETA DE EMBALAGEM/CSC0848625/305844575</t>
  </si>
  <si>
    <t>001175/2026</t>
  </si>
  <si>
    <t>COLETA DE EMBALAGEM/CSC0852382/305950115</t>
  </si>
  <si>
    <t>FDOD</t>
  </si>
  <si>
    <t>OS PENDENTE CADASTRO GEDOC</t>
  </si>
  <si>
    <t>ENTREGA DE EMBALAGEM NORMAL/CSC0851040/305922712</t>
  </si>
  <si>
    <t>DEVOLUCAO DE EMPRESTIMO/CSC0867395/306581174</t>
  </si>
  <si>
    <t>CATALOGACAO DE ITEM AVULSO/CSC0859741/306214285</t>
  </si>
  <si>
    <t>INDEXACAO DE DOCUMENTO/CSC0859741/306214285</t>
  </si>
  <si>
    <t>DIGITALIZACAO DE DOCUMENTO ADMINISTRATIVO/CSC0859741/306214285</t>
  </si>
  <si>
    <t>001238/2026</t>
  </si>
  <si>
    <t>COLETA DE EMBALAGEM/CSC0867366/306570061</t>
  </si>
  <si>
    <t>001241/2026</t>
  </si>
  <si>
    <t>COLETA DE EMBALAGEM/CSC0867384/306570940</t>
  </si>
  <si>
    <t>Conforme informado pelo Phablo via WXTB, atend. Concluído em 29/07 a pedido da cliente</t>
  </si>
  <si>
    <t>ENTREGA DE EMBALAGEM NORMAL/CSC0851387/305920445</t>
  </si>
  <si>
    <t>cliente relatou em 22/07 que o atendimento está pendente</t>
  </si>
  <si>
    <t>001049/2026</t>
  </si>
  <si>
    <t>COLETA DE EMBALAGEM/CSC0845266/305732688</t>
  </si>
  <si>
    <t>CATALOGACAO DE ITEM AVULSO/CSC0861719/306564185</t>
  </si>
  <si>
    <t>CATALOGACAO DE ITEM AVULSO/CSC0861719/306533109</t>
  </si>
  <si>
    <t>CATALOGACAO DE ITEM AVULSO/CSC0861719/306535255</t>
  </si>
  <si>
    <t>MATERIAL PARA ARQUIVAMENTO/CSC0869487/306604758</t>
  </si>
  <si>
    <t>Cubatão\SP</t>
  </si>
  <si>
    <t>RPBCCubatãoN/AN/A</t>
  </si>
  <si>
    <t>FXX5</t>
  </si>
  <si>
    <t>MATERIAL PARA ARQUIVAMENTO/CSC0868711/306605481</t>
  </si>
  <si>
    <t>001198/2026</t>
  </si>
  <si>
    <t>COLETA DE EMBALAGEM/CSC0862849/306519746</t>
  </si>
  <si>
    <t>RPBCCubatãoIRON-LT1-SPSão Paulo</t>
  </si>
  <si>
    <t>001240/2026</t>
  </si>
  <si>
    <t>COLETA DE EMBALAGEM/CSC0868707/306588463</t>
  </si>
  <si>
    <t>EQAC</t>
  </si>
  <si>
    <t>001204/2026</t>
  </si>
  <si>
    <t>COLETA DE EMBALAGEM/CSC0857304/306106265</t>
  </si>
  <si>
    <t>FF9T</t>
  </si>
  <si>
    <t>MATERIAL PARA ARQUIVAMENTO/CSC0844540/305714708</t>
  </si>
  <si>
    <t>MATERIAL PARA ARQUIVAMENTO/CSC0853172/305960140</t>
  </si>
  <si>
    <t>CATALOGACAO DE ITEM AVULSO/CSC0866463/306572026</t>
  </si>
  <si>
    <t>DIGITALIZACAO DE DOCUMENTO ADMINISTRATIVO/CSC0866463/306572026</t>
  </si>
  <si>
    <t>INDEXACAO DE DOCUMENTO/CSC0866463/306572026</t>
  </si>
  <si>
    <t>MATERIAL PARA ARQUIVAMENTO/CSC0869373/306603820</t>
  </si>
  <si>
    <t>MATERIAL PARA ARQUIVAMENTO/CSC0869371/306603820</t>
  </si>
  <si>
    <t>MATERIAL PARA ARQUIVAMENTO/CSC0869374/306603820</t>
  </si>
  <si>
    <t>DEVOLUCAO DE EMPRESTIMO/CSC0862818/306532552</t>
  </si>
  <si>
    <t>001224/2026</t>
  </si>
  <si>
    <t>COLETA DE EMBALAGEM/CSC0862797/306519202</t>
  </si>
  <si>
    <t>MATERIAL PARA ARQUIVAMENTO/CSC0862807/306520214</t>
  </si>
  <si>
    <t>MATERIAL PARA ARQUIVAMENTO/CSC0862804/306520214</t>
  </si>
  <si>
    <t>MATERIAL PARA ARQUIVAMENTO/CSC0862801/306520214</t>
  </si>
  <si>
    <t>001262/2026</t>
  </si>
  <si>
    <t>COLETA DE EMBALAGEM/CSC0872330/306603819</t>
  </si>
  <si>
    <t>FO2H</t>
  </si>
  <si>
    <t>001199/2026</t>
  </si>
  <si>
    <t>COLETA DE EMBALAGEM/CSC0856083/306044284</t>
  </si>
  <si>
    <t>ENTREGA DE EMBALAGEM NORMAL/CSC0858837/306159283</t>
  </si>
  <si>
    <t>imagens disponibilizadas aguardando OS</t>
  </si>
  <si>
    <t>CX00120G40429292SOS</t>
  </si>
  <si>
    <t>CATALOGACAO DE ITEM AVULSO/CSC0854205/306015934</t>
  </si>
  <si>
    <t>São Paulo\SP</t>
  </si>
  <si>
    <t>EDISPSão PauloN/AN/A</t>
  </si>
  <si>
    <t>INDEXACAO DE DOCUMENTO/CSC0854205/306015934</t>
  </si>
  <si>
    <t>DIGITALIZACAO DE DOCUMENTO ADMINISTRATIVO/CSC0854205/306015934</t>
  </si>
  <si>
    <t>INDEXACAO DE DOCUMENTO/CSC0851828/305949156</t>
  </si>
  <si>
    <t>DIGITALIZACAO DE DOCUMENTO ADMINISTRATIVO/CSC0851828/305949156</t>
  </si>
  <si>
    <t>CATALOGACAO DE ITEM AVULSO/CSC0851828/305949156</t>
  </si>
  <si>
    <t>FLIX</t>
  </si>
  <si>
    <t>001159/2026</t>
  </si>
  <si>
    <t>COLETA DE EMBALAGEM/CSC0849274/305864397</t>
  </si>
  <si>
    <t>Juiz de Fora\MG</t>
  </si>
  <si>
    <t>UTE-JFJuiz de ForaIRON-LT1-RJRio de Janeiro</t>
  </si>
  <si>
    <t>CX00120G40217228SOS</t>
  </si>
  <si>
    <t>CATALOGACAO DE ITEM AVULSO/CSC0861821/306508954</t>
  </si>
  <si>
    <t>INDEXACAO DE DOCUMENTO/CSC0861821/306508954</t>
  </si>
  <si>
    <t>OS SAIDA SOS 134808/2026 / OS CADASTRADA GEDOC</t>
  </si>
  <si>
    <t>ENTREGA DE EMBALAGEM NORMAL/CSC0842482/305762002</t>
  </si>
  <si>
    <t>INDEXACAO DE DOCUMENTO/CSC0843695/306115005</t>
  </si>
  <si>
    <t>DIGITALIZACAO DE DOCUMENTO ADMINISTRATIVO/CSC0861821/306508954</t>
  </si>
  <si>
    <t>ENTREGA DE EMBALAGEM NORMAL/CSC0861352/306493991</t>
  </si>
  <si>
    <t>CX0012000055672SOS</t>
  </si>
  <si>
    <t>CATALOGACAO DE ITEM AVULSO/CSC0860381/306342113</t>
  </si>
  <si>
    <t>INDEXACAO DE DOCUMENTO/CSC0860381/306342113</t>
  </si>
  <si>
    <t>DIGITALIZACAO DE DOCUMENTO ADMINISTRATIVO/CSC0860381/306342113</t>
  </si>
  <si>
    <t>CATALOGACAO DE ITEM AVULSO/CSC0843695/306115005</t>
  </si>
  <si>
    <t>CATALOGACAO DE ITEM AVULSO/CSC0869445/0070-2026</t>
  </si>
  <si>
    <t>DIGITALIZACAO DE DOCUMENTO ADMINISTRATIVO/CSC0869998/0073-2026</t>
  </si>
  <si>
    <t>INDEXACAO DE DOCUMENTO/CSC0869998/0073-2026</t>
  </si>
  <si>
    <t>CATALOGACAO DE ITEM AVULSO/CSC0869998/0073-2026</t>
  </si>
  <si>
    <t>GA2S</t>
  </si>
  <si>
    <t>DIGITALIZACAO DE DOCUMENTO ADMINISTRATIVO/CSC0865478/0058-2026</t>
  </si>
  <si>
    <t>INDEXACAO DE DOCUMENTO/CSC0867175/0062-2026</t>
  </si>
  <si>
    <t>CATALOGACAO DE ITEM AVULSO/CSC0867175/0062-2026</t>
  </si>
  <si>
    <t>DIGITALIZACAO DE DOCUMENTO ADMINISTRATIVO/CSC0867291/0063-2026</t>
  </si>
  <si>
    <t>INDEXACAO DE DOCUMENTO/CSC0867291/0063-2026</t>
  </si>
  <si>
    <t>CATALOGACAO DE ITEM AVULSO/CSC0867291/0063-2026</t>
  </si>
  <si>
    <t>DIGITALIZACAO DE DOCUMENTO ADMINISTRATIVO/CSC0869428/0068-2026</t>
  </si>
  <si>
    <t>INDEXACAO DE DOCUMENTO/CSC0869428/0068-2026</t>
  </si>
  <si>
    <t>DIGITALIZACAO DE DOCUMENTO ADMINISTRATIVO/CSC0869445/0070-2026</t>
  </si>
  <si>
    <t>INDEXACAO DE DOCUMENTO/CSC0869445/0070-2026</t>
  </si>
  <si>
    <t>DIGITALIZACAO DE DOCUMENTO ADMINISTRATIVO/CSC0867175/0062-2026</t>
  </si>
  <si>
    <t>CATALOGACAO DE ITEM AVULSO/CSC0869428/0068-2026</t>
  </si>
  <si>
    <t>CX00120G70399943SOS</t>
  </si>
  <si>
    <t>DIGITALIZACAO DE DOCUMENTO ADMINISTRATIVO/CSC0811759/0028-2026</t>
  </si>
  <si>
    <t>MATERIAL PARA ARQUIVAMENTO/CSC0851630/000028/2026</t>
  </si>
  <si>
    <t>001061/2026</t>
  </si>
  <si>
    <t>COLETA DE EMBALAGEM/CSC0847315/ARQ-00029-2026</t>
  </si>
  <si>
    <t>G2NO</t>
  </si>
  <si>
    <t>001091/2026</t>
  </si>
  <si>
    <t>COLETA DE EMBALAGEM/CSC0843036/ARQ-00028-2026</t>
  </si>
  <si>
    <t>CX00120G70413239SOS</t>
  </si>
  <si>
    <t>CATALOGACAO DE ITEM AVULSO/CSC0862127/0053-2026</t>
  </si>
  <si>
    <t>INDEXACAO DE DOCUMENTO/CSC0862127/0053-2026</t>
  </si>
  <si>
    <t>DIGITALIZACAO DE DOCUMENTO ADMINISTRATIVO/CSC0862127/0053-2026</t>
  </si>
  <si>
    <t>OS atendida parcialmente</t>
  </si>
  <si>
    <t>CX00120G70265446SOS</t>
  </si>
  <si>
    <t>CATALOGACAO DE ITEM AVULSO/CSC0854397/0045-2026</t>
  </si>
  <si>
    <t>INDEXACAO DE DOCUMENTO/CSC0854397/0045-2026</t>
  </si>
  <si>
    <t>DIGITALIZACAO DE DOCUMENTO ADMINISTRATIVO/CSC0854397/0045-2026</t>
  </si>
  <si>
    <t>136887/2026 - saída definitiva SOS DOCS</t>
  </si>
  <si>
    <t>CX00120G70383229SOS</t>
  </si>
  <si>
    <t>CATALOGACAO DE ITEM AVULSO/CSC0853365/0047-2026</t>
  </si>
  <si>
    <t>INDEXACAO DE DOCUMENTO/CSC0853365/0047-2026</t>
  </si>
  <si>
    <t>DIGITALIZACAO DE DOCUMENTO ADMINISTRATIVO/CSC0853365/0047-2026</t>
  </si>
  <si>
    <t>CX00120G70413279SOS</t>
  </si>
  <si>
    <t>CATALOGACAO DE ITEM AVULSO/CSC0853037/0043-2026</t>
  </si>
  <si>
    <t>INDEXACAO DE DOCUMENTO/CSC0853037/0043-2026</t>
  </si>
  <si>
    <t>DIGITALIZACAO DE DOCUMENTO ADMINISTRATIVO/CSC0853037/0043-2026</t>
  </si>
  <si>
    <t>136840/2026 - saída definitiva SOS DOCS</t>
  </si>
  <si>
    <t>CX00120G70413291SOS</t>
  </si>
  <si>
    <t>CATALOGACAO DE ITEM AVULSO/CSC0853026/0046-2026</t>
  </si>
  <si>
    <t>INDEXACAO DE DOCUMENTO/CSC0853026/0046-2026</t>
  </si>
  <si>
    <t>DIGITALIZACAO DE DOCUMENTO ADMINISTRATIVO/CSC0853026/0046-2026</t>
  </si>
  <si>
    <t>Caixa CX00120G70265440SOS com os mesmos arquivos</t>
  </si>
  <si>
    <t>CX00120G70265448SOS</t>
  </si>
  <si>
    <t>CATALOGACAO DE ITEM AVULSO/CSC0825054/0035-2026</t>
  </si>
  <si>
    <t>INDEXACAO DE DOCUMENTO/CSC0825054/0035-2026</t>
  </si>
  <si>
    <t>DIGITALIZACAO DE DOCUMENTO ADMINISTRATIVO/CSC0825054/0035-2026</t>
  </si>
  <si>
    <t>Caixa CX00120G70265448SOS com os mesmos arquivos</t>
  </si>
  <si>
    <t>CX00120G70265440SOS</t>
  </si>
  <si>
    <t>CATALOGACAO DE ITEM AVULSO/CSC0811759/0028-2026</t>
  </si>
  <si>
    <t>INDEXACAO DE DOCUMENTO/CSC0811759/0028-2026</t>
  </si>
  <si>
    <t>TBVN</t>
  </si>
  <si>
    <t>12000024558/CX0012000024558SOS</t>
  </si>
  <si>
    <t>DIGITALIZACAO DE DOCUMENTO ADMINISTRATIVO/CSC0854882/0048-2026</t>
  </si>
  <si>
    <t xml:space="preserve">ATENDIMENTO NÃO CONCLUIDO POR IMPACTO DO CLIENTE </t>
  </si>
  <si>
    <t>MATERIAL PARA ARQUIVAMENTO/CSC0847689/000027/2026</t>
  </si>
  <si>
    <t>INDEXACAO DE DOCUMENTO/CSC0854882/0048-2026</t>
  </si>
  <si>
    <t>12000024559/CX0012000024559SOS</t>
  </si>
  <si>
    <t>MATERIAL PARA ARQUIVAMENTO/CSC0846393/000026/2026</t>
  </si>
  <si>
    <t>PA-LT2\MATERIAL PARA ARQUIVAMENTO\C</t>
  </si>
  <si>
    <t>120G70265436 /CX00120G70265436SOS</t>
  </si>
  <si>
    <t>CATALOGACAO DE ITEM AVULSO/CSC0870067/0069-2026</t>
  </si>
  <si>
    <t>INDEXACAO DE DOCUMENTO/CSC0870067/0069-2026</t>
  </si>
  <si>
    <t>DIGITALIZACAO DE DOCUMENTO ADMINISTRATIVO/CSC0870067/0069-2026</t>
  </si>
  <si>
    <t>0022/15/	CX00120G70131085SOS</t>
  </si>
  <si>
    <t>CATALOGACAO DE ITEM AVULSO/CSC0867283/0065-2026</t>
  </si>
  <si>
    <t>INDEXACAO DE DOCUMENTO/CSC0867283/0065-2026</t>
  </si>
  <si>
    <t>DIGITALIZACAO DE DOCUMENTO ADMINISTRATIVO/CSC0867283/0065-2026</t>
  </si>
  <si>
    <t>CX00120G70398485SOS</t>
  </si>
  <si>
    <t>CATALOGACAO DE ITEM AVULSO/CSC0867179/0061-2026</t>
  </si>
  <si>
    <t>INDEXACAO DE DOCUMENTO/CSC0867179/0061-2026</t>
  </si>
  <si>
    <t>DIGITALIZACAO DE DOCUMENTO ADMINISTRATIVO/CSC0867179/0061-2026</t>
  </si>
  <si>
    <t>INDEXACAO DE DOCUMENTO/CSC0865478/0058-2026</t>
  </si>
  <si>
    <t xml:space="preserve">20131269387/CX00120G70135364SOS	</t>
  </si>
  <si>
    <t>CATALOGACAO DE ITEM AVULSO/CSC0856319/0050-2026</t>
  </si>
  <si>
    <t>INDEXACAO DE DOCUMENTO/CSC0856319/0050-2026</t>
  </si>
  <si>
    <t>DIGITALIZACAO DE DOCUMENTO ADMINISTRATIVO/CSC0856319/0050-2026</t>
  </si>
  <si>
    <t>2013134311/CX00120G70095391SOS</t>
  </si>
  <si>
    <t>CATALOGACAO DE ITEM AVULSO/CSC0856318/0049-2026</t>
  </si>
  <si>
    <t>INDEXACAO DE DOCUMENTO/CSC0856318/0049-2026</t>
  </si>
  <si>
    <t>DIGITALIZACAO DE DOCUMENTO ADMINISTRATIVO/CSC0856318/0049-2026</t>
  </si>
  <si>
    <t>CX00120G70278126SOS</t>
  </si>
  <si>
    <t>CATALOGACAO DE ITEM AVULSO/CSC0854882/0048-2026</t>
  </si>
  <si>
    <t>CX0012000058987SOS</t>
  </si>
  <si>
    <t>CATALOGACAO DE ITEM AVULSO/CSC0865478/0058-2026</t>
  </si>
  <si>
    <t>[OK] Concluído em 27/10/2026 15:52:25 — 91 consulta(s) 100% atualizada(s).</t>
  </si>
  <si>
    <t>Base Auditada: DADOS | Data/Hora da Execucao: 27/10/2026 15:52:31</t>
  </si>
  <si>
    <t>-</t>
  </si>
  <si>
    <t>OK</t>
  </si>
  <si>
    <t>Parabens! Nenhuma inconsistencia encontrada nesta base.</t>
  </si>
  <si>
    <t>[OK] Auditoria (27/10 15:52) - Sem Pendencias</t>
  </si>
  <si>
    <t>4600687006-PLA-MemoriaPetrobras-PA-LT2-BA_27102026_155237.xlsx</t>
  </si>
  <si>
    <t>4600686987-PLA-MemoriaPetrobras-IRON-LT1-RJ_27102026_155238.xlsx</t>
  </si>
  <si>
    <t>4600686987-PLA-MemoriaPetrobras-IRON-LT1-SP_27102026_155239.xlsx</t>
  </si>
  <si>
    <t>4600686987-PLA-MemoriaPetrobras-IRON-LT1-ES_27102026_155241.xlsx</t>
  </si>
  <si>
    <t>NP</t>
  </si>
  <si>
    <t/>
  </si>
  <si>
    <t>FP</t>
  </si>
  <si>
    <t>Isento</t>
  </si>
  <si>
    <t>FDM definido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</si>
</sst>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000"/>
    <numFmt numFmtId="167" formatCode="#,##0.000;[Red]#,##0.000"/>
    <numFmt numFmtId="168" formatCode="&quot;R$&quot;\ #,##0.00"/>
    <numFmt numFmtId="169" formatCode="_-&quot;R$&quot;\ * #,##0.00_-;\-&quot;R$&quot;\ * #,##0.00_-;_-&quot;R$&quot;\ * &quot;-&quot;??_-;_-@"/>
    <numFmt numFmtId="170" formatCode="#,##0;[Red]#,##0"/>
  </numFmts>
  <fonts count="5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10"/>
      <color rgb="FF334155"/>
      <name val="Segoe UI"/>
      <family val="2"/>
    </font>
    <font>
      <b/>
      <sz val="10"/>
      <color theme="1"/>
      <name val="Segoe UI"/>
      <family val="2"/>
    </font>
    <font>
      <b/>
      <sz val="10"/>
      <color rgb="FF1E293B"/>
      <name val="Segoe UI"/>
      <family val="2"/>
    </font>
    <font>
      <b/>
      <sz val="10"/>
      <color rgb="FF5A5A5A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9"/>
      <color rgb="FF0066CC"/>
      <name val="Segoe UI"/>
      <family val="2"/>
    </font>
    <font>
      <i/>
      <sz val="10"/>
      <color rgb="FF5A5A5A"/>
      <name val="Segoe UI"/>
      <family val="2"/>
    </font>
    <font>
      <b/>
      <sz val="14"/>
      <color rgb="FFFFFFFF"/>
      <name val="Segoe UI"/>
      <family val="2"/>
    </font>
    <font>
      <i/>
      <sz val="9"/>
      <color rgb="FF64748B"/>
      <name val="Segoe UI"/>
      <family val="2"/>
    </font>
    <font>
      <b/>
      <sz val="10"/>
      <color rgb="FFFFFFFF"/>
      <name val="Segoe UI"/>
      <family val="2"/>
    </font>
    <font>
      <b/>
      <sz val="11"/>
      <color rgb="FF1B1B1B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000000"/>
      <name val="Calibri"/>
      <family val="2"/>
    </font>
    <font>
      <sz val="11"/>
      <color rgb="FF166534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4F6F8"/>
        <bgColor indexed="64"/>
      </patternFill>
    </fill>
    <fill>
      <patternFill patternType="solid">
        <fgColor rgb="FF008542"/>
        <bgColor indexed="64"/>
      </patternFill>
    </fill>
    <fill>
      <patternFill patternType="solid">
        <fgColor rgb="FFE2F7EB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21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0FDF4"/>
        <bgColor indexed="64"/>
      </patternFill>
    </fill>
  </fills>
  <borders count="55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BBDEC4"/>
      </left>
      <right style="thin">
        <color rgb="FFBBDEC4"/>
      </right>
      <top style="thin">
        <color rgb="FFBBDEC4"/>
      </top>
      <bottom style="thin">
        <color rgb="FFBBDEC4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/>
      <diagonal/>
    </border>
    <border>
      <left style="thin">
        <color rgb="FFF59E0B"/>
      </left>
      <right style="thin">
        <color rgb="FFF59E0B"/>
      </right>
      <top/>
      <bottom/>
      <diagonal/>
    </border>
    <border>
      <left style="thin">
        <color rgb="FFF59E0B"/>
      </left>
      <right style="thin">
        <color rgb="FFF59E0B"/>
      </right>
      <top/>
      <bottom style="thin">
        <color rgb="FFF59E0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/>
    <xf numFmtId="0" fontId="3" fillId="2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2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2" borderId="0" xfId="0" applyFont="1" applyFill="1" applyAlignment="1">
      <alignment horizontal="left" vertical="center"/>
    </xf>
    <xf numFmtId="0" fontId="0" fillId="2" borderId="0" xfId="0" applyFill="1" applyAlignment="1">
      <alignment wrapText="1"/>
    </xf>
    <xf numFmtId="0" fontId="12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" fillId="4" borderId="0" xfId="0" applyFont="1" applyFill="1"/>
    <xf numFmtId="0" fontId="14" fillId="4" borderId="0" xfId="1" applyFont="1" applyFill="1"/>
    <xf numFmtId="0" fontId="0" fillId="5" borderId="0" xfId="0" applyFill="1"/>
    <xf numFmtId="0" fontId="5" fillId="5" borderId="0" xfId="0" applyFont="1" applyFill="1"/>
    <xf numFmtId="0" fontId="13" fillId="5" borderId="0" xfId="1" applyFont="1" applyFill="1" applyAlignment="1">
      <alignment horizontal="left" vertical="center"/>
    </xf>
    <xf numFmtId="0" fontId="0" fillId="2" borderId="0" xfId="0" applyFill="1" applyAlignment="1">
      <alignment horizontal="center" wrapText="1"/>
    </xf>
    <xf numFmtId="0" fontId="1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5" fillId="3" borderId="0" xfId="0" applyFont="1" applyFill="1"/>
    <xf numFmtId="0" fontId="15" fillId="3" borderId="0" xfId="0" applyFont="1" applyFill="1" applyAlignment="1">
      <alignment horizontal="center"/>
    </xf>
    <xf numFmtId="0" fontId="0" fillId="6" borderId="0" xfId="0" applyFill="1"/>
    <xf numFmtId="166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7" fontId="17" fillId="0" borderId="0" xfId="0" applyNumberFormat="1" applyFont="1" applyAlignment="1">
      <alignment horizontal="left"/>
    </xf>
    <xf numFmtId="167" fontId="17" fillId="0" borderId="0" xfId="0" applyNumberFormat="1" applyFont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7" fillId="11" borderId="0" xfId="0" applyFont="1" applyFill="1"/>
    <xf numFmtId="168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2" borderId="20" xfId="0" applyFont="1" applyFill="1" applyBorder="1" applyAlignment="1">
      <alignment horizontal="center" vertical="center"/>
    </xf>
    <xf numFmtId="0" fontId="23" fillId="12" borderId="24" xfId="0" applyFont="1" applyFill="1" applyBorder="1" applyAlignment="1">
      <alignment vertical="center"/>
    </xf>
    <xf numFmtId="0" fontId="23" fillId="12" borderId="25" xfId="0" applyFont="1" applyFill="1" applyBorder="1" applyAlignment="1">
      <alignment vertical="center"/>
    </xf>
    <xf numFmtId="0" fontId="23" fillId="12" borderId="26" xfId="0" applyFont="1" applyFill="1" applyBorder="1" applyAlignment="1">
      <alignment vertical="center"/>
    </xf>
    <xf numFmtId="0" fontId="23" fillId="12" borderId="21" xfId="0" applyFont="1" applyFill="1" applyBorder="1" applyAlignment="1">
      <alignment vertical="center"/>
    </xf>
    <xf numFmtId="0" fontId="23" fillId="12" borderId="22" xfId="0" applyFont="1" applyFill="1" applyBorder="1" applyAlignment="1">
      <alignment vertical="center"/>
    </xf>
    <xf numFmtId="0" fontId="23" fillId="12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center" vertical="center"/>
    </xf>
    <xf numFmtId="169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69" fontId="29" fillId="0" borderId="0" xfId="0" applyNumberFormat="1" applyFont="1" applyAlignment="1">
      <alignment horizontal="right" vertical="center"/>
    </xf>
    <xf numFmtId="169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0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right" vertical="center"/>
    </xf>
    <xf numFmtId="169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right" vertical="center"/>
    </xf>
    <xf numFmtId="169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0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2" borderId="21" xfId="0" applyFont="1" applyFill="1" applyBorder="1" applyAlignment="1">
      <alignment horizontal="center" vertical="center"/>
    </xf>
    <xf numFmtId="165" fontId="30" fillId="12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69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68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2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5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5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5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5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5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69" fontId="23" fillId="0" borderId="19" xfId="0" applyNumberFormat="1" applyFont="1" applyBorder="1" applyAlignment="1">
      <alignment vertical="center"/>
    </xf>
    <xf numFmtId="169" fontId="0" fillId="0" borderId="0" xfId="0" applyNumberFormat="1" applyAlignment="1">
      <alignment horizontal="center" vertical="center"/>
    </xf>
    <xf numFmtId="2" fontId="0" fillId="0" borderId="0" xfId="0" applyNumberFormat="1"/>
    <xf numFmtId="168" fontId="0" fillId="0" borderId="0" xfId="0" applyNumberFormat="1"/>
    <xf numFmtId="0" fontId="3" fillId="9" borderId="0" xfId="0" applyFont="1" applyFill="1" applyAlignment="1">
      <alignment horizontal="center" vertical="center"/>
    </xf>
    <xf numFmtId="169" fontId="29" fillId="0" borderId="32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right" vertical="center"/>
    </xf>
    <xf numFmtId="169" fontId="29" fillId="0" borderId="2" xfId="0" applyNumberFormat="1" applyFont="1" applyBorder="1" applyAlignment="1">
      <alignment horizontal="right" vertical="center"/>
    </xf>
    <xf numFmtId="165" fontId="30" fillId="12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2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2" borderId="0" xfId="0" applyFont="1" applyFill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2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2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0" fillId="14" borderId="0" xfId="0" applyFill="1" applyAlignment="1">
      <alignment horizontal="left" vertical="center"/>
    </xf>
    <xf numFmtId="0" fontId="35" fillId="15" borderId="0" xfId="0" applyFont="1" applyFill="1"/>
    <xf numFmtId="0" fontId="35" fillId="15" borderId="0" xfId="0" applyFont="1" applyFill="1" applyAlignment="1">
      <alignment vertical="center"/>
    </xf>
    <xf numFmtId="0" fontId="40" fillId="21" borderId="0" xfId="0" applyFont="1" applyFill="1" applyAlignment="1">
      <alignment horizontal="center" vertical="center"/>
    </xf>
    <xf numFmtId="0" fontId="38" fillId="21" borderId="43" xfId="0" applyFont="1" applyFill="1" applyBorder="1" applyAlignment="1">
      <alignment vertical="center"/>
    </xf>
    <xf numFmtId="0" fontId="46" fillId="0" borderId="0" xfId="0" applyFont="1"/>
    <xf numFmtId="0" fontId="47" fillId="24" borderId="0" xfId="0" applyFont="1" applyFill="1" applyAlignment="1">
      <alignment horizontal="center" vertical="center"/>
    </xf>
    <xf numFmtId="0" fontId="38" fillId="18" borderId="44" xfId="0" applyFont="1" applyFill="1" applyBorder="1" applyAlignment="1">
      <alignment vertical="center"/>
    </xf>
    <xf numFmtId="0" fontId="35" fillId="15" borderId="44" xfId="0" applyFont="1" applyFill="1" applyBorder="1" applyAlignment="1">
      <alignment vertical="center"/>
    </xf>
    <xf numFmtId="0" fontId="42" fillId="15" borderId="44" xfId="0" applyFont="1" applyFill="1" applyBorder="1" applyAlignment="1">
      <alignment vertical="center"/>
    </xf>
    <xf numFmtId="0" fontId="43" fillId="15" borderId="44" xfId="0" applyFont="1" applyFill="1" applyBorder="1" applyAlignment="1">
      <alignment vertical="center"/>
    </xf>
    <xf numFmtId="14" fontId="0" fillId="0" borderId="0" xfId="0" applyNumberFormat="1"/>
    <xf numFmtId="0" fontId="0" fillId="25" borderId="0" xfId="0" applyFill="1"/>
    <xf numFmtId="22" fontId="0" fillId="3" borderId="0" xfId="0" applyNumberFormat="1" applyFill="1"/>
    <xf numFmtId="0" fontId="0" fillId="13" borderId="46" xfId="0" applyFill="1" applyBorder="1" applyAlignment="1">
      <alignment vertical="center" wrapText="1"/>
    </xf>
    <xf numFmtId="0" fontId="9" fillId="13" borderId="0" xfId="1" applyFill="1"/>
    <xf numFmtId="0" fontId="0" fillId="2" borderId="47" xfId="0" applyFill="1" applyBorder="1"/>
    <xf numFmtId="0" fontId="0" fillId="2" borderId="48" xfId="0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3" fillId="7" borderId="45" xfId="0" applyFont="1" applyFill="1" applyBorder="1" applyAlignment="1">
      <alignment horizontal="center" vertical="center"/>
    </xf>
    <xf numFmtId="0" fontId="4" fillId="5" borderId="45" xfId="0" applyFont="1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2" borderId="51" xfId="0" applyFill="1" applyBorder="1" applyAlignment="1">
      <alignment vertical="center" wrapText="1"/>
    </xf>
    <xf numFmtId="0" fontId="48" fillId="2" borderId="51" xfId="0" applyFont="1" applyFill="1" applyBorder="1"/>
    <xf numFmtId="0" fontId="9" fillId="2" borderId="51" xfId="1" applyFill="1" applyBorder="1"/>
    <xf numFmtId="0" fontId="49" fillId="2" borderId="0" xfId="0" applyFont="1" applyFill="1"/>
    <xf numFmtId="0" fontId="0" fillId="2" borderId="52" xfId="0" applyFill="1" applyBorder="1"/>
    <xf numFmtId="0" fontId="0" fillId="2" borderId="53" xfId="0" applyFill="1" applyBorder="1"/>
    <xf numFmtId="0" fontId="0" fillId="2" borderId="54" xfId="0" applyFill="1" applyBorder="1"/>
    <xf numFmtId="0" fontId="0" fillId="0" borderId="0" xfId="0" applyAlignment="1">
      <alignment horizontal="center" wrapText="1"/>
    </xf>
    <xf numFmtId="169" fontId="29" fillId="0" borderId="45" xfId="0" applyNumberFormat="1" applyFont="1" applyBorder="1" applyAlignment="1">
      <alignment horizontal="right" vertical="center"/>
    </xf>
    <xf numFmtId="165" fontId="30" fillId="12" borderId="45" xfId="0" applyNumberFormat="1" applyFont="1" applyFill="1" applyBorder="1" applyAlignment="1">
      <alignment horizontal="center" vertical="center"/>
    </xf>
    <xf numFmtId="0" fontId="51" fillId="26" borderId="0" xfId="0" applyFont="1" applyFill="1"/>
    <xf numFmtId="0" fontId="49" fillId="13" borderId="46" xfId="0" applyFont="1" applyFill="1" applyBorder="1" applyAlignment="1">
      <alignment horizontal="center" vertical="center" wrapText="1"/>
    </xf>
    <xf numFmtId="0" fontId="3" fillId="7" borderId="45" xfId="0" applyFont="1" applyFill="1" applyBorder="1" applyAlignment="1">
      <alignment horizontal="center" vertical="center"/>
    </xf>
    <xf numFmtId="0" fontId="45" fillId="23" borderId="0" xfId="0" applyFont="1" applyFill="1" applyAlignment="1">
      <alignment horizontal="center" vertical="center"/>
    </xf>
    <xf numFmtId="0" fontId="36" fillId="16" borderId="0" xfId="0" applyFont="1" applyFill="1" applyAlignment="1">
      <alignment horizontal="left" vertical="center"/>
    </xf>
    <xf numFmtId="0" fontId="37" fillId="17" borderId="35" xfId="0" applyFont="1" applyFill="1" applyBorder="1" applyAlignment="1">
      <alignment vertical="center"/>
    </xf>
    <xf numFmtId="0" fontId="35" fillId="17" borderId="35" xfId="0" applyFont="1" applyFill="1" applyBorder="1" applyAlignment="1">
      <alignment vertical="center"/>
    </xf>
    <xf numFmtId="0" fontId="39" fillId="18" borderId="36" xfId="0" applyFont="1" applyFill="1" applyBorder="1" applyAlignment="1">
      <alignment vertical="center"/>
    </xf>
    <xf numFmtId="3" fontId="41" fillId="19" borderId="37" xfId="0" applyNumberFormat="1" applyFont="1" applyFill="1" applyBorder="1" applyAlignment="1">
      <alignment horizontal="center" vertical="center"/>
    </xf>
    <xf numFmtId="0" fontId="35" fillId="19" borderId="38" xfId="0" applyFont="1" applyFill="1" applyBorder="1" applyAlignment="1">
      <alignment horizontal="center" vertical="center"/>
    </xf>
    <xf numFmtId="0" fontId="35" fillId="19" borderId="39" xfId="0" applyFont="1" applyFill="1" applyBorder="1" applyAlignment="1">
      <alignment horizontal="center" vertical="center"/>
    </xf>
    <xf numFmtId="4" fontId="41" fillId="19" borderId="37" xfId="0" applyNumberFormat="1" applyFont="1" applyFill="1" applyBorder="1" applyAlignment="1">
      <alignment horizontal="center" vertical="center"/>
    </xf>
    <xf numFmtId="49" fontId="41" fillId="19" borderId="37" xfId="0" applyNumberFormat="1" applyFont="1" applyFill="1" applyBorder="1" applyAlignment="1">
      <alignment horizontal="center" vertical="center"/>
    </xf>
    <xf numFmtId="3" fontId="41" fillId="20" borderId="40" xfId="0" applyNumberFormat="1" applyFont="1" applyFill="1" applyBorder="1" applyAlignment="1">
      <alignment horizontal="center" vertical="center"/>
    </xf>
    <xf numFmtId="0" fontId="35" fillId="20" borderId="41" xfId="0" applyFont="1" applyFill="1" applyBorder="1" applyAlignment="1">
      <alignment horizontal="center" vertical="center"/>
    </xf>
    <xf numFmtId="0" fontId="35" fillId="20" borderId="42" xfId="0" applyFont="1" applyFill="1" applyBorder="1" applyAlignment="1">
      <alignment horizontal="center" vertical="center"/>
    </xf>
    <xf numFmtId="0" fontId="35" fillId="20" borderId="45" xfId="0" applyFont="1" applyFill="1" applyBorder="1" applyAlignment="1">
      <alignment vertical="top" wrapText="1"/>
    </xf>
    <xf numFmtId="0" fontId="44" fillId="22" borderId="0" xfId="0" applyFont="1" applyFill="1" applyAlignment="1">
      <alignment vertical="center"/>
    </xf>
    <xf numFmtId="0" fontId="35" fillId="22" borderId="0" xfId="0" applyFont="1" applyFill="1" applyAlignment="1">
      <alignment vertical="center"/>
    </xf>
    <xf numFmtId="0" fontId="0" fillId="3" borderId="0" xfId="0" applyFill="1" applyAlignment="1">
      <alignment horizontal="center" vertical="center" wrapText="1"/>
    </xf>
    <xf numFmtId="0" fontId="23" fillId="0" borderId="20" xfId="0" applyFont="1" applyBorder="1" applyAlignment="1">
      <alignment horizontal="center" vertical="center"/>
    </xf>
    <xf numFmtId="0" fontId="22" fillId="0" borderId="22" xfId="0" applyFont="1" applyBorder="1"/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3" fillId="12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 wrapText="1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23" fillId="12" borderId="21" xfId="0" applyFont="1" applyFill="1" applyBorder="1" applyAlignment="1">
      <alignment horizontal="left" vertical="center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18" fillId="10" borderId="5" xfId="0" applyFont="1" applyFill="1" applyBorder="1" applyAlignment="1">
      <alignment horizontal="center" vertical="center"/>
    </xf>
    <xf numFmtId="0" fontId="18" fillId="10" borderId="6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8" fillId="10" borderId="2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314"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8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17/10/relationships/person" Target="persons/person.xml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441960</xdr:colOff>
          <xdr:row>7</xdr:row>
          <xdr:rowOff>251460</xdr:rowOff>
        </xdr:from>
        <xdr:to>
          <xdr:col>4</xdr:col>
          <xdr:colOff>160020</xdr:colOff>
          <xdr:row>9</xdr:row>
          <xdr:rowOff>30480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1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5715</xdr:colOff>
      <xdr:row>0</xdr:row>
      <xdr:rowOff>26670</xdr:rowOff>
    </xdr:from>
    <xdr:to>
      <xdr:col>4</xdr:col>
      <xdr:colOff>34290</xdr:colOff>
      <xdr:row>3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5715" y="26670"/>
          <a:ext cx="2466975" cy="5616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13</xdr:row>
          <xdr:rowOff>7620</xdr:rowOff>
        </xdr:from>
        <xdr:to>
          <xdr:col>4</xdr:col>
          <xdr:colOff>213360</xdr:colOff>
          <xdr:row>16</xdr:row>
          <xdr:rowOff>106680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1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560069</xdr:colOff>
      <xdr:row>0</xdr:row>
      <xdr:rowOff>26669</xdr:rowOff>
    </xdr:from>
    <xdr:to>
      <xdr:col>5</xdr:col>
      <xdr:colOff>577092</xdr:colOff>
      <xdr:row>3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388869" y="26669"/>
          <a:ext cx="1236223" cy="5581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11</xdr:row>
          <xdr:rowOff>83820</xdr:rowOff>
        </xdr:from>
        <xdr:to>
          <xdr:col>4</xdr:col>
          <xdr:colOff>198120</xdr:colOff>
          <xdr:row>11</xdr:row>
          <xdr:rowOff>731520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1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Log de Erro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40640</xdr:colOff>
      <xdr:row>6</xdr:row>
      <xdr:rowOff>88900</xdr:rowOff>
    </xdr:to>
    <xdr:sp macro="AtualizarTodasConsultasPowerQuery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A5058D-5ED3-F40D-ECD0-A7C7F3E2488D}"/>
            </a:ext>
          </a:extLst>
        </xdr:cNvPr>
        <xdr:cNvSpPr/>
      </xdr:nvSpPr>
      <xdr:spPr>
        <a:xfrm>
          <a:off x="190500" y="1371600"/>
          <a:ext cx="1587500" cy="317500"/>
        </a:xfrm>
        <a:prstGeom prst="roundRect">
          <a:avLst/>
        </a:prstGeom>
        <a:solidFill>
          <a:srgbClr val="008542"/>
        </a:solidFill>
        <a:ln>
          <a:solidFill>
            <a:srgbClr val="00854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painel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172720</xdr:colOff>
      <xdr:row>6</xdr:row>
      <xdr:rowOff>88900</xdr:rowOff>
    </xdr:to>
    <xdr:sp macro="GerarArquivosPorContra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7ADB975-50A8-8E0F-0390-878B58A7BF59}"/>
            </a:ext>
          </a:extLst>
        </xdr:cNvPr>
        <xdr:cNvSpPr/>
      </xdr:nvSpPr>
      <xdr:spPr>
        <a:xfrm>
          <a:off x="1737360" y="1371600"/>
          <a:ext cx="1460500" cy="317500"/>
        </a:xfrm>
        <a:prstGeom prst="roundRect">
          <a:avLst/>
        </a:prstGeom>
        <a:solidFill>
          <a:srgbClr val="334155"/>
        </a:solidFill>
        <a:ln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Gerar arquivos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167640</xdr:colOff>
      <xdr:row>6</xdr:row>
      <xdr:rowOff>88900</xdr:rowOff>
    </xdr:to>
    <xdr:sp macro="AtualizarDashboar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CDCD1D-1040-45CF-B877-00AA83186144}"/>
            </a:ext>
          </a:extLst>
        </xdr:cNvPr>
        <xdr:cNvSpPr/>
      </xdr:nvSpPr>
      <xdr:spPr>
        <a:xfrm>
          <a:off x="3284220" y="1371600"/>
          <a:ext cx="1714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indicadores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294640</xdr:colOff>
      <xdr:row>6</xdr:row>
      <xdr:rowOff>88900</xdr:rowOff>
    </xdr:to>
    <xdr:sp macro="AbrirPastaMedic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259111D-1808-393A-9F9A-CB4FD471BA88}"/>
            </a:ext>
          </a:extLst>
        </xdr:cNvPr>
        <xdr:cNvSpPr/>
      </xdr:nvSpPr>
      <xdr:spPr>
        <a:xfrm>
          <a:off x="4831080" y="1371600"/>
          <a:ext cx="1841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Abrir pasta MEDICAO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45720</xdr:colOff>
      <xdr:row>6</xdr:row>
      <xdr:rowOff>88900</xdr:rowOff>
    </xdr:to>
    <xdr:sp macro="MostrarResumoDashboard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9345982-CD55-3ED8-D096-3E96B914C3DA}"/>
            </a:ext>
          </a:extLst>
        </xdr:cNvPr>
        <xdr:cNvSpPr/>
      </xdr:nvSpPr>
      <xdr:spPr>
        <a:xfrm>
          <a:off x="6377940" y="1371600"/>
          <a:ext cx="1333500" cy="317500"/>
        </a:xfrm>
        <a:prstGeom prst="roundRect">
          <a:avLst/>
        </a:prstGeom>
        <a:solidFill>
          <a:srgbClr val="D97706"/>
        </a:solidFill>
        <a:ln>
          <a:solidFill>
            <a:srgbClr val="D9770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Ver detalhes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2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9" xr16:uid="{162C0D25-4451-44F3-8299-4AAD7FD09AA6}" autoFormatId="16" applyNumberFormats="0" applyBorderFormats="0" applyFontFormats="0" applyPatternFormats="0" applyAlignmentFormats="0" applyWidthHeightFormats="0">
  <queryTableRefresh nextId="58">
    <queryTableFields count="57">
      <queryTableField id="1" name="Período_x000a_faturamento" tableColumnId="1"/>
      <queryTableField id="2" name="Situação" tableColumnId="2"/>
      <queryTableField id="3" name="Contrato" tableColumnId="3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8" name="Chave_x000a_solicitante" tableColumnId="8"/>
      <queryTableField id="9" name="Gerência solicitante" tableColumnId="9"/>
      <queryTableField id="10" name="Qtd._x000a_Solicitada" tableColumnId="10"/>
      <queryTableField id="11" name="Qtd._x000a_Atendida" tableColumnId="11"/>
      <queryTableField id="12" name="Código OS" tableColumnId="12"/>
      <queryTableField id="13" name="Data solicitação" tableColumnId="13"/>
      <queryTableField id="14" name="Prazo_x000a_aplicação" tableColumnId="14"/>
      <queryTableField id="15" name="D. abertura" tableColumnId="15"/>
      <queryTableField id="16" name="D. fechamento" tableColumnId="16"/>
      <queryTableField id="17" name="Prazo combinado" tableColumnId="17"/>
      <queryTableField id="18" name="Obs. Sigla" tableColumnId="18"/>
      <queryTableField id="19" name="Localidade" tableColumnId="19"/>
      <queryTableField id="20" name="Comentários" tableColumnId="20"/>
      <queryTableField id="21" name="Observações" tableColumnId="21"/>
      <queryTableField id="22" name="Centro" tableColumnId="22"/>
      <queryTableField id="23" name="Código Centro" tableColumnId="23"/>
      <queryTableField id="24" name="Município" tableColumnId="24"/>
      <queryTableField id="25" name="UF" tableColumnId="25"/>
      <queryTableField id="26" name="ValidarGalpao" tableColumnId="26"/>
      <queryTableField id="27" name="ObsSiglaGalpao" tableColumnId="27"/>
      <queryTableField id="28" name="Contrato.1" tableColumnId="28"/>
      <queryTableField id="29" name="Galpão" tableColumnId="29"/>
      <queryTableField id="30" name="Galpãp_Cidade" tableColumnId="30"/>
      <queryTableField id="31" name="Galpãp_UF" tableColumnId="31"/>
      <queryTableField id="32" name="ColunaConcatenadaCalculoFDN" tableColumnId="32"/>
      <queryTableField id="33" name="CalculoFDM" tableColumnId="33"/>
      <queryTableField id="34" name="Ref. FDM" tableColumnId="34"/>
      <queryTableField id="35" name="Ref. QExec" tableColumnId="35"/>
      <queryTableField id="36" name="Ref. prazo" tableColumnId="36"/>
      <queryTableField id="37" name="codContDataMuniUF" tableColumnId="37"/>
      <queryTableField id="38" name="Grupo.1" tableColumnId="38"/>
      <queryTableField id="39" name="codPrazoContrato" tableColumnId="39"/>
      <queryTableField id="40" name="tabelaPrazoContrato.Prazo" tableColumnId="40"/>
      <queryTableField id="41" name="Data Abertura" tableColumnId="41"/>
      <queryTableField id="42" name="Hora Abertura" tableColumnId="42"/>
      <queryTableField id="43" name="Data Fechamento" tableColumnId="43"/>
      <queryTableField id="44" name="Hora Fechamento" tableColumnId="44"/>
      <queryTableField id="45" name="Classificação FDM" tableColumnId="45"/>
      <queryTableField id="46" name="Status Prazo" tableColumnId="46"/>
      <queryTableField id="47" name="LOG SLA" tableColumnId="47"/>
      <queryTableField id="48" name="cod_Tabela_FC" tableColumnId="48"/>
      <queryTableField id="49" name="FC" tableColumnId="49"/>
      <queryTableField id="50" name="QExec" tableColumnId="50"/>
      <queryTableField id="51" name="Item PPU" tableColumnId="51"/>
      <queryTableField id="52" name="Unidade" tableColumnId="52"/>
      <queryTableField id="53" name="Linha de serviço PPU" tableColumnId="53"/>
      <queryTableField id="54" name="codOrigemDestino" tableColumnId="54"/>
      <queryTableField id="55" name="Origem_Destino.KM" tableColumnId="55"/>
      <queryTableField id="56" name="KM Adicional" tableColumnId="56"/>
      <queryTableField id="57" name="QExecAgrupado" tableColumnId="5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3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20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5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5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3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49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4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5" backgroundRefresh="0" connectionId="21" xr16:uid="{C785CDCD-7683-45AA-B983-D87FAF262F42}" autoFormatId="16" applyNumberFormats="0" applyBorderFormats="0" applyFontFormats="0" applyPatternFormats="0" applyAlignmentFormats="0" applyWidthHeightFormats="0">
  <queryTableRefresh nextId="33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31" name="QExec" tableColumnId="31"/>
      <queryTableField id="32" name="QExecAgrupado" tableColumnId="3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73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4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BC5027B1-6519-4AD6-BF3F-183D5FAFA4A6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8" xr16:uid="{C9413031-6085-420D-A0F0-C8B793D906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3" xr16:uid="{3BA5EC38-26F6-4E1C-991F-0BC4B402CF19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6" xr16:uid="{C1B175B4-C4B4-419D-8045-79D1AC47351E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B66A2E23-1499-4BCD-9A36-F2867EA4ADCD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4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50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7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2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313"/>
    <tableColumn id="5" xr3:uid="{5E65DE16-C93D-429A-BF9A-B3A03082B20F}" uniqueName="5" name="FDM1_Bruto" queryTableFieldId="5" dataDxfId="312"/>
    <tableColumn id="6" xr3:uid="{9D693506-A457-4AD7-87EF-D446B611AF91}" uniqueName="6" name="FDM1" queryTableFieldId="6" dataDxfId="311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310"/>
    <tableColumn id="10" xr3:uid="{50FE1688-D07A-4E68-8591-1CE9ECFA3E4A}" uniqueName="10" name="FDM2_Bruto" queryTableFieldId="10" dataDxfId="309"/>
    <tableColumn id="11" xr3:uid="{BF7CEFE1-6086-44A8-A327-30F14D2B6549}" uniqueName="11" name="FDM2" queryTableFieldId="11" dataDxfId="308"/>
    <tableColumn id="12" xr3:uid="{F70AB787-4CD9-4AFD-AB97-2EAFA4F2BD27}" uniqueName="12" name="PeriodosValidos" queryTableFieldId="12" dataDxfId="30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B2EBE47-0DC9-401C-BBB2-1BE76DD8EA5B}" name="Painel_T2M" displayName="Painel_T2M" ref="A1:BE481" tableType="queryTable" totalsRowShown="0">
  <autoFilter ref="A1:BE481" xr:uid="{1B2EBE47-0DC9-401C-BBB2-1BE76DD8EA5B}"/>
  <tableColumns count="57">
    <tableColumn id="1" xr3:uid="{85077A9B-06C4-485C-A089-5B1C7B64DA52}" uniqueName="1" name="Período_x000a_faturamento" queryTableFieldId="1" dataDxfId="306"/>
    <tableColumn id="2" xr3:uid="{AF15FDDF-9DB4-4639-8609-EC91C976945A}" uniqueName="2" name="Situação" queryTableFieldId="2" dataDxfId="305"/>
    <tableColumn id="3" xr3:uid="{88715E7D-D620-4D07-95CB-CA61664B7A57}" uniqueName="3" name="Contrato" queryTableFieldId="3" dataDxfId="304"/>
    <tableColumn id="4" xr3:uid="{3E9182E8-7D16-4F07-A385-D457E47486D7}" uniqueName="4" name="Descrição da atividade" queryTableFieldId="4" dataDxfId="303"/>
    <tableColumn id="5" xr3:uid="{5CADD765-84DA-4403-A296-390D38DE41DE}" uniqueName="5" name="Item" queryTableFieldId="5" dataDxfId="302"/>
    <tableColumn id="6" xr3:uid="{23BC1F77-86A1-4067-A79A-D9438A1DCC43}" uniqueName="6" name="Aplicação" queryTableFieldId="6" dataDxfId="301"/>
    <tableColumn id="7" xr3:uid="{3E471A83-9C56-4A99-A699-FA6BA635D56A}" uniqueName="7" name="Código da_x000a_solicitação" queryTableFieldId="7" dataDxfId="300"/>
    <tableColumn id="8" xr3:uid="{B2C39908-9A3B-4020-9B0D-1CC37BE3A9BC}" uniqueName="8" name="Chave_x000a_solicitante" queryTableFieldId="8" dataDxfId="299"/>
    <tableColumn id="9" xr3:uid="{9697AE9E-C1BA-4BE4-8C68-B08A791C3CCD}" uniqueName="9" name="Gerência solicitante" queryTableFieldId="9" dataDxfId="298"/>
    <tableColumn id="10" xr3:uid="{EC30843D-824A-4906-AFFD-18010E514604}" uniqueName="10" name="Qtd._x000a_Solicitada" queryTableFieldId="10"/>
    <tableColumn id="11" xr3:uid="{D9BF28BF-DCB1-4ECB-AFB6-DDA7249ADDE7}" uniqueName="11" name="Qtd._x000a_Atendida" queryTableFieldId="11"/>
    <tableColumn id="12" xr3:uid="{FBBEEC9C-7474-478D-A9EB-B1C589BFB770}" uniqueName="12" name="Código OS" queryTableFieldId="12" dataDxfId="297"/>
    <tableColumn id="13" xr3:uid="{00F3E50F-0ADD-4378-BCE4-4A035D20C187}" uniqueName="13" name="Data solicitação" queryTableFieldId="13" dataDxfId="296"/>
    <tableColumn id="14" xr3:uid="{1E888927-5831-4B91-9522-42B67196B6AD}" uniqueName="14" name="Prazo_x000a_aplicação" queryTableFieldId="14" dataDxfId="295"/>
    <tableColumn id="15" xr3:uid="{DAB76401-5F82-4082-8F3E-7ED941BAD79B}" uniqueName="15" name="D. abertura" queryTableFieldId="15" dataDxfId="294"/>
    <tableColumn id="16" xr3:uid="{1986D3BF-40DE-4E88-BDA8-14801F8FC942}" uniqueName="16" name="D. fechamento" queryTableFieldId="16" dataDxfId="293"/>
    <tableColumn id="17" xr3:uid="{2A9C1B02-454E-42A2-BAA1-A32DFB75448F}" uniqueName="17" name="Prazo combinado" queryTableFieldId="17" dataDxfId="292"/>
    <tableColumn id="18" xr3:uid="{6089F62A-D36A-46C6-9626-F63DB21EE217}" uniqueName="18" name="Obs. Sigla" queryTableFieldId="18" dataDxfId="291"/>
    <tableColumn id="19" xr3:uid="{26017E19-63DC-4ADB-9D7B-56C8160C2569}" uniqueName="19" name="Localidade" queryTableFieldId="19" dataDxfId="290"/>
    <tableColumn id="20" xr3:uid="{530C6379-C95F-46A2-A313-8980A3D10761}" uniqueName="20" name="Comentários" queryTableFieldId="20" dataDxfId="289"/>
    <tableColumn id="21" xr3:uid="{97F5B883-C04B-4E1E-8AAD-20F50728F84B}" uniqueName="21" name="Observações" queryTableFieldId="21" dataDxfId="288"/>
    <tableColumn id="22" xr3:uid="{549A6219-611F-46DF-8B30-95329B0375E3}" uniqueName="22" name="Centro" queryTableFieldId="22" dataDxfId="287"/>
    <tableColumn id="23" xr3:uid="{DFE0D964-D3EE-40C6-835C-B69C8E8B52E1}" uniqueName="23" name="Código Centro" queryTableFieldId="23"/>
    <tableColumn id="24" xr3:uid="{2E8DFEA7-40CB-4CC6-B759-B08192A55E84}" uniqueName="24" name="Município" queryTableFieldId="24" dataDxfId="286"/>
    <tableColumn id="25" xr3:uid="{679659B9-EB13-4268-BC5B-14D64BC4573D}" uniqueName="25" name="UF" queryTableFieldId="25" dataDxfId="285"/>
    <tableColumn id="26" xr3:uid="{FBF170B2-3B9F-4E3A-98E6-97D89FBE8CE1}" uniqueName="26" name="ValidarGalpao" queryTableFieldId="26"/>
    <tableColumn id="27" xr3:uid="{3678B562-FA70-4385-A912-80323D88E9D8}" uniqueName="27" name="ObsSiglaGalpao" queryTableFieldId="27"/>
    <tableColumn id="28" xr3:uid="{C77149CE-E604-4B2B-9B5D-A0DD747F6101}" uniqueName="28" name="Contrato.1" queryTableFieldId="28" dataDxfId="284"/>
    <tableColumn id="29" xr3:uid="{1C90D086-E693-4566-A0FB-469E2B745590}" uniqueName="29" name="Galpão" queryTableFieldId="29"/>
    <tableColumn id="30" xr3:uid="{72EF5456-75F4-4F9A-97F5-F87772D5DEBC}" uniqueName="30" name="Galpãp_Cidade" queryTableFieldId="30" dataDxfId="283"/>
    <tableColumn id="31" xr3:uid="{33ECEF3B-15F3-4412-A033-5F24C84BD805}" uniqueName="31" name="Galpãp_UF" queryTableFieldId="31" dataDxfId="282"/>
    <tableColumn id="32" xr3:uid="{117F120F-BEA5-440B-9727-0DD1EF3829E1}" uniqueName="32" name="ColunaConcatenadaCalculoFDN" queryTableFieldId="32"/>
    <tableColumn id="33" xr3:uid="{AEF52AAD-8B6D-49E3-B28C-634F79295865}" uniqueName="33" name="CalculoFDM" queryTableFieldId="33"/>
    <tableColumn id="34" xr3:uid="{FCBDB0D8-66E2-4B44-A3E9-9FD22522DC45}" uniqueName="34" name="Ref. FDM" queryTableFieldId="34"/>
    <tableColumn id="35" xr3:uid="{E1CBA7AF-6E34-4332-ACE8-D0F31EFDF278}" uniqueName="35" name="Ref. QExec" queryTableFieldId="35" dataDxfId="281"/>
    <tableColumn id="36" xr3:uid="{6ACC4F44-BE15-4307-8B39-70DEF3BC41F3}" uniqueName="36" name="Ref. prazo" queryTableFieldId="36" dataDxfId="280"/>
    <tableColumn id="37" xr3:uid="{F380E22A-C681-44CB-951D-6D20EE926762}" uniqueName="37" name="codContDataMuniUF" queryTableFieldId="37"/>
    <tableColumn id="38" xr3:uid="{941BEE68-E9EB-427D-82B6-ABCB551F7571}" uniqueName="38" name="Grupo.1" queryTableFieldId="38" dataDxfId="279"/>
    <tableColumn id="39" xr3:uid="{517DC605-583F-4AC5-A0AB-8D2073A6342E}" uniqueName="39" name="codPrazoContrato" queryTableFieldId="39"/>
    <tableColumn id="40" xr3:uid="{5A90176C-3168-41B5-A0B4-9DAFE0F26E15}" uniqueName="40" name="tabelaPrazoContrato.Prazo" queryTableFieldId="40"/>
    <tableColumn id="41" xr3:uid="{04D8299B-983B-453C-A039-240907EE0D06}" uniqueName="41" name="Data Abertura" queryTableFieldId="41"/>
    <tableColumn id="42" xr3:uid="{9ACC2BD4-4139-408A-8C8E-369EDF489602}" uniqueName="42" name="Hora Abertura" queryTableFieldId="42"/>
    <tableColumn id="43" xr3:uid="{BF4F0949-A393-4344-9760-E8011BAA3837}" uniqueName="43" name="Data Fechamento" queryTableFieldId="43"/>
    <tableColumn id="44" xr3:uid="{2B748EF6-C32C-444E-A143-9B4CBF4C9541}" uniqueName="44" name="Hora Fechamento" queryTableFieldId="44"/>
    <tableColumn id="45" xr3:uid="{79809609-7FA9-4291-A049-79F30B1A079E}" uniqueName="45" name="Classificação FDM" queryTableFieldId="45"/>
    <tableColumn id="46" xr3:uid="{1FB920E9-E647-44F4-A72B-1CBE849F2977}" uniqueName="46" name="Status Prazo" queryTableFieldId="46"/>
    <tableColumn id="47" xr3:uid="{C69D83D7-CC08-42EC-98D5-D59725EAA9DF}" uniqueName="47" name="LOG SLA" queryTableFieldId="47"/>
    <tableColumn id="48" xr3:uid="{8011C452-C266-4467-B308-2405B2BC1E15}" uniqueName="48" name="cod_Tabela_FC" queryTableFieldId="48"/>
    <tableColumn id="49" xr3:uid="{518577AF-4B67-43A7-9B04-22D600BF61CC}" uniqueName="49" name="FC" queryTableFieldId="49"/>
    <tableColumn id="50" xr3:uid="{9723831C-F7C8-4064-8530-EAD79FFEBA10}" uniqueName="50" name="QExec" queryTableFieldId="50"/>
    <tableColumn id="51" xr3:uid="{135FCE7C-9A15-4A9E-B8A5-529ACF6C084C}" uniqueName="51" name="Item PPU" queryTableFieldId="51" dataDxfId="278"/>
    <tableColumn id="52" xr3:uid="{E6172B61-7860-4473-8122-4A22B5B71DF3}" uniqueName="52" name="Unidade" queryTableFieldId="52" dataDxfId="277"/>
    <tableColumn id="53" xr3:uid="{E8D6BF90-26E1-4E48-BA5B-CCA947ADA76F}" uniqueName="53" name="Linha de serviço PPU" queryTableFieldId="53" dataDxfId="276"/>
    <tableColumn id="54" xr3:uid="{35CFB5BC-BB2A-4369-87F5-1C979B7585BA}" uniqueName="54" name="codOrigemDestino" queryTableFieldId="54"/>
    <tableColumn id="55" xr3:uid="{27AE9B10-A1E8-4167-BBFB-A186FDF9BC0A}" uniqueName="55" name="Origem_Destino.KM" queryTableFieldId="55"/>
    <tableColumn id="56" xr3:uid="{B39F9E1C-DDD7-47EE-ADEA-D2A6B39E5D05}" uniqueName="56" name="KM Adicional" queryTableFieldId="56"/>
    <tableColumn id="57" xr3:uid="{85B87EB9-871F-448A-B67D-3E12FD67AAFD}" uniqueName="57" name="QExecAgrupado" queryTableFieldId="5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B2:B3" totalsRowShown="0" headerRowDxfId="275" dataDxfId="274">
  <autoFilter ref="B2:B3" xr:uid="{6DCA8501-22BD-4F9F-B220-4D2CC59B06D8}"/>
  <tableColumns count="1">
    <tableColumn id="1" xr3:uid="{7CD35429-1999-4636-83DF-A21C3CEEDD2B}" name="Km a sere usados no calclo de KM adicional" dataDxfId="273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10" tableType="queryTable" totalsRowShown="0">
  <autoFilter ref="A1:AF10" xr:uid="{C63C600B-4B5C-4339-B54E-388097CDB112}"/>
  <tableColumns count="32">
    <tableColumn id="1" xr3:uid="{85053557-C43A-4EAE-9CEE-17146A208501}" uniqueName="1" name="Contrato.1" queryTableFieldId="1" dataDxfId="272"/>
    <tableColumn id="2" xr3:uid="{9ED98D35-AB4E-4664-AC17-4DD5DD4C3A84}" uniqueName="2" name="Descrição da atividade" queryTableFieldId="2" dataDxfId="271"/>
    <tableColumn id="3" xr3:uid="{0F89E23E-0A01-4C40-960A-32CD9A4C05EF}" uniqueName="3" name="Item" queryTableFieldId="3" dataDxfId="270"/>
    <tableColumn id="4" xr3:uid="{CF678208-1CF1-4CD2-B9AA-67EE8AA863CD}" uniqueName="4" name="Aplicação" queryTableFieldId="4" dataDxfId="269"/>
    <tableColumn id="5" xr3:uid="{A619AE41-82C5-413E-B5B2-7AC785B5F8C8}" uniqueName="5" name="Código da_x000a_solicitação" queryTableFieldId="5" dataDxfId="268"/>
    <tableColumn id="6" xr3:uid="{58A22C71-B55B-4C72-B05C-7A69051971C1}" uniqueName="6" name="Data solicitação" queryTableFieldId="6" dataDxfId="267"/>
    <tableColumn id="7" xr3:uid="{9F80AB7E-578E-48B8-8BB5-1B0155790768}" uniqueName="7" name="Gerência solicitante" queryTableFieldId="7" dataDxfId="266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265"/>
    <tableColumn id="10" xr3:uid="{C25451D7-0449-4423-A967-0F80296AAEFA}" uniqueName="10" name="D. abertura" queryTableFieldId="10" dataDxfId="264"/>
    <tableColumn id="11" xr3:uid="{C0623302-40DB-4E8D-B7EB-3ADC7F7219B0}" uniqueName="11" name="D. fechamento" queryTableFieldId="11" dataDxfId="263"/>
    <tableColumn id="12" xr3:uid="{60351070-BA5B-4CB0-AD91-56B9A0FB2ED3}" uniqueName="12" name="Prazo combinado" queryTableFieldId="12" dataDxfId="262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261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260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259"/>
    <tableColumn id="20" xr3:uid="{8E19ECB1-B7B9-4180-B8CE-AB5E328F31D3}" uniqueName="20" name="Município - Origem" queryTableFieldId="20" dataDxfId="258"/>
    <tableColumn id="21" xr3:uid="{C218183E-DA81-4B30-8E90-737193EEC001}" uniqueName="21" name="UF - Origem" queryTableFieldId="21" dataDxfId="257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256"/>
    <tableColumn id="24" xr3:uid="{BF7401DF-08FB-484D-BCBA-1106393E07BA}" uniqueName="24" name="UF - Destino" queryTableFieldId="24" dataDxfId="255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254"/>
    <tableColumn id="29" xr3:uid="{57A9229D-184F-4FF4-B395-ACE67240A87D}" uniqueName="29" name="Centro" queryTableFieldId="29" dataDxfId="253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252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6" tableType="queryTable" totalsRowShown="0">
  <autoFilter ref="A1:R6" xr:uid="{9A295756-F296-4D71-BC38-2C2A6DBA03EA}"/>
  <tableColumns count="18">
    <tableColumn id="1" xr3:uid="{A7B6D135-2005-4823-A30A-96FEB9484A56}" uniqueName="1" name="Contrato.1" queryTableFieldId="1" dataDxfId="251"/>
    <tableColumn id="2" xr3:uid="{50035D7A-B6A4-4D62-8331-4E58AC504EC1}" uniqueName="2" name="Descrição da atividade" queryTableFieldId="2" dataDxfId="250"/>
    <tableColumn id="3" xr3:uid="{34EDF417-41A2-4D4B-AB20-1A052583990C}" uniqueName="3" name="Item" queryTableFieldId="3" dataDxfId="249"/>
    <tableColumn id="4" xr3:uid="{32A89F30-6305-4386-98A2-39220DCEC91C}" uniqueName="4" name="Data solicitação" queryTableFieldId="4" dataDxfId="248"/>
    <tableColumn id="5" xr3:uid="{9E739AD6-EFDA-4731-B37A-7B082A26DDE5}" uniqueName="5" name="Gerência solicitante" queryTableFieldId="5" dataDxfId="247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246"/>
    <tableColumn id="8" xr3:uid="{1C721BB5-7194-417D-91D1-247CBA11E844}" uniqueName="8" name="Localidade - Origem" queryTableFieldId="8" dataDxfId="245"/>
    <tableColumn id="9" xr3:uid="{DE034203-3D12-411F-BDA8-48E557A5260A}" uniqueName="9" name="Município - Origem" queryTableFieldId="9" dataDxfId="244"/>
    <tableColumn id="10" xr3:uid="{8F5341EA-1FF8-4D65-9ADC-CB989728EA29}" uniqueName="10" name="UF - Origem" queryTableFieldId="10" dataDxfId="243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242"/>
    <tableColumn id="13" xr3:uid="{89B628C0-EBBB-40E7-BF2B-2B6597B99019}" uniqueName="13" name="UF - Destino" queryTableFieldId="13" dataDxfId="241"/>
    <tableColumn id="14" xr3:uid="{31BC5A65-D96E-4859-82EE-B23FD69DE33A}" uniqueName="14" name="KM Adicional" queryTableFieldId="14"/>
    <tableColumn id="15" xr3:uid="{43013EF5-6B3A-4664-9FC6-3638160B7A24}" uniqueName="15" name="Unidade" queryTableFieldId="15" dataDxfId="240"/>
    <tableColumn id="16" xr3:uid="{00265D60-A6AF-4BA7-B9D7-EA75C02C0830}" uniqueName="16" name="Centro" queryTableFieldId="16" dataDxfId="239"/>
    <tableColumn id="17" xr3:uid="{C8BE0627-B9F6-4614-B853-1663792024C9}" uniqueName="17" name="Linha de serviço PPU" queryTableFieldId="17" dataDxfId="238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35" tableType="queryTable" totalsRowShown="0">
  <autoFilter ref="A1:AF35" xr:uid="{8C30EE45-C4D0-4CBC-8B36-4EF3449FBF3A}"/>
  <tableColumns count="32">
    <tableColumn id="1" xr3:uid="{E4A06F7D-E303-4EAC-9E46-59DD63042372}" uniqueName="1" name="Contrato.1" queryTableFieldId="1" dataDxfId="237"/>
    <tableColumn id="2" xr3:uid="{3E009DFD-33E5-45B9-9661-D79C8EB089B5}" uniqueName="2" name="Descrição da atividade" queryTableFieldId="2" dataDxfId="236"/>
    <tableColumn id="3" xr3:uid="{3BD6C390-A98B-460B-A307-09CD771FFE3A}" uniqueName="3" name="Item" queryTableFieldId="3" dataDxfId="235"/>
    <tableColumn id="4" xr3:uid="{72777DED-0D34-422F-905A-E4588CB06B78}" uniqueName="4" name="Aplicação" queryTableFieldId="4" dataDxfId="234"/>
    <tableColumn id="5" xr3:uid="{1DEF1449-6457-43B8-9478-7E2344B050C4}" uniqueName="5" name="Código da_x000a_solicitação" queryTableFieldId="5" dataDxfId="233"/>
    <tableColumn id="6" xr3:uid="{500129E2-A195-42D5-A2D7-00D9765557BE}" uniqueName="6" name="Data solicitação" queryTableFieldId="6" dataDxfId="232"/>
    <tableColumn id="7" xr3:uid="{4EDBE863-F097-40E7-99E4-B4A582F45C35}" uniqueName="7" name="Gerência solicitante" queryTableFieldId="7" dataDxfId="231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230"/>
    <tableColumn id="10" xr3:uid="{9B428403-C625-43E7-9D73-08D6DFDAE49D}" uniqueName="10" name="D. abertura" queryTableFieldId="10" dataDxfId="229"/>
    <tableColumn id="11" xr3:uid="{A53E0B29-C723-46AE-A0C9-F3B1D4D22460}" uniqueName="11" name="D. fechamento" queryTableFieldId="11" dataDxfId="228"/>
    <tableColumn id="12" xr3:uid="{62BC6717-C187-4950-ACD1-1DD5620D59DB}" uniqueName="12" name="Prazo combinado" queryTableFieldId="12" dataDxfId="227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226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225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224"/>
    <tableColumn id="20" xr3:uid="{F2873A31-F980-4884-B329-0E133FF2AB43}" uniqueName="20" name="Município - Origem" queryTableFieldId="20" dataDxfId="223"/>
    <tableColumn id="21" xr3:uid="{6AD5F646-1F91-4157-80A8-1E913B3980B3}" uniqueName="21" name="UF - Origem" queryTableFieldId="21" dataDxfId="222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221"/>
    <tableColumn id="24" xr3:uid="{095C0FF8-6A69-4E41-8282-B6971B02FF24}" uniqueName="24" name="UF - Destino" queryTableFieldId="24" dataDxfId="220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219"/>
    <tableColumn id="29" xr3:uid="{D422E4D0-13EB-46A8-AE8C-04B383858787}" uniqueName="29" name="Centro" queryTableFieldId="29" dataDxfId="218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217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4" tableType="queryTable" totalsRowShown="0">
  <autoFilter ref="A1:R14" xr:uid="{77DF9A14-C6E4-4BA3-BF31-3AEBFE2D3DF4}"/>
  <tableColumns count="18">
    <tableColumn id="1" xr3:uid="{4142DB54-ACCB-44E4-A922-87AFD955EAB2}" uniqueName="1" name="Contrato.1" queryTableFieldId="1" dataDxfId="216"/>
    <tableColumn id="2" xr3:uid="{716B7614-A9FA-4AD8-B08C-672406AED26B}" uniqueName="2" name="Descrição da atividade" queryTableFieldId="2" dataDxfId="215"/>
    <tableColumn id="3" xr3:uid="{24E1E1C6-9AA1-438F-A420-C4B61FDE5D6D}" uniqueName="3" name="Item" queryTableFieldId="3" dataDxfId="214"/>
    <tableColumn id="4" xr3:uid="{A8A5683D-9D7B-4D25-A4D8-BAAB1D41954C}" uniqueName="4" name="Data solicitação" queryTableFieldId="4" dataDxfId="213"/>
    <tableColumn id="5" xr3:uid="{B3A8A532-DB05-4347-823A-FDE2E5385D23}" uniqueName="5" name="Gerência solicitante" queryTableFieldId="5" dataDxfId="212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211"/>
    <tableColumn id="8" xr3:uid="{49459F6E-907F-4482-8ED7-D36E1ECA23A6}" uniqueName="8" name="Localidade - Origem" queryTableFieldId="8" dataDxfId="210"/>
    <tableColumn id="9" xr3:uid="{C3D7B7ED-E923-4590-A282-A82C4E954211}" uniqueName="9" name="Município - Origem" queryTableFieldId="9" dataDxfId="209"/>
    <tableColumn id="10" xr3:uid="{928BA2E1-A386-44CC-A3E8-19973C8F4194}" uniqueName="10" name="UF - Origem" queryTableFieldId="10" dataDxfId="208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207"/>
    <tableColumn id="13" xr3:uid="{A7925021-C646-46A7-8BDE-ADF9F4D54718}" uniqueName="13" name="UF - Destino" queryTableFieldId="13" dataDxfId="206"/>
    <tableColumn id="14" xr3:uid="{A3AA8AD5-771F-470B-A59B-002D5D97B7EB}" uniqueName="14" name="KM Adicional" queryTableFieldId="14"/>
    <tableColumn id="15" xr3:uid="{463DA3E4-4F4A-42AB-BC8D-A19959E1049E}" uniqueName="15" name="Unidade" queryTableFieldId="15" dataDxfId="205"/>
    <tableColumn id="16" xr3:uid="{9BCB7681-2F25-4B7C-B346-D807AA0B9A31}" uniqueName="16" name="Centro" queryTableFieldId="16" dataDxfId="204"/>
    <tableColumn id="17" xr3:uid="{A5549C99-98A8-4F57-BAAE-9072705F59BE}" uniqueName="17" name="Linha de serviço PPU" queryTableFieldId="17" dataDxfId="203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50F4EE0-3BCE-4042-BFD4-D128A9790E70}" name="DADOS_IRON_LT1_RJ" displayName="DADOS_IRON_LT1_RJ" ref="A1:AF325" tableType="queryTable" totalsRowShown="0">
  <autoFilter ref="A1:AF325" xr:uid="{550F4EE0-3BCE-4042-BFD4-D128A9790E70}"/>
  <tableColumns count="32">
    <tableColumn id="1" xr3:uid="{70E4369E-2B2D-44D5-B1D2-77E8C859AFBD}" uniqueName="1" name="Contrato.1" queryTableFieldId="1" dataDxfId="202"/>
    <tableColumn id="2" xr3:uid="{FE3835F8-89F9-4CD2-81EF-74A0D0E80DF5}" uniqueName="2" name="Descrição da atividade" queryTableFieldId="2" dataDxfId="201"/>
    <tableColumn id="3" xr3:uid="{90B01E49-5A57-44D4-A643-9EFFA5862761}" uniqueName="3" name="Item" queryTableFieldId="3" dataDxfId="200"/>
    <tableColumn id="4" xr3:uid="{0DCB4699-AFAB-44F3-9990-7051E70BD18E}" uniqueName="4" name="Aplicação" queryTableFieldId="4" dataDxfId="199"/>
    <tableColumn id="5" xr3:uid="{2E1CACDA-C210-42E8-9654-9E26F63FF34F}" uniqueName="5" name="Código da_x000a_solicitação" queryTableFieldId="5" dataDxfId="198"/>
    <tableColumn id="6" xr3:uid="{8DF26013-F941-4A74-8B81-B59D1E31F570}" uniqueName="6" name="Data solicitação" queryTableFieldId="6" dataDxfId="197"/>
    <tableColumn id="7" xr3:uid="{6A566E32-2603-4754-912A-D1B63D89B014}" uniqueName="7" name="Gerência solicitante" queryTableFieldId="7" dataDxfId="196"/>
    <tableColumn id="8" xr3:uid="{C87D2739-2C48-4CF5-8CD9-DF72C009E548}" uniqueName="8" name="Qtd._x000a_Solicitada" queryTableFieldId="8"/>
    <tableColumn id="9" xr3:uid="{373898B0-037F-4966-80E1-F4EF7D35E1F6}" uniqueName="9" name="Código OS" queryTableFieldId="9" dataDxfId="195"/>
    <tableColumn id="10" xr3:uid="{58A92E0E-24B7-4AC2-88B8-1F627604F16C}" uniqueName="10" name="D. abertura" queryTableFieldId="10" dataDxfId="194"/>
    <tableColumn id="11" xr3:uid="{2F6E583D-FD80-4865-B5AA-AD6E43498A46}" uniqueName="11" name="D. fechamento" queryTableFieldId="11" dataDxfId="193"/>
    <tableColumn id="12" xr3:uid="{7541F004-3028-46D6-8223-DD1FEAE7A893}" uniqueName="12" name="Prazo combinado" queryTableFieldId="12" dataDxfId="192"/>
    <tableColumn id="13" xr3:uid="{251F543A-038C-4939-8495-5B4DD76F54E1}" uniqueName="13" name="Qtd._x000a_Atendida" queryTableFieldId="13"/>
    <tableColumn id="14" xr3:uid="{B6BF08D4-B3AD-4665-86B8-35AF48465037}" uniqueName="14" name="Agrupamento" queryTableFieldId="14" dataDxfId="191"/>
    <tableColumn id="15" xr3:uid="{B1AB11A4-3D9A-4948-9C3B-4E7B2C2A5BA8}" uniqueName="15" name="Classificação" queryTableFieldId="15"/>
    <tableColumn id="16" xr3:uid="{14C2AF5E-0C8B-48D4-B0DD-0613FFA6984C}" uniqueName="16" name="FDM" queryTableFieldId="16"/>
    <tableColumn id="17" xr3:uid="{C4E02524-915C-4A1A-9209-F93817B4B6E5}" uniqueName="17" name="Obs. Isenção" queryTableFieldId="17" dataDxfId="190"/>
    <tableColumn id="18" xr3:uid="{4373DD63-870D-47F2-BCAC-79EDE0CA2A8F}" uniqueName="18" name="FA" queryTableFieldId="18"/>
    <tableColumn id="19" xr3:uid="{A6136C6D-EB4A-4643-BE81-252820A7E9E1}" uniqueName="19" name="Localidade - Origem" queryTableFieldId="19" dataDxfId="189"/>
    <tableColumn id="20" xr3:uid="{030447E5-647A-452A-8154-63F234B99716}" uniqueName="20" name="Município - Origem" queryTableFieldId="20" dataDxfId="188"/>
    <tableColumn id="21" xr3:uid="{89C4A2E6-48AC-4ED1-A7F9-7C5EA9DBD2EB}" uniqueName="21" name="UF - Origem" queryTableFieldId="21" dataDxfId="187"/>
    <tableColumn id="22" xr3:uid="{3D2E0597-F10E-4DD0-A93F-A382C0F72661}" uniqueName="22" name="Localidade - Destino" queryTableFieldId="22"/>
    <tableColumn id="23" xr3:uid="{06611E53-F2DD-4C84-AA22-6AD80CBAA1F2}" uniqueName="23" name="Município - Destino" queryTableFieldId="23" dataDxfId="186"/>
    <tableColumn id="24" xr3:uid="{B7D8EAFE-D6FA-443F-8003-4120C048D0AF}" uniqueName="24" name="UF - Destino" queryTableFieldId="24" dataDxfId="185"/>
    <tableColumn id="25" xr3:uid="{F4140F3A-7E9A-4D61-BBDB-861474F02B1B}" uniqueName="25" name="KM Adicional" queryTableFieldId="25"/>
    <tableColumn id="26" xr3:uid="{41CF6F58-FEFC-45D8-BB09-DD1CF1EF6EFD}" uniqueName="26" name="FC" queryTableFieldId="26"/>
    <tableColumn id="27" xr3:uid="{4076089F-305A-4F50-BBFE-E67A423F3F18}" uniqueName="27" name="Unidade" queryTableFieldId="27" dataDxfId="184"/>
    <tableColumn id="28" xr3:uid="{B581CDD1-CC48-4E00-A7D8-D67DED25959C}" uniqueName="28" name="Centro" queryTableFieldId="28" dataDxfId="183"/>
    <tableColumn id="29" xr3:uid="{1F8D867F-5B64-416E-A7E5-587B8AD38500}" uniqueName="29" name="Código Centro" queryTableFieldId="29"/>
    <tableColumn id="30" xr3:uid="{BE4DC60F-3E71-4240-BEA4-297FC3F4B3CC}" uniqueName="30" name="Linha de serviço PPU" queryTableFieldId="30" dataDxfId="182"/>
    <tableColumn id="31" xr3:uid="{8173DF4C-8172-4EC9-85C5-63B50B0019E9}" uniqueName="31" name="QExec" queryTableFieldId="31"/>
    <tableColumn id="32" xr3:uid="{E61C54C3-25FB-446E-A7FE-ACCE1F924D7C}" uniqueName="32" name="QExecAgrupado" queryTableFieldId="3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181"/>
    <tableColumn id="2" xr3:uid="{2EA238EB-2746-4EA2-BDCA-D4F66D254FD6}" uniqueName="2" name="Item PPU" queryTableFieldId="2" dataDxfId="180"/>
    <tableColumn id="7" xr3:uid="{BD1883D3-B6E6-43E2-B864-8EC065564BFA}" uniqueName="7" name="Linha de Serviço" queryTableFieldId="7" dataDxfId="179"/>
    <tableColumn id="4" xr3:uid="{132DA34E-1E1F-4C65-9E0E-35B6924256ED}" uniqueName="4" name="Descrição da Linha de Serviço" queryTableFieldId="4" dataDxfId="178"/>
    <tableColumn id="8" xr3:uid="{A76B3EB1-39AD-4338-B344-44AE7E8740D0}" uniqueName="8" name="Unidade" queryTableFieldId="8" dataDxfId="177"/>
    <tableColumn id="6" xr3:uid="{B4D9889E-6582-42D2-BE86-6A8B7F20644C}" uniqueName="6" name="P. Unitário (R$)" queryTableFieldId="6" dataDxfId="17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175"/>
    <tableColumn id="2" xr3:uid="{0E60CD56-3477-4279-9E1C-51195B9599EB}" uniqueName="2" name="Item PPU" queryTableFieldId="2" dataDxfId="174"/>
    <tableColumn id="7" xr3:uid="{58527E2B-4000-4DFF-AC35-E98841E70ECC}" uniqueName="7" name="Linha de Serviço" queryTableFieldId="7" dataDxfId="173"/>
    <tableColumn id="4" xr3:uid="{11406F56-A054-4C42-89B1-E3FC98F10EA1}" uniqueName="4" name="Descrição da Linha de Serviço" queryTableFieldId="4" dataDxfId="172"/>
    <tableColumn id="8" xr3:uid="{BD91CE1A-6C11-4627-AB4C-174377FB47B3}" uniqueName="8" name="Unidade" queryTableFieldId="8" dataDxfId="171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ableType="queryTable" totalsRowShown="0">
  <autoFilter ref="A1:K24" xr:uid="{2209E21E-DEA8-4202-82FD-07C7E03EA807}"/>
  <tableColumns count="11">
    <tableColumn id="1" xr3:uid="{779A2988-A082-4DA8-A404-622180948564}" uniqueName="1" name="Contrato-Reg." queryTableFieldId="1"/>
    <tableColumn id="2" xr3:uid="{42CF383B-98BF-46B9-89E8-849040A9E1D6}" uniqueName="2" name="MEDIDAS CONTRATO" queryTableFieldId="2"/>
    <tableColumn id="3" xr3:uid="{830598D9-5B50-4B10-8607-E139948E9C23}" uniqueName="3" name="Item" queryTableFieldId="3"/>
    <tableColumn id="4" xr3:uid="{CC970CB0-A84E-4B00-A215-308BEACD247E}" uniqueName="4" name="QUAm-1" queryTableFieldId="4"/>
    <tableColumn id="5" xr3:uid="{1D87020C-AB84-4EFC-84D2-653711830659}" uniqueName="5" name="QBm" queryTableFieldId="5"/>
    <tableColumn id="6" xr3:uid="{19B82E5C-F1F6-45A5-9F06-6D436B313FC6}" uniqueName="6" name="QDm" queryTableFieldId="6"/>
    <tableColumn id="7" xr3:uid="{353C4CAD-814E-483F-AEC0-487F3A70843B}" uniqueName="7" name="QNm" queryTableFieldId="7"/>
    <tableColumn id="8" xr3:uid="{E0B58C6D-2082-40A8-B364-930D1CE62C7C}" uniqueName="8" name="QUAm" queryTableFieldId="8"/>
    <tableColumn id="9" xr3:uid="{90C5C347-F4AC-42F2-8850-30AE5859D27D}" uniqueName="9" name="FC" queryTableFieldId="9"/>
    <tableColumn id="10" xr3:uid="{2FFB8BE9-77F8-4A28-ABFD-0D36C050931F}" uniqueName="10" name="QUA" queryTableFieldId="10"/>
    <tableColumn id="11" xr3:uid="{C46278D4-A1AB-4AC1-B9C7-FD0EFC0D691C}" uniqueName="11" name="Linha de serviço PPU" queryTableFieldId="1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368" tableType="queryTable" totalsRowShown="0">
  <autoFilter ref="A1:AF368" xr:uid="{E4E775B5-C194-4F05-8B95-77DED74454C6}"/>
  <tableColumns count="32">
    <tableColumn id="1" xr3:uid="{CFE1F9F2-20DF-468C-9AB7-F9828AA340D3}" uniqueName="1" name="Contrato.1" queryTableFieldId="1" dataDxfId="170"/>
    <tableColumn id="2" xr3:uid="{3BD39AE9-829F-47D7-BF5F-4201C9FA6F6F}" uniqueName="2" name="Descrição da atividade" queryTableFieldId="2" dataDxfId="169"/>
    <tableColumn id="3" xr3:uid="{817D6A2B-6DFC-4FA3-BACB-C04CDFD1E65B}" uniqueName="3" name="Item" queryTableFieldId="3" dataDxfId="168"/>
    <tableColumn id="4" xr3:uid="{9DDB6677-72C3-45E3-9B5A-24F9A7E391C6}" uniqueName="4" name="Aplicação" queryTableFieldId="4" dataDxfId="167"/>
    <tableColumn id="5" xr3:uid="{63A42217-3519-428D-99B4-0E5E6283EB32}" uniqueName="5" name="Código da_x000a_solicitação" queryTableFieldId="5" dataDxfId="166"/>
    <tableColumn id="6" xr3:uid="{A8B63922-8222-4906-B17B-A0374506844C}" uniqueName="6" name="Data solicitação" queryTableFieldId="6" dataDxfId="165"/>
    <tableColumn id="7" xr3:uid="{DBE6565D-407B-4790-A8ED-B577DFB02647}" uniqueName="7" name="Gerência solicitante" queryTableFieldId="7" dataDxfId="164"/>
    <tableColumn id="8" xr3:uid="{D9214EB0-C6B6-49FA-8DD9-FCCEE4FFBDD3}" uniqueName="8" name="Qtd._x000a_Solicitada" queryTableFieldId="8"/>
    <tableColumn id="9" xr3:uid="{B807E226-CE09-4679-961B-D82C46F8245F}" uniqueName="9" name="Código OS" queryTableFieldId="9" dataDxfId="163"/>
    <tableColumn id="10" xr3:uid="{A1DA06CC-7A96-40E8-B831-C9C1A7188269}" uniqueName="10" name="D. abertura" queryTableFieldId="10" dataDxfId="162"/>
    <tableColumn id="11" xr3:uid="{F83F715E-D5C7-441E-8590-FBFA91089AA9}" uniqueName="11" name="D. fechamento" queryTableFieldId="11" dataDxfId="161"/>
    <tableColumn id="12" xr3:uid="{93359BD2-7F90-4CD0-8E2E-38DA5E4A4784}" uniqueName="12" name="Prazo combinado" queryTableFieldId="12" dataDxfId="160"/>
    <tableColumn id="13" xr3:uid="{5D6F4254-6D7D-40A0-8819-A2F6311ED147}" uniqueName="13" name="Qtd._x000a_Atendida" queryTableFieldId="13"/>
    <tableColumn id="14" xr3:uid="{48C045C9-7A46-4418-A62A-92A885E193E0}" uniqueName="14" name="Agrupamento" queryTableFieldId="14" dataDxfId="159"/>
    <tableColumn id="15" xr3:uid="{06D5B6FC-1777-4DD5-9C6E-F1D008BF119F}" uniqueName="15" name="Classificação" queryTableFieldId="15"/>
    <tableColumn id="16" xr3:uid="{2742CA91-19F8-4C6E-B295-8DC969AE8E04}" uniqueName="16" name="FDM" queryTableFieldId="16"/>
    <tableColumn id="17" xr3:uid="{89B04B01-BEE2-4478-8519-059254B9EB7A}" uniqueName="17" name="Obs. Isenção" queryTableFieldId="17" dataDxfId="158"/>
    <tableColumn id="18" xr3:uid="{9356459C-87EC-4D83-B6A1-F6A6DA8E0674}" uniqueName="18" name="FA" queryTableFieldId="18"/>
    <tableColumn id="19" xr3:uid="{49966CEF-D651-4CBA-92B6-ED822B9A1150}" uniqueName="19" name="Localidade - Origem" queryTableFieldId="19" dataDxfId="157"/>
    <tableColumn id="20" xr3:uid="{DB46277B-D4BD-4DEF-BAC2-F37544442ACD}" uniqueName="20" name="Município - Origem" queryTableFieldId="20" dataDxfId="156"/>
    <tableColumn id="21" xr3:uid="{32E688B1-72C8-4C8C-A586-88AFFFE268EE}" uniqueName="21" name="UF - Origem" queryTableFieldId="21" dataDxfId="155"/>
    <tableColumn id="22" xr3:uid="{13EDC3DF-49FD-42E3-99DC-39D40905D611}" uniqueName="22" name="Localidade - Destino" queryTableFieldId="22"/>
    <tableColumn id="23" xr3:uid="{C2613F95-D070-40A3-9058-5452000320FB}" uniqueName="23" name="Município - Destino" queryTableFieldId="23" dataDxfId="154"/>
    <tableColumn id="24" xr3:uid="{8E9017FE-BA88-4929-89CD-F1E8A8BEAED9}" uniqueName="24" name="UF - Destino" queryTableFieldId="24" dataDxfId="153"/>
    <tableColumn id="25" xr3:uid="{47D76061-F2C6-4CE6-89DF-5F83320EBDE9}" uniqueName="25" name="KM Adicional" queryTableFieldId="25"/>
    <tableColumn id="26" xr3:uid="{BD0C2063-721E-490D-BCC4-8608C07947A2}" uniqueName="26" name="FC" queryTableFieldId="26"/>
    <tableColumn id="28" xr3:uid="{3616D488-37C3-41F1-8000-136BBB8153A0}" uniqueName="28" name="Unidade" queryTableFieldId="28" dataDxfId="152"/>
    <tableColumn id="29" xr3:uid="{EA322212-8174-4371-89DE-004F93C90A22}" uniqueName="29" name="Centro" queryTableFieldId="29" dataDxfId="151"/>
    <tableColumn id="30" xr3:uid="{014680BC-D5F0-4EF9-BAFD-F61F45BF7558}" uniqueName="30" name="Código Centro" queryTableFieldId="30"/>
    <tableColumn id="31" xr3:uid="{629AC82F-7EC3-4B45-8DA4-647338CFF42E}" uniqueName="31" name="Linha de serviço PPU" queryTableFieldId="31" dataDxfId="150"/>
    <tableColumn id="27" xr3:uid="{10853D29-1023-4AB7-95C3-A4AD0C7DBCD8}" uniqueName="27" name="QExec" queryTableFieldId="27"/>
    <tableColumn id="32" xr3:uid="{AA88CD50-8D72-4A8A-B00D-80A94517C1D4}" uniqueName="32" name="QExecAgrupado" queryTableFieldId="3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41" tableType="queryTable" totalsRowShown="0">
  <autoFilter ref="A1:R141" xr:uid="{B8491D60-DDB6-469D-9271-B5DDA89EDB87}"/>
  <tableColumns count="18">
    <tableColumn id="1" xr3:uid="{1DE6BA8E-3842-430B-A591-2D20D3DC57DD}" uniqueName="1" name="Contrato.1" queryTableFieldId="1" dataDxfId="149"/>
    <tableColumn id="2" xr3:uid="{EE2D2B70-4FCF-43B8-AD06-8F82D7B74601}" uniqueName="2" name="Descrição da atividade" queryTableFieldId="2" dataDxfId="148"/>
    <tableColumn id="3" xr3:uid="{3F3C934B-456F-46AB-8EE6-170CECB4D9DD}" uniqueName="3" name="Item" queryTableFieldId="3" dataDxfId="147"/>
    <tableColumn id="4" xr3:uid="{C6F5F988-E032-4D6F-9577-6FACFBEDB389}" uniqueName="4" name="Data solicitação" queryTableFieldId="4" dataDxfId="146"/>
    <tableColumn id="5" xr3:uid="{ADCF0B1A-2158-472F-9393-F11B71B2427D}" uniqueName="5" name="Gerência solicitante" queryTableFieldId="5" dataDxfId="145"/>
    <tableColumn id="6" xr3:uid="{E62C59BB-ACA7-4773-B0EA-D349EAA6374B}" uniqueName="6" name="Qtd._x000a_Solicitada" queryTableFieldId="6"/>
    <tableColumn id="7" xr3:uid="{1CEC26BB-F66D-4BA4-AAA9-3DDAEA6E2E7F}" uniqueName="7" name="D. fechamento" queryTableFieldId="7" dataDxfId="144"/>
    <tableColumn id="8" xr3:uid="{DF58B2AC-402A-4187-9F54-DEF1452DEA57}" uniqueName="8" name="Localidade - Origem" queryTableFieldId="8" dataDxfId="143"/>
    <tableColumn id="9" xr3:uid="{640311E3-2206-4037-A07C-5B3B5941A4F4}" uniqueName="9" name="Município - Origem" queryTableFieldId="9" dataDxfId="142"/>
    <tableColumn id="10" xr3:uid="{43923A3B-27D4-4A18-8195-18FA3FE3EC57}" uniqueName="10" name="UF - Origem" queryTableFieldId="10" dataDxfId="141"/>
    <tableColumn id="11" xr3:uid="{0E7909C0-84D2-4CF8-B6F4-B09818ECF947}" uniqueName="11" name="Localidade - Destino" queryTableFieldId="11"/>
    <tableColumn id="12" xr3:uid="{7C2EE79D-C41F-43D7-AC3E-9CFD16FFF696}" uniqueName="12" name="Município - Destino" queryTableFieldId="12" dataDxfId="140"/>
    <tableColumn id="13" xr3:uid="{1AA4CEAE-6E75-439C-9786-5250BB362DA8}" uniqueName="13" name="UF - Destino" queryTableFieldId="13" dataDxfId="139"/>
    <tableColumn id="14" xr3:uid="{56E27307-48F7-4CA1-9348-B3900308E573}" uniqueName="14" name="KM Adicional" queryTableFieldId="14"/>
    <tableColumn id="15" xr3:uid="{52CAC6F4-6F38-404C-AAEC-E229BFBF4BB7}" uniqueName="15" name="Unidade" queryTableFieldId="15" dataDxfId="138"/>
    <tableColumn id="16" xr3:uid="{87EA8DF5-1E95-45E0-AFE5-B7B998A3AD4B}" uniqueName="16" name="Centro" queryTableFieldId="16" dataDxfId="137"/>
    <tableColumn id="17" xr3:uid="{AA8573A4-0892-4BF5-8E18-AA156FF29581}" uniqueName="17" name="Linha de serviço PPU" queryTableFieldId="17" dataDxfId="136"/>
    <tableColumn id="18" xr3:uid="{82E78718-9112-4027-B737-FEB991A88149}" uniqueName="18" name="QExecAgrupado" queryTableFieldId="1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52BC70D-9242-4924-BC4D-E51A8433086B}" name="FRETE_IRON_LT1_RJ" displayName="FRETE_IRON_LT1_RJ" ref="A1:R123" tableType="queryTable" totalsRowShown="0">
  <autoFilter ref="A1:R123" xr:uid="{752BC70D-9242-4924-BC4D-E51A8433086B}"/>
  <sortState xmlns:xlrd2="http://schemas.microsoft.com/office/spreadsheetml/2017/richdata2" ref="A2:R123">
    <sortCondition ref="G1:G123"/>
  </sortState>
  <tableColumns count="18">
    <tableColumn id="1" xr3:uid="{82725555-C727-48F9-9AE1-3512DD8E3FAF}" uniqueName="1" name="Contrato.1" queryTableFieldId="1" dataDxfId="135"/>
    <tableColumn id="2" xr3:uid="{43A3EC7C-066C-4308-BBB3-67BFB6B2F831}" uniqueName="2" name="Descrição da atividade" queryTableFieldId="2" dataDxfId="134"/>
    <tableColumn id="3" xr3:uid="{4D808E09-0A37-46DA-A297-F4E05E54C606}" uniqueName="3" name="Item" queryTableFieldId="3" dataDxfId="133"/>
    <tableColumn id="4" xr3:uid="{44BE3D8A-72A8-4C46-A3EA-922385B43CF1}" uniqueName="4" name="Data solicitação" queryTableFieldId="4" dataDxfId="132"/>
    <tableColumn id="5" xr3:uid="{D4B17429-D52E-4412-B890-9D9DD7458602}" uniqueName="5" name="Gerência solicitante" queryTableFieldId="5" dataDxfId="131"/>
    <tableColumn id="6" xr3:uid="{5666ED00-08DB-4CAB-B7E7-5F7E5A40AF02}" uniqueName="6" name="Qtd._x000a_Solicitada" queryTableFieldId="6"/>
    <tableColumn id="7" xr3:uid="{1A863455-02A7-41CA-8DA8-38E64E53486C}" uniqueName="7" name="D. fechamento" queryTableFieldId="7" dataDxfId="130"/>
    <tableColumn id="8" xr3:uid="{6192E31E-DEC9-49AB-A18E-514D8DCAE8E8}" uniqueName="8" name="Localidade - Origem" queryTableFieldId="8" dataDxfId="129"/>
    <tableColumn id="9" xr3:uid="{E44A9932-1B00-44FA-97FB-B2C954AEC7BE}" uniqueName="9" name="Município - Origem" queryTableFieldId="9" dataDxfId="128"/>
    <tableColumn id="10" xr3:uid="{02E3543E-7451-48BB-A234-4B1B935A445D}" uniqueName="10" name="UF - Origem" queryTableFieldId="10" dataDxfId="127"/>
    <tableColumn id="11" xr3:uid="{C2076C7D-2584-4EFA-8A57-C758DBD93515}" uniqueName="11" name="Localidade - Destino" queryTableFieldId="11"/>
    <tableColumn id="12" xr3:uid="{4AA2F579-5D9E-4EA1-819D-2F0736BF938C}" uniqueName="12" name="Município - Destino" queryTableFieldId="12" dataDxfId="126"/>
    <tableColumn id="13" xr3:uid="{B867DBA8-87AE-431B-8147-A4FCA77F1CE5}" uniqueName="13" name="UF - Destino" queryTableFieldId="13" dataDxfId="125"/>
    <tableColumn id="14" xr3:uid="{316B9B3D-E53A-4B33-A40F-868D84DC8F11}" uniqueName="14" name="KM Adicional" queryTableFieldId="14"/>
    <tableColumn id="15" xr3:uid="{414DD8E7-4C34-46C1-A3CB-EB98DC804C34}" uniqueName="15" name="Unidade" queryTableFieldId="15" dataDxfId="124"/>
    <tableColumn id="16" xr3:uid="{F3BAED42-284C-4C02-B0C0-28D3F1E1BECD}" uniqueName="16" name="Centro" queryTableFieldId="16" dataDxfId="123"/>
    <tableColumn id="17" xr3:uid="{58D08FF6-2471-4099-B1F5-FC2B507ECCB5}" uniqueName="17" name="Linha de serviço PPU" queryTableFieldId="17" dataDxfId="122"/>
    <tableColumn id="18" xr3:uid="{881D8EE4-BB29-4F89-9E25-7CFDD5580AAB}" uniqueName="18" name="QExecAgrupado" queryTableFieldId="1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J15" tableType="queryTable" totalsRowShown="0">
  <autoFilter ref="A1:J15" xr:uid="{40F6A444-4BDB-40C2-855F-C9DCC9E6BA6A}"/>
  <tableColumns count="10"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121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14" tableType="queryTable" totalsRowShown="0">
  <autoFilter ref="A1:AF114" xr:uid="{6D1198E9-ADFD-46C4-B48C-C4D6DFE4A85B}"/>
  <tableColumns count="32">
    <tableColumn id="31" xr3:uid="{C6F17E24-A588-448D-829B-BCBEFD481700}" uniqueName="31" name="Contrato.1" queryTableFieldId="31" dataDxfId="120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119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118"/>
    <tableColumn id="10" xr3:uid="{822574B2-12A4-4ECA-A1AE-3D1BA7439E6E}" uniqueName="10" name="D. fechamento" queryTableFieldId="10" dataDxfId="117"/>
    <tableColumn id="11" xr3:uid="{FD7D0ADF-E207-44BB-A536-FDA7226A8880}" uniqueName="11" name="Prazo combinado" queryTableFieldId="11" dataDxfId="116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115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114"/>
    <tableColumn id="17" xr3:uid="{430425C0-68E6-48A4-9EE0-83AC032191CD}" uniqueName="17" name="FA" queryTableFieldId="17" dataDxfId="113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3" tableType="queryTable" totalsRowShown="0">
  <autoFilter ref="A1:R3" xr:uid="{77DA5B3B-8334-4DC9-883D-9F609921844A}"/>
  <tableColumns count="18">
    <tableColumn id="17" xr3:uid="{8249EC98-1C89-4C2A-AF75-29F62EEC9CD8}" uniqueName="17" name="Contrato.1" queryTableFieldId="17" dataDxfId="112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111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110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109"/>
    <tableColumn id="12" xr3:uid="{9BA00D96-C1FF-4E22-B0CE-BA8DFA2F75A8}" uniqueName="12" name="QBm" queryTableFieldId="12" dataDxfId="108"/>
    <tableColumn id="13" xr3:uid="{080DA9BE-4AE9-4DB2-904D-DAA203786633}" uniqueName="13" name="QDm" queryTableFieldId="13" dataDxfId="107"/>
    <tableColumn id="14" xr3:uid="{792F0396-AF08-45CA-B83C-82BAA75651C0}" uniqueName="14" name="QNm" queryTableFieldId="14" dataDxfId="106"/>
    <tableColumn id="15" xr3:uid="{4B212C17-0282-41C6-9C51-0540E8DA4AA2}" uniqueName="15" name="QUAm" queryTableFieldId="15" dataDxfId="105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482" tableType="queryTable" totalsRowShown="0">
  <autoFilter ref="A2:AF482" xr:uid="{F4B9C440-1061-43C1-8A73-0B19AF589C39}"/>
  <tableColumns count="32">
    <tableColumn id="18" xr3:uid="{71B7C77E-2561-48AF-A640-58B43130478C}" uniqueName="18" name="Contrato.1" queryTableFieldId="93" dataDxfId="104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103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102"/>
    <tableColumn id="16" xr3:uid="{9E0A5EC9-DCBE-45CB-989A-CCCB5AD46E85}" uniqueName="16" name="D. fechamento" queryTableFieldId="16" dataDxfId="101"/>
    <tableColumn id="17" xr3:uid="{95F89749-580B-4E58-BE7C-9B94D04005A1}" uniqueName="17" name="Prazo combinado" queryTableFieldId="17" dataDxfId="100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99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98"/>
    <tableColumn id="26" xr3:uid="{251B22C6-A4ED-4224-8F0A-495C697E2AFC}" uniqueName="26" name="FA" queryTableFieldId="85" dataDxfId="97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143" tableType="queryTable" totalsRowShown="0">
  <autoFilter ref="A1:R143" xr:uid="{9388334B-AEAE-47E5-8A91-4A8AF0293C1E}"/>
  <tableColumns count="18">
    <tableColumn id="17" xr3:uid="{B5E75510-24C2-403F-8816-947AEC64DFCB}" uniqueName="17" name="Contrato.1" queryTableFieldId="17" dataDxfId="96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95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94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93" dataDxfId="92">
  <autoFilter ref="H3:O37" xr:uid="{00000000-0009-0000-0100-000002000000}"/>
  <tableColumns count="8">
    <tableColumn id="1" xr3:uid="{00000000-0010-0000-0000-000001000000}" name="Serviço" dataDxfId="91"/>
    <tableColumn id="2" xr3:uid="{00000000-0010-0000-0000-000002000000}" name="Nº contrato" dataDxfId="90"/>
    <tableColumn id="3" xr3:uid="{00000000-0010-0000-0000-000003000000}" name="Descrição da atividade" dataDxfId="89"/>
    <tableColumn id="4" xr3:uid="{00000000-0010-0000-0000-000004000000}" name="Atividade do painel" dataDxfId="88"/>
    <tableColumn id="5" xr3:uid="{00000000-0010-0000-0000-000005000000}" name="Ref. FDM" dataDxfId="87"/>
    <tableColumn id="6" xr3:uid="{00000000-0010-0000-0000-000006000000}" name="Ref. QExec" dataDxfId="86"/>
    <tableColumn id="7" xr3:uid="{00000000-0010-0000-0000-000007000000}" name="Ref. prazo" dataDxfId="85"/>
    <tableColumn id="8" xr3:uid="{00000000-0010-0000-0000-000008000000}" name="Obs" dataDxfId="84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83" dataDxfId="82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81"/>
    <tableColumn id="2" xr3:uid="{00000000-0010-0000-0100-000002000000}" name="Atividade do painel" dataDxfId="80"/>
    <tableColumn id="3" xr3:uid="{00000000-0010-0000-0100-000003000000}" name="Item" dataDxfId="79"/>
    <tableColumn id="4" xr3:uid="{00000000-0010-0000-0100-000004000000}" name="Unidade" dataDxfId="78"/>
    <tableColumn id="5" xr3:uid="{00000000-0010-0000-0100-000005000000}" name="Linha de serviço PPU" dataDxfId="77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76" dataDxfId="74" headerRowBorderDxfId="75" tableBorderDxfId="73">
  <autoFilter ref="B3:B8" xr:uid="{00000000-0009-0000-0100-000001000000}"/>
  <tableColumns count="1">
    <tableColumn id="1" xr3:uid="{00000000-0010-0000-0200-000001000000}" name="Situação" dataDxfId="72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71" dataDxfId="69" headerRowBorderDxfId="70" tableBorderDxfId="68">
  <autoFilter ref="E3:E5" xr:uid="{00000000-0009-0000-0100-000004000000}"/>
  <tableColumns count="1">
    <tableColumn id="1" xr3:uid="{00000000-0010-0000-0300-000001000000}" name="Contrato GE" dataDxfId="67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66" dataDxfId="65">
  <autoFilter ref="Y3:AG24" xr:uid="{00000000-0009-0000-0100-000005000000}"/>
  <tableColumns count="9">
    <tableColumn id="9" xr3:uid="{00000000-0010-0000-0400-000009000000}" name="Atividade do painel" dataDxfId="64"/>
    <tableColumn id="1" xr3:uid="{00000000-0010-0000-0400-000001000000}" name="Tab. Contrato" dataDxfId="63"/>
    <tableColumn id="2" xr3:uid="{00000000-0010-0000-0400-000002000000}" name="Descrição da tabela" dataDxfId="62"/>
    <tableColumn id="3" xr3:uid="{00000000-0010-0000-0400-000003000000}" name="Item" dataDxfId="61"/>
    <tableColumn id="4" xr3:uid="{00000000-0010-0000-0400-000004000000}" name="Diâmetro" dataDxfId="60"/>
    <tableColumn id="5" xr3:uid="{00000000-0010-0000-0400-000005000000}" name="A" dataDxfId="59"/>
    <tableColumn id="6" xr3:uid="{00000000-0010-0000-0400-000006000000}" name="L" dataDxfId="58"/>
    <tableColumn id="7" xr3:uid="{00000000-0010-0000-0400-000007000000}" name="P" dataDxfId="57"/>
    <tableColumn id="8" xr3:uid="{00000000-0010-0000-0400-000008000000}" name="FC" dataDxfId="56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55" dataDxfId="54">
  <autoFilter ref="AJ3:AO14" xr:uid="{00000000-0009-0000-0100-000006000000}"/>
  <tableColumns count="6">
    <tableColumn id="1" xr3:uid="{00000000-0010-0000-0500-000001000000}" name="Atividade do painel" dataDxfId="53"/>
    <tableColumn id="2" xr3:uid="{00000000-0010-0000-0500-000002000000}" name="Tab. Contrato" dataDxfId="52"/>
    <tableColumn id="3" xr3:uid="{00000000-0010-0000-0500-000003000000}" name="Descrição da tabela" dataDxfId="51"/>
    <tableColumn id="4" xr3:uid="{00000000-0010-0000-0500-000004000000}" name="Item" dataDxfId="50"/>
    <tableColumn id="5" xr3:uid="{00000000-0010-0000-0500-000005000000}" name="Unidade" dataDxfId="49"/>
    <tableColumn id="6" xr3:uid="{00000000-0010-0000-0500-000006000000}" name="FC" dataDxfId="48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47" dataDxfId="46">
  <autoFilter ref="AR3:AW35" xr:uid="{00000000-0009-0000-0100-000007000000}"/>
  <tableColumns count="6">
    <tableColumn id="1" xr3:uid="{00000000-0010-0000-0600-000001000000}" name="Atividade do painel" dataDxfId="45"/>
    <tableColumn id="2" xr3:uid="{00000000-0010-0000-0600-000002000000}" name="Tab. Contrato" dataDxfId="44"/>
    <tableColumn id="3" xr3:uid="{00000000-0010-0000-0600-000003000000}" name="Descrição da tabela" dataDxfId="43"/>
    <tableColumn id="4" xr3:uid="{00000000-0010-0000-0600-000004000000}" name="Item" dataDxfId="42"/>
    <tableColumn id="5" xr3:uid="{00000000-0010-0000-0600-000005000000}" name="Unidade" dataDxfId="41"/>
    <tableColumn id="6" xr3:uid="{00000000-0010-0000-0600-000006000000}" name="FC" dataDxfId="40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39" dataDxfId="38">
  <autoFilter ref="AZ3:BE130" xr:uid="{00000000-0009-0000-0100-000008000000}"/>
  <tableColumns count="6">
    <tableColumn id="3" xr3:uid="{00000000-0010-0000-0700-000003000000}" name="Contrato" dataDxfId="37"/>
    <tableColumn id="1" xr3:uid="{00000000-0010-0000-0700-000001000000}" name="Atividade do painel" dataDxfId="36"/>
    <tableColumn id="2" xr3:uid="{00000000-0010-0000-0700-000002000000}" name="Tab. Contrato" dataDxfId="35"/>
    <tableColumn id="4" xr3:uid="{00000000-0010-0000-0700-000004000000}" name="Grupo de município" dataDxfId="34"/>
    <tableColumn id="5" xr3:uid="{00000000-0010-0000-0700-000005000000}" name="Classificação" dataDxfId="33"/>
    <tableColumn id="6" xr3:uid="{00000000-0010-0000-0700-000006000000}" name="Prazo" dataDxfId="32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31" dataDxfId="30">
  <autoFilter ref="BH3:BI16" xr:uid="{00000000-0009-0000-0100-000009000000}"/>
  <tableColumns count="2">
    <tableColumn id="1" xr3:uid="{00000000-0010-0000-0800-000001000000}" name="Lista agrupamento 1" dataDxfId="29"/>
    <tableColumn id="2" xr3:uid="{00000000-0010-0000-0800-000002000000}" name="Lista agrupamento 2" dataDxfId="28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27" dataDxfId="26">
  <autoFilter ref="E8:E9" xr:uid="{00000000-0009-0000-0100-00000B000000}"/>
  <tableColumns count="1">
    <tableColumn id="1" xr3:uid="{00000000-0010-0000-0900-000001000000}" name="Atendimento" dataDxfId="25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24" dataDxfId="23">
  <autoFilter ref="E13:E18" xr:uid="{00000000-0009-0000-0100-00000C000000}"/>
  <tableColumns count="1">
    <tableColumn id="1" xr3:uid="{00000000-0010-0000-0A00-000001000000}" name="Contrato Ind" dataDxfId="22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21" dataDxfId="20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19"/>
    <tableColumn id="2" xr3:uid="{00000000-0010-0000-0B00-000002000000}" name="Contrato" dataDxfId="18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17"/>
    <tableColumn id="2" xr3:uid="{00000000-0010-0000-0C00-000002000000}" name="Descrição" dataDxfId="16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15" dataDxfId="14">
  <autoFilter ref="B13:B20" xr:uid="{CFC1531E-7CFC-4F2A-ADAE-1B4E2F00C1D5}"/>
  <tableColumns count="1">
    <tableColumn id="1" xr3:uid="{B55DC0CE-CD4F-45DB-BBBC-94A3D600F228}" name="Validação Descrição da atividade para GALPAO" dataDxfId="13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12"/>
    <tableColumn id="2" xr3:uid="{94A61BAC-C757-48E0-9FD6-286E6E324A3B}" name="Galpão" dataDxfId="11"/>
    <tableColumn id="3" xr3:uid="{F6D58C59-0894-40C6-B94B-79A1AECA0950}" name="Cidade" dataDxfId="10"/>
    <tableColumn id="4" xr3:uid="{A1EC4516-DC85-4011-8376-8DE49C8508A2}" name="UF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9" dataDxfId="8">
  <autoFilter ref="CI3:CI15" xr:uid="{FAAA01F6-597D-4DC8-9300-2C5B2610B85B}"/>
  <tableColumns count="1">
    <tableColumn id="1" xr3:uid="{5C5654CD-FC21-43C0-B0B6-10AEB91ED9D4}" name="Anos" dataDxfId="7"/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6" dataDxfId="5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4"/>
    <tableColumn id="2" xr3:uid="{3356F5BA-D4F0-464A-BE67-8B624F7C678E}" name="Dimenções" dataDxfId="3"/>
    <tableColumn id="3" xr3:uid="{58CE3792-E62D-4028-8432-3ADC4A812DF7}" name="Item" dataDxfId="2"/>
    <tableColumn id="5" xr3:uid="{D6EA8378-2F21-4B45-B89D-A3E2646038C8}" name="FC" dataDxfId="1"/>
    <tableColumn id="6" xr3:uid="{CADEF83E-6C31-4DF2-BD4E-14FF52B884B2}" name="Concatenado" dataDxfId="0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EDI&#199;&#195;O/4600686987-PLA-MemoriaPetrobras-IRON-LT1-SP_27102026_155239.xlsx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EDI&#199;&#195;O/4600686987-PLA-MemoriaPetrobras-IRON-LT1-RJ_27102026_155238.xlsx" TargetMode="External"/><Relationship Id="rId1" Type="http://schemas.openxmlformats.org/officeDocument/2006/relationships/hyperlink" Target="MEDI&#199;&#195;O/4600687006-PLA-MemoriaPetrobras-PA-LT2-BA_27102026_155237.xlsx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MEDI&#199;&#195;O/4600686987-PLA-MemoriaPetrobras-IRON-LT1-ES_27102026_155241.xlsx" TargetMode="Externa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18" Type="http://schemas.openxmlformats.org/officeDocument/2006/relationships/table" Target="../tables/table39.xml"/><Relationship Id="rId3" Type="http://schemas.openxmlformats.org/officeDocument/2006/relationships/table" Target="../tables/table24.xml"/><Relationship Id="rId21" Type="http://schemas.openxmlformats.org/officeDocument/2006/relationships/table" Target="../tables/table42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17" Type="http://schemas.openxmlformats.org/officeDocument/2006/relationships/table" Target="../tables/table38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37.xml"/><Relationship Id="rId20" Type="http://schemas.openxmlformats.org/officeDocument/2006/relationships/table" Target="../tables/table41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6.xml"/><Relationship Id="rId15" Type="http://schemas.openxmlformats.org/officeDocument/2006/relationships/table" Target="../tables/table36.xml"/><Relationship Id="rId23" Type="http://schemas.openxmlformats.org/officeDocument/2006/relationships/comments" Target="../comments6.xml"/><Relationship Id="rId10" Type="http://schemas.openxmlformats.org/officeDocument/2006/relationships/table" Target="../tables/table31.xml"/><Relationship Id="rId19" Type="http://schemas.openxmlformats.org/officeDocument/2006/relationships/table" Target="../tables/table40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Relationship Id="rId22" Type="http://schemas.openxmlformats.org/officeDocument/2006/relationships/table" Target="../tables/table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tabSelected="1" workbookViewId="0">
      <selection activeCell="I7" sqref="I7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282</v>
      </c>
      <c r="B1" t="s">
        <v>663</v>
      </c>
      <c r="C1" t="s">
        <v>664</v>
      </c>
      <c r="D1" t="s">
        <v>665</v>
      </c>
      <c r="E1" t="s">
        <v>666</v>
      </c>
      <c r="F1" t="s">
        <v>667</v>
      </c>
      <c r="G1" t="s">
        <v>668</v>
      </c>
      <c r="H1" t="s">
        <v>669</v>
      </c>
      <c r="I1" t="s">
        <v>670</v>
      </c>
      <c r="J1" t="s">
        <v>671</v>
      </c>
      <c r="K1" t="s">
        <v>672</v>
      </c>
      <c r="L1" t="s">
        <v>673</v>
      </c>
    </row>
    <row r="2" spans="1:12" x14ac:dyDescent="0.3">
      <c r="A2" t="s">
        <v>345</v>
      </c>
      <c r="B2">
        <v>165</v>
      </c>
      <c r="C2">
        <v>85</v>
      </c>
      <c r="D2">
        <v>51.52</v>
      </c>
      <c r="E2">
        <v>0.97</v>
      </c>
      <c r="F2">
        <v>0.95</v>
      </c>
      <c r="G2">
        <v>126</v>
      </c>
      <c r="H2">
        <v>99</v>
      </c>
      <c r="I2">
        <v>78.569999999999993</v>
      </c>
      <c r="J2">
        <v>0.97</v>
      </c>
      <c r="K2">
        <v>0.96</v>
      </c>
      <c r="L2" t="b">
        <v>1</v>
      </c>
    </row>
    <row r="3" spans="1:12" x14ac:dyDescent="0.3">
      <c r="A3" t="s">
        <v>346</v>
      </c>
      <c r="B3">
        <v>5</v>
      </c>
      <c r="C3">
        <v>1</v>
      </c>
      <c r="D3">
        <v>20</v>
      </c>
      <c r="E3">
        <v>0.97</v>
      </c>
      <c r="F3">
        <v>0.95</v>
      </c>
      <c r="G3">
        <v>57</v>
      </c>
      <c r="H3">
        <v>53</v>
      </c>
      <c r="I3">
        <v>92.98</v>
      </c>
      <c r="J3">
        <v>0.98</v>
      </c>
      <c r="K3">
        <v>0.98</v>
      </c>
      <c r="L3" t="b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G23"/>
  <sheetViews>
    <sheetView zoomScaleNormal="100" workbookViewId="0">
      <pane ySplit="4" topLeftCell="A5" activePane="bottomLeft" state="frozenSplit"/>
      <selection pane="bottomLeft" activeCell="F7" sqref="F7"/>
    </sheetView>
  </sheetViews>
  <sheetFormatPr defaultRowHeight="14.4" x14ac:dyDescent="0.3"/>
  <cols>
    <col min="6" max="6" width="77.5546875" customWidth="1"/>
  </cols>
  <sheetData>
    <row r="1" spans="1:7" ht="15" thickTop="1" x14ac:dyDescent="0.3">
      <c r="A1" s="209"/>
      <c r="B1" s="210"/>
      <c r="C1" s="210"/>
      <c r="D1" s="210"/>
      <c r="E1" s="210"/>
      <c r="F1" s="210"/>
      <c r="G1" s="211"/>
    </row>
    <row r="2" spans="1:7" x14ac:dyDescent="0.3">
      <c r="A2" s="212"/>
      <c r="B2" s="6"/>
      <c r="C2" s="6"/>
      <c r="D2" s="6"/>
      <c r="E2" s="6"/>
      <c r="F2" s="6"/>
      <c r="G2" s="213"/>
    </row>
    <row r="3" spans="1:7" x14ac:dyDescent="0.3">
      <c r="A3" s="212"/>
      <c r="B3" s="6"/>
      <c r="C3" s="6"/>
      <c r="D3" s="6"/>
      <c r="E3" s="6"/>
      <c r="F3" s="6"/>
      <c r="G3" s="213"/>
    </row>
    <row r="4" spans="1:7" x14ac:dyDescent="0.3">
      <c r="A4" s="212"/>
      <c r="B4" s="6"/>
      <c r="C4" s="6"/>
      <c r="D4" s="6"/>
      <c r="E4" s="6"/>
      <c r="F4" s="6"/>
      <c r="G4" s="213"/>
    </row>
    <row r="5" spans="1:7" x14ac:dyDescent="0.3">
      <c r="A5" s="212"/>
      <c r="B5" s="6"/>
      <c r="C5" s="229" t="s">
        <v>241</v>
      </c>
      <c r="D5" s="229"/>
      <c r="E5" s="6"/>
      <c r="F5" s="6"/>
      <c r="G5" s="213"/>
    </row>
    <row r="6" spans="1:7" x14ac:dyDescent="0.3">
      <c r="A6" s="212"/>
      <c r="B6" s="6"/>
      <c r="C6" s="214" t="s">
        <v>242</v>
      </c>
      <c r="D6" s="214" t="s">
        <v>243</v>
      </c>
      <c r="E6" s="6"/>
      <c r="F6" s="6"/>
      <c r="G6" s="213"/>
    </row>
    <row r="7" spans="1:7" x14ac:dyDescent="0.3">
      <c r="A7" s="212"/>
      <c r="B7" s="6"/>
      <c r="C7" s="215" t="s">
        <v>485</v>
      </c>
      <c r="D7" s="216">
        <v>2026</v>
      </c>
      <c r="E7" s="6"/>
      <c r="F7" s="6"/>
      <c r="G7" s="213"/>
    </row>
    <row r="8" spans="1:7" ht="20.399999999999999" customHeight="1" thickBot="1" x14ac:dyDescent="0.35">
      <c r="A8" s="212"/>
      <c r="B8" s="6"/>
      <c r="C8" s="6"/>
      <c r="D8" s="6"/>
      <c r="E8" s="6"/>
      <c r="F8" s="6"/>
      <c r="G8" s="213"/>
    </row>
    <row r="9" spans="1:7" ht="47.4" customHeight="1" thickBot="1" x14ac:dyDescent="0.35">
      <c r="A9" s="212"/>
      <c r="B9" s="6"/>
      <c r="C9" s="6"/>
      <c r="D9" s="6"/>
      <c r="E9" s="6"/>
      <c r="F9" s="207" t="s">
        <v>1944</v>
      </c>
      <c r="G9" s="217"/>
    </row>
    <row r="10" spans="1:7" x14ac:dyDescent="0.3">
      <c r="A10" s="212"/>
      <c r="B10" s="6"/>
      <c r="C10" s="6"/>
      <c r="D10" s="6"/>
      <c r="E10" s="6"/>
      <c r="F10" s="6"/>
      <c r="G10" s="213"/>
    </row>
    <row r="11" spans="1:7" ht="15" thickBot="1" x14ac:dyDescent="0.35">
      <c r="A11" s="212"/>
      <c r="B11" s="6"/>
      <c r="C11" s="6"/>
      <c r="D11" s="6"/>
      <c r="E11" s="6"/>
      <c r="F11" s="6"/>
      <c r="G11" s="213"/>
    </row>
    <row r="12" spans="1:7" ht="63.75" customHeight="1" thickBot="1" x14ac:dyDescent="0.35">
      <c r="A12" s="212"/>
      <c r="B12" s="6"/>
      <c r="C12" s="6"/>
      <c r="D12" s="6"/>
      <c r="E12" s="6"/>
      <c r="F12" s="228" t="s">
        <v>1949</v>
      </c>
      <c r="G12" s="218"/>
    </row>
    <row r="13" spans="1:7" x14ac:dyDescent="0.3">
      <c r="A13" s="212"/>
      <c r="B13" s="6"/>
      <c r="C13" s="6"/>
      <c r="D13" s="6"/>
      <c r="E13" s="6"/>
      <c r="F13" s="6"/>
      <c r="G13" s="219"/>
    </row>
    <row r="14" spans="1:7" x14ac:dyDescent="0.3">
      <c r="A14" s="212"/>
      <c r="B14" s="220"/>
      <c r="C14" s="6"/>
      <c r="D14" s="6"/>
      <c r="E14" s="6"/>
      <c r="F14" s="208" t="s">
        <v>1950</v>
      </c>
      <c r="G14" s="213"/>
    </row>
    <row r="15" spans="1:7" x14ac:dyDescent="0.3">
      <c r="A15" s="212"/>
      <c r="B15" s="6"/>
      <c r="C15" s="6"/>
      <c r="D15" s="6"/>
      <c r="E15" s="6"/>
      <c r="F15" s="208" t="s">
        <v>1951</v>
      </c>
      <c r="G15" s="219"/>
    </row>
    <row r="16" spans="1:7" x14ac:dyDescent="0.3">
      <c r="A16" s="212"/>
      <c r="B16" s="6"/>
      <c r="C16" s="6"/>
      <c r="D16" s="6"/>
      <c r="E16" s="6"/>
      <c r="F16" s="208" t="s">
        <v>1952</v>
      </c>
      <c r="G16" s="213"/>
    </row>
    <row r="17" spans="1:7" x14ac:dyDescent="0.3">
      <c r="A17" s="212"/>
      <c r="B17" s="6"/>
      <c r="C17" s="6"/>
      <c r="D17" s="6"/>
      <c r="E17" s="6"/>
      <c r="F17" s="208" t="s">
        <v>1953</v>
      </c>
      <c r="G17" s="213"/>
    </row>
    <row r="18" spans="1:7" x14ac:dyDescent="0.3">
      <c r="A18" s="212"/>
      <c r="B18" s="6"/>
      <c r="C18" s="6"/>
      <c r="D18" s="6"/>
      <c r="E18" s="6"/>
      <c r="F18" s="6"/>
      <c r="G18" s="213"/>
    </row>
    <row r="19" spans="1:7" x14ac:dyDescent="0.3">
      <c r="A19" s="212"/>
      <c r="B19" s="6"/>
      <c r="C19" s="6"/>
      <c r="D19" s="6"/>
      <c r="E19" s="6"/>
      <c r="F19" s="6"/>
      <c r="G19" s="213"/>
    </row>
    <row r="20" spans="1:7" x14ac:dyDescent="0.3">
      <c r="A20" s="212"/>
      <c r="B20" s="6"/>
      <c r="C20" s="6"/>
      <c r="D20" s="6"/>
      <c r="E20" s="6"/>
      <c r="F20" s="6"/>
      <c r="G20" s="213"/>
    </row>
    <row r="21" spans="1:7" x14ac:dyDescent="0.3">
      <c r="A21" s="212"/>
      <c r="B21" s="6"/>
      <c r="C21" s="6"/>
      <c r="D21" s="6"/>
      <c r="E21" s="6"/>
      <c r="F21" s="6"/>
      <c r="G21" s="213"/>
    </row>
    <row r="22" spans="1:7" ht="15" thickBot="1" x14ac:dyDescent="0.35">
      <c r="A22" s="221"/>
      <c r="B22" s="222"/>
      <c r="C22" s="222"/>
      <c r="D22" s="222"/>
      <c r="E22" s="222"/>
      <c r="F22" s="222"/>
      <c r="G22" s="223"/>
    </row>
    <row r="23" spans="1:7" ht="15" thickTop="1" x14ac:dyDescent="0.3"/>
  </sheetData>
  <mergeCells count="1">
    <mergeCell ref="C5:D5"/>
  </mergeCells>
  <hyperlinks>
    <hyperlink ref="F14" r:id="rId1" xr:uid="{6D833447-AE30-4C16-9CEB-385AF44C8556}"/>
    <hyperlink ref="F15" r:id="rId2" xr:uid="{BBD542C5-3102-4379-BF29-DC6B5AF35E68}"/>
    <hyperlink ref="F16" r:id="rId3" xr:uid="{C4C99299-28A9-463E-B253-29DA0F7A3E62}"/>
    <hyperlink ref="F17" r:id="rId4" xr:uid="{2105FCEE-B3AF-4622-A3C1-34B60BB073E6}"/>
  </hyperlinks>
  <pageMargins left="0.511811024" right="0.511811024" top="0.78740157499999996" bottom="0.78740157499999996" header="0.31496062000000002" footer="0.31496062000000002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8" name="Button 1">
              <controlPr defaultSize="0" print="0" autoFill="0" autoPict="0" macro="[0]!AtualizarTodasConsultasPowerQuery">
                <anchor>
                  <from>
                    <xdr:col>0</xdr:col>
                    <xdr:colOff>441960</xdr:colOff>
                    <xdr:row>7</xdr:row>
                    <xdr:rowOff>251460</xdr:rowOff>
                  </from>
                  <to>
                    <xdr:col>4</xdr:col>
                    <xdr:colOff>160020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9" name="Button 4">
              <controlPr defaultSize="0" print="0" autoFill="0" autoPict="0" macro="[0]!GerarArquivosPorContrato">
                <anchor moveWithCells="1" sizeWithCells="1">
                  <from>
                    <xdr:col>0</xdr:col>
                    <xdr:colOff>495300</xdr:colOff>
                    <xdr:row>13</xdr:row>
                    <xdr:rowOff>7620</xdr:rowOff>
                  </from>
                  <to>
                    <xdr:col>4</xdr:col>
                    <xdr:colOff>213360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10" name="Button 5">
              <controlPr defaultSize="0" print="0" autoFill="0" autoPict="0" macro="[0]!AuditarDadosEGerarLog">
                <anchor moveWithCells="1" sizeWithCells="1">
                  <from>
                    <xdr:col>0</xdr:col>
                    <xdr:colOff>480060</xdr:colOff>
                    <xdr:row>11</xdr:row>
                    <xdr:rowOff>83820</xdr:rowOff>
                  </from>
                  <to>
                    <xdr:col>4</xdr:col>
                    <xdr:colOff>198120</xdr:colOff>
                    <xdr:row>11</xdr:row>
                    <xdr:rowOff>731520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3B75B938-C575-41E6-8E4A-97B985FB39C5}">
          <x14:formula1>
            <xm:f>tabelaA!$CG$4:$CG$15</xm:f>
          </x14:formula1>
          <xm:sqref>C7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90FB6-456C-4222-88AD-D4BA3443377A}">
  <sheetPr codeName="Planilha1"/>
  <dimension ref="A1:BE481"/>
  <sheetViews>
    <sheetView topLeftCell="G1" workbookViewId="0">
      <selection activeCell="J9" sqref="J9"/>
    </sheetView>
  </sheetViews>
  <sheetFormatPr defaultRowHeight="14.4" x14ac:dyDescent="0.3"/>
  <cols>
    <col min="1" max="1" width="20.6640625" bestFit="1" customWidth="1"/>
    <col min="2" max="2" width="10.44140625" bestFit="1" customWidth="1"/>
    <col min="3" max="3" width="10.6640625" bestFit="1" customWidth="1"/>
    <col min="4" max="4" width="44" bestFit="1" customWidth="1"/>
    <col min="5" max="5" width="25.88671875" bestFit="1" customWidth="1"/>
    <col min="6" max="6" width="11.33203125" bestFit="1" customWidth="1"/>
    <col min="7" max="7" width="20.6640625" bestFit="1" customWidth="1"/>
    <col min="8" max="8" width="18.109375" bestFit="1" customWidth="1"/>
    <col min="9" max="9" width="32.6640625" bestFit="1" customWidth="1"/>
    <col min="10" max="10" width="16.109375" bestFit="1" customWidth="1"/>
    <col min="11" max="11" width="15.6640625" bestFit="1" customWidth="1"/>
    <col min="12" max="12" width="15" bestFit="1" customWidth="1"/>
    <col min="13" max="13" width="16.44140625" bestFit="1" customWidth="1"/>
    <col min="14" max="14" width="15.88671875" bestFit="1" customWidth="1"/>
    <col min="15" max="15" width="15.6640625" bestFit="1" customWidth="1"/>
    <col min="16" max="16" width="15.77734375" bestFit="1" customWidth="1"/>
    <col min="17" max="17" width="18" bestFit="1" customWidth="1"/>
    <col min="18" max="18" width="11.33203125" bestFit="1" customWidth="1"/>
    <col min="19" max="19" width="15.44140625" bestFit="1" customWidth="1"/>
    <col min="20" max="20" width="80.88671875" bestFit="1" customWidth="1"/>
    <col min="21" max="21" width="54.21875" bestFit="1" customWidth="1"/>
    <col min="22" max="22" width="17.88671875" bestFit="1" customWidth="1"/>
    <col min="23" max="23" width="15.33203125" bestFit="1" customWidth="1"/>
    <col min="24" max="24" width="18.5546875" bestFit="1" customWidth="1"/>
    <col min="25" max="25" width="5.44140625" bestFit="1" customWidth="1"/>
    <col min="26" max="26" width="15" bestFit="1" customWidth="1"/>
    <col min="27" max="27" width="16.33203125" bestFit="1" customWidth="1"/>
    <col min="28" max="28" width="12.21875" bestFit="1" customWidth="1"/>
    <col min="29" max="29" width="11.44140625" bestFit="1" customWidth="1"/>
    <col min="30" max="30" width="16" bestFit="1" customWidth="1"/>
    <col min="31" max="31" width="12.33203125" bestFit="1" customWidth="1"/>
    <col min="32" max="32" width="65.21875" bestFit="1" customWidth="1"/>
    <col min="33" max="33" width="13.2187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1.332031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21875" bestFit="1" customWidth="1"/>
    <col min="46" max="46" width="13.5546875" bestFit="1" customWidth="1"/>
    <col min="47" max="47" width="10.21875" bestFit="1" customWidth="1"/>
    <col min="48" max="48" width="65.21875" bestFit="1" customWidth="1"/>
    <col min="49" max="49" width="5.2187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77734375" bestFit="1" customWidth="1"/>
  </cols>
  <sheetData>
    <row r="1" spans="1:57" x14ac:dyDescent="0.3">
      <c r="A1" t="s">
        <v>801</v>
      </c>
      <c r="B1" t="s">
        <v>137</v>
      </c>
      <c r="C1" t="s">
        <v>282</v>
      </c>
      <c r="D1" t="s">
        <v>0</v>
      </c>
      <c r="E1" t="s">
        <v>2</v>
      </c>
      <c r="F1" t="s">
        <v>138</v>
      </c>
      <c r="G1" t="s">
        <v>449</v>
      </c>
      <c r="H1" t="s">
        <v>802</v>
      </c>
      <c r="I1" t="s">
        <v>246</v>
      </c>
      <c r="J1" t="s">
        <v>450</v>
      </c>
      <c r="K1" t="s">
        <v>451</v>
      </c>
      <c r="L1" t="s">
        <v>299</v>
      </c>
      <c r="M1" t="s">
        <v>452</v>
      </c>
      <c r="N1" t="s">
        <v>803</v>
      </c>
      <c r="O1" t="s">
        <v>139</v>
      </c>
      <c r="P1" t="s">
        <v>245</v>
      </c>
      <c r="Q1" t="s">
        <v>247</v>
      </c>
      <c r="R1" t="s">
        <v>804</v>
      </c>
      <c r="S1" t="s">
        <v>805</v>
      </c>
      <c r="T1" t="s">
        <v>806</v>
      </c>
      <c r="U1" t="s">
        <v>143</v>
      </c>
      <c r="V1" t="s">
        <v>367</v>
      </c>
      <c r="W1" t="s">
        <v>522</v>
      </c>
      <c r="X1" t="s">
        <v>807</v>
      </c>
      <c r="Y1" t="s">
        <v>286</v>
      </c>
      <c r="Z1" t="s">
        <v>808</v>
      </c>
      <c r="AA1" t="s">
        <v>809</v>
      </c>
      <c r="AB1" t="s">
        <v>466</v>
      </c>
      <c r="AC1" t="s">
        <v>378</v>
      </c>
      <c r="AD1" t="s">
        <v>471</v>
      </c>
      <c r="AE1" t="s">
        <v>472</v>
      </c>
      <c r="AF1" t="s">
        <v>810</v>
      </c>
      <c r="AG1" t="s">
        <v>811</v>
      </c>
      <c r="AH1" t="s">
        <v>256</v>
      </c>
      <c r="AI1" t="s">
        <v>255</v>
      </c>
      <c r="AJ1" t="s">
        <v>257</v>
      </c>
      <c r="AK1" t="s">
        <v>812</v>
      </c>
      <c r="AL1" t="s">
        <v>813</v>
      </c>
      <c r="AM1" t="s">
        <v>814</v>
      </c>
      <c r="AN1" t="s">
        <v>815</v>
      </c>
      <c r="AO1" t="s">
        <v>816</v>
      </c>
      <c r="AP1" t="s">
        <v>817</v>
      </c>
      <c r="AQ1" t="s">
        <v>818</v>
      </c>
      <c r="AR1" t="s">
        <v>819</v>
      </c>
      <c r="AS1" t="s">
        <v>820</v>
      </c>
      <c r="AT1" t="s">
        <v>821</v>
      </c>
      <c r="AU1" t="s">
        <v>822</v>
      </c>
      <c r="AV1" t="s">
        <v>823</v>
      </c>
      <c r="AW1" t="s">
        <v>160</v>
      </c>
      <c r="AX1" t="s">
        <v>521</v>
      </c>
      <c r="AY1" t="s">
        <v>39</v>
      </c>
      <c r="AZ1" t="s">
        <v>40</v>
      </c>
      <c r="BA1" t="s">
        <v>210</v>
      </c>
      <c r="BB1" t="s">
        <v>824</v>
      </c>
      <c r="BC1" t="s">
        <v>825</v>
      </c>
      <c r="BD1" t="s">
        <v>524</v>
      </c>
      <c r="BE1" t="s">
        <v>525</v>
      </c>
    </row>
    <row r="2" spans="1:57" x14ac:dyDescent="0.3">
      <c r="A2" s="204">
        <v>46230</v>
      </c>
      <c r="B2" t="s">
        <v>142</v>
      </c>
      <c r="C2" t="s">
        <v>345</v>
      </c>
      <c r="D2" t="s">
        <v>43</v>
      </c>
      <c r="E2" t="s">
        <v>105</v>
      </c>
      <c r="F2" t="s">
        <v>309</v>
      </c>
      <c r="G2" t="s">
        <v>942</v>
      </c>
      <c r="H2" t="s">
        <v>1361</v>
      </c>
      <c r="I2" t="s">
        <v>402</v>
      </c>
      <c r="J2">
        <v>2</v>
      </c>
      <c r="K2">
        <v>2</v>
      </c>
      <c r="L2" t="s">
        <v>943</v>
      </c>
      <c r="M2" s="15">
        <v>46240.387291666666</v>
      </c>
      <c r="N2" s="15">
        <v>46247.386805555558</v>
      </c>
      <c r="O2" s="15">
        <v>46240.632638888892</v>
      </c>
      <c r="P2" s="15">
        <v>46241.395138888889</v>
      </c>
      <c r="Q2" s="15"/>
      <c r="S2" t="s">
        <v>360</v>
      </c>
      <c r="T2" t="s">
        <v>1362</v>
      </c>
      <c r="V2" t="s">
        <v>360</v>
      </c>
      <c r="W2">
        <v>2480</v>
      </c>
      <c r="X2" t="s">
        <v>371</v>
      </c>
      <c r="Y2" t="s">
        <v>240</v>
      </c>
      <c r="Z2" t="s">
        <v>826</v>
      </c>
      <c r="AB2" t="s">
        <v>347</v>
      </c>
      <c r="AC2" t="s">
        <v>347</v>
      </c>
      <c r="AD2" t="s">
        <v>351</v>
      </c>
      <c r="AE2" t="s">
        <v>240</v>
      </c>
      <c r="AF2" t="s">
        <v>1363</v>
      </c>
      <c r="AG2" t="s">
        <v>249</v>
      </c>
      <c r="AH2">
        <v>1</v>
      </c>
      <c r="AI2" t="s">
        <v>250</v>
      </c>
      <c r="AJ2" t="s">
        <v>248</v>
      </c>
      <c r="AK2" t="s">
        <v>916</v>
      </c>
      <c r="AL2" t="s">
        <v>203</v>
      </c>
      <c r="AM2" t="s">
        <v>902</v>
      </c>
      <c r="AN2">
        <v>2</v>
      </c>
      <c r="AO2">
        <v>46240</v>
      </c>
      <c r="AP2">
        <v>0.63263888888888886</v>
      </c>
      <c r="AQ2">
        <v>46241</v>
      </c>
      <c r="AR2">
        <v>0.39513888888888887</v>
      </c>
      <c r="AS2" t="s">
        <v>201</v>
      </c>
      <c r="AT2" t="s">
        <v>1954</v>
      </c>
      <c r="AU2" t="s">
        <v>1955</v>
      </c>
      <c r="AV2" t="s">
        <v>839</v>
      </c>
      <c r="AX2">
        <v>1</v>
      </c>
      <c r="AY2" t="s">
        <v>89</v>
      </c>
      <c r="AZ2" t="s">
        <v>67</v>
      </c>
      <c r="BA2" t="s">
        <v>217</v>
      </c>
      <c r="BB2" t="s">
        <v>1364</v>
      </c>
      <c r="BC2">
        <v>113</v>
      </c>
      <c r="BD2">
        <v>13</v>
      </c>
      <c r="BE2">
        <v>1</v>
      </c>
    </row>
    <row r="3" spans="1:57" x14ac:dyDescent="0.3">
      <c r="A3" s="204">
        <v>46235</v>
      </c>
      <c r="B3" t="s">
        <v>142</v>
      </c>
      <c r="C3" t="s">
        <v>345</v>
      </c>
      <c r="D3" t="s">
        <v>47</v>
      </c>
      <c r="E3" t="s">
        <v>68</v>
      </c>
      <c r="F3" t="s">
        <v>309</v>
      </c>
      <c r="G3" t="s">
        <v>944</v>
      </c>
      <c r="H3" t="s">
        <v>842</v>
      </c>
      <c r="I3" t="s">
        <v>401</v>
      </c>
      <c r="J3">
        <v>2</v>
      </c>
      <c r="K3">
        <v>2</v>
      </c>
      <c r="L3" t="s">
        <v>945</v>
      </c>
      <c r="M3" s="15">
        <v>46233.496469907404</v>
      </c>
      <c r="N3" s="15">
        <v>46240.495833333334</v>
      </c>
      <c r="O3" s="15">
        <v>46233.658877314818</v>
      </c>
      <c r="P3" s="15">
        <v>46234.427083333336</v>
      </c>
      <c r="Q3" s="15"/>
      <c r="S3" t="s">
        <v>360</v>
      </c>
      <c r="T3" t="s">
        <v>1365</v>
      </c>
      <c r="V3" t="s">
        <v>360</v>
      </c>
      <c r="W3">
        <v>2480</v>
      </c>
      <c r="X3" t="s">
        <v>371</v>
      </c>
      <c r="Y3" t="s">
        <v>240</v>
      </c>
      <c r="Z3" t="s">
        <v>826</v>
      </c>
      <c r="AB3" t="s">
        <v>347</v>
      </c>
      <c r="AC3" t="s">
        <v>347</v>
      </c>
      <c r="AD3" t="s">
        <v>351</v>
      </c>
      <c r="AE3" t="s">
        <v>240</v>
      </c>
      <c r="AF3" t="s">
        <v>1366</v>
      </c>
      <c r="AG3" t="s">
        <v>249</v>
      </c>
      <c r="AH3">
        <v>1</v>
      </c>
      <c r="AI3" t="s">
        <v>250</v>
      </c>
      <c r="AJ3" t="s">
        <v>248</v>
      </c>
      <c r="AK3" t="s">
        <v>916</v>
      </c>
      <c r="AL3" t="s">
        <v>203</v>
      </c>
      <c r="AM3" t="s">
        <v>1367</v>
      </c>
      <c r="AN3">
        <v>1</v>
      </c>
      <c r="AO3">
        <v>46233</v>
      </c>
      <c r="AP3">
        <v>0.65887731481481482</v>
      </c>
      <c r="AQ3">
        <v>46234</v>
      </c>
      <c r="AR3">
        <v>0.42708333333333331</v>
      </c>
      <c r="AS3" t="s">
        <v>146</v>
      </c>
      <c r="AT3" t="s">
        <v>1954</v>
      </c>
      <c r="AU3" t="s">
        <v>1955</v>
      </c>
      <c r="AV3" t="s">
        <v>879</v>
      </c>
      <c r="AX3">
        <v>1</v>
      </c>
      <c r="AY3" t="s">
        <v>93</v>
      </c>
      <c r="AZ3" t="s">
        <v>90</v>
      </c>
      <c r="BA3" t="s">
        <v>218</v>
      </c>
      <c r="BB3" t="s">
        <v>1364</v>
      </c>
      <c r="BC3">
        <v>113</v>
      </c>
      <c r="BD3">
        <v>13</v>
      </c>
      <c r="BE3">
        <v>1</v>
      </c>
    </row>
    <row r="4" spans="1:57" x14ac:dyDescent="0.3">
      <c r="A4" s="204">
        <v>46235</v>
      </c>
      <c r="B4" t="s">
        <v>142</v>
      </c>
      <c r="C4" t="s">
        <v>345</v>
      </c>
      <c r="D4" t="s">
        <v>45</v>
      </c>
      <c r="E4" t="s">
        <v>68</v>
      </c>
      <c r="F4" t="s">
        <v>309</v>
      </c>
      <c r="G4" t="s">
        <v>946</v>
      </c>
      <c r="H4" t="s">
        <v>1368</v>
      </c>
      <c r="I4" t="s">
        <v>947</v>
      </c>
      <c r="J4">
        <v>50</v>
      </c>
      <c r="K4">
        <v>50</v>
      </c>
      <c r="L4" t="s">
        <v>948</v>
      </c>
      <c r="M4" s="15">
        <v>46218.662442129629</v>
      </c>
      <c r="N4" s="15">
        <v>46225.661805555559</v>
      </c>
      <c r="O4" s="15">
        <v>46219.407569444447</v>
      </c>
      <c r="P4" s="15">
        <v>46224.486111111109</v>
      </c>
      <c r="Q4" s="15">
        <v>46224.486111111109</v>
      </c>
      <c r="R4" t="s">
        <v>319</v>
      </c>
      <c r="S4" t="s">
        <v>360</v>
      </c>
      <c r="U4" t="s">
        <v>1369</v>
      </c>
      <c r="V4" t="s">
        <v>360</v>
      </c>
      <c r="W4">
        <v>2480</v>
      </c>
      <c r="X4" t="s">
        <v>371</v>
      </c>
      <c r="Y4" t="s">
        <v>240</v>
      </c>
      <c r="Z4" t="s">
        <v>826</v>
      </c>
      <c r="AB4" t="s">
        <v>347</v>
      </c>
      <c r="AC4" t="s">
        <v>347</v>
      </c>
      <c r="AD4" t="s">
        <v>351</v>
      </c>
      <c r="AE4" t="s">
        <v>240</v>
      </c>
      <c r="AF4" t="s">
        <v>1370</v>
      </c>
      <c r="AG4" t="s">
        <v>249</v>
      </c>
      <c r="AH4">
        <v>1</v>
      </c>
      <c r="AI4" t="s">
        <v>250</v>
      </c>
      <c r="AJ4" t="s">
        <v>248</v>
      </c>
      <c r="AK4" t="s">
        <v>916</v>
      </c>
      <c r="AL4" t="s">
        <v>203</v>
      </c>
      <c r="AM4" t="s">
        <v>888</v>
      </c>
      <c r="AN4">
        <v>2</v>
      </c>
      <c r="AO4">
        <v>46219</v>
      </c>
      <c r="AP4">
        <v>0.40756944444444443</v>
      </c>
      <c r="AQ4">
        <v>46224</v>
      </c>
      <c r="AR4">
        <v>0.4861111111111111</v>
      </c>
      <c r="AS4" t="s">
        <v>201</v>
      </c>
      <c r="AT4" t="s">
        <v>1956</v>
      </c>
      <c r="AU4" t="s">
        <v>1955</v>
      </c>
      <c r="AV4" t="s">
        <v>829</v>
      </c>
      <c r="AX4">
        <v>5</v>
      </c>
      <c r="AY4" t="s">
        <v>89</v>
      </c>
      <c r="AZ4" t="s">
        <v>67</v>
      </c>
      <c r="BA4" t="s">
        <v>217</v>
      </c>
      <c r="BB4" t="s">
        <v>1364</v>
      </c>
      <c r="BC4">
        <v>113</v>
      </c>
      <c r="BD4">
        <v>13</v>
      </c>
      <c r="BE4">
        <v>1</v>
      </c>
    </row>
    <row r="5" spans="1:57" x14ac:dyDescent="0.3">
      <c r="A5" s="204">
        <v>46235</v>
      </c>
      <c r="B5" t="s">
        <v>142</v>
      </c>
      <c r="C5" t="s">
        <v>345</v>
      </c>
      <c r="D5" t="s">
        <v>45</v>
      </c>
      <c r="E5" t="s">
        <v>68</v>
      </c>
      <c r="F5" t="s">
        <v>309</v>
      </c>
      <c r="G5" t="s">
        <v>949</v>
      </c>
      <c r="H5" t="s">
        <v>1368</v>
      </c>
      <c r="I5" t="s">
        <v>947</v>
      </c>
      <c r="J5">
        <v>50</v>
      </c>
      <c r="K5">
        <v>50</v>
      </c>
      <c r="L5" t="s">
        <v>950</v>
      </c>
      <c r="M5" s="15">
        <v>46218.662719907406</v>
      </c>
      <c r="N5" s="15">
        <v>46225.662499999999</v>
      </c>
      <c r="O5" s="15">
        <v>46219.408703703702</v>
      </c>
      <c r="P5" s="15">
        <v>46224.486111111109</v>
      </c>
      <c r="Q5" s="15">
        <v>46224.486111111109</v>
      </c>
      <c r="R5" t="s">
        <v>319</v>
      </c>
      <c r="S5" t="s">
        <v>360</v>
      </c>
      <c r="U5" t="s">
        <v>1371</v>
      </c>
      <c r="V5" t="s">
        <v>360</v>
      </c>
      <c r="W5">
        <v>2480</v>
      </c>
      <c r="X5" t="s">
        <v>371</v>
      </c>
      <c r="Y5" t="s">
        <v>240</v>
      </c>
      <c r="Z5" t="s">
        <v>826</v>
      </c>
      <c r="AB5" t="s">
        <v>347</v>
      </c>
      <c r="AC5" t="s">
        <v>347</v>
      </c>
      <c r="AD5" t="s">
        <v>351</v>
      </c>
      <c r="AE5" t="s">
        <v>240</v>
      </c>
      <c r="AF5" t="s">
        <v>1372</v>
      </c>
      <c r="AG5" t="s">
        <v>249</v>
      </c>
      <c r="AH5">
        <v>1</v>
      </c>
      <c r="AI5" t="s">
        <v>250</v>
      </c>
      <c r="AJ5" t="s">
        <v>248</v>
      </c>
      <c r="AK5" t="s">
        <v>916</v>
      </c>
      <c r="AL5" t="s">
        <v>203</v>
      </c>
      <c r="AM5" t="s">
        <v>888</v>
      </c>
      <c r="AN5">
        <v>2</v>
      </c>
      <c r="AO5">
        <v>46219</v>
      </c>
      <c r="AP5">
        <v>0.40870370370370368</v>
      </c>
      <c r="AQ5">
        <v>46224</v>
      </c>
      <c r="AR5">
        <v>0.4861111111111111</v>
      </c>
      <c r="AS5" t="s">
        <v>201</v>
      </c>
      <c r="AT5" t="s">
        <v>1956</v>
      </c>
      <c r="AU5" t="s">
        <v>1955</v>
      </c>
      <c r="AV5" t="s">
        <v>829</v>
      </c>
      <c r="AX5">
        <v>5</v>
      </c>
      <c r="AY5" t="s">
        <v>89</v>
      </c>
      <c r="AZ5" t="s">
        <v>67</v>
      </c>
      <c r="BA5" t="s">
        <v>217</v>
      </c>
      <c r="BB5" t="s">
        <v>1364</v>
      </c>
      <c r="BC5">
        <v>113</v>
      </c>
    </row>
    <row r="6" spans="1:57" x14ac:dyDescent="0.3">
      <c r="A6" s="204">
        <v>46230</v>
      </c>
      <c r="B6" t="s">
        <v>142</v>
      </c>
      <c r="C6" t="s">
        <v>345</v>
      </c>
      <c r="D6" t="s">
        <v>48</v>
      </c>
      <c r="E6" t="s">
        <v>68</v>
      </c>
      <c r="F6" t="s">
        <v>309</v>
      </c>
      <c r="G6" t="s">
        <v>951</v>
      </c>
      <c r="H6" t="s">
        <v>1373</v>
      </c>
      <c r="I6" t="s">
        <v>402</v>
      </c>
      <c r="J6">
        <v>1</v>
      </c>
      <c r="K6">
        <v>1</v>
      </c>
      <c r="L6" t="s">
        <v>952</v>
      </c>
      <c r="M6" s="15">
        <v>46156.383645833332</v>
      </c>
      <c r="N6" s="15">
        <v>46163.383333333331</v>
      </c>
      <c r="O6" s="15">
        <v>46226.400000000001</v>
      </c>
      <c r="P6" s="15">
        <v>46230.438194444447</v>
      </c>
      <c r="Q6" s="15"/>
      <c r="S6" t="s">
        <v>360</v>
      </c>
      <c r="T6" t="s">
        <v>1374</v>
      </c>
      <c r="V6" t="s">
        <v>360</v>
      </c>
      <c r="W6">
        <v>2480</v>
      </c>
      <c r="X6" t="s">
        <v>371</v>
      </c>
      <c r="Y6" t="s">
        <v>240</v>
      </c>
      <c r="Z6" t="s">
        <v>826</v>
      </c>
      <c r="AB6" t="s">
        <v>347</v>
      </c>
      <c r="AC6" t="s">
        <v>347</v>
      </c>
      <c r="AD6" t="s">
        <v>351</v>
      </c>
      <c r="AE6" t="s">
        <v>240</v>
      </c>
      <c r="AF6" t="s">
        <v>1375</v>
      </c>
      <c r="AG6" t="s">
        <v>249</v>
      </c>
      <c r="AH6">
        <v>1</v>
      </c>
      <c r="AI6" t="s">
        <v>250</v>
      </c>
      <c r="AJ6" t="s">
        <v>248</v>
      </c>
      <c r="AK6" t="s">
        <v>916</v>
      </c>
      <c r="AL6" t="s">
        <v>203</v>
      </c>
      <c r="AM6" t="s">
        <v>903</v>
      </c>
      <c r="AN6">
        <v>2</v>
      </c>
      <c r="AO6">
        <v>46226</v>
      </c>
      <c r="AP6">
        <v>0.4</v>
      </c>
      <c r="AQ6">
        <v>46230</v>
      </c>
      <c r="AR6">
        <v>0.43819444444444444</v>
      </c>
      <c r="AS6" t="s">
        <v>201</v>
      </c>
      <c r="AT6" t="s">
        <v>1956</v>
      </c>
      <c r="AU6" t="s">
        <v>1955</v>
      </c>
      <c r="AV6" t="s">
        <v>833</v>
      </c>
      <c r="AX6">
        <v>1</v>
      </c>
      <c r="AY6" t="s">
        <v>89</v>
      </c>
      <c r="AZ6" t="s">
        <v>90</v>
      </c>
      <c r="BA6" t="s">
        <v>217</v>
      </c>
      <c r="BB6" t="s">
        <v>1364</v>
      </c>
      <c r="BC6">
        <v>113</v>
      </c>
      <c r="BD6">
        <v>13</v>
      </c>
      <c r="BE6">
        <v>1</v>
      </c>
    </row>
    <row r="7" spans="1:57" x14ac:dyDescent="0.3">
      <c r="A7" s="204">
        <v>46230</v>
      </c>
      <c r="B7" t="s">
        <v>142</v>
      </c>
      <c r="C7" t="s">
        <v>345</v>
      </c>
      <c r="D7" t="s">
        <v>43</v>
      </c>
      <c r="E7" t="s">
        <v>105</v>
      </c>
      <c r="F7" t="s">
        <v>309</v>
      </c>
      <c r="G7" t="s">
        <v>953</v>
      </c>
      <c r="H7" t="s">
        <v>842</v>
      </c>
      <c r="I7" t="s">
        <v>401</v>
      </c>
      <c r="J7">
        <v>1</v>
      </c>
      <c r="K7">
        <v>1</v>
      </c>
      <c r="L7" t="s">
        <v>954</v>
      </c>
      <c r="M7" s="15">
        <v>46246.307928240742</v>
      </c>
      <c r="N7" s="15">
        <v>46253.333333333336</v>
      </c>
      <c r="O7" s="15">
        <v>46246.375</v>
      </c>
      <c r="P7" s="15">
        <v>46247.461805555555</v>
      </c>
      <c r="Q7" s="15"/>
      <c r="S7" t="s">
        <v>357</v>
      </c>
      <c r="T7" t="s">
        <v>837</v>
      </c>
      <c r="V7" t="s">
        <v>357</v>
      </c>
      <c r="W7">
        <v>101</v>
      </c>
      <c r="X7" t="s">
        <v>369</v>
      </c>
      <c r="Y7" t="s">
        <v>239</v>
      </c>
      <c r="Z7" t="s">
        <v>826</v>
      </c>
      <c r="AB7" t="s">
        <v>348</v>
      </c>
      <c r="AC7" t="s">
        <v>348</v>
      </c>
      <c r="AD7" t="s">
        <v>369</v>
      </c>
      <c r="AE7" t="s">
        <v>239</v>
      </c>
      <c r="AF7" t="s">
        <v>1376</v>
      </c>
      <c r="AG7" t="s">
        <v>249</v>
      </c>
      <c r="AH7">
        <v>1</v>
      </c>
      <c r="AI7" t="s">
        <v>250</v>
      </c>
      <c r="AJ7" t="s">
        <v>248</v>
      </c>
      <c r="AK7" t="s">
        <v>827</v>
      </c>
      <c r="AL7" t="s">
        <v>156</v>
      </c>
      <c r="AM7" t="s">
        <v>838</v>
      </c>
      <c r="AN7">
        <v>2</v>
      </c>
      <c r="AO7">
        <v>46246</v>
      </c>
      <c r="AP7">
        <v>0.375</v>
      </c>
      <c r="AQ7">
        <v>46247</v>
      </c>
      <c r="AR7">
        <v>0.46180555555555558</v>
      </c>
      <c r="AS7" t="s">
        <v>201</v>
      </c>
      <c r="AT7" t="s">
        <v>1954</v>
      </c>
      <c r="AU7" t="s">
        <v>1955</v>
      </c>
      <c r="AV7" t="s">
        <v>839</v>
      </c>
      <c r="AX7">
        <v>1</v>
      </c>
      <c r="AY7" t="s">
        <v>89</v>
      </c>
      <c r="AZ7" t="s">
        <v>67</v>
      </c>
      <c r="BA7" t="s">
        <v>217</v>
      </c>
      <c r="BB7" t="s">
        <v>847</v>
      </c>
      <c r="BC7">
        <v>23</v>
      </c>
      <c r="BD7">
        <v>0</v>
      </c>
      <c r="BE7">
        <v>1</v>
      </c>
    </row>
    <row r="8" spans="1:57" x14ac:dyDescent="0.3">
      <c r="A8" s="204">
        <v>46230</v>
      </c>
      <c r="B8" t="s">
        <v>142</v>
      </c>
      <c r="C8" t="s">
        <v>345</v>
      </c>
      <c r="D8" t="s">
        <v>43</v>
      </c>
      <c r="E8" t="s">
        <v>105</v>
      </c>
      <c r="F8" t="s">
        <v>309</v>
      </c>
      <c r="G8" t="s">
        <v>955</v>
      </c>
      <c r="H8" t="s">
        <v>842</v>
      </c>
      <c r="I8" t="s">
        <v>401</v>
      </c>
      <c r="J8">
        <v>2</v>
      </c>
      <c r="K8">
        <v>2</v>
      </c>
      <c r="L8" t="s">
        <v>956</v>
      </c>
      <c r="M8" s="15">
        <v>46244.651597222219</v>
      </c>
      <c r="N8" s="15">
        <v>46251.651388888888</v>
      </c>
      <c r="O8" s="15">
        <v>46245.385416666664</v>
      </c>
      <c r="P8" s="15">
        <v>46246.481944444444</v>
      </c>
      <c r="Q8" s="15"/>
      <c r="S8" t="s">
        <v>357</v>
      </c>
      <c r="T8" t="s">
        <v>837</v>
      </c>
      <c r="V8" t="s">
        <v>357</v>
      </c>
      <c r="W8">
        <v>101</v>
      </c>
      <c r="X8" t="s">
        <v>369</v>
      </c>
      <c r="Y8" t="s">
        <v>239</v>
      </c>
      <c r="Z8" t="s">
        <v>826</v>
      </c>
      <c r="AB8" t="s">
        <v>348</v>
      </c>
      <c r="AC8" t="s">
        <v>348</v>
      </c>
      <c r="AD8" t="s">
        <v>369</v>
      </c>
      <c r="AE8" t="s">
        <v>239</v>
      </c>
      <c r="AF8" t="s">
        <v>1377</v>
      </c>
      <c r="AG8" t="s">
        <v>249</v>
      </c>
      <c r="AH8">
        <v>1</v>
      </c>
      <c r="AI8" t="s">
        <v>250</v>
      </c>
      <c r="AJ8" t="s">
        <v>248</v>
      </c>
      <c r="AK8" t="s">
        <v>827</v>
      </c>
      <c r="AL8" t="s">
        <v>156</v>
      </c>
      <c r="AM8" t="s">
        <v>838</v>
      </c>
      <c r="AN8">
        <v>2</v>
      </c>
      <c r="AO8">
        <v>46245</v>
      </c>
      <c r="AP8">
        <v>0.38541666666666669</v>
      </c>
      <c r="AQ8">
        <v>46246</v>
      </c>
      <c r="AR8">
        <v>0.48194444444444445</v>
      </c>
      <c r="AS8" t="s">
        <v>201</v>
      </c>
      <c r="AT8" t="s">
        <v>1954</v>
      </c>
      <c r="AU8" t="s">
        <v>1955</v>
      </c>
      <c r="AV8" t="s">
        <v>839</v>
      </c>
      <c r="AX8">
        <v>1</v>
      </c>
      <c r="AY8" t="s">
        <v>89</v>
      </c>
      <c r="AZ8" t="s">
        <v>67</v>
      </c>
      <c r="BA8" t="s">
        <v>217</v>
      </c>
      <c r="BB8" t="s">
        <v>847</v>
      </c>
      <c r="BC8">
        <v>23</v>
      </c>
      <c r="BD8">
        <v>0</v>
      </c>
      <c r="BE8">
        <v>1</v>
      </c>
    </row>
    <row r="9" spans="1:57" x14ac:dyDescent="0.3">
      <c r="A9" s="204">
        <v>46230</v>
      </c>
      <c r="B9" t="s">
        <v>142</v>
      </c>
      <c r="C9" t="s">
        <v>345</v>
      </c>
      <c r="D9" t="s">
        <v>43</v>
      </c>
      <c r="E9" t="s">
        <v>105</v>
      </c>
      <c r="F9" t="s">
        <v>309</v>
      </c>
      <c r="G9" t="s">
        <v>957</v>
      </c>
      <c r="H9" t="s">
        <v>842</v>
      </c>
      <c r="I9" t="s">
        <v>401</v>
      </c>
      <c r="J9">
        <v>2</v>
      </c>
      <c r="K9">
        <v>2</v>
      </c>
      <c r="L9" t="s">
        <v>958</v>
      </c>
      <c r="M9" s="15">
        <v>46241.373356481483</v>
      </c>
      <c r="N9" s="15">
        <v>46248.372916666667</v>
      </c>
      <c r="O9" s="15">
        <v>46241.399305555555</v>
      </c>
      <c r="P9" s="15">
        <v>46244.479166666664</v>
      </c>
      <c r="Q9" s="15"/>
      <c r="S9" t="s">
        <v>357</v>
      </c>
      <c r="T9" t="s">
        <v>837</v>
      </c>
      <c r="V9" t="s">
        <v>357</v>
      </c>
      <c r="W9">
        <v>101</v>
      </c>
      <c r="X9" t="s">
        <v>369</v>
      </c>
      <c r="Y9" t="s">
        <v>239</v>
      </c>
      <c r="Z9" t="s">
        <v>826</v>
      </c>
      <c r="AB9" t="s">
        <v>348</v>
      </c>
      <c r="AC9" t="s">
        <v>348</v>
      </c>
      <c r="AD9" t="s">
        <v>369</v>
      </c>
      <c r="AE9" t="s">
        <v>239</v>
      </c>
      <c r="AF9" t="s">
        <v>1378</v>
      </c>
      <c r="AG9" t="s">
        <v>249</v>
      </c>
      <c r="AH9">
        <v>1</v>
      </c>
      <c r="AI9" t="s">
        <v>250</v>
      </c>
      <c r="AJ9" t="s">
        <v>248</v>
      </c>
      <c r="AK9" t="s">
        <v>827</v>
      </c>
      <c r="AL9" t="s">
        <v>156</v>
      </c>
      <c r="AM9" t="s">
        <v>838</v>
      </c>
      <c r="AN9">
        <v>2</v>
      </c>
      <c r="AO9">
        <v>46241</v>
      </c>
      <c r="AP9">
        <v>0.39930555555555558</v>
      </c>
      <c r="AQ9">
        <v>46244</v>
      </c>
      <c r="AR9">
        <v>0.47916666666666669</v>
      </c>
      <c r="AS9" t="s">
        <v>201</v>
      </c>
      <c r="AT9" t="s">
        <v>1954</v>
      </c>
      <c r="AU9" t="s">
        <v>1955</v>
      </c>
      <c r="AV9" t="s">
        <v>839</v>
      </c>
      <c r="AX9">
        <v>1</v>
      </c>
      <c r="AY9" t="s">
        <v>89</v>
      </c>
      <c r="AZ9" t="s">
        <v>67</v>
      </c>
      <c r="BA9" t="s">
        <v>217</v>
      </c>
      <c r="BB9" t="s">
        <v>847</v>
      </c>
      <c r="BC9">
        <v>23</v>
      </c>
      <c r="BD9">
        <v>0</v>
      </c>
      <c r="BE9">
        <v>1</v>
      </c>
    </row>
    <row r="10" spans="1:57" x14ac:dyDescent="0.3">
      <c r="A10" s="204">
        <v>46237</v>
      </c>
      <c r="B10" t="s">
        <v>142</v>
      </c>
      <c r="C10" t="s">
        <v>345</v>
      </c>
      <c r="D10" t="s">
        <v>43</v>
      </c>
      <c r="E10" t="s">
        <v>105</v>
      </c>
      <c r="F10" t="s">
        <v>309</v>
      </c>
      <c r="G10" t="s">
        <v>959</v>
      </c>
      <c r="H10" t="s">
        <v>842</v>
      </c>
      <c r="I10" t="s">
        <v>401</v>
      </c>
      <c r="J10">
        <v>3</v>
      </c>
      <c r="K10">
        <v>3</v>
      </c>
      <c r="L10" t="s">
        <v>960</v>
      </c>
      <c r="M10" s="15">
        <v>46239.511006944442</v>
      </c>
      <c r="N10" s="15">
        <v>46246.5</v>
      </c>
      <c r="O10" s="15">
        <v>46239.690972222219</v>
      </c>
      <c r="P10" s="15">
        <v>46240.486805555556</v>
      </c>
      <c r="Q10" s="15"/>
      <c r="S10" t="s">
        <v>357</v>
      </c>
      <c r="V10" t="s">
        <v>357</v>
      </c>
      <c r="W10">
        <v>101</v>
      </c>
      <c r="X10" t="s">
        <v>369</v>
      </c>
      <c r="Y10" t="s">
        <v>239</v>
      </c>
      <c r="Z10" t="s">
        <v>826</v>
      </c>
      <c r="AB10" t="s">
        <v>348</v>
      </c>
      <c r="AC10" t="s">
        <v>348</v>
      </c>
      <c r="AD10" t="s">
        <v>369</v>
      </c>
      <c r="AE10" t="s">
        <v>239</v>
      </c>
      <c r="AF10" t="s">
        <v>1379</v>
      </c>
      <c r="AG10" t="s">
        <v>249</v>
      </c>
      <c r="AH10">
        <v>1</v>
      </c>
      <c r="AI10" t="s">
        <v>250</v>
      </c>
      <c r="AJ10" t="s">
        <v>248</v>
      </c>
      <c r="AK10" t="s">
        <v>827</v>
      </c>
      <c r="AL10" t="s">
        <v>156</v>
      </c>
      <c r="AM10" t="s">
        <v>838</v>
      </c>
      <c r="AN10">
        <v>2</v>
      </c>
      <c r="AO10">
        <v>46239</v>
      </c>
      <c r="AP10">
        <v>0.69097222222222221</v>
      </c>
      <c r="AQ10">
        <v>46240</v>
      </c>
      <c r="AR10">
        <v>0.48680555555555555</v>
      </c>
      <c r="AS10" t="s">
        <v>201</v>
      </c>
      <c r="AT10" t="s">
        <v>1954</v>
      </c>
      <c r="AU10" t="s">
        <v>1955</v>
      </c>
      <c r="AV10" t="s">
        <v>839</v>
      </c>
      <c r="AX10">
        <v>1</v>
      </c>
      <c r="AY10" t="s">
        <v>89</v>
      </c>
      <c r="AZ10" t="s">
        <v>67</v>
      </c>
      <c r="BA10" t="s">
        <v>217</v>
      </c>
      <c r="BB10" t="s">
        <v>847</v>
      </c>
      <c r="BC10">
        <v>23</v>
      </c>
      <c r="BD10">
        <v>0</v>
      </c>
      <c r="BE10">
        <v>1</v>
      </c>
    </row>
    <row r="11" spans="1:57" x14ac:dyDescent="0.3">
      <c r="A11" s="204">
        <v>46235</v>
      </c>
      <c r="B11" t="s">
        <v>142</v>
      </c>
      <c r="C11" t="s">
        <v>345</v>
      </c>
      <c r="D11" t="s">
        <v>45</v>
      </c>
      <c r="E11" t="s">
        <v>68</v>
      </c>
      <c r="F11" t="s">
        <v>309</v>
      </c>
      <c r="G11" t="s">
        <v>961</v>
      </c>
      <c r="H11" t="s">
        <v>842</v>
      </c>
      <c r="I11" t="s">
        <v>401</v>
      </c>
      <c r="J11">
        <v>9</v>
      </c>
      <c r="K11">
        <v>9</v>
      </c>
      <c r="L11" t="s">
        <v>962</v>
      </c>
      <c r="M11" s="15">
        <v>46238.581493055557</v>
      </c>
      <c r="N11" s="15">
        <v>46245.581250000003</v>
      </c>
      <c r="O11" s="15">
        <v>46239.600694444445</v>
      </c>
      <c r="P11" s="15">
        <v>46240.479166666664</v>
      </c>
      <c r="Q11" s="15"/>
      <c r="S11" t="s">
        <v>357</v>
      </c>
      <c r="U11" t="s">
        <v>1380</v>
      </c>
      <c r="V11" t="s">
        <v>357</v>
      </c>
      <c r="W11">
        <v>101</v>
      </c>
      <c r="X11" t="s">
        <v>369</v>
      </c>
      <c r="Y11" t="s">
        <v>239</v>
      </c>
      <c r="Z11" t="s">
        <v>826</v>
      </c>
      <c r="AB11" t="s">
        <v>348</v>
      </c>
      <c r="AC11" t="s">
        <v>348</v>
      </c>
      <c r="AD11" t="s">
        <v>369</v>
      </c>
      <c r="AE11" t="s">
        <v>239</v>
      </c>
      <c r="AF11" t="s">
        <v>1381</v>
      </c>
      <c r="AG11" t="s">
        <v>249</v>
      </c>
      <c r="AH11">
        <v>1</v>
      </c>
      <c r="AI11" t="s">
        <v>250</v>
      </c>
      <c r="AJ11" t="s">
        <v>248</v>
      </c>
      <c r="AK11" t="s">
        <v>827</v>
      </c>
      <c r="AL11" t="s">
        <v>156</v>
      </c>
      <c r="AM11" t="s">
        <v>828</v>
      </c>
      <c r="AN11">
        <v>1</v>
      </c>
      <c r="AO11">
        <v>46239</v>
      </c>
      <c r="AP11">
        <v>0.60069444444444442</v>
      </c>
      <c r="AQ11">
        <v>46240</v>
      </c>
      <c r="AR11">
        <v>0.47916666666666669</v>
      </c>
      <c r="AS11" t="s">
        <v>201</v>
      </c>
      <c r="AT11" t="s">
        <v>1954</v>
      </c>
      <c r="AU11" t="s">
        <v>1955</v>
      </c>
      <c r="AV11" t="s">
        <v>829</v>
      </c>
      <c r="AX11">
        <v>1</v>
      </c>
      <c r="AY11" t="s">
        <v>89</v>
      </c>
      <c r="AZ11" t="s">
        <v>67</v>
      </c>
      <c r="BA11" t="s">
        <v>217</v>
      </c>
      <c r="BB11" t="s">
        <v>847</v>
      </c>
      <c r="BC11">
        <v>23</v>
      </c>
    </row>
    <row r="12" spans="1:57" x14ac:dyDescent="0.3">
      <c r="A12" s="204">
        <v>46235</v>
      </c>
      <c r="B12" t="s">
        <v>142</v>
      </c>
      <c r="C12" t="s">
        <v>345</v>
      </c>
      <c r="D12" t="s">
        <v>43</v>
      </c>
      <c r="E12" t="s">
        <v>105</v>
      </c>
      <c r="F12" t="s">
        <v>309</v>
      </c>
      <c r="G12" t="s">
        <v>963</v>
      </c>
      <c r="H12" t="s">
        <v>842</v>
      </c>
      <c r="I12" t="s">
        <v>401</v>
      </c>
      <c r="J12">
        <v>3</v>
      </c>
      <c r="K12">
        <v>3</v>
      </c>
      <c r="L12" t="s">
        <v>964</v>
      </c>
      <c r="M12" s="15">
        <v>46232.641296296293</v>
      </c>
      <c r="N12" s="15">
        <v>46239.640972222223</v>
      </c>
      <c r="O12" s="15">
        <v>46232.691562499997</v>
      </c>
      <c r="P12" s="15">
        <v>46233.513888888891</v>
      </c>
      <c r="Q12" s="15"/>
      <c r="S12" t="s">
        <v>357</v>
      </c>
      <c r="V12" t="s">
        <v>357</v>
      </c>
      <c r="W12">
        <v>101</v>
      </c>
      <c r="X12" t="s">
        <v>369</v>
      </c>
      <c r="Y12" t="s">
        <v>239</v>
      </c>
      <c r="Z12" t="s">
        <v>826</v>
      </c>
      <c r="AB12" t="s">
        <v>348</v>
      </c>
      <c r="AC12" t="s">
        <v>348</v>
      </c>
      <c r="AD12" t="s">
        <v>369</v>
      </c>
      <c r="AE12" t="s">
        <v>239</v>
      </c>
      <c r="AF12" t="s">
        <v>1382</v>
      </c>
      <c r="AG12" t="s">
        <v>249</v>
      </c>
      <c r="AH12">
        <v>1</v>
      </c>
      <c r="AI12" t="s">
        <v>250</v>
      </c>
      <c r="AJ12" t="s">
        <v>248</v>
      </c>
      <c r="AK12" t="s">
        <v>827</v>
      </c>
      <c r="AL12" t="s">
        <v>156</v>
      </c>
      <c r="AM12" t="s">
        <v>838</v>
      </c>
      <c r="AN12">
        <v>2</v>
      </c>
      <c r="AO12">
        <v>46232</v>
      </c>
      <c r="AP12">
        <v>0.69156249999999997</v>
      </c>
      <c r="AQ12">
        <v>46233</v>
      </c>
      <c r="AR12">
        <v>0.51388888888888884</v>
      </c>
      <c r="AS12" t="s">
        <v>201</v>
      </c>
      <c r="AT12" t="s">
        <v>1954</v>
      </c>
      <c r="AU12" t="s">
        <v>1955</v>
      </c>
      <c r="AV12" t="s">
        <v>839</v>
      </c>
      <c r="AX12">
        <v>1</v>
      </c>
      <c r="AY12" t="s">
        <v>89</v>
      </c>
      <c r="AZ12" t="s">
        <v>67</v>
      </c>
      <c r="BA12" t="s">
        <v>217</v>
      </c>
      <c r="BB12" t="s">
        <v>847</v>
      </c>
      <c r="BC12">
        <v>23</v>
      </c>
      <c r="BD12">
        <v>0</v>
      </c>
      <c r="BE12">
        <v>1</v>
      </c>
    </row>
    <row r="13" spans="1:57" x14ac:dyDescent="0.3">
      <c r="A13" s="204">
        <v>46230</v>
      </c>
      <c r="B13" t="s">
        <v>142</v>
      </c>
      <c r="C13" t="s">
        <v>345</v>
      </c>
      <c r="D13" t="s">
        <v>43</v>
      </c>
      <c r="E13" t="s">
        <v>105</v>
      </c>
      <c r="F13" t="s">
        <v>309</v>
      </c>
      <c r="G13" t="s">
        <v>965</v>
      </c>
      <c r="H13" t="s">
        <v>842</v>
      </c>
      <c r="I13" t="s">
        <v>401</v>
      </c>
      <c r="J13">
        <v>3</v>
      </c>
      <c r="K13">
        <v>3</v>
      </c>
      <c r="L13" t="s">
        <v>966</v>
      </c>
      <c r="M13" s="15">
        <v>46220.487835648149</v>
      </c>
      <c r="N13" s="15">
        <v>46227.487500000003</v>
      </c>
      <c r="O13" s="15">
        <v>46220.6875</v>
      </c>
      <c r="P13" s="15">
        <v>46224.423611111109</v>
      </c>
      <c r="Q13" s="15"/>
      <c r="S13" t="s">
        <v>357</v>
      </c>
      <c r="T13" t="s">
        <v>837</v>
      </c>
      <c r="V13" t="s">
        <v>357</v>
      </c>
      <c r="W13">
        <v>101</v>
      </c>
      <c r="X13" t="s">
        <v>369</v>
      </c>
      <c r="Y13" t="s">
        <v>239</v>
      </c>
      <c r="Z13" t="s">
        <v>826</v>
      </c>
      <c r="AB13" t="s">
        <v>348</v>
      </c>
      <c r="AC13" t="s">
        <v>348</v>
      </c>
      <c r="AD13" t="s">
        <v>369</v>
      </c>
      <c r="AE13" t="s">
        <v>239</v>
      </c>
      <c r="AF13" t="s">
        <v>1383</v>
      </c>
      <c r="AG13" t="s">
        <v>249</v>
      </c>
      <c r="AH13">
        <v>1</v>
      </c>
      <c r="AI13" t="s">
        <v>250</v>
      </c>
      <c r="AJ13" t="s">
        <v>248</v>
      </c>
      <c r="AK13" t="s">
        <v>827</v>
      </c>
      <c r="AL13" t="s">
        <v>156</v>
      </c>
      <c r="AM13" t="s">
        <v>838</v>
      </c>
      <c r="AN13">
        <v>2</v>
      </c>
      <c r="AO13">
        <v>46220</v>
      </c>
      <c r="AP13">
        <v>0.6875</v>
      </c>
      <c r="AQ13">
        <v>46224</v>
      </c>
      <c r="AR13">
        <v>0.4236111111111111</v>
      </c>
      <c r="AS13" t="s">
        <v>201</v>
      </c>
      <c r="AT13" t="s">
        <v>1954</v>
      </c>
      <c r="AU13" t="s">
        <v>1955</v>
      </c>
      <c r="AV13" t="s">
        <v>839</v>
      </c>
      <c r="AX13">
        <v>1</v>
      </c>
      <c r="AY13" t="s">
        <v>89</v>
      </c>
      <c r="AZ13" t="s">
        <v>67</v>
      </c>
      <c r="BA13" t="s">
        <v>217</v>
      </c>
      <c r="BB13" t="s">
        <v>847</v>
      </c>
      <c r="BC13">
        <v>23</v>
      </c>
      <c r="BD13">
        <v>0</v>
      </c>
      <c r="BE13">
        <v>1</v>
      </c>
    </row>
    <row r="14" spans="1:57" x14ac:dyDescent="0.3">
      <c r="A14" s="204">
        <v>46230</v>
      </c>
      <c r="B14" t="s">
        <v>142</v>
      </c>
      <c r="C14" t="s">
        <v>345</v>
      </c>
      <c r="D14" t="s">
        <v>47</v>
      </c>
      <c r="E14" t="s">
        <v>68</v>
      </c>
      <c r="F14" t="s">
        <v>309</v>
      </c>
      <c r="G14" t="s">
        <v>967</v>
      </c>
      <c r="H14" t="s">
        <v>842</v>
      </c>
      <c r="I14" t="s">
        <v>401</v>
      </c>
      <c r="J14">
        <v>1</v>
      </c>
      <c r="K14">
        <v>1</v>
      </c>
      <c r="L14" t="s">
        <v>968</v>
      </c>
      <c r="M14" s="15">
        <v>46239.471967592595</v>
      </c>
      <c r="N14" s="15">
        <v>46246.47152777778</v>
      </c>
      <c r="O14" s="15">
        <v>46239.673611111109</v>
      </c>
      <c r="P14" s="15">
        <v>46240.488194444442</v>
      </c>
      <c r="Q14" s="15"/>
      <c r="S14" t="s">
        <v>357</v>
      </c>
      <c r="T14" t="s">
        <v>837</v>
      </c>
      <c r="V14" t="s">
        <v>357</v>
      </c>
      <c r="W14">
        <v>101</v>
      </c>
      <c r="X14" t="s">
        <v>369</v>
      </c>
      <c r="Y14" t="s">
        <v>239</v>
      </c>
      <c r="Z14" t="s">
        <v>826</v>
      </c>
      <c r="AB14" t="s">
        <v>348</v>
      </c>
      <c r="AC14" t="s">
        <v>348</v>
      </c>
      <c r="AD14" t="s">
        <v>369</v>
      </c>
      <c r="AE14" t="s">
        <v>239</v>
      </c>
      <c r="AF14" t="s">
        <v>1384</v>
      </c>
      <c r="AG14" t="s">
        <v>249</v>
      </c>
      <c r="AH14">
        <v>1</v>
      </c>
      <c r="AI14" t="s">
        <v>250</v>
      </c>
      <c r="AJ14" t="s">
        <v>248</v>
      </c>
      <c r="AK14" t="s">
        <v>827</v>
      </c>
      <c r="AL14" t="s">
        <v>156</v>
      </c>
      <c r="AM14" t="s">
        <v>878</v>
      </c>
      <c r="AN14">
        <v>0.5</v>
      </c>
      <c r="AO14">
        <v>46239</v>
      </c>
      <c r="AP14">
        <v>0.67361111111111116</v>
      </c>
      <c r="AQ14">
        <v>46240</v>
      </c>
      <c r="AR14">
        <v>0.48819444444444443</v>
      </c>
      <c r="AS14" t="s">
        <v>146</v>
      </c>
      <c r="AT14" t="s">
        <v>1954</v>
      </c>
      <c r="AU14" t="s">
        <v>1955</v>
      </c>
      <c r="AV14" t="s">
        <v>879</v>
      </c>
      <c r="AX14">
        <v>1</v>
      </c>
      <c r="AY14" t="s">
        <v>93</v>
      </c>
      <c r="AZ14" t="s">
        <v>90</v>
      </c>
      <c r="BA14" t="s">
        <v>218</v>
      </c>
      <c r="BB14" t="s">
        <v>847</v>
      </c>
      <c r="BC14">
        <v>23</v>
      </c>
      <c r="BD14">
        <v>0</v>
      </c>
      <c r="BE14">
        <v>1</v>
      </c>
    </row>
    <row r="15" spans="1:57" x14ac:dyDescent="0.3">
      <c r="A15" s="204">
        <v>46235</v>
      </c>
      <c r="B15" t="s">
        <v>142</v>
      </c>
      <c r="C15" t="s">
        <v>345</v>
      </c>
      <c r="D15" t="s">
        <v>47</v>
      </c>
      <c r="E15" t="s">
        <v>68</v>
      </c>
      <c r="F15" t="s">
        <v>309</v>
      </c>
      <c r="G15" t="s">
        <v>969</v>
      </c>
      <c r="H15" t="s">
        <v>842</v>
      </c>
      <c r="I15" t="s">
        <v>401</v>
      </c>
      <c r="J15">
        <v>1</v>
      </c>
      <c r="K15">
        <v>1</v>
      </c>
      <c r="L15" t="s">
        <v>970</v>
      </c>
      <c r="M15" s="15">
        <v>46239.466099537036</v>
      </c>
      <c r="N15" s="15">
        <v>46246.46597222222</v>
      </c>
      <c r="O15" s="15">
        <v>46239.635162037041</v>
      </c>
      <c r="P15" s="15">
        <v>46240.467361111114</v>
      </c>
      <c r="Q15" s="15"/>
      <c r="S15" t="s">
        <v>357</v>
      </c>
      <c r="V15" t="s">
        <v>357</v>
      </c>
      <c r="W15">
        <v>101</v>
      </c>
      <c r="X15" t="s">
        <v>369</v>
      </c>
      <c r="Y15" t="s">
        <v>239</v>
      </c>
      <c r="Z15" t="s">
        <v>826</v>
      </c>
      <c r="AB15" t="s">
        <v>348</v>
      </c>
      <c r="AC15" t="s">
        <v>348</v>
      </c>
      <c r="AD15" t="s">
        <v>369</v>
      </c>
      <c r="AE15" t="s">
        <v>239</v>
      </c>
      <c r="AF15" t="s">
        <v>1385</v>
      </c>
      <c r="AG15" t="s">
        <v>249</v>
      </c>
      <c r="AH15">
        <v>1</v>
      </c>
      <c r="AI15" t="s">
        <v>250</v>
      </c>
      <c r="AJ15" t="s">
        <v>248</v>
      </c>
      <c r="AK15" t="s">
        <v>827</v>
      </c>
      <c r="AL15" t="s">
        <v>156</v>
      </c>
      <c r="AM15" t="s">
        <v>878</v>
      </c>
      <c r="AN15">
        <v>0.5</v>
      </c>
      <c r="AO15">
        <v>46239</v>
      </c>
      <c r="AP15">
        <v>0.635162037037037</v>
      </c>
      <c r="AQ15">
        <v>46240</v>
      </c>
      <c r="AR15">
        <v>0.46736111111111112</v>
      </c>
      <c r="AS15" t="s">
        <v>146</v>
      </c>
      <c r="AT15" t="s">
        <v>1954</v>
      </c>
      <c r="AU15" t="s">
        <v>1955</v>
      </c>
      <c r="AV15" t="s">
        <v>879</v>
      </c>
      <c r="AX15">
        <v>1</v>
      </c>
      <c r="AY15" t="s">
        <v>93</v>
      </c>
      <c r="AZ15" t="s">
        <v>90</v>
      </c>
      <c r="BA15" t="s">
        <v>218</v>
      </c>
      <c r="BB15" t="s">
        <v>847</v>
      </c>
      <c r="BC15">
        <v>23</v>
      </c>
    </row>
    <row r="16" spans="1:57" x14ac:dyDescent="0.3">
      <c r="A16" s="204">
        <v>46230</v>
      </c>
      <c r="B16" t="s">
        <v>142</v>
      </c>
      <c r="C16" t="s">
        <v>345</v>
      </c>
      <c r="D16" t="s">
        <v>47</v>
      </c>
      <c r="E16" t="s">
        <v>68</v>
      </c>
      <c r="F16" t="s">
        <v>309</v>
      </c>
      <c r="G16" t="s">
        <v>971</v>
      </c>
      <c r="H16" t="s">
        <v>842</v>
      </c>
      <c r="I16" t="s">
        <v>401</v>
      </c>
      <c r="J16">
        <v>2</v>
      </c>
      <c r="K16">
        <v>2</v>
      </c>
      <c r="L16" t="s">
        <v>972</v>
      </c>
      <c r="M16" s="15">
        <v>46233.500243055554</v>
      </c>
      <c r="N16" s="15">
        <v>46240.5</v>
      </c>
      <c r="O16" s="15">
        <v>46233.712500000001</v>
      </c>
      <c r="P16" s="15">
        <v>46234.449305555558</v>
      </c>
      <c r="Q16" s="15"/>
      <c r="S16" t="s">
        <v>357</v>
      </c>
      <c r="T16" t="s">
        <v>837</v>
      </c>
      <c r="V16" t="s">
        <v>357</v>
      </c>
      <c r="W16">
        <v>101</v>
      </c>
      <c r="X16" t="s">
        <v>369</v>
      </c>
      <c r="Y16" t="s">
        <v>239</v>
      </c>
      <c r="Z16" t="s">
        <v>826</v>
      </c>
      <c r="AB16" t="s">
        <v>348</v>
      </c>
      <c r="AC16" t="s">
        <v>348</v>
      </c>
      <c r="AD16" t="s">
        <v>369</v>
      </c>
      <c r="AE16" t="s">
        <v>239</v>
      </c>
      <c r="AF16" t="s">
        <v>1386</v>
      </c>
      <c r="AG16" t="s">
        <v>249</v>
      </c>
      <c r="AH16">
        <v>1</v>
      </c>
      <c r="AI16" t="s">
        <v>250</v>
      </c>
      <c r="AJ16" t="s">
        <v>248</v>
      </c>
      <c r="AK16" t="s">
        <v>827</v>
      </c>
      <c r="AL16" t="s">
        <v>156</v>
      </c>
      <c r="AM16" t="s">
        <v>878</v>
      </c>
      <c r="AN16">
        <v>0.5</v>
      </c>
      <c r="AO16">
        <v>46233</v>
      </c>
      <c r="AP16">
        <v>0.71250000000000002</v>
      </c>
      <c r="AQ16">
        <v>46234</v>
      </c>
      <c r="AR16">
        <v>0.44930555555555557</v>
      </c>
      <c r="AS16" t="s">
        <v>146</v>
      </c>
      <c r="AT16" t="s">
        <v>1954</v>
      </c>
      <c r="AU16" t="s">
        <v>1955</v>
      </c>
      <c r="AV16" t="s">
        <v>879</v>
      </c>
      <c r="AX16">
        <v>1</v>
      </c>
      <c r="AY16" t="s">
        <v>93</v>
      </c>
      <c r="AZ16" t="s">
        <v>90</v>
      </c>
      <c r="BA16" t="s">
        <v>218</v>
      </c>
      <c r="BB16" t="s">
        <v>847</v>
      </c>
      <c r="BC16">
        <v>23</v>
      </c>
      <c r="BD16">
        <v>0</v>
      </c>
      <c r="BE16">
        <v>1</v>
      </c>
    </row>
    <row r="17" spans="1:57" x14ac:dyDescent="0.3">
      <c r="A17" s="204">
        <v>46237</v>
      </c>
      <c r="B17" t="s">
        <v>142</v>
      </c>
      <c r="C17" t="s">
        <v>345</v>
      </c>
      <c r="D17" t="s">
        <v>47</v>
      </c>
      <c r="E17" t="s">
        <v>68</v>
      </c>
      <c r="F17" t="s">
        <v>309</v>
      </c>
      <c r="G17" t="s">
        <v>973</v>
      </c>
      <c r="H17" t="s">
        <v>842</v>
      </c>
      <c r="I17" t="s">
        <v>401</v>
      </c>
      <c r="J17">
        <v>1</v>
      </c>
      <c r="K17">
        <v>1</v>
      </c>
      <c r="L17" t="s">
        <v>974</v>
      </c>
      <c r="M17" s="15">
        <v>46240.53496527778</v>
      </c>
      <c r="N17" s="15">
        <v>46247.5</v>
      </c>
      <c r="O17" s="15">
        <v>46240.617361111108</v>
      </c>
      <c r="P17" s="15">
        <v>46241.430555555555</v>
      </c>
      <c r="Q17" s="15"/>
      <c r="S17" t="s">
        <v>357</v>
      </c>
      <c r="V17" t="s">
        <v>357</v>
      </c>
      <c r="W17">
        <v>101</v>
      </c>
      <c r="X17" t="s">
        <v>369</v>
      </c>
      <c r="Y17" t="s">
        <v>239</v>
      </c>
      <c r="Z17" t="s">
        <v>826</v>
      </c>
      <c r="AB17" t="s">
        <v>348</v>
      </c>
      <c r="AC17" t="s">
        <v>348</v>
      </c>
      <c r="AD17" t="s">
        <v>369</v>
      </c>
      <c r="AE17" t="s">
        <v>239</v>
      </c>
      <c r="AF17" t="s">
        <v>1387</v>
      </c>
      <c r="AG17" t="s">
        <v>249</v>
      </c>
      <c r="AH17">
        <v>1</v>
      </c>
      <c r="AI17" t="s">
        <v>250</v>
      </c>
      <c r="AJ17" t="s">
        <v>248</v>
      </c>
      <c r="AK17" t="s">
        <v>827</v>
      </c>
      <c r="AL17" t="s">
        <v>156</v>
      </c>
      <c r="AM17" t="s">
        <v>878</v>
      </c>
      <c r="AN17">
        <v>0.5</v>
      </c>
      <c r="AO17">
        <v>46240</v>
      </c>
      <c r="AP17">
        <v>0.61736111111111114</v>
      </c>
      <c r="AQ17">
        <v>46241</v>
      </c>
      <c r="AR17">
        <v>0.43055555555555558</v>
      </c>
      <c r="AS17" t="s">
        <v>146</v>
      </c>
      <c r="AT17" t="s">
        <v>1954</v>
      </c>
      <c r="AU17" t="s">
        <v>1955</v>
      </c>
      <c r="AV17" t="s">
        <v>879</v>
      </c>
      <c r="AX17">
        <v>1</v>
      </c>
      <c r="AY17" t="s">
        <v>93</v>
      </c>
      <c r="AZ17" t="s">
        <v>90</v>
      </c>
      <c r="BA17" t="s">
        <v>218</v>
      </c>
      <c r="BB17" t="s">
        <v>847</v>
      </c>
      <c r="BC17">
        <v>23</v>
      </c>
      <c r="BD17">
        <v>0</v>
      </c>
      <c r="BE17">
        <v>1</v>
      </c>
    </row>
    <row r="18" spans="1:57" x14ac:dyDescent="0.3">
      <c r="A18" s="204">
        <v>46230</v>
      </c>
      <c r="B18" t="s">
        <v>142</v>
      </c>
      <c r="C18" t="s">
        <v>345</v>
      </c>
      <c r="D18" t="s">
        <v>48</v>
      </c>
      <c r="E18" t="s">
        <v>68</v>
      </c>
      <c r="F18" t="s">
        <v>309</v>
      </c>
      <c r="G18" t="s">
        <v>975</v>
      </c>
      <c r="H18" t="s">
        <v>842</v>
      </c>
      <c r="I18" t="s">
        <v>401</v>
      </c>
      <c r="J18">
        <v>1</v>
      </c>
      <c r="K18">
        <v>1</v>
      </c>
      <c r="L18" t="s">
        <v>976</v>
      </c>
      <c r="M18" s="15">
        <v>46246.518310185187</v>
      </c>
      <c r="N18" s="15">
        <v>46253.5</v>
      </c>
      <c r="O18" s="15">
        <v>46252.508333333331</v>
      </c>
      <c r="P18" s="15">
        <v>46254.573611111111</v>
      </c>
      <c r="Q18" s="15"/>
      <c r="S18" t="s">
        <v>357</v>
      </c>
      <c r="T18" t="s">
        <v>1388</v>
      </c>
      <c r="V18" t="s">
        <v>357</v>
      </c>
      <c r="W18">
        <v>101</v>
      </c>
      <c r="X18" t="s">
        <v>369</v>
      </c>
      <c r="Y18" t="s">
        <v>239</v>
      </c>
      <c r="Z18" t="s">
        <v>826</v>
      </c>
      <c r="AB18" t="s">
        <v>348</v>
      </c>
      <c r="AC18" t="s">
        <v>348</v>
      </c>
      <c r="AD18" t="s">
        <v>369</v>
      </c>
      <c r="AE18" t="s">
        <v>239</v>
      </c>
      <c r="AF18" t="s">
        <v>1389</v>
      </c>
      <c r="AG18" t="s">
        <v>249</v>
      </c>
      <c r="AH18">
        <v>1</v>
      </c>
      <c r="AI18" t="s">
        <v>250</v>
      </c>
      <c r="AJ18" t="s">
        <v>248</v>
      </c>
      <c r="AK18" t="s">
        <v>827</v>
      </c>
      <c r="AL18" t="s">
        <v>156</v>
      </c>
      <c r="AM18" t="s">
        <v>832</v>
      </c>
      <c r="AN18">
        <v>1</v>
      </c>
      <c r="AO18">
        <v>46252</v>
      </c>
      <c r="AP18">
        <v>0.5083333333333333</v>
      </c>
      <c r="AQ18">
        <v>46254</v>
      </c>
      <c r="AR18">
        <v>0.57361111111111107</v>
      </c>
      <c r="AS18" t="s">
        <v>201</v>
      </c>
      <c r="AT18" t="s">
        <v>1956</v>
      </c>
      <c r="AU18" t="s">
        <v>1955</v>
      </c>
      <c r="AV18" t="s">
        <v>833</v>
      </c>
      <c r="AX18">
        <v>1</v>
      </c>
      <c r="AY18" t="s">
        <v>89</v>
      </c>
      <c r="AZ18" t="s">
        <v>90</v>
      </c>
      <c r="BA18" t="s">
        <v>217</v>
      </c>
      <c r="BB18" t="s">
        <v>847</v>
      </c>
      <c r="BC18">
        <v>23</v>
      </c>
      <c r="BD18">
        <v>0</v>
      </c>
      <c r="BE18">
        <v>1</v>
      </c>
    </row>
    <row r="19" spans="1:57" x14ac:dyDescent="0.3">
      <c r="A19" s="204">
        <v>46237</v>
      </c>
      <c r="B19" t="s">
        <v>142</v>
      </c>
      <c r="C19" t="s">
        <v>345</v>
      </c>
      <c r="D19" t="s">
        <v>48</v>
      </c>
      <c r="E19" t="s">
        <v>68</v>
      </c>
      <c r="F19" t="s">
        <v>309</v>
      </c>
      <c r="G19" t="s">
        <v>977</v>
      </c>
      <c r="H19" t="s">
        <v>842</v>
      </c>
      <c r="I19" t="s">
        <v>401</v>
      </c>
      <c r="J19">
        <v>1</v>
      </c>
      <c r="K19">
        <v>1</v>
      </c>
      <c r="L19" t="s">
        <v>744</v>
      </c>
      <c r="M19" s="15">
        <v>46251.526550925926</v>
      </c>
      <c r="N19" s="15">
        <v>46258.5</v>
      </c>
      <c r="O19" s="15">
        <v>46252.671527777777</v>
      </c>
      <c r="P19" s="15">
        <v>46254.573611111111</v>
      </c>
      <c r="Q19" s="15"/>
      <c r="S19" t="s">
        <v>357</v>
      </c>
      <c r="U19" t="s">
        <v>848</v>
      </c>
      <c r="V19" t="s">
        <v>357</v>
      </c>
      <c r="W19">
        <v>101</v>
      </c>
      <c r="X19" t="s">
        <v>369</v>
      </c>
      <c r="Y19" t="s">
        <v>239</v>
      </c>
      <c r="Z19" t="s">
        <v>826</v>
      </c>
      <c r="AB19" t="s">
        <v>348</v>
      </c>
      <c r="AC19" t="s">
        <v>348</v>
      </c>
      <c r="AD19" t="s">
        <v>369</v>
      </c>
      <c r="AE19" t="s">
        <v>239</v>
      </c>
      <c r="AF19" t="s">
        <v>1390</v>
      </c>
      <c r="AG19" t="s">
        <v>249</v>
      </c>
      <c r="AH19">
        <v>1</v>
      </c>
      <c r="AI19" t="s">
        <v>250</v>
      </c>
      <c r="AJ19" t="s">
        <v>248</v>
      </c>
      <c r="AK19" t="s">
        <v>827</v>
      </c>
      <c r="AL19" t="s">
        <v>156</v>
      </c>
      <c r="AM19" t="s">
        <v>832</v>
      </c>
      <c r="AN19">
        <v>1</v>
      </c>
      <c r="AO19">
        <v>46252</v>
      </c>
      <c r="AP19">
        <v>0.67152777777777772</v>
      </c>
      <c r="AQ19">
        <v>46254</v>
      </c>
      <c r="AR19">
        <v>0.57361111111111107</v>
      </c>
      <c r="AS19" t="s">
        <v>201</v>
      </c>
      <c r="AT19" t="s">
        <v>1956</v>
      </c>
      <c r="AU19" t="s">
        <v>1955</v>
      </c>
      <c r="AV19" t="s">
        <v>833</v>
      </c>
      <c r="AX19">
        <v>1</v>
      </c>
      <c r="AY19" t="s">
        <v>89</v>
      </c>
      <c r="AZ19" t="s">
        <v>90</v>
      </c>
      <c r="BA19" t="s">
        <v>217</v>
      </c>
      <c r="BB19" t="s">
        <v>847</v>
      </c>
      <c r="BC19">
        <v>23</v>
      </c>
    </row>
    <row r="20" spans="1:57" x14ac:dyDescent="0.3">
      <c r="A20" s="204">
        <v>46237</v>
      </c>
      <c r="B20" t="s">
        <v>142</v>
      </c>
      <c r="C20" t="s">
        <v>345</v>
      </c>
      <c r="D20" t="s">
        <v>48</v>
      </c>
      <c r="E20" t="s">
        <v>68</v>
      </c>
      <c r="F20" t="s">
        <v>309</v>
      </c>
      <c r="G20" t="s">
        <v>977</v>
      </c>
      <c r="H20" t="s">
        <v>842</v>
      </c>
      <c r="I20" t="s">
        <v>401</v>
      </c>
      <c r="J20">
        <v>2</v>
      </c>
      <c r="K20">
        <v>2</v>
      </c>
      <c r="L20" t="s">
        <v>978</v>
      </c>
      <c r="M20" s="15">
        <v>46251.620995370373</v>
      </c>
      <c r="N20" s="15">
        <v>46258.620833333334</v>
      </c>
      <c r="O20" s="15">
        <v>46252.650694444441</v>
      </c>
      <c r="P20" s="15">
        <v>46254.573611111111</v>
      </c>
      <c r="Q20" s="15"/>
      <c r="S20" t="s">
        <v>357</v>
      </c>
      <c r="V20" t="s">
        <v>357</v>
      </c>
      <c r="W20">
        <v>101</v>
      </c>
      <c r="X20" t="s">
        <v>369</v>
      </c>
      <c r="Y20" t="s">
        <v>239</v>
      </c>
      <c r="Z20" t="s">
        <v>826</v>
      </c>
      <c r="AB20" t="s">
        <v>348</v>
      </c>
      <c r="AC20" t="s">
        <v>348</v>
      </c>
      <c r="AD20" t="s">
        <v>369</v>
      </c>
      <c r="AE20" t="s">
        <v>239</v>
      </c>
      <c r="AF20" t="s">
        <v>1391</v>
      </c>
      <c r="AG20" t="s">
        <v>249</v>
      </c>
      <c r="AH20">
        <v>1</v>
      </c>
      <c r="AI20" t="s">
        <v>250</v>
      </c>
      <c r="AJ20" t="s">
        <v>248</v>
      </c>
      <c r="AK20" t="s">
        <v>827</v>
      </c>
      <c r="AL20" t="s">
        <v>156</v>
      </c>
      <c r="AM20" t="s">
        <v>832</v>
      </c>
      <c r="AN20">
        <v>1</v>
      </c>
      <c r="AO20">
        <v>46252</v>
      </c>
      <c r="AP20">
        <v>0.65069444444444446</v>
      </c>
      <c r="AQ20">
        <v>46254</v>
      </c>
      <c r="AR20">
        <v>0.57361111111111107</v>
      </c>
      <c r="AS20" t="s">
        <v>201</v>
      </c>
      <c r="AT20" t="s">
        <v>1956</v>
      </c>
      <c r="AU20" t="s">
        <v>1955</v>
      </c>
      <c r="AV20" t="s">
        <v>833</v>
      </c>
      <c r="AX20">
        <v>1</v>
      </c>
      <c r="AY20" t="s">
        <v>89</v>
      </c>
      <c r="AZ20" t="s">
        <v>90</v>
      </c>
      <c r="BA20" t="s">
        <v>217</v>
      </c>
      <c r="BB20" t="s">
        <v>847</v>
      </c>
      <c r="BC20">
        <v>23</v>
      </c>
    </row>
    <row r="21" spans="1:57" x14ac:dyDescent="0.3">
      <c r="A21" s="204">
        <v>46230</v>
      </c>
      <c r="B21" t="s">
        <v>142</v>
      </c>
      <c r="C21" t="s">
        <v>345</v>
      </c>
      <c r="D21" t="s">
        <v>48</v>
      </c>
      <c r="E21" t="s">
        <v>68</v>
      </c>
      <c r="F21" t="s">
        <v>309</v>
      </c>
      <c r="G21" t="s">
        <v>979</v>
      </c>
      <c r="H21" t="s">
        <v>842</v>
      </c>
      <c r="I21" t="s">
        <v>401</v>
      </c>
      <c r="J21">
        <v>1</v>
      </c>
      <c r="K21">
        <v>1</v>
      </c>
      <c r="L21" t="s">
        <v>980</v>
      </c>
      <c r="M21" s="15">
        <v>46254.383645833332</v>
      </c>
      <c r="N21" s="15">
        <v>46261.383333333331</v>
      </c>
      <c r="O21" s="15">
        <v>46255.375694444447</v>
      </c>
      <c r="P21" s="15">
        <v>46258.484027777777</v>
      </c>
      <c r="Q21" s="15"/>
      <c r="S21" t="s">
        <v>357</v>
      </c>
      <c r="T21" t="s">
        <v>837</v>
      </c>
      <c r="V21" t="s">
        <v>357</v>
      </c>
      <c r="W21">
        <v>101</v>
      </c>
      <c r="X21" t="s">
        <v>369</v>
      </c>
      <c r="Y21" t="s">
        <v>239</v>
      </c>
      <c r="Z21" t="s">
        <v>826</v>
      </c>
      <c r="AB21" t="s">
        <v>348</v>
      </c>
      <c r="AC21" t="s">
        <v>348</v>
      </c>
      <c r="AD21" t="s">
        <v>369</v>
      </c>
      <c r="AE21" t="s">
        <v>239</v>
      </c>
      <c r="AF21" t="s">
        <v>1392</v>
      </c>
      <c r="AG21" t="s">
        <v>249</v>
      </c>
      <c r="AH21">
        <v>1</v>
      </c>
      <c r="AI21" t="s">
        <v>250</v>
      </c>
      <c r="AJ21" t="s">
        <v>248</v>
      </c>
      <c r="AK21" t="s">
        <v>827</v>
      </c>
      <c r="AL21" t="s">
        <v>156</v>
      </c>
      <c r="AM21" t="s">
        <v>832</v>
      </c>
      <c r="AN21">
        <v>1</v>
      </c>
      <c r="AO21">
        <v>46255</v>
      </c>
      <c r="AP21">
        <v>0.37569444444444444</v>
      </c>
      <c r="AQ21">
        <v>46258</v>
      </c>
      <c r="AR21">
        <v>0.48402777777777778</v>
      </c>
      <c r="AS21" t="s">
        <v>201</v>
      </c>
      <c r="AT21" t="s">
        <v>1956</v>
      </c>
      <c r="AU21" t="s">
        <v>1955</v>
      </c>
      <c r="AV21" t="s">
        <v>833</v>
      </c>
      <c r="AX21">
        <v>1</v>
      </c>
      <c r="AY21" t="s">
        <v>89</v>
      </c>
      <c r="AZ21" t="s">
        <v>90</v>
      </c>
      <c r="BA21" t="s">
        <v>217</v>
      </c>
      <c r="BB21" t="s">
        <v>847</v>
      </c>
      <c r="BC21">
        <v>23</v>
      </c>
      <c r="BD21">
        <v>0</v>
      </c>
      <c r="BE21">
        <v>1</v>
      </c>
    </row>
    <row r="22" spans="1:57" x14ac:dyDescent="0.3">
      <c r="A22" s="204">
        <v>46237</v>
      </c>
      <c r="B22" t="s">
        <v>142</v>
      </c>
      <c r="C22" t="s">
        <v>345</v>
      </c>
      <c r="D22" t="s">
        <v>48</v>
      </c>
      <c r="E22" t="s">
        <v>68</v>
      </c>
      <c r="F22" t="s">
        <v>309</v>
      </c>
      <c r="G22" t="s">
        <v>981</v>
      </c>
      <c r="H22" t="s">
        <v>842</v>
      </c>
      <c r="I22" t="s">
        <v>401</v>
      </c>
      <c r="J22">
        <v>1</v>
      </c>
      <c r="K22">
        <v>1</v>
      </c>
      <c r="L22" t="s">
        <v>982</v>
      </c>
      <c r="M22" s="15">
        <v>46246.459398148145</v>
      </c>
      <c r="N22" s="15">
        <v>46253.459027777775</v>
      </c>
      <c r="O22" s="15">
        <v>46255.427777777775</v>
      </c>
      <c r="P22" s="15">
        <v>46258.484027777777</v>
      </c>
      <c r="Q22" s="15"/>
      <c r="S22" t="s">
        <v>357</v>
      </c>
      <c r="U22" t="s">
        <v>1393</v>
      </c>
      <c r="V22" t="s">
        <v>357</v>
      </c>
      <c r="W22">
        <v>101</v>
      </c>
      <c r="X22" t="s">
        <v>369</v>
      </c>
      <c r="Y22" t="s">
        <v>239</v>
      </c>
      <c r="Z22" t="s">
        <v>826</v>
      </c>
      <c r="AB22" t="s">
        <v>348</v>
      </c>
      <c r="AC22" t="s">
        <v>348</v>
      </c>
      <c r="AD22" t="s">
        <v>369</v>
      </c>
      <c r="AE22" t="s">
        <v>239</v>
      </c>
      <c r="AF22" t="s">
        <v>1394</v>
      </c>
      <c r="AG22" t="s">
        <v>249</v>
      </c>
      <c r="AH22">
        <v>1</v>
      </c>
      <c r="AI22" t="s">
        <v>250</v>
      </c>
      <c r="AJ22" t="s">
        <v>248</v>
      </c>
      <c r="AK22" t="s">
        <v>827</v>
      </c>
      <c r="AL22" t="s">
        <v>156</v>
      </c>
      <c r="AM22" t="s">
        <v>832</v>
      </c>
      <c r="AN22">
        <v>1</v>
      </c>
      <c r="AO22">
        <v>46255</v>
      </c>
      <c r="AP22">
        <v>0.42777777777777776</v>
      </c>
      <c r="AQ22">
        <v>46258</v>
      </c>
      <c r="AR22">
        <v>0.48402777777777778</v>
      </c>
      <c r="AS22" t="s">
        <v>201</v>
      </c>
      <c r="AT22" t="s">
        <v>1956</v>
      </c>
      <c r="AU22" t="s">
        <v>1955</v>
      </c>
      <c r="AV22" t="s">
        <v>833</v>
      </c>
      <c r="AX22">
        <v>1</v>
      </c>
      <c r="AY22" t="s">
        <v>89</v>
      </c>
      <c r="AZ22" t="s">
        <v>90</v>
      </c>
      <c r="BA22" t="s">
        <v>217</v>
      </c>
      <c r="BB22" t="s">
        <v>847</v>
      </c>
      <c r="BC22">
        <v>23</v>
      </c>
    </row>
    <row r="23" spans="1:57" x14ac:dyDescent="0.3">
      <c r="A23" s="204">
        <v>46237</v>
      </c>
      <c r="B23" t="s">
        <v>142</v>
      </c>
      <c r="C23" t="s">
        <v>345</v>
      </c>
      <c r="D23" t="s">
        <v>48</v>
      </c>
      <c r="E23" t="s">
        <v>68</v>
      </c>
      <c r="F23" t="s">
        <v>309</v>
      </c>
      <c r="G23" t="s">
        <v>983</v>
      </c>
      <c r="H23" t="s">
        <v>842</v>
      </c>
      <c r="I23" t="s">
        <v>401</v>
      </c>
      <c r="J23">
        <v>1</v>
      </c>
      <c r="K23">
        <v>1</v>
      </c>
      <c r="L23" t="s">
        <v>982</v>
      </c>
      <c r="M23" s="15">
        <v>46245.580497685187</v>
      </c>
      <c r="N23" s="15">
        <v>46252.579861111109</v>
      </c>
      <c r="O23" s="15">
        <v>46255.427777777775</v>
      </c>
      <c r="P23" s="15">
        <v>46258.484027777777</v>
      </c>
      <c r="Q23" s="15"/>
      <c r="S23" t="s">
        <v>357</v>
      </c>
      <c r="V23" t="s">
        <v>357</v>
      </c>
      <c r="W23">
        <v>101</v>
      </c>
      <c r="X23" t="s">
        <v>369</v>
      </c>
      <c r="Y23" t="s">
        <v>239</v>
      </c>
      <c r="Z23" t="s">
        <v>826</v>
      </c>
      <c r="AB23" t="s">
        <v>348</v>
      </c>
      <c r="AC23" t="s">
        <v>348</v>
      </c>
      <c r="AD23" t="s">
        <v>369</v>
      </c>
      <c r="AE23" t="s">
        <v>239</v>
      </c>
      <c r="AF23" t="s">
        <v>1395</v>
      </c>
      <c r="AG23" t="s">
        <v>249</v>
      </c>
      <c r="AH23">
        <v>1</v>
      </c>
      <c r="AI23" t="s">
        <v>250</v>
      </c>
      <c r="AJ23" t="s">
        <v>248</v>
      </c>
      <c r="AK23" t="s">
        <v>827</v>
      </c>
      <c r="AL23" t="s">
        <v>156</v>
      </c>
      <c r="AM23" t="s">
        <v>832</v>
      </c>
      <c r="AN23">
        <v>1</v>
      </c>
      <c r="AO23">
        <v>46255</v>
      </c>
      <c r="AP23">
        <v>0.42777777777777776</v>
      </c>
      <c r="AQ23">
        <v>46258</v>
      </c>
      <c r="AR23">
        <v>0.48402777777777778</v>
      </c>
      <c r="AS23" t="s">
        <v>201</v>
      </c>
      <c r="AT23" t="s">
        <v>1956</v>
      </c>
      <c r="AU23" t="s">
        <v>1955</v>
      </c>
      <c r="AV23" t="s">
        <v>833</v>
      </c>
      <c r="AX23">
        <v>1</v>
      </c>
      <c r="AY23" t="s">
        <v>89</v>
      </c>
      <c r="AZ23" t="s">
        <v>90</v>
      </c>
      <c r="BA23" t="s">
        <v>217</v>
      </c>
      <c r="BB23" t="s">
        <v>847</v>
      </c>
      <c r="BC23">
        <v>23</v>
      </c>
    </row>
    <row r="24" spans="1:57" x14ac:dyDescent="0.3">
      <c r="A24" s="204">
        <v>46230</v>
      </c>
      <c r="B24" t="s">
        <v>142</v>
      </c>
      <c r="C24" t="s">
        <v>345</v>
      </c>
      <c r="D24" t="s">
        <v>48</v>
      </c>
      <c r="E24" t="s">
        <v>68</v>
      </c>
      <c r="F24" t="s">
        <v>309</v>
      </c>
      <c r="G24" t="s">
        <v>984</v>
      </c>
      <c r="H24" t="s">
        <v>842</v>
      </c>
      <c r="I24" t="s">
        <v>401</v>
      </c>
      <c r="J24">
        <v>1</v>
      </c>
      <c r="K24">
        <v>1</v>
      </c>
      <c r="L24" t="s">
        <v>985</v>
      </c>
      <c r="M24" s="15">
        <v>46253.381192129629</v>
      </c>
      <c r="N24" s="15">
        <v>46260.380555555559</v>
      </c>
      <c r="O24" s="15">
        <v>46254.517361111109</v>
      </c>
      <c r="P24" s="15">
        <v>46255.386805555558</v>
      </c>
      <c r="Q24" s="15"/>
      <c r="S24" t="s">
        <v>357</v>
      </c>
      <c r="T24" t="s">
        <v>837</v>
      </c>
      <c r="V24" t="s">
        <v>357</v>
      </c>
      <c r="W24">
        <v>101</v>
      </c>
      <c r="X24" t="s">
        <v>369</v>
      </c>
      <c r="Y24" t="s">
        <v>239</v>
      </c>
      <c r="Z24" t="s">
        <v>826</v>
      </c>
      <c r="AB24" t="s">
        <v>348</v>
      </c>
      <c r="AC24" t="s">
        <v>348</v>
      </c>
      <c r="AD24" t="s">
        <v>369</v>
      </c>
      <c r="AE24" t="s">
        <v>239</v>
      </c>
      <c r="AF24" t="s">
        <v>1396</v>
      </c>
      <c r="AG24" t="s">
        <v>249</v>
      </c>
      <c r="AH24">
        <v>1</v>
      </c>
      <c r="AI24" t="s">
        <v>250</v>
      </c>
      <c r="AJ24" t="s">
        <v>248</v>
      </c>
      <c r="AK24" t="s">
        <v>827</v>
      </c>
      <c r="AL24" t="s">
        <v>156</v>
      </c>
      <c r="AM24" t="s">
        <v>832</v>
      </c>
      <c r="AN24">
        <v>1</v>
      </c>
      <c r="AO24">
        <v>46254</v>
      </c>
      <c r="AP24">
        <v>0.51736111111111116</v>
      </c>
      <c r="AQ24">
        <v>46255</v>
      </c>
      <c r="AR24">
        <v>0.38680555555555557</v>
      </c>
      <c r="AS24" t="s">
        <v>201</v>
      </c>
      <c r="AT24" t="s">
        <v>1954</v>
      </c>
      <c r="AU24" t="s">
        <v>1955</v>
      </c>
      <c r="AV24" t="s">
        <v>833</v>
      </c>
      <c r="AX24">
        <v>1</v>
      </c>
      <c r="AY24" t="s">
        <v>89</v>
      </c>
      <c r="AZ24" t="s">
        <v>90</v>
      </c>
      <c r="BA24" t="s">
        <v>217</v>
      </c>
      <c r="BB24" t="s">
        <v>847</v>
      </c>
      <c r="BC24">
        <v>23</v>
      </c>
      <c r="BD24">
        <v>0</v>
      </c>
      <c r="BE24">
        <v>1</v>
      </c>
    </row>
    <row r="25" spans="1:57" x14ac:dyDescent="0.3">
      <c r="A25" s="204">
        <v>46237</v>
      </c>
      <c r="B25" t="s">
        <v>142</v>
      </c>
      <c r="C25" t="s">
        <v>345</v>
      </c>
      <c r="D25" t="s">
        <v>48</v>
      </c>
      <c r="E25" t="s">
        <v>68</v>
      </c>
      <c r="F25" t="s">
        <v>309</v>
      </c>
      <c r="G25" t="s">
        <v>986</v>
      </c>
      <c r="H25" t="s">
        <v>842</v>
      </c>
      <c r="I25" t="s">
        <v>401</v>
      </c>
      <c r="J25">
        <v>1</v>
      </c>
      <c r="K25">
        <v>1</v>
      </c>
      <c r="L25" t="s">
        <v>987</v>
      </c>
      <c r="M25" s="15">
        <v>46237.501354166663</v>
      </c>
      <c r="N25" s="15">
        <v>46244.5</v>
      </c>
      <c r="O25" s="15">
        <v>46237.692361111112</v>
      </c>
      <c r="P25" s="15">
        <v>46239.477777777778</v>
      </c>
      <c r="Q25" s="15"/>
      <c r="S25" t="s">
        <v>357</v>
      </c>
      <c r="V25" t="s">
        <v>357</v>
      </c>
      <c r="W25">
        <v>101</v>
      </c>
      <c r="X25" t="s">
        <v>369</v>
      </c>
      <c r="Y25" t="s">
        <v>239</v>
      </c>
      <c r="Z25" t="s">
        <v>826</v>
      </c>
      <c r="AB25" t="s">
        <v>348</v>
      </c>
      <c r="AC25" t="s">
        <v>348</v>
      </c>
      <c r="AD25" t="s">
        <v>369</v>
      </c>
      <c r="AE25" t="s">
        <v>239</v>
      </c>
      <c r="AF25" t="s">
        <v>1397</v>
      </c>
      <c r="AG25" t="s">
        <v>249</v>
      </c>
      <c r="AH25">
        <v>1</v>
      </c>
      <c r="AI25" t="s">
        <v>250</v>
      </c>
      <c r="AJ25" t="s">
        <v>248</v>
      </c>
      <c r="AK25" t="s">
        <v>827</v>
      </c>
      <c r="AL25" t="s">
        <v>156</v>
      </c>
      <c r="AM25" t="s">
        <v>832</v>
      </c>
      <c r="AN25">
        <v>1</v>
      </c>
      <c r="AO25">
        <v>46237</v>
      </c>
      <c r="AP25">
        <v>0.69236111111111109</v>
      </c>
      <c r="AQ25">
        <v>46239</v>
      </c>
      <c r="AR25">
        <v>0.4777777777777778</v>
      </c>
      <c r="AS25" t="s">
        <v>201</v>
      </c>
      <c r="AT25" t="s">
        <v>1956</v>
      </c>
      <c r="AU25" t="s">
        <v>1955</v>
      </c>
      <c r="AV25" t="s">
        <v>833</v>
      </c>
      <c r="AX25">
        <v>1</v>
      </c>
      <c r="AY25" t="s">
        <v>89</v>
      </c>
      <c r="AZ25" t="s">
        <v>90</v>
      </c>
      <c r="BA25" t="s">
        <v>217</v>
      </c>
      <c r="BB25" t="s">
        <v>847</v>
      </c>
      <c r="BC25">
        <v>23</v>
      </c>
      <c r="BD25">
        <v>0</v>
      </c>
      <c r="BE25">
        <v>1</v>
      </c>
    </row>
    <row r="26" spans="1:57" x14ac:dyDescent="0.3">
      <c r="A26" s="204">
        <v>46235</v>
      </c>
      <c r="B26" t="s">
        <v>142</v>
      </c>
      <c r="C26" t="s">
        <v>345</v>
      </c>
      <c r="D26" t="s">
        <v>48</v>
      </c>
      <c r="E26" t="s">
        <v>68</v>
      </c>
      <c r="F26" t="s">
        <v>309</v>
      </c>
      <c r="G26" t="s">
        <v>988</v>
      </c>
      <c r="H26" t="s">
        <v>842</v>
      </c>
      <c r="I26" t="s">
        <v>401</v>
      </c>
      <c r="J26">
        <v>2</v>
      </c>
      <c r="K26">
        <v>2</v>
      </c>
      <c r="L26" t="s">
        <v>989</v>
      </c>
      <c r="M26" s="15">
        <v>46237.522916666669</v>
      </c>
      <c r="N26" s="15">
        <v>46244.5</v>
      </c>
      <c r="O26" s="15">
        <v>46237.661747685182</v>
      </c>
      <c r="P26" s="15">
        <v>46239.477777777778</v>
      </c>
      <c r="Q26" s="15"/>
      <c r="S26" t="s">
        <v>357</v>
      </c>
      <c r="V26" t="s">
        <v>357</v>
      </c>
      <c r="W26">
        <v>101</v>
      </c>
      <c r="X26" t="s">
        <v>369</v>
      </c>
      <c r="Y26" t="s">
        <v>239</v>
      </c>
      <c r="Z26" t="s">
        <v>826</v>
      </c>
      <c r="AB26" t="s">
        <v>348</v>
      </c>
      <c r="AC26" t="s">
        <v>348</v>
      </c>
      <c r="AD26" t="s">
        <v>369</v>
      </c>
      <c r="AE26" t="s">
        <v>239</v>
      </c>
      <c r="AF26" t="s">
        <v>1398</v>
      </c>
      <c r="AG26" t="s">
        <v>249</v>
      </c>
      <c r="AH26">
        <v>1</v>
      </c>
      <c r="AI26" t="s">
        <v>250</v>
      </c>
      <c r="AJ26" t="s">
        <v>248</v>
      </c>
      <c r="AK26" t="s">
        <v>827</v>
      </c>
      <c r="AL26" t="s">
        <v>156</v>
      </c>
      <c r="AM26" t="s">
        <v>832</v>
      </c>
      <c r="AN26">
        <v>1</v>
      </c>
      <c r="AO26">
        <v>46237</v>
      </c>
      <c r="AP26">
        <v>0.66174768518518523</v>
      </c>
      <c r="AQ26">
        <v>46239</v>
      </c>
      <c r="AR26">
        <v>0.4777777777777778</v>
      </c>
      <c r="AS26" t="s">
        <v>201</v>
      </c>
      <c r="AT26" t="s">
        <v>1956</v>
      </c>
      <c r="AU26" t="s">
        <v>1955</v>
      </c>
      <c r="AV26" t="s">
        <v>833</v>
      </c>
      <c r="AX26">
        <v>1</v>
      </c>
      <c r="AY26" t="s">
        <v>89</v>
      </c>
      <c r="AZ26" t="s">
        <v>90</v>
      </c>
      <c r="BA26" t="s">
        <v>217</v>
      </c>
      <c r="BB26" t="s">
        <v>847</v>
      </c>
      <c r="BC26">
        <v>23</v>
      </c>
    </row>
    <row r="27" spans="1:57" x14ac:dyDescent="0.3">
      <c r="A27" s="204">
        <v>46235</v>
      </c>
      <c r="B27" t="s">
        <v>142</v>
      </c>
      <c r="C27" t="s">
        <v>345</v>
      </c>
      <c r="D27" t="s">
        <v>48</v>
      </c>
      <c r="E27" t="s">
        <v>68</v>
      </c>
      <c r="F27" t="s">
        <v>309</v>
      </c>
      <c r="G27" t="s">
        <v>990</v>
      </c>
      <c r="H27" t="s">
        <v>842</v>
      </c>
      <c r="I27" t="s">
        <v>401</v>
      </c>
      <c r="J27">
        <v>2</v>
      </c>
      <c r="K27">
        <v>2</v>
      </c>
      <c r="L27" t="s">
        <v>991</v>
      </c>
      <c r="M27" s="15">
        <v>46226.405069444445</v>
      </c>
      <c r="N27" s="15">
        <v>46233.404861111114</v>
      </c>
      <c r="O27" s="15">
        <v>46226.479988425926</v>
      </c>
      <c r="P27" s="15">
        <v>46230.652777777781</v>
      </c>
      <c r="Q27" s="15"/>
      <c r="S27" t="s">
        <v>357</v>
      </c>
      <c r="V27" t="s">
        <v>357</v>
      </c>
      <c r="W27">
        <v>101</v>
      </c>
      <c r="X27" t="s">
        <v>369</v>
      </c>
      <c r="Y27" t="s">
        <v>239</v>
      </c>
      <c r="Z27" t="s">
        <v>826</v>
      </c>
      <c r="AB27" t="s">
        <v>348</v>
      </c>
      <c r="AC27" t="s">
        <v>348</v>
      </c>
      <c r="AD27" t="s">
        <v>369</v>
      </c>
      <c r="AE27" t="s">
        <v>239</v>
      </c>
      <c r="AF27" t="s">
        <v>1399</v>
      </c>
      <c r="AG27" t="s">
        <v>249</v>
      </c>
      <c r="AH27">
        <v>1</v>
      </c>
      <c r="AI27" t="s">
        <v>250</v>
      </c>
      <c r="AJ27" t="s">
        <v>248</v>
      </c>
      <c r="AK27" t="s">
        <v>827</v>
      </c>
      <c r="AL27" t="s">
        <v>156</v>
      </c>
      <c r="AM27" t="s">
        <v>832</v>
      </c>
      <c r="AN27">
        <v>1</v>
      </c>
      <c r="AO27">
        <v>46226</v>
      </c>
      <c r="AP27">
        <v>0.47998842592592594</v>
      </c>
      <c r="AQ27">
        <v>46230</v>
      </c>
      <c r="AR27">
        <v>0.65277777777777779</v>
      </c>
      <c r="AS27" t="s">
        <v>201</v>
      </c>
      <c r="AT27" t="s">
        <v>1956</v>
      </c>
      <c r="AU27" t="s">
        <v>1955</v>
      </c>
      <c r="AV27" t="s">
        <v>833</v>
      </c>
      <c r="AX27">
        <v>1</v>
      </c>
      <c r="AY27" t="s">
        <v>89</v>
      </c>
      <c r="AZ27" t="s">
        <v>90</v>
      </c>
      <c r="BA27" t="s">
        <v>217</v>
      </c>
      <c r="BB27" t="s">
        <v>847</v>
      </c>
      <c r="BC27">
        <v>23</v>
      </c>
      <c r="BD27">
        <v>0</v>
      </c>
      <c r="BE27">
        <v>1</v>
      </c>
    </row>
    <row r="28" spans="1:57" x14ac:dyDescent="0.3">
      <c r="A28" s="204">
        <v>46235</v>
      </c>
      <c r="B28" t="s">
        <v>142</v>
      </c>
      <c r="C28" t="s">
        <v>345</v>
      </c>
      <c r="D28" t="s">
        <v>48</v>
      </c>
      <c r="E28" t="s">
        <v>68</v>
      </c>
      <c r="F28" t="s">
        <v>309</v>
      </c>
      <c r="G28" t="s">
        <v>992</v>
      </c>
      <c r="H28" t="s">
        <v>842</v>
      </c>
      <c r="I28" t="s">
        <v>401</v>
      </c>
      <c r="J28">
        <v>1</v>
      </c>
      <c r="K28">
        <v>1</v>
      </c>
      <c r="L28" t="s">
        <v>993</v>
      </c>
      <c r="M28" s="15">
        <v>46224.393900462965</v>
      </c>
      <c r="N28" s="15">
        <v>46231.393750000003</v>
      </c>
      <c r="O28" s="15">
        <v>46233.604861111111</v>
      </c>
      <c r="P28" s="15">
        <v>46234.497916666667</v>
      </c>
      <c r="Q28" s="15"/>
      <c r="S28" t="s">
        <v>357</v>
      </c>
      <c r="T28" t="s">
        <v>1400</v>
      </c>
      <c r="U28" t="s">
        <v>1401</v>
      </c>
      <c r="V28" t="s">
        <v>357</v>
      </c>
      <c r="W28">
        <v>101</v>
      </c>
      <c r="X28" t="s">
        <v>369</v>
      </c>
      <c r="Y28" t="s">
        <v>239</v>
      </c>
      <c r="Z28" t="s">
        <v>826</v>
      </c>
      <c r="AB28" t="s">
        <v>348</v>
      </c>
      <c r="AC28" t="s">
        <v>348</v>
      </c>
      <c r="AD28" t="s">
        <v>369</v>
      </c>
      <c r="AE28" t="s">
        <v>239</v>
      </c>
      <c r="AF28" t="s">
        <v>1402</v>
      </c>
      <c r="AG28" t="s">
        <v>249</v>
      </c>
      <c r="AH28">
        <v>1</v>
      </c>
      <c r="AI28" t="s">
        <v>250</v>
      </c>
      <c r="AJ28" t="s">
        <v>248</v>
      </c>
      <c r="AK28" t="s">
        <v>827</v>
      </c>
      <c r="AL28" t="s">
        <v>156</v>
      </c>
      <c r="AM28" t="s">
        <v>832</v>
      </c>
      <c r="AN28">
        <v>1</v>
      </c>
      <c r="AO28">
        <v>46233</v>
      </c>
      <c r="AP28">
        <v>0.60486111111111107</v>
      </c>
      <c r="AQ28">
        <v>46234</v>
      </c>
      <c r="AR28">
        <v>0.49791666666666667</v>
      </c>
      <c r="AS28" t="s">
        <v>201</v>
      </c>
      <c r="AT28" t="s">
        <v>1954</v>
      </c>
      <c r="AU28" t="s">
        <v>1955</v>
      </c>
      <c r="AV28" t="s">
        <v>833</v>
      </c>
      <c r="AX28">
        <v>1</v>
      </c>
      <c r="AY28" t="s">
        <v>89</v>
      </c>
      <c r="AZ28" t="s">
        <v>90</v>
      </c>
      <c r="BA28" t="s">
        <v>217</v>
      </c>
      <c r="BB28" t="s">
        <v>847</v>
      </c>
      <c r="BC28">
        <v>23</v>
      </c>
      <c r="BD28">
        <v>0</v>
      </c>
      <c r="BE28">
        <v>1</v>
      </c>
    </row>
    <row r="29" spans="1:57" x14ac:dyDescent="0.3">
      <c r="A29" s="204">
        <v>46230</v>
      </c>
      <c r="B29" t="s">
        <v>142</v>
      </c>
      <c r="C29" t="s">
        <v>345</v>
      </c>
      <c r="D29" t="s">
        <v>43</v>
      </c>
      <c r="E29" t="s">
        <v>105</v>
      </c>
      <c r="F29" t="s">
        <v>309</v>
      </c>
      <c r="G29" t="s">
        <v>994</v>
      </c>
      <c r="H29" t="s">
        <v>857</v>
      </c>
      <c r="I29" t="s">
        <v>402</v>
      </c>
      <c r="J29">
        <v>4</v>
      </c>
      <c r="K29">
        <v>4</v>
      </c>
      <c r="L29" t="s">
        <v>995</v>
      </c>
      <c r="M29" s="15">
        <v>46244.369768518518</v>
      </c>
      <c r="N29" s="15">
        <v>46251.369444444441</v>
      </c>
      <c r="O29" s="15">
        <v>46244.668749999997</v>
      </c>
      <c r="P29" s="15">
        <v>46246.443055555559</v>
      </c>
      <c r="Q29" s="15"/>
      <c r="S29" t="s">
        <v>354</v>
      </c>
      <c r="T29" t="s">
        <v>837</v>
      </c>
      <c r="V29" t="s">
        <v>354</v>
      </c>
      <c r="W29">
        <v>50</v>
      </c>
      <c r="X29" t="s">
        <v>369</v>
      </c>
      <c r="Y29" t="s">
        <v>239</v>
      </c>
      <c r="Z29" t="s">
        <v>826</v>
      </c>
      <c r="AB29" t="s">
        <v>348</v>
      </c>
      <c r="AC29" t="s">
        <v>348</v>
      </c>
      <c r="AD29" t="s">
        <v>369</v>
      </c>
      <c r="AE29" t="s">
        <v>239</v>
      </c>
      <c r="AF29" t="s">
        <v>1403</v>
      </c>
      <c r="AG29" t="s">
        <v>249</v>
      </c>
      <c r="AH29">
        <v>1</v>
      </c>
      <c r="AI29" t="s">
        <v>250</v>
      </c>
      <c r="AJ29" t="s">
        <v>248</v>
      </c>
      <c r="AK29" t="s">
        <v>827</v>
      </c>
      <c r="AL29" t="s">
        <v>156</v>
      </c>
      <c r="AM29" t="s">
        <v>838</v>
      </c>
      <c r="AN29">
        <v>2</v>
      </c>
      <c r="AO29">
        <v>46244</v>
      </c>
      <c r="AP29">
        <v>0.66874999999999996</v>
      </c>
      <c r="AQ29">
        <v>46246</v>
      </c>
      <c r="AR29">
        <v>0.44305555555555554</v>
      </c>
      <c r="AS29" t="s">
        <v>201</v>
      </c>
      <c r="AT29" t="s">
        <v>1954</v>
      </c>
      <c r="AU29" t="s">
        <v>1955</v>
      </c>
      <c r="AV29" t="s">
        <v>839</v>
      </c>
      <c r="AX29">
        <v>1</v>
      </c>
      <c r="AY29" t="s">
        <v>89</v>
      </c>
      <c r="AZ29" t="s">
        <v>67</v>
      </c>
      <c r="BA29" t="s">
        <v>217</v>
      </c>
      <c r="BB29" t="s">
        <v>841</v>
      </c>
      <c r="BC29">
        <v>16.3</v>
      </c>
      <c r="BD29">
        <v>0</v>
      </c>
      <c r="BE29">
        <v>1</v>
      </c>
    </row>
    <row r="30" spans="1:57" x14ac:dyDescent="0.3">
      <c r="A30" s="204">
        <v>46235</v>
      </c>
      <c r="B30" t="s">
        <v>142</v>
      </c>
      <c r="C30" t="s">
        <v>345</v>
      </c>
      <c r="D30" t="s">
        <v>48</v>
      </c>
      <c r="E30" t="s">
        <v>68</v>
      </c>
      <c r="F30" t="s">
        <v>309</v>
      </c>
      <c r="G30" t="s">
        <v>996</v>
      </c>
      <c r="H30" t="s">
        <v>857</v>
      </c>
      <c r="I30" t="s">
        <v>402</v>
      </c>
      <c r="J30">
        <v>1</v>
      </c>
      <c r="K30">
        <v>1</v>
      </c>
      <c r="L30" t="s">
        <v>997</v>
      </c>
      <c r="M30" s="15">
        <v>46244.381539351853</v>
      </c>
      <c r="N30" s="15">
        <v>46251.381249999999</v>
      </c>
      <c r="O30" s="15">
        <v>46244.708368055559</v>
      </c>
      <c r="P30" s="15">
        <v>46246.443055555559</v>
      </c>
      <c r="Q30" s="15"/>
      <c r="S30" t="s">
        <v>354</v>
      </c>
      <c r="V30" t="s">
        <v>354</v>
      </c>
      <c r="W30">
        <v>50</v>
      </c>
      <c r="X30" t="s">
        <v>369</v>
      </c>
      <c r="Y30" t="s">
        <v>239</v>
      </c>
      <c r="Z30" t="s">
        <v>826</v>
      </c>
      <c r="AB30" t="s">
        <v>348</v>
      </c>
      <c r="AC30" t="s">
        <v>348</v>
      </c>
      <c r="AD30" t="s">
        <v>369</v>
      </c>
      <c r="AE30" t="s">
        <v>239</v>
      </c>
      <c r="AF30" t="s">
        <v>1404</v>
      </c>
      <c r="AG30" t="s">
        <v>249</v>
      </c>
      <c r="AH30">
        <v>1</v>
      </c>
      <c r="AI30" t="s">
        <v>250</v>
      </c>
      <c r="AJ30" t="s">
        <v>248</v>
      </c>
      <c r="AK30" t="s">
        <v>827</v>
      </c>
      <c r="AL30" t="s">
        <v>156</v>
      </c>
      <c r="AM30" t="s">
        <v>832</v>
      </c>
      <c r="AN30">
        <v>1</v>
      </c>
      <c r="AO30">
        <v>46244</v>
      </c>
      <c r="AP30">
        <v>0.7083680555555556</v>
      </c>
      <c r="AQ30">
        <v>46246</v>
      </c>
      <c r="AR30">
        <v>0.44305555555555554</v>
      </c>
      <c r="AS30" t="s">
        <v>201</v>
      </c>
      <c r="AT30" t="s">
        <v>1956</v>
      </c>
      <c r="AU30" t="s">
        <v>1955</v>
      </c>
      <c r="AV30" t="s">
        <v>833</v>
      </c>
      <c r="AX30">
        <v>1</v>
      </c>
      <c r="AY30" t="s">
        <v>89</v>
      </c>
      <c r="AZ30" t="s">
        <v>90</v>
      </c>
      <c r="BA30" t="s">
        <v>217</v>
      </c>
      <c r="BB30" t="s">
        <v>841</v>
      </c>
      <c r="BC30">
        <v>16.3</v>
      </c>
    </row>
    <row r="31" spans="1:57" x14ac:dyDescent="0.3">
      <c r="A31" s="204">
        <v>46235</v>
      </c>
      <c r="B31" t="s">
        <v>142</v>
      </c>
      <c r="C31" t="s">
        <v>345</v>
      </c>
      <c r="D31" t="s">
        <v>43</v>
      </c>
      <c r="E31" t="s">
        <v>105</v>
      </c>
      <c r="F31" t="s">
        <v>309</v>
      </c>
      <c r="G31" t="s">
        <v>998</v>
      </c>
      <c r="H31" t="s">
        <v>857</v>
      </c>
      <c r="I31" t="s">
        <v>402</v>
      </c>
      <c r="J31">
        <v>2</v>
      </c>
      <c r="K31">
        <v>2</v>
      </c>
      <c r="L31" t="s">
        <v>999</v>
      </c>
      <c r="M31" s="15">
        <v>46227.579050925924</v>
      </c>
      <c r="N31" s="15">
        <v>46234.578472222223</v>
      </c>
      <c r="O31" s="15">
        <v>46227.624965277777</v>
      </c>
      <c r="P31" s="15">
        <v>46231.416666666664</v>
      </c>
      <c r="Q31" s="15"/>
      <c r="S31" t="s">
        <v>354</v>
      </c>
      <c r="V31" t="s">
        <v>354</v>
      </c>
      <c r="W31">
        <v>50</v>
      </c>
      <c r="X31" t="s">
        <v>369</v>
      </c>
      <c r="Y31" t="s">
        <v>239</v>
      </c>
      <c r="Z31" t="s">
        <v>826</v>
      </c>
      <c r="AB31" t="s">
        <v>348</v>
      </c>
      <c r="AC31" t="s">
        <v>348</v>
      </c>
      <c r="AD31" t="s">
        <v>369</v>
      </c>
      <c r="AE31" t="s">
        <v>239</v>
      </c>
      <c r="AF31" t="s">
        <v>1405</v>
      </c>
      <c r="AG31" t="s">
        <v>249</v>
      </c>
      <c r="AH31">
        <v>1</v>
      </c>
      <c r="AI31" t="s">
        <v>250</v>
      </c>
      <c r="AJ31" t="s">
        <v>248</v>
      </c>
      <c r="AK31" t="s">
        <v>827</v>
      </c>
      <c r="AL31" t="s">
        <v>156</v>
      </c>
      <c r="AM31" t="s">
        <v>838</v>
      </c>
      <c r="AN31">
        <v>2</v>
      </c>
      <c r="AO31">
        <v>46227</v>
      </c>
      <c r="AP31">
        <v>0.62496527777777777</v>
      </c>
      <c r="AQ31">
        <v>46231</v>
      </c>
      <c r="AR31">
        <v>0.41666666666666669</v>
      </c>
      <c r="AS31" t="s">
        <v>201</v>
      </c>
      <c r="AT31" t="s">
        <v>1954</v>
      </c>
      <c r="AU31" t="s">
        <v>1955</v>
      </c>
      <c r="AV31" t="s">
        <v>839</v>
      </c>
      <c r="AX31">
        <v>1</v>
      </c>
      <c r="AY31" t="s">
        <v>89</v>
      </c>
      <c r="AZ31" t="s">
        <v>67</v>
      </c>
      <c r="BA31" t="s">
        <v>217</v>
      </c>
      <c r="BB31" t="s">
        <v>841</v>
      </c>
      <c r="BC31">
        <v>16.3</v>
      </c>
      <c r="BD31">
        <v>0</v>
      </c>
      <c r="BE31">
        <v>1</v>
      </c>
    </row>
    <row r="32" spans="1:57" x14ac:dyDescent="0.3">
      <c r="A32" s="204">
        <v>46237</v>
      </c>
      <c r="B32" t="s">
        <v>142</v>
      </c>
      <c r="C32" t="s">
        <v>345</v>
      </c>
      <c r="D32" t="s">
        <v>47</v>
      </c>
      <c r="E32" t="s">
        <v>68</v>
      </c>
      <c r="F32" t="s">
        <v>309</v>
      </c>
      <c r="G32" t="s">
        <v>1000</v>
      </c>
      <c r="H32" t="s">
        <v>857</v>
      </c>
      <c r="I32" t="s">
        <v>401</v>
      </c>
      <c r="J32" s="14">
        <v>2</v>
      </c>
      <c r="K32">
        <v>2</v>
      </c>
      <c r="L32" t="s">
        <v>974</v>
      </c>
      <c r="M32" s="15">
        <v>46240.53496527778</v>
      </c>
      <c r="N32" s="15">
        <v>46247.5</v>
      </c>
      <c r="O32" s="15">
        <v>46240.617361111108</v>
      </c>
      <c r="P32" s="15">
        <v>46241.430555555555</v>
      </c>
      <c r="Q32" s="15"/>
      <c r="S32" t="s">
        <v>354</v>
      </c>
      <c r="V32" t="s">
        <v>354</v>
      </c>
      <c r="W32">
        <v>50</v>
      </c>
      <c r="X32" t="s">
        <v>369</v>
      </c>
      <c r="Y32" t="s">
        <v>239</v>
      </c>
      <c r="Z32" t="s">
        <v>826</v>
      </c>
      <c r="AB32" t="s">
        <v>348</v>
      </c>
      <c r="AC32" t="s">
        <v>348</v>
      </c>
      <c r="AD32" t="s">
        <v>369</v>
      </c>
      <c r="AE32" t="s">
        <v>239</v>
      </c>
      <c r="AF32" t="s">
        <v>1406</v>
      </c>
      <c r="AG32" t="s">
        <v>249</v>
      </c>
      <c r="AH32">
        <v>1</v>
      </c>
      <c r="AI32" t="s">
        <v>250</v>
      </c>
      <c r="AJ32" t="s">
        <v>248</v>
      </c>
      <c r="AK32" t="s">
        <v>827</v>
      </c>
      <c r="AL32" t="s">
        <v>156</v>
      </c>
      <c r="AM32" t="s">
        <v>878</v>
      </c>
      <c r="AN32">
        <v>0.5</v>
      </c>
      <c r="AO32">
        <v>46240</v>
      </c>
      <c r="AP32">
        <v>0.61736111111111114</v>
      </c>
      <c r="AQ32">
        <v>46241</v>
      </c>
      <c r="AR32">
        <v>0.43055555555555558</v>
      </c>
      <c r="AS32" t="s">
        <v>146</v>
      </c>
      <c r="AT32" t="s">
        <v>1954</v>
      </c>
      <c r="AU32" t="s">
        <v>1955</v>
      </c>
      <c r="AV32" t="s">
        <v>879</v>
      </c>
      <c r="AX32">
        <v>1</v>
      </c>
      <c r="AY32" t="s">
        <v>93</v>
      </c>
      <c r="AZ32" t="s">
        <v>90</v>
      </c>
      <c r="BA32" t="s">
        <v>218</v>
      </c>
      <c r="BB32" t="s">
        <v>841</v>
      </c>
      <c r="BC32">
        <v>16.3</v>
      </c>
      <c r="BD32">
        <v>0</v>
      </c>
      <c r="BE32">
        <v>1</v>
      </c>
    </row>
    <row r="33" spans="1:57" x14ac:dyDescent="0.3">
      <c r="A33" s="204">
        <v>46235</v>
      </c>
      <c r="B33" t="s">
        <v>142</v>
      </c>
      <c r="C33" t="s">
        <v>345</v>
      </c>
      <c r="D33" t="s">
        <v>45</v>
      </c>
      <c r="E33" t="s">
        <v>68</v>
      </c>
      <c r="F33" t="s">
        <v>309</v>
      </c>
      <c r="G33" t="s">
        <v>1001</v>
      </c>
      <c r="H33" t="s">
        <v>844</v>
      </c>
      <c r="I33" t="s">
        <v>406</v>
      </c>
      <c r="J33">
        <v>3</v>
      </c>
      <c r="K33">
        <v>3</v>
      </c>
      <c r="L33" t="s">
        <v>1002</v>
      </c>
      <c r="M33" s="15">
        <v>46238.415856481479</v>
      </c>
      <c r="N33" s="15">
        <v>46245.415277777778</v>
      </c>
      <c r="O33" s="15">
        <v>46238.662499999999</v>
      </c>
      <c r="P33" s="15">
        <v>46240.430555555555</v>
      </c>
      <c r="Q33" s="15"/>
      <c r="S33" t="s">
        <v>354</v>
      </c>
      <c r="U33" t="s">
        <v>1407</v>
      </c>
      <c r="V33" t="s">
        <v>354</v>
      </c>
      <c r="W33">
        <v>50</v>
      </c>
      <c r="X33" t="s">
        <v>369</v>
      </c>
      <c r="Y33" t="s">
        <v>239</v>
      </c>
      <c r="Z33" t="s">
        <v>826</v>
      </c>
      <c r="AB33" t="s">
        <v>348</v>
      </c>
      <c r="AC33" t="s">
        <v>348</v>
      </c>
      <c r="AD33" t="s">
        <v>369</v>
      </c>
      <c r="AE33" t="s">
        <v>239</v>
      </c>
      <c r="AF33" t="s">
        <v>1408</v>
      </c>
      <c r="AG33" t="s">
        <v>249</v>
      </c>
      <c r="AH33">
        <v>1</v>
      </c>
      <c r="AI33" t="s">
        <v>250</v>
      </c>
      <c r="AJ33" t="s">
        <v>248</v>
      </c>
      <c r="AK33" t="s">
        <v>827</v>
      </c>
      <c r="AL33" t="s">
        <v>156</v>
      </c>
      <c r="AM33" t="s">
        <v>828</v>
      </c>
      <c r="AN33">
        <v>1</v>
      </c>
      <c r="AO33">
        <v>46238</v>
      </c>
      <c r="AP33">
        <v>0.66249999999999998</v>
      </c>
      <c r="AQ33">
        <v>46240</v>
      </c>
      <c r="AR33">
        <v>0.43055555555555558</v>
      </c>
      <c r="AS33" t="s">
        <v>201</v>
      </c>
      <c r="AT33" t="s">
        <v>1956</v>
      </c>
      <c r="AU33" t="s">
        <v>1955</v>
      </c>
      <c r="AV33" t="s">
        <v>829</v>
      </c>
      <c r="AX33">
        <v>1</v>
      </c>
      <c r="AY33" t="s">
        <v>89</v>
      </c>
      <c r="AZ33" t="s">
        <v>67</v>
      </c>
      <c r="BA33" t="s">
        <v>217</v>
      </c>
      <c r="BB33" t="s">
        <v>841</v>
      </c>
      <c r="BC33">
        <v>16.3</v>
      </c>
      <c r="BD33">
        <v>0</v>
      </c>
      <c r="BE33">
        <v>1</v>
      </c>
    </row>
    <row r="34" spans="1:57" x14ac:dyDescent="0.3">
      <c r="A34" s="204">
        <v>46235</v>
      </c>
      <c r="B34" t="s">
        <v>142</v>
      </c>
      <c r="C34" t="s">
        <v>345</v>
      </c>
      <c r="D34" t="s">
        <v>45</v>
      </c>
      <c r="E34" t="s">
        <v>68</v>
      </c>
      <c r="F34" t="s">
        <v>309</v>
      </c>
      <c r="G34" t="s">
        <v>1003</v>
      </c>
      <c r="H34" t="s">
        <v>844</v>
      </c>
      <c r="I34" t="s">
        <v>406</v>
      </c>
      <c r="J34">
        <v>10</v>
      </c>
      <c r="K34">
        <v>10</v>
      </c>
      <c r="L34" t="s">
        <v>1004</v>
      </c>
      <c r="M34" s="15">
        <v>46238.416307870371</v>
      </c>
      <c r="N34" s="15">
        <v>46245.415972222225</v>
      </c>
      <c r="O34" s="15">
        <v>46238.654166666667</v>
      </c>
      <c r="P34" s="15">
        <v>46240.430555555555</v>
      </c>
      <c r="Q34" s="15"/>
      <c r="S34" t="s">
        <v>354</v>
      </c>
      <c r="U34" t="s">
        <v>1409</v>
      </c>
      <c r="V34" t="s">
        <v>354</v>
      </c>
      <c r="W34">
        <v>50</v>
      </c>
      <c r="X34" t="s">
        <v>369</v>
      </c>
      <c r="Y34" t="s">
        <v>239</v>
      </c>
      <c r="Z34" t="s">
        <v>826</v>
      </c>
      <c r="AB34" t="s">
        <v>348</v>
      </c>
      <c r="AC34" t="s">
        <v>348</v>
      </c>
      <c r="AD34" t="s">
        <v>369</v>
      </c>
      <c r="AE34" t="s">
        <v>239</v>
      </c>
      <c r="AF34" t="s">
        <v>1410</v>
      </c>
      <c r="AG34" t="s">
        <v>249</v>
      </c>
      <c r="AH34">
        <v>1</v>
      </c>
      <c r="AI34" t="s">
        <v>250</v>
      </c>
      <c r="AJ34" t="s">
        <v>248</v>
      </c>
      <c r="AK34" t="s">
        <v>827</v>
      </c>
      <c r="AL34" t="s">
        <v>156</v>
      </c>
      <c r="AM34" t="s">
        <v>828</v>
      </c>
      <c r="AN34">
        <v>1</v>
      </c>
      <c r="AO34">
        <v>46238</v>
      </c>
      <c r="AP34">
        <v>0.65416666666666667</v>
      </c>
      <c r="AQ34">
        <v>46240</v>
      </c>
      <c r="AR34">
        <v>0.43055555555555558</v>
      </c>
      <c r="AS34" t="s">
        <v>201</v>
      </c>
      <c r="AT34" t="s">
        <v>1956</v>
      </c>
      <c r="AU34" t="s">
        <v>1955</v>
      </c>
      <c r="AV34" t="s">
        <v>829</v>
      </c>
      <c r="AX34">
        <v>1</v>
      </c>
      <c r="AY34" t="s">
        <v>89</v>
      </c>
      <c r="AZ34" t="s">
        <v>67</v>
      </c>
      <c r="BA34" t="s">
        <v>217</v>
      </c>
      <c r="BB34" t="s">
        <v>841</v>
      </c>
      <c r="BC34">
        <v>16.3</v>
      </c>
    </row>
    <row r="35" spans="1:57" x14ac:dyDescent="0.3">
      <c r="A35" s="204">
        <v>46235</v>
      </c>
      <c r="B35" t="s">
        <v>142</v>
      </c>
      <c r="C35" t="s">
        <v>345</v>
      </c>
      <c r="D35" t="s">
        <v>45</v>
      </c>
      <c r="E35" t="s">
        <v>68</v>
      </c>
      <c r="F35" t="s">
        <v>309</v>
      </c>
      <c r="G35" t="s">
        <v>1005</v>
      </c>
      <c r="H35" t="s">
        <v>844</v>
      </c>
      <c r="I35" t="s">
        <v>406</v>
      </c>
      <c r="J35">
        <v>9</v>
      </c>
      <c r="K35">
        <v>9</v>
      </c>
      <c r="L35" t="s">
        <v>1006</v>
      </c>
      <c r="M35" s="15">
        <v>46238.415497685186</v>
      </c>
      <c r="N35" s="15">
        <v>46245.415277777778</v>
      </c>
      <c r="O35" s="15">
        <v>46238.628472222219</v>
      </c>
      <c r="P35" s="15">
        <v>46240.430555555555</v>
      </c>
      <c r="Q35" s="15"/>
      <c r="S35" t="s">
        <v>354</v>
      </c>
      <c r="U35" t="s">
        <v>1411</v>
      </c>
      <c r="V35" t="s">
        <v>354</v>
      </c>
      <c r="W35">
        <v>50</v>
      </c>
      <c r="X35" t="s">
        <v>369</v>
      </c>
      <c r="Y35" t="s">
        <v>239</v>
      </c>
      <c r="Z35" t="s">
        <v>826</v>
      </c>
      <c r="AB35" t="s">
        <v>348</v>
      </c>
      <c r="AC35" t="s">
        <v>348</v>
      </c>
      <c r="AD35" t="s">
        <v>369</v>
      </c>
      <c r="AE35" t="s">
        <v>239</v>
      </c>
      <c r="AF35" t="s">
        <v>1412</v>
      </c>
      <c r="AG35" t="s">
        <v>249</v>
      </c>
      <c r="AH35">
        <v>1</v>
      </c>
      <c r="AI35" t="s">
        <v>250</v>
      </c>
      <c r="AJ35" t="s">
        <v>248</v>
      </c>
      <c r="AK35" t="s">
        <v>827</v>
      </c>
      <c r="AL35" t="s">
        <v>156</v>
      </c>
      <c r="AM35" t="s">
        <v>828</v>
      </c>
      <c r="AN35">
        <v>1</v>
      </c>
      <c r="AO35">
        <v>46238</v>
      </c>
      <c r="AP35">
        <v>0.62847222222222221</v>
      </c>
      <c r="AQ35">
        <v>46240</v>
      </c>
      <c r="AR35">
        <v>0.43055555555555558</v>
      </c>
      <c r="AS35" t="s">
        <v>201</v>
      </c>
      <c r="AT35" t="s">
        <v>1956</v>
      </c>
      <c r="AU35" t="s">
        <v>1955</v>
      </c>
      <c r="AV35" t="s">
        <v>829</v>
      </c>
      <c r="AX35">
        <v>1</v>
      </c>
      <c r="AY35" t="s">
        <v>89</v>
      </c>
      <c r="AZ35" t="s">
        <v>67</v>
      </c>
      <c r="BA35" t="s">
        <v>217</v>
      </c>
      <c r="BB35" t="s">
        <v>841</v>
      </c>
      <c r="BC35">
        <v>16.3</v>
      </c>
    </row>
    <row r="36" spans="1:57" x14ac:dyDescent="0.3">
      <c r="A36" s="204">
        <v>46235</v>
      </c>
      <c r="B36" t="s">
        <v>142</v>
      </c>
      <c r="C36" t="s">
        <v>345</v>
      </c>
      <c r="D36" t="s">
        <v>45</v>
      </c>
      <c r="E36" t="s">
        <v>68</v>
      </c>
      <c r="F36" t="s">
        <v>309</v>
      </c>
      <c r="G36" t="s">
        <v>743</v>
      </c>
      <c r="H36" t="s">
        <v>857</v>
      </c>
      <c r="I36" t="s">
        <v>402</v>
      </c>
      <c r="J36">
        <v>1</v>
      </c>
      <c r="K36">
        <v>1</v>
      </c>
      <c r="L36" t="s">
        <v>1007</v>
      </c>
      <c r="M36" s="15">
        <v>46237.469942129632</v>
      </c>
      <c r="N36" s="15">
        <v>46244.469444444447</v>
      </c>
      <c r="O36" s="15">
        <v>46240.430555555555</v>
      </c>
      <c r="P36" s="206">
        <v>46240.638888888891</v>
      </c>
      <c r="Q36" s="15"/>
      <c r="S36" t="s">
        <v>354</v>
      </c>
      <c r="U36" t="s">
        <v>1413</v>
      </c>
      <c r="V36" t="s">
        <v>354</v>
      </c>
      <c r="W36">
        <v>50</v>
      </c>
      <c r="X36" t="s">
        <v>369</v>
      </c>
      <c r="Y36" t="s">
        <v>239</v>
      </c>
      <c r="Z36" t="s">
        <v>826</v>
      </c>
      <c r="AB36" t="s">
        <v>348</v>
      </c>
      <c r="AC36" t="s">
        <v>348</v>
      </c>
      <c r="AD36" t="s">
        <v>369</v>
      </c>
      <c r="AE36" t="s">
        <v>239</v>
      </c>
      <c r="AF36" t="s">
        <v>1414</v>
      </c>
      <c r="AG36" t="s">
        <v>249</v>
      </c>
      <c r="AH36">
        <v>1</v>
      </c>
      <c r="AI36" t="s">
        <v>250</v>
      </c>
      <c r="AJ36" t="s">
        <v>248</v>
      </c>
      <c r="AK36" t="s">
        <v>827</v>
      </c>
      <c r="AL36" t="s">
        <v>156</v>
      </c>
      <c r="AM36" t="s">
        <v>828</v>
      </c>
      <c r="AN36">
        <v>1</v>
      </c>
      <c r="AO36">
        <v>46240</v>
      </c>
      <c r="AP36">
        <v>0.43055555555555558</v>
      </c>
      <c r="AQ36">
        <v>46240</v>
      </c>
      <c r="AR36">
        <v>0.63888888888888884</v>
      </c>
      <c r="AS36" t="s">
        <v>201</v>
      </c>
      <c r="AT36" t="s">
        <v>1954</v>
      </c>
      <c r="AU36" t="s">
        <v>1955</v>
      </c>
      <c r="AV36" t="s">
        <v>829</v>
      </c>
      <c r="AX36">
        <v>1</v>
      </c>
      <c r="AY36" t="s">
        <v>89</v>
      </c>
      <c r="AZ36" t="s">
        <v>67</v>
      </c>
      <c r="BA36" t="s">
        <v>217</v>
      </c>
      <c r="BB36" t="s">
        <v>841</v>
      </c>
      <c r="BC36">
        <v>16.3</v>
      </c>
      <c r="BD36">
        <v>0</v>
      </c>
    </row>
    <row r="37" spans="1:57" x14ac:dyDescent="0.3">
      <c r="A37" s="204">
        <v>46230</v>
      </c>
      <c r="B37" t="s">
        <v>142</v>
      </c>
      <c r="C37" t="s">
        <v>345</v>
      </c>
      <c r="D37" t="s">
        <v>48</v>
      </c>
      <c r="E37" t="s">
        <v>68</v>
      </c>
      <c r="F37" t="s">
        <v>309</v>
      </c>
      <c r="G37" t="s">
        <v>1008</v>
      </c>
      <c r="H37" t="s">
        <v>857</v>
      </c>
      <c r="I37" t="s">
        <v>402</v>
      </c>
      <c r="J37">
        <v>1</v>
      </c>
      <c r="K37">
        <v>1</v>
      </c>
      <c r="L37" t="s">
        <v>1009</v>
      </c>
      <c r="M37" s="15">
        <v>46233.385277777779</v>
      </c>
      <c r="N37" s="15">
        <v>46240.384722222225</v>
      </c>
      <c r="O37" s="15">
        <v>46239.651388888888</v>
      </c>
      <c r="P37" s="15">
        <v>46240.420138888891</v>
      </c>
      <c r="Q37" s="15"/>
      <c r="S37" t="s">
        <v>354</v>
      </c>
      <c r="T37" t="s">
        <v>1415</v>
      </c>
      <c r="V37" t="s">
        <v>354</v>
      </c>
      <c r="W37">
        <v>50</v>
      </c>
      <c r="X37" t="s">
        <v>369</v>
      </c>
      <c r="Y37" t="s">
        <v>239</v>
      </c>
      <c r="Z37" t="s">
        <v>826</v>
      </c>
      <c r="AB37" t="s">
        <v>348</v>
      </c>
      <c r="AC37" t="s">
        <v>348</v>
      </c>
      <c r="AD37" t="s">
        <v>369</v>
      </c>
      <c r="AE37" t="s">
        <v>239</v>
      </c>
      <c r="AF37" t="s">
        <v>1416</v>
      </c>
      <c r="AG37" t="s">
        <v>249</v>
      </c>
      <c r="AH37">
        <v>1</v>
      </c>
      <c r="AI37" t="s">
        <v>250</v>
      </c>
      <c r="AJ37" t="s">
        <v>248</v>
      </c>
      <c r="AK37" t="s">
        <v>827</v>
      </c>
      <c r="AL37" t="s">
        <v>156</v>
      </c>
      <c r="AM37" t="s">
        <v>832</v>
      </c>
      <c r="AN37">
        <v>1</v>
      </c>
      <c r="AO37">
        <v>46239</v>
      </c>
      <c r="AP37">
        <v>0.65138888888888891</v>
      </c>
      <c r="AQ37">
        <v>46240</v>
      </c>
      <c r="AR37">
        <v>0.4201388888888889</v>
      </c>
      <c r="AS37" t="s">
        <v>201</v>
      </c>
      <c r="AT37" t="s">
        <v>1954</v>
      </c>
      <c r="AU37" t="s">
        <v>1955</v>
      </c>
      <c r="AV37" t="s">
        <v>833</v>
      </c>
      <c r="AX37">
        <v>1</v>
      </c>
      <c r="AY37" t="s">
        <v>89</v>
      </c>
      <c r="AZ37" t="s">
        <v>90</v>
      </c>
      <c r="BA37" t="s">
        <v>217</v>
      </c>
      <c r="BB37" t="s">
        <v>841</v>
      </c>
      <c r="BC37">
        <v>16.3</v>
      </c>
      <c r="BD37">
        <v>0</v>
      </c>
    </row>
    <row r="38" spans="1:57" x14ac:dyDescent="0.3">
      <c r="A38" s="204">
        <v>46230</v>
      </c>
      <c r="B38" t="s">
        <v>142</v>
      </c>
      <c r="C38" t="s">
        <v>345</v>
      </c>
      <c r="D38" t="s">
        <v>45</v>
      </c>
      <c r="E38" t="s">
        <v>68</v>
      </c>
      <c r="F38" t="s">
        <v>309</v>
      </c>
      <c r="G38" t="s">
        <v>1010</v>
      </c>
      <c r="H38" t="s">
        <v>840</v>
      </c>
      <c r="I38" t="s">
        <v>399</v>
      </c>
      <c r="J38">
        <v>3</v>
      </c>
      <c r="K38">
        <v>3</v>
      </c>
      <c r="L38" t="s">
        <v>1011</v>
      </c>
      <c r="M38" s="15">
        <v>46225.311331018522</v>
      </c>
      <c r="N38" s="15">
        <v>46232.333333333336</v>
      </c>
      <c r="O38" s="15">
        <v>46225.67083333333</v>
      </c>
      <c r="P38" s="15">
        <v>46227.42291666667</v>
      </c>
      <c r="Q38" s="15"/>
      <c r="S38" t="s">
        <v>354</v>
      </c>
      <c r="T38" t="s">
        <v>837</v>
      </c>
      <c r="U38" t="s">
        <v>1417</v>
      </c>
      <c r="V38" t="s">
        <v>354</v>
      </c>
      <c r="W38">
        <v>50</v>
      </c>
      <c r="X38" t="s">
        <v>369</v>
      </c>
      <c r="Y38" t="s">
        <v>239</v>
      </c>
      <c r="Z38" t="s">
        <v>826</v>
      </c>
      <c r="AB38" t="s">
        <v>348</v>
      </c>
      <c r="AC38" t="s">
        <v>348</v>
      </c>
      <c r="AD38" t="s">
        <v>369</v>
      </c>
      <c r="AE38" t="s">
        <v>239</v>
      </c>
      <c r="AF38" t="s">
        <v>1418</v>
      </c>
      <c r="AG38" t="s">
        <v>249</v>
      </c>
      <c r="AH38">
        <v>1</v>
      </c>
      <c r="AI38" t="s">
        <v>250</v>
      </c>
      <c r="AJ38" t="s">
        <v>248</v>
      </c>
      <c r="AK38" t="s">
        <v>827</v>
      </c>
      <c r="AL38" t="s">
        <v>156</v>
      </c>
      <c r="AM38" t="s">
        <v>828</v>
      </c>
      <c r="AN38">
        <v>1</v>
      </c>
      <c r="AO38">
        <v>46225</v>
      </c>
      <c r="AP38">
        <v>0.67083333333333328</v>
      </c>
      <c r="AQ38">
        <v>46227</v>
      </c>
      <c r="AR38">
        <v>0.42291666666666666</v>
      </c>
      <c r="AS38" t="s">
        <v>201</v>
      </c>
      <c r="AT38" t="s">
        <v>1956</v>
      </c>
      <c r="AU38" t="s">
        <v>1955</v>
      </c>
      <c r="AV38" t="s">
        <v>829</v>
      </c>
      <c r="AX38">
        <v>1</v>
      </c>
      <c r="AY38" t="s">
        <v>89</v>
      </c>
      <c r="AZ38" t="s">
        <v>67</v>
      </c>
      <c r="BA38" t="s">
        <v>217</v>
      </c>
      <c r="BB38" t="s">
        <v>841</v>
      </c>
      <c r="BC38">
        <v>16.3</v>
      </c>
      <c r="BD38">
        <v>0</v>
      </c>
      <c r="BE38">
        <v>1</v>
      </c>
    </row>
    <row r="39" spans="1:57" x14ac:dyDescent="0.3">
      <c r="A39" s="204">
        <v>46230</v>
      </c>
      <c r="B39" t="s">
        <v>142</v>
      </c>
      <c r="C39" t="s">
        <v>345</v>
      </c>
      <c r="D39" t="s">
        <v>45</v>
      </c>
      <c r="E39" t="s">
        <v>68</v>
      </c>
      <c r="F39" t="s">
        <v>309</v>
      </c>
      <c r="G39" t="s">
        <v>1012</v>
      </c>
      <c r="H39" t="s">
        <v>840</v>
      </c>
      <c r="I39" t="s">
        <v>399</v>
      </c>
      <c r="J39">
        <v>4</v>
      </c>
      <c r="K39">
        <v>4</v>
      </c>
      <c r="L39" t="s">
        <v>1011</v>
      </c>
      <c r="M39" s="15">
        <v>46225.310555555552</v>
      </c>
      <c r="N39" s="15">
        <v>46232.333333333336</v>
      </c>
      <c r="O39" s="15">
        <v>46225.67083333333</v>
      </c>
      <c r="P39" s="15">
        <v>46227.42291666667</v>
      </c>
      <c r="Q39" s="15"/>
      <c r="S39" t="s">
        <v>354</v>
      </c>
      <c r="T39" t="s">
        <v>837</v>
      </c>
      <c r="U39" t="s">
        <v>1419</v>
      </c>
      <c r="V39" t="s">
        <v>354</v>
      </c>
      <c r="W39">
        <v>50</v>
      </c>
      <c r="X39" t="s">
        <v>369</v>
      </c>
      <c r="Y39" t="s">
        <v>239</v>
      </c>
      <c r="Z39" t="s">
        <v>826</v>
      </c>
      <c r="AB39" t="s">
        <v>348</v>
      </c>
      <c r="AC39" t="s">
        <v>348</v>
      </c>
      <c r="AD39" t="s">
        <v>369</v>
      </c>
      <c r="AE39" t="s">
        <v>239</v>
      </c>
      <c r="AF39" t="s">
        <v>1420</v>
      </c>
      <c r="AG39" t="s">
        <v>249</v>
      </c>
      <c r="AH39">
        <v>1</v>
      </c>
      <c r="AI39" t="s">
        <v>250</v>
      </c>
      <c r="AJ39" t="s">
        <v>248</v>
      </c>
      <c r="AK39" t="s">
        <v>827</v>
      </c>
      <c r="AL39" t="s">
        <v>156</v>
      </c>
      <c r="AM39" t="s">
        <v>828</v>
      </c>
      <c r="AN39">
        <v>1</v>
      </c>
      <c r="AO39">
        <v>46225</v>
      </c>
      <c r="AP39">
        <v>0.67083333333333328</v>
      </c>
      <c r="AQ39">
        <v>46227</v>
      </c>
      <c r="AR39">
        <v>0.42291666666666666</v>
      </c>
      <c r="AS39" t="s">
        <v>201</v>
      </c>
      <c r="AT39" t="s">
        <v>1956</v>
      </c>
      <c r="AU39" t="s">
        <v>1955</v>
      </c>
      <c r="AV39" t="s">
        <v>829</v>
      </c>
      <c r="AX39">
        <v>1</v>
      </c>
      <c r="AY39" t="s">
        <v>89</v>
      </c>
      <c r="AZ39" t="s">
        <v>67</v>
      </c>
      <c r="BA39" t="s">
        <v>217</v>
      </c>
      <c r="BB39" t="s">
        <v>841</v>
      </c>
      <c r="BC39">
        <v>16.3</v>
      </c>
    </row>
    <row r="40" spans="1:57" x14ac:dyDescent="0.3">
      <c r="A40" s="204">
        <v>46230</v>
      </c>
      <c r="B40" t="s">
        <v>142</v>
      </c>
      <c r="C40" t="s">
        <v>345</v>
      </c>
      <c r="D40" t="s">
        <v>48</v>
      </c>
      <c r="E40" t="s">
        <v>68</v>
      </c>
      <c r="F40" t="s">
        <v>309</v>
      </c>
      <c r="G40" t="s">
        <v>1013</v>
      </c>
      <c r="H40" t="s">
        <v>877</v>
      </c>
      <c r="I40" t="s">
        <v>402</v>
      </c>
      <c r="J40">
        <v>1</v>
      </c>
      <c r="K40">
        <v>1</v>
      </c>
      <c r="L40" t="s">
        <v>1014</v>
      </c>
      <c r="M40" s="15">
        <v>46225.384560185186</v>
      </c>
      <c r="N40" s="15">
        <v>46232.384027777778</v>
      </c>
      <c r="O40" s="15">
        <v>46225.698611111111</v>
      </c>
      <c r="P40" s="15">
        <v>46227.40347222222</v>
      </c>
      <c r="Q40" s="15"/>
      <c r="S40" t="s">
        <v>354</v>
      </c>
      <c r="T40" t="s">
        <v>837</v>
      </c>
      <c r="V40" t="s">
        <v>354</v>
      </c>
      <c r="W40">
        <v>50</v>
      </c>
      <c r="X40" t="s">
        <v>369</v>
      </c>
      <c r="Y40" t="s">
        <v>239</v>
      </c>
      <c r="Z40" t="s">
        <v>826</v>
      </c>
      <c r="AB40" t="s">
        <v>348</v>
      </c>
      <c r="AC40" t="s">
        <v>348</v>
      </c>
      <c r="AD40" t="s">
        <v>369</v>
      </c>
      <c r="AE40" t="s">
        <v>239</v>
      </c>
      <c r="AF40" t="s">
        <v>1421</v>
      </c>
      <c r="AG40" t="s">
        <v>249</v>
      </c>
      <c r="AH40">
        <v>1</v>
      </c>
      <c r="AI40" t="s">
        <v>250</v>
      </c>
      <c r="AJ40" t="s">
        <v>248</v>
      </c>
      <c r="AK40" t="s">
        <v>827</v>
      </c>
      <c r="AL40" t="s">
        <v>156</v>
      </c>
      <c r="AM40" t="s">
        <v>832</v>
      </c>
      <c r="AN40">
        <v>1</v>
      </c>
      <c r="AO40">
        <v>46225</v>
      </c>
      <c r="AP40">
        <v>0.69861111111111107</v>
      </c>
      <c r="AQ40">
        <v>46227</v>
      </c>
      <c r="AR40">
        <v>0.40347222222222223</v>
      </c>
      <c r="AS40" t="s">
        <v>201</v>
      </c>
      <c r="AT40" t="s">
        <v>1956</v>
      </c>
      <c r="AU40" t="s">
        <v>1955</v>
      </c>
      <c r="AV40" t="s">
        <v>833</v>
      </c>
      <c r="AX40">
        <v>1</v>
      </c>
      <c r="AY40" t="s">
        <v>89</v>
      </c>
      <c r="AZ40" t="s">
        <v>90</v>
      </c>
      <c r="BA40" t="s">
        <v>217</v>
      </c>
      <c r="BB40" t="s">
        <v>841</v>
      </c>
      <c r="BC40">
        <v>16.3</v>
      </c>
    </row>
    <row r="41" spans="1:57" x14ac:dyDescent="0.3">
      <c r="A41" s="204">
        <v>46230</v>
      </c>
      <c r="B41" t="s">
        <v>142</v>
      </c>
      <c r="C41" t="s">
        <v>345</v>
      </c>
      <c r="D41" t="s">
        <v>48</v>
      </c>
      <c r="E41" t="s">
        <v>68</v>
      </c>
      <c r="F41" t="s">
        <v>309</v>
      </c>
      <c r="G41" t="s">
        <v>1015</v>
      </c>
      <c r="H41" t="s">
        <v>857</v>
      </c>
      <c r="I41" t="s">
        <v>402</v>
      </c>
      <c r="J41">
        <v>1</v>
      </c>
      <c r="K41">
        <v>1</v>
      </c>
      <c r="L41" t="s">
        <v>1016</v>
      </c>
      <c r="M41" s="15">
        <v>46225.554189814815</v>
      </c>
      <c r="N41" s="15">
        <v>46232.554166666669</v>
      </c>
      <c r="O41" s="15">
        <v>46225.708333333336</v>
      </c>
      <c r="P41" s="15">
        <v>46227.40347222222</v>
      </c>
      <c r="Q41" s="15"/>
      <c r="S41" t="s">
        <v>354</v>
      </c>
      <c r="T41" t="s">
        <v>837</v>
      </c>
      <c r="V41" t="s">
        <v>354</v>
      </c>
      <c r="W41">
        <v>50</v>
      </c>
      <c r="X41" t="s">
        <v>369</v>
      </c>
      <c r="Y41" t="s">
        <v>239</v>
      </c>
      <c r="Z41" t="s">
        <v>826</v>
      </c>
      <c r="AB41" t="s">
        <v>348</v>
      </c>
      <c r="AC41" t="s">
        <v>348</v>
      </c>
      <c r="AD41" t="s">
        <v>369</v>
      </c>
      <c r="AE41" t="s">
        <v>239</v>
      </c>
      <c r="AF41" t="s">
        <v>1422</v>
      </c>
      <c r="AG41" t="s">
        <v>249</v>
      </c>
      <c r="AH41">
        <v>1</v>
      </c>
      <c r="AI41" t="s">
        <v>250</v>
      </c>
      <c r="AJ41" t="s">
        <v>248</v>
      </c>
      <c r="AK41" t="s">
        <v>827</v>
      </c>
      <c r="AL41" t="s">
        <v>156</v>
      </c>
      <c r="AM41" t="s">
        <v>832</v>
      </c>
      <c r="AN41">
        <v>1</v>
      </c>
      <c r="AO41">
        <v>46225</v>
      </c>
      <c r="AP41">
        <v>0.70833333333333337</v>
      </c>
      <c r="AQ41">
        <v>46227</v>
      </c>
      <c r="AR41">
        <v>0.40347222222222223</v>
      </c>
      <c r="AS41" t="s">
        <v>201</v>
      </c>
      <c r="AT41" t="s">
        <v>1956</v>
      </c>
      <c r="AU41" t="s">
        <v>1955</v>
      </c>
      <c r="AV41" t="s">
        <v>833</v>
      </c>
      <c r="AX41">
        <v>1</v>
      </c>
      <c r="AY41" t="s">
        <v>89</v>
      </c>
      <c r="AZ41" t="s">
        <v>90</v>
      </c>
      <c r="BA41" t="s">
        <v>217</v>
      </c>
      <c r="BB41" t="s">
        <v>841</v>
      </c>
      <c r="BC41">
        <v>16.3</v>
      </c>
    </row>
    <row r="42" spans="1:57" x14ac:dyDescent="0.3">
      <c r="A42" s="204">
        <v>46230</v>
      </c>
      <c r="B42" t="s">
        <v>142</v>
      </c>
      <c r="C42" t="s">
        <v>345</v>
      </c>
      <c r="D42" t="s">
        <v>43</v>
      </c>
      <c r="E42" t="s">
        <v>105</v>
      </c>
      <c r="F42" t="s">
        <v>309</v>
      </c>
      <c r="G42" t="s">
        <v>1017</v>
      </c>
      <c r="H42" t="s">
        <v>857</v>
      </c>
      <c r="I42" t="s">
        <v>402</v>
      </c>
      <c r="J42">
        <v>6</v>
      </c>
      <c r="K42">
        <v>6</v>
      </c>
      <c r="L42" t="s">
        <v>1018</v>
      </c>
      <c r="M42" s="15">
        <v>46226.328611111108</v>
      </c>
      <c r="N42" s="15">
        <v>46233.333333333336</v>
      </c>
      <c r="O42" s="15">
        <v>46226.431250000001</v>
      </c>
      <c r="P42" s="15">
        <v>46227.40347222222</v>
      </c>
      <c r="Q42" s="15"/>
      <c r="S42" t="s">
        <v>354</v>
      </c>
      <c r="T42" t="s">
        <v>837</v>
      </c>
      <c r="V42" t="s">
        <v>354</v>
      </c>
      <c r="W42">
        <v>50</v>
      </c>
      <c r="X42" t="s">
        <v>369</v>
      </c>
      <c r="Y42" t="s">
        <v>239</v>
      </c>
      <c r="Z42" t="s">
        <v>826</v>
      </c>
      <c r="AB42" t="s">
        <v>348</v>
      </c>
      <c r="AC42" t="s">
        <v>348</v>
      </c>
      <c r="AD42" t="s">
        <v>369</v>
      </c>
      <c r="AE42" t="s">
        <v>239</v>
      </c>
      <c r="AF42" t="s">
        <v>1423</v>
      </c>
      <c r="AG42" t="s">
        <v>249</v>
      </c>
      <c r="AH42">
        <v>1</v>
      </c>
      <c r="AI42" t="s">
        <v>250</v>
      </c>
      <c r="AJ42" t="s">
        <v>248</v>
      </c>
      <c r="AK42" t="s">
        <v>827</v>
      </c>
      <c r="AL42" t="s">
        <v>156</v>
      </c>
      <c r="AM42" t="s">
        <v>838</v>
      </c>
      <c r="AN42">
        <v>2</v>
      </c>
      <c r="AO42">
        <v>46226</v>
      </c>
      <c r="AP42">
        <v>0.43125000000000002</v>
      </c>
      <c r="AQ42">
        <v>46227</v>
      </c>
      <c r="AR42">
        <v>0.40347222222222223</v>
      </c>
      <c r="AS42" t="s">
        <v>201</v>
      </c>
      <c r="AT42" t="s">
        <v>1954</v>
      </c>
      <c r="AU42" t="s">
        <v>1955</v>
      </c>
      <c r="AV42" t="s">
        <v>839</v>
      </c>
      <c r="AX42">
        <v>1</v>
      </c>
      <c r="AY42" t="s">
        <v>89</v>
      </c>
      <c r="AZ42" t="s">
        <v>67</v>
      </c>
      <c r="BA42" t="s">
        <v>217</v>
      </c>
      <c r="BB42" t="s">
        <v>841</v>
      </c>
      <c r="BC42">
        <v>16.3</v>
      </c>
    </row>
    <row r="43" spans="1:57" x14ac:dyDescent="0.3">
      <c r="A43" s="204">
        <v>46230</v>
      </c>
      <c r="B43" t="s">
        <v>142</v>
      </c>
      <c r="C43" t="s">
        <v>345</v>
      </c>
      <c r="D43" t="s">
        <v>48</v>
      </c>
      <c r="E43" t="s">
        <v>68</v>
      </c>
      <c r="F43" t="s">
        <v>309</v>
      </c>
      <c r="G43" t="s">
        <v>745</v>
      </c>
      <c r="H43" t="s">
        <v>843</v>
      </c>
      <c r="I43" t="s">
        <v>402</v>
      </c>
      <c r="J43">
        <v>1</v>
      </c>
      <c r="K43">
        <v>1</v>
      </c>
      <c r="L43" t="s">
        <v>1019</v>
      </c>
      <c r="M43" s="15">
        <v>46252.400995370372</v>
      </c>
      <c r="N43" s="15">
        <v>46259.400694444441</v>
      </c>
      <c r="O43" s="15">
        <v>46253.65</v>
      </c>
      <c r="P43" s="15">
        <v>46254.420138888891</v>
      </c>
      <c r="Q43" s="15"/>
      <c r="S43" t="s">
        <v>354</v>
      </c>
      <c r="T43" t="s">
        <v>837</v>
      </c>
      <c r="V43" t="s">
        <v>354</v>
      </c>
      <c r="W43">
        <v>50</v>
      </c>
      <c r="X43" t="s">
        <v>369</v>
      </c>
      <c r="Y43" t="s">
        <v>239</v>
      </c>
      <c r="Z43" t="s">
        <v>826</v>
      </c>
      <c r="AB43" t="s">
        <v>348</v>
      </c>
      <c r="AC43" t="s">
        <v>348</v>
      </c>
      <c r="AD43" t="s">
        <v>369</v>
      </c>
      <c r="AE43" t="s">
        <v>239</v>
      </c>
      <c r="AF43" t="s">
        <v>1424</v>
      </c>
      <c r="AG43" t="s">
        <v>249</v>
      </c>
      <c r="AH43">
        <v>1</v>
      </c>
      <c r="AI43" t="s">
        <v>250</v>
      </c>
      <c r="AJ43" t="s">
        <v>248</v>
      </c>
      <c r="AK43" t="s">
        <v>827</v>
      </c>
      <c r="AL43" t="s">
        <v>156</v>
      </c>
      <c r="AM43" t="s">
        <v>832</v>
      </c>
      <c r="AN43">
        <v>1</v>
      </c>
      <c r="AO43">
        <v>46253</v>
      </c>
      <c r="AP43">
        <v>0.65</v>
      </c>
      <c r="AQ43">
        <v>46254</v>
      </c>
      <c r="AR43">
        <v>0.4201388888888889</v>
      </c>
      <c r="AS43" t="s">
        <v>201</v>
      </c>
      <c r="AT43" t="s">
        <v>1954</v>
      </c>
      <c r="AU43" t="s">
        <v>1955</v>
      </c>
      <c r="AV43" t="s">
        <v>833</v>
      </c>
      <c r="AX43">
        <v>1</v>
      </c>
      <c r="AY43" t="s">
        <v>89</v>
      </c>
      <c r="AZ43" t="s">
        <v>90</v>
      </c>
      <c r="BA43" t="s">
        <v>217</v>
      </c>
      <c r="BB43" t="s">
        <v>841</v>
      </c>
      <c r="BC43">
        <v>16.3</v>
      </c>
      <c r="BD43">
        <v>0</v>
      </c>
      <c r="BE43">
        <v>1</v>
      </c>
    </row>
    <row r="44" spans="1:57" x14ac:dyDescent="0.3">
      <c r="A44" s="204">
        <v>46230</v>
      </c>
      <c r="B44" t="s">
        <v>142</v>
      </c>
      <c r="C44" t="s">
        <v>345</v>
      </c>
      <c r="D44" t="s">
        <v>48</v>
      </c>
      <c r="E44" t="s">
        <v>68</v>
      </c>
      <c r="F44" t="s">
        <v>309</v>
      </c>
      <c r="G44" t="s">
        <v>745</v>
      </c>
      <c r="H44" t="s">
        <v>843</v>
      </c>
      <c r="I44" t="s">
        <v>402</v>
      </c>
      <c r="J44">
        <v>1</v>
      </c>
      <c r="K44">
        <v>1</v>
      </c>
      <c r="L44" t="s">
        <v>1020</v>
      </c>
      <c r="M44" s="15">
        <v>46252.400995370372</v>
      </c>
      <c r="N44" s="15">
        <v>46259.400694444441</v>
      </c>
      <c r="O44" s="15">
        <v>46253.374305555553</v>
      </c>
      <c r="P44" s="15">
        <v>46254.420138888891</v>
      </c>
      <c r="Q44" s="15"/>
      <c r="S44" t="s">
        <v>354</v>
      </c>
      <c r="T44" t="s">
        <v>837</v>
      </c>
      <c r="V44" t="s">
        <v>354</v>
      </c>
      <c r="W44">
        <v>50</v>
      </c>
      <c r="X44" t="s">
        <v>369</v>
      </c>
      <c r="Y44" t="s">
        <v>239</v>
      </c>
      <c r="Z44" t="s">
        <v>826</v>
      </c>
      <c r="AB44" t="s">
        <v>348</v>
      </c>
      <c r="AC44" t="s">
        <v>348</v>
      </c>
      <c r="AD44" t="s">
        <v>369</v>
      </c>
      <c r="AE44" t="s">
        <v>239</v>
      </c>
      <c r="AF44" t="s">
        <v>1425</v>
      </c>
      <c r="AG44" t="s">
        <v>249</v>
      </c>
      <c r="AH44">
        <v>1</v>
      </c>
      <c r="AI44" t="s">
        <v>250</v>
      </c>
      <c r="AJ44" t="s">
        <v>248</v>
      </c>
      <c r="AK44" t="s">
        <v>827</v>
      </c>
      <c r="AL44" t="s">
        <v>156</v>
      </c>
      <c r="AM44" t="s">
        <v>832</v>
      </c>
      <c r="AN44">
        <v>1</v>
      </c>
      <c r="AO44">
        <v>46253</v>
      </c>
      <c r="AP44">
        <v>0.37430555555555556</v>
      </c>
      <c r="AQ44">
        <v>46254</v>
      </c>
      <c r="AR44">
        <v>0.4201388888888889</v>
      </c>
      <c r="AS44" t="s">
        <v>201</v>
      </c>
      <c r="AT44" t="s">
        <v>1956</v>
      </c>
      <c r="AU44" t="s">
        <v>1955</v>
      </c>
      <c r="AV44" t="s">
        <v>833</v>
      </c>
      <c r="AX44">
        <v>1</v>
      </c>
      <c r="AY44" t="s">
        <v>89</v>
      </c>
      <c r="AZ44" t="s">
        <v>90</v>
      </c>
      <c r="BA44" t="s">
        <v>217</v>
      </c>
      <c r="BB44" t="s">
        <v>841</v>
      </c>
      <c r="BC44">
        <v>16.3</v>
      </c>
    </row>
    <row r="45" spans="1:57" x14ac:dyDescent="0.3">
      <c r="A45" s="204">
        <v>46230</v>
      </c>
      <c r="B45" t="s">
        <v>142</v>
      </c>
      <c r="C45" t="s">
        <v>345</v>
      </c>
      <c r="D45" t="s">
        <v>48</v>
      </c>
      <c r="E45" t="s">
        <v>68</v>
      </c>
      <c r="F45" t="s">
        <v>309</v>
      </c>
      <c r="G45" t="s">
        <v>746</v>
      </c>
      <c r="H45" t="s">
        <v>919</v>
      </c>
      <c r="I45" t="s">
        <v>402</v>
      </c>
      <c r="J45">
        <v>1</v>
      </c>
      <c r="K45">
        <v>1</v>
      </c>
      <c r="L45" t="s">
        <v>1021</v>
      </c>
      <c r="M45" s="15">
        <v>46251.60728009259</v>
      </c>
      <c r="N45" s="15">
        <v>46258.606944444444</v>
      </c>
      <c r="O45" s="15">
        <v>46252.679166666669</v>
      </c>
      <c r="P45" s="15">
        <v>46254.420138888891</v>
      </c>
      <c r="Q45" s="15"/>
      <c r="S45" t="s">
        <v>354</v>
      </c>
      <c r="T45" t="s">
        <v>1426</v>
      </c>
      <c r="V45" t="s">
        <v>354</v>
      </c>
      <c r="W45">
        <v>50</v>
      </c>
      <c r="X45" t="s">
        <v>369</v>
      </c>
      <c r="Y45" t="s">
        <v>239</v>
      </c>
      <c r="Z45" t="s">
        <v>826</v>
      </c>
      <c r="AB45" t="s">
        <v>348</v>
      </c>
      <c r="AC45" t="s">
        <v>348</v>
      </c>
      <c r="AD45" t="s">
        <v>369</v>
      </c>
      <c r="AE45" t="s">
        <v>239</v>
      </c>
      <c r="AF45" t="s">
        <v>1427</v>
      </c>
      <c r="AG45" t="s">
        <v>249</v>
      </c>
      <c r="AH45">
        <v>1</v>
      </c>
      <c r="AI45" t="s">
        <v>250</v>
      </c>
      <c r="AJ45" t="s">
        <v>248</v>
      </c>
      <c r="AK45" t="s">
        <v>827</v>
      </c>
      <c r="AL45" t="s">
        <v>156</v>
      </c>
      <c r="AM45" t="s">
        <v>832</v>
      </c>
      <c r="AN45">
        <v>1</v>
      </c>
      <c r="AO45">
        <v>46252</v>
      </c>
      <c r="AP45">
        <v>0.6791666666666667</v>
      </c>
      <c r="AQ45">
        <v>46254</v>
      </c>
      <c r="AR45">
        <v>0.4201388888888889</v>
      </c>
      <c r="AS45" t="s">
        <v>201</v>
      </c>
      <c r="AT45" t="s">
        <v>1956</v>
      </c>
      <c r="AU45" t="s">
        <v>1955</v>
      </c>
      <c r="AV45" t="s">
        <v>833</v>
      </c>
      <c r="AX45">
        <v>1</v>
      </c>
      <c r="AY45" t="s">
        <v>89</v>
      </c>
      <c r="AZ45" t="s">
        <v>90</v>
      </c>
      <c r="BA45" t="s">
        <v>217</v>
      </c>
      <c r="BB45" t="s">
        <v>841</v>
      </c>
      <c r="BC45">
        <v>16.3</v>
      </c>
      <c r="BD45">
        <v>0</v>
      </c>
    </row>
    <row r="46" spans="1:57" x14ac:dyDescent="0.3">
      <c r="A46" s="204">
        <v>46230</v>
      </c>
      <c r="B46" t="s">
        <v>142</v>
      </c>
      <c r="C46" t="s">
        <v>345</v>
      </c>
      <c r="D46" t="s">
        <v>48</v>
      </c>
      <c r="E46" t="s">
        <v>68</v>
      </c>
      <c r="F46" t="s">
        <v>309</v>
      </c>
      <c r="G46" t="s">
        <v>1022</v>
      </c>
      <c r="H46" t="s">
        <v>857</v>
      </c>
      <c r="I46" t="s">
        <v>402</v>
      </c>
      <c r="J46">
        <v>1</v>
      </c>
      <c r="K46">
        <v>1</v>
      </c>
      <c r="L46" t="s">
        <v>1023</v>
      </c>
      <c r="M46" s="15">
        <v>46237.403981481482</v>
      </c>
      <c r="N46" s="15">
        <v>46244.40347222222</v>
      </c>
      <c r="O46" s="15">
        <v>46237.502083333333</v>
      </c>
      <c r="P46" s="15">
        <v>46239.458333333336</v>
      </c>
      <c r="Q46" s="15"/>
      <c r="S46" t="s">
        <v>354</v>
      </c>
      <c r="T46" t="s">
        <v>837</v>
      </c>
      <c r="V46" t="s">
        <v>354</v>
      </c>
      <c r="W46">
        <v>50</v>
      </c>
      <c r="X46" t="s">
        <v>369</v>
      </c>
      <c r="Y46" t="s">
        <v>239</v>
      </c>
      <c r="Z46" t="s">
        <v>826</v>
      </c>
      <c r="AB46" t="s">
        <v>348</v>
      </c>
      <c r="AC46" t="s">
        <v>348</v>
      </c>
      <c r="AD46" t="s">
        <v>369</v>
      </c>
      <c r="AE46" t="s">
        <v>239</v>
      </c>
      <c r="AF46" t="s">
        <v>1428</v>
      </c>
      <c r="AG46" t="s">
        <v>249</v>
      </c>
      <c r="AH46">
        <v>1</v>
      </c>
      <c r="AI46" t="s">
        <v>250</v>
      </c>
      <c r="AJ46" t="s">
        <v>248</v>
      </c>
      <c r="AK46" t="s">
        <v>827</v>
      </c>
      <c r="AL46" t="s">
        <v>156</v>
      </c>
      <c r="AM46" t="s">
        <v>832</v>
      </c>
      <c r="AN46">
        <v>1</v>
      </c>
      <c r="AO46">
        <v>46237</v>
      </c>
      <c r="AP46">
        <v>0.50208333333333333</v>
      </c>
      <c r="AQ46">
        <v>46239</v>
      </c>
      <c r="AR46">
        <v>0.45833333333333331</v>
      </c>
      <c r="AS46" t="s">
        <v>201</v>
      </c>
      <c r="AT46" t="s">
        <v>1956</v>
      </c>
      <c r="AU46" t="s">
        <v>1955</v>
      </c>
      <c r="AV46" t="s">
        <v>833</v>
      </c>
      <c r="AX46">
        <v>1</v>
      </c>
      <c r="AY46" t="s">
        <v>89</v>
      </c>
      <c r="AZ46" t="s">
        <v>90</v>
      </c>
      <c r="BA46" t="s">
        <v>217</v>
      </c>
      <c r="BB46" t="s">
        <v>841</v>
      </c>
      <c r="BC46">
        <v>16.3</v>
      </c>
      <c r="BD46">
        <v>0</v>
      </c>
      <c r="BE46">
        <v>1</v>
      </c>
    </row>
    <row r="47" spans="1:57" x14ac:dyDescent="0.3">
      <c r="A47" s="204">
        <v>46237</v>
      </c>
      <c r="B47" t="s">
        <v>142</v>
      </c>
      <c r="C47" t="s">
        <v>345</v>
      </c>
      <c r="D47" t="s">
        <v>48</v>
      </c>
      <c r="E47" t="s">
        <v>68</v>
      </c>
      <c r="F47" t="s">
        <v>309</v>
      </c>
      <c r="G47" t="s">
        <v>1024</v>
      </c>
      <c r="H47" t="s">
        <v>919</v>
      </c>
      <c r="I47" t="s">
        <v>402</v>
      </c>
      <c r="J47">
        <v>1</v>
      </c>
      <c r="K47">
        <v>1</v>
      </c>
      <c r="L47" t="s">
        <v>1025</v>
      </c>
      <c r="M47" s="15">
        <v>46245.504618055558</v>
      </c>
      <c r="N47" s="15">
        <v>46252.5</v>
      </c>
      <c r="O47" s="15">
        <v>46251.37777777778</v>
      </c>
      <c r="P47" s="15">
        <v>46252.390972222223</v>
      </c>
      <c r="Q47" s="15"/>
      <c r="S47" t="s">
        <v>354</v>
      </c>
      <c r="U47" t="s">
        <v>1429</v>
      </c>
      <c r="V47" t="s">
        <v>354</v>
      </c>
      <c r="W47">
        <v>50</v>
      </c>
      <c r="X47" t="s">
        <v>369</v>
      </c>
      <c r="Y47" t="s">
        <v>239</v>
      </c>
      <c r="Z47" t="s">
        <v>826</v>
      </c>
      <c r="AB47" t="s">
        <v>348</v>
      </c>
      <c r="AC47" t="s">
        <v>348</v>
      </c>
      <c r="AD47" t="s">
        <v>369</v>
      </c>
      <c r="AE47" t="s">
        <v>239</v>
      </c>
      <c r="AF47" t="s">
        <v>1430</v>
      </c>
      <c r="AG47" t="s">
        <v>249</v>
      </c>
      <c r="AH47">
        <v>1</v>
      </c>
      <c r="AI47" t="s">
        <v>250</v>
      </c>
      <c r="AJ47" t="s">
        <v>248</v>
      </c>
      <c r="AK47" t="s">
        <v>827</v>
      </c>
      <c r="AL47" t="s">
        <v>156</v>
      </c>
      <c r="AM47" t="s">
        <v>832</v>
      </c>
      <c r="AN47">
        <v>1</v>
      </c>
      <c r="AO47">
        <v>46251</v>
      </c>
      <c r="AP47">
        <v>0.37777777777777777</v>
      </c>
      <c r="AQ47">
        <v>46252</v>
      </c>
      <c r="AR47">
        <v>0.39097222222222222</v>
      </c>
      <c r="AS47" t="s">
        <v>201</v>
      </c>
      <c r="AT47" t="s">
        <v>1956</v>
      </c>
      <c r="AU47" t="s">
        <v>1955</v>
      </c>
      <c r="AV47" t="s">
        <v>833</v>
      </c>
      <c r="AX47">
        <v>1</v>
      </c>
      <c r="AY47" t="s">
        <v>89</v>
      </c>
      <c r="AZ47" t="s">
        <v>90</v>
      </c>
      <c r="BA47" t="s">
        <v>217</v>
      </c>
      <c r="BB47" t="s">
        <v>841</v>
      </c>
      <c r="BC47">
        <v>16.3</v>
      </c>
      <c r="BD47">
        <v>0</v>
      </c>
      <c r="BE47">
        <v>1</v>
      </c>
    </row>
    <row r="48" spans="1:57" x14ac:dyDescent="0.3">
      <c r="A48" s="204">
        <v>46235</v>
      </c>
      <c r="B48" t="s">
        <v>142</v>
      </c>
      <c r="C48" t="s">
        <v>345</v>
      </c>
      <c r="D48" t="s">
        <v>48</v>
      </c>
      <c r="E48" t="s">
        <v>68</v>
      </c>
      <c r="F48" t="s">
        <v>309</v>
      </c>
      <c r="G48" t="s">
        <v>1026</v>
      </c>
      <c r="H48" t="s">
        <v>857</v>
      </c>
      <c r="I48" t="s">
        <v>402</v>
      </c>
      <c r="J48">
        <v>1</v>
      </c>
      <c r="K48">
        <v>1</v>
      </c>
      <c r="L48" t="s">
        <v>1027</v>
      </c>
      <c r="M48" s="15">
        <v>46224.674085648148</v>
      </c>
      <c r="N48" s="15">
        <v>46231.673611111109</v>
      </c>
      <c r="O48" s="15">
        <v>46226.561562499999</v>
      </c>
      <c r="P48" s="15">
        <v>46230.489583333336</v>
      </c>
      <c r="Q48" s="15"/>
      <c r="S48" t="s">
        <v>354</v>
      </c>
      <c r="T48" t="s">
        <v>1431</v>
      </c>
      <c r="U48" t="s">
        <v>1432</v>
      </c>
      <c r="V48" t="s">
        <v>354</v>
      </c>
      <c r="W48">
        <v>50</v>
      </c>
      <c r="X48" t="s">
        <v>369</v>
      </c>
      <c r="Y48" t="s">
        <v>239</v>
      </c>
      <c r="Z48" t="s">
        <v>826</v>
      </c>
      <c r="AB48" t="s">
        <v>348</v>
      </c>
      <c r="AC48" t="s">
        <v>348</v>
      </c>
      <c r="AD48" t="s">
        <v>369</v>
      </c>
      <c r="AE48" t="s">
        <v>239</v>
      </c>
      <c r="AF48" t="s">
        <v>1433</v>
      </c>
      <c r="AG48" t="s">
        <v>249</v>
      </c>
      <c r="AH48">
        <v>1</v>
      </c>
      <c r="AI48" t="s">
        <v>250</v>
      </c>
      <c r="AJ48" t="s">
        <v>248</v>
      </c>
      <c r="AK48" t="s">
        <v>827</v>
      </c>
      <c r="AL48" t="s">
        <v>156</v>
      </c>
      <c r="AM48" t="s">
        <v>832</v>
      </c>
      <c r="AN48">
        <v>1</v>
      </c>
      <c r="AO48">
        <v>46226</v>
      </c>
      <c r="AP48">
        <v>0.56156249999999996</v>
      </c>
      <c r="AQ48">
        <v>46230</v>
      </c>
      <c r="AR48">
        <v>0.48958333333333331</v>
      </c>
      <c r="AS48" t="s">
        <v>201</v>
      </c>
      <c r="AT48" t="s">
        <v>1956</v>
      </c>
      <c r="AU48" t="s">
        <v>1955</v>
      </c>
      <c r="AV48" t="s">
        <v>833</v>
      </c>
      <c r="AX48">
        <v>1</v>
      </c>
      <c r="AY48" t="s">
        <v>89</v>
      </c>
      <c r="AZ48" t="s">
        <v>90</v>
      </c>
      <c r="BA48" t="s">
        <v>217</v>
      </c>
      <c r="BB48" t="s">
        <v>841</v>
      </c>
      <c r="BC48">
        <v>16.3</v>
      </c>
      <c r="BD48">
        <v>0</v>
      </c>
      <c r="BE48">
        <v>1</v>
      </c>
    </row>
    <row r="49" spans="1:57" x14ac:dyDescent="0.3">
      <c r="A49" s="204">
        <v>46235</v>
      </c>
      <c r="B49" t="s">
        <v>142</v>
      </c>
      <c r="C49" t="s">
        <v>345</v>
      </c>
      <c r="D49" t="s">
        <v>48</v>
      </c>
      <c r="E49" t="s">
        <v>68</v>
      </c>
      <c r="F49" t="s">
        <v>309</v>
      </c>
      <c r="G49" t="s">
        <v>1028</v>
      </c>
      <c r="H49" t="s">
        <v>857</v>
      </c>
      <c r="I49" t="s">
        <v>402</v>
      </c>
      <c r="J49">
        <v>1</v>
      </c>
      <c r="K49">
        <v>1</v>
      </c>
      <c r="L49" t="s">
        <v>1029</v>
      </c>
      <c r="M49" s="15">
        <v>46220.546053240738</v>
      </c>
      <c r="N49" s="15">
        <v>46227.54583333333</v>
      </c>
      <c r="O49" s="15">
        <v>46224.709398148145</v>
      </c>
      <c r="P49" s="15">
        <v>46226.411805555559</v>
      </c>
      <c r="Q49" s="15"/>
      <c r="S49" t="s">
        <v>354</v>
      </c>
      <c r="V49" t="s">
        <v>354</v>
      </c>
      <c r="W49">
        <v>50</v>
      </c>
      <c r="X49" t="s">
        <v>369</v>
      </c>
      <c r="Y49" t="s">
        <v>239</v>
      </c>
      <c r="Z49" t="s">
        <v>826</v>
      </c>
      <c r="AB49" t="s">
        <v>348</v>
      </c>
      <c r="AC49" t="s">
        <v>348</v>
      </c>
      <c r="AD49" t="s">
        <v>369</v>
      </c>
      <c r="AE49" t="s">
        <v>239</v>
      </c>
      <c r="AF49" t="s">
        <v>1434</v>
      </c>
      <c r="AG49" t="s">
        <v>249</v>
      </c>
      <c r="AH49">
        <v>1</v>
      </c>
      <c r="AI49" t="s">
        <v>250</v>
      </c>
      <c r="AJ49" t="s">
        <v>248</v>
      </c>
      <c r="AK49" t="s">
        <v>827</v>
      </c>
      <c r="AL49" t="s">
        <v>156</v>
      </c>
      <c r="AM49" t="s">
        <v>832</v>
      </c>
      <c r="AN49">
        <v>1</v>
      </c>
      <c r="AO49">
        <v>46224</v>
      </c>
      <c r="AP49">
        <v>0.70939814814814817</v>
      </c>
      <c r="AQ49">
        <v>46226</v>
      </c>
      <c r="AR49">
        <v>0.41180555555555554</v>
      </c>
      <c r="AS49" t="s">
        <v>201</v>
      </c>
      <c r="AT49" t="s">
        <v>1956</v>
      </c>
      <c r="AU49" t="s">
        <v>1955</v>
      </c>
      <c r="AV49" t="s">
        <v>833</v>
      </c>
      <c r="AX49">
        <v>1</v>
      </c>
      <c r="AY49" t="s">
        <v>89</v>
      </c>
      <c r="AZ49" t="s">
        <v>90</v>
      </c>
      <c r="BA49" t="s">
        <v>217</v>
      </c>
      <c r="BB49" t="s">
        <v>841</v>
      </c>
      <c r="BC49">
        <v>16.3</v>
      </c>
      <c r="BD49">
        <v>0</v>
      </c>
      <c r="BE49">
        <v>1</v>
      </c>
    </row>
    <row r="50" spans="1:57" x14ac:dyDescent="0.3">
      <c r="A50" s="204">
        <v>46235</v>
      </c>
      <c r="B50" t="s">
        <v>142</v>
      </c>
      <c r="C50" t="s">
        <v>345</v>
      </c>
      <c r="D50" t="s">
        <v>51</v>
      </c>
      <c r="E50" t="s">
        <v>258</v>
      </c>
      <c r="F50" t="s">
        <v>309</v>
      </c>
      <c r="G50" t="s">
        <v>1030</v>
      </c>
      <c r="H50" t="s">
        <v>1435</v>
      </c>
      <c r="I50" t="s">
        <v>402</v>
      </c>
      <c r="J50">
        <v>50</v>
      </c>
      <c r="K50">
        <v>50</v>
      </c>
      <c r="L50" t="s">
        <v>1031</v>
      </c>
      <c r="M50" s="15">
        <v>46232.614351851851</v>
      </c>
      <c r="N50" s="15">
        <v>46239.613888888889</v>
      </c>
      <c r="O50" s="15">
        <v>46232.63958333333</v>
      </c>
      <c r="P50" s="15">
        <v>46233.408333333333</v>
      </c>
      <c r="Q50" s="15"/>
      <c r="S50" t="s">
        <v>355</v>
      </c>
      <c r="V50" t="s">
        <v>355</v>
      </c>
      <c r="W50">
        <v>2200</v>
      </c>
      <c r="X50" t="s">
        <v>369</v>
      </c>
      <c r="Y50" t="s">
        <v>239</v>
      </c>
      <c r="Z50" t="s">
        <v>851</v>
      </c>
      <c r="AB50" t="s">
        <v>348</v>
      </c>
      <c r="AC50" t="s">
        <v>7</v>
      </c>
      <c r="AD50" t="s">
        <v>7</v>
      </c>
      <c r="AE50" t="s">
        <v>7</v>
      </c>
      <c r="AF50" t="s">
        <v>1436</v>
      </c>
      <c r="AG50" t="s">
        <v>249</v>
      </c>
      <c r="AH50">
        <v>1</v>
      </c>
      <c r="AI50" t="s">
        <v>250</v>
      </c>
      <c r="AJ50" t="s">
        <v>248</v>
      </c>
      <c r="AK50" t="s">
        <v>827</v>
      </c>
      <c r="AL50" t="s">
        <v>156</v>
      </c>
      <c r="AM50" t="s">
        <v>852</v>
      </c>
      <c r="AN50">
        <v>1</v>
      </c>
      <c r="AO50">
        <v>46232</v>
      </c>
      <c r="AP50">
        <v>0.63958333333333328</v>
      </c>
      <c r="AQ50">
        <v>46233</v>
      </c>
      <c r="AR50">
        <v>0.40833333333333333</v>
      </c>
      <c r="AS50" t="s">
        <v>201</v>
      </c>
      <c r="AT50" t="s">
        <v>1954</v>
      </c>
      <c r="AU50" t="s">
        <v>1955</v>
      </c>
      <c r="AV50" t="s">
        <v>853</v>
      </c>
      <c r="AY50" t="s">
        <v>7</v>
      </c>
      <c r="AZ50" t="s">
        <v>238</v>
      </c>
      <c r="BA50" t="s">
        <v>7</v>
      </c>
      <c r="BB50" t="s">
        <v>859</v>
      </c>
      <c r="BE50">
        <v>0</v>
      </c>
    </row>
    <row r="51" spans="1:57" x14ac:dyDescent="0.3">
      <c r="A51" s="204">
        <v>46235</v>
      </c>
      <c r="B51" t="s">
        <v>142</v>
      </c>
      <c r="C51" t="s">
        <v>345</v>
      </c>
      <c r="D51" t="s">
        <v>51</v>
      </c>
      <c r="E51" t="s">
        <v>258</v>
      </c>
      <c r="F51" t="s">
        <v>309</v>
      </c>
      <c r="G51" t="s">
        <v>1032</v>
      </c>
      <c r="H51" t="s">
        <v>845</v>
      </c>
      <c r="I51" t="s">
        <v>402</v>
      </c>
      <c r="J51">
        <v>50</v>
      </c>
      <c r="K51">
        <v>50</v>
      </c>
      <c r="L51" t="s">
        <v>1033</v>
      </c>
      <c r="M51" s="15">
        <v>46252.483842592592</v>
      </c>
      <c r="N51" s="15">
        <v>46259.48333333333</v>
      </c>
      <c r="O51" s="15">
        <v>46253.598611111112</v>
      </c>
      <c r="P51" s="15">
        <v>46254.503472222219</v>
      </c>
      <c r="Q51" s="15"/>
      <c r="S51" t="s">
        <v>355</v>
      </c>
      <c r="V51" t="s">
        <v>355</v>
      </c>
      <c r="W51">
        <v>2200</v>
      </c>
      <c r="X51" t="s">
        <v>369</v>
      </c>
      <c r="Y51" t="s">
        <v>239</v>
      </c>
      <c r="Z51" t="s">
        <v>851</v>
      </c>
      <c r="AB51" t="s">
        <v>348</v>
      </c>
      <c r="AC51" t="s">
        <v>7</v>
      </c>
      <c r="AD51" t="s">
        <v>7</v>
      </c>
      <c r="AE51" t="s">
        <v>7</v>
      </c>
      <c r="AF51" t="s">
        <v>1437</v>
      </c>
      <c r="AG51" t="s">
        <v>249</v>
      </c>
      <c r="AH51">
        <v>1</v>
      </c>
      <c r="AI51" t="s">
        <v>250</v>
      </c>
      <c r="AJ51" t="s">
        <v>248</v>
      </c>
      <c r="AK51" t="s">
        <v>827</v>
      </c>
      <c r="AL51" t="s">
        <v>156</v>
      </c>
      <c r="AM51" t="s">
        <v>852</v>
      </c>
      <c r="AN51">
        <v>1</v>
      </c>
      <c r="AO51">
        <v>46253</v>
      </c>
      <c r="AP51">
        <v>0.59861111111111109</v>
      </c>
      <c r="AQ51">
        <v>46254</v>
      </c>
      <c r="AR51">
        <v>0.50347222222222221</v>
      </c>
      <c r="AS51" t="s">
        <v>201</v>
      </c>
      <c r="AT51" t="s">
        <v>1954</v>
      </c>
      <c r="AU51" t="s">
        <v>1955</v>
      </c>
      <c r="AV51" t="s">
        <v>853</v>
      </c>
      <c r="AY51" t="s">
        <v>7</v>
      </c>
      <c r="AZ51" t="s">
        <v>238</v>
      </c>
      <c r="BA51" t="s">
        <v>7</v>
      </c>
      <c r="BB51" t="s">
        <v>859</v>
      </c>
      <c r="BE51">
        <v>0</v>
      </c>
    </row>
    <row r="52" spans="1:57" x14ac:dyDescent="0.3">
      <c r="A52" s="204">
        <v>46235</v>
      </c>
      <c r="B52" t="s">
        <v>142</v>
      </c>
      <c r="C52" t="s">
        <v>345</v>
      </c>
      <c r="D52" t="s">
        <v>51</v>
      </c>
      <c r="E52" t="s">
        <v>258</v>
      </c>
      <c r="F52" t="s">
        <v>309</v>
      </c>
      <c r="G52" t="s">
        <v>1034</v>
      </c>
      <c r="H52" t="s">
        <v>845</v>
      </c>
      <c r="I52" t="s">
        <v>402</v>
      </c>
      <c r="J52">
        <v>50</v>
      </c>
      <c r="K52">
        <v>50</v>
      </c>
      <c r="L52" t="s">
        <v>1033</v>
      </c>
      <c r="M52" s="15">
        <v>46252.480428240742</v>
      </c>
      <c r="N52" s="15">
        <v>46259.479861111111</v>
      </c>
      <c r="O52" s="15">
        <v>46253.598611111112</v>
      </c>
      <c r="P52" s="15">
        <v>46254.503472222219</v>
      </c>
      <c r="Q52" s="15"/>
      <c r="S52" t="s">
        <v>355</v>
      </c>
      <c r="V52" t="s">
        <v>355</v>
      </c>
      <c r="W52">
        <v>2200</v>
      </c>
      <c r="X52" t="s">
        <v>369</v>
      </c>
      <c r="Y52" t="s">
        <v>239</v>
      </c>
      <c r="Z52" t="s">
        <v>851</v>
      </c>
      <c r="AB52" t="s">
        <v>348</v>
      </c>
      <c r="AC52" t="s">
        <v>7</v>
      </c>
      <c r="AD52" t="s">
        <v>7</v>
      </c>
      <c r="AE52" t="s">
        <v>7</v>
      </c>
      <c r="AF52" t="s">
        <v>1438</v>
      </c>
      <c r="AG52" t="s">
        <v>249</v>
      </c>
      <c r="AH52">
        <v>1</v>
      </c>
      <c r="AI52" t="s">
        <v>250</v>
      </c>
      <c r="AJ52" t="s">
        <v>248</v>
      </c>
      <c r="AK52" t="s">
        <v>827</v>
      </c>
      <c r="AL52" t="s">
        <v>156</v>
      </c>
      <c r="AM52" t="s">
        <v>852</v>
      </c>
      <c r="AN52">
        <v>1</v>
      </c>
      <c r="AO52">
        <v>46253</v>
      </c>
      <c r="AP52">
        <v>0.59861111111111109</v>
      </c>
      <c r="AQ52">
        <v>46254</v>
      </c>
      <c r="AR52">
        <v>0.50347222222222221</v>
      </c>
      <c r="AS52" t="s">
        <v>201</v>
      </c>
      <c r="AT52" t="s">
        <v>1954</v>
      </c>
      <c r="AU52" t="s">
        <v>1955</v>
      </c>
      <c r="AV52" t="s">
        <v>853</v>
      </c>
      <c r="AY52" t="s">
        <v>7</v>
      </c>
      <c r="AZ52" t="s">
        <v>238</v>
      </c>
      <c r="BA52" t="s">
        <v>7</v>
      </c>
      <c r="BB52" t="s">
        <v>859</v>
      </c>
    </row>
    <row r="53" spans="1:57" x14ac:dyDescent="0.3">
      <c r="A53" s="204">
        <v>46235</v>
      </c>
      <c r="B53" t="s">
        <v>142</v>
      </c>
      <c r="C53" t="s">
        <v>345</v>
      </c>
      <c r="D53" t="s">
        <v>51</v>
      </c>
      <c r="E53" t="s">
        <v>258</v>
      </c>
      <c r="F53" t="s">
        <v>309</v>
      </c>
      <c r="G53" t="s">
        <v>1035</v>
      </c>
      <c r="H53" t="s">
        <v>845</v>
      </c>
      <c r="I53" t="s">
        <v>402</v>
      </c>
      <c r="J53">
        <v>50</v>
      </c>
      <c r="K53">
        <v>50</v>
      </c>
      <c r="L53" t="s">
        <v>1033</v>
      </c>
      <c r="M53" s="15">
        <v>46252.482303240744</v>
      </c>
      <c r="N53" s="15">
        <v>46259.481944444444</v>
      </c>
      <c r="O53" s="15">
        <v>46253.598611111112</v>
      </c>
      <c r="P53" s="15">
        <v>46254.503472222219</v>
      </c>
      <c r="Q53" s="15"/>
      <c r="S53" t="s">
        <v>355</v>
      </c>
      <c r="T53" t="s">
        <v>837</v>
      </c>
      <c r="V53" t="s">
        <v>355</v>
      </c>
      <c r="W53">
        <v>2200</v>
      </c>
      <c r="X53" t="s">
        <v>369</v>
      </c>
      <c r="Y53" t="s">
        <v>239</v>
      </c>
      <c r="Z53" t="s">
        <v>851</v>
      </c>
      <c r="AB53" t="s">
        <v>348</v>
      </c>
      <c r="AC53" t="s">
        <v>7</v>
      </c>
      <c r="AD53" t="s">
        <v>7</v>
      </c>
      <c r="AE53" t="s">
        <v>7</v>
      </c>
      <c r="AF53" t="s">
        <v>1439</v>
      </c>
      <c r="AG53" t="s">
        <v>249</v>
      </c>
      <c r="AH53">
        <v>1</v>
      </c>
      <c r="AI53" t="s">
        <v>250</v>
      </c>
      <c r="AJ53" t="s">
        <v>248</v>
      </c>
      <c r="AK53" t="s">
        <v>827</v>
      </c>
      <c r="AL53" t="s">
        <v>156</v>
      </c>
      <c r="AM53" t="s">
        <v>852</v>
      </c>
      <c r="AN53">
        <v>1</v>
      </c>
      <c r="AO53">
        <v>46253</v>
      </c>
      <c r="AP53">
        <v>0.59861111111111109</v>
      </c>
      <c r="AQ53">
        <v>46254</v>
      </c>
      <c r="AR53">
        <v>0.50347222222222221</v>
      </c>
      <c r="AS53" t="s">
        <v>201</v>
      </c>
      <c r="AT53" t="s">
        <v>1954</v>
      </c>
      <c r="AU53" t="s">
        <v>1955</v>
      </c>
      <c r="AV53" t="s">
        <v>853</v>
      </c>
      <c r="AY53" t="s">
        <v>7</v>
      </c>
      <c r="AZ53" t="s">
        <v>238</v>
      </c>
      <c r="BA53" t="s">
        <v>7</v>
      </c>
      <c r="BB53" t="s">
        <v>859</v>
      </c>
    </row>
    <row r="54" spans="1:57" x14ac:dyDescent="0.3">
      <c r="A54" s="204">
        <v>46235</v>
      </c>
      <c r="B54" t="s">
        <v>142</v>
      </c>
      <c r="C54" t="s">
        <v>345</v>
      </c>
      <c r="D54" t="s">
        <v>51</v>
      </c>
      <c r="E54" t="s">
        <v>258</v>
      </c>
      <c r="F54" t="s">
        <v>309</v>
      </c>
      <c r="G54" t="s">
        <v>1036</v>
      </c>
      <c r="H54" t="s">
        <v>857</v>
      </c>
      <c r="I54" t="s">
        <v>402</v>
      </c>
      <c r="J54">
        <v>100</v>
      </c>
      <c r="K54">
        <v>100</v>
      </c>
      <c r="L54" t="s">
        <v>1037</v>
      </c>
      <c r="M54" s="15">
        <v>46227.419386574074</v>
      </c>
      <c r="N54" s="15">
        <v>46234.418749999997</v>
      </c>
      <c r="O54" s="15">
        <v>46227.607638888891</v>
      </c>
      <c r="P54" s="15">
        <v>46231.386805555558</v>
      </c>
      <c r="Q54" s="15"/>
      <c r="S54" t="s">
        <v>354</v>
      </c>
      <c r="V54" t="s">
        <v>354</v>
      </c>
      <c r="W54">
        <v>50</v>
      </c>
      <c r="X54" t="s">
        <v>369</v>
      </c>
      <c r="Y54" t="s">
        <v>239</v>
      </c>
      <c r="Z54" t="s">
        <v>851</v>
      </c>
      <c r="AB54" t="s">
        <v>348</v>
      </c>
      <c r="AC54" t="s">
        <v>7</v>
      </c>
      <c r="AD54" t="s">
        <v>7</v>
      </c>
      <c r="AE54" t="s">
        <v>7</v>
      </c>
      <c r="AF54" t="s">
        <v>1440</v>
      </c>
      <c r="AG54" t="s">
        <v>249</v>
      </c>
      <c r="AH54">
        <v>1</v>
      </c>
      <c r="AI54" t="s">
        <v>250</v>
      </c>
      <c r="AJ54" t="s">
        <v>248</v>
      </c>
      <c r="AK54" t="s">
        <v>827</v>
      </c>
      <c r="AL54" t="s">
        <v>156</v>
      </c>
      <c r="AM54" t="s">
        <v>852</v>
      </c>
      <c r="AN54">
        <v>1</v>
      </c>
      <c r="AO54">
        <v>46227</v>
      </c>
      <c r="AP54">
        <v>0.60763888888888884</v>
      </c>
      <c r="AQ54">
        <v>46231</v>
      </c>
      <c r="AR54">
        <v>0.38680555555555557</v>
      </c>
      <c r="AS54" t="s">
        <v>201</v>
      </c>
      <c r="AT54" t="s">
        <v>1956</v>
      </c>
      <c r="AU54" t="s">
        <v>1955</v>
      </c>
      <c r="AV54" t="s">
        <v>853</v>
      </c>
      <c r="AY54" t="s">
        <v>7</v>
      </c>
      <c r="AZ54" t="s">
        <v>238</v>
      </c>
      <c r="BA54" t="s">
        <v>7</v>
      </c>
      <c r="BB54" t="s">
        <v>858</v>
      </c>
      <c r="BE54">
        <v>0</v>
      </c>
    </row>
    <row r="55" spans="1:57" x14ac:dyDescent="0.3">
      <c r="A55" s="204">
        <v>46230</v>
      </c>
      <c r="B55" t="s">
        <v>142</v>
      </c>
      <c r="C55" t="s">
        <v>345</v>
      </c>
      <c r="D55" t="s">
        <v>42</v>
      </c>
      <c r="E55" t="s">
        <v>68</v>
      </c>
      <c r="F55" t="s">
        <v>309</v>
      </c>
      <c r="G55" t="s">
        <v>1038</v>
      </c>
      <c r="H55" t="s">
        <v>857</v>
      </c>
      <c r="I55" t="s">
        <v>402</v>
      </c>
      <c r="J55">
        <v>1</v>
      </c>
      <c r="K55">
        <v>1</v>
      </c>
      <c r="L55" t="s">
        <v>1039</v>
      </c>
      <c r="M55" s="15">
        <v>46227.417442129627</v>
      </c>
      <c r="N55" s="15">
        <v>46234.417361111111</v>
      </c>
      <c r="O55" s="15">
        <v>46230.382638888892</v>
      </c>
      <c r="P55" s="15">
        <v>46231.361111111109</v>
      </c>
      <c r="Q55" s="15"/>
      <c r="S55" t="s">
        <v>354</v>
      </c>
      <c r="T55" t="s">
        <v>837</v>
      </c>
      <c r="V55" t="s">
        <v>354</v>
      </c>
      <c r="W55">
        <v>50</v>
      </c>
      <c r="X55" t="s">
        <v>369</v>
      </c>
      <c r="Y55" t="s">
        <v>239</v>
      </c>
      <c r="Z55" t="s">
        <v>851</v>
      </c>
      <c r="AB55" t="s">
        <v>348</v>
      </c>
      <c r="AC55" t="s">
        <v>7</v>
      </c>
      <c r="AD55" t="s">
        <v>7</v>
      </c>
      <c r="AE55" t="s">
        <v>7</v>
      </c>
      <c r="AF55" t="s">
        <v>1441</v>
      </c>
      <c r="AG55" t="s">
        <v>249</v>
      </c>
      <c r="AH55">
        <v>0</v>
      </c>
      <c r="AI55" t="s">
        <v>249</v>
      </c>
      <c r="AJ55" t="s">
        <v>7</v>
      </c>
      <c r="AK55" t="s">
        <v>827</v>
      </c>
      <c r="AL55" t="s">
        <v>156</v>
      </c>
      <c r="AM55" t="s">
        <v>875</v>
      </c>
      <c r="AO55">
        <v>46230</v>
      </c>
      <c r="AP55">
        <v>0.38263888888888886</v>
      </c>
      <c r="AQ55">
        <v>46231</v>
      </c>
      <c r="AR55">
        <v>0.3611111111111111</v>
      </c>
      <c r="AS55" t="s">
        <v>1957</v>
      </c>
      <c r="AU55" t="s">
        <v>1955</v>
      </c>
      <c r="AV55" t="s">
        <v>876</v>
      </c>
      <c r="AY55" t="s">
        <v>7</v>
      </c>
      <c r="AZ55" t="s">
        <v>67</v>
      </c>
      <c r="BA55" t="s">
        <v>7</v>
      </c>
      <c r="BB55" t="s">
        <v>858</v>
      </c>
    </row>
    <row r="56" spans="1:57" x14ac:dyDescent="0.3">
      <c r="A56" s="204">
        <v>46235</v>
      </c>
      <c r="B56" t="s">
        <v>142</v>
      </c>
      <c r="C56" t="s">
        <v>345</v>
      </c>
      <c r="D56" t="s">
        <v>51</v>
      </c>
      <c r="E56" t="s">
        <v>258</v>
      </c>
      <c r="F56" t="s">
        <v>309</v>
      </c>
      <c r="G56" t="s">
        <v>1040</v>
      </c>
      <c r="H56" t="s">
        <v>1442</v>
      </c>
      <c r="I56" t="s">
        <v>1041</v>
      </c>
      <c r="J56">
        <v>5</v>
      </c>
      <c r="K56">
        <v>5</v>
      </c>
      <c r="L56" t="s">
        <v>1042</v>
      </c>
      <c r="M56" s="15">
        <v>46225.586296296293</v>
      </c>
      <c r="N56" s="15">
        <v>46232.586111111108</v>
      </c>
      <c r="O56" s="15">
        <v>46225.654861111114</v>
      </c>
      <c r="P56" s="15">
        <v>46230.291666666664</v>
      </c>
      <c r="Q56" s="15"/>
      <c r="S56" t="s">
        <v>354</v>
      </c>
      <c r="V56" t="s">
        <v>354</v>
      </c>
      <c r="W56">
        <v>50</v>
      </c>
      <c r="X56" t="s">
        <v>369</v>
      </c>
      <c r="Y56" t="s">
        <v>239</v>
      </c>
      <c r="Z56" t="s">
        <v>851</v>
      </c>
      <c r="AB56" t="s">
        <v>348</v>
      </c>
      <c r="AC56" t="s">
        <v>7</v>
      </c>
      <c r="AD56" t="s">
        <v>7</v>
      </c>
      <c r="AE56" t="s">
        <v>7</v>
      </c>
      <c r="AF56" t="s">
        <v>1443</v>
      </c>
      <c r="AG56" t="s">
        <v>249</v>
      </c>
      <c r="AH56">
        <v>1</v>
      </c>
      <c r="AI56" t="s">
        <v>250</v>
      </c>
      <c r="AJ56" t="s">
        <v>248</v>
      </c>
      <c r="AK56" t="s">
        <v>827</v>
      </c>
      <c r="AL56" t="s">
        <v>156</v>
      </c>
      <c r="AM56" t="s">
        <v>852</v>
      </c>
      <c r="AN56">
        <v>1</v>
      </c>
      <c r="AO56">
        <v>46225</v>
      </c>
      <c r="AP56">
        <v>0.65486111111111112</v>
      </c>
      <c r="AQ56">
        <v>46230</v>
      </c>
      <c r="AR56">
        <v>0.29166666666666669</v>
      </c>
      <c r="AS56" t="s">
        <v>201</v>
      </c>
      <c r="AT56" t="s">
        <v>1956</v>
      </c>
      <c r="AU56" t="s">
        <v>1955</v>
      </c>
      <c r="AV56" t="s">
        <v>853</v>
      </c>
      <c r="AY56" t="s">
        <v>7</v>
      </c>
      <c r="AZ56" t="s">
        <v>238</v>
      </c>
      <c r="BA56" t="s">
        <v>7</v>
      </c>
      <c r="BB56" t="s">
        <v>858</v>
      </c>
      <c r="BE56">
        <v>0</v>
      </c>
    </row>
    <row r="57" spans="1:57" x14ac:dyDescent="0.3">
      <c r="A57" s="204">
        <v>46235</v>
      </c>
      <c r="B57" t="s">
        <v>142</v>
      </c>
      <c r="C57" t="s">
        <v>345</v>
      </c>
      <c r="D57" t="s">
        <v>51</v>
      </c>
      <c r="E57" t="s">
        <v>258</v>
      </c>
      <c r="F57" t="s">
        <v>309</v>
      </c>
      <c r="G57" t="s">
        <v>1043</v>
      </c>
      <c r="H57" t="s">
        <v>1444</v>
      </c>
      <c r="I57" t="s">
        <v>1044</v>
      </c>
      <c r="J57">
        <v>18</v>
      </c>
      <c r="K57">
        <v>18</v>
      </c>
      <c r="L57" t="s">
        <v>1045</v>
      </c>
      <c r="M57" s="15">
        <v>46225.464629629627</v>
      </c>
      <c r="N57" s="15">
        <v>46232.464583333334</v>
      </c>
      <c r="O57" s="15">
        <v>46225.601388888892</v>
      </c>
      <c r="P57" s="15">
        <v>46231.378472222219</v>
      </c>
      <c r="Q57" s="15"/>
      <c r="S57" t="s">
        <v>356</v>
      </c>
      <c r="V57" t="s">
        <v>356</v>
      </c>
      <c r="W57">
        <v>109</v>
      </c>
      <c r="X57" t="s">
        <v>369</v>
      </c>
      <c r="Y57" t="s">
        <v>239</v>
      </c>
      <c r="Z57" t="s">
        <v>851</v>
      </c>
      <c r="AB57" t="s">
        <v>348</v>
      </c>
      <c r="AC57" t="s">
        <v>7</v>
      </c>
      <c r="AD57" t="s">
        <v>7</v>
      </c>
      <c r="AE57" t="s">
        <v>7</v>
      </c>
      <c r="AF57" t="s">
        <v>1445</v>
      </c>
      <c r="AG57" t="s">
        <v>249</v>
      </c>
      <c r="AH57">
        <v>1</v>
      </c>
      <c r="AI57" t="s">
        <v>250</v>
      </c>
      <c r="AJ57" t="s">
        <v>248</v>
      </c>
      <c r="AK57" t="s">
        <v>827</v>
      </c>
      <c r="AL57" t="s">
        <v>156</v>
      </c>
      <c r="AM57" t="s">
        <v>852</v>
      </c>
      <c r="AN57">
        <v>1</v>
      </c>
      <c r="AO57">
        <v>46225</v>
      </c>
      <c r="AP57">
        <v>0.60138888888888886</v>
      </c>
      <c r="AQ57">
        <v>46231</v>
      </c>
      <c r="AR57">
        <v>0.37847222222222221</v>
      </c>
      <c r="AS57" t="s">
        <v>201</v>
      </c>
      <c r="AT57" t="s">
        <v>1956</v>
      </c>
      <c r="AU57" t="s">
        <v>1955</v>
      </c>
      <c r="AV57" t="s">
        <v>853</v>
      </c>
      <c r="AY57" t="s">
        <v>7</v>
      </c>
      <c r="AZ57" t="s">
        <v>238</v>
      </c>
      <c r="BA57" t="s">
        <v>7</v>
      </c>
      <c r="BB57" t="s">
        <v>854</v>
      </c>
      <c r="BE57">
        <v>0</v>
      </c>
    </row>
    <row r="58" spans="1:57" x14ac:dyDescent="0.3">
      <c r="A58" s="204">
        <v>46235</v>
      </c>
      <c r="B58" t="s">
        <v>142</v>
      </c>
      <c r="C58" t="s">
        <v>345</v>
      </c>
      <c r="D58" t="s">
        <v>51</v>
      </c>
      <c r="E58" t="s">
        <v>258</v>
      </c>
      <c r="F58" t="s">
        <v>309</v>
      </c>
      <c r="G58" t="s">
        <v>1046</v>
      </c>
      <c r="H58" t="s">
        <v>1446</v>
      </c>
      <c r="I58" t="s">
        <v>1047</v>
      </c>
      <c r="J58">
        <v>150</v>
      </c>
      <c r="K58">
        <v>150</v>
      </c>
      <c r="L58" t="s">
        <v>1048</v>
      </c>
      <c r="M58" s="15">
        <v>46232.64707175926</v>
      </c>
      <c r="N58" s="15">
        <v>46239.646527777775</v>
      </c>
      <c r="O58" s="15">
        <v>46233.367361111108</v>
      </c>
      <c r="P58" s="15">
        <v>46234.420138888891</v>
      </c>
      <c r="Q58" s="15"/>
      <c r="S58" t="s">
        <v>360</v>
      </c>
      <c r="V58" t="s">
        <v>360</v>
      </c>
      <c r="W58">
        <v>2480</v>
      </c>
      <c r="X58" t="s">
        <v>371</v>
      </c>
      <c r="Y58" t="s">
        <v>240</v>
      </c>
      <c r="Z58" t="s">
        <v>851</v>
      </c>
      <c r="AB58" t="s">
        <v>347</v>
      </c>
      <c r="AC58" t="s">
        <v>7</v>
      </c>
      <c r="AD58" t="s">
        <v>7</v>
      </c>
      <c r="AE58" t="s">
        <v>7</v>
      </c>
      <c r="AF58" t="s">
        <v>1447</v>
      </c>
      <c r="AG58" t="s">
        <v>249</v>
      </c>
      <c r="AH58">
        <v>1</v>
      </c>
      <c r="AI58" t="s">
        <v>250</v>
      </c>
      <c r="AJ58" t="s">
        <v>248</v>
      </c>
      <c r="AK58" t="s">
        <v>916</v>
      </c>
      <c r="AL58" t="s">
        <v>203</v>
      </c>
      <c r="AM58" t="s">
        <v>887</v>
      </c>
      <c r="AN58">
        <v>2</v>
      </c>
      <c r="AO58">
        <v>46233</v>
      </c>
      <c r="AP58">
        <v>0.36736111111111114</v>
      </c>
      <c r="AQ58">
        <v>46234</v>
      </c>
      <c r="AR58">
        <v>0.4201388888888889</v>
      </c>
      <c r="AS58" t="s">
        <v>201</v>
      </c>
      <c r="AT58" t="s">
        <v>1954</v>
      </c>
      <c r="AU58" t="s">
        <v>1955</v>
      </c>
      <c r="AV58" t="s">
        <v>853</v>
      </c>
      <c r="AY58" t="s">
        <v>7</v>
      </c>
      <c r="AZ58" t="s">
        <v>238</v>
      </c>
      <c r="BA58" t="s">
        <v>7</v>
      </c>
      <c r="BB58" t="s">
        <v>917</v>
      </c>
      <c r="BE58">
        <v>0</v>
      </c>
    </row>
    <row r="59" spans="1:57" x14ac:dyDescent="0.3">
      <c r="A59" s="204">
        <v>46235</v>
      </c>
      <c r="B59" t="s">
        <v>142</v>
      </c>
      <c r="C59" t="s">
        <v>345</v>
      </c>
      <c r="D59" t="s">
        <v>51</v>
      </c>
      <c r="E59" t="s">
        <v>258</v>
      </c>
      <c r="F59" t="s">
        <v>309</v>
      </c>
      <c r="G59" t="s">
        <v>1049</v>
      </c>
      <c r="H59" t="s">
        <v>1446</v>
      </c>
      <c r="I59" t="s">
        <v>1047</v>
      </c>
      <c r="J59">
        <v>150</v>
      </c>
      <c r="K59">
        <v>150</v>
      </c>
      <c r="L59" t="s">
        <v>1050</v>
      </c>
      <c r="M59" s="15">
        <v>46232.645833333336</v>
      </c>
      <c r="N59" s="15">
        <v>46239.645833333336</v>
      </c>
      <c r="O59" s="15">
        <v>46232.686111111114</v>
      </c>
      <c r="P59" s="15">
        <v>46234.420138888891</v>
      </c>
      <c r="Q59" s="15"/>
      <c r="S59" t="s">
        <v>360</v>
      </c>
      <c r="V59" t="s">
        <v>360</v>
      </c>
      <c r="W59">
        <v>2480</v>
      </c>
      <c r="X59" t="s">
        <v>371</v>
      </c>
      <c r="Y59" t="s">
        <v>240</v>
      </c>
      <c r="Z59" t="s">
        <v>851</v>
      </c>
      <c r="AB59" t="s">
        <v>347</v>
      </c>
      <c r="AC59" t="s">
        <v>7</v>
      </c>
      <c r="AD59" t="s">
        <v>7</v>
      </c>
      <c r="AE59" t="s">
        <v>7</v>
      </c>
      <c r="AF59" t="s">
        <v>1448</v>
      </c>
      <c r="AG59" t="s">
        <v>249</v>
      </c>
      <c r="AH59">
        <v>1</v>
      </c>
      <c r="AI59" t="s">
        <v>250</v>
      </c>
      <c r="AJ59" t="s">
        <v>248</v>
      </c>
      <c r="AK59" t="s">
        <v>916</v>
      </c>
      <c r="AL59" t="s">
        <v>203</v>
      </c>
      <c r="AM59" t="s">
        <v>887</v>
      </c>
      <c r="AN59">
        <v>2</v>
      </c>
      <c r="AO59">
        <v>46232</v>
      </c>
      <c r="AP59">
        <v>0.68611111111111112</v>
      </c>
      <c r="AQ59">
        <v>46234</v>
      </c>
      <c r="AR59">
        <v>0.4201388888888889</v>
      </c>
      <c r="AS59" t="s">
        <v>201</v>
      </c>
      <c r="AT59" t="s">
        <v>1954</v>
      </c>
      <c r="AU59" t="s">
        <v>1955</v>
      </c>
      <c r="AV59" t="s">
        <v>853</v>
      </c>
      <c r="AY59" t="s">
        <v>7</v>
      </c>
      <c r="AZ59" t="s">
        <v>238</v>
      </c>
      <c r="BA59" t="s">
        <v>7</v>
      </c>
      <c r="BB59" t="s">
        <v>917</v>
      </c>
    </row>
    <row r="60" spans="1:57" x14ac:dyDescent="0.3">
      <c r="A60" s="204">
        <v>46235</v>
      </c>
      <c r="B60" t="s">
        <v>142</v>
      </c>
      <c r="C60" t="s">
        <v>345</v>
      </c>
      <c r="D60" t="s">
        <v>45</v>
      </c>
      <c r="E60" t="s">
        <v>68</v>
      </c>
      <c r="F60" t="s">
        <v>309</v>
      </c>
      <c r="G60" t="s">
        <v>1051</v>
      </c>
      <c r="H60" t="s">
        <v>1435</v>
      </c>
      <c r="I60" t="s">
        <v>402</v>
      </c>
      <c r="J60">
        <v>9</v>
      </c>
      <c r="K60">
        <v>9</v>
      </c>
      <c r="L60" t="s">
        <v>1052</v>
      </c>
      <c r="M60" s="15">
        <v>46255.309004629627</v>
      </c>
      <c r="N60" s="15">
        <v>46262.333333333336</v>
      </c>
      <c r="O60" s="15">
        <v>46255.447222222225</v>
      </c>
      <c r="P60" s="15">
        <v>46258.458333333336</v>
      </c>
      <c r="Q60" s="15"/>
      <c r="S60" t="s">
        <v>355</v>
      </c>
      <c r="U60" t="s">
        <v>1449</v>
      </c>
      <c r="V60" t="s">
        <v>355</v>
      </c>
      <c r="W60">
        <v>2200</v>
      </c>
      <c r="X60" t="s">
        <v>369</v>
      </c>
      <c r="Y60" t="s">
        <v>239</v>
      </c>
      <c r="Z60" t="s">
        <v>826</v>
      </c>
      <c r="AB60" t="s">
        <v>348</v>
      </c>
      <c r="AC60" t="s">
        <v>348</v>
      </c>
      <c r="AD60" t="s">
        <v>369</v>
      </c>
      <c r="AE60" t="s">
        <v>239</v>
      </c>
      <c r="AF60" t="s">
        <v>1450</v>
      </c>
      <c r="AG60" t="s">
        <v>249</v>
      </c>
      <c r="AH60">
        <v>1</v>
      </c>
      <c r="AI60" t="s">
        <v>250</v>
      </c>
      <c r="AJ60" t="s">
        <v>248</v>
      </c>
      <c r="AK60" t="s">
        <v>827</v>
      </c>
      <c r="AL60" t="s">
        <v>156</v>
      </c>
      <c r="AM60" t="s">
        <v>828</v>
      </c>
      <c r="AN60">
        <v>1</v>
      </c>
      <c r="AO60">
        <v>46255</v>
      </c>
      <c r="AP60">
        <v>0.44722222222222224</v>
      </c>
      <c r="AQ60">
        <v>46258</v>
      </c>
      <c r="AR60">
        <v>0.45833333333333331</v>
      </c>
      <c r="AS60" t="s">
        <v>201</v>
      </c>
      <c r="AT60" t="s">
        <v>1956</v>
      </c>
      <c r="AU60" t="s">
        <v>1955</v>
      </c>
      <c r="AV60" t="s">
        <v>829</v>
      </c>
      <c r="AX60">
        <v>1</v>
      </c>
      <c r="AY60" t="s">
        <v>89</v>
      </c>
      <c r="AZ60" t="s">
        <v>67</v>
      </c>
      <c r="BA60" t="s">
        <v>217</v>
      </c>
      <c r="BB60" t="s">
        <v>846</v>
      </c>
      <c r="BC60">
        <v>23.5</v>
      </c>
      <c r="BD60">
        <v>0</v>
      </c>
      <c r="BE60">
        <v>1</v>
      </c>
    </row>
    <row r="61" spans="1:57" x14ac:dyDescent="0.3">
      <c r="A61" s="204">
        <v>46235</v>
      </c>
      <c r="B61" t="s">
        <v>142</v>
      </c>
      <c r="C61" t="s">
        <v>345</v>
      </c>
      <c r="D61" t="s">
        <v>45</v>
      </c>
      <c r="E61" t="s">
        <v>68</v>
      </c>
      <c r="F61" t="s">
        <v>309</v>
      </c>
      <c r="G61" t="s">
        <v>1053</v>
      </c>
      <c r="H61" t="s">
        <v>1435</v>
      </c>
      <c r="I61" t="s">
        <v>402</v>
      </c>
      <c r="J61">
        <v>3</v>
      </c>
      <c r="K61">
        <v>3</v>
      </c>
      <c r="L61" t="s">
        <v>1054</v>
      </c>
      <c r="M61" s="15">
        <v>46254.394618055558</v>
      </c>
      <c r="N61" s="15">
        <v>46261.394444444442</v>
      </c>
      <c r="O61" s="15">
        <v>46254.607638888891</v>
      </c>
      <c r="P61" s="15">
        <v>46255.493055555555</v>
      </c>
      <c r="Q61" s="15"/>
      <c r="S61" t="s">
        <v>355</v>
      </c>
      <c r="U61" t="s">
        <v>1451</v>
      </c>
      <c r="V61" t="s">
        <v>355</v>
      </c>
      <c r="W61">
        <v>2200</v>
      </c>
      <c r="X61" t="s">
        <v>369</v>
      </c>
      <c r="Y61" t="s">
        <v>239</v>
      </c>
      <c r="Z61" t="s">
        <v>826</v>
      </c>
      <c r="AB61" t="s">
        <v>348</v>
      </c>
      <c r="AC61" t="s">
        <v>348</v>
      </c>
      <c r="AD61" t="s">
        <v>369</v>
      </c>
      <c r="AE61" t="s">
        <v>239</v>
      </c>
      <c r="AF61" t="s">
        <v>1452</v>
      </c>
      <c r="AG61" t="s">
        <v>249</v>
      </c>
      <c r="AH61">
        <v>1</v>
      </c>
      <c r="AI61" t="s">
        <v>250</v>
      </c>
      <c r="AJ61" t="s">
        <v>248</v>
      </c>
      <c r="AK61" t="s">
        <v>827</v>
      </c>
      <c r="AL61" t="s">
        <v>156</v>
      </c>
      <c r="AM61" t="s">
        <v>828</v>
      </c>
      <c r="AN61">
        <v>1</v>
      </c>
      <c r="AO61">
        <v>46254</v>
      </c>
      <c r="AP61">
        <v>0.60763888888888884</v>
      </c>
      <c r="AQ61">
        <v>46255</v>
      </c>
      <c r="AR61">
        <v>0.49305555555555558</v>
      </c>
      <c r="AS61" t="s">
        <v>201</v>
      </c>
      <c r="AT61" t="s">
        <v>1954</v>
      </c>
      <c r="AU61" t="s">
        <v>1955</v>
      </c>
      <c r="AV61" t="s">
        <v>829</v>
      </c>
      <c r="AX61">
        <v>1</v>
      </c>
      <c r="AY61" t="s">
        <v>89</v>
      </c>
      <c r="AZ61" t="s">
        <v>67</v>
      </c>
      <c r="BA61" t="s">
        <v>217</v>
      </c>
      <c r="BB61" t="s">
        <v>846</v>
      </c>
      <c r="BC61">
        <v>23.5</v>
      </c>
      <c r="BD61">
        <v>0</v>
      </c>
      <c r="BE61">
        <v>1</v>
      </c>
    </row>
    <row r="62" spans="1:57" x14ac:dyDescent="0.3">
      <c r="A62" s="204">
        <v>46235</v>
      </c>
      <c r="B62" t="s">
        <v>142</v>
      </c>
      <c r="C62" t="s">
        <v>345</v>
      </c>
      <c r="D62" t="s">
        <v>45</v>
      </c>
      <c r="E62" t="s">
        <v>68</v>
      </c>
      <c r="F62" t="s">
        <v>309</v>
      </c>
      <c r="G62" t="s">
        <v>1055</v>
      </c>
      <c r="H62" t="s">
        <v>1435</v>
      </c>
      <c r="I62" t="s">
        <v>402</v>
      </c>
      <c r="J62">
        <v>7</v>
      </c>
      <c r="K62">
        <v>7</v>
      </c>
      <c r="L62" t="s">
        <v>1054</v>
      </c>
      <c r="M62" s="15">
        <v>46254.395497685182</v>
      </c>
      <c r="N62" s="15">
        <v>46261.395138888889</v>
      </c>
      <c r="O62" s="15">
        <v>46254.607638888891</v>
      </c>
      <c r="P62" s="15">
        <v>46255.493055555555</v>
      </c>
      <c r="Q62" s="15"/>
      <c r="S62" t="s">
        <v>355</v>
      </c>
      <c r="U62" t="s">
        <v>1453</v>
      </c>
      <c r="V62" t="s">
        <v>355</v>
      </c>
      <c r="W62">
        <v>2200</v>
      </c>
      <c r="X62" t="s">
        <v>369</v>
      </c>
      <c r="Y62" t="s">
        <v>239</v>
      </c>
      <c r="Z62" t="s">
        <v>826</v>
      </c>
      <c r="AB62" t="s">
        <v>348</v>
      </c>
      <c r="AC62" t="s">
        <v>348</v>
      </c>
      <c r="AD62" t="s">
        <v>369</v>
      </c>
      <c r="AE62" t="s">
        <v>239</v>
      </c>
      <c r="AF62" t="s">
        <v>1454</v>
      </c>
      <c r="AG62" t="s">
        <v>249</v>
      </c>
      <c r="AH62">
        <v>1</v>
      </c>
      <c r="AI62" t="s">
        <v>250</v>
      </c>
      <c r="AJ62" t="s">
        <v>248</v>
      </c>
      <c r="AK62" t="s">
        <v>827</v>
      </c>
      <c r="AL62" t="s">
        <v>156</v>
      </c>
      <c r="AM62" t="s">
        <v>828</v>
      </c>
      <c r="AN62">
        <v>1</v>
      </c>
      <c r="AO62">
        <v>46254</v>
      </c>
      <c r="AP62">
        <v>0.60763888888888884</v>
      </c>
      <c r="AQ62">
        <v>46255</v>
      </c>
      <c r="AR62">
        <v>0.49305555555555558</v>
      </c>
      <c r="AS62" t="s">
        <v>201</v>
      </c>
      <c r="AT62" t="s">
        <v>1954</v>
      </c>
      <c r="AU62" t="s">
        <v>1955</v>
      </c>
      <c r="AV62" t="s">
        <v>829</v>
      </c>
      <c r="AX62">
        <v>1</v>
      </c>
      <c r="AY62" t="s">
        <v>89</v>
      </c>
      <c r="AZ62" t="s">
        <v>67</v>
      </c>
      <c r="BA62" t="s">
        <v>217</v>
      </c>
      <c r="BB62" t="s">
        <v>846</v>
      </c>
      <c r="BC62">
        <v>23.5</v>
      </c>
    </row>
    <row r="63" spans="1:57" x14ac:dyDescent="0.3">
      <c r="A63" s="204">
        <v>46235</v>
      </c>
      <c r="B63" t="s">
        <v>142</v>
      </c>
      <c r="C63" t="s">
        <v>345</v>
      </c>
      <c r="D63" t="s">
        <v>45</v>
      </c>
      <c r="E63" t="s">
        <v>68</v>
      </c>
      <c r="F63" t="s">
        <v>309</v>
      </c>
      <c r="G63" t="s">
        <v>1056</v>
      </c>
      <c r="H63" t="s">
        <v>1435</v>
      </c>
      <c r="I63" t="s">
        <v>402</v>
      </c>
      <c r="J63">
        <v>6</v>
      </c>
      <c r="K63">
        <v>6</v>
      </c>
      <c r="L63" t="s">
        <v>1054</v>
      </c>
      <c r="M63" s="15">
        <v>46254.396273148152</v>
      </c>
      <c r="N63" s="15">
        <v>46261.395833333336</v>
      </c>
      <c r="O63" s="15">
        <v>46254.607638888891</v>
      </c>
      <c r="P63" s="15">
        <v>46255.493055555555</v>
      </c>
      <c r="Q63" s="15"/>
      <c r="S63" t="s">
        <v>355</v>
      </c>
      <c r="U63" t="s">
        <v>1455</v>
      </c>
      <c r="V63" t="s">
        <v>355</v>
      </c>
      <c r="W63">
        <v>2200</v>
      </c>
      <c r="X63" t="s">
        <v>369</v>
      </c>
      <c r="Y63" t="s">
        <v>239</v>
      </c>
      <c r="Z63" t="s">
        <v>826</v>
      </c>
      <c r="AB63" t="s">
        <v>348</v>
      </c>
      <c r="AC63" t="s">
        <v>348</v>
      </c>
      <c r="AD63" t="s">
        <v>369</v>
      </c>
      <c r="AE63" t="s">
        <v>239</v>
      </c>
      <c r="AF63" t="s">
        <v>1456</v>
      </c>
      <c r="AG63" t="s">
        <v>249</v>
      </c>
      <c r="AH63">
        <v>1</v>
      </c>
      <c r="AI63" t="s">
        <v>250</v>
      </c>
      <c r="AJ63" t="s">
        <v>248</v>
      </c>
      <c r="AK63" t="s">
        <v>827</v>
      </c>
      <c r="AL63" t="s">
        <v>156</v>
      </c>
      <c r="AM63" t="s">
        <v>828</v>
      </c>
      <c r="AN63">
        <v>1</v>
      </c>
      <c r="AO63">
        <v>46254</v>
      </c>
      <c r="AP63">
        <v>0.60763888888888884</v>
      </c>
      <c r="AQ63">
        <v>46255</v>
      </c>
      <c r="AR63">
        <v>0.49305555555555558</v>
      </c>
      <c r="AS63" t="s">
        <v>201</v>
      </c>
      <c r="AT63" t="s">
        <v>1954</v>
      </c>
      <c r="AU63" t="s">
        <v>1955</v>
      </c>
      <c r="AV63" t="s">
        <v>829</v>
      </c>
      <c r="AX63">
        <v>1</v>
      </c>
      <c r="AY63" t="s">
        <v>89</v>
      </c>
      <c r="AZ63" t="s">
        <v>67</v>
      </c>
      <c r="BA63" t="s">
        <v>217</v>
      </c>
      <c r="BB63" t="s">
        <v>846</v>
      </c>
      <c r="BC63">
        <v>23.5</v>
      </c>
    </row>
    <row r="64" spans="1:57" x14ac:dyDescent="0.3">
      <c r="A64" s="204">
        <v>46230</v>
      </c>
      <c r="B64" t="s">
        <v>142</v>
      </c>
      <c r="C64" t="s">
        <v>345</v>
      </c>
      <c r="D64" t="s">
        <v>45</v>
      </c>
      <c r="E64" t="s">
        <v>68</v>
      </c>
      <c r="F64" t="s">
        <v>309</v>
      </c>
      <c r="G64" t="s">
        <v>1057</v>
      </c>
      <c r="H64" t="s">
        <v>1435</v>
      </c>
      <c r="I64" t="s">
        <v>1058</v>
      </c>
      <c r="J64">
        <v>13</v>
      </c>
      <c r="K64">
        <v>13</v>
      </c>
      <c r="L64" t="s">
        <v>1059</v>
      </c>
      <c r="M64" s="15">
        <v>46231.659247685187</v>
      </c>
      <c r="N64" s="15">
        <v>46238.65902777778</v>
      </c>
      <c r="O64" s="15">
        <v>46231.713194444441</v>
      </c>
      <c r="P64" s="15">
        <v>46233.416666666664</v>
      </c>
      <c r="Q64" s="15"/>
      <c r="S64" t="s">
        <v>355</v>
      </c>
      <c r="T64" t="s">
        <v>837</v>
      </c>
      <c r="U64" t="s">
        <v>1457</v>
      </c>
      <c r="V64" t="s">
        <v>355</v>
      </c>
      <c r="W64">
        <v>2200</v>
      </c>
      <c r="X64" t="s">
        <v>369</v>
      </c>
      <c r="Y64" t="s">
        <v>239</v>
      </c>
      <c r="Z64" t="s">
        <v>826</v>
      </c>
      <c r="AB64" t="s">
        <v>348</v>
      </c>
      <c r="AC64" t="s">
        <v>348</v>
      </c>
      <c r="AD64" t="s">
        <v>369</v>
      </c>
      <c r="AE64" t="s">
        <v>239</v>
      </c>
      <c r="AF64" t="s">
        <v>1458</v>
      </c>
      <c r="AG64" t="s">
        <v>249</v>
      </c>
      <c r="AH64">
        <v>1</v>
      </c>
      <c r="AI64" t="s">
        <v>250</v>
      </c>
      <c r="AJ64" t="s">
        <v>248</v>
      </c>
      <c r="AK64" t="s">
        <v>827</v>
      </c>
      <c r="AL64" t="s">
        <v>156</v>
      </c>
      <c r="AM64" t="s">
        <v>828</v>
      </c>
      <c r="AN64">
        <v>1</v>
      </c>
      <c r="AO64">
        <v>46231</v>
      </c>
      <c r="AP64">
        <v>0.71319444444444446</v>
      </c>
      <c r="AQ64">
        <v>46233</v>
      </c>
      <c r="AR64">
        <v>0.41666666666666669</v>
      </c>
      <c r="AS64" t="s">
        <v>201</v>
      </c>
      <c r="AT64" t="s">
        <v>1956</v>
      </c>
      <c r="AU64" t="s">
        <v>1955</v>
      </c>
      <c r="AV64" t="s">
        <v>829</v>
      </c>
      <c r="AX64">
        <v>1.3</v>
      </c>
      <c r="AY64" t="s">
        <v>89</v>
      </c>
      <c r="AZ64" t="s">
        <v>67</v>
      </c>
      <c r="BA64" t="s">
        <v>217</v>
      </c>
      <c r="BB64" t="s">
        <v>846</v>
      </c>
      <c r="BC64">
        <v>23.5</v>
      </c>
      <c r="BD64">
        <v>0</v>
      </c>
      <c r="BE64">
        <v>1</v>
      </c>
    </row>
    <row r="65" spans="1:57" x14ac:dyDescent="0.3">
      <c r="A65" s="204">
        <v>46230</v>
      </c>
      <c r="B65" t="s">
        <v>142</v>
      </c>
      <c r="C65" t="s">
        <v>345</v>
      </c>
      <c r="D65" t="s">
        <v>45</v>
      </c>
      <c r="E65" t="s">
        <v>68</v>
      </c>
      <c r="F65" t="s">
        <v>309</v>
      </c>
      <c r="G65" t="s">
        <v>1060</v>
      </c>
      <c r="H65" t="s">
        <v>1435</v>
      </c>
      <c r="I65" t="s">
        <v>1058</v>
      </c>
      <c r="J65">
        <v>6</v>
      </c>
      <c r="K65">
        <v>6</v>
      </c>
      <c r="L65" t="s">
        <v>1059</v>
      </c>
      <c r="M65" s="15">
        <v>46231.635254629633</v>
      </c>
      <c r="N65" s="15">
        <v>46238.634722222225</v>
      </c>
      <c r="O65" s="15">
        <v>46231.713194444441</v>
      </c>
      <c r="P65" s="15">
        <v>46233.416666666664</v>
      </c>
      <c r="Q65" s="15"/>
      <c r="S65" t="s">
        <v>355</v>
      </c>
      <c r="T65" t="s">
        <v>837</v>
      </c>
      <c r="U65" t="s">
        <v>1459</v>
      </c>
      <c r="V65" t="s">
        <v>355</v>
      </c>
      <c r="W65">
        <v>2200</v>
      </c>
      <c r="X65" t="s">
        <v>369</v>
      </c>
      <c r="Y65" t="s">
        <v>239</v>
      </c>
      <c r="Z65" t="s">
        <v>826</v>
      </c>
      <c r="AB65" t="s">
        <v>348</v>
      </c>
      <c r="AC65" t="s">
        <v>348</v>
      </c>
      <c r="AD65" t="s">
        <v>369</v>
      </c>
      <c r="AE65" t="s">
        <v>239</v>
      </c>
      <c r="AF65" t="s">
        <v>1460</v>
      </c>
      <c r="AG65" t="s">
        <v>249</v>
      </c>
      <c r="AH65">
        <v>1</v>
      </c>
      <c r="AI65" t="s">
        <v>250</v>
      </c>
      <c r="AJ65" t="s">
        <v>248</v>
      </c>
      <c r="AK65" t="s">
        <v>827</v>
      </c>
      <c r="AL65" t="s">
        <v>156</v>
      </c>
      <c r="AM65" t="s">
        <v>828</v>
      </c>
      <c r="AN65">
        <v>1</v>
      </c>
      <c r="AO65">
        <v>46231</v>
      </c>
      <c r="AP65">
        <v>0.71319444444444446</v>
      </c>
      <c r="AQ65">
        <v>46233</v>
      </c>
      <c r="AR65">
        <v>0.41666666666666669</v>
      </c>
      <c r="AS65" t="s">
        <v>201</v>
      </c>
      <c r="AT65" t="s">
        <v>1956</v>
      </c>
      <c r="AU65" t="s">
        <v>1955</v>
      </c>
      <c r="AV65" t="s">
        <v>829</v>
      </c>
      <c r="AX65">
        <v>1</v>
      </c>
      <c r="AY65" t="s">
        <v>89</v>
      </c>
      <c r="AZ65" t="s">
        <v>67</v>
      </c>
      <c r="BA65" t="s">
        <v>217</v>
      </c>
      <c r="BB65" t="s">
        <v>846</v>
      </c>
      <c r="BC65">
        <v>23.5</v>
      </c>
    </row>
    <row r="66" spans="1:57" x14ac:dyDescent="0.3">
      <c r="A66" s="204">
        <v>46230</v>
      </c>
      <c r="B66" t="s">
        <v>142</v>
      </c>
      <c r="C66" t="s">
        <v>345</v>
      </c>
      <c r="D66" t="s">
        <v>45</v>
      </c>
      <c r="E66" t="s">
        <v>68</v>
      </c>
      <c r="F66" t="s">
        <v>309</v>
      </c>
      <c r="G66" t="s">
        <v>1061</v>
      </c>
      <c r="H66" t="s">
        <v>1435</v>
      </c>
      <c r="I66" t="s">
        <v>1058</v>
      </c>
      <c r="J66">
        <v>4</v>
      </c>
      <c r="K66">
        <v>4</v>
      </c>
      <c r="L66" t="s">
        <v>1059</v>
      </c>
      <c r="M66" s="15">
        <v>46231.634583333333</v>
      </c>
      <c r="N66" s="15">
        <v>46238.634027777778</v>
      </c>
      <c r="O66" s="15">
        <v>46231.713194444441</v>
      </c>
      <c r="P66" s="15">
        <v>46233.416666666664</v>
      </c>
      <c r="Q66" s="15"/>
      <c r="S66" t="s">
        <v>355</v>
      </c>
      <c r="T66" t="s">
        <v>837</v>
      </c>
      <c r="U66" t="s">
        <v>1461</v>
      </c>
      <c r="V66" t="s">
        <v>355</v>
      </c>
      <c r="W66">
        <v>2200</v>
      </c>
      <c r="X66" t="s">
        <v>369</v>
      </c>
      <c r="Y66" t="s">
        <v>239</v>
      </c>
      <c r="Z66" t="s">
        <v>826</v>
      </c>
      <c r="AB66" t="s">
        <v>348</v>
      </c>
      <c r="AC66" t="s">
        <v>348</v>
      </c>
      <c r="AD66" t="s">
        <v>369</v>
      </c>
      <c r="AE66" t="s">
        <v>239</v>
      </c>
      <c r="AF66" t="s">
        <v>1462</v>
      </c>
      <c r="AG66" t="s">
        <v>249</v>
      </c>
      <c r="AH66">
        <v>1</v>
      </c>
      <c r="AI66" t="s">
        <v>250</v>
      </c>
      <c r="AJ66" t="s">
        <v>248</v>
      </c>
      <c r="AK66" t="s">
        <v>827</v>
      </c>
      <c r="AL66" t="s">
        <v>156</v>
      </c>
      <c r="AM66" t="s">
        <v>828</v>
      </c>
      <c r="AN66">
        <v>1</v>
      </c>
      <c r="AO66">
        <v>46231</v>
      </c>
      <c r="AP66">
        <v>0.71319444444444446</v>
      </c>
      <c r="AQ66">
        <v>46233</v>
      </c>
      <c r="AR66">
        <v>0.41666666666666669</v>
      </c>
      <c r="AS66" t="s">
        <v>201</v>
      </c>
      <c r="AT66" t="s">
        <v>1956</v>
      </c>
      <c r="AU66" t="s">
        <v>1955</v>
      </c>
      <c r="AV66" t="s">
        <v>829</v>
      </c>
      <c r="AX66">
        <v>1</v>
      </c>
      <c r="AY66" t="s">
        <v>89</v>
      </c>
      <c r="AZ66" t="s">
        <v>67</v>
      </c>
      <c r="BA66" t="s">
        <v>217</v>
      </c>
      <c r="BB66" t="s">
        <v>846</v>
      </c>
      <c r="BC66">
        <v>23.5</v>
      </c>
    </row>
    <row r="67" spans="1:57" x14ac:dyDescent="0.3">
      <c r="A67" s="204">
        <v>46230</v>
      </c>
      <c r="B67" t="s">
        <v>142</v>
      </c>
      <c r="C67" t="s">
        <v>345</v>
      </c>
      <c r="D67" t="s">
        <v>45</v>
      </c>
      <c r="E67" t="s">
        <v>68</v>
      </c>
      <c r="F67" t="s">
        <v>309</v>
      </c>
      <c r="G67" t="s">
        <v>1062</v>
      </c>
      <c r="H67" t="s">
        <v>1435</v>
      </c>
      <c r="I67" t="s">
        <v>1058</v>
      </c>
      <c r="J67">
        <v>4</v>
      </c>
      <c r="K67">
        <v>4</v>
      </c>
      <c r="L67" t="s">
        <v>1059</v>
      </c>
      <c r="M67" s="15">
        <v>46231.633784722224</v>
      </c>
      <c r="N67" s="15">
        <v>46238.633333333331</v>
      </c>
      <c r="O67" s="15">
        <v>46231.713194444441</v>
      </c>
      <c r="P67" s="15">
        <v>46233.416666666664</v>
      </c>
      <c r="Q67" s="15"/>
      <c r="S67" t="s">
        <v>355</v>
      </c>
      <c r="T67" t="s">
        <v>837</v>
      </c>
      <c r="U67" t="s">
        <v>1463</v>
      </c>
      <c r="V67" t="s">
        <v>355</v>
      </c>
      <c r="W67">
        <v>2200</v>
      </c>
      <c r="X67" t="s">
        <v>369</v>
      </c>
      <c r="Y67" t="s">
        <v>239</v>
      </c>
      <c r="Z67" t="s">
        <v>826</v>
      </c>
      <c r="AB67" t="s">
        <v>348</v>
      </c>
      <c r="AC67" t="s">
        <v>348</v>
      </c>
      <c r="AD67" t="s">
        <v>369</v>
      </c>
      <c r="AE67" t="s">
        <v>239</v>
      </c>
      <c r="AF67" t="s">
        <v>1464</v>
      </c>
      <c r="AG67" t="s">
        <v>249</v>
      </c>
      <c r="AH67">
        <v>1</v>
      </c>
      <c r="AI67" t="s">
        <v>250</v>
      </c>
      <c r="AJ67" t="s">
        <v>248</v>
      </c>
      <c r="AK67" t="s">
        <v>827</v>
      </c>
      <c r="AL67" t="s">
        <v>156</v>
      </c>
      <c r="AM67" t="s">
        <v>828</v>
      </c>
      <c r="AN67">
        <v>1</v>
      </c>
      <c r="AO67">
        <v>46231</v>
      </c>
      <c r="AP67">
        <v>0.71319444444444446</v>
      </c>
      <c r="AQ67">
        <v>46233</v>
      </c>
      <c r="AR67">
        <v>0.41666666666666669</v>
      </c>
      <c r="AS67" t="s">
        <v>201</v>
      </c>
      <c r="AT67" t="s">
        <v>1956</v>
      </c>
      <c r="AU67" t="s">
        <v>1955</v>
      </c>
      <c r="AV67" t="s">
        <v>829</v>
      </c>
      <c r="AX67">
        <v>1</v>
      </c>
      <c r="AY67" t="s">
        <v>89</v>
      </c>
      <c r="AZ67" t="s">
        <v>67</v>
      </c>
      <c r="BA67" t="s">
        <v>217</v>
      </c>
      <c r="BB67" t="s">
        <v>846</v>
      </c>
      <c r="BC67">
        <v>23.5</v>
      </c>
    </row>
    <row r="68" spans="1:57" x14ac:dyDescent="0.3">
      <c r="A68" s="204">
        <v>46230</v>
      </c>
      <c r="B68" t="s">
        <v>142</v>
      </c>
      <c r="C68" t="s">
        <v>345</v>
      </c>
      <c r="D68" t="s">
        <v>45</v>
      </c>
      <c r="E68" t="s">
        <v>68</v>
      </c>
      <c r="F68" t="s">
        <v>309</v>
      </c>
      <c r="G68" t="s">
        <v>1063</v>
      </c>
      <c r="H68" t="s">
        <v>1435</v>
      </c>
      <c r="I68" t="s">
        <v>1058</v>
      </c>
      <c r="J68">
        <v>1</v>
      </c>
      <c r="K68">
        <v>1</v>
      </c>
      <c r="L68" t="s">
        <v>1059</v>
      </c>
      <c r="M68" s="15">
        <v>46231.632465277777</v>
      </c>
      <c r="N68" s="15">
        <v>46238.631944444445</v>
      </c>
      <c r="O68" s="15">
        <v>46231.713194444441</v>
      </c>
      <c r="P68" s="15">
        <v>46233.416666666664</v>
      </c>
      <c r="Q68" s="15"/>
      <c r="S68" t="s">
        <v>355</v>
      </c>
      <c r="T68" t="s">
        <v>837</v>
      </c>
      <c r="U68" t="s">
        <v>1465</v>
      </c>
      <c r="V68" t="s">
        <v>355</v>
      </c>
      <c r="W68">
        <v>2200</v>
      </c>
      <c r="X68" t="s">
        <v>369</v>
      </c>
      <c r="Y68" t="s">
        <v>239</v>
      </c>
      <c r="Z68" t="s">
        <v>826</v>
      </c>
      <c r="AB68" t="s">
        <v>348</v>
      </c>
      <c r="AC68" t="s">
        <v>348</v>
      </c>
      <c r="AD68" t="s">
        <v>369</v>
      </c>
      <c r="AE68" t="s">
        <v>239</v>
      </c>
      <c r="AF68" t="s">
        <v>1466</v>
      </c>
      <c r="AG68" t="s">
        <v>249</v>
      </c>
      <c r="AH68">
        <v>1</v>
      </c>
      <c r="AI68" t="s">
        <v>250</v>
      </c>
      <c r="AJ68" t="s">
        <v>248</v>
      </c>
      <c r="AK68" t="s">
        <v>827</v>
      </c>
      <c r="AL68" t="s">
        <v>156</v>
      </c>
      <c r="AM68" t="s">
        <v>828</v>
      </c>
      <c r="AN68">
        <v>1</v>
      </c>
      <c r="AO68">
        <v>46231</v>
      </c>
      <c r="AP68">
        <v>0.71319444444444446</v>
      </c>
      <c r="AQ68">
        <v>46233</v>
      </c>
      <c r="AR68">
        <v>0.41666666666666669</v>
      </c>
      <c r="AS68" t="s">
        <v>201</v>
      </c>
      <c r="AT68" t="s">
        <v>1956</v>
      </c>
      <c r="AU68" t="s">
        <v>1955</v>
      </c>
      <c r="AV68" t="s">
        <v>829</v>
      </c>
      <c r="AX68">
        <v>1</v>
      </c>
      <c r="AY68" t="s">
        <v>89</v>
      </c>
      <c r="AZ68" t="s">
        <v>67</v>
      </c>
      <c r="BA68" t="s">
        <v>217</v>
      </c>
      <c r="BB68" t="s">
        <v>846</v>
      </c>
      <c r="BC68">
        <v>23.5</v>
      </c>
    </row>
    <row r="69" spans="1:57" x14ac:dyDescent="0.3">
      <c r="A69" s="204">
        <v>46230</v>
      </c>
      <c r="B69" t="s">
        <v>142</v>
      </c>
      <c r="C69" t="s">
        <v>345</v>
      </c>
      <c r="D69" t="s">
        <v>45</v>
      </c>
      <c r="E69" t="s">
        <v>68</v>
      </c>
      <c r="F69" t="s">
        <v>309</v>
      </c>
      <c r="G69" t="s">
        <v>1064</v>
      </c>
      <c r="H69" t="s">
        <v>1435</v>
      </c>
      <c r="I69" t="s">
        <v>402</v>
      </c>
      <c r="J69">
        <v>1</v>
      </c>
      <c r="K69">
        <v>1</v>
      </c>
      <c r="L69" t="s">
        <v>1065</v>
      </c>
      <c r="M69" s="15">
        <v>46231.631620370368</v>
      </c>
      <c r="N69" s="15">
        <v>46238.631249999999</v>
      </c>
      <c r="O69" s="15">
        <v>46231.706250000003</v>
      </c>
      <c r="P69" s="15">
        <v>46233.416666666664</v>
      </c>
      <c r="Q69" s="15"/>
      <c r="S69" t="s">
        <v>355</v>
      </c>
      <c r="T69" t="s">
        <v>837</v>
      </c>
      <c r="U69" t="s">
        <v>1467</v>
      </c>
      <c r="V69" t="s">
        <v>355</v>
      </c>
      <c r="W69">
        <v>2200</v>
      </c>
      <c r="X69" t="s">
        <v>369</v>
      </c>
      <c r="Y69" t="s">
        <v>239</v>
      </c>
      <c r="Z69" t="s">
        <v>826</v>
      </c>
      <c r="AB69" t="s">
        <v>348</v>
      </c>
      <c r="AC69" t="s">
        <v>348</v>
      </c>
      <c r="AD69" t="s">
        <v>369</v>
      </c>
      <c r="AE69" t="s">
        <v>239</v>
      </c>
      <c r="AF69" t="s">
        <v>1468</v>
      </c>
      <c r="AG69" t="s">
        <v>249</v>
      </c>
      <c r="AH69">
        <v>1</v>
      </c>
      <c r="AI69" t="s">
        <v>250</v>
      </c>
      <c r="AJ69" t="s">
        <v>248</v>
      </c>
      <c r="AK69" t="s">
        <v>827</v>
      </c>
      <c r="AL69" t="s">
        <v>156</v>
      </c>
      <c r="AM69" t="s">
        <v>828</v>
      </c>
      <c r="AN69">
        <v>1</v>
      </c>
      <c r="AO69">
        <v>46231</v>
      </c>
      <c r="AP69">
        <v>0.70625000000000004</v>
      </c>
      <c r="AQ69">
        <v>46233</v>
      </c>
      <c r="AR69">
        <v>0.41666666666666669</v>
      </c>
      <c r="AS69" t="s">
        <v>201</v>
      </c>
      <c r="AT69" t="s">
        <v>1956</v>
      </c>
      <c r="AU69" t="s">
        <v>1955</v>
      </c>
      <c r="AV69" t="s">
        <v>829</v>
      </c>
      <c r="AX69">
        <v>1</v>
      </c>
      <c r="AY69" t="s">
        <v>89</v>
      </c>
      <c r="AZ69" t="s">
        <v>67</v>
      </c>
      <c r="BA69" t="s">
        <v>217</v>
      </c>
      <c r="BB69" t="s">
        <v>846</v>
      </c>
      <c r="BC69">
        <v>23.5</v>
      </c>
    </row>
    <row r="70" spans="1:57" x14ac:dyDescent="0.3">
      <c r="A70" s="204">
        <v>46230</v>
      </c>
      <c r="B70" t="s">
        <v>142</v>
      </c>
      <c r="C70" t="s">
        <v>345</v>
      </c>
      <c r="D70" t="s">
        <v>48</v>
      </c>
      <c r="E70" t="s">
        <v>68</v>
      </c>
      <c r="F70" t="s">
        <v>309</v>
      </c>
      <c r="G70" t="s">
        <v>1066</v>
      </c>
      <c r="H70" t="s">
        <v>845</v>
      </c>
      <c r="I70" t="s">
        <v>402</v>
      </c>
      <c r="J70">
        <v>3</v>
      </c>
      <c r="K70">
        <v>3</v>
      </c>
      <c r="L70" t="s">
        <v>1067</v>
      </c>
      <c r="M70" s="15">
        <v>46245.434259259258</v>
      </c>
      <c r="N70" s="15">
        <v>46252.434027777781</v>
      </c>
      <c r="O70" s="15">
        <v>46246.470138888886</v>
      </c>
      <c r="P70" s="15">
        <v>46247.425694444442</v>
      </c>
      <c r="Q70" s="15"/>
      <c r="S70" t="s">
        <v>355</v>
      </c>
      <c r="T70" t="s">
        <v>837</v>
      </c>
      <c r="V70" t="s">
        <v>355</v>
      </c>
      <c r="W70">
        <v>2200</v>
      </c>
      <c r="X70" t="s">
        <v>369</v>
      </c>
      <c r="Y70" t="s">
        <v>239</v>
      </c>
      <c r="Z70" t="s">
        <v>826</v>
      </c>
      <c r="AB70" t="s">
        <v>348</v>
      </c>
      <c r="AC70" t="s">
        <v>348</v>
      </c>
      <c r="AD70" t="s">
        <v>369</v>
      </c>
      <c r="AE70" t="s">
        <v>239</v>
      </c>
      <c r="AF70" t="s">
        <v>1469</v>
      </c>
      <c r="AG70" t="s">
        <v>249</v>
      </c>
      <c r="AH70">
        <v>1</v>
      </c>
      <c r="AI70" t="s">
        <v>250</v>
      </c>
      <c r="AJ70" t="s">
        <v>248</v>
      </c>
      <c r="AK70" t="s">
        <v>827</v>
      </c>
      <c r="AL70" t="s">
        <v>156</v>
      </c>
      <c r="AM70" t="s">
        <v>832</v>
      </c>
      <c r="AN70">
        <v>1</v>
      </c>
      <c r="AO70">
        <v>46246</v>
      </c>
      <c r="AP70">
        <v>0.47013888888888888</v>
      </c>
      <c r="AQ70">
        <v>46247</v>
      </c>
      <c r="AR70">
        <v>0.42569444444444443</v>
      </c>
      <c r="AS70" t="s">
        <v>201</v>
      </c>
      <c r="AT70" t="s">
        <v>1954</v>
      </c>
      <c r="AU70" t="s">
        <v>1955</v>
      </c>
      <c r="AV70" t="s">
        <v>833</v>
      </c>
      <c r="AX70">
        <v>1</v>
      </c>
      <c r="AY70" t="s">
        <v>89</v>
      </c>
      <c r="AZ70" t="s">
        <v>90</v>
      </c>
      <c r="BA70" t="s">
        <v>217</v>
      </c>
      <c r="BB70" t="s">
        <v>846</v>
      </c>
      <c r="BC70">
        <v>23.5</v>
      </c>
      <c r="BD70">
        <v>0</v>
      </c>
      <c r="BE70">
        <v>1</v>
      </c>
    </row>
    <row r="71" spans="1:57" x14ac:dyDescent="0.3">
      <c r="A71" s="204">
        <v>46230</v>
      </c>
      <c r="B71" t="s">
        <v>142</v>
      </c>
      <c r="C71" t="s">
        <v>345</v>
      </c>
      <c r="D71" t="s">
        <v>48</v>
      </c>
      <c r="E71" t="s">
        <v>68</v>
      </c>
      <c r="F71" t="s">
        <v>309</v>
      </c>
      <c r="G71" t="s">
        <v>1066</v>
      </c>
      <c r="H71" t="s">
        <v>845</v>
      </c>
      <c r="I71" t="s">
        <v>402</v>
      </c>
      <c r="J71">
        <v>1</v>
      </c>
      <c r="K71">
        <v>1</v>
      </c>
      <c r="L71" t="s">
        <v>1068</v>
      </c>
      <c r="M71" s="15">
        <v>46245.434259259258</v>
      </c>
      <c r="N71" s="15">
        <v>46252.434027777781</v>
      </c>
      <c r="O71" s="15">
        <v>46252.685416666667</v>
      </c>
      <c r="P71" s="15">
        <v>46254.503472222219</v>
      </c>
      <c r="Q71" s="15"/>
      <c r="S71" t="s">
        <v>355</v>
      </c>
      <c r="T71" t="s">
        <v>1470</v>
      </c>
      <c r="V71" t="s">
        <v>355</v>
      </c>
      <c r="W71">
        <v>2200</v>
      </c>
      <c r="X71" t="s">
        <v>369</v>
      </c>
      <c r="Y71" t="s">
        <v>239</v>
      </c>
      <c r="Z71" t="s">
        <v>826</v>
      </c>
      <c r="AB71" t="s">
        <v>348</v>
      </c>
      <c r="AC71" t="s">
        <v>348</v>
      </c>
      <c r="AD71" t="s">
        <v>369</v>
      </c>
      <c r="AE71" t="s">
        <v>239</v>
      </c>
      <c r="AF71" t="s">
        <v>1471</v>
      </c>
      <c r="AG71" t="s">
        <v>249</v>
      </c>
      <c r="AH71">
        <v>1</v>
      </c>
      <c r="AI71" t="s">
        <v>250</v>
      </c>
      <c r="AJ71" t="s">
        <v>248</v>
      </c>
      <c r="AK71" t="s">
        <v>827</v>
      </c>
      <c r="AL71" t="s">
        <v>156</v>
      </c>
      <c r="AM71" t="s">
        <v>832</v>
      </c>
      <c r="AN71">
        <v>1</v>
      </c>
      <c r="AO71">
        <v>46252</v>
      </c>
      <c r="AP71">
        <v>0.68541666666666667</v>
      </c>
      <c r="AQ71">
        <v>46254</v>
      </c>
      <c r="AR71">
        <v>0.50347222222222221</v>
      </c>
      <c r="AS71" t="s">
        <v>201</v>
      </c>
      <c r="AT71" t="s">
        <v>1956</v>
      </c>
      <c r="AU71" t="s">
        <v>1955</v>
      </c>
      <c r="AV71" t="s">
        <v>833</v>
      </c>
      <c r="AX71">
        <v>1</v>
      </c>
      <c r="AY71" t="s">
        <v>89</v>
      </c>
      <c r="AZ71" t="s">
        <v>90</v>
      </c>
      <c r="BA71" t="s">
        <v>217</v>
      </c>
      <c r="BB71" t="s">
        <v>846</v>
      </c>
      <c r="BC71">
        <v>23.5</v>
      </c>
      <c r="BD71">
        <v>0</v>
      </c>
      <c r="BE71">
        <v>1</v>
      </c>
    </row>
    <row r="72" spans="1:57" x14ac:dyDescent="0.3">
      <c r="A72" s="204">
        <v>46235</v>
      </c>
      <c r="B72" t="s">
        <v>142</v>
      </c>
      <c r="C72" t="s">
        <v>345</v>
      </c>
      <c r="D72" t="s">
        <v>48</v>
      </c>
      <c r="E72" t="s">
        <v>68</v>
      </c>
      <c r="F72" t="s">
        <v>309</v>
      </c>
      <c r="G72" t="s">
        <v>1069</v>
      </c>
      <c r="H72" t="s">
        <v>1472</v>
      </c>
      <c r="I72" t="s">
        <v>402</v>
      </c>
      <c r="J72">
        <v>5</v>
      </c>
      <c r="K72">
        <v>5</v>
      </c>
      <c r="L72" t="s">
        <v>1070</v>
      </c>
      <c r="M72" s="15">
        <v>46213.750648148147</v>
      </c>
      <c r="N72" s="15">
        <v>46223.333333333336</v>
      </c>
      <c r="O72" s="15">
        <v>46230.428946759261</v>
      </c>
      <c r="P72" s="15">
        <v>46231.397222222222</v>
      </c>
      <c r="Q72" s="15"/>
      <c r="S72" t="s">
        <v>355</v>
      </c>
      <c r="T72" t="s">
        <v>1473</v>
      </c>
      <c r="V72" t="s">
        <v>355</v>
      </c>
      <c r="W72">
        <v>2200</v>
      </c>
      <c r="X72" t="s">
        <v>369</v>
      </c>
      <c r="Y72" t="s">
        <v>239</v>
      </c>
      <c r="Z72" t="s">
        <v>826</v>
      </c>
      <c r="AB72" t="s">
        <v>348</v>
      </c>
      <c r="AC72" t="s">
        <v>348</v>
      </c>
      <c r="AD72" t="s">
        <v>369</v>
      </c>
      <c r="AE72" t="s">
        <v>239</v>
      </c>
      <c r="AF72" t="s">
        <v>1474</v>
      </c>
      <c r="AG72" t="s">
        <v>249</v>
      </c>
      <c r="AH72">
        <v>1</v>
      </c>
      <c r="AI72" t="s">
        <v>250</v>
      </c>
      <c r="AJ72" t="s">
        <v>248</v>
      </c>
      <c r="AK72" t="s">
        <v>827</v>
      </c>
      <c r="AL72" t="s">
        <v>156</v>
      </c>
      <c r="AM72" t="s">
        <v>832</v>
      </c>
      <c r="AN72">
        <v>1</v>
      </c>
      <c r="AO72">
        <v>46230</v>
      </c>
      <c r="AP72">
        <v>0.42894675925925924</v>
      </c>
      <c r="AQ72">
        <v>46231</v>
      </c>
      <c r="AR72">
        <v>0.3972222222222222</v>
      </c>
      <c r="AS72" t="s">
        <v>201</v>
      </c>
      <c r="AT72" t="s">
        <v>1954</v>
      </c>
      <c r="AU72" t="s">
        <v>1955</v>
      </c>
      <c r="AV72" t="s">
        <v>833</v>
      </c>
      <c r="AX72">
        <v>1</v>
      </c>
      <c r="AY72" t="s">
        <v>89</v>
      </c>
      <c r="AZ72" t="s">
        <v>90</v>
      </c>
      <c r="BA72" t="s">
        <v>217</v>
      </c>
      <c r="BB72" t="s">
        <v>846</v>
      </c>
      <c r="BC72">
        <v>23.5</v>
      </c>
      <c r="BD72">
        <v>0</v>
      </c>
      <c r="BE72">
        <v>1</v>
      </c>
    </row>
    <row r="73" spans="1:57" x14ac:dyDescent="0.3">
      <c r="A73" s="204">
        <v>46235</v>
      </c>
      <c r="B73" t="s">
        <v>142</v>
      </c>
      <c r="C73" t="s">
        <v>345</v>
      </c>
      <c r="D73" t="s">
        <v>45</v>
      </c>
      <c r="E73" t="s">
        <v>68</v>
      </c>
      <c r="F73" t="s">
        <v>309</v>
      </c>
      <c r="G73" t="s">
        <v>1071</v>
      </c>
      <c r="H73" t="s">
        <v>836</v>
      </c>
      <c r="I73" t="s">
        <v>403</v>
      </c>
      <c r="J73">
        <v>15</v>
      </c>
      <c r="K73">
        <v>15</v>
      </c>
      <c r="L73" t="s">
        <v>1072</v>
      </c>
      <c r="M73" s="15">
        <v>46251.387743055559</v>
      </c>
      <c r="N73" s="15">
        <v>46258.387499999997</v>
      </c>
      <c r="O73" s="15">
        <v>46251.49722222222</v>
      </c>
      <c r="P73" s="15">
        <v>46252.638888888891</v>
      </c>
      <c r="Q73" s="15"/>
      <c r="S73" t="s">
        <v>356</v>
      </c>
      <c r="U73" t="s">
        <v>1475</v>
      </c>
      <c r="V73" t="s">
        <v>356</v>
      </c>
      <c r="W73">
        <v>109</v>
      </c>
      <c r="X73" t="s">
        <v>369</v>
      </c>
      <c r="Y73" t="s">
        <v>239</v>
      </c>
      <c r="Z73" t="s">
        <v>826</v>
      </c>
      <c r="AB73" t="s">
        <v>348</v>
      </c>
      <c r="AC73" t="s">
        <v>348</v>
      </c>
      <c r="AD73" t="s">
        <v>369</v>
      </c>
      <c r="AE73" t="s">
        <v>239</v>
      </c>
      <c r="AF73" t="s">
        <v>1476</v>
      </c>
      <c r="AG73" t="s">
        <v>249</v>
      </c>
      <c r="AH73">
        <v>1</v>
      </c>
      <c r="AI73" t="s">
        <v>250</v>
      </c>
      <c r="AJ73" t="s">
        <v>248</v>
      </c>
      <c r="AK73" t="s">
        <v>827</v>
      </c>
      <c r="AL73" t="s">
        <v>156</v>
      </c>
      <c r="AM73" t="s">
        <v>828</v>
      </c>
      <c r="AN73">
        <v>1</v>
      </c>
      <c r="AO73">
        <v>46251</v>
      </c>
      <c r="AP73">
        <v>0.49722222222222223</v>
      </c>
      <c r="AQ73">
        <v>46252</v>
      </c>
      <c r="AR73">
        <v>0.63888888888888884</v>
      </c>
      <c r="AS73" t="s">
        <v>201</v>
      </c>
      <c r="AT73" t="s">
        <v>1956</v>
      </c>
      <c r="AU73" t="s">
        <v>1955</v>
      </c>
      <c r="AV73" t="s">
        <v>829</v>
      </c>
      <c r="AX73">
        <v>1.5</v>
      </c>
      <c r="AY73" t="s">
        <v>89</v>
      </c>
      <c r="AZ73" t="s">
        <v>67</v>
      </c>
      <c r="BA73" t="s">
        <v>217</v>
      </c>
      <c r="BB73" t="s">
        <v>830</v>
      </c>
      <c r="BC73">
        <v>23.5</v>
      </c>
      <c r="BD73">
        <v>0</v>
      </c>
      <c r="BE73">
        <v>1</v>
      </c>
    </row>
    <row r="74" spans="1:57" x14ac:dyDescent="0.3">
      <c r="A74" s="204">
        <v>46235</v>
      </c>
      <c r="B74" t="s">
        <v>142</v>
      </c>
      <c r="C74" t="s">
        <v>345</v>
      </c>
      <c r="D74" t="s">
        <v>45</v>
      </c>
      <c r="E74" t="s">
        <v>68</v>
      </c>
      <c r="F74" t="s">
        <v>309</v>
      </c>
      <c r="G74" t="s">
        <v>1073</v>
      </c>
      <c r="H74" t="s">
        <v>836</v>
      </c>
      <c r="I74" t="s">
        <v>403</v>
      </c>
      <c r="J74">
        <v>15</v>
      </c>
      <c r="K74">
        <v>15</v>
      </c>
      <c r="L74" t="s">
        <v>1074</v>
      </c>
      <c r="M74" s="15">
        <v>46230.391215277778</v>
      </c>
      <c r="N74" s="15">
        <v>46237.390972222223</v>
      </c>
      <c r="O74" s="15">
        <v>46230.46465277778</v>
      </c>
      <c r="P74" s="15">
        <v>46231.458333333336</v>
      </c>
      <c r="Q74" s="15"/>
      <c r="S74" t="s">
        <v>356</v>
      </c>
      <c r="U74" t="s">
        <v>1477</v>
      </c>
      <c r="V74" t="s">
        <v>356</v>
      </c>
      <c r="W74">
        <v>109</v>
      </c>
      <c r="X74" t="s">
        <v>369</v>
      </c>
      <c r="Y74" t="s">
        <v>239</v>
      </c>
      <c r="Z74" t="s">
        <v>826</v>
      </c>
      <c r="AB74" t="s">
        <v>348</v>
      </c>
      <c r="AC74" t="s">
        <v>348</v>
      </c>
      <c r="AD74" t="s">
        <v>369</v>
      </c>
      <c r="AE74" t="s">
        <v>239</v>
      </c>
      <c r="AF74" t="s">
        <v>1478</v>
      </c>
      <c r="AG74" t="s">
        <v>249</v>
      </c>
      <c r="AH74">
        <v>1</v>
      </c>
      <c r="AI74" t="s">
        <v>250</v>
      </c>
      <c r="AJ74" t="s">
        <v>248</v>
      </c>
      <c r="AK74" t="s">
        <v>827</v>
      </c>
      <c r="AL74" t="s">
        <v>156</v>
      </c>
      <c r="AM74" t="s">
        <v>828</v>
      </c>
      <c r="AN74">
        <v>1</v>
      </c>
      <c r="AO74">
        <v>46230</v>
      </c>
      <c r="AP74">
        <v>0.4646527777777778</v>
      </c>
      <c r="AQ74">
        <v>46231</v>
      </c>
      <c r="AR74">
        <v>0.45833333333333331</v>
      </c>
      <c r="AS74" t="s">
        <v>201</v>
      </c>
      <c r="AT74" t="s">
        <v>1954</v>
      </c>
      <c r="AU74" t="s">
        <v>1955</v>
      </c>
      <c r="AV74" t="s">
        <v>829</v>
      </c>
      <c r="AX74">
        <v>1.5</v>
      </c>
      <c r="AY74" t="s">
        <v>89</v>
      </c>
      <c r="AZ74" t="s">
        <v>67</v>
      </c>
      <c r="BA74" t="s">
        <v>217</v>
      </c>
      <c r="BB74" t="s">
        <v>830</v>
      </c>
      <c r="BC74">
        <v>23.5</v>
      </c>
      <c r="BD74">
        <v>0</v>
      </c>
      <c r="BE74">
        <v>1</v>
      </c>
    </row>
    <row r="75" spans="1:57" x14ac:dyDescent="0.3">
      <c r="A75" s="204">
        <v>46230</v>
      </c>
      <c r="B75" t="s">
        <v>142</v>
      </c>
      <c r="C75" t="s">
        <v>345</v>
      </c>
      <c r="D75" t="s">
        <v>45</v>
      </c>
      <c r="E75" t="s">
        <v>68</v>
      </c>
      <c r="F75" t="s">
        <v>309</v>
      </c>
      <c r="G75" t="s">
        <v>1075</v>
      </c>
      <c r="H75" t="s">
        <v>835</v>
      </c>
      <c r="I75" t="s">
        <v>403</v>
      </c>
      <c r="J75">
        <v>10</v>
      </c>
      <c r="K75">
        <v>10</v>
      </c>
      <c r="L75" t="s">
        <v>1076</v>
      </c>
      <c r="M75" s="15">
        <v>46230.398877314816</v>
      </c>
      <c r="N75" s="15">
        <v>46237.398611111108</v>
      </c>
      <c r="O75" s="15">
        <v>46230.632638888892</v>
      </c>
      <c r="P75" s="15">
        <v>46232.696527777778</v>
      </c>
      <c r="Q75" s="15"/>
      <c r="S75" t="s">
        <v>356</v>
      </c>
      <c r="T75" t="s">
        <v>837</v>
      </c>
      <c r="U75" t="s">
        <v>1479</v>
      </c>
      <c r="V75" t="s">
        <v>356</v>
      </c>
      <c r="W75">
        <v>109</v>
      </c>
      <c r="X75" t="s">
        <v>369</v>
      </c>
      <c r="Y75" t="s">
        <v>239</v>
      </c>
      <c r="Z75" t="s">
        <v>826</v>
      </c>
      <c r="AB75" t="s">
        <v>348</v>
      </c>
      <c r="AC75" t="s">
        <v>348</v>
      </c>
      <c r="AD75" t="s">
        <v>369</v>
      </c>
      <c r="AE75" t="s">
        <v>239</v>
      </c>
      <c r="AF75" t="s">
        <v>1480</v>
      </c>
      <c r="AG75" t="s">
        <v>249</v>
      </c>
      <c r="AH75">
        <v>1</v>
      </c>
      <c r="AI75" t="s">
        <v>250</v>
      </c>
      <c r="AJ75" t="s">
        <v>248</v>
      </c>
      <c r="AK75" t="s">
        <v>827</v>
      </c>
      <c r="AL75" t="s">
        <v>156</v>
      </c>
      <c r="AM75" t="s">
        <v>828</v>
      </c>
      <c r="AN75">
        <v>1</v>
      </c>
      <c r="AO75">
        <v>46230</v>
      </c>
      <c r="AP75">
        <v>0.63263888888888886</v>
      </c>
      <c r="AQ75">
        <v>46232</v>
      </c>
      <c r="AR75">
        <v>0.69652777777777775</v>
      </c>
      <c r="AS75" t="s">
        <v>201</v>
      </c>
      <c r="AT75" t="s">
        <v>1956</v>
      </c>
      <c r="AU75" t="s">
        <v>1955</v>
      </c>
      <c r="AV75" t="s">
        <v>829</v>
      </c>
      <c r="AX75">
        <v>1</v>
      </c>
      <c r="AY75" t="s">
        <v>89</v>
      </c>
      <c r="AZ75" t="s">
        <v>67</v>
      </c>
      <c r="BA75" t="s">
        <v>217</v>
      </c>
      <c r="BB75" t="s">
        <v>830</v>
      </c>
      <c r="BC75">
        <v>23.5</v>
      </c>
      <c r="BE75">
        <v>1</v>
      </c>
    </row>
    <row r="76" spans="1:57" x14ac:dyDescent="0.3">
      <c r="A76" s="204">
        <v>46230</v>
      </c>
      <c r="B76" t="s">
        <v>142</v>
      </c>
      <c r="C76" t="s">
        <v>345</v>
      </c>
      <c r="D76" t="s">
        <v>48</v>
      </c>
      <c r="E76" t="s">
        <v>68</v>
      </c>
      <c r="F76" t="s">
        <v>309</v>
      </c>
      <c r="G76" t="s">
        <v>747</v>
      </c>
      <c r="H76" t="s">
        <v>834</v>
      </c>
      <c r="I76" t="s">
        <v>742</v>
      </c>
      <c r="J76">
        <v>25</v>
      </c>
      <c r="K76">
        <v>25</v>
      </c>
      <c r="L76" t="s">
        <v>1077</v>
      </c>
      <c r="M76" s="15">
        <v>46252.576365740744</v>
      </c>
      <c r="N76" s="15">
        <v>46259.575694444444</v>
      </c>
      <c r="O76" s="15">
        <v>46253.647222222222</v>
      </c>
      <c r="P76" s="15">
        <v>46255.477083333331</v>
      </c>
      <c r="Q76" s="15"/>
      <c r="S76" t="s">
        <v>356</v>
      </c>
      <c r="T76" t="s">
        <v>837</v>
      </c>
      <c r="V76" t="s">
        <v>356</v>
      </c>
      <c r="W76">
        <v>109</v>
      </c>
      <c r="X76" t="s">
        <v>369</v>
      </c>
      <c r="Y76" t="s">
        <v>239</v>
      </c>
      <c r="Z76" t="s">
        <v>826</v>
      </c>
      <c r="AB76" t="s">
        <v>348</v>
      </c>
      <c r="AC76" t="s">
        <v>348</v>
      </c>
      <c r="AD76" t="s">
        <v>369</v>
      </c>
      <c r="AE76" t="s">
        <v>239</v>
      </c>
      <c r="AF76" t="s">
        <v>1481</v>
      </c>
      <c r="AG76" t="s">
        <v>249</v>
      </c>
      <c r="AH76">
        <v>1</v>
      </c>
      <c r="AI76" t="s">
        <v>250</v>
      </c>
      <c r="AJ76" t="s">
        <v>248</v>
      </c>
      <c r="AK76" t="s">
        <v>827</v>
      </c>
      <c r="AL76" t="s">
        <v>156</v>
      </c>
      <c r="AM76" t="s">
        <v>832</v>
      </c>
      <c r="AN76">
        <v>1</v>
      </c>
      <c r="AO76">
        <v>46253</v>
      </c>
      <c r="AP76">
        <v>0.64722222222222225</v>
      </c>
      <c r="AQ76">
        <v>46255</v>
      </c>
      <c r="AR76">
        <v>0.47708333333333336</v>
      </c>
      <c r="AS76" t="s">
        <v>201</v>
      </c>
      <c r="AT76" t="s">
        <v>1956</v>
      </c>
      <c r="AU76" t="s">
        <v>1955</v>
      </c>
      <c r="AV76" t="s">
        <v>833</v>
      </c>
      <c r="AX76">
        <v>2.5</v>
      </c>
      <c r="AY76" t="s">
        <v>89</v>
      </c>
      <c r="AZ76" t="s">
        <v>90</v>
      </c>
      <c r="BA76" t="s">
        <v>217</v>
      </c>
      <c r="BB76" t="s">
        <v>830</v>
      </c>
      <c r="BC76">
        <v>23.5</v>
      </c>
      <c r="BD76">
        <v>0</v>
      </c>
      <c r="BE76">
        <v>1</v>
      </c>
    </row>
    <row r="77" spans="1:57" x14ac:dyDescent="0.3">
      <c r="A77" s="204">
        <v>46237</v>
      </c>
      <c r="B77" t="s">
        <v>142</v>
      </c>
      <c r="C77" t="s">
        <v>345</v>
      </c>
      <c r="D77" t="s">
        <v>48</v>
      </c>
      <c r="E77" t="s">
        <v>68</v>
      </c>
      <c r="F77" t="s">
        <v>309</v>
      </c>
      <c r="G77" t="s">
        <v>748</v>
      </c>
      <c r="H77" t="s">
        <v>834</v>
      </c>
      <c r="I77" t="s">
        <v>742</v>
      </c>
      <c r="J77">
        <v>15</v>
      </c>
      <c r="K77">
        <v>15</v>
      </c>
      <c r="L77" t="s">
        <v>1078</v>
      </c>
      <c r="M77" s="15">
        <v>46252.581203703703</v>
      </c>
      <c r="N77" s="15">
        <v>46259.580555555556</v>
      </c>
      <c r="O77" s="15">
        <v>46254.392361111109</v>
      </c>
      <c r="P77" s="15">
        <v>46255.477083333331</v>
      </c>
      <c r="Q77" s="15"/>
      <c r="S77" t="s">
        <v>356</v>
      </c>
      <c r="V77" t="s">
        <v>356</v>
      </c>
      <c r="W77">
        <v>109</v>
      </c>
      <c r="X77" t="s">
        <v>369</v>
      </c>
      <c r="Y77" t="s">
        <v>239</v>
      </c>
      <c r="Z77" t="s">
        <v>826</v>
      </c>
      <c r="AB77" t="s">
        <v>348</v>
      </c>
      <c r="AC77" t="s">
        <v>348</v>
      </c>
      <c r="AD77" t="s">
        <v>369</v>
      </c>
      <c r="AE77" t="s">
        <v>239</v>
      </c>
      <c r="AF77" t="s">
        <v>1482</v>
      </c>
      <c r="AG77" t="s">
        <v>249</v>
      </c>
      <c r="AH77">
        <v>1</v>
      </c>
      <c r="AI77" t="s">
        <v>250</v>
      </c>
      <c r="AJ77" t="s">
        <v>248</v>
      </c>
      <c r="AK77" t="s">
        <v>827</v>
      </c>
      <c r="AL77" t="s">
        <v>156</v>
      </c>
      <c r="AM77" t="s">
        <v>832</v>
      </c>
      <c r="AN77">
        <v>1</v>
      </c>
      <c r="AO77">
        <v>46254</v>
      </c>
      <c r="AP77">
        <v>0.3923611111111111</v>
      </c>
      <c r="AQ77">
        <v>46255</v>
      </c>
      <c r="AR77">
        <v>0.47708333333333336</v>
      </c>
      <c r="AS77" t="s">
        <v>201</v>
      </c>
      <c r="AT77" t="s">
        <v>1956</v>
      </c>
      <c r="AU77" t="s">
        <v>1955</v>
      </c>
      <c r="AV77" t="s">
        <v>833</v>
      </c>
      <c r="AX77">
        <v>1.5</v>
      </c>
      <c r="AY77" t="s">
        <v>89</v>
      </c>
      <c r="AZ77" t="s">
        <v>90</v>
      </c>
      <c r="BA77" t="s">
        <v>217</v>
      </c>
      <c r="BB77" t="s">
        <v>830</v>
      </c>
      <c r="BC77">
        <v>23.5</v>
      </c>
      <c r="BD77">
        <v>0</v>
      </c>
    </row>
    <row r="78" spans="1:57" x14ac:dyDescent="0.3">
      <c r="A78" s="204">
        <v>46235</v>
      </c>
      <c r="B78" t="s">
        <v>142</v>
      </c>
      <c r="C78" t="s">
        <v>345</v>
      </c>
      <c r="D78" t="s">
        <v>48</v>
      </c>
      <c r="E78" t="s">
        <v>68</v>
      </c>
      <c r="F78" t="s">
        <v>309</v>
      </c>
      <c r="G78" t="s">
        <v>1079</v>
      </c>
      <c r="H78" t="s">
        <v>874</v>
      </c>
      <c r="I78" t="s">
        <v>749</v>
      </c>
      <c r="J78">
        <v>10</v>
      </c>
      <c r="K78">
        <v>10</v>
      </c>
      <c r="L78" t="s">
        <v>1080</v>
      </c>
      <c r="M78" s="15">
        <v>46231.625231481485</v>
      </c>
      <c r="N78" s="15">
        <v>46238.625</v>
      </c>
      <c r="O78" s="15">
        <v>46234.652581018519</v>
      </c>
      <c r="P78" s="15">
        <v>46238.509722222225</v>
      </c>
      <c r="Q78" s="15"/>
      <c r="S78" t="s">
        <v>356</v>
      </c>
      <c r="T78" t="s">
        <v>1483</v>
      </c>
      <c r="V78" t="s">
        <v>356</v>
      </c>
      <c r="W78">
        <v>109</v>
      </c>
      <c r="X78" t="s">
        <v>369</v>
      </c>
      <c r="Y78" t="s">
        <v>239</v>
      </c>
      <c r="Z78" t="s">
        <v>826</v>
      </c>
      <c r="AB78" t="s">
        <v>348</v>
      </c>
      <c r="AC78" t="s">
        <v>348</v>
      </c>
      <c r="AD78" t="s">
        <v>369</v>
      </c>
      <c r="AE78" t="s">
        <v>239</v>
      </c>
      <c r="AF78" t="s">
        <v>1484</v>
      </c>
      <c r="AG78" t="s">
        <v>249</v>
      </c>
      <c r="AH78">
        <v>1</v>
      </c>
      <c r="AI78" t="s">
        <v>250</v>
      </c>
      <c r="AJ78" t="s">
        <v>248</v>
      </c>
      <c r="AK78" t="s">
        <v>827</v>
      </c>
      <c r="AL78" t="s">
        <v>156</v>
      </c>
      <c r="AM78" t="s">
        <v>832</v>
      </c>
      <c r="AN78">
        <v>1</v>
      </c>
      <c r="AO78">
        <v>46234</v>
      </c>
      <c r="AP78">
        <v>0.65258101851851846</v>
      </c>
      <c r="AQ78">
        <v>46238</v>
      </c>
      <c r="AR78">
        <v>0.50972222222222219</v>
      </c>
      <c r="AS78" t="s">
        <v>201</v>
      </c>
      <c r="AT78" t="s">
        <v>1956</v>
      </c>
      <c r="AU78" t="s">
        <v>1955</v>
      </c>
      <c r="AV78" t="s">
        <v>833</v>
      </c>
      <c r="AX78">
        <v>1</v>
      </c>
      <c r="AY78" t="s">
        <v>89</v>
      </c>
      <c r="AZ78" t="s">
        <v>90</v>
      </c>
      <c r="BA78" t="s">
        <v>217</v>
      </c>
      <c r="BB78" t="s">
        <v>830</v>
      </c>
      <c r="BC78">
        <v>23.5</v>
      </c>
      <c r="BD78">
        <v>0</v>
      </c>
      <c r="BE78">
        <v>1</v>
      </c>
    </row>
    <row r="79" spans="1:57" x14ac:dyDescent="0.3">
      <c r="A79" s="204">
        <v>46235</v>
      </c>
      <c r="B79" t="s">
        <v>142</v>
      </c>
      <c r="C79" t="s">
        <v>345</v>
      </c>
      <c r="D79" t="s">
        <v>48</v>
      </c>
      <c r="E79" t="s">
        <v>68</v>
      </c>
      <c r="F79" t="s">
        <v>309</v>
      </c>
      <c r="G79" t="s">
        <v>1081</v>
      </c>
      <c r="H79" t="s">
        <v>836</v>
      </c>
      <c r="I79" t="s">
        <v>403</v>
      </c>
      <c r="J79">
        <v>16</v>
      </c>
      <c r="K79">
        <v>16</v>
      </c>
      <c r="L79" t="s">
        <v>1082</v>
      </c>
      <c r="M79" s="15">
        <v>46227.725787037038</v>
      </c>
      <c r="N79" s="15">
        <v>46237.333333333336</v>
      </c>
      <c r="O79" s="15">
        <v>46232.603437500002</v>
      </c>
      <c r="P79" s="15">
        <v>46234.413194444445</v>
      </c>
      <c r="Q79" s="15"/>
      <c r="S79" t="s">
        <v>356</v>
      </c>
      <c r="T79" t="s">
        <v>1485</v>
      </c>
      <c r="V79" t="s">
        <v>356</v>
      </c>
      <c r="W79">
        <v>109</v>
      </c>
      <c r="X79" t="s">
        <v>369</v>
      </c>
      <c r="Y79" t="s">
        <v>239</v>
      </c>
      <c r="Z79" t="s">
        <v>826</v>
      </c>
      <c r="AB79" t="s">
        <v>348</v>
      </c>
      <c r="AC79" t="s">
        <v>348</v>
      </c>
      <c r="AD79" t="s">
        <v>369</v>
      </c>
      <c r="AE79" t="s">
        <v>239</v>
      </c>
      <c r="AF79" t="s">
        <v>1486</v>
      </c>
      <c r="AG79" t="s">
        <v>249</v>
      </c>
      <c r="AH79">
        <v>1</v>
      </c>
      <c r="AI79" t="s">
        <v>250</v>
      </c>
      <c r="AJ79" t="s">
        <v>248</v>
      </c>
      <c r="AK79" t="s">
        <v>827</v>
      </c>
      <c r="AL79" t="s">
        <v>156</v>
      </c>
      <c r="AM79" t="s">
        <v>832</v>
      </c>
      <c r="AN79">
        <v>1</v>
      </c>
      <c r="AO79">
        <v>46232</v>
      </c>
      <c r="AP79">
        <v>0.60343749999999996</v>
      </c>
      <c r="AQ79">
        <v>46234</v>
      </c>
      <c r="AR79">
        <v>0.41319444444444442</v>
      </c>
      <c r="AS79" t="s">
        <v>201</v>
      </c>
      <c r="AT79" t="s">
        <v>1956</v>
      </c>
      <c r="AU79" t="s">
        <v>1955</v>
      </c>
      <c r="AV79" t="s">
        <v>833</v>
      </c>
      <c r="AX79">
        <v>1.6</v>
      </c>
      <c r="AY79" t="s">
        <v>89</v>
      </c>
      <c r="AZ79" t="s">
        <v>90</v>
      </c>
      <c r="BA79" t="s">
        <v>217</v>
      </c>
      <c r="BB79" t="s">
        <v>830</v>
      </c>
      <c r="BC79">
        <v>23.5</v>
      </c>
      <c r="BD79">
        <v>0</v>
      </c>
      <c r="BE79">
        <v>1</v>
      </c>
    </row>
    <row r="80" spans="1:57" x14ac:dyDescent="0.3">
      <c r="A80" s="204">
        <v>46235</v>
      </c>
      <c r="B80" t="s">
        <v>142</v>
      </c>
      <c r="C80" t="s">
        <v>345</v>
      </c>
      <c r="D80" t="s">
        <v>45</v>
      </c>
      <c r="E80" t="s">
        <v>68</v>
      </c>
      <c r="F80" t="s">
        <v>309</v>
      </c>
      <c r="G80" t="s">
        <v>1083</v>
      </c>
      <c r="H80" t="s">
        <v>849</v>
      </c>
      <c r="I80" t="s">
        <v>407</v>
      </c>
      <c r="J80">
        <v>5</v>
      </c>
      <c r="K80">
        <v>5</v>
      </c>
      <c r="L80" t="s">
        <v>1084</v>
      </c>
      <c r="M80" s="15">
        <v>46245.50304398148</v>
      </c>
      <c r="N80" s="15">
        <v>46252.5</v>
      </c>
      <c r="O80" s="15">
        <v>46245.540277777778</v>
      </c>
      <c r="P80" s="15">
        <v>46247.46875</v>
      </c>
      <c r="Q80" s="15"/>
      <c r="S80" t="s">
        <v>464</v>
      </c>
      <c r="U80" t="s">
        <v>1487</v>
      </c>
      <c r="V80" t="s">
        <v>464</v>
      </c>
      <c r="W80">
        <v>288</v>
      </c>
      <c r="X80" t="s">
        <v>369</v>
      </c>
      <c r="Y80" t="s">
        <v>239</v>
      </c>
      <c r="Z80" t="s">
        <v>826</v>
      </c>
      <c r="AB80" t="s">
        <v>348</v>
      </c>
      <c r="AC80" t="s">
        <v>348</v>
      </c>
      <c r="AD80" t="s">
        <v>369</v>
      </c>
      <c r="AE80" t="s">
        <v>239</v>
      </c>
      <c r="AF80" t="s">
        <v>1488</v>
      </c>
      <c r="AG80" t="s">
        <v>249</v>
      </c>
      <c r="AH80">
        <v>1</v>
      </c>
      <c r="AI80" t="s">
        <v>250</v>
      </c>
      <c r="AJ80" t="s">
        <v>248</v>
      </c>
      <c r="AK80" t="s">
        <v>827</v>
      </c>
      <c r="AL80" t="s">
        <v>156</v>
      </c>
      <c r="AM80" t="s">
        <v>828</v>
      </c>
      <c r="AN80">
        <v>1</v>
      </c>
      <c r="AO80">
        <v>46245</v>
      </c>
      <c r="AP80">
        <v>0.54027777777777775</v>
      </c>
      <c r="AQ80">
        <v>46247</v>
      </c>
      <c r="AR80">
        <v>0.46875</v>
      </c>
      <c r="AS80" t="s">
        <v>201</v>
      </c>
      <c r="AT80" t="s">
        <v>1956</v>
      </c>
      <c r="AU80" t="s">
        <v>1955</v>
      </c>
      <c r="AV80" t="s">
        <v>829</v>
      </c>
      <c r="AX80">
        <v>1</v>
      </c>
      <c r="AY80" t="s">
        <v>89</v>
      </c>
      <c r="AZ80" t="s">
        <v>67</v>
      </c>
      <c r="BA80" t="s">
        <v>217</v>
      </c>
      <c r="BB80" t="s">
        <v>850</v>
      </c>
      <c r="BE80">
        <v>1</v>
      </c>
    </row>
    <row r="81" spans="1:57" x14ac:dyDescent="0.3">
      <c r="A81" s="204">
        <v>46235</v>
      </c>
      <c r="B81" t="s">
        <v>142</v>
      </c>
      <c r="C81" t="s">
        <v>345</v>
      </c>
      <c r="D81" t="s">
        <v>45</v>
      </c>
      <c r="E81" t="s">
        <v>68</v>
      </c>
      <c r="F81" t="s">
        <v>309</v>
      </c>
      <c r="G81" t="s">
        <v>1085</v>
      </c>
      <c r="H81" t="s">
        <v>849</v>
      </c>
      <c r="I81" t="s">
        <v>407</v>
      </c>
      <c r="J81">
        <v>11</v>
      </c>
      <c r="K81">
        <v>11</v>
      </c>
      <c r="L81" t="s">
        <v>1086</v>
      </c>
      <c r="M81" s="15">
        <v>46245.502650462964</v>
      </c>
      <c r="N81" s="15">
        <v>46252.5</v>
      </c>
      <c r="O81" s="15">
        <v>46245.53125</v>
      </c>
      <c r="P81" s="15">
        <v>46247.46875</v>
      </c>
      <c r="Q81" s="15"/>
      <c r="S81" t="s">
        <v>464</v>
      </c>
      <c r="U81" t="s">
        <v>1489</v>
      </c>
      <c r="V81" t="s">
        <v>464</v>
      </c>
      <c r="W81">
        <v>288</v>
      </c>
      <c r="X81" t="s">
        <v>369</v>
      </c>
      <c r="Y81" t="s">
        <v>239</v>
      </c>
      <c r="Z81" t="s">
        <v>826</v>
      </c>
      <c r="AB81" t="s">
        <v>348</v>
      </c>
      <c r="AC81" t="s">
        <v>348</v>
      </c>
      <c r="AD81" t="s">
        <v>369</v>
      </c>
      <c r="AE81" t="s">
        <v>239</v>
      </c>
      <c r="AF81" t="s">
        <v>1490</v>
      </c>
      <c r="AG81" t="s">
        <v>249</v>
      </c>
      <c r="AH81">
        <v>1</v>
      </c>
      <c r="AI81" t="s">
        <v>250</v>
      </c>
      <c r="AJ81" t="s">
        <v>248</v>
      </c>
      <c r="AK81" t="s">
        <v>827</v>
      </c>
      <c r="AL81" t="s">
        <v>156</v>
      </c>
      <c r="AM81" t="s">
        <v>828</v>
      </c>
      <c r="AN81">
        <v>1</v>
      </c>
      <c r="AO81">
        <v>46245</v>
      </c>
      <c r="AP81">
        <v>0.53125</v>
      </c>
      <c r="AQ81">
        <v>46247</v>
      </c>
      <c r="AR81">
        <v>0.46875</v>
      </c>
      <c r="AS81" t="s">
        <v>201</v>
      </c>
      <c r="AT81" t="s">
        <v>1956</v>
      </c>
      <c r="AU81" t="s">
        <v>1955</v>
      </c>
      <c r="AV81" t="s">
        <v>829</v>
      </c>
      <c r="AX81">
        <v>1.1000000000000001</v>
      </c>
      <c r="AY81" t="s">
        <v>89</v>
      </c>
      <c r="AZ81" t="s">
        <v>67</v>
      </c>
      <c r="BA81" t="s">
        <v>217</v>
      </c>
      <c r="BB81" t="s">
        <v>850</v>
      </c>
    </row>
    <row r="82" spans="1:57" x14ac:dyDescent="0.3">
      <c r="A82" s="204">
        <v>46237</v>
      </c>
      <c r="B82" t="s">
        <v>142</v>
      </c>
      <c r="C82" t="s">
        <v>345</v>
      </c>
      <c r="D82" t="s">
        <v>48</v>
      </c>
      <c r="E82" t="s">
        <v>68</v>
      </c>
      <c r="F82" t="s">
        <v>309</v>
      </c>
      <c r="G82" t="s">
        <v>1087</v>
      </c>
      <c r="H82" t="s">
        <v>1491</v>
      </c>
      <c r="I82" t="s">
        <v>407</v>
      </c>
      <c r="J82">
        <v>5</v>
      </c>
      <c r="K82">
        <v>5</v>
      </c>
      <c r="L82" t="s">
        <v>1088</v>
      </c>
      <c r="M82" s="15">
        <v>46252.486481481479</v>
      </c>
      <c r="N82" s="15">
        <v>46259.486111111109</v>
      </c>
      <c r="O82" s="15">
        <v>46253.540277777778</v>
      </c>
      <c r="P82" s="15">
        <v>46254.458333333336</v>
      </c>
      <c r="Q82" s="15"/>
      <c r="S82" t="s">
        <v>464</v>
      </c>
      <c r="V82" t="s">
        <v>464</v>
      </c>
      <c r="W82">
        <v>288</v>
      </c>
      <c r="X82" t="s">
        <v>369</v>
      </c>
      <c r="Y82" t="s">
        <v>239</v>
      </c>
      <c r="Z82" t="s">
        <v>826</v>
      </c>
      <c r="AB82" t="s">
        <v>348</v>
      </c>
      <c r="AC82" t="s">
        <v>348</v>
      </c>
      <c r="AD82" t="s">
        <v>369</v>
      </c>
      <c r="AE82" t="s">
        <v>239</v>
      </c>
      <c r="AF82" t="s">
        <v>1492</v>
      </c>
      <c r="AG82" t="s">
        <v>249</v>
      </c>
      <c r="AH82">
        <v>1</v>
      </c>
      <c r="AI82" t="s">
        <v>250</v>
      </c>
      <c r="AJ82" t="s">
        <v>248</v>
      </c>
      <c r="AK82" t="s">
        <v>827</v>
      </c>
      <c r="AL82" t="s">
        <v>156</v>
      </c>
      <c r="AM82" t="s">
        <v>832</v>
      </c>
      <c r="AN82">
        <v>1</v>
      </c>
      <c r="AO82">
        <v>46253</v>
      </c>
      <c r="AP82">
        <v>0.54027777777777775</v>
      </c>
      <c r="AQ82">
        <v>46254</v>
      </c>
      <c r="AR82">
        <v>0.45833333333333331</v>
      </c>
      <c r="AS82" t="s">
        <v>201</v>
      </c>
      <c r="AT82" t="s">
        <v>1954</v>
      </c>
      <c r="AU82" t="s">
        <v>1955</v>
      </c>
      <c r="AV82" t="s">
        <v>833</v>
      </c>
      <c r="AX82">
        <v>1</v>
      </c>
      <c r="AY82" t="s">
        <v>89</v>
      </c>
      <c r="AZ82" t="s">
        <v>90</v>
      </c>
      <c r="BA82" t="s">
        <v>217</v>
      </c>
      <c r="BB82" t="s">
        <v>850</v>
      </c>
      <c r="BE82">
        <v>1</v>
      </c>
    </row>
    <row r="83" spans="1:57" x14ac:dyDescent="0.3">
      <c r="A83" s="204">
        <v>46230</v>
      </c>
      <c r="B83" t="s">
        <v>142</v>
      </c>
      <c r="C83" t="s">
        <v>345</v>
      </c>
      <c r="D83" t="s">
        <v>48</v>
      </c>
      <c r="E83" t="s">
        <v>68</v>
      </c>
      <c r="F83" t="s">
        <v>309</v>
      </c>
      <c r="G83" t="s">
        <v>1089</v>
      </c>
      <c r="H83" t="s">
        <v>845</v>
      </c>
      <c r="I83" t="s">
        <v>402</v>
      </c>
      <c r="J83">
        <v>1</v>
      </c>
      <c r="K83">
        <v>1</v>
      </c>
      <c r="L83" t="s">
        <v>1090</v>
      </c>
      <c r="M83" s="15">
        <v>46231.743472222224</v>
      </c>
      <c r="N83" s="15">
        <v>46239.333333333336</v>
      </c>
      <c r="O83" s="15">
        <v>46239.520138888889</v>
      </c>
      <c r="P83" s="15">
        <v>46240.513194444444</v>
      </c>
      <c r="Q83" s="15"/>
      <c r="S83" t="s">
        <v>355</v>
      </c>
      <c r="T83" t="s">
        <v>1493</v>
      </c>
      <c r="V83" t="s">
        <v>355</v>
      </c>
      <c r="W83">
        <v>2200</v>
      </c>
      <c r="X83" t="s">
        <v>369</v>
      </c>
      <c r="Y83" t="s">
        <v>239</v>
      </c>
      <c r="Z83" t="s">
        <v>826</v>
      </c>
      <c r="AB83" t="s">
        <v>348</v>
      </c>
      <c r="AC83" t="s">
        <v>348</v>
      </c>
      <c r="AD83" t="s">
        <v>369</v>
      </c>
      <c r="AE83" t="s">
        <v>239</v>
      </c>
      <c r="AF83" t="s">
        <v>1494</v>
      </c>
      <c r="AG83" t="s">
        <v>249</v>
      </c>
      <c r="AH83">
        <v>1</v>
      </c>
      <c r="AI83" t="s">
        <v>250</v>
      </c>
      <c r="AJ83" t="s">
        <v>248</v>
      </c>
      <c r="AK83" t="s">
        <v>827</v>
      </c>
      <c r="AL83" t="s">
        <v>156</v>
      </c>
      <c r="AM83" t="s">
        <v>832</v>
      </c>
      <c r="AN83">
        <v>1</v>
      </c>
      <c r="AO83">
        <v>46239</v>
      </c>
      <c r="AP83">
        <v>0.52013888888888893</v>
      </c>
      <c r="AQ83">
        <v>46240</v>
      </c>
      <c r="AR83">
        <v>0.5131944444444444</v>
      </c>
      <c r="AS83" t="s">
        <v>201</v>
      </c>
      <c r="AT83" t="s">
        <v>1956</v>
      </c>
      <c r="AU83" t="s">
        <v>1955</v>
      </c>
      <c r="AV83" t="s">
        <v>833</v>
      </c>
      <c r="AX83">
        <v>1</v>
      </c>
      <c r="AY83" t="s">
        <v>89</v>
      </c>
      <c r="AZ83" t="s">
        <v>90</v>
      </c>
      <c r="BA83" t="s">
        <v>217</v>
      </c>
      <c r="BB83" t="s">
        <v>846</v>
      </c>
      <c r="BC83">
        <v>23.5</v>
      </c>
      <c r="BD83">
        <v>0</v>
      </c>
      <c r="BE83">
        <v>1</v>
      </c>
    </row>
    <row r="84" spans="1:57" x14ac:dyDescent="0.3">
      <c r="A84" s="204">
        <v>46230</v>
      </c>
      <c r="B84" t="s">
        <v>142</v>
      </c>
      <c r="C84" t="s">
        <v>345</v>
      </c>
      <c r="D84" t="s">
        <v>48</v>
      </c>
      <c r="E84" t="s">
        <v>68</v>
      </c>
      <c r="F84" t="s">
        <v>309</v>
      </c>
      <c r="G84" t="s">
        <v>1091</v>
      </c>
      <c r="H84" t="s">
        <v>842</v>
      </c>
      <c r="I84" t="s">
        <v>401</v>
      </c>
      <c r="J84">
        <v>1</v>
      </c>
      <c r="K84">
        <v>1</v>
      </c>
      <c r="L84" t="s">
        <v>1092</v>
      </c>
      <c r="M84" s="15">
        <v>46231.307928240742</v>
      </c>
      <c r="N84" s="15">
        <v>46238.333333333336</v>
      </c>
      <c r="O84" s="15">
        <v>46231.367361111108</v>
      </c>
      <c r="P84" s="15">
        <v>46232.486111111109</v>
      </c>
      <c r="Q84" s="15"/>
      <c r="S84" t="s">
        <v>357</v>
      </c>
      <c r="T84" t="s">
        <v>837</v>
      </c>
      <c r="V84" t="s">
        <v>357</v>
      </c>
      <c r="W84">
        <v>101</v>
      </c>
      <c r="X84" t="s">
        <v>369</v>
      </c>
      <c r="Y84" t="s">
        <v>239</v>
      </c>
      <c r="Z84" t="s">
        <v>826</v>
      </c>
      <c r="AB84" t="s">
        <v>348</v>
      </c>
      <c r="AC84" t="s">
        <v>348</v>
      </c>
      <c r="AD84" t="s">
        <v>369</v>
      </c>
      <c r="AE84" t="s">
        <v>239</v>
      </c>
      <c r="AF84" t="s">
        <v>1495</v>
      </c>
      <c r="AG84" t="s">
        <v>249</v>
      </c>
      <c r="AH84">
        <v>1</v>
      </c>
      <c r="AI84" t="s">
        <v>250</v>
      </c>
      <c r="AJ84" t="s">
        <v>248</v>
      </c>
      <c r="AK84" t="s">
        <v>827</v>
      </c>
      <c r="AL84" t="s">
        <v>156</v>
      </c>
      <c r="AM84" t="s">
        <v>832</v>
      </c>
      <c r="AN84">
        <v>1</v>
      </c>
      <c r="AO84">
        <v>46231</v>
      </c>
      <c r="AP84">
        <v>0.36736111111111114</v>
      </c>
      <c r="AQ84">
        <v>46232</v>
      </c>
      <c r="AR84">
        <v>0.4861111111111111</v>
      </c>
      <c r="AS84" t="s">
        <v>201</v>
      </c>
      <c r="AT84" t="s">
        <v>1956</v>
      </c>
      <c r="AU84" t="s">
        <v>1955</v>
      </c>
      <c r="AV84" t="s">
        <v>833</v>
      </c>
      <c r="AX84">
        <v>1</v>
      </c>
      <c r="AY84" t="s">
        <v>89</v>
      </c>
      <c r="AZ84" t="s">
        <v>90</v>
      </c>
      <c r="BA84" t="s">
        <v>217</v>
      </c>
      <c r="BB84" t="s">
        <v>847</v>
      </c>
      <c r="BC84">
        <v>23</v>
      </c>
      <c r="BD84">
        <v>0</v>
      </c>
      <c r="BE84">
        <v>1</v>
      </c>
    </row>
    <row r="85" spans="1:57" x14ac:dyDescent="0.3">
      <c r="A85" s="204">
        <v>46230</v>
      </c>
      <c r="B85" t="s">
        <v>142</v>
      </c>
      <c r="C85" t="s">
        <v>345</v>
      </c>
      <c r="D85" t="s">
        <v>48</v>
      </c>
      <c r="E85" t="s">
        <v>68</v>
      </c>
      <c r="F85" t="s">
        <v>309</v>
      </c>
      <c r="G85" t="s">
        <v>1093</v>
      </c>
      <c r="H85" t="s">
        <v>877</v>
      </c>
      <c r="I85" t="s">
        <v>402</v>
      </c>
      <c r="J85">
        <v>1</v>
      </c>
      <c r="K85">
        <v>1</v>
      </c>
      <c r="L85" t="s">
        <v>1094</v>
      </c>
      <c r="M85" s="15">
        <v>46227.576932870368</v>
      </c>
      <c r="N85" s="15">
        <v>46234.576388888891</v>
      </c>
      <c r="O85" s="15">
        <v>46233.393819444442</v>
      </c>
      <c r="P85" s="15">
        <v>46234.439583333333</v>
      </c>
      <c r="Q85" s="15"/>
      <c r="S85" t="s">
        <v>354</v>
      </c>
      <c r="T85" t="s">
        <v>1496</v>
      </c>
      <c r="V85" t="s">
        <v>354</v>
      </c>
      <c r="W85">
        <v>50</v>
      </c>
      <c r="X85" t="s">
        <v>369</v>
      </c>
      <c r="Y85" t="s">
        <v>239</v>
      </c>
      <c r="Z85" t="s">
        <v>826</v>
      </c>
      <c r="AB85" t="s">
        <v>348</v>
      </c>
      <c r="AC85" t="s">
        <v>348</v>
      </c>
      <c r="AD85" t="s">
        <v>369</v>
      </c>
      <c r="AE85" t="s">
        <v>239</v>
      </c>
      <c r="AF85" t="s">
        <v>1497</v>
      </c>
      <c r="AG85" t="s">
        <v>249</v>
      </c>
      <c r="AH85">
        <v>1</v>
      </c>
      <c r="AI85" t="s">
        <v>250</v>
      </c>
      <c r="AJ85" t="s">
        <v>248</v>
      </c>
      <c r="AK85" t="s">
        <v>827</v>
      </c>
      <c r="AL85" t="s">
        <v>156</v>
      </c>
      <c r="AM85" t="s">
        <v>832</v>
      </c>
      <c r="AN85">
        <v>1</v>
      </c>
      <c r="AO85">
        <v>46233</v>
      </c>
      <c r="AP85">
        <v>0.39381944444444444</v>
      </c>
      <c r="AQ85">
        <v>46234</v>
      </c>
      <c r="AR85">
        <v>0.43958333333333333</v>
      </c>
      <c r="AS85" t="s">
        <v>201</v>
      </c>
      <c r="AT85" t="s">
        <v>1956</v>
      </c>
      <c r="AU85" t="s">
        <v>1955</v>
      </c>
      <c r="AV85" t="s">
        <v>833</v>
      </c>
      <c r="AX85">
        <v>1</v>
      </c>
      <c r="AY85" t="s">
        <v>89</v>
      </c>
      <c r="AZ85" t="s">
        <v>90</v>
      </c>
      <c r="BA85" t="s">
        <v>217</v>
      </c>
      <c r="BB85" t="s">
        <v>841</v>
      </c>
      <c r="BC85">
        <v>16.3</v>
      </c>
      <c r="BD85">
        <v>0</v>
      </c>
      <c r="BE85">
        <v>1</v>
      </c>
    </row>
    <row r="86" spans="1:57" x14ac:dyDescent="0.3">
      <c r="A86" s="204">
        <v>46230</v>
      </c>
      <c r="B86" t="s">
        <v>142</v>
      </c>
      <c r="C86" t="s">
        <v>345</v>
      </c>
      <c r="D86" t="s">
        <v>57</v>
      </c>
      <c r="E86" t="s">
        <v>117</v>
      </c>
      <c r="F86" t="s">
        <v>309</v>
      </c>
      <c r="G86" t="s">
        <v>741</v>
      </c>
      <c r="H86" t="s">
        <v>842</v>
      </c>
      <c r="I86" t="s">
        <v>401</v>
      </c>
      <c r="J86">
        <v>1</v>
      </c>
      <c r="K86">
        <v>1</v>
      </c>
      <c r="L86" t="s">
        <v>1095</v>
      </c>
      <c r="M86" s="15">
        <v>46248.437847222223</v>
      </c>
      <c r="N86" s="15">
        <v>46255.4375</v>
      </c>
      <c r="O86" s="15">
        <v>46248.662499999999</v>
      </c>
      <c r="P86" s="15">
        <v>46253.628472222219</v>
      </c>
      <c r="Q86" s="15"/>
      <c r="S86" t="s">
        <v>357</v>
      </c>
      <c r="U86" t="s">
        <v>1498</v>
      </c>
      <c r="V86" t="s">
        <v>357</v>
      </c>
      <c r="W86">
        <v>101</v>
      </c>
      <c r="X86" t="s">
        <v>369</v>
      </c>
      <c r="Y86" t="s">
        <v>239</v>
      </c>
      <c r="Z86" t="s">
        <v>851</v>
      </c>
      <c r="AB86" t="s">
        <v>348</v>
      </c>
      <c r="AC86" t="s">
        <v>7</v>
      </c>
      <c r="AD86" t="s">
        <v>7</v>
      </c>
      <c r="AE86" t="s">
        <v>7</v>
      </c>
      <c r="AF86" t="s">
        <v>1499</v>
      </c>
      <c r="AG86" t="s">
        <v>249</v>
      </c>
      <c r="AH86">
        <v>2</v>
      </c>
      <c r="AI86" t="s">
        <v>250</v>
      </c>
      <c r="AJ86" t="s">
        <v>251</v>
      </c>
      <c r="AK86" t="s">
        <v>827</v>
      </c>
      <c r="AL86" t="s">
        <v>156</v>
      </c>
      <c r="AM86" t="s">
        <v>861</v>
      </c>
      <c r="AO86">
        <v>46248</v>
      </c>
      <c r="AP86">
        <v>0.66249999999999998</v>
      </c>
      <c r="AQ86">
        <v>46253</v>
      </c>
      <c r="AR86">
        <v>0.62847222222222221</v>
      </c>
      <c r="AS86" t="s">
        <v>201</v>
      </c>
      <c r="AT86" t="s">
        <v>1954</v>
      </c>
      <c r="AU86" t="s">
        <v>1955</v>
      </c>
      <c r="AV86" t="s">
        <v>862</v>
      </c>
      <c r="AX86">
        <v>1</v>
      </c>
      <c r="AY86" t="s">
        <v>126</v>
      </c>
      <c r="AZ86" t="s">
        <v>127</v>
      </c>
      <c r="BA86" t="s">
        <v>233</v>
      </c>
      <c r="BB86" t="s">
        <v>863</v>
      </c>
      <c r="BE86">
        <v>1</v>
      </c>
    </row>
    <row r="87" spans="1:57" x14ac:dyDescent="0.3">
      <c r="A87" s="204">
        <v>46230</v>
      </c>
      <c r="B87" t="s">
        <v>142</v>
      </c>
      <c r="C87" t="s">
        <v>345</v>
      </c>
      <c r="D87" t="s">
        <v>57</v>
      </c>
      <c r="E87" t="s">
        <v>117</v>
      </c>
      <c r="F87" t="s">
        <v>309</v>
      </c>
      <c r="G87" t="s">
        <v>1096</v>
      </c>
      <c r="H87" t="s">
        <v>842</v>
      </c>
      <c r="I87" t="s">
        <v>401</v>
      </c>
      <c r="J87">
        <v>1</v>
      </c>
      <c r="K87">
        <v>1</v>
      </c>
      <c r="L87" t="s">
        <v>1097</v>
      </c>
      <c r="M87" s="15">
        <v>46239.634884259256</v>
      </c>
      <c r="N87" s="15">
        <v>46246.634722222225</v>
      </c>
      <c r="O87" s="15">
        <v>46240.408333333333</v>
      </c>
      <c r="P87" s="15">
        <v>46246.645833333336</v>
      </c>
      <c r="Q87" s="15"/>
      <c r="S87" t="s">
        <v>357</v>
      </c>
      <c r="U87" t="s">
        <v>1500</v>
      </c>
      <c r="V87" t="s">
        <v>357</v>
      </c>
      <c r="W87">
        <v>101</v>
      </c>
      <c r="X87" t="s">
        <v>369</v>
      </c>
      <c r="Y87" t="s">
        <v>239</v>
      </c>
      <c r="Z87" t="s">
        <v>851</v>
      </c>
      <c r="AB87" t="s">
        <v>348</v>
      </c>
      <c r="AC87" t="s">
        <v>7</v>
      </c>
      <c r="AD87" t="s">
        <v>7</v>
      </c>
      <c r="AE87" t="s">
        <v>7</v>
      </c>
      <c r="AF87" t="s">
        <v>1501</v>
      </c>
      <c r="AG87" t="s">
        <v>249</v>
      </c>
      <c r="AH87">
        <v>2</v>
      </c>
      <c r="AI87" t="s">
        <v>250</v>
      </c>
      <c r="AJ87" t="s">
        <v>251</v>
      </c>
      <c r="AK87" t="s">
        <v>827</v>
      </c>
      <c r="AL87" t="s">
        <v>156</v>
      </c>
      <c r="AM87" t="s">
        <v>861</v>
      </c>
      <c r="AO87">
        <v>46240</v>
      </c>
      <c r="AP87">
        <v>0.40833333333333333</v>
      </c>
      <c r="AQ87">
        <v>46246</v>
      </c>
      <c r="AR87">
        <v>0.64583333333333337</v>
      </c>
      <c r="AS87" t="s">
        <v>201</v>
      </c>
      <c r="AT87" t="s">
        <v>1954</v>
      </c>
      <c r="AU87" t="s">
        <v>1955</v>
      </c>
      <c r="AV87" t="s">
        <v>862</v>
      </c>
      <c r="AX87">
        <v>1</v>
      </c>
      <c r="AY87" t="s">
        <v>126</v>
      </c>
      <c r="AZ87" t="s">
        <v>127</v>
      </c>
      <c r="BA87" t="s">
        <v>233</v>
      </c>
      <c r="BB87" t="s">
        <v>863</v>
      </c>
      <c r="BE87">
        <v>1</v>
      </c>
    </row>
    <row r="88" spans="1:57" x14ac:dyDescent="0.3">
      <c r="A88" s="204">
        <v>46230</v>
      </c>
      <c r="B88" t="s">
        <v>142</v>
      </c>
      <c r="C88" t="s">
        <v>345</v>
      </c>
      <c r="D88" t="s">
        <v>57</v>
      </c>
      <c r="E88" t="s">
        <v>117</v>
      </c>
      <c r="F88" t="s">
        <v>309</v>
      </c>
      <c r="G88" t="s">
        <v>1098</v>
      </c>
      <c r="H88" t="s">
        <v>930</v>
      </c>
      <c r="I88" t="s">
        <v>405</v>
      </c>
      <c r="J88">
        <v>1</v>
      </c>
      <c r="K88">
        <v>1</v>
      </c>
      <c r="L88" t="s">
        <v>1099</v>
      </c>
      <c r="M88" s="15">
        <v>46245.601261574076</v>
      </c>
      <c r="N88" s="15">
        <v>46252.600694444445</v>
      </c>
      <c r="O88" s="15">
        <v>46246.638194444444</v>
      </c>
      <c r="P88" s="15">
        <v>46252.386805555558</v>
      </c>
      <c r="Q88" s="15"/>
      <c r="S88" t="s">
        <v>355</v>
      </c>
      <c r="U88" t="s">
        <v>1502</v>
      </c>
      <c r="V88" t="s">
        <v>355</v>
      </c>
      <c r="W88">
        <v>2200</v>
      </c>
      <c r="X88" t="s">
        <v>369</v>
      </c>
      <c r="Y88" t="s">
        <v>239</v>
      </c>
      <c r="Z88" t="s">
        <v>851</v>
      </c>
      <c r="AB88" t="s">
        <v>348</v>
      </c>
      <c r="AC88" t="s">
        <v>7</v>
      </c>
      <c r="AD88" t="s">
        <v>7</v>
      </c>
      <c r="AE88" t="s">
        <v>7</v>
      </c>
      <c r="AF88" t="s">
        <v>1503</v>
      </c>
      <c r="AG88" t="s">
        <v>249</v>
      </c>
      <c r="AH88">
        <v>2</v>
      </c>
      <c r="AI88" t="s">
        <v>250</v>
      </c>
      <c r="AJ88" t="s">
        <v>251</v>
      </c>
      <c r="AK88" t="s">
        <v>827</v>
      </c>
      <c r="AL88" t="s">
        <v>156</v>
      </c>
      <c r="AM88" t="s">
        <v>861</v>
      </c>
      <c r="AO88">
        <v>46246</v>
      </c>
      <c r="AP88">
        <v>0.6381944444444444</v>
      </c>
      <c r="AQ88">
        <v>46252</v>
      </c>
      <c r="AR88">
        <v>0.38680555555555557</v>
      </c>
      <c r="AS88" t="s">
        <v>201</v>
      </c>
      <c r="AT88" t="s">
        <v>1954</v>
      </c>
      <c r="AU88" t="s">
        <v>1955</v>
      </c>
      <c r="AV88" t="s">
        <v>862</v>
      </c>
      <c r="AX88">
        <v>1</v>
      </c>
      <c r="AY88" t="s">
        <v>126</v>
      </c>
      <c r="AZ88" t="s">
        <v>127</v>
      </c>
      <c r="BA88" t="s">
        <v>233</v>
      </c>
      <c r="BB88" t="s">
        <v>859</v>
      </c>
      <c r="BE88">
        <v>1</v>
      </c>
    </row>
    <row r="89" spans="1:57" x14ac:dyDescent="0.3">
      <c r="A89" s="204">
        <v>46237</v>
      </c>
      <c r="B89" t="s">
        <v>142</v>
      </c>
      <c r="C89" t="s">
        <v>345</v>
      </c>
      <c r="D89" t="s">
        <v>57</v>
      </c>
      <c r="E89" t="s">
        <v>117</v>
      </c>
      <c r="F89" t="s">
        <v>309</v>
      </c>
      <c r="G89" t="s">
        <v>1100</v>
      </c>
      <c r="H89" t="s">
        <v>845</v>
      </c>
      <c r="I89" t="s">
        <v>402</v>
      </c>
      <c r="J89">
        <v>5</v>
      </c>
      <c r="K89">
        <v>5</v>
      </c>
      <c r="L89" t="s">
        <v>1101</v>
      </c>
      <c r="M89" s="15">
        <v>46245.375648148147</v>
      </c>
      <c r="N89" s="15">
        <v>46252.375</v>
      </c>
      <c r="O89" s="15">
        <v>46246.395138888889</v>
      </c>
      <c r="P89" s="15">
        <v>46248.681250000001</v>
      </c>
      <c r="Q89" s="15"/>
      <c r="S89" t="s">
        <v>355</v>
      </c>
      <c r="V89" t="s">
        <v>355</v>
      </c>
      <c r="W89">
        <v>2200</v>
      </c>
      <c r="X89" t="s">
        <v>369</v>
      </c>
      <c r="Y89" t="s">
        <v>239</v>
      </c>
      <c r="Z89" t="s">
        <v>851</v>
      </c>
      <c r="AB89" t="s">
        <v>348</v>
      </c>
      <c r="AC89" t="s">
        <v>7</v>
      </c>
      <c r="AD89" t="s">
        <v>7</v>
      </c>
      <c r="AE89" t="s">
        <v>7</v>
      </c>
      <c r="AF89" t="s">
        <v>1504</v>
      </c>
      <c r="AG89" t="s">
        <v>249</v>
      </c>
      <c r="AH89">
        <v>2</v>
      </c>
      <c r="AI89" t="s">
        <v>250</v>
      </c>
      <c r="AJ89" t="s">
        <v>251</v>
      </c>
      <c r="AK89" t="s">
        <v>827</v>
      </c>
      <c r="AL89" t="s">
        <v>156</v>
      </c>
      <c r="AM89" t="s">
        <v>861</v>
      </c>
      <c r="AO89">
        <v>46246</v>
      </c>
      <c r="AP89">
        <v>0.39513888888888887</v>
      </c>
      <c r="AQ89">
        <v>46248</v>
      </c>
      <c r="AR89">
        <v>0.68125000000000002</v>
      </c>
      <c r="AS89" t="s">
        <v>201</v>
      </c>
      <c r="AT89" t="s">
        <v>1954</v>
      </c>
      <c r="AU89" t="s">
        <v>1955</v>
      </c>
      <c r="AV89" t="s">
        <v>862</v>
      </c>
      <c r="AX89">
        <v>1</v>
      </c>
      <c r="AY89" t="s">
        <v>126</v>
      </c>
      <c r="AZ89" t="s">
        <v>127</v>
      </c>
      <c r="BA89" t="s">
        <v>233</v>
      </c>
      <c r="BB89" t="s">
        <v>859</v>
      </c>
      <c r="BE89">
        <v>1</v>
      </c>
    </row>
    <row r="90" spans="1:57" x14ac:dyDescent="0.3">
      <c r="A90" s="204">
        <v>46237</v>
      </c>
      <c r="B90" t="s">
        <v>142</v>
      </c>
      <c r="C90" t="s">
        <v>345</v>
      </c>
      <c r="D90" t="s">
        <v>57</v>
      </c>
      <c r="E90" t="s">
        <v>117</v>
      </c>
      <c r="F90" t="s">
        <v>309</v>
      </c>
      <c r="G90" t="s">
        <v>1102</v>
      </c>
      <c r="H90" t="s">
        <v>845</v>
      </c>
      <c r="I90" t="s">
        <v>402</v>
      </c>
      <c r="J90">
        <v>3</v>
      </c>
      <c r="K90">
        <v>3</v>
      </c>
      <c r="L90" t="s">
        <v>1103</v>
      </c>
      <c r="M90" s="15">
        <v>46239.715613425928</v>
      </c>
      <c r="N90" s="15">
        <v>46247.333333333336</v>
      </c>
      <c r="O90" s="15">
        <v>46241.71597222222</v>
      </c>
      <c r="P90" s="15">
        <v>46246.671527777777</v>
      </c>
      <c r="Q90" s="15"/>
      <c r="S90" t="s">
        <v>355</v>
      </c>
      <c r="V90" t="s">
        <v>355</v>
      </c>
      <c r="W90">
        <v>2200</v>
      </c>
      <c r="X90" t="s">
        <v>369</v>
      </c>
      <c r="Y90" t="s">
        <v>239</v>
      </c>
      <c r="Z90" t="s">
        <v>851</v>
      </c>
      <c r="AB90" t="s">
        <v>348</v>
      </c>
      <c r="AC90" t="s">
        <v>7</v>
      </c>
      <c r="AD90" t="s">
        <v>7</v>
      </c>
      <c r="AE90" t="s">
        <v>7</v>
      </c>
      <c r="AF90" t="s">
        <v>1505</v>
      </c>
      <c r="AG90" t="s">
        <v>249</v>
      </c>
      <c r="AH90">
        <v>2</v>
      </c>
      <c r="AI90" t="s">
        <v>250</v>
      </c>
      <c r="AJ90" t="s">
        <v>251</v>
      </c>
      <c r="AK90" t="s">
        <v>827</v>
      </c>
      <c r="AL90" t="s">
        <v>156</v>
      </c>
      <c r="AM90" t="s">
        <v>861</v>
      </c>
      <c r="AO90">
        <v>46241</v>
      </c>
      <c r="AP90">
        <v>0.71597222222222223</v>
      </c>
      <c r="AQ90">
        <v>46246</v>
      </c>
      <c r="AR90">
        <v>0.67152777777777772</v>
      </c>
      <c r="AS90" t="s">
        <v>201</v>
      </c>
      <c r="AT90" t="s">
        <v>1954</v>
      </c>
      <c r="AU90" t="s">
        <v>1955</v>
      </c>
      <c r="AV90" t="s">
        <v>862</v>
      </c>
      <c r="AX90">
        <v>1</v>
      </c>
      <c r="AY90" t="s">
        <v>126</v>
      </c>
      <c r="AZ90" t="s">
        <v>127</v>
      </c>
      <c r="BA90" t="s">
        <v>233</v>
      </c>
      <c r="BB90" t="s">
        <v>859</v>
      </c>
      <c r="BE90">
        <v>1</v>
      </c>
    </row>
    <row r="91" spans="1:57" x14ac:dyDescent="0.3">
      <c r="A91" s="204">
        <v>46237</v>
      </c>
      <c r="B91" t="s">
        <v>142</v>
      </c>
      <c r="C91" t="s">
        <v>345</v>
      </c>
      <c r="D91" t="s">
        <v>57</v>
      </c>
      <c r="E91" t="s">
        <v>117</v>
      </c>
      <c r="F91" t="s">
        <v>309</v>
      </c>
      <c r="G91" t="s">
        <v>1104</v>
      </c>
      <c r="H91" t="s">
        <v>845</v>
      </c>
      <c r="I91" t="s">
        <v>402</v>
      </c>
      <c r="J91">
        <v>1</v>
      </c>
      <c r="K91">
        <v>1</v>
      </c>
      <c r="L91" t="s">
        <v>1105</v>
      </c>
      <c r="M91" s="15">
        <v>46238.474398148152</v>
      </c>
      <c r="N91" s="15">
        <v>46245.474305555559</v>
      </c>
      <c r="O91" s="15">
        <v>46238.659722222219</v>
      </c>
      <c r="P91" s="15">
        <v>46241.456944444442</v>
      </c>
      <c r="Q91" s="15"/>
      <c r="S91" t="s">
        <v>355</v>
      </c>
      <c r="V91" t="s">
        <v>355</v>
      </c>
      <c r="W91">
        <v>2200</v>
      </c>
      <c r="X91" t="s">
        <v>369</v>
      </c>
      <c r="Y91" t="s">
        <v>239</v>
      </c>
      <c r="Z91" t="s">
        <v>851</v>
      </c>
      <c r="AB91" t="s">
        <v>348</v>
      </c>
      <c r="AC91" t="s">
        <v>7</v>
      </c>
      <c r="AD91" t="s">
        <v>7</v>
      </c>
      <c r="AE91" t="s">
        <v>7</v>
      </c>
      <c r="AF91" t="s">
        <v>1506</v>
      </c>
      <c r="AG91" t="s">
        <v>249</v>
      </c>
      <c r="AH91">
        <v>2</v>
      </c>
      <c r="AI91" t="s">
        <v>250</v>
      </c>
      <c r="AJ91" t="s">
        <v>251</v>
      </c>
      <c r="AK91" t="s">
        <v>827</v>
      </c>
      <c r="AL91" t="s">
        <v>156</v>
      </c>
      <c r="AM91" t="s">
        <v>861</v>
      </c>
      <c r="AO91">
        <v>46238</v>
      </c>
      <c r="AP91">
        <v>0.65972222222222221</v>
      </c>
      <c r="AQ91">
        <v>46241</v>
      </c>
      <c r="AR91">
        <v>0.45694444444444443</v>
      </c>
      <c r="AS91" t="s">
        <v>201</v>
      </c>
      <c r="AT91" t="s">
        <v>1954</v>
      </c>
      <c r="AU91" t="s">
        <v>1955</v>
      </c>
      <c r="AV91" t="s">
        <v>862</v>
      </c>
      <c r="AX91">
        <v>1</v>
      </c>
      <c r="AY91" t="s">
        <v>126</v>
      </c>
      <c r="AZ91" t="s">
        <v>127</v>
      </c>
      <c r="BA91" t="s">
        <v>233</v>
      </c>
      <c r="BB91" t="s">
        <v>859</v>
      </c>
      <c r="BE91">
        <v>1</v>
      </c>
    </row>
    <row r="92" spans="1:57" x14ac:dyDescent="0.3">
      <c r="A92" s="204">
        <v>46230</v>
      </c>
      <c r="B92" t="s">
        <v>142</v>
      </c>
      <c r="C92" t="s">
        <v>345</v>
      </c>
      <c r="D92" t="s">
        <v>57</v>
      </c>
      <c r="E92" t="s">
        <v>117</v>
      </c>
      <c r="F92" t="s">
        <v>309</v>
      </c>
      <c r="G92" t="s">
        <v>1106</v>
      </c>
      <c r="H92" t="s">
        <v>844</v>
      </c>
      <c r="I92" t="s">
        <v>406</v>
      </c>
      <c r="J92">
        <v>1</v>
      </c>
      <c r="K92">
        <v>1</v>
      </c>
      <c r="L92" t="s">
        <v>1107</v>
      </c>
      <c r="M92" s="15">
        <v>46244.43917824074</v>
      </c>
      <c r="N92" s="15">
        <v>46251.438888888886</v>
      </c>
      <c r="O92" s="15">
        <v>46245.671527777777</v>
      </c>
      <c r="P92" s="15">
        <v>46251.602083333331</v>
      </c>
      <c r="Q92" s="15"/>
      <c r="S92" t="s">
        <v>354</v>
      </c>
      <c r="U92" t="s">
        <v>1507</v>
      </c>
      <c r="V92" t="s">
        <v>354</v>
      </c>
      <c r="W92">
        <v>50</v>
      </c>
      <c r="X92" t="s">
        <v>369</v>
      </c>
      <c r="Y92" t="s">
        <v>239</v>
      </c>
      <c r="Z92" t="s">
        <v>851</v>
      </c>
      <c r="AB92" t="s">
        <v>348</v>
      </c>
      <c r="AC92" t="s">
        <v>7</v>
      </c>
      <c r="AD92" t="s">
        <v>7</v>
      </c>
      <c r="AE92" t="s">
        <v>7</v>
      </c>
      <c r="AF92" t="s">
        <v>1508</v>
      </c>
      <c r="AG92" t="s">
        <v>249</v>
      </c>
      <c r="AH92">
        <v>2</v>
      </c>
      <c r="AI92" t="s">
        <v>250</v>
      </c>
      <c r="AJ92" t="s">
        <v>251</v>
      </c>
      <c r="AK92" t="s">
        <v>827</v>
      </c>
      <c r="AL92" t="s">
        <v>156</v>
      </c>
      <c r="AM92" t="s">
        <v>861</v>
      </c>
      <c r="AO92">
        <v>46245</v>
      </c>
      <c r="AP92">
        <v>0.67152777777777772</v>
      </c>
      <c r="AQ92">
        <v>46251</v>
      </c>
      <c r="AR92">
        <v>0.6020833333333333</v>
      </c>
      <c r="AS92" t="s">
        <v>201</v>
      </c>
      <c r="AT92" t="s">
        <v>1954</v>
      </c>
      <c r="AU92" t="s">
        <v>1955</v>
      </c>
      <c r="AV92" t="s">
        <v>862</v>
      </c>
      <c r="AX92">
        <v>1</v>
      </c>
      <c r="AY92" t="s">
        <v>126</v>
      </c>
      <c r="AZ92" t="s">
        <v>127</v>
      </c>
      <c r="BA92" t="s">
        <v>233</v>
      </c>
      <c r="BB92" t="s">
        <v>858</v>
      </c>
      <c r="BE92">
        <v>1</v>
      </c>
    </row>
    <row r="93" spans="1:57" x14ac:dyDescent="0.3">
      <c r="A93" s="204">
        <v>46230</v>
      </c>
      <c r="B93" t="s">
        <v>142</v>
      </c>
      <c r="C93" t="s">
        <v>345</v>
      </c>
      <c r="D93" t="s">
        <v>57</v>
      </c>
      <c r="E93" t="s">
        <v>117</v>
      </c>
      <c r="F93" t="s">
        <v>309</v>
      </c>
      <c r="G93" t="s">
        <v>1106</v>
      </c>
      <c r="H93" t="s">
        <v>844</v>
      </c>
      <c r="I93" t="s">
        <v>406</v>
      </c>
      <c r="J93">
        <v>2</v>
      </c>
      <c r="K93">
        <v>2</v>
      </c>
      <c r="L93" t="s">
        <v>1107</v>
      </c>
      <c r="M93" s="15">
        <v>46244.43917824074</v>
      </c>
      <c r="N93" s="15">
        <v>46251.438888888886</v>
      </c>
      <c r="O93" s="15">
        <v>46245.671527777777</v>
      </c>
      <c r="P93" s="15">
        <v>46251.602083333331</v>
      </c>
      <c r="Q93" s="15"/>
      <c r="S93" t="s">
        <v>354</v>
      </c>
      <c r="U93" t="s">
        <v>1509</v>
      </c>
      <c r="V93" t="s">
        <v>354</v>
      </c>
      <c r="W93">
        <v>50</v>
      </c>
      <c r="X93" t="s">
        <v>369</v>
      </c>
      <c r="Y93" t="s">
        <v>239</v>
      </c>
      <c r="Z93" t="s">
        <v>851</v>
      </c>
      <c r="AB93" t="s">
        <v>348</v>
      </c>
      <c r="AC93" t="s">
        <v>7</v>
      </c>
      <c r="AD93" t="s">
        <v>7</v>
      </c>
      <c r="AE93" t="s">
        <v>7</v>
      </c>
      <c r="AF93" t="s">
        <v>1508</v>
      </c>
      <c r="AG93" t="s">
        <v>250</v>
      </c>
      <c r="AH93">
        <v>2</v>
      </c>
      <c r="AI93" t="s">
        <v>250</v>
      </c>
      <c r="AJ93" t="s">
        <v>251</v>
      </c>
      <c r="AK93" t="s">
        <v>827</v>
      </c>
      <c r="AL93" t="s">
        <v>156</v>
      </c>
      <c r="AM93" t="s">
        <v>861</v>
      </c>
      <c r="AO93">
        <v>46245</v>
      </c>
      <c r="AP93">
        <v>0.67152777777777772</v>
      </c>
      <c r="AQ93">
        <v>46251</v>
      </c>
      <c r="AR93">
        <v>0.6020833333333333</v>
      </c>
      <c r="AS93" t="s">
        <v>1958</v>
      </c>
      <c r="AU93" t="s">
        <v>1955</v>
      </c>
      <c r="AV93" t="s">
        <v>862</v>
      </c>
      <c r="AX93">
        <v>1</v>
      </c>
      <c r="AY93" t="s">
        <v>126</v>
      </c>
      <c r="AZ93" t="s">
        <v>127</v>
      </c>
      <c r="BA93" t="s">
        <v>233</v>
      </c>
      <c r="BB93" t="s">
        <v>858</v>
      </c>
    </row>
    <row r="94" spans="1:57" x14ac:dyDescent="0.3">
      <c r="A94" s="204">
        <v>46230</v>
      </c>
      <c r="B94" t="s">
        <v>142</v>
      </c>
      <c r="C94" t="s">
        <v>345</v>
      </c>
      <c r="D94" t="s">
        <v>57</v>
      </c>
      <c r="E94" t="s">
        <v>117</v>
      </c>
      <c r="F94" t="s">
        <v>309</v>
      </c>
      <c r="G94" t="s">
        <v>1106</v>
      </c>
      <c r="H94" t="s">
        <v>844</v>
      </c>
      <c r="I94" t="s">
        <v>406</v>
      </c>
      <c r="J94">
        <v>4</v>
      </c>
      <c r="K94">
        <v>4</v>
      </c>
      <c r="L94" t="s">
        <v>1107</v>
      </c>
      <c r="M94" s="15">
        <v>46244.43917824074</v>
      </c>
      <c r="N94" s="15">
        <v>46251.438888888886</v>
      </c>
      <c r="O94" s="15">
        <v>46245.671527777777</v>
      </c>
      <c r="P94" s="15">
        <v>46251.602083333331</v>
      </c>
      <c r="Q94" s="15"/>
      <c r="S94" t="s">
        <v>354</v>
      </c>
      <c r="U94" t="s">
        <v>1510</v>
      </c>
      <c r="V94" t="s">
        <v>354</v>
      </c>
      <c r="W94">
        <v>50</v>
      </c>
      <c r="X94" t="s">
        <v>369</v>
      </c>
      <c r="Y94" t="s">
        <v>239</v>
      </c>
      <c r="Z94" t="s">
        <v>851</v>
      </c>
      <c r="AB94" t="s">
        <v>348</v>
      </c>
      <c r="AC94" t="s">
        <v>7</v>
      </c>
      <c r="AD94" t="s">
        <v>7</v>
      </c>
      <c r="AE94" t="s">
        <v>7</v>
      </c>
      <c r="AF94" t="s">
        <v>1508</v>
      </c>
      <c r="AG94" t="s">
        <v>250</v>
      </c>
      <c r="AH94">
        <v>2</v>
      </c>
      <c r="AI94" t="s">
        <v>250</v>
      </c>
      <c r="AJ94" t="s">
        <v>251</v>
      </c>
      <c r="AK94" t="s">
        <v>827</v>
      </c>
      <c r="AL94" t="s">
        <v>156</v>
      </c>
      <c r="AM94" t="s">
        <v>861</v>
      </c>
      <c r="AO94">
        <v>46245</v>
      </c>
      <c r="AP94">
        <v>0.67152777777777772</v>
      </c>
      <c r="AQ94">
        <v>46251</v>
      </c>
      <c r="AR94">
        <v>0.6020833333333333</v>
      </c>
      <c r="AS94" t="s">
        <v>1958</v>
      </c>
      <c r="AU94" t="s">
        <v>1955</v>
      </c>
      <c r="AV94" t="s">
        <v>862</v>
      </c>
      <c r="AX94">
        <v>1</v>
      </c>
      <c r="AY94" t="s">
        <v>126</v>
      </c>
      <c r="AZ94" t="s">
        <v>127</v>
      </c>
      <c r="BA94" t="s">
        <v>233</v>
      </c>
      <c r="BB94" t="s">
        <v>858</v>
      </c>
    </row>
    <row r="95" spans="1:57" x14ac:dyDescent="0.3">
      <c r="A95" s="204">
        <v>46230</v>
      </c>
      <c r="B95" t="s">
        <v>142</v>
      </c>
      <c r="C95" t="s">
        <v>345</v>
      </c>
      <c r="D95" t="s">
        <v>57</v>
      </c>
      <c r="E95" t="s">
        <v>117</v>
      </c>
      <c r="F95" t="s">
        <v>309</v>
      </c>
      <c r="G95" t="s">
        <v>1106</v>
      </c>
      <c r="H95" t="s">
        <v>844</v>
      </c>
      <c r="I95" t="s">
        <v>406</v>
      </c>
      <c r="J95">
        <v>1</v>
      </c>
      <c r="K95">
        <v>1</v>
      </c>
      <c r="L95" t="s">
        <v>1107</v>
      </c>
      <c r="M95" s="15">
        <v>46244.43917824074</v>
      </c>
      <c r="N95" s="15">
        <v>46251.438888888886</v>
      </c>
      <c r="O95" s="15">
        <v>46245.671527777777</v>
      </c>
      <c r="P95" s="15">
        <v>46251.602083333331</v>
      </c>
      <c r="Q95" s="15"/>
      <c r="S95" t="s">
        <v>354</v>
      </c>
      <c r="U95" t="s">
        <v>1511</v>
      </c>
      <c r="V95" t="s">
        <v>354</v>
      </c>
      <c r="W95">
        <v>50</v>
      </c>
      <c r="X95" t="s">
        <v>369</v>
      </c>
      <c r="Y95" t="s">
        <v>239</v>
      </c>
      <c r="Z95" t="s">
        <v>851</v>
      </c>
      <c r="AB95" t="s">
        <v>348</v>
      </c>
      <c r="AC95" t="s">
        <v>7</v>
      </c>
      <c r="AD95" t="s">
        <v>7</v>
      </c>
      <c r="AE95" t="s">
        <v>7</v>
      </c>
      <c r="AF95" t="s">
        <v>1508</v>
      </c>
      <c r="AG95" t="s">
        <v>250</v>
      </c>
      <c r="AH95">
        <v>2</v>
      </c>
      <c r="AI95" t="s">
        <v>250</v>
      </c>
      <c r="AJ95" t="s">
        <v>251</v>
      </c>
      <c r="AK95" t="s">
        <v>827</v>
      </c>
      <c r="AL95" t="s">
        <v>156</v>
      </c>
      <c r="AM95" t="s">
        <v>861</v>
      </c>
      <c r="AO95">
        <v>46245</v>
      </c>
      <c r="AP95">
        <v>0.67152777777777772</v>
      </c>
      <c r="AQ95">
        <v>46251</v>
      </c>
      <c r="AR95">
        <v>0.6020833333333333</v>
      </c>
      <c r="AS95" t="s">
        <v>1958</v>
      </c>
      <c r="AU95" t="s">
        <v>1955</v>
      </c>
      <c r="AV95" t="s">
        <v>862</v>
      </c>
      <c r="AX95">
        <v>1</v>
      </c>
      <c r="AY95" t="s">
        <v>126</v>
      </c>
      <c r="AZ95" t="s">
        <v>127</v>
      </c>
      <c r="BA95" t="s">
        <v>233</v>
      </c>
      <c r="BB95" t="s">
        <v>858</v>
      </c>
    </row>
    <row r="96" spans="1:57" x14ac:dyDescent="0.3">
      <c r="A96" s="204">
        <v>46230</v>
      </c>
      <c r="B96" t="s">
        <v>142</v>
      </c>
      <c r="C96" t="s">
        <v>345</v>
      </c>
      <c r="D96" t="s">
        <v>57</v>
      </c>
      <c r="E96" t="s">
        <v>117</v>
      </c>
      <c r="F96" t="s">
        <v>309</v>
      </c>
      <c r="G96" t="s">
        <v>1106</v>
      </c>
      <c r="H96" t="s">
        <v>844</v>
      </c>
      <c r="I96" t="s">
        <v>406</v>
      </c>
      <c r="J96">
        <v>3</v>
      </c>
      <c r="K96">
        <v>3</v>
      </c>
      <c r="L96" t="s">
        <v>1107</v>
      </c>
      <c r="M96" s="15">
        <v>46244.43917824074</v>
      </c>
      <c r="N96" s="15">
        <v>46251.438888888886</v>
      </c>
      <c r="O96" s="15">
        <v>46245.671527777777</v>
      </c>
      <c r="P96" s="15">
        <v>46251.602083333331</v>
      </c>
      <c r="Q96" s="15"/>
      <c r="S96" t="s">
        <v>354</v>
      </c>
      <c r="U96" t="s">
        <v>1512</v>
      </c>
      <c r="V96" t="s">
        <v>354</v>
      </c>
      <c r="W96">
        <v>50</v>
      </c>
      <c r="X96" t="s">
        <v>369</v>
      </c>
      <c r="Y96" t="s">
        <v>239</v>
      </c>
      <c r="Z96" t="s">
        <v>851</v>
      </c>
      <c r="AB96" t="s">
        <v>348</v>
      </c>
      <c r="AC96" t="s">
        <v>7</v>
      </c>
      <c r="AD96" t="s">
        <v>7</v>
      </c>
      <c r="AE96" t="s">
        <v>7</v>
      </c>
      <c r="AF96" t="s">
        <v>1508</v>
      </c>
      <c r="AG96" t="s">
        <v>250</v>
      </c>
      <c r="AH96">
        <v>2</v>
      </c>
      <c r="AI96" t="s">
        <v>250</v>
      </c>
      <c r="AJ96" t="s">
        <v>251</v>
      </c>
      <c r="AK96" t="s">
        <v>827</v>
      </c>
      <c r="AL96" t="s">
        <v>156</v>
      </c>
      <c r="AM96" t="s">
        <v>861</v>
      </c>
      <c r="AO96">
        <v>46245</v>
      </c>
      <c r="AP96">
        <v>0.67152777777777772</v>
      </c>
      <c r="AQ96">
        <v>46251</v>
      </c>
      <c r="AR96">
        <v>0.6020833333333333</v>
      </c>
      <c r="AS96" t="s">
        <v>1958</v>
      </c>
      <c r="AU96" t="s">
        <v>1955</v>
      </c>
      <c r="AV96" t="s">
        <v>862</v>
      </c>
      <c r="AX96">
        <v>1</v>
      </c>
      <c r="AY96" t="s">
        <v>126</v>
      </c>
      <c r="AZ96" t="s">
        <v>127</v>
      </c>
      <c r="BA96" t="s">
        <v>233</v>
      </c>
      <c r="BB96" t="s">
        <v>858</v>
      </c>
    </row>
    <row r="97" spans="1:57" x14ac:dyDescent="0.3">
      <c r="A97" s="204">
        <v>46230</v>
      </c>
      <c r="B97" t="s">
        <v>142</v>
      </c>
      <c r="C97" t="s">
        <v>345</v>
      </c>
      <c r="D97" t="s">
        <v>57</v>
      </c>
      <c r="E97" t="s">
        <v>117</v>
      </c>
      <c r="F97" t="s">
        <v>309</v>
      </c>
      <c r="G97" t="s">
        <v>1106</v>
      </c>
      <c r="H97" t="s">
        <v>844</v>
      </c>
      <c r="I97" t="s">
        <v>406</v>
      </c>
      <c r="J97">
        <v>4</v>
      </c>
      <c r="K97">
        <v>4</v>
      </c>
      <c r="L97" t="s">
        <v>1107</v>
      </c>
      <c r="M97" s="15">
        <v>46244.43917824074</v>
      </c>
      <c r="N97" s="15">
        <v>46251.438888888886</v>
      </c>
      <c r="O97" s="15">
        <v>46245.671527777777</v>
      </c>
      <c r="P97" s="15">
        <v>46251.602083333331</v>
      </c>
      <c r="Q97" s="15"/>
      <c r="S97" t="s">
        <v>354</v>
      </c>
      <c r="U97" t="s">
        <v>1513</v>
      </c>
      <c r="V97" t="s">
        <v>354</v>
      </c>
      <c r="W97">
        <v>50</v>
      </c>
      <c r="X97" t="s">
        <v>369</v>
      </c>
      <c r="Y97" t="s">
        <v>239</v>
      </c>
      <c r="Z97" t="s">
        <v>851</v>
      </c>
      <c r="AB97" t="s">
        <v>348</v>
      </c>
      <c r="AC97" t="s">
        <v>7</v>
      </c>
      <c r="AD97" t="s">
        <v>7</v>
      </c>
      <c r="AE97" t="s">
        <v>7</v>
      </c>
      <c r="AF97" t="s">
        <v>1508</v>
      </c>
      <c r="AG97" t="s">
        <v>250</v>
      </c>
      <c r="AH97">
        <v>2</v>
      </c>
      <c r="AI97" t="s">
        <v>250</v>
      </c>
      <c r="AJ97" t="s">
        <v>251</v>
      </c>
      <c r="AK97" t="s">
        <v>827</v>
      </c>
      <c r="AL97" t="s">
        <v>156</v>
      </c>
      <c r="AM97" t="s">
        <v>861</v>
      </c>
      <c r="AO97">
        <v>46245</v>
      </c>
      <c r="AP97">
        <v>0.67152777777777772</v>
      </c>
      <c r="AQ97">
        <v>46251</v>
      </c>
      <c r="AR97">
        <v>0.6020833333333333</v>
      </c>
      <c r="AS97" t="s">
        <v>1958</v>
      </c>
      <c r="AU97" t="s">
        <v>1955</v>
      </c>
      <c r="AV97" t="s">
        <v>862</v>
      </c>
      <c r="AX97">
        <v>1</v>
      </c>
      <c r="AY97" t="s">
        <v>126</v>
      </c>
      <c r="AZ97" t="s">
        <v>127</v>
      </c>
      <c r="BA97" t="s">
        <v>233</v>
      </c>
      <c r="BB97" t="s">
        <v>858</v>
      </c>
    </row>
    <row r="98" spans="1:57" x14ac:dyDescent="0.3">
      <c r="A98" s="204">
        <v>46230</v>
      </c>
      <c r="B98" t="s">
        <v>142</v>
      </c>
      <c r="C98" t="s">
        <v>345</v>
      </c>
      <c r="D98" t="s">
        <v>57</v>
      </c>
      <c r="E98" t="s">
        <v>117</v>
      </c>
      <c r="F98" t="s">
        <v>309</v>
      </c>
      <c r="G98" t="s">
        <v>1106</v>
      </c>
      <c r="H98" t="s">
        <v>844</v>
      </c>
      <c r="I98" t="s">
        <v>406</v>
      </c>
      <c r="J98">
        <v>2</v>
      </c>
      <c r="K98">
        <v>2</v>
      </c>
      <c r="L98" t="s">
        <v>1107</v>
      </c>
      <c r="M98" s="15">
        <v>46244.43917824074</v>
      </c>
      <c r="N98" s="15">
        <v>46251.438888888886</v>
      </c>
      <c r="O98" s="15">
        <v>46245.671527777777</v>
      </c>
      <c r="P98" s="15">
        <v>46251.602083333331</v>
      </c>
      <c r="Q98" s="15"/>
      <c r="S98" t="s">
        <v>354</v>
      </c>
      <c r="U98" t="s">
        <v>1514</v>
      </c>
      <c r="V98" t="s">
        <v>354</v>
      </c>
      <c r="W98">
        <v>50</v>
      </c>
      <c r="X98" t="s">
        <v>369</v>
      </c>
      <c r="Y98" t="s">
        <v>239</v>
      </c>
      <c r="Z98" t="s">
        <v>851</v>
      </c>
      <c r="AB98" t="s">
        <v>348</v>
      </c>
      <c r="AC98" t="s">
        <v>7</v>
      </c>
      <c r="AD98" t="s">
        <v>7</v>
      </c>
      <c r="AE98" t="s">
        <v>7</v>
      </c>
      <c r="AF98" t="s">
        <v>1508</v>
      </c>
      <c r="AG98" t="s">
        <v>250</v>
      </c>
      <c r="AH98">
        <v>2</v>
      </c>
      <c r="AI98" t="s">
        <v>250</v>
      </c>
      <c r="AJ98" t="s">
        <v>251</v>
      </c>
      <c r="AK98" t="s">
        <v>827</v>
      </c>
      <c r="AL98" t="s">
        <v>156</v>
      </c>
      <c r="AM98" t="s">
        <v>861</v>
      </c>
      <c r="AO98">
        <v>46245</v>
      </c>
      <c r="AP98">
        <v>0.67152777777777772</v>
      </c>
      <c r="AQ98">
        <v>46251</v>
      </c>
      <c r="AR98">
        <v>0.6020833333333333</v>
      </c>
      <c r="AS98" t="s">
        <v>1958</v>
      </c>
      <c r="AU98" t="s">
        <v>1955</v>
      </c>
      <c r="AV98" t="s">
        <v>862</v>
      </c>
      <c r="AX98">
        <v>1</v>
      </c>
      <c r="AY98" t="s">
        <v>126</v>
      </c>
      <c r="AZ98" t="s">
        <v>127</v>
      </c>
      <c r="BA98" t="s">
        <v>233</v>
      </c>
      <c r="BB98" t="s">
        <v>858</v>
      </c>
    </row>
    <row r="99" spans="1:57" x14ac:dyDescent="0.3">
      <c r="A99" s="204">
        <v>46230</v>
      </c>
      <c r="B99" t="s">
        <v>142</v>
      </c>
      <c r="C99" t="s">
        <v>345</v>
      </c>
      <c r="D99" t="s">
        <v>57</v>
      </c>
      <c r="E99" t="s">
        <v>117</v>
      </c>
      <c r="F99" t="s">
        <v>309</v>
      </c>
      <c r="G99" t="s">
        <v>1106</v>
      </c>
      <c r="H99" t="s">
        <v>844</v>
      </c>
      <c r="I99" t="s">
        <v>406</v>
      </c>
      <c r="J99">
        <v>2</v>
      </c>
      <c r="K99">
        <v>2</v>
      </c>
      <c r="L99" t="s">
        <v>1107</v>
      </c>
      <c r="M99" s="15">
        <v>46244.43917824074</v>
      </c>
      <c r="N99" s="15">
        <v>46251.438888888886</v>
      </c>
      <c r="O99" s="15">
        <v>46245.671527777777</v>
      </c>
      <c r="P99" s="15">
        <v>46251.602083333331</v>
      </c>
      <c r="Q99" s="15"/>
      <c r="S99" t="s">
        <v>354</v>
      </c>
      <c r="U99" t="s">
        <v>1515</v>
      </c>
      <c r="V99" t="s">
        <v>354</v>
      </c>
      <c r="W99">
        <v>50</v>
      </c>
      <c r="X99" t="s">
        <v>369</v>
      </c>
      <c r="Y99" t="s">
        <v>239</v>
      </c>
      <c r="Z99" t="s">
        <v>851</v>
      </c>
      <c r="AB99" t="s">
        <v>348</v>
      </c>
      <c r="AC99" t="s">
        <v>7</v>
      </c>
      <c r="AD99" t="s">
        <v>7</v>
      </c>
      <c r="AE99" t="s">
        <v>7</v>
      </c>
      <c r="AF99" t="s">
        <v>1508</v>
      </c>
      <c r="AG99" t="s">
        <v>250</v>
      </c>
      <c r="AH99">
        <v>2</v>
      </c>
      <c r="AI99" t="s">
        <v>250</v>
      </c>
      <c r="AJ99" t="s">
        <v>251</v>
      </c>
      <c r="AK99" t="s">
        <v>827</v>
      </c>
      <c r="AL99" t="s">
        <v>156</v>
      </c>
      <c r="AM99" t="s">
        <v>861</v>
      </c>
      <c r="AO99">
        <v>46245</v>
      </c>
      <c r="AP99">
        <v>0.67152777777777772</v>
      </c>
      <c r="AQ99">
        <v>46251</v>
      </c>
      <c r="AR99">
        <v>0.6020833333333333</v>
      </c>
      <c r="AS99" t="s">
        <v>1958</v>
      </c>
      <c r="AU99" t="s">
        <v>1955</v>
      </c>
      <c r="AV99" t="s">
        <v>862</v>
      </c>
      <c r="AX99">
        <v>1</v>
      </c>
      <c r="AY99" t="s">
        <v>126</v>
      </c>
      <c r="AZ99" t="s">
        <v>127</v>
      </c>
      <c r="BA99" t="s">
        <v>233</v>
      </c>
      <c r="BB99" t="s">
        <v>858</v>
      </c>
    </row>
    <row r="100" spans="1:57" x14ac:dyDescent="0.3">
      <c r="A100" s="204">
        <v>46230</v>
      </c>
      <c r="B100" t="s">
        <v>142</v>
      </c>
      <c r="C100" t="s">
        <v>345</v>
      </c>
      <c r="D100" t="s">
        <v>57</v>
      </c>
      <c r="E100" t="s">
        <v>117</v>
      </c>
      <c r="F100" t="s">
        <v>309</v>
      </c>
      <c r="G100" t="s">
        <v>1106</v>
      </c>
      <c r="H100" t="s">
        <v>844</v>
      </c>
      <c r="I100" t="s">
        <v>406</v>
      </c>
      <c r="J100">
        <v>2</v>
      </c>
      <c r="K100">
        <v>2</v>
      </c>
      <c r="L100" t="s">
        <v>1107</v>
      </c>
      <c r="M100" s="15">
        <v>46244.43917824074</v>
      </c>
      <c r="N100" s="15">
        <v>46251.438888888886</v>
      </c>
      <c r="O100" s="15">
        <v>46245.671527777777</v>
      </c>
      <c r="P100" s="15">
        <v>46251.602083333331</v>
      </c>
      <c r="Q100" s="15"/>
      <c r="S100" t="s">
        <v>354</v>
      </c>
      <c r="U100" t="s">
        <v>1516</v>
      </c>
      <c r="V100" t="s">
        <v>354</v>
      </c>
      <c r="W100">
        <v>50</v>
      </c>
      <c r="X100" t="s">
        <v>369</v>
      </c>
      <c r="Y100" t="s">
        <v>239</v>
      </c>
      <c r="Z100" t="s">
        <v>851</v>
      </c>
      <c r="AB100" t="s">
        <v>348</v>
      </c>
      <c r="AC100" t="s">
        <v>7</v>
      </c>
      <c r="AD100" t="s">
        <v>7</v>
      </c>
      <c r="AE100" t="s">
        <v>7</v>
      </c>
      <c r="AF100" t="s">
        <v>1508</v>
      </c>
      <c r="AG100" t="s">
        <v>250</v>
      </c>
      <c r="AH100">
        <v>2</v>
      </c>
      <c r="AI100" t="s">
        <v>250</v>
      </c>
      <c r="AJ100" t="s">
        <v>251</v>
      </c>
      <c r="AK100" t="s">
        <v>827</v>
      </c>
      <c r="AL100" t="s">
        <v>156</v>
      </c>
      <c r="AM100" t="s">
        <v>861</v>
      </c>
      <c r="AO100">
        <v>46245</v>
      </c>
      <c r="AP100">
        <v>0.67152777777777772</v>
      </c>
      <c r="AQ100">
        <v>46251</v>
      </c>
      <c r="AR100">
        <v>0.6020833333333333</v>
      </c>
      <c r="AS100" t="s">
        <v>1958</v>
      </c>
      <c r="AU100" t="s">
        <v>1955</v>
      </c>
      <c r="AV100" t="s">
        <v>862</v>
      </c>
      <c r="AX100">
        <v>1</v>
      </c>
      <c r="AY100" t="s">
        <v>126</v>
      </c>
      <c r="AZ100" t="s">
        <v>127</v>
      </c>
      <c r="BA100" t="s">
        <v>233</v>
      </c>
      <c r="BB100" t="s">
        <v>858</v>
      </c>
    </row>
    <row r="101" spans="1:57" x14ac:dyDescent="0.3">
      <c r="A101" s="204">
        <v>46230</v>
      </c>
      <c r="B101" t="s">
        <v>142</v>
      </c>
      <c r="C101" t="s">
        <v>345</v>
      </c>
      <c r="D101" t="s">
        <v>57</v>
      </c>
      <c r="E101" t="s">
        <v>117</v>
      </c>
      <c r="F101" t="s">
        <v>309</v>
      </c>
      <c r="G101" t="s">
        <v>1108</v>
      </c>
      <c r="H101" t="s">
        <v>840</v>
      </c>
      <c r="I101" t="s">
        <v>399</v>
      </c>
      <c r="J101">
        <v>1</v>
      </c>
      <c r="K101">
        <v>1</v>
      </c>
      <c r="L101" t="s">
        <v>1109</v>
      </c>
      <c r="M101" s="15">
        <v>46244.468541666669</v>
      </c>
      <c r="N101" s="15">
        <v>46251.468055555553</v>
      </c>
      <c r="O101" s="15">
        <v>46244.694444444445</v>
      </c>
      <c r="P101" s="15">
        <v>46248.702777777777</v>
      </c>
      <c r="Q101" s="15"/>
      <c r="S101" t="s">
        <v>354</v>
      </c>
      <c r="U101" t="s">
        <v>1517</v>
      </c>
      <c r="V101" t="s">
        <v>354</v>
      </c>
      <c r="W101">
        <v>50</v>
      </c>
      <c r="X101" t="s">
        <v>369</v>
      </c>
      <c r="Y101" t="s">
        <v>239</v>
      </c>
      <c r="Z101" t="s">
        <v>851</v>
      </c>
      <c r="AB101" t="s">
        <v>348</v>
      </c>
      <c r="AC101" t="s">
        <v>7</v>
      </c>
      <c r="AD101" t="s">
        <v>7</v>
      </c>
      <c r="AE101" t="s">
        <v>7</v>
      </c>
      <c r="AF101" t="s">
        <v>1518</v>
      </c>
      <c r="AG101" t="s">
        <v>249</v>
      </c>
      <c r="AH101">
        <v>2</v>
      </c>
      <c r="AI101" t="s">
        <v>250</v>
      </c>
      <c r="AJ101" t="s">
        <v>251</v>
      </c>
      <c r="AK101" t="s">
        <v>827</v>
      </c>
      <c r="AL101" t="s">
        <v>156</v>
      </c>
      <c r="AM101" t="s">
        <v>861</v>
      </c>
      <c r="AO101">
        <v>46244</v>
      </c>
      <c r="AP101">
        <v>0.69444444444444442</v>
      </c>
      <c r="AQ101">
        <v>46248</v>
      </c>
      <c r="AR101">
        <v>0.70277777777777772</v>
      </c>
      <c r="AS101" t="s">
        <v>201</v>
      </c>
      <c r="AT101" t="s">
        <v>1954</v>
      </c>
      <c r="AU101" t="s">
        <v>1955</v>
      </c>
      <c r="AV101" t="s">
        <v>862</v>
      </c>
      <c r="AX101">
        <v>1</v>
      </c>
      <c r="AY101" t="s">
        <v>126</v>
      </c>
      <c r="AZ101" t="s">
        <v>127</v>
      </c>
      <c r="BA101" t="s">
        <v>233</v>
      </c>
      <c r="BB101" t="s">
        <v>858</v>
      </c>
      <c r="BE101">
        <v>1</v>
      </c>
    </row>
    <row r="102" spans="1:57" x14ac:dyDescent="0.3">
      <c r="A102" s="204">
        <v>46237</v>
      </c>
      <c r="B102" t="s">
        <v>142</v>
      </c>
      <c r="C102" t="s">
        <v>345</v>
      </c>
      <c r="D102" t="s">
        <v>57</v>
      </c>
      <c r="E102" t="s">
        <v>117</v>
      </c>
      <c r="F102" t="s">
        <v>309</v>
      </c>
      <c r="G102" t="s">
        <v>1110</v>
      </c>
      <c r="H102" t="s">
        <v>840</v>
      </c>
      <c r="I102" t="s">
        <v>399</v>
      </c>
      <c r="J102">
        <v>1</v>
      </c>
      <c r="K102">
        <v>1</v>
      </c>
      <c r="L102" t="s">
        <v>1111</v>
      </c>
      <c r="M102" s="15">
        <v>46244.466851851852</v>
      </c>
      <c r="N102" s="15">
        <v>46251.466666666667</v>
      </c>
      <c r="O102" s="15">
        <v>46247.593055555553</v>
      </c>
      <c r="P102" s="15">
        <v>46252.873611111114</v>
      </c>
      <c r="Q102" s="15"/>
      <c r="S102" t="s">
        <v>354</v>
      </c>
      <c r="V102" t="s">
        <v>354</v>
      </c>
      <c r="W102">
        <v>50</v>
      </c>
      <c r="X102" t="s">
        <v>369</v>
      </c>
      <c r="Y102" t="s">
        <v>239</v>
      </c>
      <c r="Z102" t="s">
        <v>851</v>
      </c>
      <c r="AB102" t="s">
        <v>348</v>
      </c>
      <c r="AC102" t="s">
        <v>7</v>
      </c>
      <c r="AD102" t="s">
        <v>7</v>
      </c>
      <c r="AE102" t="s">
        <v>7</v>
      </c>
      <c r="AF102" t="s">
        <v>1519</v>
      </c>
      <c r="AG102" t="s">
        <v>249</v>
      </c>
      <c r="AH102">
        <v>2</v>
      </c>
      <c r="AI102" t="s">
        <v>250</v>
      </c>
      <c r="AJ102" t="s">
        <v>251</v>
      </c>
      <c r="AK102" t="s">
        <v>827</v>
      </c>
      <c r="AL102" t="s">
        <v>156</v>
      </c>
      <c r="AM102" t="s">
        <v>861</v>
      </c>
      <c r="AO102">
        <v>46247</v>
      </c>
      <c r="AP102">
        <v>0.59305555555555556</v>
      </c>
      <c r="AQ102">
        <v>46252</v>
      </c>
      <c r="AR102">
        <v>0.87361111111111112</v>
      </c>
      <c r="AS102" t="s">
        <v>201</v>
      </c>
      <c r="AT102" t="s">
        <v>1954</v>
      </c>
      <c r="AU102" t="s">
        <v>1955</v>
      </c>
      <c r="AV102" t="s">
        <v>862</v>
      </c>
      <c r="AX102">
        <v>1</v>
      </c>
      <c r="AY102" t="s">
        <v>126</v>
      </c>
      <c r="AZ102" t="s">
        <v>127</v>
      </c>
      <c r="BA102" t="s">
        <v>233</v>
      </c>
      <c r="BB102" t="s">
        <v>858</v>
      </c>
      <c r="BE102">
        <v>1</v>
      </c>
    </row>
    <row r="103" spans="1:57" x14ac:dyDescent="0.3">
      <c r="A103" s="204">
        <v>46237</v>
      </c>
      <c r="B103" t="s">
        <v>142</v>
      </c>
      <c r="C103" t="s">
        <v>345</v>
      </c>
      <c r="D103" t="s">
        <v>57</v>
      </c>
      <c r="E103" t="s">
        <v>117</v>
      </c>
      <c r="F103" t="s">
        <v>309</v>
      </c>
      <c r="G103" t="s">
        <v>1112</v>
      </c>
      <c r="H103" t="s">
        <v>834</v>
      </c>
      <c r="I103" t="s">
        <v>742</v>
      </c>
      <c r="J103">
        <v>1</v>
      </c>
      <c r="K103">
        <v>1</v>
      </c>
      <c r="L103" t="s">
        <v>1113</v>
      </c>
      <c r="M103" s="15">
        <v>46241.40283564815</v>
      </c>
      <c r="N103" s="15">
        <v>46248.402777777781</v>
      </c>
      <c r="O103" s="15">
        <v>46241.429861111108</v>
      </c>
      <c r="P103" s="15">
        <v>46246.593055555553</v>
      </c>
      <c r="Q103" s="15"/>
      <c r="S103" t="s">
        <v>356</v>
      </c>
      <c r="V103" t="s">
        <v>356</v>
      </c>
      <c r="W103">
        <v>109</v>
      </c>
      <c r="X103" t="s">
        <v>369</v>
      </c>
      <c r="Y103" t="s">
        <v>239</v>
      </c>
      <c r="Z103" t="s">
        <v>851</v>
      </c>
      <c r="AB103" t="s">
        <v>348</v>
      </c>
      <c r="AC103" t="s">
        <v>7</v>
      </c>
      <c r="AD103" t="s">
        <v>7</v>
      </c>
      <c r="AE103" t="s">
        <v>7</v>
      </c>
      <c r="AF103" t="s">
        <v>1520</v>
      </c>
      <c r="AG103" t="s">
        <v>249</v>
      </c>
      <c r="AH103">
        <v>2</v>
      </c>
      <c r="AI103" t="s">
        <v>250</v>
      </c>
      <c r="AJ103" t="s">
        <v>251</v>
      </c>
      <c r="AK103" t="s">
        <v>827</v>
      </c>
      <c r="AL103" t="s">
        <v>156</v>
      </c>
      <c r="AM103" t="s">
        <v>861</v>
      </c>
      <c r="AO103">
        <v>46241</v>
      </c>
      <c r="AP103">
        <v>0.42986111111111114</v>
      </c>
      <c r="AQ103">
        <v>46246</v>
      </c>
      <c r="AR103">
        <v>0.59305555555555556</v>
      </c>
      <c r="AS103" t="s">
        <v>201</v>
      </c>
      <c r="AT103" t="s">
        <v>1954</v>
      </c>
      <c r="AU103" t="s">
        <v>1955</v>
      </c>
      <c r="AV103" t="s">
        <v>862</v>
      </c>
      <c r="AX103">
        <v>1</v>
      </c>
      <c r="AY103" t="s">
        <v>126</v>
      </c>
      <c r="AZ103" t="s">
        <v>127</v>
      </c>
      <c r="BA103" t="s">
        <v>233</v>
      </c>
      <c r="BB103" t="s">
        <v>854</v>
      </c>
      <c r="BE103">
        <v>1</v>
      </c>
    </row>
    <row r="104" spans="1:57" x14ac:dyDescent="0.3">
      <c r="A104" s="204">
        <v>46235</v>
      </c>
      <c r="B104" t="s">
        <v>142</v>
      </c>
      <c r="C104" t="s">
        <v>345</v>
      </c>
      <c r="D104" t="s">
        <v>57</v>
      </c>
      <c r="E104" t="s">
        <v>117</v>
      </c>
      <c r="F104" t="s">
        <v>309</v>
      </c>
      <c r="G104" t="s">
        <v>1114</v>
      </c>
      <c r="H104" t="s">
        <v>860</v>
      </c>
      <c r="I104" t="s">
        <v>419</v>
      </c>
      <c r="J104" s="14">
        <v>2</v>
      </c>
      <c r="K104" s="14">
        <v>2</v>
      </c>
      <c r="L104" t="s">
        <v>1115</v>
      </c>
      <c r="M104" s="15">
        <v>46202.512337962966</v>
      </c>
      <c r="N104" s="15">
        <v>46209.5</v>
      </c>
      <c r="O104" s="15">
        <v>46241.424259259256</v>
      </c>
      <c r="P104" s="15">
        <v>46248.483460648145</v>
      </c>
      <c r="Q104" s="15"/>
      <c r="S104" t="s">
        <v>356</v>
      </c>
      <c r="T104" t="s">
        <v>1521</v>
      </c>
      <c r="U104" t="s">
        <v>1522</v>
      </c>
      <c r="V104" t="s">
        <v>356</v>
      </c>
      <c r="W104">
        <v>109</v>
      </c>
      <c r="X104" t="s">
        <v>369</v>
      </c>
      <c r="Y104" t="s">
        <v>239</v>
      </c>
      <c r="Z104" t="s">
        <v>851</v>
      </c>
      <c r="AB104" t="s">
        <v>348</v>
      </c>
      <c r="AC104" t="s">
        <v>7</v>
      </c>
      <c r="AD104" t="s">
        <v>7</v>
      </c>
      <c r="AE104" t="s">
        <v>7</v>
      </c>
      <c r="AF104" t="s">
        <v>1523</v>
      </c>
      <c r="AG104" t="s">
        <v>249</v>
      </c>
      <c r="AH104">
        <v>2</v>
      </c>
      <c r="AI104" t="s">
        <v>250</v>
      </c>
      <c r="AJ104" t="s">
        <v>251</v>
      </c>
      <c r="AK104" t="s">
        <v>827</v>
      </c>
      <c r="AL104" t="s">
        <v>156</v>
      </c>
      <c r="AM104" t="s">
        <v>861</v>
      </c>
      <c r="AO104">
        <v>46241</v>
      </c>
      <c r="AP104">
        <v>0.42425925925925928</v>
      </c>
      <c r="AQ104">
        <v>46248</v>
      </c>
      <c r="AR104">
        <v>0.48346064814814815</v>
      </c>
      <c r="AS104" t="s">
        <v>201</v>
      </c>
      <c r="AT104" t="s">
        <v>1954</v>
      </c>
      <c r="AU104" t="s">
        <v>1955</v>
      </c>
      <c r="AV104" t="s">
        <v>862</v>
      </c>
      <c r="AX104">
        <v>1</v>
      </c>
      <c r="AY104" t="s">
        <v>126</v>
      </c>
      <c r="AZ104" t="s">
        <v>127</v>
      </c>
      <c r="BA104" t="s">
        <v>233</v>
      </c>
      <c r="BB104" t="s">
        <v>854</v>
      </c>
      <c r="BE104">
        <v>1</v>
      </c>
    </row>
    <row r="105" spans="1:57" x14ac:dyDescent="0.3">
      <c r="A105" s="204">
        <v>46235</v>
      </c>
      <c r="B105" t="s">
        <v>142</v>
      </c>
      <c r="C105" t="s">
        <v>345</v>
      </c>
      <c r="D105" t="s">
        <v>57</v>
      </c>
      <c r="E105" t="s">
        <v>117</v>
      </c>
      <c r="F105" t="s">
        <v>309</v>
      </c>
      <c r="G105" t="s">
        <v>1116</v>
      </c>
      <c r="H105" t="s">
        <v>1524</v>
      </c>
      <c r="I105" t="s">
        <v>1117</v>
      </c>
      <c r="J105">
        <v>6</v>
      </c>
      <c r="K105">
        <v>6</v>
      </c>
      <c r="L105" t="s">
        <v>1118</v>
      </c>
      <c r="M105" s="15">
        <v>46230.40084490741</v>
      </c>
      <c r="N105" s="15">
        <v>46237.400694444441</v>
      </c>
      <c r="O105" s="15">
        <v>46233.454386574071</v>
      </c>
      <c r="P105" s="15">
        <v>46238.481249999997</v>
      </c>
      <c r="Q105" s="15"/>
      <c r="S105" t="s">
        <v>356</v>
      </c>
      <c r="U105" t="s">
        <v>1525</v>
      </c>
      <c r="V105" t="s">
        <v>356</v>
      </c>
      <c r="W105">
        <v>109</v>
      </c>
      <c r="X105" t="s">
        <v>369</v>
      </c>
      <c r="Y105" t="s">
        <v>239</v>
      </c>
      <c r="Z105" t="s">
        <v>851</v>
      </c>
      <c r="AB105" t="s">
        <v>348</v>
      </c>
      <c r="AC105" t="s">
        <v>7</v>
      </c>
      <c r="AD105" t="s">
        <v>7</v>
      </c>
      <c r="AE105" t="s">
        <v>7</v>
      </c>
      <c r="AF105" t="s">
        <v>1526</v>
      </c>
      <c r="AG105" t="s">
        <v>249</v>
      </c>
      <c r="AH105">
        <v>2</v>
      </c>
      <c r="AI105" t="s">
        <v>250</v>
      </c>
      <c r="AJ105" t="s">
        <v>251</v>
      </c>
      <c r="AK105" t="s">
        <v>827</v>
      </c>
      <c r="AL105" t="s">
        <v>156</v>
      </c>
      <c r="AM105" t="s">
        <v>861</v>
      </c>
      <c r="AO105">
        <v>46233</v>
      </c>
      <c r="AP105">
        <v>0.45438657407407407</v>
      </c>
      <c r="AQ105">
        <v>46238</v>
      </c>
      <c r="AR105">
        <v>0.48125000000000001</v>
      </c>
      <c r="AS105" t="s">
        <v>201</v>
      </c>
      <c r="AT105" t="s">
        <v>1954</v>
      </c>
      <c r="AU105" t="s">
        <v>1955</v>
      </c>
      <c r="AV105" t="s">
        <v>862</v>
      </c>
      <c r="AX105">
        <v>1</v>
      </c>
      <c r="AY105" t="s">
        <v>126</v>
      </c>
      <c r="AZ105" t="s">
        <v>127</v>
      </c>
      <c r="BA105" t="s">
        <v>233</v>
      </c>
      <c r="BB105" t="s">
        <v>854</v>
      </c>
      <c r="BE105">
        <v>1</v>
      </c>
    </row>
    <row r="106" spans="1:57" x14ac:dyDescent="0.3">
      <c r="A106" s="204">
        <v>46235</v>
      </c>
      <c r="B106" t="s">
        <v>142</v>
      </c>
      <c r="C106" t="s">
        <v>345</v>
      </c>
      <c r="D106" t="s">
        <v>57</v>
      </c>
      <c r="E106" t="s">
        <v>117</v>
      </c>
      <c r="F106" t="s">
        <v>309</v>
      </c>
      <c r="G106" t="s">
        <v>1116</v>
      </c>
      <c r="H106" t="s">
        <v>1524</v>
      </c>
      <c r="I106" t="s">
        <v>1117</v>
      </c>
      <c r="J106">
        <v>4</v>
      </c>
      <c r="K106">
        <v>4</v>
      </c>
      <c r="L106" t="s">
        <v>1118</v>
      </c>
      <c r="M106" s="15">
        <v>46230.40084490741</v>
      </c>
      <c r="N106" s="15">
        <v>46237.400694444441</v>
      </c>
      <c r="O106" s="15">
        <v>46233.454386574071</v>
      </c>
      <c r="P106" s="15">
        <v>46238.481249999997</v>
      </c>
      <c r="Q106" s="15"/>
      <c r="S106" t="s">
        <v>356</v>
      </c>
      <c r="U106" t="s">
        <v>1527</v>
      </c>
      <c r="V106" t="s">
        <v>356</v>
      </c>
      <c r="W106">
        <v>109</v>
      </c>
      <c r="X106" t="s">
        <v>369</v>
      </c>
      <c r="Y106" t="s">
        <v>239</v>
      </c>
      <c r="Z106" t="s">
        <v>851</v>
      </c>
      <c r="AB106" t="s">
        <v>348</v>
      </c>
      <c r="AC106" t="s">
        <v>7</v>
      </c>
      <c r="AD106" t="s">
        <v>7</v>
      </c>
      <c r="AE106" t="s">
        <v>7</v>
      </c>
      <c r="AF106" t="s">
        <v>1526</v>
      </c>
      <c r="AG106" t="s">
        <v>250</v>
      </c>
      <c r="AH106">
        <v>2</v>
      </c>
      <c r="AI106" t="s">
        <v>250</v>
      </c>
      <c r="AJ106" t="s">
        <v>251</v>
      </c>
      <c r="AK106" t="s">
        <v>827</v>
      </c>
      <c r="AL106" t="s">
        <v>156</v>
      </c>
      <c r="AM106" t="s">
        <v>861</v>
      </c>
      <c r="AO106">
        <v>46233</v>
      </c>
      <c r="AP106">
        <v>0.45438657407407407</v>
      </c>
      <c r="AQ106">
        <v>46238</v>
      </c>
      <c r="AR106">
        <v>0.48125000000000001</v>
      </c>
      <c r="AS106" t="s">
        <v>1958</v>
      </c>
      <c r="AU106" t="s">
        <v>1955</v>
      </c>
      <c r="AV106" t="s">
        <v>862</v>
      </c>
      <c r="AX106">
        <v>1</v>
      </c>
      <c r="AY106" t="s">
        <v>126</v>
      </c>
      <c r="AZ106" t="s">
        <v>127</v>
      </c>
      <c r="BA106" t="s">
        <v>233</v>
      </c>
      <c r="BB106" t="s">
        <v>854</v>
      </c>
    </row>
    <row r="107" spans="1:57" x14ac:dyDescent="0.3">
      <c r="A107" s="204">
        <v>46235</v>
      </c>
      <c r="B107" t="s">
        <v>142</v>
      </c>
      <c r="C107" t="s">
        <v>345</v>
      </c>
      <c r="D107" t="s">
        <v>57</v>
      </c>
      <c r="E107" t="s">
        <v>117</v>
      </c>
      <c r="F107" t="s">
        <v>309</v>
      </c>
      <c r="G107" t="s">
        <v>1116</v>
      </c>
      <c r="H107" t="s">
        <v>1524</v>
      </c>
      <c r="I107" t="s">
        <v>1117</v>
      </c>
      <c r="J107">
        <v>5</v>
      </c>
      <c r="K107">
        <v>5</v>
      </c>
      <c r="L107" t="s">
        <v>1118</v>
      </c>
      <c r="M107" s="15">
        <v>46230.40084490741</v>
      </c>
      <c r="N107" s="15">
        <v>46237.400694444441</v>
      </c>
      <c r="O107" s="15">
        <v>46233.454386574071</v>
      </c>
      <c r="P107" s="15">
        <v>46238.481249999997</v>
      </c>
      <c r="Q107" s="15"/>
      <c r="S107" t="s">
        <v>356</v>
      </c>
      <c r="U107" t="s">
        <v>1528</v>
      </c>
      <c r="V107" t="s">
        <v>356</v>
      </c>
      <c r="W107">
        <v>109</v>
      </c>
      <c r="X107" t="s">
        <v>369</v>
      </c>
      <c r="Y107" t="s">
        <v>239</v>
      </c>
      <c r="Z107" t="s">
        <v>851</v>
      </c>
      <c r="AB107" t="s">
        <v>348</v>
      </c>
      <c r="AC107" t="s">
        <v>7</v>
      </c>
      <c r="AD107" t="s">
        <v>7</v>
      </c>
      <c r="AE107" t="s">
        <v>7</v>
      </c>
      <c r="AF107" t="s">
        <v>1526</v>
      </c>
      <c r="AG107" t="s">
        <v>250</v>
      </c>
      <c r="AH107">
        <v>2</v>
      </c>
      <c r="AI107" t="s">
        <v>250</v>
      </c>
      <c r="AJ107" t="s">
        <v>251</v>
      </c>
      <c r="AK107" t="s">
        <v>827</v>
      </c>
      <c r="AL107" t="s">
        <v>156</v>
      </c>
      <c r="AM107" t="s">
        <v>861</v>
      </c>
      <c r="AO107">
        <v>46233</v>
      </c>
      <c r="AP107">
        <v>0.45438657407407407</v>
      </c>
      <c r="AQ107">
        <v>46238</v>
      </c>
      <c r="AR107">
        <v>0.48125000000000001</v>
      </c>
      <c r="AS107" t="s">
        <v>1958</v>
      </c>
      <c r="AU107" t="s">
        <v>1955</v>
      </c>
      <c r="AV107" t="s">
        <v>862</v>
      </c>
      <c r="AX107">
        <v>1</v>
      </c>
      <c r="AY107" t="s">
        <v>126</v>
      </c>
      <c r="AZ107" t="s">
        <v>127</v>
      </c>
      <c r="BA107" t="s">
        <v>233</v>
      </c>
      <c r="BB107" t="s">
        <v>854</v>
      </c>
    </row>
    <row r="108" spans="1:57" x14ac:dyDescent="0.3">
      <c r="A108" s="204">
        <v>46235</v>
      </c>
      <c r="B108" t="s">
        <v>142</v>
      </c>
      <c r="C108" t="s">
        <v>345</v>
      </c>
      <c r="D108" t="s">
        <v>57</v>
      </c>
      <c r="E108" t="s">
        <v>117</v>
      </c>
      <c r="F108" t="s">
        <v>309</v>
      </c>
      <c r="G108" t="s">
        <v>1116</v>
      </c>
      <c r="H108" t="s">
        <v>1524</v>
      </c>
      <c r="I108" t="s">
        <v>1117</v>
      </c>
      <c r="J108">
        <v>6</v>
      </c>
      <c r="K108">
        <v>6</v>
      </c>
      <c r="L108" t="s">
        <v>1118</v>
      </c>
      <c r="M108" s="15">
        <v>46230.40084490741</v>
      </c>
      <c r="N108" s="15">
        <v>46237.400694444441</v>
      </c>
      <c r="O108" s="15">
        <v>46233.454386574071</v>
      </c>
      <c r="P108" s="15">
        <v>46238.481249999997</v>
      </c>
      <c r="Q108" s="15"/>
      <c r="S108" t="s">
        <v>356</v>
      </c>
      <c r="U108" t="s">
        <v>1529</v>
      </c>
      <c r="V108" t="s">
        <v>356</v>
      </c>
      <c r="W108">
        <v>109</v>
      </c>
      <c r="X108" t="s">
        <v>369</v>
      </c>
      <c r="Y108" t="s">
        <v>239</v>
      </c>
      <c r="Z108" t="s">
        <v>851</v>
      </c>
      <c r="AB108" t="s">
        <v>348</v>
      </c>
      <c r="AC108" t="s">
        <v>7</v>
      </c>
      <c r="AD108" t="s">
        <v>7</v>
      </c>
      <c r="AE108" t="s">
        <v>7</v>
      </c>
      <c r="AF108" t="s">
        <v>1526</v>
      </c>
      <c r="AG108" t="s">
        <v>250</v>
      </c>
      <c r="AH108">
        <v>2</v>
      </c>
      <c r="AI108" t="s">
        <v>250</v>
      </c>
      <c r="AJ108" t="s">
        <v>251</v>
      </c>
      <c r="AK108" t="s">
        <v>827</v>
      </c>
      <c r="AL108" t="s">
        <v>156</v>
      </c>
      <c r="AM108" t="s">
        <v>861</v>
      </c>
      <c r="AO108">
        <v>46233</v>
      </c>
      <c r="AP108">
        <v>0.45438657407407407</v>
      </c>
      <c r="AQ108">
        <v>46238</v>
      </c>
      <c r="AR108">
        <v>0.48125000000000001</v>
      </c>
      <c r="AS108" t="s">
        <v>1958</v>
      </c>
      <c r="AU108" t="s">
        <v>1955</v>
      </c>
      <c r="AV108" t="s">
        <v>862</v>
      </c>
      <c r="AX108">
        <v>1</v>
      </c>
      <c r="AY108" t="s">
        <v>126</v>
      </c>
      <c r="AZ108" t="s">
        <v>127</v>
      </c>
      <c r="BA108" t="s">
        <v>233</v>
      </c>
      <c r="BB108" t="s">
        <v>854</v>
      </c>
    </row>
    <row r="109" spans="1:57" x14ac:dyDescent="0.3">
      <c r="A109" s="204">
        <v>46235</v>
      </c>
      <c r="B109" t="s">
        <v>142</v>
      </c>
      <c r="C109" t="s">
        <v>345</v>
      </c>
      <c r="D109" t="s">
        <v>57</v>
      </c>
      <c r="E109" t="s">
        <v>117</v>
      </c>
      <c r="F109" t="s">
        <v>309</v>
      </c>
      <c r="G109" t="s">
        <v>1116</v>
      </c>
      <c r="H109" t="s">
        <v>1524</v>
      </c>
      <c r="I109" t="s">
        <v>1117</v>
      </c>
      <c r="J109">
        <v>4</v>
      </c>
      <c r="K109">
        <v>4</v>
      </c>
      <c r="L109" t="s">
        <v>1118</v>
      </c>
      <c r="M109" s="15">
        <v>46230.40084490741</v>
      </c>
      <c r="N109" s="15">
        <v>46237.400694444441</v>
      </c>
      <c r="O109" s="15">
        <v>46233.454386574071</v>
      </c>
      <c r="P109" s="15">
        <v>46238.481249999997</v>
      </c>
      <c r="Q109" s="15"/>
      <c r="S109" t="s">
        <v>356</v>
      </c>
      <c r="U109" t="s">
        <v>1530</v>
      </c>
      <c r="V109" t="s">
        <v>356</v>
      </c>
      <c r="W109">
        <v>109</v>
      </c>
      <c r="X109" t="s">
        <v>369</v>
      </c>
      <c r="Y109" t="s">
        <v>239</v>
      </c>
      <c r="Z109" t="s">
        <v>851</v>
      </c>
      <c r="AB109" t="s">
        <v>348</v>
      </c>
      <c r="AC109" t="s">
        <v>7</v>
      </c>
      <c r="AD109" t="s">
        <v>7</v>
      </c>
      <c r="AE109" t="s">
        <v>7</v>
      </c>
      <c r="AF109" t="s">
        <v>1526</v>
      </c>
      <c r="AG109" t="s">
        <v>250</v>
      </c>
      <c r="AH109">
        <v>2</v>
      </c>
      <c r="AI109" t="s">
        <v>250</v>
      </c>
      <c r="AJ109" t="s">
        <v>251</v>
      </c>
      <c r="AK109" t="s">
        <v>827</v>
      </c>
      <c r="AL109" t="s">
        <v>156</v>
      </c>
      <c r="AM109" t="s">
        <v>861</v>
      </c>
      <c r="AO109">
        <v>46233</v>
      </c>
      <c r="AP109">
        <v>0.45438657407407407</v>
      </c>
      <c r="AQ109">
        <v>46238</v>
      </c>
      <c r="AR109">
        <v>0.48125000000000001</v>
      </c>
      <c r="AS109" t="s">
        <v>1958</v>
      </c>
      <c r="AU109" t="s">
        <v>1955</v>
      </c>
      <c r="AV109" t="s">
        <v>862</v>
      </c>
      <c r="AX109">
        <v>1</v>
      </c>
      <c r="AY109" t="s">
        <v>126</v>
      </c>
      <c r="AZ109" t="s">
        <v>127</v>
      </c>
      <c r="BA109" t="s">
        <v>233</v>
      </c>
      <c r="BB109" t="s">
        <v>854</v>
      </c>
    </row>
    <row r="110" spans="1:57" x14ac:dyDescent="0.3">
      <c r="A110" s="204">
        <v>46235</v>
      </c>
      <c r="B110" t="s">
        <v>142</v>
      </c>
      <c r="C110" t="s">
        <v>345</v>
      </c>
      <c r="D110" t="s">
        <v>57</v>
      </c>
      <c r="E110" t="s">
        <v>117</v>
      </c>
      <c r="F110" t="s">
        <v>309</v>
      </c>
      <c r="G110" t="s">
        <v>1116</v>
      </c>
      <c r="H110" t="s">
        <v>1524</v>
      </c>
      <c r="I110" t="s">
        <v>1117</v>
      </c>
      <c r="J110">
        <v>5</v>
      </c>
      <c r="K110">
        <v>5</v>
      </c>
      <c r="L110" t="s">
        <v>1118</v>
      </c>
      <c r="M110" s="15">
        <v>46230.40084490741</v>
      </c>
      <c r="N110" s="15">
        <v>46237.400694444441</v>
      </c>
      <c r="O110" s="15">
        <v>46233.454386574071</v>
      </c>
      <c r="P110" s="15">
        <v>46238.481249999997</v>
      </c>
      <c r="Q110" s="15"/>
      <c r="S110" t="s">
        <v>356</v>
      </c>
      <c r="U110" t="s">
        <v>1531</v>
      </c>
      <c r="V110" t="s">
        <v>356</v>
      </c>
      <c r="W110">
        <v>109</v>
      </c>
      <c r="X110" t="s">
        <v>369</v>
      </c>
      <c r="Y110" t="s">
        <v>239</v>
      </c>
      <c r="Z110" t="s">
        <v>851</v>
      </c>
      <c r="AB110" t="s">
        <v>348</v>
      </c>
      <c r="AC110" t="s">
        <v>7</v>
      </c>
      <c r="AD110" t="s">
        <v>7</v>
      </c>
      <c r="AE110" t="s">
        <v>7</v>
      </c>
      <c r="AF110" t="s">
        <v>1526</v>
      </c>
      <c r="AG110" t="s">
        <v>250</v>
      </c>
      <c r="AH110">
        <v>2</v>
      </c>
      <c r="AI110" t="s">
        <v>250</v>
      </c>
      <c r="AJ110" t="s">
        <v>251</v>
      </c>
      <c r="AK110" t="s">
        <v>827</v>
      </c>
      <c r="AL110" t="s">
        <v>156</v>
      </c>
      <c r="AM110" t="s">
        <v>861</v>
      </c>
      <c r="AO110">
        <v>46233</v>
      </c>
      <c r="AP110">
        <v>0.45438657407407407</v>
      </c>
      <c r="AQ110">
        <v>46238</v>
      </c>
      <c r="AR110">
        <v>0.48125000000000001</v>
      </c>
      <c r="AS110" t="s">
        <v>1958</v>
      </c>
      <c r="AU110" t="s">
        <v>1955</v>
      </c>
      <c r="AV110" t="s">
        <v>862</v>
      </c>
      <c r="AX110">
        <v>1</v>
      </c>
      <c r="AY110" t="s">
        <v>126</v>
      </c>
      <c r="AZ110" t="s">
        <v>127</v>
      </c>
      <c r="BA110" t="s">
        <v>233</v>
      </c>
      <c r="BB110" t="s">
        <v>854</v>
      </c>
    </row>
    <row r="111" spans="1:57" x14ac:dyDescent="0.3">
      <c r="A111" s="204">
        <v>46235</v>
      </c>
      <c r="B111" t="s">
        <v>142</v>
      </c>
      <c r="C111" t="s">
        <v>345</v>
      </c>
      <c r="D111" t="s">
        <v>57</v>
      </c>
      <c r="E111" t="s">
        <v>117</v>
      </c>
      <c r="F111" t="s">
        <v>309</v>
      </c>
      <c r="G111" t="s">
        <v>1116</v>
      </c>
      <c r="H111" t="s">
        <v>1524</v>
      </c>
      <c r="I111" t="s">
        <v>1117</v>
      </c>
      <c r="J111">
        <v>6</v>
      </c>
      <c r="K111">
        <v>6</v>
      </c>
      <c r="L111" t="s">
        <v>1118</v>
      </c>
      <c r="M111" s="15">
        <v>46230.40084490741</v>
      </c>
      <c r="N111" s="15">
        <v>46237.400694444441</v>
      </c>
      <c r="O111" s="15">
        <v>46233.454386574071</v>
      </c>
      <c r="P111" s="15">
        <v>46238.481249999997</v>
      </c>
      <c r="Q111" s="15"/>
      <c r="S111" t="s">
        <v>356</v>
      </c>
      <c r="U111" t="s">
        <v>1532</v>
      </c>
      <c r="V111" t="s">
        <v>356</v>
      </c>
      <c r="W111">
        <v>109</v>
      </c>
      <c r="X111" t="s">
        <v>369</v>
      </c>
      <c r="Y111" t="s">
        <v>239</v>
      </c>
      <c r="Z111" t="s">
        <v>851</v>
      </c>
      <c r="AB111" t="s">
        <v>348</v>
      </c>
      <c r="AC111" t="s">
        <v>7</v>
      </c>
      <c r="AD111" t="s">
        <v>7</v>
      </c>
      <c r="AE111" t="s">
        <v>7</v>
      </c>
      <c r="AF111" t="s">
        <v>1526</v>
      </c>
      <c r="AG111" t="s">
        <v>250</v>
      </c>
      <c r="AH111">
        <v>2</v>
      </c>
      <c r="AI111" t="s">
        <v>250</v>
      </c>
      <c r="AJ111" t="s">
        <v>251</v>
      </c>
      <c r="AK111" t="s">
        <v>827</v>
      </c>
      <c r="AL111" t="s">
        <v>156</v>
      </c>
      <c r="AM111" t="s">
        <v>861</v>
      </c>
      <c r="AO111">
        <v>46233</v>
      </c>
      <c r="AP111">
        <v>0.45438657407407407</v>
      </c>
      <c r="AQ111">
        <v>46238</v>
      </c>
      <c r="AR111">
        <v>0.48125000000000001</v>
      </c>
      <c r="AS111" t="s">
        <v>1958</v>
      </c>
      <c r="AU111" t="s">
        <v>1955</v>
      </c>
      <c r="AV111" t="s">
        <v>862</v>
      </c>
      <c r="AX111">
        <v>1</v>
      </c>
      <c r="AY111" t="s">
        <v>126</v>
      </c>
      <c r="AZ111" t="s">
        <v>127</v>
      </c>
      <c r="BA111" t="s">
        <v>233</v>
      </c>
      <c r="BB111" t="s">
        <v>854</v>
      </c>
    </row>
    <row r="112" spans="1:57" x14ac:dyDescent="0.3">
      <c r="A112" s="204">
        <v>46235</v>
      </c>
      <c r="B112" t="s">
        <v>142</v>
      </c>
      <c r="C112" t="s">
        <v>345</v>
      </c>
      <c r="D112" t="s">
        <v>57</v>
      </c>
      <c r="E112" t="s">
        <v>117</v>
      </c>
      <c r="F112" t="s">
        <v>309</v>
      </c>
      <c r="G112" t="s">
        <v>1116</v>
      </c>
      <c r="H112" t="s">
        <v>1524</v>
      </c>
      <c r="I112" t="s">
        <v>1117</v>
      </c>
      <c r="J112">
        <v>6</v>
      </c>
      <c r="K112">
        <v>6</v>
      </c>
      <c r="L112" t="s">
        <v>1118</v>
      </c>
      <c r="M112" s="15">
        <v>46230.40084490741</v>
      </c>
      <c r="N112" s="15">
        <v>46237.400694444441</v>
      </c>
      <c r="O112" s="15">
        <v>46233.454386574071</v>
      </c>
      <c r="P112" s="15">
        <v>46238.481249999997</v>
      </c>
      <c r="Q112" s="15"/>
      <c r="S112" t="s">
        <v>356</v>
      </c>
      <c r="U112" t="s">
        <v>1533</v>
      </c>
      <c r="V112" t="s">
        <v>356</v>
      </c>
      <c r="W112">
        <v>109</v>
      </c>
      <c r="X112" t="s">
        <v>369</v>
      </c>
      <c r="Y112" t="s">
        <v>239</v>
      </c>
      <c r="Z112" t="s">
        <v>851</v>
      </c>
      <c r="AB112" t="s">
        <v>348</v>
      </c>
      <c r="AC112" t="s">
        <v>7</v>
      </c>
      <c r="AD112" t="s">
        <v>7</v>
      </c>
      <c r="AE112" t="s">
        <v>7</v>
      </c>
      <c r="AF112" t="s">
        <v>1526</v>
      </c>
      <c r="AG112" t="s">
        <v>250</v>
      </c>
      <c r="AH112">
        <v>2</v>
      </c>
      <c r="AI112" t="s">
        <v>250</v>
      </c>
      <c r="AJ112" t="s">
        <v>251</v>
      </c>
      <c r="AK112" t="s">
        <v>827</v>
      </c>
      <c r="AL112" t="s">
        <v>156</v>
      </c>
      <c r="AM112" t="s">
        <v>861</v>
      </c>
      <c r="AO112">
        <v>46233</v>
      </c>
      <c r="AP112">
        <v>0.45438657407407407</v>
      </c>
      <c r="AQ112">
        <v>46238</v>
      </c>
      <c r="AR112">
        <v>0.48125000000000001</v>
      </c>
      <c r="AS112" t="s">
        <v>1958</v>
      </c>
      <c r="AU112" t="s">
        <v>1955</v>
      </c>
      <c r="AV112" t="s">
        <v>862</v>
      </c>
      <c r="AX112">
        <v>1</v>
      </c>
      <c r="AY112" t="s">
        <v>126</v>
      </c>
      <c r="AZ112" t="s">
        <v>127</v>
      </c>
      <c r="BA112" t="s">
        <v>233</v>
      </c>
      <c r="BB112" t="s">
        <v>854</v>
      </c>
    </row>
    <row r="113" spans="1:57" x14ac:dyDescent="0.3">
      <c r="A113" s="204">
        <v>46235</v>
      </c>
      <c r="B113" t="s">
        <v>142</v>
      </c>
      <c r="C113" t="s">
        <v>345</v>
      </c>
      <c r="D113" t="s">
        <v>57</v>
      </c>
      <c r="E113" t="s">
        <v>117</v>
      </c>
      <c r="F113" t="s">
        <v>309</v>
      </c>
      <c r="G113" t="s">
        <v>1116</v>
      </c>
      <c r="H113" t="s">
        <v>1524</v>
      </c>
      <c r="I113" t="s">
        <v>1117</v>
      </c>
      <c r="J113">
        <v>3</v>
      </c>
      <c r="K113">
        <v>3</v>
      </c>
      <c r="L113" t="s">
        <v>1118</v>
      </c>
      <c r="M113" s="15">
        <v>46230.40084490741</v>
      </c>
      <c r="N113" s="15">
        <v>46237.400694444441</v>
      </c>
      <c r="O113" s="15">
        <v>46233.454386574071</v>
      </c>
      <c r="P113" s="15">
        <v>46238.481249999997</v>
      </c>
      <c r="Q113" s="15"/>
      <c r="S113" t="s">
        <v>356</v>
      </c>
      <c r="U113" t="s">
        <v>1534</v>
      </c>
      <c r="V113" t="s">
        <v>356</v>
      </c>
      <c r="W113">
        <v>109</v>
      </c>
      <c r="X113" t="s">
        <v>369</v>
      </c>
      <c r="Y113" t="s">
        <v>239</v>
      </c>
      <c r="Z113" t="s">
        <v>851</v>
      </c>
      <c r="AB113" t="s">
        <v>348</v>
      </c>
      <c r="AC113" t="s">
        <v>7</v>
      </c>
      <c r="AD113" t="s">
        <v>7</v>
      </c>
      <c r="AE113" t="s">
        <v>7</v>
      </c>
      <c r="AF113" t="s">
        <v>1526</v>
      </c>
      <c r="AG113" t="s">
        <v>250</v>
      </c>
      <c r="AH113">
        <v>2</v>
      </c>
      <c r="AI113" t="s">
        <v>250</v>
      </c>
      <c r="AJ113" t="s">
        <v>251</v>
      </c>
      <c r="AK113" t="s">
        <v>827</v>
      </c>
      <c r="AL113" t="s">
        <v>156</v>
      </c>
      <c r="AM113" t="s">
        <v>861</v>
      </c>
      <c r="AO113">
        <v>46233</v>
      </c>
      <c r="AP113">
        <v>0.45438657407407407</v>
      </c>
      <c r="AQ113">
        <v>46238</v>
      </c>
      <c r="AR113">
        <v>0.48125000000000001</v>
      </c>
      <c r="AS113" t="s">
        <v>1958</v>
      </c>
      <c r="AU113" t="s">
        <v>1955</v>
      </c>
      <c r="AV113" t="s">
        <v>862</v>
      </c>
      <c r="AX113">
        <v>1</v>
      </c>
      <c r="AY113" t="s">
        <v>126</v>
      </c>
      <c r="AZ113" t="s">
        <v>127</v>
      </c>
      <c r="BA113" t="s">
        <v>233</v>
      </c>
      <c r="BB113" t="s">
        <v>854</v>
      </c>
    </row>
    <row r="114" spans="1:57" x14ac:dyDescent="0.3">
      <c r="A114" s="204">
        <v>46235</v>
      </c>
      <c r="B114" t="s">
        <v>142</v>
      </c>
      <c r="C114" t="s">
        <v>345</v>
      </c>
      <c r="D114" t="s">
        <v>57</v>
      </c>
      <c r="E114" t="s">
        <v>117</v>
      </c>
      <c r="F114" t="s">
        <v>309</v>
      </c>
      <c r="G114" t="s">
        <v>1116</v>
      </c>
      <c r="H114" t="s">
        <v>1524</v>
      </c>
      <c r="I114" t="s">
        <v>1117</v>
      </c>
      <c r="J114">
        <v>5</v>
      </c>
      <c r="K114">
        <v>5</v>
      </c>
      <c r="L114" t="s">
        <v>1118</v>
      </c>
      <c r="M114" s="15">
        <v>46230.40084490741</v>
      </c>
      <c r="N114" s="15">
        <v>46237.400694444441</v>
      </c>
      <c r="O114" s="15">
        <v>46233.454386574071</v>
      </c>
      <c r="P114" s="15">
        <v>46238.481249999997</v>
      </c>
      <c r="Q114" s="15"/>
      <c r="S114" t="s">
        <v>356</v>
      </c>
      <c r="U114" t="s">
        <v>1535</v>
      </c>
      <c r="V114" t="s">
        <v>356</v>
      </c>
      <c r="W114">
        <v>109</v>
      </c>
      <c r="X114" t="s">
        <v>369</v>
      </c>
      <c r="Y114" t="s">
        <v>239</v>
      </c>
      <c r="Z114" t="s">
        <v>851</v>
      </c>
      <c r="AB114" t="s">
        <v>348</v>
      </c>
      <c r="AC114" t="s">
        <v>7</v>
      </c>
      <c r="AD114" t="s">
        <v>7</v>
      </c>
      <c r="AE114" t="s">
        <v>7</v>
      </c>
      <c r="AF114" t="s">
        <v>1526</v>
      </c>
      <c r="AG114" t="s">
        <v>250</v>
      </c>
      <c r="AH114">
        <v>2</v>
      </c>
      <c r="AI114" t="s">
        <v>250</v>
      </c>
      <c r="AJ114" t="s">
        <v>251</v>
      </c>
      <c r="AK114" t="s">
        <v>827</v>
      </c>
      <c r="AL114" t="s">
        <v>156</v>
      </c>
      <c r="AM114" t="s">
        <v>861</v>
      </c>
      <c r="AO114">
        <v>46233</v>
      </c>
      <c r="AP114">
        <v>0.45438657407407407</v>
      </c>
      <c r="AQ114">
        <v>46238</v>
      </c>
      <c r="AR114">
        <v>0.48125000000000001</v>
      </c>
      <c r="AS114" t="s">
        <v>1958</v>
      </c>
      <c r="AU114" t="s">
        <v>1955</v>
      </c>
      <c r="AV114" t="s">
        <v>862</v>
      </c>
      <c r="AX114">
        <v>1</v>
      </c>
      <c r="AY114" t="s">
        <v>126</v>
      </c>
      <c r="AZ114" t="s">
        <v>127</v>
      </c>
      <c r="BA114" t="s">
        <v>233</v>
      </c>
      <c r="BB114" t="s">
        <v>854</v>
      </c>
    </row>
    <row r="115" spans="1:57" x14ac:dyDescent="0.3">
      <c r="A115" s="204">
        <v>46235</v>
      </c>
      <c r="B115" t="s">
        <v>142</v>
      </c>
      <c r="C115" t="s">
        <v>345</v>
      </c>
      <c r="D115" t="s">
        <v>57</v>
      </c>
      <c r="E115" t="s">
        <v>117</v>
      </c>
      <c r="F115" t="s">
        <v>309</v>
      </c>
      <c r="G115" t="s">
        <v>1119</v>
      </c>
      <c r="H115" t="s">
        <v>842</v>
      </c>
      <c r="I115" t="s">
        <v>401</v>
      </c>
      <c r="J115">
        <v>1</v>
      </c>
      <c r="K115">
        <v>1</v>
      </c>
      <c r="L115" t="s">
        <v>1120</v>
      </c>
      <c r="M115" s="15">
        <v>46232.31826388889</v>
      </c>
      <c r="N115" s="15">
        <v>46239.333333333336</v>
      </c>
      <c r="O115" s="15">
        <v>46232.407094907408</v>
      </c>
      <c r="P115" s="15">
        <v>46238.423611111109</v>
      </c>
      <c r="Q115" s="15"/>
      <c r="S115" t="s">
        <v>357</v>
      </c>
      <c r="U115" t="s">
        <v>1536</v>
      </c>
      <c r="V115" t="s">
        <v>357</v>
      </c>
      <c r="W115">
        <v>101</v>
      </c>
      <c r="X115" t="s">
        <v>369</v>
      </c>
      <c r="Y115" t="s">
        <v>239</v>
      </c>
      <c r="Z115" t="s">
        <v>851</v>
      </c>
      <c r="AB115" t="s">
        <v>348</v>
      </c>
      <c r="AC115" t="s">
        <v>7</v>
      </c>
      <c r="AD115" t="s">
        <v>7</v>
      </c>
      <c r="AE115" t="s">
        <v>7</v>
      </c>
      <c r="AF115" t="s">
        <v>1537</v>
      </c>
      <c r="AG115" t="s">
        <v>249</v>
      </c>
      <c r="AH115">
        <v>2</v>
      </c>
      <c r="AI115" t="s">
        <v>250</v>
      </c>
      <c r="AJ115" t="s">
        <v>251</v>
      </c>
      <c r="AK115" t="s">
        <v>827</v>
      </c>
      <c r="AL115" t="s">
        <v>156</v>
      </c>
      <c r="AM115" t="s">
        <v>861</v>
      </c>
      <c r="AO115">
        <v>46232</v>
      </c>
      <c r="AP115">
        <v>0.40709490740740739</v>
      </c>
      <c r="AQ115">
        <v>46238</v>
      </c>
      <c r="AR115">
        <v>0.4236111111111111</v>
      </c>
      <c r="AS115" t="s">
        <v>201</v>
      </c>
      <c r="AT115" t="s">
        <v>1954</v>
      </c>
      <c r="AU115" t="s">
        <v>1955</v>
      </c>
      <c r="AV115" t="s">
        <v>862</v>
      </c>
      <c r="AX115">
        <v>1</v>
      </c>
      <c r="AY115" t="s">
        <v>126</v>
      </c>
      <c r="AZ115" t="s">
        <v>127</v>
      </c>
      <c r="BA115" t="s">
        <v>233</v>
      </c>
      <c r="BB115" t="s">
        <v>863</v>
      </c>
      <c r="BE115">
        <v>1</v>
      </c>
    </row>
    <row r="116" spans="1:57" x14ac:dyDescent="0.3">
      <c r="A116" s="204">
        <v>46235</v>
      </c>
      <c r="B116" t="s">
        <v>142</v>
      </c>
      <c r="C116" t="s">
        <v>345</v>
      </c>
      <c r="D116" t="s">
        <v>57</v>
      </c>
      <c r="E116" t="s">
        <v>117</v>
      </c>
      <c r="F116" t="s">
        <v>309</v>
      </c>
      <c r="G116" t="s">
        <v>1121</v>
      </c>
      <c r="H116" t="s">
        <v>1538</v>
      </c>
      <c r="I116" t="s">
        <v>402</v>
      </c>
      <c r="J116">
        <v>2</v>
      </c>
      <c r="K116">
        <v>2</v>
      </c>
      <c r="L116" t="s">
        <v>1122</v>
      </c>
      <c r="M116" s="15">
        <v>46212.717303240737</v>
      </c>
      <c r="N116" s="15">
        <v>46220.333333333336</v>
      </c>
      <c r="O116" s="15">
        <v>46231.477627314816</v>
      </c>
      <c r="P116" s="15">
        <v>46238.444444444445</v>
      </c>
      <c r="Q116" s="15"/>
      <c r="S116" t="s">
        <v>355</v>
      </c>
      <c r="T116" t="s">
        <v>1539</v>
      </c>
      <c r="U116" t="s">
        <v>1540</v>
      </c>
      <c r="V116" t="s">
        <v>355</v>
      </c>
      <c r="W116">
        <v>2200</v>
      </c>
      <c r="X116" t="s">
        <v>369</v>
      </c>
      <c r="Y116" t="s">
        <v>239</v>
      </c>
      <c r="Z116" t="s">
        <v>851</v>
      </c>
      <c r="AB116" t="s">
        <v>348</v>
      </c>
      <c r="AC116" t="s">
        <v>7</v>
      </c>
      <c r="AD116" t="s">
        <v>7</v>
      </c>
      <c r="AE116" t="s">
        <v>7</v>
      </c>
      <c r="AF116" t="s">
        <v>1541</v>
      </c>
      <c r="AG116" t="s">
        <v>249</v>
      </c>
      <c r="AH116">
        <v>2</v>
      </c>
      <c r="AI116" t="s">
        <v>250</v>
      </c>
      <c r="AJ116" t="s">
        <v>251</v>
      </c>
      <c r="AK116" t="s">
        <v>827</v>
      </c>
      <c r="AL116" t="s">
        <v>156</v>
      </c>
      <c r="AM116" t="s">
        <v>861</v>
      </c>
      <c r="AO116">
        <v>46231</v>
      </c>
      <c r="AP116">
        <v>0.4776273148148148</v>
      </c>
      <c r="AQ116">
        <v>46238</v>
      </c>
      <c r="AR116">
        <v>0.44444444444444442</v>
      </c>
      <c r="AS116" t="s">
        <v>201</v>
      </c>
      <c r="AT116" t="s">
        <v>1954</v>
      </c>
      <c r="AU116" t="s">
        <v>1955</v>
      </c>
      <c r="AV116" t="s">
        <v>862</v>
      </c>
      <c r="AX116">
        <v>1</v>
      </c>
      <c r="AY116" t="s">
        <v>126</v>
      </c>
      <c r="AZ116" t="s">
        <v>127</v>
      </c>
      <c r="BA116" t="s">
        <v>233</v>
      </c>
      <c r="BB116" t="s">
        <v>859</v>
      </c>
      <c r="BE116">
        <v>1</v>
      </c>
    </row>
    <row r="117" spans="1:57" x14ac:dyDescent="0.3">
      <c r="A117" s="204">
        <v>46235</v>
      </c>
      <c r="B117" t="s">
        <v>142</v>
      </c>
      <c r="C117" t="s">
        <v>345</v>
      </c>
      <c r="D117" t="s">
        <v>57</v>
      </c>
      <c r="E117" t="s">
        <v>117</v>
      </c>
      <c r="F117" t="s">
        <v>309</v>
      </c>
      <c r="G117" t="s">
        <v>1121</v>
      </c>
      <c r="H117" t="s">
        <v>1538</v>
      </c>
      <c r="I117" t="s">
        <v>402</v>
      </c>
      <c r="J117">
        <v>2</v>
      </c>
      <c r="K117">
        <v>2</v>
      </c>
      <c r="L117" t="s">
        <v>1122</v>
      </c>
      <c r="M117" s="15">
        <v>46212.717303240737</v>
      </c>
      <c r="N117" s="15">
        <v>46220.333333333336</v>
      </c>
      <c r="O117" s="15">
        <v>46231.477627314816</v>
      </c>
      <c r="P117" s="15">
        <v>46238.444444444445</v>
      </c>
      <c r="Q117" s="15"/>
      <c r="S117" t="s">
        <v>355</v>
      </c>
      <c r="T117" t="s">
        <v>1542</v>
      </c>
      <c r="U117" t="s">
        <v>1543</v>
      </c>
      <c r="V117" t="s">
        <v>355</v>
      </c>
      <c r="W117">
        <v>2200</v>
      </c>
      <c r="X117" t="s">
        <v>369</v>
      </c>
      <c r="Y117" t="s">
        <v>239</v>
      </c>
      <c r="Z117" t="s">
        <v>851</v>
      </c>
      <c r="AB117" t="s">
        <v>348</v>
      </c>
      <c r="AC117" t="s">
        <v>7</v>
      </c>
      <c r="AD117" t="s">
        <v>7</v>
      </c>
      <c r="AE117" t="s">
        <v>7</v>
      </c>
      <c r="AF117" t="s">
        <v>1541</v>
      </c>
      <c r="AG117" t="s">
        <v>250</v>
      </c>
      <c r="AH117">
        <v>2</v>
      </c>
      <c r="AI117" t="s">
        <v>250</v>
      </c>
      <c r="AJ117" t="s">
        <v>251</v>
      </c>
      <c r="AK117" t="s">
        <v>827</v>
      </c>
      <c r="AL117" t="s">
        <v>156</v>
      </c>
      <c r="AM117" t="s">
        <v>861</v>
      </c>
      <c r="AO117">
        <v>46231</v>
      </c>
      <c r="AP117">
        <v>0.4776273148148148</v>
      </c>
      <c r="AQ117">
        <v>46238</v>
      </c>
      <c r="AR117">
        <v>0.44444444444444442</v>
      </c>
      <c r="AS117" t="s">
        <v>1958</v>
      </c>
      <c r="AU117" t="s">
        <v>1955</v>
      </c>
      <c r="AV117" t="s">
        <v>862</v>
      </c>
      <c r="AX117">
        <v>1</v>
      </c>
      <c r="AY117" t="s">
        <v>126</v>
      </c>
      <c r="AZ117" t="s">
        <v>127</v>
      </c>
      <c r="BA117" t="s">
        <v>233</v>
      </c>
      <c r="BB117" t="s">
        <v>859</v>
      </c>
    </row>
    <row r="118" spans="1:57" x14ac:dyDescent="0.3">
      <c r="A118" s="204">
        <v>46235</v>
      </c>
      <c r="B118" t="s">
        <v>142</v>
      </c>
      <c r="C118" t="s">
        <v>345</v>
      </c>
      <c r="D118" t="s">
        <v>57</v>
      </c>
      <c r="E118" t="s">
        <v>117</v>
      </c>
      <c r="F118" t="s">
        <v>309</v>
      </c>
      <c r="G118" t="s">
        <v>1123</v>
      </c>
      <c r="H118" t="s">
        <v>845</v>
      </c>
      <c r="I118" t="s">
        <v>402</v>
      </c>
      <c r="J118">
        <v>1</v>
      </c>
      <c r="K118">
        <v>1</v>
      </c>
      <c r="L118" t="s">
        <v>1124</v>
      </c>
      <c r="M118" s="15">
        <v>46223.754212962966</v>
      </c>
      <c r="N118" s="15">
        <v>46231.333333333336</v>
      </c>
      <c r="O118" s="15">
        <v>46232.484236111108</v>
      </c>
      <c r="P118" s="15">
        <v>46238.427083333336</v>
      </c>
      <c r="Q118" s="15"/>
      <c r="S118" t="s">
        <v>355</v>
      </c>
      <c r="T118" t="s">
        <v>1544</v>
      </c>
      <c r="U118" t="s">
        <v>1545</v>
      </c>
      <c r="V118" t="s">
        <v>355</v>
      </c>
      <c r="W118">
        <v>2200</v>
      </c>
      <c r="X118" t="s">
        <v>369</v>
      </c>
      <c r="Y118" t="s">
        <v>239</v>
      </c>
      <c r="Z118" t="s">
        <v>851</v>
      </c>
      <c r="AB118" t="s">
        <v>348</v>
      </c>
      <c r="AC118" t="s">
        <v>7</v>
      </c>
      <c r="AD118" t="s">
        <v>7</v>
      </c>
      <c r="AE118" t="s">
        <v>7</v>
      </c>
      <c r="AF118" t="s">
        <v>1546</v>
      </c>
      <c r="AG118" t="s">
        <v>249</v>
      </c>
      <c r="AH118">
        <v>2</v>
      </c>
      <c r="AI118" t="s">
        <v>250</v>
      </c>
      <c r="AJ118" t="s">
        <v>251</v>
      </c>
      <c r="AK118" t="s">
        <v>827</v>
      </c>
      <c r="AL118" t="s">
        <v>156</v>
      </c>
      <c r="AM118" t="s">
        <v>861</v>
      </c>
      <c r="AO118">
        <v>46232</v>
      </c>
      <c r="AP118">
        <v>0.48423611111111109</v>
      </c>
      <c r="AQ118">
        <v>46238</v>
      </c>
      <c r="AR118">
        <v>0.42708333333333331</v>
      </c>
      <c r="AS118" t="s">
        <v>201</v>
      </c>
      <c r="AT118" t="s">
        <v>1954</v>
      </c>
      <c r="AU118" t="s">
        <v>1955</v>
      </c>
      <c r="AV118" t="s">
        <v>862</v>
      </c>
      <c r="AX118">
        <v>1</v>
      </c>
      <c r="AY118" t="s">
        <v>126</v>
      </c>
      <c r="AZ118" t="s">
        <v>127</v>
      </c>
      <c r="BA118" t="s">
        <v>233</v>
      </c>
      <c r="BB118" t="s">
        <v>859</v>
      </c>
    </row>
    <row r="119" spans="1:57" x14ac:dyDescent="0.3">
      <c r="A119" s="204">
        <v>46235</v>
      </c>
      <c r="B119" t="s">
        <v>142</v>
      </c>
      <c r="C119" t="s">
        <v>345</v>
      </c>
      <c r="D119" t="s">
        <v>57</v>
      </c>
      <c r="E119" t="s">
        <v>117</v>
      </c>
      <c r="F119" t="s">
        <v>309</v>
      </c>
      <c r="G119" t="s">
        <v>1125</v>
      </c>
      <c r="H119" t="s">
        <v>864</v>
      </c>
      <c r="I119" t="s">
        <v>420</v>
      </c>
      <c r="J119">
        <v>6</v>
      </c>
      <c r="K119">
        <v>6</v>
      </c>
      <c r="L119" t="s">
        <v>1126</v>
      </c>
      <c r="M119" s="15">
        <v>46233.719895833332</v>
      </c>
      <c r="N119" s="15">
        <v>46241.333333333336</v>
      </c>
      <c r="O119" s="15">
        <v>46234.410682870373</v>
      </c>
      <c r="P119" s="15">
        <v>46238.434027777781</v>
      </c>
      <c r="Q119" s="15"/>
      <c r="S119" t="s">
        <v>355</v>
      </c>
      <c r="U119" t="s">
        <v>1547</v>
      </c>
      <c r="V119" t="s">
        <v>355</v>
      </c>
      <c r="W119">
        <v>2200</v>
      </c>
      <c r="X119" t="s">
        <v>369</v>
      </c>
      <c r="Y119" t="s">
        <v>239</v>
      </c>
      <c r="Z119" t="s">
        <v>851</v>
      </c>
      <c r="AB119" t="s">
        <v>348</v>
      </c>
      <c r="AC119" t="s">
        <v>7</v>
      </c>
      <c r="AD119" t="s">
        <v>7</v>
      </c>
      <c r="AE119" t="s">
        <v>7</v>
      </c>
      <c r="AF119" t="s">
        <v>1548</v>
      </c>
      <c r="AG119" t="s">
        <v>249</v>
      </c>
      <c r="AH119">
        <v>2</v>
      </c>
      <c r="AI119" t="s">
        <v>250</v>
      </c>
      <c r="AJ119" t="s">
        <v>251</v>
      </c>
      <c r="AK119" t="s">
        <v>827</v>
      </c>
      <c r="AL119" t="s">
        <v>156</v>
      </c>
      <c r="AM119" t="s">
        <v>861</v>
      </c>
      <c r="AO119">
        <v>46234</v>
      </c>
      <c r="AP119">
        <v>0.41068287037037038</v>
      </c>
      <c r="AQ119">
        <v>46238</v>
      </c>
      <c r="AR119">
        <v>0.43402777777777779</v>
      </c>
      <c r="AS119" t="s">
        <v>201</v>
      </c>
      <c r="AT119" t="s">
        <v>1954</v>
      </c>
      <c r="AU119" t="s">
        <v>1955</v>
      </c>
      <c r="AV119" t="s">
        <v>862</v>
      </c>
      <c r="AX119">
        <v>1</v>
      </c>
      <c r="AY119" t="s">
        <v>126</v>
      </c>
      <c r="AZ119" t="s">
        <v>127</v>
      </c>
      <c r="BA119" t="s">
        <v>233</v>
      </c>
      <c r="BB119" t="s">
        <v>859</v>
      </c>
    </row>
    <row r="120" spans="1:57" x14ac:dyDescent="0.3">
      <c r="A120" s="204">
        <v>46235</v>
      </c>
      <c r="B120" t="s">
        <v>142</v>
      </c>
      <c r="C120" t="s">
        <v>345</v>
      </c>
      <c r="D120" t="s">
        <v>57</v>
      </c>
      <c r="E120" t="s">
        <v>117</v>
      </c>
      <c r="F120" t="s">
        <v>309</v>
      </c>
      <c r="G120" t="s">
        <v>1125</v>
      </c>
      <c r="H120" t="s">
        <v>864</v>
      </c>
      <c r="I120" t="s">
        <v>420</v>
      </c>
      <c r="J120">
        <v>2</v>
      </c>
      <c r="K120">
        <v>2</v>
      </c>
      <c r="L120" t="s">
        <v>1127</v>
      </c>
      <c r="M120" s="15">
        <v>46233.719895833332</v>
      </c>
      <c r="N120" s="15">
        <v>46241.333333333336</v>
      </c>
      <c r="O120" s="15">
        <v>46234.408483796295</v>
      </c>
      <c r="P120" s="15">
        <v>46238.436805555553</v>
      </c>
      <c r="Q120" s="15"/>
      <c r="S120" t="s">
        <v>355</v>
      </c>
      <c r="U120" t="s">
        <v>1549</v>
      </c>
      <c r="V120" t="s">
        <v>355</v>
      </c>
      <c r="W120">
        <v>2200</v>
      </c>
      <c r="X120" t="s">
        <v>369</v>
      </c>
      <c r="Y120" t="s">
        <v>239</v>
      </c>
      <c r="Z120" t="s">
        <v>851</v>
      </c>
      <c r="AB120" t="s">
        <v>348</v>
      </c>
      <c r="AC120" t="s">
        <v>7</v>
      </c>
      <c r="AD120" t="s">
        <v>7</v>
      </c>
      <c r="AE120" t="s">
        <v>7</v>
      </c>
      <c r="AF120" t="s">
        <v>1550</v>
      </c>
      <c r="AG120" t="s">
        <v>249</v>
      </c>
      <c r="AH120">
        <v>2</v>
      </c>
      <c r="AI120" t="s">
        <v>250</v>
      </c>
      <c r="AJ120" t="s">
        <v>251</v>
      </c>
      <c r="AK120" t="s">
        <v>827</v>
      </c>
      <c r="AL120" t="s">
        <v>156</v>
      </c>
      <c r="AM120" t="s">
        <v>861</v>
      </c>
      <c r="AO120">
        <v>46234</v>
      </c>
      <c r="AP120">
        <v>0.40848379629629628</v>
      </c>
      <c r="AQ120">
        <v>46238</v>
      </c>
      <c r="AR120">
        <v>0.43680555555555556</v>
      </c>
      <c r="AS120" t="s">
        <v>201</v>
      </c>
      <c r="AT120" t="s">
        <v>1954</v>
      </c>
      <c r="AU120" t="s">
        <v>1955</v>
      </c>
      <c r="AV120" t="s">
        <v>862</v>
      </c>
      <c r="AX120">
        <v>1</v>
      </c>
      <c r="AY120" t="s">
        <v>126</v>
      </c>
      <c r="AZ120" t="s">
        <v>127</v>
      </c>
      <c r="BA120" t="s">
        <v>233</v>
      </c>
      <c r="BB120" t="s">
        <v>859</v>
      </c>
    </row>
    <row r="121" spans="1:57" x14ac:dyDescent="0.3">
      <c r="A121" s="204">
        <v>46235</v>
      </c>
      <c r="B121" t="s">
        <v>142</v>
      </c>
      <c r="C121" t="s">
        <v>345</v>
      </c>
      <c r="D121" t="s">
        <v>57</v>
      </c>
      <c r="E121" t="s">
        <v>117</v>
      </c>
      <c r="F121" t="s">
        <v>309</v>
      </c>
      <c r="G121" t="s">
        <v>1125</v>
      </c>
      <c r="H121" t="s">
        <v>864</v>
      </c>
      <c r="I121" t="s">
        <v>420</v>
      </c>
      <c r="J121">
        <v>6</v>
      </c>
      <c r="K121">
        <v>6</v>
      </c>
      <c r="L121" t="s">
        <v>1126</v>
      </c>
      <c r="M121" s="15">
        <v>46233.719895833332</v>
      </c>
      <c r="N121" s="15">
        <v>46241.333333333336</v>
      </c>
      <c r="O121" s="15">
        <v>46234.410682870373</v>
      </c>
      <c r="P121" s="15">
        <v>46238.434027777781</v>
      </c>
      <c r="Q121" s="15"/>
      <c r="S121" t="s">
        <v>355</v>
      </c>
      <c r="U121" t="s">
        <v>1551</v>
      </c>
      <c r="V121" t="s">
        <v>355</v>
      </c>
      <c r="W121">
        <v>2200</v>
      </c>
      <c r="X121" t="s">
        <v>369</v>
      </c>
      <c r="Y121" t="s">
        <v>239</v>
      </c>
      <c r="Z121" t="s">
        <v>851</v>
      </c>
      <c r="AB121" t="s">
        <v>348</v>
      </c>
      <c r="AC121" t="s">
        <v>7</v>
      </c>
      <c r="AD121" t="s">
        <v>7</v>
      </c>
      <c r="AE121" t="s">
        <v>7</v>
      </c>
      <c r="AF121" t="s">
        <v>1548</v>
      </c>
      <c r="AG121" t="s">
        <v>250</v>
      </c>
      <c r="AH121">
        <v>2</v>
      </c>
      <c r="AI121" t="s">
        <v>250</v>
      </c>
      <c r="AJ121" t="s">
        <v>251</v>
      </c>
      <c r="AK121" t="s">
        <v>827</v>
      </c>
      <c r="AL121" t="s">
        <v>156</v>
      </c>
      <c r="AM121" t="s">
        <v>861</v>
      </c>
      <c r="AO121">
        <v>46234</v>
      </c>
      <c r="AP121">
        <v>0.41068287037037038</v>
      </c>
      <c r="AQ121">
        <v>46238</v>
      </c>
      <c r="AR121">
        <v>0.43402777777777779</v>
      </c>
      <c r="AS121" t="s">
        <v>1958</v>
      </c>
      <c r="AU121" t="s">
        <v>1955</v>
      </c>
      <c r="AV121" t="s">
        <v>862</v>
      </c>
      <c r="AX121">
        <v>1</v>
      </c>
      <c r="AY121" t="s">
        <v>126</v>
      </c>
      <c r="AZ121" t="s">
        <v>127</v>
      </c>
      <c r="BA121" t="s">
        <v>233</v>
      </c>
      <c r="BB121" t="s">
        <v>859</v>
      </c>
    </row>
    <row r="122" spans="1:57" x14ac:dyDescent="0.3">
      <c r="A122" s="204">
        <v>46235</v>
      </c>
      <c r="B122" t="s">
        <v>142</v>
      </c>
      <c r="C122" t="s">
        <v>345</v>
      </c>
      <c r="D122" t="s">
        <v>57</v>
      </c>
      <c r="E122" t="s">
        <v>117</v>
      </c>
      <c r="F122" t="s">
        <v>309</v>
      </c>
      <c r="G122" t="s">
        <v>1114</v>
      </c>
      <c r="H122" t="s">
        <v>860</v>
      </c>
      <c r="I122" t="s">
        <v>419</v>
      </c>
      <c r="J122" s="14">
        <v>26</v>
      </c>
      <c r="K122" s="14">
        <v>26</v>
      </c>
      <c r="L122" t="s">
        <v>1128</v>
      </c>
      <c r="M122" s="15">
        <v>46202.512337962966</v>
      </c>
      <c r="N122" s="15">
        <v>46209.5</v>
      </c>
      <c r="O122" s="15">
        <v>46203.361828703702</v>
      </c>
      <c r="P122" s="15">
        <v>46212.739201388889</v>
      </c>
      <c r="Q122" s="15"/>
      <c r="S122" t="s">
        <v>356</v>
      </c>
      <c r="U122" t="s">
        <v>1552</v>
      </c>
      <c r="V122" t="s">
        <v>356</v>
      </c>
      <c r="W122">
        <v>109</v>
      </c>
      <c r="X122" t="s">
        <v>369</v>
      </c>
      <c r="Y122" t="s">
        <v>239</v>
      </c>
      <c r="Z122" t="s">
        <v>851</v>
      </c>
      <c r="AB122" t="s">
        <v>348</v>
      </c>
      <c r="AC122" t="s">
        <v>7</v>
      </c>
      <c r="AD122" t="s">
        <v>7</v>
      </c>
      <c r="AE122" t="s">
        <v>7</v>
      </c>
      <c r="AF122" t="s">
        <v>1553</v>
      </c>
      <c r="AG122" t="s">
        <v>249</v>
      </c>
      <c r="AH122">
        <v>2</v>
      </c>
      <c r="AI122" t="s">
        <v>250</v>
      </c>
      <c r="AJ122" t="s">
        <v>251</v>
      </c>
      <c r="AK122" t="s">
        <v>827</v>
      </c>
      <c r="AL122" t="s">
        <v>156</v>
      </c>
      <c r="AM122" t="s">
        <v>861</v>
      </c>
      <c r="AO122">
        <v>46203</v>
      </c>
      <c r="AP122">
        <v>0.36182870370370368</v>
      </c>
      <c r="AQ122">
        <v>46212</v>
      </c>
      <c r="AR122">
        <v>0.73920138888888887</v>
      </c>
      <c r="AS122" t="s">
        <v>201</v>
      </c>
      <c r="AT122" t="s">
        <v>1954</v>
      </c>
      <c r="AU122" t="s">
        <v>1955</v>
      </c>
      <c r="AV122" t="s">
        <v>862</v>
      </c>
      <c r="AX122">
        <v>2.6</v>
      </c>
      <c r="AY122" t="s">
        <v>126</v>
      </c>
      <c r="AZ122" t="s">
        <v>127</v>
      </c>
      <c r="BA122" t="s">
        <v>233</v>
      </c>
      <c r="BB122" t="s">
        <v>854</v>
      </c>
      <c r="BE122">
        <v>1</v>
      </c>
    </row>
    <row r="123" spans="1:57" x14ac:dyDescent="0.3">
      <c r="A123" s="204">
        <v>46235</v>
      </c>
      <c r="B123" t="s">
        <v>142</v>
      </c>
      <c r="C123" t="s">
        <v>345</v>
      </c>
      <c r="D123" t="s">
        <v>57</v>
      </c>
      <c r="E123" t="s">
        <v>117</v>
      </c>
      <c r="F123" t="s">
        <v>309</v>
      </c>
      <c r="G123" t="s">
        <v>1114</v>
      </c>
      <c r="H123" t="s">
        <v>860</v>
      </c>
      <c r="I123" t="s">
        <v>419</v>
      </c>
      <c r="J123" s="14">
        <v>13</v>
      </c>
      <c r="K123" s="14">
        <v>13</v>
      </c>
      <c r="L123" t="s">
        <v>1128</v>
      </c>
      <c r="M123" s="15">
        <v>46202.512337962966</v>
      </c>
      <c r="N123" s="15">
        <v>46209.5</v>
      </c>
      <c r="O123" s="15">
        <v>46203.361828703702</v>
      </c>
      <c r="P123" s="15">
        <v>46212.739201388889</v>
      </c>
      <c r="Q123" s="15"/>
      <c r="S123" t="s">
        <v>356</v>
      </c>
      <c r="U123" t="s">
        <v>1554</v>
      </c>
      <c r="V123" t="s">
        <v>356</v>
      </c>
      <c r="W123">
        <v>109</v>
      </c>
      <c r="X123" t="s">
        <v>369</v>
      </c>
      <c r="Y123" t="s">
        <v>239</v>
      </c>
      <c r="Z123" t="s">
        <v>851</v>
      </c>
      <c r="AB123" t="s">
        <v>348</v>
      </c>
      <c r="AC123" t="s">
        <v>7</v>
      </c>
      <c r="AD123" t="s">
        <v>7</v>
      </c>
      <c r="AE123" t="s">
        <v>7</v>
      </c>
      <c r="AF123" t="s">
        <v>1553</v>
      </c>
      <c r="AG123" t="s">
        <v>250</v>
      </c>
      <c r="AH123">
        <v>2</v>
      </c>
      <c r="AI123" t="s">
        <v>250</v>
      </c>
      <c r="AJ123" t="s">
        <v>251</v>
      </c>
      <c r="AK123" t="s">
        <v>827</v>
      </c>
      <c r="AL123" t="s">
        <v>156</v>
      </c>
      <c r="AM123" t="s">
        <v>861</v>
      </c>
      <c r="AO123">
        <v>46203</v>
      </c>
      <c r="AP123">
        <v>0.36182870370370368</v>
      </c>
      <c r="AQ123">
        <v>46212</v>
      </c>
      <c r="AR123">
        <v>0.73920138888888887</v>
      </c>
      <c r="AS123" t="s">
        <v>1958</v>
      </c>
      <c r="AU123" t="s">
        <v>1955</v>
      </c>
      <c r="AV123" t="s">
        <v>862</v>
      </c>
      <c r="AX123">
        <v>1.3</v>
      </c>
      <c r="AY123" t="s">
        <v>126</v>
      </c>
      <c r="AZ123" t="s">
        <v>127</v>
      </c>
      <c r="BA123" t="s">
        <v>233</v>
      </c>
      <c r="BB123" t="s">
        <v>854</v>
      </c>
    </row>
    <row r="124" spans="1:57" x14ac:dyDescent="0.3">
      <c r="A124" s="204">
        <v>46235</v>
      </c>
      <c r="B124" t="s">
        <v>142</v>
      </c>
      <c r="C124" t="s">
        <v>345</v>
      </c>
      <c r="D124" t="s">
        <v>57</v>
      </c>
      <c r="E124" t="s">
        <v>117</v>
      </c>
      <c r="F124" t="s">
        <v>309</v>
      </c>
      <c r="G124" t="s">
        <v>1114</v>
      </c>
      <c r="H124" t="s">
        <v>860</v>
      </c>
      <c r="I124" t="s">
        <v>419</v>
      </c>
      <c r="J124" s="14">
        <v>30</v>
      </c>
      <c r="K124" s="14">
        <v>30</v>
      </c>
      <c r="L124" t="s">
        <v>1129</v>
      </c>
      <c r="M124" s="15">
        <v>46202.512337962966</v>
      </c>
      <c r="N124" s="15">
        <v>46209.5</v>
      </c>
      <c r="O124" s="15">
        <v>46239.591469907406</v>
      </c>
      <c r="P124" s="15">
        <v>46241.497916666667</v>
      </c>
      <c r="Q124" s="15"/>
      <c r="S124" t="s">
        <v>356</v>
      </c>
      <c r="T124" t="s">
        <v>1555</v>
      </c>
      <c r="U124" t="s">
        <v>1556</v>
      </c>
      <c r="V124" t="s">
        <v>356</v>
      </c>
      <c r="W124">
        <v>109</v>
      </c>
      <c r="X124" t="s">
        <v>369</v>
      </c>
      <c r="Y124" t="s">
        <v>239</v>
      </c>
      <c r="Z124" t="s">
        <v>851</v>
      </c>
      <c r="AB124" t="s">
        <v>348</v>
      </c>
      <c r="AC124" t="s">
        <v>7</v>
      </c>
      <c r="AD124" t="s">
        <v>7</v>
      </c>
      <c r="AE124" t="s">
        <v>7</v>
      </c>
      <c r="AF124" t="s">
        <v>1557</v>
      </c>
      <c r="AG124" t="s">
        <v>249</v>
      </c>
      <c r="AH124">
        <v>2</v>
      </c>
      <c r="AI124" t="s">
        <v>250</v>
      </c>
      <c r="AJ124" t="s">
        <v>251</v>
      </c>
      <c r="AK124" t="s">
        <v>827</v>
      </c>
      <c r="AL124" t="s">
        <v>156</v>
      </c>
      <c r="AM124" t="s">
        <v>861</v>
      </c>
      <c r="AO124">
        <v>46239</v>
      </c>
      <c r="AP124">
        <v>0.59146990740740746</v>
      </c>
      <c r="AQ124">
        <v>46241</v>
      </c>
      <c r="AR124">
        <v>0.49791666666666667</v>
      </c>
      <c r="AS124" t="s">
        <v>201</v>
      </c>
      <c r="AT124" t="s">
        <v>1954</v>
      </c>
      <c r="AU124" t="s">
        <v>1955</v>
      </c>
      <c r="AV124" t="s">
        <v>862</v>
      </c>
      <c r="AX124">
        <v>3</v>
      </c>
      <c r="AY124" t="s">
        <v>126</v>
      </c>
      <c r="AZ124" t="s">
        <v>127</v>
      </c>
      <c r="BA124" t="s">
        <v>233</v>
      </c>
      <c r="BB124" t="s">
        <v>854</v>
      </c>
      <c r="BE124">
        <v>1</v>
      </c>
    </row>
    <row r="125" spans="1:57" x14ac:dyDescent="0.3">
      <c r="A125" s="204">
        <v>46237</v>
      </c>
      <c r="B125" t="s">
        <v>142</v>
      </c>
      <c r="C125" t="s">
        <v>345</v>
      </c>
      <c r="D125" t="s">
        <v>57</v>
      </c>
      <c r="E125" t="s">
        <v>117</v>
      </c>
      <c r="F125" t="s">
        <v>309</v>
      </c>
      <c r="G125" t="s">
        <v>1130</v>
      </c>
      <c r="H125" t="s">
        <v>864</v>
      </c>
      <c r="I125" t="s">
        <v>402</v>
      </c>
      <c r="J125">
        <v>1</v>
      </c>
      <c r="K125">
        <v>1</v>
      </c>
      <c r="L125" t="s">
        <v>1131</v>
      </c>
      <c r="M125" s="15">
        <v>46253.45040509259</v>
      </c>
      <c r="N125" s="15">
        <v>46260.45</v>
      </c>
      <c r="O125" s="15">
        <v>46255.393750000003</v>
      </c>
      <c r="P125" s="15">
        <v>46258.414583333331</v>
      </c>
      <c r="Q125" s="15"/>
      <c r="S125" t="s">
        <v>355</v>
      </c>
      <c r="V125" t="s">
        <v>355</v>
      </c>
      <c r="W125">
        <v>2200</v>
      </c>
      <c r="X125" t="s">
        <v>369</v>
      </c>
      <c r="Y125" t="s">
        <v>239</v>
      </c>
      <c r="Z125" t="s">
        <v>851</v>
      </c>
      <c r="AB125" t="s">
        <v>348</v>
      </c>
      <c r="AC125" t="s">
        <v>7</v>
      </c>
      <c r="AD125" t="s">
        <v>7</v>
      </c>
      <c r="AE125" t="s">
        <v>7</v>
      </c>
      <c r="AF125" t="s">
        <v>1558</v>
      </c>
      <c r="AG125" t="s">
        <v>249</v>
      </c>
      <c r="AH125">
        <v>2</v>
      </c>
      <c r="AI125" t="s">
        <v>250</v>
      </c>
      <c r="AJ125" t="s">
        <v>251</v>
      </c>
      <c r="AK125" t="s">
        <v>827</v>
      </c>
      <c r="AL125" t="s">
        <v>156</v>
      </c>
      <c r="AM125" t="s">
        <v>861</v>
      </c>
      <c r="AO125">
        <v>46255</v>
      </c>
      <c r="AP125">
        <v>0.39374999999999999</v>
      </c>
      <c r="AQ125">
        <v>46258</v>
      </c>
      <c r="AR125">
        <v>0.41458333333333336</v>
      </c>
      <c r="AS125" t="s">
        <v>201</v>
      </c>
      <c r="AT125" t="s">
        <v>1954</v>
      </c>
      <c r="AU125" t="s">
        <v>1955</v>
      </c>
      <c r="AV125" t="s">
        <v>862</v>
      </c>
      <c r="AX125">
        <v>1</v>
      </c>
      <c r="AY125" t="s">
        <v>126</v>
      </c>
      <c r="AZ125" t="s">
        <v>127</v>
      </c>
      <c r="BA125" t="s">
        <v>233</v>
      </c>
      <c r="BB125" t="s">
        <v>859</v>
      </c>
      <c r="BE125">
        <v>1</v>
      </c>
    </row>
    <row r="126" spans="1:57" x14ac:dyDescent="0.3">
      <c r="A126" s="204">
        <v>46235</v>
      </c>
      <c r="B126" t="s">
        <v>142</v>
      </c>
      <c r="C126" t="s">
        <v>345</v>
      </c>
      <c r="D126" t="s">
        <v>57</v>
      </c>
      <c r="E126" t="s">
        <v>117</v>
      </c>
      <c r="F126" t="s">
        <v>309</v>
      </c>
      <c r="G126" t="s">
        <v>1132</v>
      </c>
      <c r="H126" t="s">
        <v>840</v>
      </c>
      <c r="I126" t="s">
        <v>399</v>
      </c>
      <c r="J126">
        <v>1</v>
      </c>
      <c r="K126">
        <v>1</v>
      </c>
      <c r="L126" t="s">
        <v>1133</v>
      </c>
      <c r="M126" s="15">
        <v>46225.356817129628</v>
      </c>
      <c r="N126" s="15">
        <v>46232.356249999997</v>
      </c>
      <c r="O126" s="15">
        <v>46233.380069444444</v>
      </c>
      <c r="P126" s="15">
        <v>46238.463194444441</v>
      </c>
      <c r="Q126" s="15"/>
      <c r="S126" t="s">
        <v>354</v>
      </c>
      <c r="T126" t="s">
        <v>1559</v>
      </c>
      <c r="U126" t="s">
        <v>1560</v>
      </c>
      <c r="V126" t="s">
        <v>354</v>
      </c>
      <c r="W126">
        <v>50</v>
      </c>
      <c r="X126" t="s">
        <v>369</v>
      </c>
      <c r="Y126" t="s">
        <v>239</v>
      </c>
      <c r="Z126" t="s">
        <v>851</v>
      </c>
      <c r="AB126" t="s">
        <v>348</v>
      </c>
      <c r="AC126" t="s">
        <v>7</v>
      </c>
      <c r="AD126" t="s">
        <v>7</v>
      </c>
      <c r="AE126" t="s">
        <v>7</v>
      </c>
      <c r="AF126" t="s">
        <v>1561</v>
      </c>
      <c r="AG126" t="s">
        <v>249</v>
      </c>
      <c r="AH126">
        <v>2</v>
      </c>
      <c r="AI126" t="s">
        <v>250</v>
      </c>
      <c r="AJ126" t="s">
        <v>251</v>
      </c>
      <c r="AK126" t="s">
        <v>827</v>
      </c>
      <c r="AL126" t="s">
        <v>156</v>
      </c>
      <c r="AM126" t="s">
        <v>861</v>
      </c>
      <c r="AO126">
        <v>46233</v>
      </c>
      <c r="AP126">
        <v>0.38006944444444446</v>
      </c>
      <c r="AQ126">
        <v>46238</v>
      </c>
      <c r="AR126">
        <v>0.46319444444444446</v>
      </c>
      <c r="AS126" t="s">
        <v>201</v>
      </c>
      <c r="AT126" t="s">
        <v>1954</v>
      </c>
      <c r="AU126" t="s">
        <v>1955</v>
      </c>
      <c r="AV126" t="s">
        <v>862</v>
      </c>
      <c r="AX126">
        <v>1</v>
      </c>
      <c r="AY126" t="s">
        <v>126</v>
      </c>
      <c r="AZ126" t="s">
        <v>127</v>
      </c>
      <c r="BA126" t="s">
        <v>233</v>
      </c>
      <c r="BB126" t="s">
        <v>858</v>
      </c>
      <c r="BE126">
        <v>1</v>
      </c>
    </row>
    <row r="127" spans="1:57" x14ac:dyDescent="0.3">
      <c r="A127" s="204">
        <v>46230</v>
      </c>
      <c r="B127" t="s">
        <v>142</v>
      </c>
      <c r="C127" t="s">
        <v>345</v>
      </c>
      <c r="D127" t="s">
        <v>57</v>
      </c>
      <c r="E127" t="s">
        <v>117</v>
      </c>
      <c r="F127" t="s">
        <v>309</v>
      </c>
      <c r="G127" t="s">
        <v>1134</v>
      </c>
      <c r="H127" t="s">
        <v>845</v>
      </c>
      <c r="I127" t="s">
        <v>402</v>
      </c>
      <c r="J127">
        <v>1</v>
      </c>
      <c r="K127">
        <v>1</v>
      </c>
      <c r="L127" t="s">
        <v>1135</v>
      </c>
      <c r="M127" s="15">
        <v>46223.623645833337</v>
      </c>
      <c r="N127" s="15">
        <v>46230.623611111114</v>
      </c>
      <c r="O127" s="15">
        <v>46224.351388888892</v>
      </c>
      <c r="P127" s="15">
        <v>46227.68472222222</v>
      </c>
      <c r="Q127" s="15">
        <v>46234.655555555553</v>
      </c>
      <c r="S127" t="s">
        <v>355</v>
      </c>
      <c r="T127" t="s">
        <v>1562</v>
      </c>
      <c r="U127" t="s">
        <v>1563</v>
      </c>
      <c r="V127" t="s">
        <v>355</v>
      </c>
      <c r="W127">
        <v>2200</v>
      </c>
      <c r="X127" t="s">
        <v>369</v>
      </c>
      <c r="Y127" t="s">
        <v>239</v>
      </c>
      <c r="Z127" t="s">
        <v>851</v>
      </c>
      <c r="AB127" t="s">
        <v>348</v>
      </c>
      <c r="AC127" t="s">
        <v>7</v>
      </c>
      <c r="AD127" t="s">
        <v>7</v>
      </c>
      <c r="AE127" t="s">
        <v>7</v>
      </c>
      <c r="AF127" t="s">
        <v>1564</v>
      </c>
      <c r="AG127" t="s">
        <v>249</v>
      </c>
      <c r="AH127">
        <v>2</v>
      </c>
      <c r="AI127" t="s">
        <v>250</v>
      </c>
      <c r="AJ127" t="s">
        <v>251</v>
      </c>
      <c r="AK127" t="s">
        <v>827</v>
      </c>
      <c r="AL127" t="s">
        <v>156</v>
      </c>
      <c r="AM127" t="s">
        <v>861</v>
      </c>
      <c r="AO127">
        <v>46224</v>
      </c>
      <c r="AP127">
        <v>0.35138888888888886</v>
      </c>
      <c r="AQ127">
        <v>46227</v>
      </c>
      <c r="AR127">
        <v>0.68472222222222223</v>
      </c>
      <c r="AS127" t="s">
        <v>201</v>
      </c>
      <c r="AT127" t="s">
        <v>1954</v>
      </c>
      <c r="AU127" t="s">
        <v>1955</v>
      </c>
      <c r="AV127" t="s">
        <v>862</v>
      </c>
      <c r="AX127">
        <v>1</v>
      </c>
      <c r="AY127" t="s">
        <v>126</v>
      </c>
      <c r="AZ127" t="s">
        <v>127</v>
      </c>
      <c r="BA127" t="s">
        <v>233</v>
      </c>
      <c r="BB127" t="s">
        <v>859</v>
      </c>
      <c r="BE127">
        <v>1</v>
      </c>
    </row>
    <row r="128" spans="1:57" x14ac:dyDescent="0.3">
      <c r="A128" s="204">
        <v>46230</v>
      </c>
      <c r="B128" t="s">
        <v>142</v>
      </c>
      <c r="C128" t="s">
        <v>345</v>
      </c>
      <c r="D128" t="s">
        <v>57</v>
      </c>
      <c r="E128" t="s">
        <v>117</v>
      </c>
      <c r="F128" t="s">
        <v>309</v>
      </c>
      <c r="G128" t="s">
        <v>1134</v>
      </c>
      <c r="H128" t="s">
        <v>845</v>
      </c>
      <c r="I128" t="s">
        <v>402</v>
      </c>
      <c r="J128">
        <v>1</v>
      </c>
      <c r="K128">
        <v>1</v>
      </c>
      <c r="L128" t="s">
        <v>1135</v>
      </c>
      <c r="M128" s="15">
        <v>46223.623645833337</v>
      </c>
      <c r="N128" s="15">
        <v>46230.623611111114</v>
      </c>
      <c r="O128" s="15">
        <v>46224.351388888892</v>
      </c>
      <c r="P128" s="15">
        <v>46227.68472222222</v>
      </c>
      <c r="Q128" s="15">
        <v>46234.655555555553</v>
      </c>
      <c r="S128" t="s">
        <v>355</v>
      </c>
      <c r="T128" t="s">
        <v>1562</v>
      </c>
      <c r="U128" t="s">
        <v>1565</v>
      </c>
      <c r="V128" t="s">
        <v>355</v>
      </c>
      <c r="W128">
        <v>2200</v>
      </c>
      <c r="X128" t="s">
        <v>369</v>
      </c>
      <c r="Y128" t="s">
        <v>239</v>
      </c>
      <c r="Z128" t="s">
        <v>851</v>
      </c>
      <c r="AB128" t="s">
        <v>348</v>
      </c>
      <c r="AC128" t="s">
        <v>7</v>
      </c>
      <c r="AD128" t="s">
        <v>7</v>
      </c>
      <c r="AE128" t="s">
        <v>7</v>
      </c>
      <c r="AF128" t="s">
        <v>1564</v>
      </c>
      <c r="AG128" t="s">
        <v>250</v>
      </c>
      <c r="AH128">
        <v>2</v>
      </c>
      <c r="AI128" t="s">
        <v>250</v>
      </c>
      <c r="AJ128" t="s">
        <v>251</v>
      </c>
      <c r="AK128" t="s">
        <v>827</v>
      </c>
      <c r="AL128" t="s">
        <v>156</v>
      </c>
      <c r="AM128" t="s">
        <v>861</v>
      </c>
      <c r="AO128">
        <v>46224</v>
      </c>
      <c r="AP128">
        <v>0.35138888888888886</v>
      </c>
      <c r="AQ128">
        <v>46227</v>
      </c>
      <c r="AR128">
        <v>0.68472222222222223</v>
      </c>
      <c r="AS128" t="s">
        <v>1958</v>
      </c>
      <c r="AU128" t="s">
        <v>1955</v>
      </c>
      <c r="AV128" t="s">
        <v>862</v>
      </c>
      <c r="AX128">
        <v>1</v>
      </c>
      <c r="AY128" t="s">
        <v>126</v>
      </c>
      <c r="AZ128" t="s">
        <v>127</v>
      </c>
      <c r="BA128" t="s">
        <v>233</v>
      </c>
      <c r="BB128" t="s">
        <v>859</v>
      </c>
    </row>
    <row r="129" spans="1:57" x14ac:dyDescent="0.3">
      <c r="A129" s="204">
        <v>46230</v>
      </c>
      <c r="B129" t="s">
        <v>142</v>
      </c>
      <c r="C129" t="s">
        <v>345</v>
      </c>
      <c r="D129" t="s">
        <v>57</v>
      </c>
      <c r="E129" t="s">
        <v>117</v>
      </c>
      <c r="F129" t="s">
        <v>309</v>
      </c>
      <c r="G129" t="s">
        <v>1134</v>
      </c>
      <c r="H129" t="s">
        <v>845</v>
      </c>
      <c r="I129" t="s">
        <v>402</v>
      </c>
      <c r="J129">
        <v>3</v>
      </c>
      <c r="K129">
        <v>3</v>
      </c>
      <c r="L129" t="s">
        <v>1136</v>
      </c>
      <c r="M129" s="15">
        <v>46223.623645833337</v>
      </c>
      <c r="N129" s="15">
        <v>46230.623611111114</v>
      </c>
      <c r="O129" s="15">
        <v>46224.351388888892</v>
      </c>
      <c r="P129" s="15">
        <v>46227.68472222222</v>
      </c>
      <c r="Q129" s="15"/>
      <c r="S129" t="s">
        <v>355</v>
      </c>
      <c r="T129" t="s">
        <v>1562</v>
      </c>
      <c r="U129" t="s">
        <v>1566</v>
      </c>
      <c r="V129" t="s">
        <v>355</v>
      </c>
      <c r="W129">
        <v>2200</v>
      </c>
      <c r="X129" t="s">
        <v>369</v>
      </c>
      <c r="Y129" t="s">
        <v>239</v>
      </c>
      <c r="Z129" t="s">
        <v>851</v>
      </c>
      <c r="AB129" t="s">
        <v>348</v>
      </c>
      <c r="AC129" t="s">
        <v>7</v>
      </c>
      <c r="AD129" t="s">
        <v>7</v>
      </c>
      <c r="AE129" t="s">
        <v>7</v>
      </c>
      <c r="AF129" t="s">
        <v>1567</v>
      </c>
      <c r="AG129" t="s">
        <v>249</v>
      </c>
      <c r="AH129">
        <v>2</v>
      </c>
      <c r="AI129" t="s">
        <v>250</v>
      </c>
      <c r="AJ129" t="s">
        <v>251</v>
      </c>
      <c r="AK129" t="s">
        <v>827</v>
      </c>
      <c r="AL129" t="s">
        <v>156</v>
      </c>
      <c r="AM129" t="s">
        <v>861</v>
      </c>
      <c r="AO129">
        <v>46224</v>
      </c>
      <c r="AP129">
        <v>0.35138888888888886</v>
      </c>
      <c r="AQ129">
        <v>46227</v>
      </c>
      <c r="AR129">
        <v>0.68472222222222223</v>
      </c>
      <c r="AS129" t="s">
        <v>201</v>
      </c>
      <c r="AT129" t="s">
        <v>1954</v>
      </c>
      <c r="AU129" t="s">
        <v>1955</v>
      </c>
      <c r="AV129" t="s">
        <v>862</v>
      </c>
      <c r="AX129">
        <v>1</v>
      </c>
      <c r="AY129" t="s">
        <v>126</v>
      </c>
      <c r="AZ129" t="s">
        <v>127</v>
      </c>
      <c r="BA129" t="s">
        <v>233</v>
      </c>
      <c r="BB129" t="s">
        <v>859</v>
      </c>
    </row>
    <row r="130" spans="1:57" x14ac:dyDescent="0.3">
      <c r="A130" s="204">
        <v>46230</v>
      </c>
      <c r="B130" t="s">
        <v>142</v>
      </c>
      <c r="C130" t="s">
        <v>345</v>
      </c>
      <c r="D130" t="s">
        <v>57</v>
      </c>
      <c r="E130" t="s">
        <v>117</v>
      </c>
      <c r="F130" t="s">
        <v>309</v>
      </c>
      <c r="G130" t="s">
        <v>1137</v>
      </c>
      <c r="H130" t="s">
        <v>1568</v>
      </c>
      <c r="I130" t="s">
        <v>420</v>
      </c>
      <c r="J130">
        <v>1</v>
      </c>
      <c r="K130">
        <v>1</v>
      </c>
      <c r="L130" t="s">
        <v>1138</v>
      </c>
      <c r="M130" s="15">
        <v>46217.60359953704</v>
      </c>
      <c r="N130" s="15">
        <v>46224.603472222225</v>
      </c>
      <c r="O130" s="15">
        <v>46220.352083333331</v>
      </c>
      <c r="P130" s="15">
        <v>46227.702777777777</v>
      </c>
      <c r="Q130" s="15"/>
      <c r="S130" t="s">
        <v>357</v>
      </c>
      <c r="U130" t="s">
        <v>1569</v>
      </c>
      <c r="V130" t="s">
        <v>357</v>
      </c>
      <c r="W130">
        <v>101</v>
      </c>
      <c r="X130" t="s">
        <v>369</v>
      </c>
      <c r="Y130" t="s">
        <v>239</v>
      </c>
      <c r="Z130" t="s">
        <v>851</v>
      </c>
      <c r="AB130" t="s">
        <v>348</v>
      </c>
      <c r="AC130" t="s">
        <v>7</v>
      </c>
      <c r="AD130" t="s">
        <v>7</v>
      </c>
      <c r="AE130" t="s">
        <v>7</v>
      </c>
      <c r="AF130" t="s">
        <v>1570</v>
      </c>
      <c r="AG130" t="s">
        <v>249</v>
      </c>
      <c r="AH130">
        <v>2</v>
      </c>
      <c r="AI130" t="s">
        <v>250</v>
      </c>
      <c r="AJ130" t="s">
        <v>251</v>
      </c>
      <c r="AK130" t="s">
        <v>827</v>
      </c>
      <c r="AL130" t="s">
        <v>156</v>
      </c>
      <c r="AM130" t="s">
        <v>861</v>
      </c>
      <c r="AO130">
        <v>46220</v>
      </c>
      <c r="AP130">
        <v>0.35208333333333336</v>
      </c>
      <c r="AQ130">
        <v>46227</v>
      </c>
      <c r="AR130">
        <v>0.70277777777777772</v>
      </c>
      <c r="AS130" t="s">
        <v>201</v>
      </c>
      <c r="AT130" t="s">
        <v>1954</v>
      </c>
      <c r="AU130" t="s">
        <v>1955</v>
      </c>
      <c r="AV130" t="s">
        <v>862</v>
      </c>
      <c r="AX130">
        <v>1</v>
      </c>
      <c r="AY130" t="s">
        <v>126</v>
      </c>
      <c r="AZ130" t="s">
        <v>127</v>
      </c>
      <c r="BA130" t="s">
        <v>233</v>
      </c>
      <c r="BB130" t="s">
        <v>863</v>
      </c>
      <c r="BE130">
        <v>1</v>
      </c>
    </row>
    <row r="131" spans="1:57" x14ac:dyDescent="0.3">
      <c r="A131" s="204">
        <v>46230</v>
      </c>
      <c r="B131" t="s">
        <v>142</v>
      </c>
      <c r="C131" t="s">
        <v>345</v>
      </c>
      <c r="D131" t="s">
        <v>57</v>
      </c>
      <c r="E131" t="s">
        <v>117</v>
      </c>
      <c r="F131" t="s">
        <v>309</v>
      </c>
      <c r="G131" t="s">
        <v>1137</v>
      </c>
      <c r="H131" t="s">
        <v>1568</v>
      </c>
      <c r="I131" t="s">
        <v>420</v>
      </c>
      <c r="J131">
        <v>4</v>
      </c>
      <c r="K131">
        <v>4</v>
      </c>
      <c r="L131" t="s">
        <v>1138</v>
      </c>
      <c r="M131" s="15">
        <v>46217.60359953704</v>
      </c>
      <c r="N131" s="15">
        <v>46224.603472222225</v>
      </c>
      <c r="O131" s="15">
        <v>46220.352083333331</v>
      </c>
      <c r="P131" s="15">
        <v>46227.702777777777</v>
      </c>
      <c r="Q131" s="15"/>
      <c r="S131" t="s">
        <v>357</v>
      </c>
      <c r="U131" t="s">
        <v>1571</v>
      </c>
      <c r="V131" t="s">
        <v>357</v>
      </c>
      <c r="W131">
        <v>101</v>
      </c>
      <c r="X131" t="s">
        <v>369</v>
      </c>
      <c r="Y131" t="s">
        <v>239</v>
      </c>
      <c r="Z131" t="s">
        <v>851</v>
      </c>
      <c r="AB131" t="s">
        <v>348</v>
      </c>
      <c r="AC131" t="s">
        <v>7</v>
      </c>
      <c r="AD131" t="s">
        <v>7</v>
      </c>
      <c r="AE131" t="s">
        <v>7</v>
      </c>
      <c r="AF131" t="s">
        <v>1570</v>
      </c>
      <c r="AG131" t="s">
        <v>250</v>
      </c>
      <c r="AH131">
        <v>2</v>
      </c>
      <c r="AI131" t="s">
        <v>250</v>
      </c>
      <c r="AJ131" t="s">
        <v>251</v>
      </c>
      <c r="AK131" t="s">
        <v>827</v>
      </c>
      <c r="AL131" t="s">
        <v>156</v>
      </c>
      <c r="AM131" t="s">
        <v>861</v>
      </c>
      <c r="AO131">
        <v>46220</v>
      </c>
      <c r="AP131">
        <v>0.35208333333333336</v>
      </c>
      <c r="AQ131">
        <v>46227</v>
      </c>
      <c r="AR131">
        <v>0.70277777777777772</v>
      </c>
      <c r="AS131" t="s">
        <v>1958</v>
      </c>
      <c r="AU131" t="s">
        <v>1955</v>
      </c>
      <c r="AV131" t="s">
        <v>862</v>
      </c>
      <c r="AX131">
        <v>1</v>
      </c>
      <c r="AY131" t="s">
        <v>126</v>
      </c>
      <c r="AZ131" t="s">
        <v>127</v>
      </c>
      <c r="BA131" t="s">
        <v>233</v>
      </c>
      <c r="BB131" t="s">
        <v>863</v>
      </c>
    </row>
    <row r="132" spans="1:57" x14ac:dyDescent="0.3">
      <c r="A132" s="204">
        <v>46230</v>
      </c>
      <c r="B132" t="s">
        <v>142</v>
      </c>
      <c r="C132" t="s">
        <v>345</v>
      </c>
      <c r="D132" t="s">
        <v>57</v>
      </c>
      <c r="E132" t="s">
        <v>117</v>
      </c>
      <c r="F132" t="s">
        <v>309</v>
      </c>
      <c r="G132" t="s">
        <v>1137</v>
      </c>
      <c r="H132" t="s">
        <v>1568</v>
      </c>
      <c r="I132" t="s">
        <v>420</v>
      </c>
      <c r="J132">
        <v>1</v>
      </c>
      <c r="K132">
        <v>1</v>
      </c>
      <c r="L132" t="s">
        <v>1138</v>
      </c>
      <c r="M132" s="15">
        <v>46217.60359953704</v>
      </c>
      <c r="N132" s="15">
        <v>46224.603472222225</v>
      </c>
      <c r="O132" s="15">
        <v>46220.352083333331</v>
      </c>
      <c r="P132" s="15">
        <v>46227.702777777777</v>
      </c>
      <c r="Q132" s="15"/>
      <c r="S132" t="s">
        <v>357</v>
      </c>
      <c r="U132" t="s">
        <v>1572</v>
      </c>
      <c r="V132" t="s">
        <v>357</v>
      </c>
      <c r="W132">
        <v>101</v>
      </c>
      <c r="X132" t="s">
        <v>369</v>
      </c>
      <c r="Y132" t="s">
        <v>239</v>
      </c>
      <c r="Z132" t="s">
        <v>851</v>
      </c>
      <c r="AB132" t="s">
        <v>348</v>
      </c>
      <c r="AC132" t="s">
        <v>7</v>
      </c>
      <c r="AD132" t="s">
        <v>7</v>
      </c>
      <c r="AE132" t="s">
        <v>7</v>
      </c>
      <c r="AF132" t="s">
        <v>1570</v>
      </c>
      <c r="AG132" t="s">
        <v>250</v>
      </c>
      <c r="AH132">
        <v>2</v>
      </c>
      <c r="AI132" t="s">
        <v>250</v>
      </c>
      <c r="AJ132" t="s">
        <v>251</v>
      </c>
      <c r="AK132" t="s">
        <v>827</v>
      </c>
      <c r="AL132" t="s">
        <v>156</v>
      </c>
      <c r="AM132" t="s">
        <v>861</v>
      </c>
      <c r="AO132">
        <v>46220</v>
      </c>
      <c r="AP132">
        <v>0.35208333333333336</v>
      </c>
      <c r="AQ132">
        <v>46227</v>
      </c>
      <c r="AR132">
        <v>0.70277777777777772</v>
      </c>
      <c r="AS132" t="s">
        <v>1958</v>
      </c>
      <c r="AU132" t="s">
        <v>1955</v>
      </c>
      <c r="AV132" t="s">
        <v>862</v>
      </c>
      <c r="AX132">
        <v>1</v>
      </c>
      <c r="AY132" t="s">
        <v>126</v>
      </c>
      <c r="AZ132" t="s">
        <v>127</v>
      </c>
      <c r="BA132" t="s">
        <v>233</v>
      </c>
      <c r="BB132" t="s">
        <v>863</v>
      </c>
    </row>
    <row r="133" spans="1:57" x14ac:dyDescent="0.3">
      <c r="A133" s="204">
        <v>46230</v>
      </c>
      <c r="B133" t="s">
        <v>142</v>
      </c>
      <c r="C133" t="s">
        <v>345</v>
      </c>
      <c r="D133" t="s">
        <v>279</v>
      </c>
      <c r="E133" t="s">
        <v>192</v>
      </c>
      <c r="F133" t="s">
        <v>309</v>
      </c>
      <c r="G133" t="s">
        <v>741</v>
      </c>
      <c r="H133" t="s">
        <v>842</v>
      </c>
      <c r="I133" t="s">
        <v>401</v>
      </c>
      <c r="J133">
        <v>8</v>
      </c>
      <c r="K133">
        <v>8</v>
      </c>
      <c r="L133" t="s">
        <v>1095</v>
      </c>
      <c r="M133" s="15">
        <v>46248.437847222223</v>
      </c>
      <c r="N133" s="15">
        <v>46255.4375</v>
      </c>
      <c r="O133" s="15">
        <v>46248.662499999999</v>
      </c>
      <c r="P133" s="15">
        <v>46253.628472222219</v>
      </c>
      <c r="Q133" s="15"/>
      <c r="S133" t="s">
        <v>357</v>
      </c>
      <c r="U133" t="s">
        <v>1498</v>
      </c>
      <c r="V133" t="s">
        <v>357</v>
      </c>
      <c r="W133">
        <v>101</v>
      </c>
      <c r="X133" t="s">
        <v>369</v>
      </c>
      <c r="Y133" t="s">
        <v>239</v>
      </c>
      <c r="Z133" t="s">
        <v>851</v>
      </c>
      <c r="AB133" t="s">
        <v>348</v>
      </c>
      <c r="AC133" t="s">
        <v>7</v>
      </c>
      <c r="AD133" t="s">
        <v>7</v>
      </c>
      <c r="AE133" t="s">
        <v>7</v>
      </c>
      <c r="AF133" t="s">
        <v>1573</v>
      </c>
      <c r="AG133" t="s">
        <v>249</v>
      </c>
      <c r="AH133">
        <v>2</v>
      </c>
      <c r="AI133" t="s">
        <v>250</v>
      </c>
      <c r="AJ133" t="s">
        <v>248</v>
      </c>
      <c r="AK133" t="s">
        <v>827</v>
      </c>
      <c r="AL133" t="s">
        <v>156</v>
      </c>
      <c r="AM133" t="s">
        <v>855</v>
      </c>
      <c r="AN133">
        <v>3</v>
      </c>
      <c r="AO133">
        <v>46248</v>
      </c>
      <c r="AP133">
        <v>0.66249999999999998</v>
      </c>
      <c r="AQ133">
        <v>46253</v>
      </c>
      <c r="AR133">
        <v>0.62847222222222221</v>
      </c>
      <c r="AS133" t="s">
        <v>201</v>
      </c>
      <c r="AT133" t="s">
        <v>1954</v>
      </c>
      <c r="AU133" t="s">
        <v>1955</v>
      </c>
      <c r="AV133" t="s">
        <v>856</v>
      </c>
      <c r="AW133">
        <v>1</v>
      </c>
      <c r="AX133">
        <v>8</v>
      </c>
      <c r="AY133" t="s">
        <v>125</v>
      </c>
      <c r="AZ133" t="s">
        <v>122</v>
      </c>
      <c r="BA133" t="s">
        <v>232</v>
      </c>
      <c r="BB133" t="s">
        <v>863</v>
      </c>
      <c r="BE133">
        <v>1</v>
      </c>
    </row>
    <row r="134" spans="1:57" x14ac:dyDescent="0.3">
      <c r="A134" s="204">
        <v>46230</v>
      </c>
      <c r="B134" t="s">
        <v>142</v>
      </c>
      <c r="C134" t="s">
        <v>345</v>
      </c>
      <c r="D134" t="s">
        <v>279</v>
      </c>
      <c r="E134" t="s">
        <v>192</v>
      </c>
      <c r="F134" t="s">
        <v>309</v>
      </c>
      <c r="G134" t="s">
        <v>1096</v>
      </c>
      <c r="H134" t="s">
        <v>842</v>
      </c>
      <c r="I134" t="s">
        <v>401</v>
      </c>
      <c r="J134">
        <v>350</v>
      </c>
      <c r="K134">
        <v>350</v>
      </c>
      <c r="L134" t="s">
        <v>1097</v>
      </c>
      <c r="M134" s="15">
        <v>46239.634884259256</v>
      </c>
      <c r="N134" s="15">
        <v>46246.634722222225</v>
      </c>
      <c r="O134" s="15">
        <v>46240.408333333333</v>
      </c>
      <c r="P134" s="15">
        <v>46246.645833333336</v>
      </c>
      <c r="Q134" s="15"/>
      <c r="S134" t="s">
        <v>357</v>
      </c>
      <c r="U134" t="s">
        <v>1500</v>
      </c>
      <c r="V134" t="s">
        <v>357</v>
      </c>
      <c r="W134">
        <v>101</v>
      </c>
      <c r="X134" t="s">
        <v>369</v>
      </c>
      <c r="Y134" t="s">
        <v>239</v>
      </c>
      <c r="Z134" t="s">
        <v>851</v>
      </c>
      <c r="AB134" t="s">
        <v>348</v>
      </c>
      <c r="AC134" t="s">
        <v>7</v>
      </c>
      <c r="AD134" t="s">
        <v>7</v>
      </c>
      <c r="AE134" t="s">
        <v>7</v>
      </c>
      <c r="AF134" t="s">
        <v>1574</v>
      </c>
      <c r="AG134" t="s">
        <v>249</v>
      </c>
      <c r="AH134">
        <v>2</v>
      </c>
      <c r="AI134" t="s">
        <v>250</v>
      </c>
      <c r="AJ134" t="s">
        <v>248</v>
      </c>
      <c r="AK134" t="s">
        <v>827</v>
      </c>
      <c r="AL134" t="s">
        <v>156</v>
      </c>
      <c r="AM134" t="s">
        <v>855</v>
      </c>
      <c r="AN134">
        <v>3</v>
      </c>
      <c r="AO134">
        <v>46240</v>
      </c>
      <c r="AP134">
        <v>0.40833333333333333</v>
      </c>
      <c r="AQ134">
        <v>46246</v>
      </c>
      <c r="AR134">
        <v>0.64583333333333337</v>
      </c>
      <c r="AS134" t="s">
        <v>201</v>
      </c>
      <c r="AT134" t="s">
        <v>1956</v>
      </c>
      <c r="AU134" t="s">
        <v>1955</v>
      </c>
      <c r="AV134" t="s">
        <v>856</v>
      </c>
      <c r="AW134">
        <v>1</v>
      </c>
      <c r="AX134">
        <v>350</v>
      </c>
      <c r="AY134" t="s">
        <v>125</v>
      </c>
      <c r="AZ134" t="s">
        <v>122</v>
      </c>
      <c r="BA134" t="s">
        <v>232</v>
      </c>
      <c r="BB134" t="s">
        <v>863</v>
      </c>
      <c r="BE134">
        <v>35</v>
      </c>
    </row>
    <row r="135" spans="1:57" x14ac:dyDescent="0.3">
      <c r="A135" s="204">
        <v>46230</v>
      </c>
      <c r="B135" t="s">
        <v>142</v>
      </c>
      <c r="C135" t="s">
        <v>345</v>
      </c>
      <c r="D135" t="s">
        <v>279</v>
      </c>
      <c r="E135" t="s">
        <v>192</v>
      </c>
      <c r="F135" t="s">
        <v>309</v>
      </c>
      <c r="G135" t="s">
        <v>1098</v>
      </c>
      <c r="H135" t="s">
        <v>930</v>
      </c>
      <c r="I135" t="s">
        <v>405</v>
      </c>
      <c r="J135">
        <v>471</v>
      </c>
      <c r="K135">
        <v>471</v>
      </c>
      <c r="L135" t="s">
        <v>1099</v>
      </c>
      <c r="M135" s="15">
        <v>46245.601261574076</v>
      </c>
      <c r="N135" s="15">
        <v>46252.600694444445</v>
      </c>
      <c r="O135" s="15">
        <v>46246.638194444444</v>
      </c>
      <c r="P135" s="15">
        <v>46252.386805555558</v>
      </c>
      <c r="Q135" s="15"/>
      <c r="S135" t="s">
        <v>355</v>
      </c>
      <c r="U135" t="s">
        <v>1502</v>
      </c>
      <c r="V135" t="s">
        <v>355</v>
      </c>
      <c r="W135">
        <v>2200</v>
      </c>
      <c r="X135" t="s">
        <v>369</v>
      </c>
      <c r="Y135" t="s">
        <v>239</v>
      </c>
      <c r="Z135" t="s">
        <v>851</v>
      </c>
      <c r="AB135" t="s">
        <v>348</v>
      </c>
      <c r="AC135" t="s">
        <v>7</v>
      </c>
      <c r="AD135" t="s">
        <v>7</v>
      </c>
      <c r="AE135" t="s">
        <v>7</v>
      </c>
      <c r="AF135" t="s">
        <v>1575</v>
      </c>
      <c r="AG135" t="s">
        <v>249</v>
      </c>
      <c r="AH135">
        <v>2</v>
      </c>
      <c r="AI135" t="s">
        <v>250</v>
      </c>
      <c r="AJ135" t="s">
        <v>248</v>
      </c>
      <c r="AK135" t="s">
        <v>827</v>
      </c>
      <c r="AL135" t="s">
        <v>156</v>
      </c>
      <c r="AM135" t="s">
        <v>855</v>
      </c>
      <c r="AN135">
        <v>3</v>
      </c>
      <c r="AO135">
        <v>46246</v>
      </c>
      <c r="AP135">
        <v>0.6381944444444444</v>
      </c>
      <c r="AQ135">
        <v>46252</v>
      </c>
      <c r="AR135">
        <v>0.38680555555555557</v>
      </c>
      <c r="AS135" t="s">
        <v>201</v>
      </c>
      <c r="AT135" t="s">
        <v>1956</v>
      </c>
      <c r="AU135" t="s">
        <v>1955</v>
      </c>
      <c r="AV135" t="s">
        <v>856</v>
      </c>
      <c r="AW135">
        <v>1</v>
      </c>
      <c r="AX135">
        <v>471</v>
      </c>
      <c r="AY135" t="s">
        <v>125</v>
      </c>
      <c r="AZ135" t="s">
        <v>122</v>
      </c>
      <c r="BA135" t="s">
        <v>232</v>
      </c>
      <c r="BB135" t="s">
        <v>859</v>
      </c>
      <c r="BE135">
        <v>47.1</v>
      </c>
    </row>
    <row r="136" spans="1:57" x14ac:dyDescent="0.3">
      <c r="A136" s="204">
        <v>46237</v>
      </c>
      <c r="B136" t="s">
        <v>142</v>
      </c>
      <c r="C136" t="s">
        <v>345</v>
      </c>
      <c r="D136" t="s">
        <v>279</v>
      </c>
      <c r="E136" t="s">
        <v>192</v>
      </c>
      <c r="F136" t="s">
        <v>309</v>
      </c>
      <c r="G136" t="s">
        <v>1100</v>
      </c>
      <c r="H136" t="s">
        <v>845</v>
      </c>
      <c r="I136" t="s">
        <v>402</v>
      </c>
      <c r="J136">
        <v>1805</v>
      </c>
      <c r="K136">
        <v>1805</v>
      </c>
      <c r="L136" t="s">
        <v>1101</v>
      </c>
      <c r="M136" s="15">
        <v>46245.375648148147</v>
      </c>
      <c r="N136" s="15">
        <v>46252.375</v>
      </c>
      <c r="O136" s="15">
        <v>46246.395138888889</v>
      </c>
      <c r="P136" s="15">
        <v>46248.681250000001</v>
      </c>
      <c r="Q136" s="15"/>
      <c r="S136" t="s">
        <v>355</v>
      </c>
      <c r="V136" t="s">
        <v>355</v>
      </c>
      <c r="W136">
        <v>2200</v>
      </c>
      <c r="X136" t="s">
        <v>369</v>
      </c>
      <c r="Y136" t="s">
        <v>239</v>
      </c>
      <c r="Z136" t="s">
        <v>851</v>
      </c>
      <c r="AB136" t="s">
        <v>348</v>
      </c>
      <c r="AC136" t="s">
        <v>7</v>
      </c>
      <c r="AD136" t="s">
        <v>7</v>
      </c>
      <c r="AE136" t="s">
        <v>7</v>
      </c>
      <c r="AF136" t="s">
        <v>1576</v>
      </c>
      <c r="AG136" t="s">
        <v>249</v>
      </c>
      <c r="AH136">
        <v>2</v>
      </c>
      <c r="AI136" t="s">
        <v>250</v>
      </c>
      <c r="AJ136" t="s">
        <v>248</v>
      </c>
      <c r="AK136" t="s">
        <v>827</v>
      </c>
      <c r="AL136" t="s">
        <v>156</v>
      </c>
      <c r="AM136" t="s">
        <v>855</v>
      </c>
      <c r="AN136">
        <v>3</v>
      </c>
      <c r="AO136">
        <v>46246</v>
      </c>
      <c r="AP136">
        <v>0.39513888888888887</v>
      </c>
      <c r="AQ136">
        <v>46248</v>
      </c>
      <c r="AR136">
        <v>0.68125000000000002</v>
      </c>
      <c r="AS136" t="s">
        <v>201</v>
      </c>
      <c r="AT136" t="s">
        <v>1954</v>
      </c>
      <c r="AU136" t="s">
        <v>1955</v>
      </c>
      <c r="AV136" t="s">
        <v>856</v>
      </c>
      <c r="AW136">
        <v>1</v>
      </c>
      <c r="AX136">
        <v>1805</v>
      </c>
      <c r="AY136" t="s">
        <v>125</v>
      </c>
      <c r="AZ136" t="s">
        <v>122</v>
      </c>
      <c r="BA136" t="s">
        <v>232</v>
      </c>
      <c r="BB136" t="s">
        <v>859</v>
      </c>
      <c r="BE136">
        <v>180.5</v>
      </c>
    </row>
    <row r="137" spans="1:57" x14ac:dyDescent="0.3">
      <c r="A137" s="204">
        <v>46237</v>
      </c>
      <c r="B137" t="s">
        <v>142</v>
      </c>
      <c r="C137" t="s">
        <v>345</v>
      </c>
      <c r="D137" t="s">
        <v>279</v>
      </c>
      <c r="E137" t="s">
        <v>192</v>
      </c>
      <c r="F137" t="s">
        <v>309</v>
      </c>
      <c r="G137" t="s">
        <v>1102</v>
      </c>
      <c r="H137" t="s">
        <v>845</v>
      </c>
      <c r="I137" t="s">
        <v>402</v>
      </c>
      <c r="J137">
        <v>1580</v>
      </c>
      <c r="K137">
        <v>1580</v>
      </c>
      <c r="L137" t="s">
        <v>1103</v>
      </c>
      <c r="M137" s="15">
        <v>46239.715613425928</v>
      </c>
      <c r="N137" s="15">
        <v>46247.333333333336</v>
      </c>
      <c r="O137" s="15">
        <v>46241.71597222222</v>
      </c>
      <c r="P137" s="15">
        <v>46246.671527777777</v>
      </c>
      <c r="Q137" s="15"/>
      <c r="S137" t="s">
        <v>355</v>
      </c>
      <c r="V137" t="s">
        <v>355</v>
      </c>
      <c r="W137">
        <v>2200</v>
      </c>
      <c r="X137" t="s">
        <v>369</v>
      </c>
      <c r="Y137" t="s">
        <v>239</v>
      </c>
      <c r="Z137" t="s">
        <v>851</v>
      </c>
      <c r="AB137" t="s">
        <v>348</v>
      </c>
      <c r="AC137" t="s">
        <v>7</v>
      </c>
      <c r="AD137" t="s">
        <v>7</v>
      </c>
      <c r="AE137" t="s">
        <v>7</v>
      </c>
      <c r="AF137" t="s">
        <v>1577</v>
      </c>
      <c r="AG137" t="s">
        <v>249</v>
      </c>
      <c r="AH137">
        <v>2</v>
      </c>
      <c r="AI137" t="s">
        <v>250</v>
      </c>
      <c r="AJ137" t="s">
        <v>248</v>
      </c>
      <c r="AK137" t="s">
        <v>827</v>
      </c>
      <c r="AL137" t="s">
        <v>156</v>
      </c>
      <c r="AM137" t="s">
        <v>855</v>
      </c>
      <c r="AN137">
        <v>3</v>
      </c>
      <c r="AO137">
        <v>46241</v>
      </c>
      <c r="AP137">
        <v>0.71597222222222223</v>
      </c>
      <c r="AQ137">
        <v>46246</v>
      </c>
      <c r="AR137">
        <v>0.67152777777777772</v>
      </c>
      <c r="AS137" t="s">
        <v>201</v>
      </c>
      <c r="AT137" t="s">
        <v>1954</v>
      </c>
      <c r="AU137" t="s">
        <v>1955</v>
      </c>
      <c r="AV137" t="s">
        <v>856</v>
      </c>
      <c r="AW137">
        <v>1</v>
      </c>
      <c r="AX137">
        <v>1580</v>
      </c>
      <c r="AY137" t="s">
        <v>125</v>
      </c>
      <c r="AZ137" t="s">
        <v>122</v>
      </c>
      <c r="BA137" t="s">
        <v>232</v>
      </c>
      <c r="BB137" t="s">
        <v>859</v>
      </c>
      <c r="BE137">
        <v>282.60000000000002</v>
      </c>
    </row>
    <row r="138" spans="1:57" x14ac:dyDescent="0.3">
      <c r="A138" s="204">
        <v>46237</v>
      </c>
      <c r="B138" t="s">
        <v>142</v>
      </c>
      <c r="C138" t="s">
        <v>345</v>
      </c>
      <c r="D138" t="s">
        <v>279</v>
      </c>
      <c r="E138" t="s">
        <v>192</v>
      </c>
      <c r="F138" t="s">
        <v>309</v>
      </c>
      <c r="G138" t="s">
        <v>1104</v>
      </c>
      <c r="H138" t="s">
        <v>845</v>
      </c>
      <c r="I138" t="s">
        <v>402</v>
      </c>
      <c r="J138">
        <v>13</v>
      </c>
      <c r="K138">
        <v>13</v>
      </c>
      <c r="L138" t="s">
        <v>1105</v>
      </c>
      <c r="M138" s="15">
        <v>46238.474398148152</v>
      </c>
      <c r="N138" s="15">
        <v>46245.474305555559</v>
      </c>
      <c r="O138" s="15">
        <v>46238.659722222219</v>
      </c>
      <c r="P138" s="15">
        <v>46241.456944444442</v>
      </c>
      <c r="Q138" s="15"/>
      <c r="S138" t="s">
        <v>355</v>
      </c>
      <c r="V138" t="s">
        <v>355</v>
      </c>
      <c r="W138">
        <v>2200</v>
      </c>
      <c r="X138" t="s">
        <v>369</v>
      </c>
      <c r="Y138" t="s">
        <v>239</v>
      </c>
      <c r="Z138" t="s">
        <v>851</v>
      </c>
      <c r="AB138" t="s">
        <v>348</v>
      </c>
      <c r="AC138" t="s">
        <v>7</v>
      </c>
      <c r="AD138" t="s">
        <v>7</v>
      </c>
      <c r="AE138" t="s">
        <v>7</v>
      </c>
      <c r="AF138" t="s">
        <v>1578</v>
      </c>
      <c r="AG138" t="s">
        <v>249</v>
      </c>
      <c r="AH138">
        <v>2</v>
      </c>
      <c r="AI138" t="s">
        <v>250</v>
      </c>
      <c r="AJ138" t="s">
        <v>248</v>
      </c>
      <c r="AK138" t="s">
        <v>827</v>
      </c>
      <c r="AL138" t="s">
        <v>156</v>
      </c>
      <c r="AM138" t="s">
        <v>855</v>
      </c>
      <c r="AN138">
        <v>3</v>
      </c>
      <c r="AO138">
        <v>46238</v>
      </c>
      <c r="AP138">
        <v>0.65972222222222221</v>
      </c>
      <c r="AQ138">
        <v>46241</v>
      </c>
      <c r="AR138">
        <v>0.45694444444444443</v>
      </c>
      <c r="AS138" t="s">
        <v>201</v>
      </c>
      <c r="AT138" t="s">
        <v>1954</v>
      </c>
      <c r="AU138" t="s">
        <v>1955</v>
      </c>
      <c r="AV138" t="s">
        <v>856</v>
      </c>
      <c r="AW138">
        <v>1</v>
      </c>
      <c r="AX138">
        <v>13</v>
      </c>
      <c r="AY138" t="s">
        <v>125</v>
      </c>
      <c r="AZ138" t="s">
        <v>122</v>
      </c>
      <c r="BA138" t="s">
        <v>232</v>
      </c>
      <c r="BB138" t="s">
        <v>859</v>
      </c>
      <c r="BE138">
        <v>1.3</v>
      </c>
    </row>
    <row r="139" spans="1:57" x14ac:dyDescent="0.3">
      <c r="A139" s="204">
        <v>46230</v>
      </c>
      <c r="B139" t="s">
        <v>142</v>
      </c>
      <c r="C139" t="s">
        <v>345</v>
      </c>
      <c r="D139" t="s">
        <v>279</v>
      </c>
      <c r="E139" t="s">
        <v>192</v>
      </c>
      <c r="F139" t="s">
        <v>309</v>
      </c>
      <c r="G139" t="s">
        <v>1106</v>
      </c>
      <c r="H139" t="s">
        <v>844</v>
      </c>
      <c r="I139" t="s">
        <v>406</v>
      </c>
      <c r="J139">
        <v>1096</v>
      </c>
      <c r="K139">
        <v>1096</v>
      </c>
      <c r="L139" t="s">
        <v>1107</v>
      </c>
      <c r="M139" s="15">
        <v>46244.43917824074</v>
      </c>
      <c r="N139" s="15">
        <v>46251.438888888886</v>
      </c>
      <c r="O139" s="15">
        <v>46245.671527777777</v>
      </c>
      <c r="P139" s="15">
        <v>46251.602083333331</v>
      </c>
      <c r="Q139" s="15"/>
      <c r="S139" t="s">
        <v>354</v>
      </c>
      <c r="U139" t="s">
        <v>1507</v>
      </c>
      <c r="V139" t="s">
        <v>354</v>
      </c>
      <c r="W139">
        <v>50</v>
      </c>
      <c r="X139" t="s">
        <v>369</v>
      </c>
      <c r="Y139" t="s">
        <v>239</v>
      </c>
      <c r="Z139" t="s">
        <v>851</v>
      </c>
      <c r="AB139" t="s">
        <v>348</v>
      </c>
      <c r="AC139" t="s">
        <v>7</v>
      </c>
      <c r="AD139" t="s">
        <v>7</v>
      </c>
      <c r="AE139" t="s">
        <v>7</v>
      </c>
      <c r="AF139" t="s">
        <v>1579</v>
      </c>
      <c r="AG139" t="s">
        <v>249</v>
      </c>
      <c r="AH139">
        <v>2</v>
      </c>
      <c r="AI139" t="s">
        <v>250</v>
      </c>
      <c r="AJ139" t="s">
        <v>248</v>
      </c>
      <c r="AK139" t="s">
        <v>827</v>
      </c>
      <c r="AL139" t="s">
        <v>156</v>
      </c>
      <c r="AM139" t="s">
        <v>855</v>
      </c>
      <c r="AN139">
        <v>3</v>
      </c>
      <c r="AO139">
        <v>46245</v>
      </c>
      <c r="AP139">
        <v>0.67152777777777772</v>
      </c>
      <c r="AQ139">
        <v>46251</v>
      </c>
      <c r="AR139">
        <v>0.6020833333333333</v>
      </c>
      <c r="AS139" t="s">
        <v>201</v>
      </c>
      <c r="AT139" t="s">
        <v>1956</v>
      </c>
      <c r="AU139" t="s">
        <v>1955</v>
      </c>
      <c r="AV139" t="s">
        <v>856</v>
      </c>
      <c r="AW139">
        <v>1</v>
      </c>
      <c r="AX139">
        <v>1096</v>
      </c>
      <c r="AY139" t="s">
        <v>125</v>
      </c>
      <c r="AZ139" t="s">
        <v>122</v>
      </c>
      <c r="BA139" t="s">
        <v>232</v>
      </c>
      <c r="BB139" t="s">
        <v>858</v>
      </c>
      <c r="BE139">
        <v>1745.2</v>
      </c>
    </row>
    <row r="140" spans="1:57" x14ac:dyDescent="0.3">
      <c r="A140" s="204">
        <v>46230</v>
      </c>
      <c r="B140" t="s">
        <v>142</v>
      </c>
      <c r="C140" t="s">
        <v>345</v>
      </c>
      <c r="D140" t="s">
        <v>279</v>
      </c>
      <c r="E140" t="s">
        <v>192</v>
      </c>
      <c r="F140" t="s">
        <v>309</v>
      </c>
      <c r="G140" t="s">
        <v>1106</v>
      </c>
      <c r="H140" t="s">
        <v>844</v>
      </c>
      <c r="I140" t="s">
        <v>406</v>
      </c>
      <c r="J140">
        <v>2343</v>
      </c>
      <c r="K140">
        <v>2343</v>
      </c>
      <c r="L140" t="s">
        <v>1107</v>
      </c>
      <c r="M140" s="15">
        <v>46244.43917824074</v>
      </c>
      <c r="N140" s="15">
        <v>46251.438888888886</v>
      </c>
      <c r="O140" s="15">
        <v>46245.671527777777</v>
      </c>
      <c r="P140" s="15">
        <v>46251.602083333331</v>
      </c>
      <c r="Q140" s="15"/>
      <c r="S140" t="s">
        <v>354</v>
      </c>
      <c r="U140" t="s">
        <v>1509</v>
      </c>
      <c r="V140" t="s">
        <v>354</v>
      </c>
      <c r="W140">
        <v>50</v>
      </c>
      <c r="X140" t="s">
        <v>369</v>
      </c>
      <c r="Y140" t="s">
        <v>239</v>
      </c>
      <c r="Z140" t="s">
        <v>851</v>
      </c>
      <c r="AB140" t="s">
        <v>348</v>
      </c>
      <c r="AC140" t="s">
        <v>7</v>
      </c>
      <c r="AD140" t="s">
        <v>7</v>
      </c>
      <c r="AE140" t="s">
        <v>7</v>
      </c>
      <c r="AF140" t="s">
        <v>1579</v>
      </c>
      <c r="AG140" t="s">
        <v>250</v>
      </c>
      <c r="AH140">
        <v>2</v>
      </c>
      <c r="AI140" t="s">
        <v>250</v>
      </c>
      <c r="AJ140" t="s">
        <v>248</v>
      </c>
      <c r="AK140" t="s">
        <v>827</v>
      </c>
      <c r="AL140" t="s">
        <v>156</v>
      </c>
      <c r="AM140" t="s">
        <v>855</v>
      </c>
      <c r="AN140">
        <v>3</v>
      </c>
      <c r="AO140">
        <v>46245</v>
      </c>
      <c r="AP140">
        <v>0.67152777777777772</v>
      </c>
      <c r="AQ140">
        <v>46251</v>
      </c>
      <c r="AR140">
        <v>0.6020833333333333</v>
      </c>
      <c r="AS140" t="s">
        <v>1958</v>
      </c>
      <c r="AU140" t="s">
        <v>1955</v>
      </c>
      <c r="AV140" t="s">
        <v>856</v>
      </c>
      <c r="AW140">
        <v>1</v>
      </c>
      <c r="AX140">
        <v>2343</v>
      </c>
      <c r="AY140" t="s">
        <v>125</v>
      </c>
      <c r="AZ140" t="s">
        <v>122</v>
      </c>
      <c r="BA140" t="s">
        <v>232</v>
      </c>
      <c r="BB140" t="s">
        <v>858</v>
      </c>
    </row>
    <row r="141" spans="1:57" x14ac:dyDescent="0.3">
      <c r="A141" s="204">
        <v>46230</v>
      </c>
      <c r="B141" t="s">
        <v>142</v>
      </c>
      <c r="C141" t="s">
        <v>345</v>
      </c>
      <c r="D141" t="s">
        <v>279</v>
      </c>
      <c r="E141" t="s">
        <v>192</v>
      </c>
      <c r="F141" t="s">
        <v>309</v>
      </c>
      <c r="G141" t="s">
        <v>1106</v>
      </c>
      <c r="H141" t="s">
        <v>844</v>
      </c>
      <c r="I141" t="s">
        <v>406</v>
      </c>
      <c r="J141">
        <v>2913</v>
      </c>
      <c r="K141">
        <v>2913</v>
      </c>
      <c r="L141" t="s">
        <v>1107</v>
      </c>
      <c r="M141" s="15">
        <v>46244.43917824074</v>
      </c>
      <c r="N141" s="15">
        <v>46251.438888888886</v>
      </c>
      <c r="O141" s="15">
        <v>46245.671527777777</v>
      </c>
      <c r="P141" s="15">
        <v>46251.602083333331</v>
      </c>
      <c r="Q141" s="15"/>
      <c r="S141" t="s">
        <v>354</v>
      </c>
      <c r="U141" t="s">
        <v>1510</v>
      </c>
      <c r="V141" t="s">
        <v>354</v>
      </c>
      <c r="W141">
        <v>50</v>
      </c>
      <c r="X141" t="s">
        <v>369</v>
      </c>
      <c r="Y141" t="s">
        <v>239</v>
      </c>
      <c r="Z141" t="s">
        <v>851</v>
      </c>
      <c r="AB141" t="s">
        <v>348</v>
      </c>
      <c r="AC141" t="s">
        <v>7</v>
      </c>
      <c r="AD141" t="s">
        <v>7</v>
      </c>
      <c r="AE141" t="s">
        <v>7</v>
      </c>
      <c r="AF141" t="s">
        <v>1579</v>
      </c>
      <c r="AG141" t="s">
        <v>250</v>
      </c>
      <c r="AH141">
        <v>2</v>
      </c>
      <c r="AI141" t="s">
        <v>250</v>
      </c>
      <c r="AJ141" t="s">
        <v>248</v>
      </c>
      <c r="AK141" t="s">
        <v>827</v>
      </c>
      <c r="AL141" t="s">
        <v>156</v>
      </c>
      <c r="AM141" t="s">
        <v>855</v>
      </c>
      <c r="AN141">
        <v>3</v>
      </c>
      <c r="AO141">
        <v>46245</v>
      </c>
      <c r="AP141">
        <v>0.67152777777777772</v>
      </c>
      <c r="AQ141">
        <v>46251</v>
      </c>
      <c r="AR141">
        <v>0.6020833333333333</v>
      </c>
      <c r="AS141" t="s">
        <v>1958</v>
      </c>
      <c r="AU141" t="s">
        <v>1955</v>
      </c>
      <c r="AV141" t="s">
        <v>856</v>
      </c>
      <c r="AW141">
        <v>1</v>
      </c>
      <c r="AX141">
        <v>2913</v>
      </c>
      <c r="AY141" t="s">
        <v>125</v>
      </c>
      <c r="AZ141" t="s">
        <v>122</v>
      </c>
      <c r="BA141" t="s">
        <v>232</v>
      </c>
      <c r="BB141" t="s">
        <v>858</v>
      </c>
    </row>
    <row r="142" spans="1:57" x14ac:dyDescent="0.3">
      <c r="A142" s="204">
        <v>46230</v>
      </c>
      <c r="B142" t="s">
        <v>142</v>
      </c>
      <c r="C142" t="s">
        <v>345</v>
      </c>
      <c r="D142" t="s">
        <v>279</v>
      </c>
      <c r="E142" t="s">
        <v>192</v>
      </c>
      <c r="F142" t="s">
        <v>309</v>
      </c>
      <c r="G142" t="s">
        <v>1106</v>
      </c>
      <c r="H142" t="s">
        <v>844</v>
      </c>
      <c r="I142" t="s">
        <v>406</v>
      </c>
      <c r="J142">
        <v>1562</v>
      </c>
      <c r="K142">
        <v>1562</v>
      </c>
      <c r="L142" t="s">
        <v>1107</v>
      </c>
      <c r="M142" s="15">
        <v>46244.43917824074</v>
      </c>
      <c r="N142" s="15">
        <v>46251.438888888886</v>
      </c>
      <c r="O142" s="15">
        <v>46245.671527777777</v>
      </c>
      <c r="P142" s="15">
        <v>46251.602083333331</v>
      </c>
      <c r="Q142" s="15"/>
      <c r="S142" t="s">
        <v>354</v>
      </c>
      <c r="U142" t="s">
        <v>1511</v>
      </c>
      <c r="V142" t="s">
        <v>354</v>
      </c>
      <c r="W142">
        <v>50</v>
      </c>
      <c r="X142" t="s">
        <v>369</v>
      </c>
      <c r="Y142" t="s">
        <v>239</v>
      </c>
      <c r="Z142" t="s">
        <v>851</v>
      </c>
      <c r="AB142" t="s">
        <v>348</v>
      </c>
      <c r="AC142" t="s">
        <v>7</v>
      </c>
      <c r="AD142" t="s">
        <v>7</v>
      </c>
      <c r="AE142" t="s">
        <v>7</v>
      </c>
      <c r="AF142" t="s">
        <v>1579</v>
      </c>
      <c r="AG142" t="s">
        <v>250</v>
      </c>
      <c r="AH142">
        <v>2</v>
      </c>
      <c r="AI142" t="s">
        <v>250</v>
      </c>
      <c r="AJ142" t="s">
        <v>248</v>
      </c>
      <c r="AK142" t="s">
        <v>827</v>
      </c>
      <c r="AL142" t="s">
        <v>156</v>
      </c>
      <c r="AM142" t="s">
        <v>855</v>
      </c>
      <c r="AN142">
        <v>3</v>
      </c>
      <c r="AO142">
        <v>46245</v>
      </c>
      <c r="AP142">
        <v>0.67152777777777772</v>
      </c>
      <c r="AQ142">
        <v>46251</v>
      </c>
      <c r="AR142">
        <v>0.6020833333333333</v>
      </c>
      <c r="AS142" t="s">
        <v>1958</v>
      </c>
      <c r="AU142" t="s">
        <v>1955</v>
      </c>
      <c r="AV142" t="s">
        <v>856</v>
      </c>
      <c r="AW142">
        <v>1</v>
      </c>
      <c r="AX142">
        <v>1562</v>
      </c>
      <c r="AY142" t="s">
        <v>125</v>
      </c>
      <c r="AZ142" t="s">
        <v>122</v>
      </c>
      <c r="BA142" t="s">
        <v>232</v>
      </c>
      <c r="BB142" t="s">
        <v>858</v>
      </c>
    </row>
    <row r="143" spans="1:57" x14ac:dyDescent="0.3">
      <c r="A143" s="204">
        <v>46230</v>
      </c>
      <c r="B143" t="s">
        <v>142</v>
      </c>
      <c r="C143" t="s">
        <v>345</v>
      </c>
      <c r="D143" t="s">
        <v>279</v>
      </c>
      <c r="E143" t="s">
        <v>192</v>
      </c>
      <c r="F143" t="s">
        <v>309</v>
      </c>
      <c r="G143" t="s">
        <v>1106</v>
      </c>
      <c r="H143" t="s">
        <v>844</v>
      </c>
      <c r="I143" t="s">
        <v>406</v>
      </c>
      <c r="J143">
        <v>1816</v>
      </c>
      <c r="K143">
        <v>1816</v>
      </c>
      <c r="L143" t="s">
        <v>1107</v>
      </c>
      <c r="M143" s="15">
        <v>46244.43917824074</v>
      </c>
      <c r="N143" s="15">
        <v>46251.438888888886</v>
      </c>
      <c r="O143" s="15">
        <v>46245.671527777777</v>
      </c>
      <c r="P143" s="15">
        <v>46251.602083333331</v>
      </c>
      <c r="Q143" s="15"/>
      <c r="S143" t="s">
        <v>354</v>
      </c>
      <c r="U143" t="s">
        <v>1512</v>
      </c>
      <c r="V143" t="s">
        <v>354</v>
      </c>
      <c r="W143">
        <v>50</v>
      </c>
      <c r="X143" t="s">
        <v>369</v>
      </c>
      <c r="Y143" t="s">
        <v>239</v>
      </c>
      <c r="Z143" t="s">
        <v>851</v>
      </c>
      <c r="AB143" t="s">
        <v>348</v>
      </c>
      <c r="AC143" t="s">
        <v>7</v>
      </c>
      <c r="AD143" t="s">
        <v>7</v>
      </c>
      <c r="AE143" t="s">
        <v>7</v>
      </c>
      <c r="AF143" t="s">
        <v>1579</v>
      </c>
      <c r="AG143" t="s">
        <v>250</v>
      </c>
      <c r="AH143">
        <v>2</v>
      </c>
      <c r="AI143" t="s">
        <v>250</v>
      </c>
      <c r="AJ143" t="s">
        <v>248</v>
      </c>
      <c r="AK143" t="s">
        <v>827</v>
      </c>
      <c r="AL143" t="s">
        <v>156</v>
      </c>
      <c r="AM143" t="s">
        <v>855</v>
      </c>
      <c r="AN143">
        <v>3</v>
      </c>
      <c r="AO143">
        <v>46245</v>
      </c>
      <c r="AP143">
        <v>0.67152777777777772</v>
      </c>
      <c r="AQ143">
        <v>46251</v>
      </c>
      <c r="AR143">
        <v>0.6020833333333333</v>
      </c>
      <c r="AS143" t="s">
        <v>1958</v>
      </c>
      <c r="AU143" t="s">
        <v>1955</v>
      </c>
      <c r="AV143" t="s">
        <v>856</v>
      </c>
      <c r="AW143">
        <v>1</v>
      </c>
      <c r="AX143">
        <v>1816</v>
      </c>
      <c r="AY143" t="s">
        <v>125</v>
      </c>
      <c r="AZ143" t="s">
        <v>122</v>
      </c>
      <c r="BA143" t="s">
        <v>232</v>
      </c>
      <c r="BB143" t="s">
        <v>858</v>
      </c>
    </row>
    <row r="144" spans="1:57" x14ac:dyDescent="0.3">
      <c r="A144" s="204">
        <v>46230</v>
      </c>
      <c r="B144" t="s">
        <v>142</v>
      </c>
      <c r="C144" t="s">
        <v>345</v>
      </c>
      <c r="D144" t="s">
        <v>279</v>
      </c>
      <c r="E144" t="s">
        <v>192</v>
      </c>
      <c r="F144" t="s">
        <v>309</v>
      </c>
      <c r="G144" t="s">
        <v>1106</v>
      </c>
      <c r="H144" t="s">
        <v>844</v>
      </c>
      <c r="I144" t="s">
        <v>406</v>
      </c>
      <c r="J144">
        <v>1842</v>
      </c>
      <c r="K144">
        <v>1842</v>
      </c>
      <c r="L144" t="s">
        <v>1107</v>
      </c>
      <c r="M144" s="15">
        <v>46244.43917824074</v>
      </c>
      <c r="N144" s="15">
        <v>46251.438888888886</v>
      </c>
      <c r="O144" s="15">
        <v>46245.671527777777</v>
      </c>
      <c r="P144" s="15">
        <v>46251.602083333331</v>
      </c>
      <c r="Q144" s="15"/>
      <c r="S144" t="s">
        <v>354</v>
      </c>
      <c r="U144" t="s">
        <v>1513</v>
      </c>
      <c r="V144" t="s">
        <v>354</v>
      </c>
      <c r="W144">
        <v>50</v>
      </c>
      <c r="X144" t="s">
        <v>369</v>
      </c>
      <c r="Y144" t="s">
        <v>239</v>
      </c>
      <c r="Z144" t="s">
        <v>851</v>
      </c>
      <c r="AB144" t="s">
        <v>348</v>
      </c>
      <c r="AC144" t="s">
        <v>7</v>
      </c>
      <c r="AD144" t="s">
        <v>7</v>
      </c>
      <c r="AE144" t="s">
        <v>7</v>
      </c>
      <c r="AF144" t="s">
        <v>1579</v>
      </c>
      <c r="AG144" t="s">
        <v>250</v>
      </c>
      <c r="AH144">
        <v>2</v>
      </c>
      <c r="AI144" t="s">
        <v>250</v>
      </c>
      <c r="AJ144" t="s">
        <v>248</v>
      </c>
      <c r="AK144" t="s">
        <v>827</v>
      </c>
      <c r="AL144" t="s">
        <v>156</v>
      </c>
      <c r="AM144" t="s">
        <v>855</v>
      </c>
      <c r="AN144">
        <v>3</v>
      </c>
      <c r="AO144">
        <v>46245</v>
      </c>
      <c r="AP144">
        <v>0.67152777777777772</v>
      </c>
      <c r="AQ144">
        <v>46251</v>
      </c>
      <c r="AR144">
        <v>0.6020833333333333</v>
      </c>
      <c r="AS144" t="s">
        <v>1958</v>
      </c>
      <c r="AU144" t="s">
        <v>1955</v>
      </c>
      <c r="AV144" t="s">
        <v>856</v>
      </c>
      <c r="AW144">
        <v>1</v>
      </c>
      <c r="AX144">
        <v>1842</v>
      </c>
      <c r="AY144" t="s">
        <v>125</v>
      </c>
      <c r="AZ144" t="s">
        <v>122</v>
      </c>
      <c r="BA144" t="s">
        <v>232</v>
      </c>
      <c r="BB144" t="s">
        <v>858</v>
      </c>
    </row>
    <row r="145" spans="1:57" x14ac:dyDescent="0.3">
      <c r="A145" s="204">
        <v>46230</v>
      </c>
      <c r="B145" t="s">
        <v>142</v>
      </c>
      <c r="C145" t="s">
        <v>345</v>
      </c>
      <c r="D145" t="s">
        <v>279</v>
      </c>
      <c r="E145" t="s">
        <v>192</v>
      </c>
      <c r="F145" t="s">
        <v>309</v>
      </c>
      <c r="G145" t="s">
        <v>1106</v>
      </c>
      <c r="H145" t="s">
        <v>844</v>
      </c>
      <c r="I145" t="s">
        <v>406</v>
      </c>
      <c r="J145">
        <v>2221</v>
      </c>
      <c r="K145">
        <v>2221</v>
      </c>
      <c r="L145" t="s">
        <v>1107</v>
      </c>
      <c r="M145" s="15">
        <v>46244.43917824074</v>
      </c>
      <c r="N145" s="15">
        <v>46251.438888888886</v>
      </c>
      <c r="O145" s="15">
        <v>46245.671527777777</v>
      </c>
      <c r="P145" s="15">
        <v>46251.602083333331</v>
      </c>
      <c r="Q145" s="15"/>
      <c r="S145" t="s">
        <v>354</v>
      </c>
      <c r="U145" t="s">
        <v>1514</v>
      </c>
      <c r="V145" t="s">
        <v>354</v>
      </c>
      <c r="W145">
        <v>50</v>
      </c>
      <c r="X145" t="s">
        <v>369</v>
      </c>
      <c r="Y145" t="s">
        <v>239</v>
      </c>
      <c r="Z145" t="s">
        <v>851</v>
      </c>
      <c r="AB145" t="s">
        <v>348</v>
      </c>
      <c r="AC145" t="s">
        <v>7</v>
      </c>
      <c r="AD145" t="s">
        <v>7</v>
      </c>
      <c r="AE145" t="s">
        <v>7</v>
      </c>
      <c r="AF145" t="s">
        <v>1579</v>
      </c>
      <c r="AG145" t="s">
        <v>250</v>
      </c>
      <c r="AH145">
        <v>2</v>
      </c>
      <c r="AI145" t="s">
        <v>250</v>
      </c>
      <c r="AJ145" t="s">
        <v>248</v>
      </c>
      <c r="AK145" t="s">
        <v>827</v>
      </c>
      <c r="AL145" t="s">
        <v>156</v>
      </c>
      <c r="AM145" t="s">
        <v>855</v>
      </c>
      <c r="AN145">
        <v>3</v>
      </c>
      <c r="AO145">
        <v>46245</v>
      </c>
      <c r="AP145">
        <v>0.67152777777777772</v>
      </c>
      <c r="AQ145">
        <v>46251</v>
      </c>
      <c r="AR145">
        <v>0.6020833333333333</v>
      </c>
      <c r="AS145" t="s">
        <v>1958</v>
      </c>
      <c r="AU145" t="s">
        <v>1955</v>
      </c>
      <c r="AV145" t="s">
        <v>856</v>
      </c>
      <c r="AW145">
        <v>1</v>
      </c>
      <c r="AX145">
        <v>2221</v>
      </c>
      <c r="AY145" t="s">
        <v>125</v>
      </c>
      <c r="AZ145" t="s">
        <v>122</v>
      </c>
      <c r="BA145" t="s">
        <v>232</v>
      </c>
      <c r="BB145" t="s">
        <v>858</v>
      </c>
    </row>
    <row r="146" spans="1:57" x14ac:dyDescent="0.3">
      <c r="A146" s="204">
        <v>46230</v>
      </c>
      <c r="B146" t="s">
        <v>142</v>
      </c>
      <c r="C146" t="s">
        <v>345</v>
      </c>
      <c r="D146" t="s">
        <v>279</v>
      </c>
      <c r="E146" t="s">
        <v>192</v>
      </c>
      <c r="F146" t="s">
        <v>309</v>
      </c>
      <c r="G146" t="s">
        <v>1106</v>
      </c>
      <c r="H146" t="s">
        <v>844</v>
      </c>
      <c r="I146" t="s">
        <v>406</v>
      </c>
      <c r="J146">
        <v>1702</v>
      </c>
      <c r="K146">
        <v>1702</v>
      </c>
      <c r="L146" t="s">
        <v>1107</v>
      </c>
      <c r="M146" s="15">
        <v>46244.43917824074</v>
      </c>
      <c r="N146" s="15">
        <v>46251.438888888886</v>
      </c>
      <c r="O146" s="15">
        <v>46245.671527777777</v>
      </c>
      <c r="P146" s="15">
        <v>46251.602083333331</v>
      </c>
      <c r="Q146" s="15"/>
      <c r="S146" t="s">
        <v>354</v>
      </c>
      <c r="U146" t="s">
        <v>1515</v>
      </c>
      <c r="V146" t="s">
        <v>354</v>
      </c>
      <c r="W146">
        <v>50</v>
      </c>
      <c r="X146" t="s">
        <v>369</v>
      </c>
      <c r="Y146" t="s">
        <v>239</v>
      </c>
      <c r="Z146" t="s">
        <v>851</v>
      </c>
      <c r="AB146" t="s">
        <v>348</v>
      </c>
      <c r="AC146" t="s">
        <v>7</v>
      </c>
      <c r="AD146" t="s">
        <v>7</v>
      </c>
      <c r="AE146" t="s">
        <v>7</v>
      </c>
      <c r="AF146" t="s">
        <v>1579</v>
      </c>
      <c r="AG146" t="s">
        <v>250</v>
      </c>
      <c r="AH146">
        <v>2</v>
      </c>
      <c r="AI146" t="s">
        <v>250</v>
      </c>
      <c r="AJ146" t="s">
        <v>248</v>
      </c>
      <c r="AK146" t="s">
        <v>827</v>
      </c>
      <c r="AL146" t="s">
        <v>156</v>
      </c>
      <c r="AM146" t="s">
        <v>855</v>
      </c>
      <c r="AN146">
        <v>3</v>
      </c>
      <c r="AO146">
        <v>46245</v>
      </c>
      <c r="AP146">
        <v>0.67152777777777772</v>
      </c>
      <c r="AQ146">
        <v>46251</v>
      </c>
      <c r="AR146">
        <v>0.6020833333333333</v>
      </c>
      <c r="AS146" t="s">
        <v>1958</v>
      </c>
      <c r="AU146" t="s">
        <v>1955</v>
      </c>
      <c r="AV146" t="s">
        <v>856</v>
      </c>
      <c r="AW146">
        <v>1</v>
      </c>
      <c r="AX146">
        <v>1702</v>
      </c>
      <c r="AY146" t="s">
        <v>125</v>
      </c>
      <c r="AZ146" t="s">
        <v>122</v>
      </c>
      <c r="BA146" t="s">
        <v>232</v>
      </c>
      <c r="BB146" t="s">
        <v>858</v>
      </c>
    </row>
    <row r="147" spans="1:57" x14ac:dyDescent="0.3">
      <c r="A147" s="204">
        <v>46230</v>
      </c>
      <c r="B147" t="s">
        <v>142</v>
      </c>
      <c r="C147" t="s">
        <v>345</v>
      </c>
      <c r="D147" t="s">
        <v>279</v>
      </c>
      <c r="E147" t="s">
        <v>192</v>
      </c>
      <c r="F147" t="s">
        <v>309</v>
      </c>
      <c r="G147" t="s">
        <v>1106</v>
      </c>
      <c r="H147" t="s">
        <v>844</v>
      </c>
      <c r="I147" t="s">
        <v>406</v>
      </c>
      <c r="J147">
        <v>1957</v>
      </c>
      <c r="K147">
        <v>1957</v>
      </c>
      <c r="L147" t="s">
        <v>1107</v>
      </c>
      <c r="M147" s="15">
        <v>46244.43917824074</v>
      </c>
      <c r="N147" s="15">
        <v>46251.438888888886</v>
      </c>
      <c r="O147" s="15">
        <v>46245.671527777777</v>
      </c>
      <c r="P147" s="15">
        <v>46251.602083333331</v>
      </c>
      <c r="Q147" s="15"/>
      <c r="S147" t="s">
        <v>354</v>
      </c>
      <c r="U147" t="s">
        <v>1516</v>
      </c>
      <c r="V147" t="s">
        <v>354</v>
      </c>
      <c r="W147">
        <v>50</v>
      </c>
      <c r="X147" t="s">
        <v>369</v>
      </c>
      <c r="Y147" t="s">
        <v>239</v>
      </c>
      <c r="Z147" t="s">
        <v>851</v>
      </c>
      <c r="AB147" t="s">
        <v>348</v>
      </c>
      <c r="AC147" t="s">
        <v>7</v>
      </c>
      <c r="AD147" t="s">
        <v>7</v>
      </c>
      <c r="AE147" t="s">
        <v>7</v>
      </c>
      <c r="AF147" t="s">
        <v>1579</v>
      </c>
      <c r="AG147" t="s">
        <v>250</v>
      </c>
      <c r="AH147">
        <v>2</v>
      </c>
      <c r="AI147" t="s">
        <v>250</v>
      </c>
      <c r="AJ147" t="s">
        <v>248</v>
      </c>
      <c r="AK147" t="s">
        <v>827</v>
      </c>
      <c r="AL147" t="s">
        <v>156</v>
      </c>
      <c r="AM147" t="s">
        <v>855</v>
      </c>
      <c r="AN147">
        <v>3</v>
      </c>
      <c r="AO147">
        <v>46245</v>
      </c>
      <c r="AP147">
        <v>0.67152777777777772</v>
      </c>
      <c r="AQ147">
        <v>46251</v>
      </c>
      <c r="AR147">
        <v>0.6020833333333333</v>
      </c>
      <c r="AS147" t="s">
        <v>1958</v>
      </c>
      <c r="AU147" t="s">
        <v>1955</v>
      </c>
      <c r="AV147" t="s">
        <v>856</v>
      </c>
      <c r="AW147">
        <v>1</v>
      </c>
      <c r="AX147">
        <v>1957</v>
      </c>
      <c r="AY147" t="s">
        <v>125</v>
      </c>
      <c r="AZ147" t="s">
        <v>122</v>
      </c>
      <c r="BA147" t="s">
        <v>232</v>
      </c>
      <c r="BB147" t="s">
        <v>858</v>
      </c>
    </row>
    <row r="148" spans="1:57" x14ac:dyDescent="0.3">
      <c r="A148" s="204">
        <v>46230</v>
      </c>
      <c r="B148" t="s">
        <v>142</v>
      </c>
      <c r="C148" t="s">
        <v>345</v>
      </c>
      <c r="D148" t="s">
        <v>279</v>
      </c>
      <c r="E148" t="s">
        <v>192</v>
      </c>
      <c r="F148" t="s">
        <v>309</v>
      </c>
      <c r="G148" t="s">
        <v>1108</v>
      </c>
      <c r="H148" t="s">
        <v>840</v>
      </c>
      <c r="I148" t="s">
        <v>399</v>
      </c>
      <c r="J148">
        <v>580</v>
      </c>
      <c r="K148">
        <v>580</v>
      </c>
      <c r="L148" t="s">
        <v>1109</v>
      </c>
      <c r="M148" s="15">
        <v>46244.468541666669</v>
      </c>
      <c r="N148" s="15">
        <v>46251.468055555553</v>
      </c>
      <c r="O148" s="15">
        <v>46244.694444444445</v>
      </c>
      <c r="P148" s="15">
        <v>46248.702777777777</v>
      </c>
      <c r="Q148" s="15"/>
      <c r="S148" t="s">
        <v>354</v>
      </c>
      <c r="U148" t="s">
        <v>1517</v>
      </c>
      <c r="V148" t="s">
        <v>354</v>
      </c>
      <c r="W148">
        <v>50</v>
      </c>
      <c r="X148" t="s">
        <v>369</v>
      </c>
      <c r="Y148" t="s">
        <v>239</v>
      </c>
      <c r="Z148" t="s">
        <v>851</v>
      </c>
      <c r="AB148" t="s">
        <v>348</v>
      </c>
      <c r="AC148" t="s">
        <v>7</v>
      </c>
      <c r="AD148" t="s">
        <v>7</v>
      </c>
      <c r="AE148" t="s">
        <v>7</v>
      </c>
      <c r="AF148" t="s">
        <v>1580</v>
      </c>
      <c r="AG148" t="s">
        <v>249</v>
      </c>
      <c r="AH148">
        <v>2</v>
      </c>
      <c r="AI148" t="s">
        <v>250</v>
      </c>
      <c r="AJ148" t="s">
        <v>248</v>
      </c>
      <c r="AK148" t="s">
        <v>827</v>
      </c>
      <c r="AL148" t="s">
        <v>156</v>
      </c>
      <c r="AM148" t="s">
        <v>855</v>
      </c>
      <c r="AN148">
        <v>3</v>
      </c>
      <c r="AO148">
        <v>46244</v>
      </c>
      <c r="AP148">
        <v>0.69444444444444442</v>
      </c>
      <c r="AQ148">
        <v>46248</v>
      </c>
      <c r="AR148">
        <v>0.70277777777777772</v>
      </c>
      <c r="AS148" t="s">
        <v>201</v>
      </c>
      <c r="AT148" t="s">
        <v>1956</v>
      </c>
      <c r="AU148" t="s">
        <v>1955</v>
      </c>
      <c r="AV148" t="s">
        <v>856</v>
      </c>
      <c r="AW148">
        <v>1</v>
      </c>
      <c r="AX148">
        <v>580</v>
      </c>
      <c r="AY148" t="s">
        <v>125</v>
      </c>
      <c r="AZ148" t="s">
        <v>122</v>
      </c>
      <c r="BA148" t="s">
        <v>232</v>
      </c>
      <c r="BB148" t="s">
        <v>858</v>
      </c>
      <c r="BE148">
        <v>58</v>
      </c>
    </row>
    <row r="149" spans="1:57" x14ac:dyDescent="0.3">
      <c r="A149" s="204">
        <v>46237</v>
      </c>
      <c r="B149" t="s">
        <v>142</v>
      </c>
      <c r="C149" t="s">
        <v>345</v>
      </c>
      <c r="D149" t="s">
        <v>279</v>
      </c>
      <c r="E149" t="s">
        <v>192</v>
      </c>
      <c r="F149" t="s">
        <v>309</v>
      </c>
      <c r="G149" t="s">
        <v>1110</v>
      </c>
      <c r="H149" t="s">
        <v>840</v>
      </c>
      <c r="I149" t="s">
        <v>399</v>
      </c>
      <c r="J149">
        <v>156</v>
      </c>
      <c r="K149">
        <v>156</v>
      </c>
      <c r="L149" t="s">
        <v>1111</v>
      </c>
      <c r="M149" s="15">
        <v>46244.466851851852</v>
      </c>
      <c r="N149" s="15">
        <v>46251.466666666667</v>
      </c>
      <c r="O149" s="15">
        <v>46247.593055555553</v>
      </c>
      <c r="P149" s="15">
        <v>46252.873611111114</v>
      </c>
      <c r="Q149" s="15"/>
      <c r="S149" t="s">
        <v>354</v>
      </c>
      <c r="V149" t="s">
        <v>354</v>
      </c>
      <c r="W149">
        <v>50</v>
      </c>
      <c r="X149" t="s">
        <v>369</v>
      </c>
      <c r="Y149" t="s">
        <v>239</v>
      </c>
      <c r="Z149" t="s">
        <v>851</v>
      </c>
      <c r="AB149" t="s">
        <v>348</v>
      </c>
      <c r="AC149" t="s">
        <v>7</v>
      </c>
      <c r="AD149" t="s">
        <v>7</v>
      </c>
      <c r="AE149" t="s">
        <v>7</v>
      </c>
      <c r="AF149" t="s">
        <v>1581</v>
      </c>
      <c r="AG149" t="s">
        <v>249</v>
      </c>
      <c r="AH149">
        <v>2</v>
      </c>
      <c r="AI149" t="s">
        <v>250</v>
      </c>
      <c r="AJ149" t="s">
        <v>248</v>
      </c>
      <c r="AK149" t="s">
        <v>827</v>
      </c>
      <c r="AL149" t="s">
        <v>156</v>
      </c>
      <c r="AM149" t="s">
        <v>855</v>
      </c>
      <c r="AN149">
        <v>3</v>
      </c>
      <c r="AO149">
        <v>46247</v>
      </c>
      <c r="AP149">
        <v>0.59305555555555556</v>
      </c>
      <c r="AQ149">
        <v>46252</v>
      </c>
      <c r="AR149">
        <v>0.87361111111111112</v>
      </c>
      <c r="AS149" t="s">
        <v>201</v>
      </c>
      <c r="AT149" t="s">
        <v>1956</v>
      </c>
      <c r="AU149" t="s">
        <v>1955</v>
      </c>
      <c r="AV149" t="s">
        <v>856</v>
      </c>
      <c r="AW149">
        <v>1</v>
      </c>
      <c r="AX149">
        <v>156</v>
      </c>
      <c r="AY149" t="s">
        <v>125</v>
      </c>
      <c r="AZ149" t="s">
        <v>122</v>
      </c>
      <c r="BA149" t="s">
        <v>232</v>
      </c>
      <c r="BB149" t="s">
        <v>858</v>
      </c>
      <c r="BE149">
        <v>15.6</v>
      </c>
    </row>
    <row r="150" spans="1:57" x14ac:dyDescent="0.3">
      <c r="A150" s="204">
        <v>46237</v>
      </c>
      <c r="B150" t="s">
        <v>142</v>
      </c>
      <c r="C150" t="s">
        <v>345</v>
      </c>
      <c r="D150" t="s">
        <v>279</v>
      </c>
      <c r="E150" t="s">
        <v>192</v>
      </c>
      <c r="F150" t="s">
        <v>309</v>
      </c>
      <c r="G150" t="s">
        <v>1112</v>
      </c>
      <c r="H150" t="s">
        <v>834</v>
      </c>
      <c r="I150" t="s">
        <v>742</v>
      </c>
      <c r="J150">
        <v>741</v>
      </c>
      <c r="K150">
        <v>741</v>
      </c>
      <c r="L150" t="s">
        <v>1113</v>
      </c>
      <c r="M150" s="15">
        <v>46241.40283564815</v>
      </c>
      <c r="N150" s="15">
        <v>46248.402777777781</v>
      </c>
      <c r="O150" s="15">
        <v>46241.429861111108</v>
      </c>
      <c r="P150" s="15">
        <v>46246.593055555553</v>
      </c>
      <c r="Q150" s="15"/>
      <c r="S150" t="s">
        <v>356</v>
      </c>
      <c r="V150" t="s">
        <v>356</v>
      </c>
      <c r="W150">
        <v>109</v>
      </c>
      <c r="X150" t="s">
        <v>369</v>
      </c>
      <c r="Y150" t="s">
        <v>239</v>
      </c>
      <c r="Z150" t="s">
        <v>851</v>
      </c>
      <c r="AB150" t="s">
        <v>348</v>
      </c>
      <c r="AC150" t="s">
        <v>7</v>
      </c>
      <c r="AD150" t="s">
        <v>7</v>
      </c>
      <c r="AE150" t="s">
        <v>7</v>
      </c>
      <c r="AF150" t="s">
        <v>1582</v>
      </c>
      <c r="AG150" t="s">
        <v>249</v>
      </c>
      <c r="AH150">
        <v>2</v>
      </c>
      <c r="AI150" t="s">
        <v>250</v>
      </c>
      <c r="AJ150" t="s">
        <v>248</v>
      </c>
      <c r="AK150" t="s">
        <v>827</v>
      </c>
      <c r="AL150" t="s">
        <v>156</v>
      </c>
      <c r="AM150" t="s">
        <v>855</v>
      </c>
      <c r="AN150">
        <v>3</v>
      </c>
      <c r="AO150">
        <v>46241</v>
      </c>
      <c r="AP150">
        <v>0.42986111111111114</v>
      </c>
      <c r="AQ150">
        <v>46246</v>
      </c>
      <c r="AR150">
        <v>0.59305555555555556</v>
      </c>
      <c r="AS150" t="s">
        <v>201</v>
      </c>
      <c r="AT150" t="s">
        <v>1956</v>
      </c>
      <c r="AU150" t="s">
        <v>1955</v>
      </c>
      <c r="AV150" t="s">
        <v>856</v>
      </c>
      <c r="AW150">
        <v>1</v>
      </c>
      <c r="AX150">
        <v>741</v>
      </c>
      <c r="AY150" t="s">
        <v>125</v>
      </c>
      <c r="AZ150" t="s">
        <v>122</v>
      </c>
      <c r="BA150" t="s">
        <v>232</v>
      </c>
      <c r="BB150" t="s">
        <v>854</v>
      </c>
      <c r="BE150">
        <v>74.099999999999994</v>
      </c>
    </row>
    <row r="151" spans="1:57" x14ac:dyDescent="0.3">
      <c r="A151" s="204">
        <v>46235</v>
      </c>
      <c r="B151" t="s">
        <v>142</v>
      </c>
      <c r="C151" t="s">
        <v>345</v>
      </c>
      <c r="D151" t="s">
        <v>279</v>
      </c>
      <c r="E151" t="s">
        <v>192</v>
      </c>
      <c r="F151" t="s">
        <v>309</v>
      </c>
      <c r="G151" t="s">
        <v>1114</v>
      </c>
      <c r="H151" t="s">
        <v>860</v>
      </c>
      <c r="I151" t="s">
        <v>419</v>
      </c>
      <c r="J151" s="14">
        <v>641</v>
      </c>
      <c r="K151" s="14">
        <v>641</v>
      </c>
      <c r="L151" t="s">
        <v>1115</v>
      </c>
      <c r="M151" s="15">
        <v>46202.512337962966</v>
      </c>
      <c r="N151" s="15">
        <v>46209.5</v>
      </c>
      <c r="O151" s="15">
        <v>46241.424259259256</v>
      </c>
      <c r="P151" s="15">
        <v>46248.483460648145</v>
      </c>
      <c r="Q151" s="15"/>
      <c r="S151" t="s">
        <v>356</v>
      </c>
      <c r="T151" t="s">
        <v>1521</v>
      </c>
      <c r="U151" t="s">
        <v>1522</v>
      </c>
      <c r="V151" t="s">
        <v>356</v>
      </c>
      <c r="W151">
        <v>109</v>
      </c>
      <c r="X151" t="s">
        <v>369</v>
      </c>
      <c r="Y151" t="s">
        <v>239</v>
      </c>
      <c r="Z151" t="s">
        <v>851</v>
      </c>
      <c r="AB151" t="s">
        <v>348</v>
      </c>
      <c r="AC151" t="s">
        <v>7</v>
      </c>
      <c r="AD151" t="s">
        <v>7</v>
      </c>
      <c r="AE151" t="s">
        <v>7</v>
      </c>
      <c r="AF151" t="s">
        <v>1583</v>
      </c>
      <c r="AG151" t="s">
        <v>249</v>
      </c>
      <c r="AH151">
        <v>2</v>
      </c>
      <c r="AI151" t="s">
        <v>250</v>
      </c>
      <c r="AJ151" t="s">
        <v>248</v>
      </c>
      <c r="AK151" t="s">
        <v>827</v>
      </c>
      <c r="AL151" t="s">
        <v>156</v>
      </c>
      <c r="AM151" t="s">
        <v>855</v>
      </c>
      <c r="AN151">
        <v>3</v>
      </c>
      <c r="AO151">
        <v>46241</v>
      </c>
      <c r="AP151">
        <v>0.42425925925925928</v>
      </c>
      <c r="AQ151">
        <v>46248</v>
      </c>
      <c r="AR151">
        <v>0.48346064814814815</v>
      </c>
      <c r="AS151" t="s">
        <v>201</v>
      </c>
      <c r="AT151" t="s">
        <v>1956</v>
      </c>
      <c r="AU151" t="s">
        <v>1955</v>
      </c>
      <c r="AV151" t="s">
        <v>856</v>
      </c>
      <c r="AW151">
        <v>1</v>
      </c>
      <c r="AX151">
        <v>641</v>
      </c>
      <c r="AY151" t="s">
        <v>125</v>
      </c>
      <c r="AZ151" t="s">
        <v>122</v>
      </c>
      <c r="BA151" t="s">
        <v>232</v>
      </c>
      <c r="BB151" t="s">
        <v>854</v>
      </c>
      <c r="BE151">
        <v>64.099999999999994</v>
      </c>
    </row>
    <row r="152" spans="1:57" x14ac:dyDescent="0.3">
      <c r="A152" s="204">
        <v>46235</v>
      </c>
      <c r="B152" t="s">
        <v>142</v>
      </c>
      <c r="C152" t="s">
        <v>345</v>
      </c>
      <c r="D152" t="s">
        <v>279</v>
      </c>
      <c r="E152" t="s">
        <v>192</v>
      </c>
      <c r="F152" t="s">
        <v>309</v>
      </c>
      <c r="G152" t="s">
        <v>1116</v>
      </c>
      <c r="H152" t="s">
        <v>1524</v>
      </c>
      <c r="I152" t="s">
        <v>1117</v>
      </c>
      <c r="J152">
        <v>3027</v>
      </c>
      <c r="K152">
        <v>3027</v>
      </c>
      <c r="L152" t="s">
        <v>1118</v>
      </c>
      <c r="M152" s="15">
        <v>46230.40084490741</v>
      </c>
      <c r="N152" s="15">
        <v>46237.400694444441</v>
      </c>
      <c r="O152" s="15">
        <v>46233.454386574071</v>
      </c>
      <c r="P152" s="15">
        <v>46238.481249999997</v>
      </c>
      <c r="Q152" s="15"/>
      <c r="S152" t="s">
        <v>356</v>
      </c>
      <c r="U152" t="s">
        <v>1529</v>
      </c>
      <c r="V152" t="s">
        <v>356</v>
      </c>
      <c r="W152">
        <v>109</v>
      </c>
      <c r="X152" t="s">
        <v>369</v>
      </c>
      <c r="Y152" t="s">
        <v>239</v>
      </c>
      <c r="Z152" t="s">
        <v>851</v>
      </c>
      <c r="AB152" t="s">
        <v>348</v>
      </c>
      <c r="AC152" t="s">
        <v>7</v>
      </c>
      <c r="AD152" t="s">
        <v>7</v>
      </c>
      <c r="AE152" t="s">
        <v>7</v>
      </c>
      <c r="AF152" t="s">
        <v>1584</v>
      </c>
      <c r="AG152" t="s">
        <v>249</v>
      </c>
      <c r="AH152">
        <v>2</v>
      </c>
      <c r="AI152" t="s">
        <v>250</v>
      </c>
      <c r="AJ152" t="s">
        <v>248</v>
      </c>
      <c r="AK152" t="s">
        <v>827</v>
      </c>
      <c r="AL152" t="s">
        <v>156</v>
      </c>
      <c r="AM152" t="s">
        <v>855</v>
      </c>
      <c r="AN152">
        <v>3</v>
      </c>
      <c r="AO152">
        <v>46233</v>
      </c>
      <c r="AP152">
        <v>0.45438657407407407</v>
      </c>
      <c r="AQ152">
        <v>46238</v>
      </c>
      <c r="AR152">
        <v>0.48125000000000001</v>
      </c>
      <c r="AS152" t="s">
        <v>201</v>
      </c>
      <c r="AT152" t="s">
        <v>1956</v>
      </c>
      <c r="AU152" t="s">
        <v>1955</v>
      </c>
      <c r="AV152" t="s">
        <v>856</v>
      </c>
      <c r="AW152">
        <v>1</v>
      </c>
      <c r="AX152">
        <v>3027</v>
      </c>
      <c r="AY152" t="s">
        <v>125</v>
      </c>
      <c r="AZ152" t="s">
        <v>122</v>
      </c>
      <c r="BA152" t="s">
        <v>232</v>
      </c>
      <c r="BB152" t="s">
        <v>854</v>
      </c>
      <c r="BE152">
        <v>1580.5</v>
      </c>
    </row>
    <row r="153" spans="1:57" x14ac:dyDescent="0.3">
      <c r="A153" s="204">
        <v>46235</v>
      </c>
      <c r="B153" t="s">
        <v>142</v>
      </c>
      <c r="C153" t="s">
        <v>345</v>
      </c>
      <c r="D153" t="s">
        <v>279</v>
      </c>
      <c r="E153" t="s">
        <v>192</v>
      </c>
      <c r="F153" t="s">
        <v>309</v>
      </c>
      <c r="G153" t="s">
        <v>1116</v>
      </c>
      <c r="H153" t="s">
        <v>1524</v>
      </c>
      <c r="I153" t="s">
        <v>1117</v>
      </c>
      <c r="J153">
        <v>687</v>
      </c>
      <c r="K153">
        <v>687</v>
      </c>
      <c r="L153" t="s">
        <v>1118</v>
      </c>
      <c r="M153" s="15">
        <v>46230.40084490741</v>
      </c>
      <c r="N153" s="15">
        <v>46237.400694444441</v>
      </c>
      <c r="O153" s="15">
        <v>46233.454386574071</v>
      </c>
      <c r="P153" s="15">
        <v>46238.481249999997</v>
      </c>
      <c r="Q153" s="15"/>
      <c r="S153" t="s">
        <v>356</v>
      </c>
      <c r="U153" t="s">
        <v>1525</v>
      </c>
      <c r="V153" t="s">
        <v>356</v>
      </c>
      <c r="W153">
        <v>109</v>
      </c>
      <c r="X153" t="s">
        <v>369</v>
      </c>
      <c r="Y153" t="s">
        <v>239</v>
      </c>
      <c r="Z153" t="s">
        <v>851</v>
      </c>
      <c r="AB153" t="s">
        <v>348</v>
      </c>
      <c r="AC153" t="s">
        <v>7</v>
      </c>
      <c r="AD153" t="s">
        <v>7</v>
      </c>
      <c r="AE153" t="s">
        <v>7</v>
      </c>
      <c r="AF153" t="s">
        <v>1584</v>
      </c>
      <c r="AG153" t="s">
        <v>250</v>
      </c>
      <c r="AH153">
        <v>2</v>
      </c>
      <c r="AI153" t="s">
        <v>250</v>
      </c>
      <c r="AJ153" t="s">
        <v>248</v>
      </c>
      <c r="AK153" t="s">
        <v>827</v>
      </c>
      <c r="AL153" t="s">
        <v>156</v>
      </c>
      <c r="AM153" t="s">
        <v>855</v>
      </c>
      <c r="AN153">
        <v>3</v>
      </c>
      <c r="AO153">
        <v>46233</v>
      </c>
      <c r="AP153">
        <v>0.45438657407407407</v>
      </c>
      <c r="AQ153">
        <v>46238</v>
      </c>
      <c r="AR153">
        <v>0.48125000000000001</v>
      </c>
      <c r="AS153" t="s">
        <v>1958</v>
      </c>
      <c r="AU153" t="s">
        <v>1955</v>
      </c>
      <c r="AV153" t="s">
        <v>856</v>
      </c>
      <c r="AW153">
        <v>1</v>
      </c>
      <c r="AX153">
        <v>687</v>
      </c>
      <c r="AY153" t="s">
        <v>125</v>
      </c>
      <c r="AZ153" t="s">
        <v>122</v>
      </c>
      <c r="BA153" t="s">
        <v>232</v>
      </c>
      <c r="BB153" t="s">
        <v>854</v>
      </c>
    </row>
    <row r="154" spans="1:57" x14ac:dyDescent="0.3">
      <c r="A154" s="204">
        <v>46235</v>
      </c>
      <c r="B154" t="s">
        <v>142</v>
      </c>
      <c r="C154" t="s">
        <v>345</v>
      </c>
      <c r="D154" t="s">
        <v>279</v>
      </c>
      <c r="E154" t="s">
        <v>192</v>
      </c>
      <c r="F154" t="s">
        <v>309</v>
      </c>
      <c r="G154" t="s">
        <v>1116</v>
      </c>
      <c r="H154" t="s">
        <v>1524</v>
      </c>
      <c r="I154" t="s">
        <v>1117</v>
      </c>
      <c r="J154">
        <v>1378</v>
      </c>
      <c r="K154">
        <v>1378</v>
      </c>
      <c r="L154" t="s">
        <v>1118</v>
      </c>
      <c r="M154" s="15">
        <v>46230.40084490741</v>
      </c>
      <c r="N154" s="15">
        <v>46237.400694444441</v>
      </c>
      <c r="O154" s="15">
        <v>46233.454386574071</v>
      </c>
      <c r="P154" s="15">
        <v>46238.481249999997</v>
      </c>
      <c r="Q154" s="15"/>
      <c r="S154" t="s">
        <v>356</v>
      </c>
      <c r="U154" t="s">
        <v>1527</v>
      </c>
      <c r="V154" t="s">
        <v>356</v>
      </c>
      <c r="W154">
        <v>109</v>
      </c>
      <c r="X154" t="s">
        <v>369</v>
      </c>
      <c r="Y154" t="s">
        <v>239</v>
      </c>
      <c r="Z154" t="s">
        <v>851</v>
      </c>
      <c r="AB154" t="s">
        <v>348</v>
      </c>
      <c r="AC154" t="s">
        <v>7</v>
      </c>
      <c r="AD154" t="s">
        <v>7</v>
      </c>
      <c r="AE154" t="s">
        <v>7</v>
      </c>
      <c r="AF154" t="s">
        <v>1584</v>
      </c>
      <c r="AG154" t="s">
        <v>250</v>
      </c>
      <c r="AH154">
        <v>2</v>
      </c>
      <c r="AI154" t="s">
        <v>250</v>
      </c>
      <c r="AJ154" t="s">
        <v>248</v>
      </c>
      <c r="AK154" t="s">
        <v>827</v>
      </c>
      <c r="AL154" t="s">
        <v>156</v>
      </c>
      <c r="AM154" t="s">
        <v>855</v>
      </c>
      <c r="AN154">
        <v>3</v>
      </c>
      <c r="AO154">
        <v>46233</v>
      </c>
      <c r="AP154">
        <v>0.45438657407407407</v>
      </c>
      <c r="AQ154">
        <v>46238</v>
      </c>
      <c r="AR154">
        <v>0.48125000000000001</v>
      </c>
      <c r="AS154" t="s">
        <v>1958</v>
      </c>
      <c r="AU154" t="s">
        <v>1955</v>
      </c>
      <c r="AV154" t="s">
        <v>856</v>
      </c>
      <c r="AW154">
        <v>1</v>
      </c>
      <c r="AX154">
        <v>1378</v>
      </c>
      <c r="AY154" t="s">
        <v>125</v>
      </c>
      <c r="AZ154" t="s">
        <v>122</v>
      </c>
      <c r="BA154" t="s">
        <v>232</v>
      </c>
      <c r="BB154" t="s">
        <v>854</v>
      </c>
    </row>
    <row r="155" spans="1:57" x14ac:dyDescent="0.3">
      <c r="A155" s="204">
        <v>46235</v>
      </c>
      <c r="B155" t="s">
        <v>142</v>
      </c>
      <c r="C155" t="s">
        <v>345</v>
      </c>
      <c r="D155" t="s">
        <v>279</v>
      </c>
      <c r="E155" t="s">
        <v>192</v>
      </c>
      <c r="F155" t="s">
        <v>309</v>
      </c>
      <c r="G155" t="s">
        <v>1116</v>
      </c>
      <c r="H155" t="s">
        <v>1524</v>
      </c>
      <c r="I155" t="s">
        <v>1117</v>
      </c>
      <c r="J155">
        <v>1789</v>
      </c>
      <c r="K155">
        <v>1789</v>
      </c>
      <c r="L155" t="s">
        <v>1118</v>
      </c>
      <c r="M155" s="15">
        <v>46230.40084490741</v>
      </c>
      <c r="N155" s="15">
        <v>46237.400694444441</v>
      </c>
      <c r="O155" s="15">
        <v>46233.454386574071</v>
      </c>
      <c r="P155" s="15">
        <v>46238.481249999997</v>
      </c>
      <c r="Q155" s="15"/>
      <c r="S155" t="s">
        <v>356</v>
      </c>
      <c r="U155" t="s">
        <v>1528</v>
      </c>
      <c r="V155" t="s">
        <v>356</v>
      </c>
      <c r="W155">
        <v>109</v>
      </c>
      <c r="X155" t="s">
        <v>369</v>
      </c>
      <c r="Y155" t="s">
        <v>239</v>
      </c>
      <c r="Z155" t="s">
        <v>851</v>
      </c>
      <c r="AB155" t="s">
        <v>348</v>
      </c>
      <c r="AC155" t="s">
        <v>7</v>
      </c>
      <c r="AD155" t="s">
        <v>7</v>
      </c>
      <c r="AE155" t="s">
        <v>7</v>
      </c>
      <c r="AF155" t="s">
        <v>1584</v>
      </c>
      <c r="AG155" t="s">
        <v>250</v>
      </c>
      <c r="AH155">
        <v>2</v>
      </c>
      <c r="AI155" t="s">
        <v>250</v>
      </c>
      <c r="AJ155" t="s">
        <v>248</v>
      </c>
      <c r="AK155" t="s">
        <v>827</v>
      </c>
      <c r="AL155" t="s">
        <v>156</v>
      </c>
      <c r="AM155" t="s">
        <v>855</v>
      </c>
      <c r="AN155">
        <v>3</v>
      </c>
      <c r="AO155">
        <v>46233</v>
      </c>
      <c r="AP155">
        <v>0.45438657407407407</v>
      </c>
      <c r="AQ155">
        <v>46238</v>
      </c>
      <c r="AR155">
        <v>0.48125000000000001</v>
      </c>
      <c r="AS155" t="s">
        <v>1958</v>
      </c>
      <c r="AU155" t="s">
        <v>1955</v>
      </c>
      <c r="AV155" t="s">
        <v>856</v>
      </c>
      <c r="AW155">
        <v>1</v>
      </c>
      <c r="AX155">
        <v>1789</v>
      </c>
      <c r="AY155" t="s">
        <v>125</v>
      </c>
      <c r="AZ155" t="s">
        <v>122</v>
      </c>
      <c r="BA155" t="s">
        <v>232</v>
      </c>
      <c r="BB155" t="s">
        <v>854</v>
      </c>
    </row>
    <row r="156" spans="1:57" x14ac:dyDescent="0.3">
      <c r="A156" s="204">
        <v>46235</v>
      </c>
      <c r="B156" t="s">
        <v>142</v>
      </c>
      <c r="C156" t="s">
        <v>345</v>
      </c>
      <c r="D156" t="s">
        <v>279</v>
      </c>
      <c r="E156" t="s">
        <v>192</v>
      </c>
      <c r="F156" t="s">
        <v>309</v>
      </c>
      <c r="G156" t="s">
        <v>1116</v>
      </c>
      <c r="H156" t="s">
        <v>1524</v>
      </c>
      <c r="I156" t="s">
        <v>1117</v>
      </c>
      <c r="J156">
        <v>1710</v>
      </c>
      <c r="K156">
        <v>1710</v>
      </c>
      <c r="L156" t="s">
        <v>1118</v>
      </c>
      <c r="M156" s="15">
        <v>46230.40084490741</v>
      </c>
      <c r="N156" s="15">
        <v>46237.400694444441</v>
      </c>
      <c r="O156" s="15">
        <v>46233.454386574071</v>
      </c>
      <c r="P156" s="15">
        <v>46238.481249999997</v>
      </c>
      <c r="Q156" s="15"/>
      <c r="S156" t="s">
        <v>356</v>
      </c>
      <c r="U156" t="s">
        <v>1530</v>
      </c>
      <c r="V156" t="s">
        <v>356</v>
      </c>
      <c r="W156">
        <v>109</v>
      </c>
      <c r="X156" t="s">
        <v>369</v>
      </c>
      <c r="Y156" t="s">
        <v>239</v>
      </c>
      <c r="Z156" t="s">
        <v>851</v>
      </c>
      <c r="AB156" t="s">
        <v>348</v>
      </c>
      <c r="AC156" t="s">
        <v>7</v>
      </c>
      <c r="AD156" t="s">
        <v>7</v>
      </c>
      <c r="AE156" t="s">
        <v>7</v>
      </c>
      <c r="AF156" t="s">
        <v>1584</v>
      </c>
      <c r="AG156" t="s">
        <v>250</v>
      </c>
      <c r="AH156">
        <v>2</v>
      </c>
      <c r="AI156" t="s">
        <v>250</v>
      </c>
      <c r="AJ156" t="s">
        <v>248</v>
      </c>
      <c r="AK156" t="s">
        <v>827</v>
      </c>
      <c r="AL156" t="s">
        <v>156</v>
      </c>
      <c r="AM156" t="s">
        <v>855</v>
      </c>
      <c r="AN156">
        <v>3</v>
      </c>
      <c r="AO156">
        <v>46233</v>
      </c>
      <c r="AP156">
        <v>0.45438657407407407</v>
      </c>
      <c r="AQ156">
        <v>46238</v>
      </c>
      <c r="AR156">
        <v>0.48125000000000001</v>
      </c>
      <c r="AS156" t="s">
        <v>1958</v>
      </c>
      <c r="AU156" t="s">
        <v>1955</v>
      </c>
      <c r="AV156" t="s">
        <v>856</v>
      </c>
      <c r="AW156">
        <v>1</v>
      </c>
      <c r="AX156">
        <v>1710</v>
      </c>
      <c r="AY156" t="s">
        <v>125</v>
      </c>
      <c r="AZ156" t="s">
        <v>122</v>
      </c>
      <c r="BA156" t="s">
        <v>232</v>
      </c>
      <c r="BB156" t="s">
        <v>854</v>
      </c>
    </row>
    <row r="157" spans="1:57" x14ac:dyDescent="0.3">
      <c r="A157" s="204">
        <v>46235</v>
      </c>
      <c r="B157" t="s">
        <v>142</v>
      </c>
      <c r="C157" t="s">
        <v>345</v>
      </c>
      <c r="D157" t="s">
        <v>279</v>
      </c>
      <c r="E157" t="s">
        <v>192</v>
      </c>
      <c r="F157" t="s">
        <v>309</v>
      </c>
      <c r="G157" t="s">
        <v>1116</v>
      </c>
      <c r="H157" t="s">
        <v>1524</v>
      </c>
      <c r="I157" t="s">
        <v>1117</v>
      </c>
      <c r="J157">
        <v>1421</v>
      </c>
      <c r="K157">
        <v>1421</v>
      </c>
      <c r="L157" t="s">
        <v>1118</v>
      </c>
      <c r="M157" s="15">
        <v>46230.40084490741</v>
      </c>
      <c r="N157" s="15">
        <v>46237.400694444441</v>
      </c>
      <c r="O157" s="15">
        <v>46233.454386574071</v>
      </c>
      <c r="P157" s="15">
        <v>46238.481249999997</v>
      </c>
      <c r="Q157" s="15"/>
      <c r="S157" t="s">
        <v>356</v>
      </c>
      <c r="U157" t="s">
        <v>1531</v>
      </c>
      <c r="V157" t="s">
        <v>356</v>
      </c>
      <c r="W157">
        <v>109</v>
      </c>
      <c r="X157" t="s">
        <v>369</v>
      </c>
      <c r="Y157" t="s">
        <v>239</v>
      </c>
      <c r="Z157" t="s">
        <v>851</v>
      </c>
      <c r="AB157" t="s">
        <v>348</v>
      </c>
      <c r="AC157" t="s">
        <v>7</v>
      </c>
      <c r="AD157" t="s">
        <v>7</v>
      </c>
      <c r="AE157" t="s">
        <v>7</v>
      </c>
      <c r="AF157" t="s">
        <v>1584</v>
      </c>
      <c r="AG157" t="s">
        <v>250</v>
      </c>
      <c r="AH157">
        <v>2</v>
      </c>
      <c r="AI157" t="s">
        <v>250</v>
      </c>
      <c r="AJ157" t="s">
        <v>248</v>
      </c>
      <c r="AK157" t="s">
        <v>827</v>
      </c>
      <c r="AL157" t="s">
        <v>156</v>
      </c>
      <c r="AM157" t="s">
        <v>855</v>
      </c>
      <c r="AN157">
        <v>3</v>
      </c>
      <c r="AO157">
        <v>46233</v>
      </c>
      <c r="AP157">
        <v>0.45438657407407407</v>
      </c>
      <c r="AQ157">
        <v>46238</v>
      </c>
      <c r="AR157">
        <v>0.48125000000000001</v>
      </c>
      <c r="AS157" t="s">
        <v>1958</v>
      </c>
      <c r="AU157" t="s">
        <v>1955</v>
      </c>
      <c r="AV157" t="s">
        <v>856</v>
      </c>
      <c r="AW157">
        <v>1</v>
      </c>
      <c r="AX157">
        <v>1421</v>
      </c>
      <c r="AY157" t="s">
        <v>125</v>
      </c>
      <c r="AZ157" t="s">
        <v>122</v>
      </c>
      <c r="BA157" t="s">
        <v>232</v>
      </c>
      <c r="BB157" t="s">
        <v>854</v>
      </c>
    </row>
    <row r="158" spans="1:57" x14ac:dyDescent="0.3">
      <c r="A158" s="204">
        <v>46235</v>
      </c>
      <c r="B158" t="s">
        <v>142</v>
      </c>
      <c r="C158" t="s">
        <v>345</v>
      </c>
      <c r="D158" t="s">
        <v>279</v>
      </c>
      <c r="E158" t="s">
        <v>192</v>
      </c>
      <c r="F158" t="s">
        <v>309</v>
      </c>
      <c r="G158" t="s">
        <v>1116</v>
      </c>
      <c r="H158" t="s">
        <v>1524</v>
      </c>
      <c r="I158" t="s">
        <v>1117</v>
      </c>
      <c r="J158">
        <v>1299</v>
      </c>
      <c r="K158">
        <v>1299</v>
      </c>
      <c r="L158" t="s">
        <v>1118</v>
      </c>
      <c r="M158" s="15">
        <v>46230.40084490741</v>
      </c>
      <c r="N158" s="15">
        <v>46237.400694444441</v>
      </c>
      <c r="O158" s="15">
        <v>46233.454386574071</v>
      </c>
      <c r="P158" s="15">
        <v>46238.481249999997</v>
      </c>
      <c r="Q158" s="15"/>
      <c r="S158" t="s">
        <v>356</v>
      </c>
      <c r="U158" t="s">
        <v>1532</v>
      </c>
      <c r="V158" t="s">
        <v>356</v>
      </c>
      <c r="W158">
        <v>109</v>
      </c>
      <c r="X158" t="s">
        <v>369</v>
      </c>
      <c r="Y158" t="s">
        <v>239</v>
      </c>
      <c r="Z158" t="s">
        <v>851</v>
      </c>
      <c r="AB158" t="s">
        <v>348</v>
      </c>
      <c r="AC158" t="s">
        <v>7</v>
      </c>
      <c r="AD158" t="s">
        <v>7</v>
      </c>
      <c r="AE158" t="s">
        <v>7</v>
      </c>
      <c r="AF158" t="s">
        <v>1584</v>
      </c>
      <c r="AG158" t="s">
        <v>250</v>
      </c>
      <c r="AH158">
        <v>2</v>
      </c>
      <c r="AI158" t="s">
        <v>250</v>
      </c>
      <c r="AJ158" t="s">
        <v>248</v>
      </c>
      <c r="AK158" t="s">
        <v>827</v>
      </c>
      <c r="AL158" t="s">
        <v>156</v>
      </c>
      <c r="AM158" t="s">
        <v>855</v>
      </c>
      <c r="AN158">
        <v>3</v>
      </c>
      <c r="AO158">
        <v>46233</v>
      </c>
      <c r="AP158">
        <v>0.45438657407407407</v>
      </c>
      <c r="AQ158">
        <v>46238</v>
      </c>
      <c r="AR158">
        <v>0.48125000000000001</v>
      </c>
      <c r="AS158" t="s">
        <v>1958</v>
      </c>
      <c r="AU158" t="s">
        <v>1955</v>
      </c>
      <c r="AV158" t="s">
        <v>856</v>
      </c>
      <c r="AW158">
        <v>1</v>
      </c>
      <c r="AX158">
        <v>1299</v>
      </c>
      <c r="AY158" t="s">
        <v>125</v>
      </c>
      <c r="AZ158" t="s">
        <v>122</v>
      </c>
      <c r="BA158" t="s">
        <v>232</v>
      </c>
      <c r="BB158" t="s">
        <v>854</v>
      </c>
    </row>
    <row r="159" spans="1:57" x14ac:dyDescent="0.3">
      <c r="A159" s="204">
        <v>46235</v>
      </c>
      <c r="B159" t="s">
        <v>142</v>
      </c>
      <c r="C159" t="s">
        <v>345</v>
      </c>
      <c r="D159" t="s">
        <v>279</v>
      </c>
      <c r="E159" t="s">
        <v>192</v>
      </c>
      <c r="F159" t="s">
        <v>309</v>
      </c>
      <c r="G159" t="s">
        <v>1116</v>
      </c>
      <c r="H159" t="s">
        <v>1524</v>
      </c>
      <c r="I159" t="s">
        <v>1117</v>
      </c>
      <c r="J159">
        <v>1459</v>
      </c>
      <c r="K159">
        <v>1459</v>
      </c>
      <c r="L159" t="s">
        <v>1118</v>
      </c>
      <c r="M159" s="15">
        <v>46230.40084490741</v>
      </c>
      <c r="N159" s="15">
        <v>46237.400694444441</v>
      </c>
      <c r="O159" s="15">
        <v>46233.454386574071</v>
      </c>
      <c r="P159" s="15">
        <v>46238.481249999997</v>
      </c>
      <c r="Q159" s="15"/>
      <c r="S159" t="s">
        <v>356</v>
      </c>
      <c r="U159" t="s">
        <v>1533</v>
      </c>
      <c r="V159" t="s">
        <v>356</v>
      </c>
      <c r="W159">
        <v>109</v>
      </c>
      <c r="X159" t="s">
        <v>369</v>
      </c>
      <c r="Y159" t="s">
        <v>239</v>
      </c>
      <c r="Z159" t="s">
        <v>851</v>
      </c>
      <c r="AB159" t="s">
        <v>348</v>
      </c>
      <c r="AC159" t="s">
        <v>7</v>
      </c>
      <c r="AD159" t="s">
        <v>7</v>
      </c>
      <c r="AE159" t="s">
        <v>7</v>
      </c>
      <c r="AF159" t="s">
        <v>1584</v>
      </c>
      <c r="AG159" t="s">
        <v>250</v>
      </c>
      <c r="AH159">
        <v>2</v>
      </c>
      <c r="AI159" t="s">
        <v>250</v>
      </c>
      <c r="AJ159" t="s">
        <v>248</v>
      </c>
      <c r="AK159" t="s">
        <v>827</v>
      </c>
      <c r="AL159" t="s">
        <v>156</v>
      </c>
      <c r="AM159" t="s">
        <v>855</v>
      </c>
      <c r="AN159">
        <v>3</v>
      </c>
      <c r="AO159">
        <v>46233</v>
      </c>
      <c r="AP159">
        <v>0.45438657407407407</v>
      </c>
      <c r="AQ159">
        <v>46238</v>
      </c>
      <c r="AR159">
        <v>0.48125000000000001</v>
      </c>
      <c r="AS159" t="s">
        <v>1958</v>
      </c>
      <c r="AU159" t="s">
        <v>1955</v>
      </c>
      <c r="AV159" t="s">
        <v>856</v>
      </c>
      <c r="AW159">
        <v>1</v>
      </c>
      <c r="AX159">
        <v>1459</v>
      </c>
      <c r="AY159" t="s">
        <v>125</v>
      </c>
      <c r="AZ159" t="s">
        <v>122</v>
      </c>
      <c r="BA159" t="s">
        <v>232</v>
      </c>
      <c r="BB159" t="s">
        <v>854</v>
      </c>
    </row>
    <row r="160" spans="1:57" x14ac:dyDescent="0.3">
      <c r="A160" s="204">
        <v>46235</v>
      </c>
      <c r="B160" t="s">
        <v>142</v>
      </c>
      <c r="C160" t="s">
        <v>345</v>
      </c>
      <c r="D160" t="s">
        <v>279</v>
      </c>
      <c r="E160" t="s">
        <v>192</v>
      </c>
      <c r="F160" t="s">
        <v>309</v>
      </c>
      <c r="G160" t="s">
        <v>1116</v>
      </c>
      <c r="H160" t="s">
        <v>1524</v>
      </c>
      <c r="I160" t="s">
        <v>1117</v>
      </c>
      <c r="J160">
        <v>1476</v>
      </c>
      <c r="K160">
        <v>1476</v>
      </c>
      <c r="L160" t="s">
        <v>1118</v>
      </c>
      <c r="M160" s="15">
        <v>46230.40084490741</v>
      </c>
      <c r="N160" s="15">
        <v>46237.400694444441</v>
      </c>
      <c r="O160" s="15">
        <v>46233.454386574071</v>
      </c>
      <c r="P160" s="15">
        <v>46238.481249999997</v>
      </c>
      <c r="Q160" s="15"/>
      <c r="S160" t="s">
        <v>356</v>
      </c>
      <c r="U160" t="s">
        <v>1534</v>
      </c>
      <c r="V160" t="s">
        <v>356</v>
      </c>
      <c r="W160">
        <v>109</v>
      </c>
      <c r="X160" t="s">
        <v>369</v>
      </c>
      <c r="Y160" t="s">
        <v>239</v>
      </c>
      <c r="Z160" t="s">
        <v>851</v>
      </c>
      <c r="AB160" t="s">
        <v>348</v>
      </c>
      <c r="AC160" t="s">
        <v>7</v>
      </c>
      <c r="AD160" t="s">
        <v>7</v>
      </c>
      <c r="AE160" t="s">
        <v>7</v>
      </c>
      <c r="AF160" t="s">
        <v>1584</v>
      </c>
      <c r="AG160" t="s">
        <v>250</v>
      </c>
      <c r="AH160">
        <v>2</v>
      </c>
      <c r="AI160" t="s">
        <v>250</v>
      </c>
      <c r="AJ160" t="s">
        <v>248</v>
      </c>
      <c r="AK160" t="s">
        <v>827</v>
      </c>
      <c r="AL160" t="s">
        <v>156</v>
      </c>
      <c r="AM160" t="s">
        <v>855</v>
      </c>
      <c r="AN160">
        <v>3</v>
      </c>
      <c r="AO160">
        <v>46233</v>
      </c>
      <c r="AP160">
        <v>0.45438657407407407</v>
      </c>
      <c r="AQ160">
        <v>46238</v>
      </c>
      <c r="AR160">
        <v>0.48125000000000001</v>
      </c>
      <c r="AS160" t="s">
        <v>1958</v>
      </c>
      <c r="AU160" t="s">
        <v>1955</v>
      </c>
      <c r="AV160" t="s">
        <v>856</v>
      </c>
      <c r="AW160">
        <v>1</v>
      </c>
      <c r="AX160">
        <v>1476</v>
      </c>
      <c r="AY160" t="s">
        <v>125</v>
      </c>
      <c r="AZ160" t="s">
        <v>122</v>
      </c>
      <c r="BA160" t="s">
        <v>232</v>
      </c>
      <c r="BB160" t="s">
        <v>854</v>
      </c>
    </row>
    <row r="161" spans="1:57" x14ac:dyDescent="0.3">
      <c r="A161" s="204">
        <v>46235</v>
      </c>
      <c r="B161" t="s">
        <v>142</v>
      </c>
      <c r="C161" t="s">
        <v>345</v>
      </c>
      <c r="D161" t="s">
        <v>279</v>
      </c>
      <c r="E161" t="s">
        <v>192</v>
      </c>
      <c r="F161" t="s">
        <v>309</v>
      </c>
      <c r="G161" t="s">
        <v>1116</v>
      </c>
      <c r="H161" t="s">
        <v>1524</v>
      </c>
      <c r="I161" t="s">
        <v>1117</v>
      </c>
      <c r="J161">
        <v>1559</v>
      </c>
      <c r="K161">
        <v>1559</v>
      </c>
      <c r="L161" t="s">
        <v>1118</v>
      </c>
      <c r="M161" s="15">
        <v>46230.40084490741</v>
      </c>
      <c r="N161" s="15">
        <v>46237.400694444441</v>
      </c>
      <c r="O161" s="15">
        <v>46233.454386574071</v>
      </c>
      <c r="P161" s="15">
        <v>46238.481249999997</v>
      </c>
      <c r="Q161" s="15"/>
      <c r="S161" t="s">
        <v>356</v>
      </c>
      <c r="U161" t="s">
        <v>1535</v>
      </c>
      <c r="V161" t="s">
        <v>356</v>
      </c>
      <c r="W161">
        <v>109</v>
      </c>
      <c r="X161" t="s">
        <v>369</v>
      </c>
      <c r="Y161" t="s">
        <v>239</v>
      </c>
      <c r="Z161" t="s">
        <v>851</v>
      </c>
      <c r="AB161" t="s">
        <v>348</v>
      </c>
      <c r="AC161" t="s">
        <v>7</v>
      </c>
      <c r="AD161" t="s">
        <v>7</v>
      </c>
      <c r="AE161" t="s">
        <v>7</v>
      </c>
      <c r="AF161" t="s">
        <v>1584</v>
      </c>
      <c r="AG161" t="s">
        <v>250</v>
      </c>
      <c r="AH161">
        <v>2</v>
      </c>
      <c r="AI161" t="s">
        <v>250</v>
      </c>
      <c r="AJ161" t="s">
        <v>248</v>
      </c>
      <c r="AK161" t="s">
        <v>827</v>
      </c>
      <c r="AL161" t="s">
        <v>156</v>
      </c>
      <c r="AM161" t="s">
        <v>855</v>
      </c>
      <c r="AN161">
        <v>3</v>
      </c>
      <c r="AO161">
        <v>46233</v>
      </c>
      <c r="AP161">
        <v>0.45438657407407407</v>
      </c>
      <c r="AQ161">
        <v>46238</v>
      </c>
      <c r="AR161">
        <v>0.48125000000000001</v>
      </c>
      <c r="AS161" t="s">
        <v>1958</v>
      </c>
      <c r="AU161" t="s">
        <v>1955</v>
      </c>
      <c r="AV161" t="s">
        <v>856</v>
      </c>
      <c r="AW161">
        <v>1</v>
      </c>
      <c r="AX161">
        <v>1559</v>
      </c>
      <c r="AY161" t="s">
        <v>125</v>
      </c>
      <c r="AZ161" t="s">
        <v>122</v>
      </c>
      <c r="BA161" t="s">
        <v>232</v>
      </c>
      <c r="BB161" t="s">
        <v>854</v>
      </c>
    </row>
    <row r="162" spans="1:57" x14ac:dyDescent="0.3">
      <c r="A162" s="204">
        <v>46235</v>
      </c>
      <c r="B162" t="s">
        <v>142</v>
      </c>
      <c r="C162" t="s">
        <v>345</v>
      </c>
      <c r="D162" t="s">
        <v>279</v>
      </c>
      <c r="E162" t="s">
        <v>192</v>
      </c>
      <c r="F162" t="s">
        <v>309</v>
      </c>
      <c r="G162" t="s">
        <v>1119</v>
      </c>
      <c r="H162" t="s">
        <v>842</v>
      </c>
      <c r="I162" t="s">
        <v>401</v>
      </c>
      <c r="J162">
        <v>6</v>
      </c>
      <c r="K162">
        <v>6</v>
      </c>
      <c r="L162" t="s">
        <v>1120</v>
      </c>
      <c r="M162" s="15">
        <v>46232.31826388889</v>
      </c>
      <c r="N162" s="15">
        <v>46239.333333333336</v>
      </c>
      <c r="O162" s="15">
        <v>46232.407094907408</v>
      </c>
      <c r="P162" s="15">
        <v>46238.423611111109</v>
      </c>
      <c r="Q162" s="15"/>
      <c r="S162" t="s">
        <v>357</v>
      </c>
      <c r="U162" t="s">
        <v>1536</v>
      </c>
      <c r="V162" t="s">
        <v>357</v>
      </c>
      <c r="W162">
        <v>101</v>
      </c>
      <c r="X162" t="s">
        <v>369</v>
      </c>
      <c r="Y162" t="s">
        <v>239</v>
      </c>
      <c r="Z162" t="s">
        <v>851</v>
      </c>
      <c r="AB162" t="s">
        <v>348</v>
      </c>
      <c r="AC162" t="s">
        <v>7</v>
      </c>
      <c r="AD162" t="s">
        <v>7</v>
      </c>
      <c r="AE162" t="s">
        <v>7</v>
      </c>
      <c r="AF162" t="s">
        <v>1585</v>
      </c>
      <c r="AG162" t="s">
        <v>249</v>
      </c>
      <c r="AH162">
        <v>2</v>
      </c>
      <c r="AI162" t="s">
        <v>250</v>
      </c>
      <c r="AJ162" t="s">
        <v>248</v>
      </c>
      <c r="AK162" t="s">
        <v>827</v>
      </c>
      <c r="AL162" t="s">
        <v>156</v>
      </c>
      <c r="AM162" t="s">
        <v>855</v>
      </c>
      <c r="AN162">
        <v>3</v>
      </c>
      <c r="AO162">
        <v>46232</v>
      </c>
      <c r="AP162">
        <v>0.40709490740740739</v>
      </c>
      <c r="AQ162">
        <v>46238</v>
      </c>
      <c r="AR162">
        <v>0.4236111111111111</v>
      </c>
      <c r="AS162" t="s">
        <v>201</v>
      </c>
      <c r="AT162" t="s">
        <v>1956</v>
      </c>
      <c r="AU162" t="s">
        <v>1955</v>
      </c>
      <c r="AV162" t="s">
        <v>856</v>
      </c>
      <c r="AW162">
        <v>1</v>
      </c>
      <c r="AX162">
        <v>6</v>
      </c>
      <c r="AY162" t="s">
        <v>125</v>
      </c>
      <c r="AZ162" t="s">
        <v>122</v>
      </c>
      <c r="BA162" t="s">
        <v>232</v>
      </c>
      <c r="BB162" t="s">
        <v>863</v>
      </c>
      <c r="BE162">
        <v>1</v>
      </c>
    </row>
    <row r="163" spans="1:57" x14ac:dyDescent="0.3">
      <c r="A163" s="204">
        <v>46237</v>
      </c>
      <c r="B163" t="s">
        <v>142</v>
      </c>
      <c r="C163" t="s">
        <v>345</v>
      </c>
      <c r="D163" t="s">
        <v>279</v>
      </c>
      <c r="E163" t="s">
        <v>192</v>
      </c>
      <c r="F163" t="s">
        <v>309</v>
      </c>
      <c r="G163" t="s">
        <v>1130</v>
      </c>
      <c r="H163" t="s">
        <v>864</v>
      </c>
      <c r="I163" t="s">
        <v>402</v>
      </c>
      <c r="J163">
        <v>568</v>
      </c>
      <c r="K163">
        <v>568</v>
      </c>
      <c r="L163" t="s">
        <v>1131</v>
      </c>
      <c r="M163" s="15">
        <v>46253.45040509259</v>
      </c>
      <c r="N163" s="15">
        <v>46260.45</v>
      </c>
      <c r="O163" s="15">
        <v>46255.393750000003</v>
      </c>
      <c r="P163" s="15">
        <v>46258.414583333331</v>
      </c>
      <c r="Q163" s="15"/>
      <c r="S163" t="s">
        <v>355</v>
      </c>
      <c r="V163" t="s">
        <v>355</v>
      </c>
      <c r="W163">
        <v>2200</v>
      </c>
      <c r="X163" t="s">
        <v>369</v>
      </c>
      <c r="Y163" t="s">
        <v>239</v>
      </c>
      <c r="Z163" t="s">
        <v>851</v>
      </c>
      <c r="AB163" t="s">
        <v>348</v>
      </c>
      <c r="AC163" t="s">
        <v>7</v>
      </c>
      <c r="AD163" t="s">
        <v>7</v>
      </c>
      <c r="AE163" t="s">
        <v>7</v>
      </c>
      <c r="AF163" t="s">
        <v>1586</v>
      </c>
      <c r="AG163" t="s">
        <v>249</v>
      </c>
      <c r="AH163">
        <v>2</v>
      </c>
      <c r="AI163" t="s">
        <v>250</v>
      </c>
      <c r="AJ163" t="s">
        <v>248</v>
      </c>
      <c r="AK163" t="s">
        <v>827</v>
      </c>
      <c r="AL163" t="s">
        <v>156</v>
      </c>
      <c r="AM163" t="s">
        <v>855</v>
      </c>
      <c r="AN163">
        <v>3</v>
      </c>
      <c r="AO163">
        <v>46255</v>
      </c>
      <c r="AP163">
        <v>0.39374999999999999</v>
      </c>
      <c r="AQ163">
        <v>46258</v>
      </c>
      <c r="AR163">
        <v>0.41458333333333336</v>
      </c>
      <c r="AS163" t="s">
        <v>201</v>
      </c>
      <c r="AT163" t="s">
        <v>1954</v>
      </c>
      <c r="AU163" t="s">
        <v>1955</v>
      </c>
      <c r="AV163" t="s">
        <v>856</v>
      </c>
      <c r="AW163">
        <v>1</v>
      </c>
      <c r="AX163">
        <v>568</v>
      </c>
      <c r="AY163" t="s">
        <v>125</v>
      </c>
      <c r="AZ163" t="s">
        <v>122</v>
      </c>
      <c r="BA163" t="s">
        <v>232</v>
      </c>
      <c r="BB163" t="s">
        <v>859</v>
      </c>
      <c r="BE163">
        <v>56.8</v>
      </c>
    </row>
    <row r="164" spans="1:57" x14ac:dyDescent="0.3">
      <c r="A164" s="204">
        <v>46235</v>
      </c>
      <c r="B164" t="s">
        <v>142</v>
      </c>
      <c r="C164" t="s">
        <v>345</v>
      </c>
      <c r="D164" t="s">
        <v>279</v>
      </c>
      <c r="E164" t="s">
        <v>192</v>
      </c>
      <c r="F164" t="s">
        <v>309</v>
      </c>
      <c r="G164" t="s">
        <v>1132</v>
      </c>
      <c r="H164" t="s">
        <v>840</v>
      </c>
      <c r="I164" t="s">
        <v>399</v>
      </c>
      <c r="J164">
        <v>191</v>
      </c>
      <c r="K164">
        <v>191</v>
      </c>
      <c r="L164" t="s">
        <v>1133</v>
      </c>
      <c r="M164" s="15">
        <v>46225.356817129628</v>
      </c>
      <c r="N164" s="15">
        <v>46232.356249999997</v>
      </c>
      <c r="O164" s="15">
        <v>46233.380069444444</v>
      </c>
      <c r="P164" s="15">
        <v>46238.463194444441</v>
      </c>
      <c r="Q164" s="15"/>
      <c r="S164" t="s">
        <v>354</v>
      </c>
      <c r="T164" t="s">
        <v>1559</v>
      </c>
      <c r="U164" t="s">
        <v>1560</v>
      </c>
      <c r="V164" t="s">
        <v>354</v>
      </c>
      <c r="W164">
        <v>50</v>
      </c>
      <c r="X164" t="s">
        <v>369</v>
      </c>
      <c r="Y164" t="s">
        <v>239</v>
      </c>
      <c r="Z164" t="s">
        <v>851</v>
      </c>
      <c r="AB164" t="s">
        <v>348</v>
      </c>
      <c r="AC164" t="s">
        <v>7</v>
      </c>
      <c r="AD164" t="s">
        <v>7</v>
      </c>
      <c r="AE164" t="s">
        <v>7</v>
      </c>
      <c r="AF164" t="s">
        <v>1587</v>
      </c>
      <c r="AG164" t="s">
        <v>249</v>
      </c>
      <c r="AH164">
        <v>2</v>
      </c>
      <c r="AI164" t="s">
        <v>250</v>
      </c>
      <c r="AJ164" t="s">
        <v>248</v>
      </c>
      <c r="AK164" t="s">
        <v>827</v>
      </c>
      <c r="AL164" t="s">
        <v>156</v>
      </c>
      <c r="AM164" t="s">
        <v>855</v>
      </c>
      <c r="AN164">
        <v>3</v>
      </c>
      <c r="AO164">
        <v>46233</v>
      </c>
      <c r="AP164">
        <v>0.38006944444444446</v>
      </c>
      <c r="AQ164">
        <v>46238</v>
      </c>
      <c r="AR164">
        <v>0.46319444444444446</v>
      </c>
      <c r="AS164" t="s">
        <v>201</v>
      </c>
      <c r="AT164" t="s">
        <v>1956</v>
      </c>
      <c r="AU164" t="s">
        <v>1955</v>
      </c>
      <c r="AV164" t="s">
        <v>856</v>
      </c>
      <c r="AW164">
        <v>1</v>
      </c>
      <c r="AX164">
        <v>191</v>
      </c>
      <c r="AY164" t="s">
        <v>125</v>
      </c>
      <c r="AZ164" t="s">
        <v>122</v>
      </c>
      <c r="BA164" t="s">
        <v>232</v>
      </c>
      <c r="BB164" t="s">
        <v>858</v>
      </c>
      <c r="BE164">
        <v>19.100000000000001</v>
      </c>
    </row>
    <row r="165" spans="1:57" x14ac:dyDescent="0.3">
      <c r="A165" s="204">
        <v>46235</v>
      </c>
      <c r="B165" t="s">
        <v>142</v>
      </c>
      <c r="C165" t="s">
        <v>345</v>
      </c>
      <c r="D165" t="s">
        <v>279</v>
      </c>
      <c r="E165" t="s">
        <v>192</v>
      </c>
      <c r="F165" t="s">
        <v>309</v>
      </c>
      <c r="G165" t="s">
        <v>1123</v>
      </c>
      <c r="H165" t="s">
        <v>845</v>
      </c>
      <c r="I165" t="s">
        <v>402</v>
      </c>
      <c r="J165">
        <v>42</v>
      </c>
      <c r="K165">
        <v>42</v>
      </c>
      <c r="L165" t="s">
        <v>1124</v>
      </c>
      <c r="M165" s="15">
        <v>46223.754212962966</v>
      </c>
      <c r="N165" s="15">
        <v>46231.333333333336</v>
      </c>
      <c r="O165" s="15">
        <v>46232.484236111108</v>
      </c>
      <c r="P165" s="15">
        <v>46238.427083333336</v>
      </c>
      <c r="Q165" s="15"/>
      <c r="S165" t="s">
        <v>355</v>
      </c>
      <c r="T165" t="s">
        <v>1544</v>
      </c>
      <c r="U165" t="s">
        <v>1545</v>
      </c>
      <c r="V165" t="s">
        <v>355</v>
      </c>
      <c r="W165">
        <v>2200</v>
      </c>
      <c r="X165" t="s">
        <v>369</v>
      </c>
      <c r="Y165" t="s">
        <v>239</v>
      </c>
      <c r="Z165" t="s">
        <v>851</v>
      </c>
      <c r="AB165" t="s">
        <v>348</v>
      </c>
      <c r="AC165" t="s">
        <v>7</v>
      </c>
      <c r="AD165" t="s">
        <v>7</v>
      </c>
      <c r="AE165" t="s">
        <v>7</v>
      </c>
      <c r="AF165" t="s">
        <v>1588</v>
      </c>
      <c r="AG165" t="s">
        <v>249</v>
      </c>
      <c r="AH165">
        <v>2</v>
      </c>
      <c r="AI165" t="s">
        <v>250</v>
      </c>
      <c r="AJ165" t="s">
        <v>248</v>
      </c>
      <c r="AK165" t="s">
        <v>827</v>
      </c>
      <c r="AL165" t="s">
        <v>156</v>
      </c>
      <c r="AM165" t="s">
        <v>855</v>
      </c>
      <c r="AN165">
        <v>3</v>
      </c>
      <c r="AO165">
        <v>46232</v>
      </c>
      <c r="AP165">
        <v>0.48423611111111109</v>
      </c>
      <c r="AQ165">
        <v>46238</v>
      </c>
      <c r="AR165">
        <v>0.42708333333333331</v>
      </c>
      <c r="AS165" t="s">
        <v>201</v>
      </c>
      <c r="AT165" t="s">
        <v>1956</v>
      </c>
      <c r="AU165" t="s">
        <v>1955</v>
      </c>
      <c r="AV165" t="s">
        <v>856</v>
      </c>
      <c r="AW165">
        <v>1</v>
      </c>
      <c r="AX165">
        <v>42</v>
      </c>
      <c r="AY165" t="s">
        <v>125</v>
      </c>
      <c r="AZ165" t="s">
        <v>122</v>
      </c>
      <c r="BA165" t="s">
        <v>232</v>
      </c>
      <c r="BB165" t="s">
        <v>859</v>
      </c>
      <c r="BE165">
        <v>132.19999999999999</v>
      </c>
    </row>
    <row r="166" spans="1:57" x14ac:dyDescent="0.3">
      <c r="A166" s="204">
        <v>46235</v>
      </c>
      <c r="B166" t="s">
        <v>142</v>
      </c>
      <c r="C166" t="s">
        <v>345</v>
      </c>
      <c r="D166" t="s">
        <v>279</v>
      </c>
      <c r="E166" t="s">
        <v>197</v>
      </c>
      <c r="F166" t="s">
        <v>309</v>
      </c>
      <c r="G166" t="s">
        <v>1125</v>
      </c>
      <c r="H166" t="s">
        <v>864</v>
      </c>
      <c r="I166" t="s">
        <v>420</v>
      </c>
      <c r="J166">
        <v>31</v>
      </c>
      <c r="K166">
        <v>31</v>
      </c>
      <c r="L166" t="s">
        <v>1126</v>
      </c>
      <c r="M166" s="15">
        <v>46233.719895833332</v>
      </c>
      <c r="N166" s="15">
        <v>46241.333333333336</v>
      </c>
      <c r="O166" s="15">
        <v>46234.410682870373</v>
      </c>
      <c r="P166" s="15">
        <v>46238.434027777781</v>
      </c>
      <c r="Q166" s="15"/>
      <c r="S166" t="s">
        <v>355</v>
      </c>
      <c r="U166" t="s">
        <v>1547</v>
      </c>
      <c r="V166" t="s">
        <v>355</v>
      </c>
      <c r="W166">
        <v>2200</v>
      </c>
      <c r="X166" t="s">
        <v>369</v>
      </c>
      <c r="Y166" t="s">
        <v>239</v>
      </c>
      <c r="Z166" t="s">
        <v>851</v>
      </c>
      <c r="AB166" t="s">
        <v>348</v>
      </c>
      <c r="AC166" t="s">
        <v>7</v>
      </c>
      <c r="AD166" t="s">
        <v>7</v>
      </c>
      <c r="AE166" t="s">
        <v>7</v>
      </c>
      <c r="AF166" t="s">
        <v>1589</v>
      </c>
      <c r="AG166" t="s">
        <v>249</v>
      </c>
      <c r="AH166">
        <v>2</v>
      </c>
      <c r="AI166" t="s">
        <v>250</v>
      </c>
      <c r="AJ166" t="s">
        <v>248</v>
      </c>
      <c r="AK166" t="s">
        <v>827</v>
      </c>
      <c r="AL166" t="s">
        <v>156</v>
      </c>
      <c r="AM166" t="s">
        <v>855</v>
      </c>
      <c r="AN166">
        <v>3</v>
      </c>
      <c r="AO166">
        <v>46234</v>
      </c>
      <c r="AP166">
        <v>0.41068287037037038</v>
      </c>
      <c r="AQ166">
        <v>46238</v>
      </c>
      <c r="AR166">
        <v>0.43402777777777779</v>
      </c>
      <c r="AS166" t="s">
        <v>201</v>
      </c>
      <c r="AT166" t="s">
        <v>1954</v>
      </c>
      <c r="AU166" t="s">
        <v>1955</v>
      </c>
      <c r="AV166" t="s">
        <v>866</v>
      </c>
      <c r="AW166">
        <v>16</v>
      </c>
      <c r="AX166">
        <v>496</v>
      </c>
      <c r="AY166" t="s">
        <v>125</v>
      </c>
      <c r="AZ166" t="s">
        <v>122</v>
      </c>
      <c r="BA166" t="s">
        <v>232</v>
      </c>
      <c r="BB166" t="s">
        <v>859</v>
      </c>
    </row>
    <row r="167" spans="1:57" x14ac:dyDescent="0.3">
      <c r="A167" s="204">
        <v>46235</v>
      </c>
      <c r="B167" t="s">
        <v>142</v>
      </c>
      <c r="C167" t="s">
        <v>345</v>
      </c>
      <c r="D167" t="s">
        <v>279</v>
      </c>
      <c r="E167" t="s">
        <v>197</v>
      </c>
      <c r="F167" t="s">
        <v>309</v>
      </c>
      <c r="G167" t="s">
        <v>1125</v>
      </c>
      <c r="H167" t="s">
        <v>864</v>
      </c>
      <c r="I167" t="s">
        <v>420</v>
      </c>
      <c r="J167">
        <v>11</v>
      </c>
      <c r="K167">
        <v>11</v>
      </c>
      <c r="L167" t="s">
        <v>1126</v>
      </c>
      <c r="M167" s="15">
        <v>46233.719895833332</v>
      </c>
      <c r="N167" s="15">
        <v>46241.333333333336</v>
      </c>
      <c r="O167" s="15">
        <v>46234.410682870373</v>
      </c>
      <c r="P167" s="15">
        <v>46238.434027777781</v>
      </c>
      <c r="Q167" s="15"/>
      <c r="S167" t="s">
        <v>355</v>
      </c>
      <c r="U167" t="s">
        <v>1551</v>
      </c>
      <c r="V167" t="s">
        <v>355</v>
      </c>
      <c r="W167">
        <v>2200</v>
      </c>
      <c r="X167" t="s">
        <v>369</v>
      </c>
      <c r="Y167" t="s">
        <v>239</v>
      </c>
      <c r="Z167" t="s">
        <v>851</v>
      </c>
      <c r="AB167" t="s">
        <v>348</v>
      </c>
      <c r="AC167" t="s">
        <v>7</v>
      </c>
      <c r="AD167" t="s">
        <v>7</v>
      </c>
      <c r="AE167" t="s">
        <v>7</v>
      </c>
      <c r="AF167" t="s">
        <v>1589</v>
      </c>
      <c r="AG167" t="s">
        <v>250</v>
      </c>
      <c r="AH167">
        <v>2</v>
      </c>
      <c r="AI167" t="s">
        <v>250</v>
      </c>
      <c r="AJ167" t="s">
        <v>248</v>
      </c>
      <c r="AK167" t="s">
        <v>827</v>
      </c>
      <c r="AL167" t="s">
        <v>156</v>
      </c>
      <c r="AM167" t="s">
        <v>855</v>
      </c>
      <c r="AN167">
        <v>3</v>
      </c>
      <c r="AO167">
        <v>46234</v>
      </c>
      <c r="AP167">
        <v>0.41068287037037038</v>
      </c>
      <c r="AQ167">
        <v>46238</v>
      </c>
      <c r="AR167">
        <v>0.43402777777777779</v>
      </c>
      <c r="AS167" t="s">
        <v>1958</v>
      </c>
      <c r="AU167" t="s">
        <v>1955</v>
      </c>
      <c r="AV167" t="s">
        <v>866</v>
      </c>
      <c r="AW167">
        <v>16</v>
      </c>
      <c r="AX167">
        <v>176</v>
      </c>
      <c r="AY167" t="s">
        <v>125</v>
      </c>
      <c r="AZ167" t="s">
        <v>122</v>
      </c>
      <c r="BA167" t="s">
        <v>232</v>
      </c>
      <c r="BB167" t="s">
        <v>859</v>
      </c>
    </row>
    <row r="168" spans="1:57" x14ac:dyDescent="0.3">
      <c r="A168" s="204">
        <v>46235</v>
      </c>
      <c r="B168" t="s">
        <v>142</v>
      </c>
      <c r="C168" t="s">
        <v>345</v>
      </c>
      <c r="D168" t="s">
        <v>279</v>
      </c>
      <c r="E168" t="s">
        <v>197</v>
      </c>
      <c r="F168" t="s">
        <v>309</v>
      </c>
      <c r="G168" t="s">
        <v>1121</v>
      </c>
      <c r="H168" t="s">
        <v>1538</v>
      </c>
      <c r="I168" t="s">
        <v>402</v>
      </c>
      <c r="J168">
        <v>24</v>
      </c>
      <c r="K168">
        <v>24</v>
      </c>
      <c r="L168" t="s">
        <v>1122</v>
      </c>
      <c r="M168" s="15">
        <v>46212.717303240737</v>
      </c>
      <c r="N168" s="15">
        <v>46220.333333333336</v>
      </c>
      <c r="O168" s="15">
        <v>46231.477627314816</v>
      </c>
      <c r="P168" s="15">
        <v>46238.444444444445</v>
      </c>
      <c r="Q168" s="15"/>
      <c r="S168" t="s">
        <v>355</v>
      </c>
      <c r="T168" t="s">
        <v>1539</v>
      </c>
      <c r="U168" t="s">
        <v>1540</v>
      </c>
      <c r="V168" t="s">
        <v>355</v>
      </c>
      <c r="W168">
        <v>2200</v>
      </c>
      <c r="X168" t="s">
        <v>369</v>
      </c>
      <c r="Y168" t="s">
        <v>239</v>
      </c>
      <c r="Z168" t="s">
        <v>851</v>
      </c>
      <c r="AB168" t="s">
        <v>348</v>
      </c>
      <c r="AC168" t="s">
        <v>7</v>
      </c>
      <c r="AD168" t="s">
        <v>7</v>
      </c>
      <c r="AE168" t="s">
        <v>7</v>
      </c>
      <c r="AF168" t="s">
        <v>1590</v>
      </c>
      <c r="AG168" t="s">
        <v>249</v>
      </c>
      <c r="AH168">
        <v>2</v>
      </c>
      <c r="AI168" t="s">
        <v>250</v>
      </c>
      <c r="AJ168" t="s">
        <v>248</v>
      </c>
      <c r="AK168" t="s">
        <v>827</v>
      </c>
      <c r="AL168" t="s">
        <v>156</v>
      </c>
      <c r="AM168" t="s">
        <v>855</v>
      </c>
      <c r="AN168">
        <v>3</v>
      </c>
      <c r="AO168">
        <v>46231</v>
      </c>
      <c r="AP168">
        <v>0.4776273148148148</v>
      </c>
      <c r="AQ168">
        <v>46238</v>
      </c>
      <c r="AR168">
        <v>0.44444444444444442</v>
      </c>
      <c r="AS168" t="s">
        <v>201</v>
      </c>
      <c r="AT168" t="s">
        <v>1956</v>
      </c>
      <c r="AU168" t="s">
        <v>1955</v>
      </c>
      <c r="AV168" t="s">
        <v>866</v>
      </c>
      <c r="AW168">
        <v>16</v>
      </c>
      <c r="AX168">
        <v>384</v>
      </c>
      <c r="AY168" t="s">
        <v>125</v>
      </c>
      <c r="AZ168" t="s">
        <v>122</v>
      </c>
      <c r="BA168" t="s">
        <v>232</v>
      </c>
      <c r="BB168" t="s">
        <v>859</v>
      </c>
    </row>
    <row r="169" spans="1:57" x14ac:dyDescent="0.3">
      <c r="A169" s="204">
        <v>46235</v>
      </c>
      <c r="B169" t="s">
        <v>142</v>
      </c>
      <c r="C169" t="s">
        <v>345</v>
      </c>
      <c r="D169" t="s">
        <v>279</v>
      </c>
      <c r="E169" t="s">
        <v>197</v>
      </c>
      <c r="F169" t="s">
        <v>309</v>
      </c>
      <c r="G169" t="s">
        <v>1121</v>
      </c>
      <c r="H169" t="s">
        <v>1538</v>
      </c>
      <c r="I169" t="s">
        <v>402</v>
      </c>
      <c r="J169">
        <v>14</v>
      </c>
      <c r="K169">
        <v>14</v>
      </c>
      <c r="L169" t="s">
        <v>1122</v>
      </c>
      <c r="M169" s="15">
        <v>46212.717303240737</v>
      </c>
      <c r="N169" s="15">
        <v>46220.333333333336</v>
      </c>
      <c r="O169" s="15">
        <v>46231.477627314816</v>
      </c>
      <c r="P169" s="15">
        <v>46238.444444444445</v>
      </c>
      <c r="Q169" s="15"/>
      <c r="S169" t="s">
        <v>355</v>
      </c>
      <c r="T169" t="s">
        <v>1542</v>
      </c>
      <c r="U169" t="s">
        <v>1543</v>
      </c>
      <c r="V169" t="s">
        <v>355</v>
      </c>
      <c r="W169">
        <v>2200</v>
      </c>
      <c r="X169" t="s">
        <v>369</v>
      </c>
      <c r="Y169" t="s">
        <v>239</v>
      </c>
      <c r="Z169" t="s">
        <v>851</v>
      </c>
      <c r="AB169" t="s">
        <v>348</v>
      </c>
      <c r="AC169" t="s">
        <v>7</v>
      </c>
      <c r="AD169" t="s">
        <v>7</v>
      </c>
      <c r="AE169" t="s">
        <v>7</v>
      </c>
      <c r="AF169" t="s">
        <v>1590</v>
      </c>
      <c r="AG169" t="s">
        <v>250</v>
      </c>
      <c r="AH169">
        <v>2</v>
      </c>
      <c r="AI169" t="s">
        <v>250</v>
      </c>
      <c r="AJ169" t="s">
        <v>248</v>
      </c>
      <c r="AK169" t="s">
        <v>827</v>
      </c>
      <c r="AL169" t="s">
        <v>156</v>
      </c>
      <c r="AM169" t="s">
        <v>855</v>
      </c>
      <c r="AN169">
        <v>3</v>
      </c>
      <c r="AO169">
        <v>46231</v>
      </c>
      <c r="AP169">
        <v>0.4776273148148148</v>
      </c>
      <c r="AQ169">
        <v>46238</v>
      </c>
      <c r="AR169">
        <v>0.44444444444444442</v>
      </c>
      <c r="AS169" t="s">
        <v>1958</v>
      </c>
      <c r="AU169" t="s">
        <v>1955</v>
      </c>
      <c r="AV169" t="s">
        <v>866</v>
      </c>
      <c r="AW169">
        <v>16</v>
      </c>
      <c r="AX169">
        <v>224</v>
      </c>
      <c r="AY169" t="s">
        <v>125</v>
      </c>
      <c r="AZ169" t="s">
        <v>122</v>
      </c>
      <c r="BA169" t="s">
        <v>232</v>
      </c>
      <c r="BB169" t="s">
        <v>859</v>
      </c>
    </row>
    <row r="170" spans="1:57" x14ac:dyDescent="0.3">
      <c r="A170" s="204">
        <v>46230</v>
      </c>
      <c r="B170" t="s">
        <v>142</v>
      </c>
      <c r="C170" t="s">
        <v>345</v>
      </c>
      <c r="D170" t="s">
        <v>279</v>
      </c>
      <c r="E170" t="s">
        <v>192</v>
      </c>
      <c r="F170" t="s">
        <v>309</v>
      </c>
      <c r="G170" t="s">
        <v>1134</v>
      </c>
      <c r="H170" t="s">
        <v>845</v>
      </c>
      <c r="I170" t="s">
        <v>402</v>
      </c>
      <c r="J170">
        <v>2</v>
      </c>
      <c r="K170">
        <v>2</v>
      </c>
      <c r="L170" t="s">
        <v>1135</v>
      </c>
      <c r="M170" s="15">
        <v>46223.623645833337</v>
      </c>
      <c r="N170" s="15">
        <v>46230.623611111114</v>
      </c>
      <c r="O170" s="15">
        <v>46224.351388888892</v>
      </c>
      <c r="P170" s="15">
        <v>46227.68472222222</v>
      </c>
      <c r="Q170" s="15">
        <v>46234.655555555553</v>
      </c>
      <c r="S170" t="s">
        <v>355</v>
      </c>
      <c r="T170" t="s">
        <v>1562</v>
      </c>
      <c r="U170" t="s">
        <v>1563</v>
      </c>
      <c r="V170" t="s">
        <v>355</v>
      </c>
      <c r="W170">
        <v>2200</v>
      </c>
      <c r="X170" t="s">
        <v>369</v>
      </c>
      <c r="Y170" t="s">
        <v>239</v>
      </c>
      <c r="Z170" t="s">
        <v>851</v>
      </c>
      <c r="AB170" t="s">
        <v>348</v>
      </c>
      <c r="AC170" t="s">
        <v>7</v>
      </c>
      <c r="AD170" t="s">
        <v>7</v>
      </c>
      <c r="AE170" t="s">
        <v>7</v>
      </c>
      <c r="AF170" t="s">
        <v>1591</v>
      </c>
      <c r="AG170" t="s">
        <v>249</v>
      </c>
      <c r="AH170">
        <v>2</v>
      </c>
      <c r="AI170" t="s">
        <v>250</v>
      </c>
      <c r="AJ170" t="s">
        <v>248</v>
      </c>
      <c r="AK170" t="s">
        <v>827</v>
      </c>
      <c r="AL170" t="s">
        <v>156</v>
      </c>
      <c r="AM170" t="s">
        <v>855</v>
      </c>
      <c r="AN170">
        <v>3</v>
      </c>
      <c r="AO170">
        <v>46224</v>
      </c>
      <c r="AP170">
        <v>0.35138888888888886</v>
      </c>
      <c r="AQ170">
        <v>46227</v>
      </c>
      <c r="AR170">
        <v>0.68472222222222223</v>
      </c>
      <c r="AS170" t="s">
        <v>201</v>
      </c>
      <c r="AT170" t="s">
        <v>1956</v>
      </c>
      <c r="AU170" t="s">
        <v>1955</v>
      </c>
      <c r="AV170" t="s">
        <v>856</v>
      </c>
      <c r="AW170">
        <v>1</v>
      </c>
      <c r="AX170">
        <v>2</v>
      </c>
      <c r="AY170" t="s">
        <v>125</v>
      </c>
      <c r="AZ170" t="s">
        <v>122</v>
      </c>
      <c r="BA170" t="s">
        <v>232</v>
      </c>
      <c r="BB170" t="s">
        <v>859</v>
      </c>
      <c r="BE170">
        <v>373.3</v>
      </c>
    </row>
    <row r="171" spans="1:57" x14ac:dyDescent="0.3">
      <c r="A171" s="204">
        <v>46230</v>
      </c>
      <c r="B171" t="s">
        <v>142</v>
      </c>
      <c r="C171" t="s">
        <v>345</v>
      </c>
      <c r="D171" t="s">
        <v>279</v>
      </c>
      <c r="E171" t="s">
        <v>192</v>
      </c>
      <c r="F171" t="s">
        <v>309</v>
      </c>
      <c r="G171" t="s">
        <v>1134</v>
      </c>
      <c r="H171" t="s">
        <v>845</v>
      </c>
      <c r="I171" t="s">
        <v>402</v>
      </c>
      <c r="J171">
        <v>560</v>
      </c>
      <c r="K171">
        <v>560</v>
      </c>
      <c r="L171" t="s">
        <v>1135</v>
      </c>
      <c r="M171" s="15">
        <v>46223.623645833337</v>
      </c>
      <c r="N171" s="15">
        <v>46230.623611111114</v>
      </c>
      <c r="O171" s="15">
        <v>46224.351388888892</v>
      </c>
      <c r="P171" s="15">
        <v>46227.68472222222</v>
      </c>
      <c r="Q171" s="15">
        <v>46234.655555555553</v>
      </c>
      <c r="S171" t="s">
        <v>355</v>
      </c>
      <c r="T171" t="s">
        <v>1562</v>
      </c>
      <c r="U171" t="s">
        <v>1565</v>
      </c>
      <c r="V171" t="s">
        <v>355</v>
      </c>
      <c r="W171">
        <v>2200</v>
      </c>
      <c r="X171" t="s">
        <v>369</v>
      </c>
      <c r="Y171" t="s">
        <v>239</v>
      </c>
      <c r="Z171" t="s">
        <v>851</v>
      </c>
      <c r="AB171" t="s">
        <v>348</v>
      </c>
      <c r="AC171" t="s">
        <v>7</v>
      </c>
      <c r="AD171" t="s">
        <v>7</v>
      </c>
      <c r="AE171" t="s">
        <v>7</v>
      </c>
      <c r="AF171" t="s">
        <v>1591</v>
      </c>
      <c r="AG171" t="s">
        <v>250</v>
      </c>
      <c r="AH171">
        <v>2</v>
      </c>
      <c r="AI171" t="s">
        <v>250</v>
      </c>
      <c r="AJ171" t="s">
        <v>248</v>
      </c>
      <c r="AK171" t="s">
        <v>827</v>
      </c>
      <c r="AL171" t="s">
        <v>156</v>
      </c>
      <c r="AM171" t="s">
        <v>855</v>
      </c>
      <c r="AN171">
        <v>3</v>
      </c>
      <c r="AO171">
        <v>46224</v>
      </c>
      <c r="AP171">
        <v>0.35138888888888886</v>
      </c>
      <c r="AQ171">
        <v>46227</v>
      </c>
      <c r="AR171">
        <v>0.68472222222222223</v>
      </c>
      <c r="AS171" t="s">
        <v>1958</v>
      </c>
      <c r="AU171" t="s">
        <v>1955</v>
      </c>
      <c r="AV171" t="s">
        <v>856</v>
      </c>
      <c r="AW171">
        <v>1</v>
      </c>
      <c r="AX171">
        <v>560</v>
      </c>
      <c r="AY171" t="s">
        <v>125</v>
      </c>
      <c r="AZ171" t="s">
        <v>122</v>
      </c>
      <c r="BA171" t="s">
        <v>232</v>
      </c>
      <c r="BB171" t="s">
        <v>859</v>
      </c>
    </row>
    <row r="172" spans="1:57" x14ac:dyDescent="0.3">
      <c r="A172" s="204">
        <v>46230</v>
      </c>
      <c r="B172" t="s">
        <v>142</v>
      </c>
      <c r="C172" t="s">
        <v>345</v>
      </c>
      <c r="D172" t="s">
        <v>279</v>
      </c>
      <c r="E172" t="s">
        <v>192</v>
      </c>
      <c r="F172" t="s">
        <v>309</v>
      </c>
      <c r="G172" t="s">
        <v>1134</v>
      </c>
      <c r="H172" t="s">
        <v>845</v>
      </c>
      <c r="I172" t="s">
        <v>402</v>
      </c>
      <c r="J172">
        <v>3171</v>
      </c>
      <c r="K172">
        <v>3171</v>
      </c>
      <c r="L172" t="s">
        <v>1136</v>
      </c>
      <c r="M172" s="15">
        <v>46223.623645833337</v>
      </c>
      <c r="N172" s="15">
        <v>46230.623611111114</v>
      </c>
      <c r="O172" s="15">
        <v>46224.351388888892</v>
      </c>
      <c r="P172" s="15">
        <v>46227.68472222222</v>
      </c>
      <c r="Q172" s="15"/>
      <c r="S172" t="s">
        <v>355</v>
      </c>
      <c r="T172" t="s">
        <v>1562</v>
      </c>
      <c r="U172" t="s">
        <v>1566</v>
      </c>
      <c r="V172" t="s">
        <v>355</v>
      </c>
      <c r="W172">
        <v>2200</v>
      </c>
      <c r="X172" t="s">
        <v>369</v>
      </c>
      <c r="Y172" t="s">
        <v>239</v>
      </c>
      <c r="Z172" t="s">
        <v>851</v>
      </c>
      <c r="AB172" t="s">
        <v>348</v>
      </c>
      <c r="AC172" t="s">
        <v>7</v>
      </c>
      <c r="AD172" t="s">
        <v>7</v>
      </c>
      <c r="AE172" t="s">
        <v>7</v>
      </c>
      <c r="AF172" t="s">
        <v>1592</v>
      </c>
      <c r="AG172" t="s">
        <v>249</v>
      </c>
      <c r="AH172">
        <v>2</v>
      </c>
      <c r="AI172" t="s">
        <v>250</v>
      </c>
      <c r="AJ172" t="s">
        <v>248</v>
      </c>
      <c r="AK172" t="s">
        <v>827</v>
      </c>
      <c r="AL172" t="s">
        <v>156</v>
      </c>
      <c r="AM172" t="s">
        <v>855</v>
      </c>
      <c r="AN172">
        <v>3</v>
      </c>
      <c r="AO172">
        <v>46224</v>
      </c>
      <c r="AP172">
        <v>0.35138888888888886</v>
      </c>
      <c r="AQ172">
        <v>46227</v>
      </c>
      <c r="AR172">
        <v>0.68472222222222223</v>
      </c>
      <c r="AS172" t="s">
        <v>201</v>
      </c>
      <c r="AT172" t="s">
        <v>1956</v>
      </c>
      <c r="AU172" t="s">
        <v>1955</v>
      </c>
      <c r="AV172" t="s">
        <v>856</v>
      </c>
      <c r="AW172">
        <v>1</v>
      </c>
      <c r="AX172">
        <v>3171</v>
      </c>
      <c r="AY172" t="s">
        <v>125</v>
      </c>
      <c r="AZ172" t="s">
        <v>122</v>
      </c>
      <c r="BA172" t="s">
        <v>232</v>
      </c>
      <c r="BB172" t="s">
        <v>859</v>
      </c>
    </row>
    <row r="173" spans="1:57" x14ac:dyDescent="0.3">
      <c r="A173" s="204">
        <v>46230</v>
      </c>
      <c r="B173" t="s">
        <v>142</v>
      </c>
      <c r="C173" t="s">
        <v>345</v>
      </c>
      <c r="D173" t="s">
        <v>63</v>
      </c>
      <c r="E173" t="s">
        <v>95</v>
      </c>
      <c r="F173" t="s">
        <v>309</v>
      </c>
      <c r="G173" t="s">
        <v>741</v>
      </c>
      <c r="H173" t="s">
        <v>842</v>
      </c>
      <c r="I173" t="s">
        <v>401</v>
      </c>
      <c r="J173">
        <v>1</v>
      </c>
      <c r="K173">
        <v>1</v>
      </c>
      <c r="L173" t="s">
        <v>1095</v>
      </c>
      <c r="M173" s="15">
        <v>46248.437847222223</v>
      </c>
      <c r="N173" s="15">
        <v>46255.4375</v>
      </c>
      <c r="O173" s="15">
        <v>46248.662499999999</v>
      </c>
      <c r="P173" s="15">
        <v>46253.628472222219</v>
      </c>
      <c r="Q173" s="15"/>
      <c r="S173" t="s">
        <v>357</v>
      </c>
      <c r="U173" t="s">
        <v>1498</v>
      </c>
      <c r="V173" t="s">
        <v>357</v>
      </c>
      <c r="W173">
        <v>101</v>
      </c>
      <c r="X173" t="s">
        <v>369</v>
      </c>
      <c r="Y173" t="s">
        <v>239</v>
      </c>
      <c r="Z173" t="s">
        <v>851</v>
      </c>
      <c r="AB173" t="s">
        <v>348</v>
      </c>
      <c r="AC173" t="s">
        <v>7</v>
      </c>
      <c r="AD173" t="s">
        <v>7</v>
      </c>
      <c r="AE173" t="s">
        <v>7</v>
      </c>
      <c r="AF173" t="s">
        <v>1593</v>
      </c>
      <c r="AG173" t="s">
        <v>249</v>
      </c>
      <c r="AH173">
        <v>2</v>
      </c>
      <c r="AI173" t="s">
        <v>250</v>
      </c>
      <c r="AJ173" t="s">
        <v>251</v>
      </c>
      <c r="AK173" t="s">
        <v>827</v>
      </c>
      <c r="AL173" t="s">
        <v>156</v>
      </c>
      <c r="AM173" t="s">
        <v>1594</v>
      </c>
      <c r="AO173">
        <v>46248</v>
      </c>
      <c r="AP173">
        <v>0.66249999999999998</v>
      </c>
      <c r="AQ173">
        <v>46253</v>
      </c>
      <c r="AR173">
        <v>0.62847222222222221</v>
      </c>
      <c r="AS173" t="s">
        <v>201</v>
      </c>
      <c r="AT173" t="s">
        <v>1954</v>
      </c>
      <c r="AU173" t="s">
        <v>1955</v>
      </c>
      <c r="AV173" t="s">
        <v>937</v>
      </c>
      <c r="AX173">
        <v>1</v>
      </c>
      <c r="AY173" t="s">
        <v>111</v>
      </c>
      <c r="AZ173" t="s">
        <v>96</v>
      </c>
      <c r="BA173" t="s">
        <v>225</v>
      </c>
      <c r="BB173" t="s">
        <v>863</v>
      </c>
      <c r="BE173">
        <v>1</v>
      </c>
    </row>
    <row r="174" spans="1:57" x14ac:dyDescent="0.3">
      <c r="A174" s="204">
        <v>46230</v>
      </c>
      <c r="B174" t="s">
        <v>142</v>
      </c>
      <c r="C174" t="s">
        <v>345</v>
      </c>
      <c r="D174" t="s">
        <v>63</v>
      </c>
      <c r="E174" t="s">
        <v>95</v>
      </c>
      <c r="F174" t="s">
        <v>309</v>
      </c>
      <c r="G174" t="s">
        <v>1096</v>
      </c>
      <c r="H174" t="s">
        <v>842</v>
      </c>
      <c r="I174" t="s">
        <v>401</v>
      </c>
      <c r="J174">
        <v>1</v>
      </c>
      <c r="K174">
        <v>1</v>
      </c>
      <c r="L174" t="s">
        <v>1097</v>
      </c>
      <c r="M174" s="15">
        <v>46239.634884259256</v>
      </c>
      <c r="N174" s="15">
        <v>46246.634722222225</v>
      </c>
      <c r="O174" s="15">
        <v>46240.408333333333</v>
      </c>
      <c r="P174" s="15">
        <v>46246.645833333336</v>
      </c>
      <c r="Q174" s="15"/>
      <c r="S174" t="s">
        <v>357</v>
      </c>
      <c r="U174" t="s">
        <v>1500</v>
      </c>
      <c r="V174" t="s">
        <v>357</v>
      </c>
      <c r="W174">
        <v>101</v>
      </c>
      <c r="X174" t="s">
        <v>369</v>
      </c>
      <c r="Y174" t="s">
        <v>239</v>
      </c>
      <c r="Z174" t="s">
        <v>851</v>
      </c>
      <c r="AB174" t="s">
        <v>348</v>
      </c>
      <c r="AC174" t="s">
        <v>7</v>
      </c>
      <c r="AD174" t="s">
        <v>7</v>
      </c>
      <c r="AE174" t="s">
        <v>7</v>
      </c>
      <c r="AF174" t="s">
        <v>1595</v>
      </c>
      <c r="AG174" t="s">
        <v>249</v>
      </c>
      <c r="AH174">
        <v>2</v>
      </c>
      <c r="AI174" t="s">
        <v>250</v>
      </c>
      <c r="AJ174" t="s">
        <v>251</v>
      </c>
      <c r="AK174" t="s">
        <v>827</v>
      </c>
      <c r="AL174" t="s">
        <v>156</v>
      </c>
      <c r="AM174" t="s">
        <v>1594</v>
      </c>
      <c r="AO174">
        <v>46240</v>
      </c>
      <c r="AP174">
        <v>0.40833333333333333</v>
      </c>
      <c r="AQ174">
        <v>46246</v>
      </c>
      <c r="AR174">
        <v>0.64583333333333337</v>
      </c>
      <c r="AS174" t="s">
        <v>201</v>
      </c>
      <c r="AT174" t="s">
        <v>1954</v>
      </c>
      <c r="AU174" t="s">
        <v>1955</v>
      </c>
      <c r="AV174" t="s">
        <v>937</v>
      </c>
      <c r="AX174">
        <v>1</v>
      </c>
      <c r="AY174" t="s">
        <v>111</v>
      </c>
      <c r="AZ174" t="s">
        <v>96</v>
      </c>
      <c r="BA174" t="s">
        <v>225</v>
      </c>
      <c r="BB174" t="s">
        <v>863</v>
      </c>
      <c r="BE174">
        <v>1</v>
      </c>
    </row>
    <row r="175" spans="1:57" x14ac:dyDescent="0.3">
      <c r="A175" s="204">
        <v>46230</v>
      </c>
      <c r="B175" t="s">
        <v>142</v>
      </c>
      <c r="C175" t="s">
        <v>345</v>
      </c>
      <c r="D175" t="s">
        <v>63</v>
      </c>
      <c r="E175" t="s">
        <v>95</v>
      </c>
      <c r="F175" t="s">
        <v>309</v>
      </c>
      <c r="G175" t="s">
        <v>1098</v>
      </c>
      <c r="H175" t="s">
        <v>930</v>
      </c>
      <c r="I175" t="s">
        <v>405</v>
      </c>
      <c r="J175">
        <v>1</v>
      </c>
      <c r="K175">
        <v>1</v>
      </c>
      <c r="L175" t="s">
        <v>1099</v>
      </c>
      <c r="M175" s="15">
        <v>46245.601261574076</v>
      </c>
      <c r="N175" s="15">
        <v>46252.600694444445</v>
      </c>
      <c r="O175" s="15">
        <v>46246.638194444444</v>
      </c>
      <c r="P175" s="15">
        <v>46252.386805555558</v>
      </c>
      <c r="Q175" s="15"/>
      <c r="S175" t="s">
        <v>355</v>
      </c>
      <c r="U175" t="s">
        <v>1502</v>
      </c>
      <c r="V175" t="s">
        <v>355</v>
      </c>
      <c r="W175">
        <v>2200</v>
      </c>
      <c r="X175" t="s">
        <v>369</v>
      </c>
      <c r="Y175" t="s">
        <v>239</v>
      </c>
      <c r="Z175" t="s">
        <v>851</v>
      </c>
      <c r="AB175" t="s">
        <v>348</v>
      </c>
      <c r="AC175" t="s">
        <v>7</v>
      </c>
      <c r="AD175" t="s">
        <v>7</v>
      </c>
      <c r="AE175" t="s">
        <v>7</v>
      </c>
      <c r="AF175" t="s">
        <v>1596</v>
      </c>
      <c r="AG175" t="s">
        <v>249</v>
      </c>
      <c r="AH175">
        <v>2</v>
      </c>
      <c r="AI175" t="s">
        <v>250</v>
      </c>
      <c r="AJ175" t="s">
        <v>251</v>
      </c>
      <c r="AK175" t="s">
        <v>827</v>
      </c>
      <c r="AL175" t="s">
        <v>156</v>
      </c>
      <c r="AM175" t="s">
        <v>1594</v>
      </c>
      <c r="AO175">
        <v>46246</v>
      </c>
      <c r="AP175">
        <v>0.6381944444444444</v>
      </c>
      <c r="AQ175">
        <v>46252</v>
      </c>
      <c r="AR175">
        <v>0.38680555555555557</v>
      </c>
      <c r="AS175" t="s">
        <v>201</v>
      </c>
      <c r="AT175" t="s">
        <v>1954</v>
      </c>
      <c r="AU175" t="s">
        <v>1955</v>
      </c>
      <c r="AV175" t="s">
        <v>937</v>
      </c>
      <c r="AX175">
        <v>1</v>
      </c>
      <c r="AY175" t="s">
        <v>111</v>
      </c>
      <c r="AZ175" t="s">
        <v>96</v>
      </c>
      <c r="BA175" t="s">
        <v>225</v>
      </c>
      <c r="BB175" t="s">
        <v>859</v>
      </c>
      <c r="BE175">
        <v>1</v>
      </c>
    </row>
    <row r="176" spans="1:57" x14ac:dyDescent="0.3">
      <c r="A176" s="204">
        <v>46237</v>
      </c>
      <c r="B176" t="s">
        <v>142</v>
      </c>
      <c r="C176" t="s">
        <v>345</v>
      </c>
      <c r="D176" t="s">
        <v>63</v>
      </c>
      <c r="E176" t="s">
        <v>95</v>
      </c>
      <c r="F176" t="s">
        <v>309</v>
      </c>
      <c r="G176" t="s">
        <v>1100</v>
      </c>
      <c r="H176" t="s">
        <v>845</v>
      </c>
      <c r="I176" t="s">
        <v>402</v>
      </c>
      <c r="J176">
        <v>5</v>
      </c>
      <c r="K176">
        <v>5</v>
      </c>
      <c r="L176" t="s">
        <v>1101</v>
      </c>
      <c r="M176" s="15">
        <v>46245.375648148147</v>
      </c>
      <c r="N176" s="15">
        <v>46252.375</v>
      </c>
      <c r="O176" s="15">
        <v>46246.395138888889</v>
      </c>
      <c r="P176" s="15">
        <v>46248.681250000001</v>
      </c>
      <c r="Q176" s="15"/>
      <c r="S176" t="s">
        <v>355</v>
      </c>
      <c r="V176" t="s">
        <v>355</v>
      </c>
      <c r="W176">
        <v>2200</v>
      </c>
      <c r="X176" t="s">
        <v>369</v>
      </c>
      <c r="Y176" t="s">
        <v>239</v>
      </c>
      <c r="Z176" t="s">
        <v>851</v>
      </c>
      <c r="AB176" t="s">
        <v>348</v>
      </c>
      <c r="AC176" t="s">
        <v>7</v>
      </c>
      <c r="AD176" t="s">
        <v>7</v>
      </c>
      <c r="AE176" t="s">
        <v>7</v>
      </c>
      <c r="AF176" t="s">
        <v>1597</v>
      </c>
      <c r="AG176" t="s">
        <v>249</v>
      </c>
      <c r="AH176">
        <v>2</v>
      </c>
      <c r="AI176" t="s">
        <v>250</v>
      </c>
      <c r="AJ176" t="s">
        <v>251</v>
      </c>
      <c r="AK176" t="s">
        <v>827</v>
      </c>
      <c r="AL176" t="s">
        <v>156</v>
      </c>
      <c r="AM176" t="s">
        <v>1594</v>
      </c>
      <c r="AO176">
        <v>46246</v>
      </c>
      <c r="AP176">
        <v>0.39513888888888887</v>
      </c>
      <c r="AQ176">
        <v>46248</v>
      </c>
      <c r="AR176">
        <v>0.68125000000000002</v>
      </c>
      <c r="AS176" t="s">
        <v>201</v>
      </c>
      <c r="AT176" t="s">
        <v>1954</v>
      </c>
      <c r="AU176" t="s">
        <v>1955</v>
      </c>
      <c r="AV176" t="s">
        <v>937</v>
      </c>
      <c r="AX176">
        <v>5</v>
      </c>
      <c r="AY176" t="s">
        <v>111</v>
      </c>
      <c r="AZ176" t="s">
        <v>96</v>
      </c>
      <c r="BA176" t="s">
        <v>225</v>
      </c>
      <c r="BB176" t="s">
        <v>859</v>
      </c>
      <c r="BE176">
        <v>1</v>
      </c>
    </row>
    <row r="177" spans="1:57" x14ac:dyDescent="0.3">
      <c r="A177" s="204">
        <v>46237</v>
      </c>
      <c r="B177" t="s">
        <v>142</v>
      </c>
      <c r="C177" t="s">
        <v>345</v>
      </c>
      <c r="D177" t="s">
        <v>63</v>
      </c>
      <c r="E177" t="s">
        <v>95</v>
      </c>
      <c r="F177" t="s">
        <v>309</v>
      </c>
      <c r="G177" t="s">
        <v>1102</v>
      </c>
      <c r="H177" t="s">
        <v>845</v>
      </c>
      <c r="I177" t="s">
        <v>402</v>
      </c>
      <c r="J177">
        <v>3</v>
      </c>
      <c r="K177">
        <v>3</v>
      </c>
      <c r="L177" t="s">
        <v>1103</v>
      </c>
      <c r="M177" s="15">
        <v>46239.715613425928</v>
      </c>
      <c r="N177" s="15">
        <v>46247.333333333336</v>
      </c>
      <c r="O177" s="15">
        <v>46241.71597222222</v>
      </c>
      <c r="P177" s="15">
        <v>46246.671527777777</v>
      </c>
      <c r="Q177" s="15"/>
      <c r="S177" t="s">
        <v>355</v>
      </c>
      <c r="V177" t="s">
        <v>355</v>
      </c>
      <c r="W177">
        <v>2200</v>
      </c>
      <c r="X177" t="s">
        <v>369</v>
      </c>
      <c r="Y177" t="s">
        <v>239</v>
      </c>
      <c r="Z177" t="s">
        <v>851</v>
      </c>
      <c r="AB177" t="s">
        <v>348</v>
      </c>
      <c r="AC177" t="s">
        <v>7</v>
      </c>
      <c r="AD177" t="s">
        <v>7</v>
      </c>
      <c r="AE177" t="s">
        <v>7</v>
      </c>
      <c r="AF177" t="s">
        <v>1598</v>
      </c>
      <c r="AG177" t="s">
        <v>249</v>
      </c>
      <c r="AH177">
        <v>2</v>
      </c>
      <c r="AI177" t="s">
        <v>250</v>
      </c>
      <c r="AJ177" t="s">
        <v>251</v>
      </c>
      <c r="AK177" t="s">
        <v>827</v>
      </c>
      <c r="AL177" t="s">
        <v>156</v>
      </c>
      <c r="AM177" t="s">
        <v>1594</v>
      </c>
      <c r="AO177">
        <v>46241</v>
      </c>
      <c r="AP177">
        <v>0.71597222222222223</v>
      </c>
      <c r="AQ177">
        <v>46246</v>
      </c>
      <c r="AR177">
        <v>0.67152777777777772</v>
      </c>
      <c r="AS177" t="s">
        <v>201</v>
      </c>
      <c r="AT177" t="s">
        <v>1954</v>
      </c>
      <c r="AU177" t="s">
        <v>1955</v>
      </c>
      <c r="AV177" t="s">
        <v>937</v>
      </c>
      <c r="AX177">
        <v>3</v>
      </c>
      <c r="AY177" t="s">
        <v>111</v>
      </c>
      <c r="AZ177" t="s">
        <v>96</v>
      </c>
      <c r="BA177" t="s">
        <v>225</v>
      </c>
      <c r="BB177" t="s">
        <v>859</v>
      </c>
      <c r="BE177">
        <v>1</v>
      </c>
    </row>
    <row r="178" spans="1:57" x14ac:dyDescent="0.3">
      <c r="A178" s="204">
        <v>46237</v>
      </c>
      <c r="B178" t="s">
        <v>142</v>
      </c>
      <c r="C178" t="s">
        <v>345</v>
      </c>
      <c r="D178" t="s">
        <v>63</v>
      </c>
      <c r="E178" t="s">
        <v>95</v>
      </c>
      <c r="F178" t="s">
        <v>309</v>
      </c>
      <c r="G178" t="s">
        <v>1104</v>
      </c>
      <c r="H178" t="s">
        <v>845</v>
      </c>
      <c r="I178" t="s">
        <v>402</v>
      </c>
      <c r="J178">
        <v>1</v>
      </c>
      <c r="K178">
        <v>1</v>
      </c>
      <c r="L178" t="s">
        <v>1105</v>
      </c>
      <c r="M178" s="15">
        <v>46238.474398148152</v>
      </c>
      <c r="N178" s="15">
        <v>46245.474305555559</v>
      </c>
      <c r="O178" s="15">
        <v>46238.659722222219</v>
      </c>
      <c r="P178" s="15">
        <v>46241.456944444442</v>
      </c>
      <c r="Q178" s="15"/>
      <c r="S178" t="s">
        <v>355</v>
      </c>
      <c r="V178" t="s">
        <v>355</v>
      </c>
      <c r="W178">
        <v>2200</v>
      </c>
      <c r="X178" t="s">
        <v>369</v>
      </c>
      <c r="Y178" t="s">
        <v>239</v>
      </c>
      <c r="Z178" t="s">
        <v>851</v>
      </c>
      <c r="AB178" t="s">
        <v>348</v>
      </c>
      <c r="AC178" t="s">
        <v>7</v>
      </c>
      <c r="AD178" t="s">
        <v>7</v>
      </c>
      <c r="AE178" t="s">
        <v>7</v>
      </c>
      <c r="AF178" t="s">
        <v>1599</v>
      </c>
      <c r="AG178" t="s">
        <v>249</v>
      </c>
      <c r="AH178">
        <v>2</v>
      </c>
      <c r="AI178" t="s">
        <v>250</v>
      </c>
      <c r="AJ178" t="s">
        <v>251</v>
      </c>
      <c r="AK178" t="s">
        <v>827</v>
      </c>
      <c r="AL178" t="s">
        <v>156</v>
      </c>
      <c r="AM178" t="s">
        <v>1594</v>
      </c>
      <c r="AO178">
        <v>46238</v>
      </c>
      <c r="AP178">
        <v>0.65972222222222221</v>
      </c>
      <c r="AQ178">
        <v>46241</v>
      </c>
      <c r="AR178">
        <v>0.45694444444444443</v>
      </c>
      <c r="AS178" t="s">
        <v>201</v>
      </c>
      <c r="AT178" t="s">
        <v>1954</v>
      </c>
      <c r="AU178" t="s">
        <v>1955</v>
      </c>
      <c r="AV178" t="s">
        <v>937</v>
      </c>
      <c r="AX178">
        <v>1</v>
      </c>
      <c r="AY178" t="s">
        <v>111</v>
      </c>
      <c r="AZ178" t="s">
        <v>96</v>
      </c>
      <c r="BA178" t="s">
        <v>225</v>
      </c>
      <c r="BB178" t="s">
        <v>859</v>
      </c>
      <c r="BE178">
        <v>1</v>
      </c>
    </row>
    <row r="179" spans="1:57" x14ac:dyDescent="0.3">
      <c r="A179" s="204">
        <v>46230</v>
      </c>
      <c r="B179" t="s">
        <v>142</v>
      </c>
      <c r="C179" t="s">
        <v>345</v>
      </c>
      <c r="D179" t="s">
        <v>63</v>
      </c>
      <c r="E179" t="s">
        <v>95</v>
      </c>
      <c r="F179" t="s">
        <v>309</v>
      </c>
      <c r="G179" t="s">
        <v>1106</v>
      </c>
      <c r="H179" t="s">
        <v>844</v>
      </c>
      <c r="I179" t="s">
        <v>406</v>
      </c>
      <c r="J179">
        <v>1</v>
      </c>
      <c r="K179">
        <v>1</v>
      </c>
      <c r="L179" t="s">
        <v>1107</v>
      </c>
      <c r="M179" s="15">
        <v>46244.43917824074</v>
      </c>
      <c r="N179" s="15">
        <v>46251.438888888886</v>
      </c>
      <c r="O179" s="15">
        <v>46245.671527777777</v>
      </c>
      <c r="P179" s="15">
        <v>46251.602083333331</v>
      </c>
      <c r="Q179" s="15"/>
      <c r="S179" t="s">
        <v>354</v>
      </c>
      <c r="U179" t="s">
        <v>1507</v>
      </c>
      <c r="V179" t="s">
        <v>354</v>
      </c>
      <c r="W179">
        <v>50</v>
      </c>
      <c r="X179" t="s">
        <v>369</v>
      </c>
      <c r="Y179" t="s">
        <v>239</v>
      </c>
      <c r="Z179" t="s">
        <v>851</v>
      </c>
      <c r="AB179" t="s">
        <v>348</v>
      </c>
      <c r="AC179" t="s">
        <v>7</v>
      </c>
      <c r="AD179" t="s">
        <v>7</v>
      </c>
      <c r="AE179" t="s">
        <v>7</v>
      </c>
      <c r="AF179" t="s">
        <v>1600</v>
      </c>
      <c r="AG179" t="s">
        <v>249</v>
      </c>
      <c r="AH179">
        <v>2</v>
      </c>
      <c r="AI179" t="s">
        <v>250</v>
      </c>
      <c r="AJ179" t="s">
        <v>251</v>
      </c>
      <c r="AK179" t="s">
        <v>827</v>
      </c>
      <c r="AL179" t="s">
        <v>156</v>
      </c>
      <c r="AM179" t="s">
        <v>1594</v>
      </c>
      <c r="AO179">
        <v>46245</v>
      </c>
      <c r="AP179">
        <v>0.67152777777777772</v>
      </c>
      <c r="AQ179">
        <v>46251</v>
      </c>
      <c r="AR179">
        <v>0.6020833333333333</v>
      </c>
      <c r="AS179" t="s">
        <v>201</v>
      </c>
      <c r="AT179" t="s">
        <v>1954</v>
      </c>
      <c r="AU179" t="s">
        <v>1955</v>
      </c>
      <c r="AV179" t="s">
        <v>937</v>
      </c>
      <c r="AX179">
        <v>1</v>
      </c>
      <c r="AY179" t="s">
        <v>111</v>
      </c>
      <c r="AZ179" t="s">
        <v>96</v>
      </c>
      <c r="BA179" t="s">
        <v>225</v>
      </c>
      <c r="BB179" t="s">
        <v>858</v>
      </c>
      <c r="BE179">
        <v>2.1</v>
      </c>
    </row>
    <row r="180" spans="1:57" x14ac:dyDescent="0.3">
      <c r="A180" s="204">
        <v>46230</v>
      </c>
      <c r="B180" t="s">
        <v>142</v>
      </c>
      <c r="C180" t="s">
        <v>345</v>
      </c>
      <c r="D180" t="s">
        <v>63</v>
      </c>
      <c r="E180" t="s">
        <v>95</v>
      </c>
      <c r="F180" t="s">
        <v>309</v>
      </c>
      <c r="G180" t="s">
        <v>1106</v>
      </c>
      <c r="H180" t="s">
        <v>844</v>
      </c>
      <c r="I180" t="s">
        <v>406</v>
      </c>
      <c r="J180">
        <v>2</v>
      </c>
      <c r="K180">
        <v>2</v>
      </c>
      <c r="L180" t="s">
        <v>1107</v>
      </c>
      <c r="M180" s="15">
        <v>46244.43917824074</v>
      </c>
      <c r="N180" s="15">
        <v>46251.438888888886</v>
      </c>
      <c r="O180" s="15">
        <v>46245.671527777777</v>
      </c>
      <c r="P180" s="15">
        <v>46251.602083333331</v>
      </c>
      <c r="Q180" s="15"/>
      <c r="S180" t="s">
        <v>354</v>
      </c>
      <c r="U180" t="s">
        <v>1509</v>
      </c>
      <c r="V180" t="s">
        <v>354</v>
      </c>
      <c r="W180">
        <v>50</v>
      </c>
      <c r="X180" t="s">
        <v>369</v>
      </c>
      <c r="Y180" t="s">
        <v>239</v>
      </c>
      <c r="Z180" t="s">
        <v>851</v>
      </c>
      <c r="AB180" t="s">
        <v>348</v>
      </c>
      <c r="AC180" t="s">
        <v>7</v>
      </c>
      <c r="AD180" t="s">
        <v>7</v>
      </c>
      <c r="AE180" t="s">
        <v>7</v>
      </c>
      <c r="AF180" t="s">
        <v>1600</v>
      </c>
      <c r="AG180" t="s">
        <v>250</v>
      </c>
      <c r="AH180">
        <v>2</v>
      </c>
      <c r="AI180" t="s">
        <v>250</v>
      </c>
      <c r="AJ180" t="s">
        <v>251</v>
      </c>
      <c r="AK180" t="s">
        <v>827</v>
      </c>
      <c r="AL180" t="s">
        <v>156</v>
      </c>
      <c r="AM180" t="s">
        <v>1594</v>
      </c>
      <c r="AO180">
        <v>46245</v>
      </c>
      <c r="AP180">
        <v>0.67152777777777772</v>
      </c>
      <c r="AQ180">
        <v>46251</v>
      </c>
      <c r="AR180">
        <v>0.6020833333333333</v>
      </c>
      <c r="AS180" t="s">
        <v>1958</v>
      </c>
      <c r="AU180" t="s">
        <v>1955</v>
      </c>
      <c r="AV180" t="s">
        <v>937</v>
      </c>
      <c r="AX180">
        <v>2</v>
      </c>
      <c r="AY180" t="s">
        <v>111</v>
      </c>
      <c r="AZ180" t="s">
        <v>96</v>
      </c>
      <c r="BA180" t="s">
        <v>225</v>
      </c>
      <c r="BB180" t="s">
        <v>858</v>
      </c>
    </row>
    <row r="181" spans="1:57" x14ac:dyDescent="0.3">
      <c r="A181" s="204">
        <v>46230</v>
      </c>
      <c r="B181" t="s">
        <v>142</v>
      </c>
      <c r="C181" t="s">
        <v>345</v>
      </c>
      <c r="D181" t="s">
        <v>63</v>
      </c>
      <c r="E181" t="s">
        <v>95</v>
      </c>
      <c r="F181" t="s">
        <v>309</v>
      </c>
      <c r="G181" t="s">
        <v>1106</v>
      </c>
      <c r="H181" t="s">
        <v>844</v>
      </c>
      <c r="I181" t="s">
        <v>406</v>
      </c>
      <c r="J181">
        <v>4</v>
      </c>
      <c r="K181">
        <v>4</v>
      </c>
      <c r="L181" t="s">
        <v>1107</v>
      </c>
      <c r="M181" s="15">
        <v>46244.43917824074</v>
      </c>
      <c r="N181" s="15">
        <v>46251.438888888886</v>
      </c>
      <c r="O181" s="15">
        <v>46245.671527777777</v>
      </c>
      <c r="P181" s="15">
        <v>46251.602083333331</v>
      </c>
      <c r="Q181" s="15"/>
      <c r="S181" t="s">
        <v>354</v>
      </c>
      <c r="U181" t="s">
        <v>1510</v>
      </c>
      <c r="V181" t="s">
        <v>354</v>
      </c>
      <c r="W181">
        <v>50</v>
      </c>
      <c r="X181" t="s">
        <v>369</v>
      </c>
      <c r="Y181" t="s">
        <v>239</v>
      </c>
      <c r="Z181" t="s">
        <v>851</v>
      </c>
      <c r="AB181" t="s">
        <v>348</v>
      </c>
      <c r="AC181" t="s">
        <v>7</v>
      </c>
      <c r="AD181" t="s">
        <v>7</v>
      </c>
      <c r="AE181" t="s">
        <v>7</v>
      </c>
      <c r="AF181" t="s">
        <v>1600</v>
      </c>
      <c r="AG181" t="s">
        <v>250</v>
      </c>
      <c r="AH181">
        <v>2</v>
      </c>
      <c r="AI181" t="s">
        <v>250</v>
      </c>
      <c r="AJ181" t="s">
        <v>251</v>
      </c>
      <c r="AK181" t="s">
        <v>827</v>
      </c>
      <c r="AL181" t="s">
        <v>156</v>
      </c>
      <c r="AM181" t="s">
        <v>1594</v>
      </c>
      <c r="AO181">
        <v>46245</v>
      </c>
      <c r="AP181">
        <v>0.67152777777777772</v>
      </c>
      <c r="AQ181">
        <v>46251</v>
      </c>
      <c r="AR181">
        <v>0.6020833333333333</v>
      </c>
      <c r="AS181" t="s">
        <v>1958</v>
      </c>
      <c r="AU181" t="s">
        <v>1955</v>
      </c>
      <c r="AV181" t="s">
        <v>937</v>
      </c>
      <c r="AX181">
        <v>4</v>
      </c>
      <c r="AY181" t="s">
        <v>111</v>
      </c>
      <c r="AZ181" t="s">
        <v>96</v>
      </c>
      <c r="BA181" t="s">
        <v>225</v>
      </c>
      <c r="BB181" t="s">
        <v>858</v>
      </c>
    </row>
    <row r="182" spans="1:57" x14ac:dyDescent="0.3">
      <c r="A182" s="204">
        <v>46230</v>
      </c>
      <c r="B182" t="s">
        <v>142</v>
      </c>
      <c r="C182" t="s">
        <v>345</v>
      </c>
      <c r="D182" t="s">
        <v>63</v>
      </c>
      <c r="E182" t="s">
        <v>95</v>
      </c>
      <c r="F182" t="s">
        <v>309</v>
      </c>
      <c r="G182" t="s">
        <v>1106</v>
      </c>
      <c r="H182" t="s">
        <v>844</v>
      </c>
      <c r="I182" t="s">
        <v>406</v>
      </c>
      <c r="J182">
        <v>1</v>
      </c>
      <c r="K182">
        <v>1</v>
      </c>
      <c r="L182" t="s">
        <v>1107</v>
      </c>
      <c r="M182" s="15">
        <v>46244.43917824074</v>
      </c>
      <c r="N182" s="15">
        <v>46251.438888888886</v>
      </c>
      <c r="O182" s="15">
        <v>46245.671527777777</v>
      </c>
      <c r="P182" s="15">
        <v>46251.602083333331</v>
      </c>
      <c r="Q182" s="15"/>
      <c r="S182" t="s">
        <v>354</v>
      </c>
      <c r="U182" t="s">
        <v>1511</v>
      </c>
      <c r="V182" t="s">
        <v>354</v>
      </c>
      <c r="W182">
        <v>50</v>
      </c>
      <c r="X182" t="s">
        <v>369</v>
      </c>
      <c r="Y182" t="s">
        <v>239</v>
      </c>
      <c r="Z182" t="s">
        <v>851</v>
      </c>
      <c r="AB182" t="s">
        <v>348</v>
      </c>
      <c r="AC182" t="s">
        <v>7</v>
      </c>
      <c r="AD182" t="s">
        <v>7</v>
      </c>
      <c r="AE182" t="s">
        <v>7</v>
      </c>
      <c r="AF182" t="s">
        <v>1600</v>
      </c>
      <c r="AG182" t="s">
        <v>250</v>
      </c>
      <c r="AH182">
        <v>2</v>
      </c>
      <c r="AI182" t="s">
        <v>250</v>
      </c>
      <c r="AJ182" t="s">
        <v>251</v>
      </c>
      <c r="AK182" t="s">
        <v>827</v>
      </c>
      <c r="AL182" t="s">
        <v>156</v>
      </c>
      <c r="AM182" t="s">
        <v>1594</v>
      </c>
      <c r="AO182">
        <v>46245</v>
      </c>
      <c r="AP182">
        <v>0.67152777777777772</v>
      </c>
      <c r="AQ182">
        <v>46251</v>
      </c>
      <c r="AR182">
        <v>0.6020833333333333</v>
      </c>
      <c r="AS182" t="s">
        <v>1958</v>
      </c>
      <c r="AU182" t="s">
        <v>1955</v>
      </c>
      <c r="AV182" t="s">
        <v>937</v>
      </c>
      <c r="AX182">
        <v>1</v>
      </c>
      <c r="AY182" t="s">
        <v>111</v>
      </c>
      <c r="AZ182" t="s">
        <v>96</v>
      </c>
      <c r="BA182" t="s">
        <v>225</v>
      </c>
      <c r="BB182" t="s">
        <v>858</v>
      </c>
    </row>
    <row r="183" spans="1:57" x14ac:dyDescent="0.3">
      <c r="A183" s="204">
        <v>46230</v>
      </c>
      <c r="B183" t="s">
        <v>142</v>
      </c>
      <c r="C183" t="s">
        <v>345</v>
      </c>
      <c r="D183" t="s">
        <v>63</v>
      </c>
      <c r="E183" t="s">
        <v>95</v>
      </c>
      <c r="F183" t="s">
        <v>309</v>
      </c>
      <c r="G183" t="s">
        <v>1106</v>
      </c>
      <c r="H183" t="s">
        <v>844</v>
      </c>
      <c r="I183" t="s">
        <v>406</v>
      </c>
      <c r="J183">
        <v>3</v>
      </c>
      <c r="K183">
        <v>3</v>
      </c>
      <c r="L183" t="s">
        <v>1107</v>
      </c>
      <c r="M183" s="15">
        <v>46244.43917824074</v>
      </c>
      <c r="N183" s="15">
        <v>46251.438888888886</v>
      </c>
      <c r="O183" s="15">
        <v>46245.671527777777</v>
      </c>
      <c r="P183" s="15">
        <v>46251.602083333331</v>
      </c>
      <c r="Q183" s="15"/>
      <c r="S183" t="s">
        <v>354</v>
      </c>
      <c r="U183" t="s">
        <v>1512</v>
      </c>
      <c r="V183" t="s">
        <v>354</v>
      </c>
      <c r="W183">
        <v>50</v>
      </c>
      <c r="X183" t="s">
        <v>369</v>
      </c>
      <c r="Y183" t="s">
        <v>239</v>
      </c>
      <c r="Z183" t="s">
        <v>851</v>
      </c>
      <c r="AB183" t="s">
        <v>348</v>
      </c>
      <c r="AC183" t="s">
        <v>7</v>
      </c>
      <c r="AD183" t="s">
        <v>7</v>
      </c>
      <c r="AE183" t="s">
        <v>7</v>
      </c>
      <c r="AF183" t="s">
        <v>1600</v>
      </c>
      <c r="AG183" t="s">
        <v>250</v>
      </c>
      <c r="AH183">
        <v>2</v>
      </c>
      <c r="AI183" t="s">
        <v>250</v>
      </c>
      <c r="AJ183" t="s">
        <v>251</v>
      </c>
      <c r="AK183" t="s">
        <v>827</v>
      </c>
      <c r="AL183" t="s">
        <v>156</v>
      </c>
      <c r="AM183" t="s">
        <v>1594</v>
      </c>
      <c r="AO183">
        <v>46245</v>
      </c>
      <c r="AP183">
        <v>0.67152777777777772</v>
      </c>
      <c r="AQ183">
        <v>46251</v>
      </c>
      <c r="AR183">
        <v>0.6020833333333333</v>
      </c>
      <c r="AS183" t="s">
        <v>1958</v>
      </c>
      <c r="AU183" t="s">
        <v>1955</v>
      </c>
      <c r="AV183" t="s">
        <v>937</v>
      </c>
      <c r="AX183">
        <v>3</v>
      </c>
      <c r="AY183" t="s">
        <v>111</v>
      </c>
      <c r="AZ183" t="s">
        <v>96</v>
      </c>
      <c r="BA183" t="s">
        <v>225</v>
      </c>
      <c r="BB183" t="s">
        <v>858</v>
      </c>
    </row>
    <row r="184" spans="1:57" x14ac:dyDescent="0.3">
      <c r="A184" s="204">
        <v>46230</v>
      </c>
      <c r="B184" t="s">
        <v>142</v>
      </c>
      <c r="C184" t="s">
        <v>345</v>
      </c>
      <c r="D184" t="s">
        <v>63</v>
      </c>
      <c r="E184" t="s">
        <v>95</v>
      </c>
      <c r="F184" t="s">
        <v>309</v>
      </c>
      <c r="G184" t="s">
        <v>1106</v>
      </c>
      <c r="H184" t="s">
        <v>844</v>
      </c>
      <c r="I184" t="s">
        <v>406</v>
      </c>
      <c r="J184">
        <v>4</v>
      </c>
      <c r="K184">
        <v>4</v>
      </c>
      <c r="L184" t="s">
        <v>1107</v>
      </c>
      <c r="M184" s="15">
        <v>46244.43917824074</v>
      </c>
      <c r="N184" s="15">
        <v>46251.438888888886</v>
      </c>
      <c r="O184" s="15">
        <v>46245.671527777777</v>
      </c>
      <c r="P184" s="15">
        <v>46251.602083333331</v>
      </c>
      <c r="Q184" s="15"/>
      <c r="S184" t="s">
        <v>354</v>
      </c>
      <c r="U184" t="s">
        <v>1513</v>
      </c>
      <c r="V184" t="s">
        <v>354</v>
      </c>
      <c r="W184">
        <v>50</v>
      </c>
      <c r="X184" t="s">
        <v>369</v>
      </c>
      <c r="Y184" t="s">
        <v>239</v>
      </c>
      <c r="Z184" t="s">
        <v>851</v>
      </c>
      <c r="AB184" t="s">
        <v>348</v>
      </c>
      <c r="AC184" t="s">
        <v>7</v>
      </c>
      <c r="AD184" t="s">
        <v>7</v>
      </c>
      <c r="AE184" t="s">
        <v>7</v>
      </c>
      <c r="AF184" t="s">
        <v>1600</v>
      </c>
      <c r="AG184" t="s">
        <v>250</v>
      </c>
      <c r="AH184">
        <v>2</v>
      </c>
      <c r="AI184" t="s">
        <v>250</v>
      </c>
      <c r="AJ184" t="s">
        <v>251</v>
      </c>
      <c r="AK184" t="s">
        <v>827</v>
      </c>
      <c r="AL184" t="s">
        <v>156</v>
      </c>
      <c r="AM184" t="s">
        <v>1594</v>
      </c>
      <c r="AO184">
        <v>46245</v>
      </c>
      <c r="AP184">
        <v>0.67152777777777772</v>
      </c>
      <c r="AQ184">
        <v>46251</v>
      </c>
      <c r="AR184">
        <v>0.6020833333333333</v>
      </c>
      <c r="AS184" t="s">
        <v>1958</v>
      </c>
      <c r="AU184" t="s">
        <v>1955</v>
      </c>
      <c r="AV184" t="s">
        <v>937</v>
      </c>
      <c r="AX184">
        <v>4</v>
      </c>
      <c r="AY184" t="s">
        <v>111</v>
      </c>
      <c r="AZ184" t="s">
        <v>96</v>
      </c>
      <c r="BA184" t="s">
        <v>225</v>
      </c>
      <c r="BB184" t="s">
        <v>858</v>
      </c>
    </row>
    <row r="185" spans="1:57" x14ac:dyDescent="0.3">
      <c r="A185" s="204">
        <v>46230</v>
      </c>
      <c r="B185" t="s">
        <v>142</v>
      </c>
      <c r="C185" t="s">
        <v>345</v>
      </c>
      <c r="D185" t="s">
        <v>63</v>
      </c>
      <c r="E185" t="s">
        <v>95</v>
      </c>
      <c r="F185" t="s">
        <v>309</v>
      </c>
      <c r="G185" t="s">
        <v>1106</v>
      </c>
      <c r="H185" t="s">
        <v>844</v>
      </c>
      <c r="I185" t="s">
        <v>406</v>
      </c>
      <c r="J185">
        <v>2</v>
      </c>
      <c r="K185">
        <v>2</v>
      </c>
      <c r="L185" t="s">
        <v>1107</v>
      </c>
      <c r="M185" s="15">
        <v>46244.43917824074</v>
      </c>
      <c r="N185" s="15">
        <v>46251.438888888886</v>
      </c>
      <c r="O185" s="15">
        <v>46245.671527777777</v>
      </c>
      <c r="P185" s="15">
        <v>46251.602083333331</v>
      </c>
      <c r="Q185" s="15"/>
      <c r="S185" t="s">
        <v>354</v>
      </c>
      <c r="U185" t="s">
        <v>1514</v>
      </c>
      <c r="V185" t="s">
        <v>354</v>
      </c>
      <c r="W185">
        <v>50</v>
      </c>
      <c r="X185" t="s">
        <v>369</v>
      </c>
      <c r="Y185" t="s">
        <v>239</v>
      </c>
      <c r="Z185" t="s">
        <v>851</v>
      </c>
      <c r="AB185" t="s">
        <v>348</v>
      </c>
      <c r="AC185" t="s">
        <v>7</v>
      </c>
      <c r="AD185" t="s">
        <v>7</v>
      </c>
      <c r="AE185" t="s">
        <v>7</v>
      </c>
      <c r="AF185" t="s">
        <v>1600</v>
      </c>
      <c r="AG185" t="s">
        <v>250</v>
      </c>
      <c r="AH185">
        <v>2</v>
      </c>
      <c r="AI185" t="s">
        <v>250</v>
      </c>
      <c r="AJ185" t="s">
        <v>251</v>
      </c>
      <c r="AK185" t="s">
        <v>827</v>
      </c>
      <c r="AL185" t="s">
        <v>156</v>
      </c>
      <c r="AM185" t="s">
        <v>1594</v>
      </c>
      <c r="AO185">
        <v>46245</v>
      </c>
      <c r="AP185">
        <v>0.67152777777777772</v>
      </c>
      <c r="AQ185">
        <v>46251</v>
      </c>
      <c r="AR185">
        <v>0.6020833333333333</v>
      </c>
      <c r="AS185" t="s">
        <v>1958</v>
      </c>
      <c r="AU185" t="s">
        <v>1955</v>
      </c>
      <c r="AV185" t="s">
        <v>937</v>
      </c>
      <c r="AX185">
        <v>2</v>
      </c>
      <c r="AY185" t="s">
        <v>111</v>
      </c>
      <c r="AZ185" t="s">
        <v>96</v>
      </c>
      <c r="BA185" t="s">
        <v>225</v>
      </c>
      <c r="BB185" t="s">
        <v>858</v>
      </c>
    </row>
    <row r="186" spans="1:57" x14ac:dyDescent="0.3">
      <c r="A186" s="204">
        <v>46230</v>
      </c>
      <c r="B186" t="s">
        <v>142</v>
      </c>
      <c r="C186" t="s">
        <v>345</v>
      </c>
      <c r="D186" t="s">
        <v>63</v>
      </c>
      <c r="E186" t="s">
        <v>95</v>
      </c>
      <c r="F186" t="s">
        <v>309</v>
      </c>
      <c r="G186" t="s">
        <v>1106</v>
      </c>
      <c r="H186" t="s">
        <v>844</v>
      </c>
      <c r="I186" t="s">
        <v>406</v>
      </c>
      <c r="J186">
        <v>2</v>
      </c>
      <c r="K186">
        <v>2</v>
      </c>
      <c r="L186" t="s">
        <v>1107</v>
      </c>
      <c r="M186" s="15">
        <v>46244.43917824074</v>
      </c>
      <c r="N186" s="15">
        <v>46251.438888888886</v>
      </c>
      <c r="O186" s="15">
        <v>46245.671527777777</v>
      </c>
      <c r="P186" s="15">
        <v>46251.602083333331</v>
      </c>
      <c r="Q186" s="15"/>
      <c r="S186" t="s">
        <v>354</v>
      </c>
      <c r="U186" t="s">
        <v>1515</v>
      </c>
      <c r="V186" t="s">
        <v>354</v>
      </c>
      <c r="W186">
        <v>50</v>
      </c>
      <c r="X186" t="s">
        <v>369</v>
      </c>
      <c r="Y186" t="s">
        <v>239</v>
      </c>
      <c r="Z186" t="s">
        <v>851</v>
      </c>
      <c r="AB186" t="s">
        <v>348</v>
      </c>
      <c r="AC186" t="s">
        <v>7</v>
      </c>
      <c r="AD186" t="s">
        <v>7</v>
      </c>
      <c r="AE186" t="s">
        <v>7</v>
      </c>
      <c r="AF186" t="s">
        <v>1600</v>
      </c>
      <c r="AG186" t="s">
        <v>250</v>
      </c>
      <c r="AH186">
        <v>2</v>
      </c>
      <c r="AI186" t="s">
        <v>250</v>
      </c>
      <c r="AJ186" t="s">
        <v>251</v>
      </c>
      <c r="AK186" t="s">
        <v>827</v>
      </c>
      <c r="AL186" t="s">
        <v>156</v>
      </c>
      <c r="AM186" t="s">
        <v>1594</v>
      </c>
      <c r="AO186">
        <v>46245</v>
      </c>
      <c r="AP186">
        <v>0.67152777777777772</v>
      </c>
      <c r="AQ186">
        <v>46251</v>
      </c>
      <c r="AR186">
        <v>0.6020833333333333</v>
      </c>
      <c r="AS186" t="s">
        <v>1958</v>
      </c>
      <c r="AU186" t="s">
        <v>1955</v>
      </c>
      <c r="AV186" t="s">
        <v>937</v>
      </c>
      <c r="AX186">
        <v>2</v>
      </c>
      <c r="AY186" t="s">
        <v>111</v>
      </c>
      <c r="AZ186" t="s">
        <v>96</v>
      </c>
      <c r="BA186" t="s">
        <v>225</v>
      </c>
      <c r="BB186" t="s">
        <v>858</v>
      </c>
    </row>
    <row r="187" spans="1:57" x14ac:dyDescent="0.3">
      <c r="A187" s="204">
        <v>46230</v>
      </c>
      <c r="B187" t="s">
        <v>142</v>
      </c>
      <c r="C187" t="s">
        <v>345</v>
      </c>
      <c r="D187" t="s">
        <v>63</v>
      </c>
      <c r="E187" t="s">
        <v>95</v>
      </c>
      <c r="F187" t="s">
        <v>309</v>
      </c>
      <c r="G187" t="s">
        <v>1106</v>
      </c>
      <c r="H187" t="s">
        <v>844</v>
      </c>
      <c r="I187" t="s">
        <v>406</v>
      </c>
      <c r="J187">
        <v>2</v>
      </c>
      <c r="K187">
        <v>2</v>
      </c>
      <c r="L187" t="s">
        <v>1107</v>
      </c>
      <c r="M187" s="15">
        <v>46244.43917824074</v>
      </c>
      <c r="N187" s="15">
        <v>46251.438888888886</v>
      </c>
      <c r="O187" s="15">
        <v>46245.671527777777</v>
      </c>
      <c r="P187" s="15">
        <v>46251.602083333331</v>
      </c>
      <c r="Q187" s="15"/>
      <c r="S187" t="s">
        <v>354</v>
      </c>
      <c r="U187" t="s">
        <v>1516</v>
      </c>
      <c r="V187" t="s">
        <v>354</v>
      </c>
      <c r="W187">
        <v>50</v>
      </c>
      <c r="X187" t="s">
        <v>369</v>
      </c>
      <c r="Y187" t="s">
        <v>239</v>
      </c>
      <c r="Z187" t="s">
        <v>851</v>
      </c>
      <c r="AB187" t="s">
        <v>348</v>
      </c>
      <c r="AC187" t="s">
        <v>7</v>
      </c>
      <c r="AD187" t="s">
        <v>7</v>
      </c>
      <c r="AE187" t="s">
        <v>7</v>
      </c>
      <c r="AF187" t="s">
        <v>1600</v>
      </c>
      <c r="AG187" t="s">
        <v>250</v>
      </c>
      <c r="AH187">
        <v>2</v>
      </c>
      <c r="AI187" t="s">
        <v>250</v>
      </c>
      <c r="AJ187" t="s">
        <v>251</v>
      </c>
      <c r="AK187" t="s">
        <v>827</v>
      </c>
      <c r="AL187" t="s">
        <v>156</v>
      </c>
      <c r="AM187" t="s">
        <v>1594</v>
      </c>
      <c r="AO187">
        <v>46245</v>
      </c>
      <c r="AP187">
        <v>0.67152777777777772</v>
      </c>
      <c r="AQ187">
        <v>46251</v>
      </c>
      <c r="AR187">
        <v>0.6020833333333333</v>
      </c>
      <c r="AS187" t="s">
        <v>1958</v>
      </c>
      <c r="AU187" t="s">
        <v>1955</v>
      </c>
      <c r="AV187" t="s">
        <v>937</v>
      </c>
      <c r="AX187">
        <v>2</v>
      </c>
      <c r="AY187" t="s">
        <v>111</v>
      </c>
      <c r="AZ187" t="s">
        <v>96</v>
      </c>
      <c r="BA187" t="s">
        <v>225</v>
      </c>
      <c r="BB187" t="s">
        <v>858</v>
      </c>
    </row>
    <row r="188" spans="1:57" x14ac:dyDescent="0.3">
      <c r="A188" s="204">
        <v>46230</v>
      </c>
      <c r="B188" t="s">
        <v>142</v>
      </c>
      <c r="C188" t="s">
        <v>345</v>
      </c>
      <c r="D188" t="s">
        <v>63</v>
      </c>
      <c r="E188" t="s">
        <v>95</v>
      </c>
      <c r="F188" t="s">
        <v>309</v>
      </c>
      <c r="G188" t="s">
        <v>1108</v>
      </c>
      <c r="H188" t="s">
        <v>840</v>
      </c>
      <c r="I188" t="s">
        <v>399</v>
      </c>
      <c r="J188">
        <v>1</v>
      </c>
      <c r="K188">
        <v>1</v>
      </c>
      <c r="L188" t="s">
        <v>1109</v>
      </c>
      <c r="M188" s="15">
        <v>46244.468541666669</v>
      </c>
      <c r="N188" s="15">
        <v>46251.468055555553</v>
      </c>
      <c r="O188" s="15">
        <v>46244.694444444445</v>
      </c>
      <c r="P188" s="15">
        <v>46248.702777777777</v>
      </c>
      <c r="Q188" s="15"/>
      <c r="S188" t="s">
        <v>354</v>
      </c>
      <c r="U188" t="s">
        <v>1517</v>
      </c>
      <c r="V188" t="s">
        <v>354</v>
      </c>
      <c r="W188">
        <v>50</v>
      </c>
      <c r="X188" t="s">
        <v>369</v>
      </c>
      <c r="Y188" t="s">
        <v>239</v>
      </c>
      <c r="Z188" t="s">
        <v>851</v>
      </c>
      <c r="AB188" t="s">
        <v>348</v>
      </c>
      <c r="AC188" t="s">
        <v>7</v>
      </c>
      <c r="AD188" t="s">
        <v>7</v>
      </c>
      <c r="AE188" t="s">
        <v>7</v>
      </c>
      <c r="AF188" t="s">
        <v>1601</v>
      </c>
      <c r="AG188" t="s">
        <v>249</v>
      </c>
      <c r="AH188">
        <v>2</v>
      </c>
      <c r="AI188" t="s">
        <v>250</v>
      </c>
      <c r="AJ188" t="s">
        <v>251</v>
      </c>
      <c r="AK188" t="s">
        <v>827</v>
      </c>
      <c r="AL188" t="s">
        <v>156</v>
      </c>
      <c r="AM188" t="s">
        <v>1594</v>
      </c>
      <c r="AO188">
        <v>46244</v>
      </c>
      <c r="AP188">
        <v>0.69444444444444442</v>
      </c>
      <c r="AQ188">
        <v>46248</v>
      </c>
      <c r="AR188">
        <v>0.70277777777777772</v>
      </c>
      <c r="AS188" t="s">
        <v>201</v>
      </c>
      <c r="AT188" t="s">
        <v>1954</v>
      </c>
      <c r="AU188" t="s">
        <v>1955</v>
      </c>
      <c r="AV188" t="s">
        <v>937</v>
      </c>
      <c r="AX188">
        <v>1</v>
      </c>
      <c r="AY188" t="s">
        <v>111</v>
      </c>
      <c r="AZ188" t="s">
        <v>96</v>
      </c>
      <c r="BA188" t="s">
        <v>225</v>
      </c>
      <c r="BB188" t="s">
        <v>858</v>
      </c>
      <c r="BE188">
        <v>1</v>
      </c>
    </row>
    <row r="189" spans="1:57" x14ac:dyDescent="0.3">
      <c r="A189" s="204">
        <v>46237</v>
      </c>
      <c r="B189" t="s">
        <v>142</v>
      </c>
      <c r="C189" t="s">
        <v>345</v>
      </c>
      <c r="D189" t="s">
        <v>63</v>
      </c>
      <c r="E189" t="s">
        <v>95</v>
      </c>
      <c r="F189" t="s">
        <v>309</v>
      </c>
      <c r="G189" t="s">
        <v>1110</v>
      </c>
      <c r="H189" t="s">
        <v>840</v>
      </c>
      <c r="I189" t="s">
        <v>399</v>
      </c>
      <c r="J189">
        <v>1</v>
      </c>
      <c r="K189">
        <v>1</v>
      </c>
      <c r="L189" t="s">
        <v>1111</v>
      </c>
      <c r="M189" s="15">
        <v>46244.466851851852</v>
      </c>
      <c r="N189" s="15">
        <v>46251.466666666667</v>
      </c>
      <c r="O189" s="15">
        <v>46247.593055555553</v>
      </c>
      <c r="P189" s="15">
        <v>46252.873611111114</v>
      </c>
      <c r="Q189" s="15"/>
      <c r="S189" t="s">
        <v>354</v>
      </c>
      <c r="V189" t="s">
        <v>354</v>
      </c>
      <c r="W189">
        <v>50</v>
      </c>
      <c r="X189" t="s">
        <v>369</v>
      </c>
      <c r="Y189" t="s">
        <v>239</v>
      </c>
      <c r="Z189" t="s">
        <v>851</v>
      </c>
      <c r="AB189" t="s">
        <v>348</v>
      </c>
      <c r="AC189" t="s">
        <v>7</v>
      </c>
      <c r="AD189" t="s">
        <v>7</v>
      </c>
      <c r="AE189" t="s">
        <v>7</v>
      </c>
      <c r="AF189" t="s">
        <v>1602</v>
      </c>
      <c r="AG189" t="s">
        <v>249</v>
      </c>
      <c r="AH189">
        <v>2</v>
      </c>
      <c r="AI189" t="s">
        <v>250</v>
      </c>
      <c r="AJ189" t="s">
        <v>251</v>
      </c>
      <c r="AK189" t="s">
        <v>827</v>
      </c>
      <c r="AL189" t="s">
        <v>156</v>
      </c>
      <c r="AM189" t="s">
        <v>1594</v>
      </c>
      <c r="AO189">
        <v>46247</v>
      </c>
      <c r="AP189">
        <v>0.59305555555555556</v>
      </c>
      <c r="AQ189">
        <v>46252</v>
      </c>
      <c r="AR189">
        <v>0.87361111111111112</v>
      </c>
      <c r="AS189" t="s">
        <v>201</v>
      </c>
      <c r="AT189" t="s">
        <v>1954</v>
      </c>
      <c r="AU189" t="s">
        <v>1955</v>
      </c>
      <c r="AV189" t="s">
        <v>937</v>
      </c>
      <c r="AX189">
        <v>1</v>
      </c>
      <c r="AY189" t="s">
        <v>111</v>
      </c>
      <c r="AZ189" t="s">
        <v>96</v>
      </c>
      <c r="BA189" t="s">
        <v>225</v>
      </c>
      <c r="BB189" t="s">
        <v>858</v>
      </c>
      <c r="BE189">
        <v>1</v>
      </c>
    </row>
    <row r="190" spans="1:57" x14ac:dyDescent="0.3">
      <c r="A190" s="204">
        <v>46237</v>
      </c>
      <c r="B190" t="s">
        <v>142</v>
      </c>
      <c r="C190" t="s">
        <v>345</v>
      </c>
      <c r="D190" t="s">
        <v>63</v>
      </c>
      <c r="E190" t="s">
        <v>95</v>
      </c>
      <c r="F190" t="s">
        <v>309</v>
      </c>
      <c r="G190" t="s">
        <v>1112</v>
      </c>
      <c r="H190" t="s">
        <v>834</v>
      </c>
      <c r="I190" t="s">
        <v>742</v>
      </c>
      <c r="J190">
        <v>1</v>
      </c>
      <c r="K190">
        <v>1</v>
      </c>
      <c r="L190" t="s">
        <v>1113</v>
      </c>
      <c r="M190" s="15">
        <v>46241.40283564815</v>
      </c>
      <c r="N190" s="15">
        <v>46248.402777777781</v>
      </c>
      <c r="O190" s="15">
        <v>46241.429861111108</v>
      </c>
      <c r="P190" s="15">
        <v>46246.593055555553</v>
      </c>
      <c r="Q190" s="15"/>
      <c r="S190" t="s">
        <v>356</v>
      </c>
      <c r="V190" t="s">
        <v>356</v>
      </c>
      <c r="W190">
        <v>109</v>
      </c>
      <c r="X190" t="s">
        <v>369</v>
      </c>
      <c r="Y190" t="s">
        <v>239</v>
      </c>
      <c r="Z190" t="s">
        <v>851</v>
      </c>
      <c r="AB190" t="s">
        <v>348</v>
      </c>
      <c r="AC190" t="s">
        <v>7</v>
      </c>
      <c r="AD190" t="s">
        <v>7</v>
      </c>
      <c r="AE190" t="s">
        <v>7</v>
      </c>
      <c r="AF190" t="s">
        <v>1603</v>
      </c>
      <c r="AG190" t="s">
        <v>249</v>
      </c>
      <c r="AH190">
        <v>2</v>
      </c>
      <c r="AI190" t="s">
        <v>250</v>
      </c>
      <c r="AJ190" t="s">
        <v>251</v>
      </c>
      <c r="AK190" t="s">
        <v>827</v>
      </c>
      <c r="AL190" t="s">
        <v>156</v>
      </c>
      <c r="AM190" t="s">
        <v>1594</v>
      </c>
      <c r="AO190">
        <v>46241</v>
      </c>
      <c r="AP190">
        <v>0.42986111111111114</v>
      </c>
      <c r="AQ190">
        <v>46246</v>
      </c>
      <c r="AR190">
        <v>0.59305555555555556</v>
      </c>
      <c r="AS190" t="s">
        <v>201</v>
      </c>
      <c r="AT190" t="s">
        <v>1954</v>
      </c>
      <c r="AU190" t="s">
        <v>1955</v>
      </c>
      <c r="AV190" t="s">
        <v>937</v>
      </c>
      <c r="AX190">
        <v>1</v>
      </c>
      <c r="AY190" t="s">
        <v>111</v>
      </c>
      <c r="AZ190" t="s">
        <v>96</v>
      </c>
      <c r="BA190" t="s">
        <v>225</v>
      </c>
      <c r="BB190" t="s">
        <v>854</v>
      </c>
      <c r="BE190">
        <v>1</v>
      </c>
    </row>
    <row r="191" spans="1:57" x14ac:dyDescent="0.3">
      <c r="A191" s="204">
        <v>46235</v>
      </c>
      <c r="B191" t="s">
        <v>142</v>
      </c>
      <c r="C191" t="s">
        <v>345</v>
      </c>
      <c r="D191" t="s">
        <v>63</v>
      </c>
      <c r="E191" t="s">
        <v>95</v>
      </c>
      <c r="F191" t="s">
        <v>309</v>
      </c>
      <c r="G191" t="s">
        <v>1114</v>
      </c>
      <c r="H191" t="s">
        <v>860</v>
      </c>
      <c r="I191" t="s">
        <v>419</v>
      </c>
      <c r="J191" s="14">
        <v>2</v>
      </c>
      <c r="K191" s="14">
        <v>2</v>
      </c>
      <c r="L191" t="s">
        <v>1115</v>
      </c>
      <c r="M191" s="15">
        <v>46202.512337962966</v>
      </c>
      <c r="N191" s="15">
        <v>46209.5</v>
      </c>
      <c r="O191" s="15">
        <v>46241.424259259256</v>
      </c>
      <c r="P191" s="15">
        <v>46248.483460648145</v>
      </c>
      <c r="Q191" s="15"/>
      <c r="S191" t="s">
        <v>356</v>
      </c>
      <c r="T191" t="s">
        <v>1521</v>
      </c>
      <c r="U191" t="s">
        <v>1522</v>
      </c>
      <c r="V191" t="s">
        <v>356</v>
      </c>
      <c r="W191">
        <v>109</v>
      </c>
      <c r="X191" t="s">
        <v>369</v>
      </c>
      <c r="Y191" t="s">
        <v>239</v>
      </c>
      <c r="Z191" t="s">
        <v>851</v>
      </c>
      <c r="AB191" t="s">
        <v>348</v>
      </c>
      <c r="AC191" t="s">
        <v>7</v>
      </c>
      <c r="AD191" t="s">
        <v>7</v>
      </c>
      <c r="AE191" t="s">
        <v>7</v>
      </c>
      <c r="AF191" t="s">
        <v>1604</v>
      </c>
      <c r="AG191" t="s">
        <v>249</v>
      </c>
      <c r="AH191">
        <v>2</v>
      </c>
      <c r="AI191" t="s">
        <v>250</v>
      </c>
      <c r="AJ191" t="s">
        <v>251</v>
      </c>
      <c r="AK191" t="s">
        <v>827</v>
      </c>
      <c r="AL191" t="s">
        <v>156</v>
      </c>
      <c r="AM191" t="s">
        <v>1594</v>
      </c>
      <c r="AO191">
        <v>46241</v>
      </c>
      <c r="AP191">
        <v>0.42425925925925928</v>
      </c>
      <c r="AQ191">
        <v>46248</v>
      </c>
      <c r="AR191">
        <v>0.48346064814814815</v>
      </c>
      <c r="AS191" t="s">
        <v>201</v>
      </c>
      <c r="AT191" t="s">
        <v>1954</v>
      </c>
      <c r="AU191" t="s">
        <v>1955</v>
      </c>
      <c r="AV191" t="s">
        <v>937</v>
      </c>
      <c r="AX191">
        <v>2</v>
      </c>
      <c r="AY191" t="s">
        <v>111</v>
      </c>
      <c r="AZ191" t="s">
        <v>96</v>
      </c>
      <c r="BA191" t="s">
        <v>225</v>
      </c>
      <c r="BB191" t="s">
        <v>854</v>
      </c>
      <c r="BE191">
        <v>1</v>
      </c>
    </row>
    <row r="192" spans="1:57" x14ac:dyDescent="0.3">
      <c r="A192" s="204">
        <v>46235</v>
      </c>
      <c r="B192" t="s">
        <v>142</v>
      </c>
      <c r="C192" t="s">
        <v>345</v>
      </c>
      <c r="D192" t="s">
        <v>63</v>
      </c>
      <c r="E192" t="s">
        <v>95</v>
      </c>
      <c r="F192" t="s">
        <v>309</v>
      </c>
      <c r="G192" t="s">
        <v>1116</v>
      </c>
      <c r="H192" t="s">
        <v>1524</v>
      </c>
      <c r="I192" t="s">
        <v>1117</v>
      </c>
      <c r="J192">
        <v>6</v>
      </c>
      <c r="K192">
        <v>6</v>
      </c>
      <c r="L192" t="s">
        <v>1118</v>
      </c>
      <c r="M192" s="15">
        <v>46230.40084490741</v>
      </c>
      <c r="N192" s="15">
        <v>46237.400694444441</v>
      </c>
      <c r="O192" s="15">
        <v>46233.454386574071</v>
      </c>
      <c r="P192" s="15">
        <v>46238.481249999997</v>
      </c>
      <c r="Q192" s="15"/>
      <c r="S192" t="s">
        <v>356</v>
      </c>
      <c r="U192" t="s">
        <v>1525</v>
      </c>
      <c r="V192" t="s">
        <v>356</v>
      </c>
      <c r="W192">
        <v>109</v>
      </c>
      <c r="X192" t="s">
        <v>369</v>
      </c>
      <c r="Y192" t="s">
        <v>239</v>
      </c>
      <c r="Z192" t="s">
        <v>851</v>
      </c>
      <c r="AB192" t="s">
        <v>348</v>
      </c>
      <c r="AC192" t="s">
        <v>7</v>
      </c>
      <c r="AD192" t="s">
        <v>7</v>
      </c>
      <c r="AE192" t="s">
        <v>7</v>
      </c>
      <c r="AF192" t="s">
        <v>1605</v>
      </c>
      <c r="AG192" t="s">
        <v>249</v>
      </c>
      <c r="AH192">
        <v>2</v>
      </c>
      <c r="AI192" t="s">
        <v>250</v>
      </c>
      <c r="AJ192" t="s">
        <v>251</v>
      </c>
      <c r="AK192" t="s">
        <v>827</v>
      </c>
      <c r="AL192" t="s">
        <v>156</v>
      </c>
      <c r="AM192" t="s">
        <v>1594</v>
      </c>
      <c r="AO192">
        <v>46233</v>
      </c>
      <c r="AP192">
        <v>0.45438657407407407</v>
      </c>
      <c r="AQ192">
        <v>46238</v>
      </c>
      <c r="AR192">
        <v>0.48125000000000001</v>
      </c>
      <c r="AS192" t="s">
        <v>201</v>
      </c>
      <c r="AT192" t="s">
        <v>1954</v>
      </c>
      <c r="AU192" t="s">
        <v>1955</v>
      </c>
      <c r="AV192" t="s">
        <v>937</v>
      </c>
      <c r="AX192">
        <v>6</v>
      </c>
      <c r="AY192" t="s">
        <v>111</v>
      </c>
      <c r="AZ192" t="s">
        <v>96</v>
      </c>
      <c r="BA192" t="s">
        <v>225</v>
      </c>
      <c r="BB192" t="s">
        <v>854</v>
      </c>
      <c r="BE192">
        <v>5</v>
      </c>
    </row>
    <row r="193" spans="1:57" x14ac:dyDescent="0.3">
      <c r="A193" s="204">
        <v>46235</v>
      </c>
      <c r="B193" t="s">
        <v>142</v>
      </c>
      <c r="C193" t="s">
        <v>345</v>
      </c>
      <c r="D193" t="s">
        <v>63</v>
      </c>
      <c r="E193" t="s">
        <v>95</v>
      </c>
      <c r="F193" t="s">
        <v>309</v>
      </c>
      <c r="G193" t="s">
        <v>1116</v>
      </c>
      <c r="H193" t="s">
        <v>1524</v>
      </c>
      <c r="I193" t="s">
        <v>1117</v>
      </c>
      <c r="J193">
        <v>4</v>
      </c>
      <c r="K193">
        <v>4</v>
      </c>
      <c r="L193" t="s">
        <v>1118</v>
      </c>
      <c r="M193" s="15">
        <v>46230.40084490741</v>
      </c>
      <c r="N193" s="15">
        <v>46237.400694444441</v>
      </c>
      <c r="O193" s="15">
        <v>46233.454386574071</v>
      </c>
      <c r="P193" s="15">
        <v>46238.481249999997</v>
      </c>
      <c r="Q193" s="15"/>
      <c r="S193" t="s">
        <v>356</v>
      </c>
      <c r="U193" t="s">
        <v>1527</v>
      </c>
      <c r="V193" t="s">
        <v>356</v>
      </c>
      <c r="W193">
        <v>109</v>
      </c>
      <c r="X193" t="s">
        <v>369</v>
      </c>
      <c r="Y193" t="s">
        <v>239</v>
      </c>
      <c r="Z193" t="s">
        <v>851</v>
      </c>
      <c r="AB193" t="s">
        <v>348</v>
      </c>
      <c r="AC193" t="s">
        <v>7</v>
      </c>
      <c r="AD193" t="s">
        <v>7</v>
      </c>
      <c r="AE193" t="s">
        <v>7</v>
      </c>
      <c r="AF193" t="s">
        <v>1605</v>
      </c>
      <c r="AG193" t="s">
        <v>250</v>
      </c>
      <c r="AH193">
        <v>2</v>
      </c>
      <c r="AI193" t="s">
        <v>250</v>
      </c>
      <c r="AJ193" t="s">
        <v>251</v>
      </c>
      <c r="AK193" t="s">
        <v>827</v>
      </c>
      <c r="AL193" t="s">
        <v>156</v>
      </c>
      <c r="AM193" t="s">
        <v>1594</v>
      </c>
      <c r="AO193">
        <v>46233</v>
      </c>
      <c r="AP193">
        <v>0.45438657407407407</v>
      </c>
      <c r="AQ193">
        <v>46238</v>
      </c>
      <c r="AR193">
        <v>0.48125000000000001</v>
      </c>
      <c r="AS193" t="s">
        <v>1958</v>
      </c>
      <c r="AU193" t="s">
        <v>1955</v>
      </c>
      <c r="AV193" t="s">
        <v>937</v>
      </c>
      <c r="AX193">
        <v>4</v>
      </c>
      <c r="AY193" t="s">
        <v>111</v>
      </c>
      <c r="AZ193" t="s">
        <v>96</v>
      </c>
      <c r="BA193" t="s">
        <v>225</v>
      </c>
      <c r="BB193" t="s">
        <v>854</v>
      </c>
    </row>
    <row r="194" spans="1:57" x14ac:dyDescent="0.3">
      <c r="A194" s="204">
        <v>46235</v>
      </c>
      <c r="B194" t="s">
        <v>142</v>
      </c>
      <c r="C194" t="s">
        <v>345</v>
      </c>
      <c r="D194" t="s">
        <v>63</v>
      </c>
      <c r="E194" t="s">
        <v>95</v>
      </c>
      <c r="F194" t="s">
        <v>309</v>
      </c>
      <c r="G194" t="s">
        <v>1116</v>
      </c>
      <c r="H194" t="s">
        <v>1524</v>
      </c>
      <c r="I194" t="s">
        <v>1117</v>
      </c>
      <c r="J194">
        <v>5</v>
      </c>
      <c r="K194">
        <v>5</v>
      </c>
      <c r="L194" t="s">
        <v>1118</v>
      </c>
      <c r="M194" s="15">
        <v>46230.40084490741</v>
      </c>
      <c r="N194" s="15">
        <v>46237.400694444441</v>
      </c>
      <c r="O194" s="15">
        <v>46233.454386574071</v>
      </c>
      <c r="P194" s="15">
        <v>46238.481249999997</v>
      </c>
      <c r="Q194" s="15"/>
      <c r="S194" t="s">
        <v>356</v>
      </c>
      <c r="U194" t="s">
        <v>1528</v>
      </c>
      <c r="V194" t="s">
        <v>356</v>
      </c>
      <c r="W194">
        <v>109</v>
      </c>
      <c r="X194" t="s">
        <v>369</v>
      </c>
      <c r="Y194" t="s">
        <v>239</v>
      </c>
      <c r="Z194" t="s">
        <v>851</v>
      </c>
      <c r="AB194" t="s">
        <v>348</v>
      </c>
      <c r="AC194" t="s">
        <v>7</v>
      </c>
      <c r="AD194" t="s">
        <v>7</v>
      </c>
      <c r="AE194" t="s">
        <v>7</v>
      </c>
      <c r="AF194" t="s">
        <v>1605</v>
      </c>
      <c r="AG194" t="s">
        <v>250</v>
      </c>
      <c r="AH194">
        <v>2</v>
      </c>
      <c r="AI194" t="s">
        <v>250</v>
      </c>
      <c r="AJ194" t="s">
        <v>251</v>
      </c>
      <c r="AK194" t="s">
        <v>827</v>
      </c>
      <c r="AL194" t="s">
        <v>156</v>
      </c>
      <c r="AM194" t="s">
        <v>1594</v>
      </c>
      <c r="AO194">
        <v>46233</v>
      </c>
      <c r="AP194">
        <v>0.45438657407407407</v>
      </c>
      <c r="AQ194">
        <v>46238</v>
      </c>
      <c r="AR194">
        <v>0.48125000000000001</v>
      </c>
      <c r="AS194" t="s">
        <v>1958</v>
      </c>
      <c r="AU194" t="s">
        <v>1955</v>
      </c>
      <c r="AV194" t="s">
        <v>937</v>
      </c>
      <c r="AX194">
        <v>5</v>
      </c>
      <c r="AY194" t="s">
        <v>111</v>
      </c>
      <c r="AZ194" t="s">
        <v>96</v>
      </c>
      <c r="BA194" t="s">
        <v>225</v>
      </c>
      <c r="BB194" t="s">
        <v>854</v>
      </c>
    </row>
    <row r="195" spans="1:57" x14ac:dyDescent="0.3">
      <c r="A195" s="204">
        <v>46235</v>
      </c>
      <c r="B195" t="s">
        <v>142</v>
      </c>
      <c r="C195" t="s">
        <v>345</v>
      </c>
      <c r="D195" t="s">
        <v>63</v>
      </c>
      <c r="E195" t="s">
        <v>95</v>
      </c>
      <c r="F195" t="s">
        <v>309</v>
      </c>
      <c r="G195" t="s">
        <v>1116</v>
      </c>
      <c r="H195" t="s">
        <v>1524</v>
      </c>
      <c r="I195" t="s">
        <v>1117</v>
      </c>
      <c r="J195">
        <v>5</v>
      </c>
      <c r="K195">
        <v>5</v>
      </c>
      <c r="L195" t="s">
        <v>1118</v>
      </c>
      <c r="M195" s="15">
        <v>46230.40084490741</v>
      </c>
      <c r="N195" s="15">
        <v>46237.400694444441</v>
      </c>
      <c r="O195" s="15">
        <v>46233.454386574071</v>
      </c>
      <c r="P195" s="15">
        <v>46238.481249999997</v>
      </c>
      <c r="Q195" s="15"/>
      <c r="S195" t="s">
        <v>356</v>
      </c>
      <c r="U195" t="s">
        <v>1531</v>
      </c>
      <c r="V195" t="s">
        <v>356</v>
      </c>
      <c r="W195">
        <v>109</v>
      </c>
      <c r="X195" t="s">
        <v>369</v>
      </c>
      <c r="Y195" t="s">
        <v>239</v>
      </c>
      <c r="Z195" t="s">
        <v>851</v>
      </c>
      <c r="AB195" t="s">
        <v>348</v>
      </c>
      <c r="AC195" t="s">
        <v>7</v>
      </c>
      <c r="AD195" t="s">
        <v>7</v>
      </c>
      <c r="AE195" t="s">
        <v>7</v>
      </c>
      <c r="AF195" t="s">
        <v>1605</v>
      </c>
      <c r="AG195" t="s">
        <v>250</v>
      </c>
      <c r="AH195">
        <v>2</v>
      </c>
      <c r="AI195" t="s">
        <v>250</v>
      </c>
      <c r="AJ195" t="s">
        <v>251</v>
      </c>
      <c r="AK195" t="s">
        <v>827</v>
      </c>
      <c r="AL195" t="s">
        <v>156</v>
      </c>
      <c r="AM195" t="s">
        <v>1594</v>
      </c>
      <c r="AO195">
        <v>46233</v>
      </c>
      <c r="AP195">
        <v>0.45438657407407407</v>
      </c>
      <c r="AQ195">
        <v>46238</v>
      </c>
      <c r="AR195">
        <v>0.48125000000000001</v>
      </c>
      <c r="AS195" t="s">
        <v>1958</v>
      </c>
      <c r="AU195" t="s">
        <v>1955</v>
      </c>
      <c r="AV195" t="s">
        <v>937</v>
      </c>
      <c r="AX195">
        <v>5</v>
      </c>
      <c r="AY195" t="s">
        <v>111</v>
      </c>
      <c r="AZ195" t="s">
        <v>96</v>
      </c>
      <c r="BA195" t="s">
        <v>225</v>
      </c>
      <c r="BB195" t="s">
        <v>854</v>
      </c>
    </row>
    <row r="196" spans="1:57" x14ac:dyDescent="0.3">
      <c r="A196" s="204">
        <v>46235</v>
      </c>
      <c r="B196" t="s">
        <v>142</v>
      </c>
      <c r="C196" t="s">
        <v>345</v>
      </c>
      <c r="D196" t="s">
        <v>63</v>
      </c>
      <c r="E196" t="s">
        <v>95</v>
      </c>
      <c r="F196" t="s">
        <v>309</v>
      </c>
      <c r="G196" t="s">
        <v>1116</v>
      </c>
      <c r="H196" t="s">
        <v>1524</v>
      </c>
      <c r="I196" t="s">
        <v>1117</v>
      </c>
      <c r="J196">
        <v>6</v>
      </c>
      <c r="K196">
        <v>6</v>
      </c>
      <c r="L196" t="s">
        <v>1118</v>
      </c>
      <c r="M196" s="15">
        <v>46230.40084490741</v>
      </c>
      <c r="N196" s="15">
        <v>46237.400694444441</v>
      </c>
      <c r="O196" s="15">
        <v>46233.454386574071</v>
      </c>
      <c r="P196" s="15">
        <v>46238.481249999997</v>
      </c>
      <c r="Q196" s="15"/>
      <c r="S196" t="s">
        <v>356</v>
      </c>
      <c r="U196" t="s">
        <v>1532</v>
      </c>
      <c r="V196" t="s">
        <v>356</v>
      </c>
      <c r="W196">
        <v>109</v>
      </c>
      <c r="X196" t="s">
        <v>369</v>
      </c>
      <c r="Y196" t="s">
        <v>239</v>
      </c>
      <c r="Z196" t="s">
        <v>851</v>
      </c>
      <c r="AB196" t="s">
        <v>348</v>
      </c>
      <c r="AC196" t="s">
        <v>7</v>
      </c>
      <c r="AD196" t="s">
        <v>7</v>
      </c>
      <c r="AE196" t="s">
        <v>7</v>
      </c>
      <c r="AF196" t="s">
        <v>1605</v>
      </c>
      <c r="AG196" t="s">
        <v>250</v>
      </c>
      <c r="AH196">
        <v>2</v>
      </c>
      <c r="AI196" t="s">
        <v>250</v>
      </c>
      <c r="AJ196" t="s">
        <v>251</v>
      </c>
      <c r="AK196" t="s">
        <v>827</v>
      </c>
      <c r="AL196" t="s">
        <v>156</v>
      </c>
      <c r="AM196" t="s">
        <v>1594</v>
      </c>
      <c r="AO196">
        <v>46233</v>
      </c>
      <c r="AP196">
        <v>0.45438657407407407</v>
      </c>
      <c r="AQ196">
        <v>46238</v>
      </c>
      <c r="AR196">
        <v>0.48125000000000001</v>
      </c>
      <c r="AS196" t="s">
        <v>1958</v>
      </c>
      <c r="AU196" t="s">
        <v>1955</v>
      </c>
      <c r="AV196" t="s">
        <v>937</v>
      </c>
      <c r="AX196">
        <v>6</v>
      </c>
      <c r="AY196" t="s">
        <v>111</v>
      </c>
      <c r="AZ196" t="s">
        <v>96</v>
      </c>
      <c r="BA196" t="s">
        <v>225</v>
      </c>
      <c r="BB196" t="s">
        <v>854</v>
      </c>
    </row>
    <row r="197" spans="1:57" x14ac:dyDescent="0.3">
      <c r="A197" s="204">
        <v>46235</v>
      </c>
      <c r="B197" t="s">
        <v>142</v>
      </c>
      <c r="C197" t="s">
        <v>345</v>
      </c>
      <c r="D197" t="s">
        <v>63</v>
      </c>
      <c r="E197" t="s">
        <v>95</v>
      </c>
      <c r="F197" t="s">
        <v>309</v>
      </c>
      <c r="G197" t="s">
        <v>1116</v>
      </c>
      <c r="H197" t="s">
        <v>1524</v>
      </c>
      <c r="I197" t="s">
        <v>1117</v>
      </c>
      <c r="J197">
        <v>4</v>
      </c>
      <c r="K197">
        <v>4</v>
      </c>
      <c r="L197" t="s">
        <v>1118</v>
      </c>
      <c r="M197" s="15">
        <v>46230.40084490741</v>
      </c>
      <c r="N197" s="15">
        <v>46237.400694444441</v>
      </c>
      <c r="O197" s="15">
        <v>46233.454386574071</v>
      </c>
      <c r="P197" s="15">
        <v>46238.481249999997</v>
      </c>
      <c r="Q197" s="15"/>
      <c r="S197" t="s">
        <v>356</v>
      </c>
      <c r="U197" t="s">
        <v>1530</v>
      </c>
      <c r="V197" t="s">
        <v>356</v>
      </c>
      <c r="W197">
        <v>109</v>
      </c>
      <c r="X197" t="s">
        <v>369</v>
      </c>
      <c r="Y197" t="s">
        <v>239</v>
      </c>
      <c r="Z197" t="s">
        <v>851</v>
      </c>
      <c r="AB197" t="s">
        <v>348</v>
      </c>
      <c r="AC197" t="s">
        <v>7</v>
      </c>
      <c r="AD197" t="s">
        <v>7</v>
      </c>
      <c r="AE197" t="s">
        <v>7</v>
      </c>
      <c r="AF197" t="s">
        <v>1605</v>
      </c>
      <c r="AG197" t="s">
        <v>250</v>
      </c>
      <c r="AH197">
        <v>2</v>
      </c>
      <c r="AI197" t="s">
        <v>250</v>
      </c>
      <c r="AJ197" t="s">
        <v>251</v>
      </c>
      <c r="AK197" t="s">
        <v>827</v>
      </c>
      <c r="AL197" t="s">
        <v>156</v>
      </c>
      <c r="AM197" t="s">
        <v>1594</v>
      </c>
      <c r="AO197">
        <v>46233</v>
      </c>
      <c r="AP197">
        <v>0.45438657407407407</v>
      </c>
      <c r="AQ197">
        <v>46238</v>
      </c>
      <c r="AR197">
        <v>0.48125000000000001</v>
      </c>
      <c r="AS197" t="s">
        <v>1958</v>
      </c>
      <c r="AU197" t="s">
        <v>1955</v>
      </c>
      <c r="AV197" t="s">
        <v>937</v>
      </c>
      <c r="AX197">
        <v>4</v>
      </c>
      <c r="AY197" t="s">
        <v>111</v>
      </c>
      <c r="AZ197" t="s">
        <v>96</v>
      </c>
      <c r="BA197" t="s">
        <v>225</v>
      </c>
      <c r="BB197" t="s">
        <v>854</v>
      </c>
    </row>
    <row r="198" spans="1:57" x14ac:dyDescent="0.3">
      <c r="A198" s="204">
        <v>46235</v>
      </c>
      <c r="B198" t="s">
        <v>142</v>
      </c>
      <c r="C198" t="s">
        <v>345</v>
      </c>
      <c r="D198" t="s">
        <v>63</v>
      </c>
      <c r="E198" t="s">
        <v>95</v>
      </c>
      <c r="F198" t="s">
        <v>309</v>
      </c>
      <c r="G198" t="s">
        <v>1116</v>
      </c>
      <c r="H198" t="s">
        <v>1524</v>
      </c>
      <c r="I198" t="s">
        <v>1117</v>
      </c>
      <c r="J198">
        <v>6</v>
      </c>
      <c r="K198">
        <v>6</v>
      </c>
      <c r="L198" t="s">
        <v>1118</v>
      </c>
      <c r="M198" s="15">
        <v>46230.40084490741</v>
      </c>
      <c r="N198" s="15">
        <v>46237.400694444441</v>
      </c>
      <c r="O198" s="15">
        <v>46233.454386574071</v>
      </c>
      <c r="P198" s="15">
        <v>46238.481249999997</v>
      </c>
      <c r="Q198" s="15"/>
      <c r="S198" t="s">
        <v>356</v>
      </c>
      <c r="U198" t="s">
        <v>1529</v>
      </c>
      <c r="V198" t="s">
        <v>356</v>
      </c>
      <c r="W198">
        <v>109</v>
      </c>
      <c r="X198" t="s">
        <v>369</v>
      </c>
      <c r="Y198" t="s">
        <v>239</v>
      </c>
      <c r="Z198" t="s">
        <v>851</v>
      </c>
      <c r="AB198" t="s">
        <v>348</v>
      </c>
      <c r="AC198" t="s">
        <v>7</v>
      </c>
      <c r="AD198" t="s">
        <v>7</v>
      </c>
      <c r="AE198" t="s">
        <v>7</v>
      </c>
      <c r="AF198" t="s">
        <v>1605</v>
      </c>
      <c r="AG198" t="s">
        <v>250</v>
      </c>
      <c r="AH198">
        <v>2</v>
      </c>
      <c r="AI198" t="s">
        <v>250</v>
      </c>
      <c r="AJ198" t="s">
        <v>251</v>
      </c>
      <c r="AK198" t="s">
        <v>827</v>
      </c>
      <c r="AL198" t="s">
        <v>156</v>
      </c>
      <c r="AM198" t="s">
        <v>1594</v>
      </c>
      <c r="AO198">
        <v>46233</v>
      </c>
      <c r="AP198">
        <v>0.45438657407407407</v>
      </c>
      <c r="AQ198">
        <v>46238</v>
      </c>
      <c r="AR198">
        <v>0.48125000000000001</v>
      </c>
      <c r="AS198" t="s">
        <v>1958</v>
      </c>
      <c r="AU198" t="s">
        <v>1955</v>
      </c>
      <c r="AV198" t="s">
        <v>937</v>
      </c>
      <c r="AX198">
        <v>6</v>
      </c>
      <c r="AY198" t="s">
        <v>111</v>
      </c>
      <c r="AZ198" t="s">
        <v>96</v>
      </c>
      <c r="BA198" t="s">
        <v>225</v>
      </c>
      <c r="BB198" t="s">
        <v>854</v>
      </c>
    </row>
    <row r="199" spans="1:57" x14ac:dyDescent="0.3">
      <c r="A199" s="204">
        <v>46235</v>
      </c>
      <c r="B199" t="s">
        <v>142</v>
      </c>
      <c r="C199" t="s">
        <v>345</v>
      </c>
      <c r="D199" t="s">
        <v>63</v>
      </c>
      <c r="E199" t="s">
        <v>95</v>
      </c>
      <c r="F199" t="s">
        <v>309</v>
      </c>
      <c r="G199" t="s">
        <v>1116</v>
      </c>
      <c r="H199" t="s">
        <v>1524</v>
      </c>
      <c r="I199" t="s">
        <v>1117</v>
      </c>
      <c r="J199">
        <v>3</v>
      </c>
      <c r="K199">
        <v>3</v>
      </c>
      <c r="L199" t="s">
        <v>1118</v>
      </c>
      <c r="M199" s="15">
        <v>46230.40084490741</v>
      </c>
      <c r="N199" s="15">
        <v>46237.400694444441</v>
      </c>
      <c r="O199" s="15">
        <v>46233.454386574071</v>
      </c>
      <c r="P199" s="15">
        <v>46238.481249999997</v>
      </c>
      <c r="Q199" s="15"/>
      <c r="S199" t="s">
        <v>356</v>
      </c>
      <c r="U199" t="s">
        <v>1534</v>
      </c>
      <c r="V199" t="s">
        <v>356</v>
      </c>
      <c r="W199">
        <v>109</v>
      </c>
      <c r="X199" t="s">
        <v>369</v>
      </c>
      <c r="Y199" t="s">
        <v>239</v>
      </c>
      <c r="Z199" t="s">
        <v>851</v>
      </c>
      <c r="AB199" t="s">
        <v>348</v>
      </c>
      <c r="AC199" t="s">
        <v>7</v>
      </c>
      <c r="AD199" t="s">
        <v>7</v>
      </c>
      <c r="AE199" t="s">
        <v>7</v>
      </c>
      <c r="AF199" t="s">
        <v>1605</v>
      </c>
      <c r="AG199" t="s">
        <v>250</v>
      </c>
      <c r="AH199">
        <v>2</v>
      </c>
      <c r="AI199" t="s">
        <v>250</v>
      </c>
      <c r="AJ199" t="s">
        <v>251</v>
      </c>
      <c r="AK199" t="s">
        <v>827</v>
      </c>
      <c r="AL199" t="s">
        <v>156</v>
      </c>
      <c r="AM199" t="s">
        <v>1594</v>
      </c>
      <c r="AO199">
        <v>46233</v>
      </c>
      <c r="AP199">
        <v>0.45438657407407407</v>
      </c>
      <c r="AQ199">
        <v>46238</v>
      </c>
      <c r="AR199">
        <v>0.48125000000000001</v>
      </c>
      <c r="AS199" t="s">
        <v>1958</v>
      </c>
      <c r="AU199" t="s">
        <v>1955</v>
      </c>
      <c r="AV199" t="s">
        <v>937</v>
      </c>
      <c r="AX199">
        <v>3</v>
      </c>
      <c r="AY199" t="s">
        <v>111</v>
      </c>
      <c r="AZ199" t="s">
        <v>96</v>
      </c>
      <c r="BA199" t="s">
        <v>225</v>
      </c>
      <c r="BB199" t="s">
        <v>854</v>
      </c>
    </row>
    <row r="200" spans="1:57" x14ac:dyDescent="0.3">
      <c r="A200" s="204">
        <v>46235</v>
      </c>
      <c r="B200" t="s">
        <v>142</v>
      </c>
      <c r="C200" t="s">
        <v>345</v>
      </c>
      <c r="D200" t="s">
        <v>63</v>
      </c>
      <c r="E200" t="s">
        <v>95</v>
      </c>
      <c r="F200" t="s">
        <v>309</v>
      </c>
      <c r="G200" t="s">
        <v>1116</v>
      </c>
      <c r="H200" t="s">
        <v>1524</v>
      </c>
      <c r="I200" t="s">
        <v>1117</v>
      </c>
      <c r="J200">
        <v>5</v>
      </c>
      <c r="K200">
        <v>5</v>
      </c>
      <c r="L200" t="s">
        <v>1118</v>
      </c>
      <c r="M200" s="15">
        <v>46230.40084490741</v>
      </c>
      <c r="N200" s="15">
        <v>46237.400694444441</v>
      </c>
      <c r="O200" s="15">
        <v>46233.454386574071</v>
      </c>
      <c r="P200" s="15">
        <v>46238.481249999997</v>
      </c>
      <c r="Q200" s="15"/>
      <c r="S200" t="s">
        <v>356</v>
      </c>
      <c r="U200" t="s">
        <v>1535</v>
      </c>
      <c r="V200" t="s">
        <v>356</v>
      </c>
      <c r="W200">
        <v>109</v>
      </c>
      <c r="X200" t="s">
        <v>369</v>
      </c>
      <c r="Y200" t="s">
        <v>239</v>
      </c>
      <c r="Z200" t="s">
        <v>851</v>
      </c>
      <c r="AB200" t="s">
        <v>348</v>
      </c>
      <c r="AC200" t="s">
        <v>7</v>
      </c>
      <c r="AD200" t="s">
        <v>7</v>
      </c>
      <c r="AE200" t="s">
        <v>7</v>
      </c>
      <c r="AF200" t="s">
        <v>1605</v>
      </c>
      <c r="AG200" t="s">
        <v>250</v>
      </c>
      <c r="AH200">
        <v>2</v>
      </c>
      <c r="AI200" t="s">
        <v>250</v>
      </c>
      <c r="AJ200" t="s">
        <v>251</v>
      </c>
      <c r="AK200" t="s">
        <v>827</v>
      </c>
      <c r="AL200" t="s">
        <v>156</v>
      </c>
      <c r="AM200" t="s">
        <v>1594</v>
      </c>
      <c r="AO200">
        <v>46233</v>
      </c>
      <c r="AP200">
        <v>0.45438657407407407</v>
      </c>
      <c r="AQ200">
        <v>46238</v>
      </c>
      <c r="AR200">
        <v>0.48125000000000001</v>
      </c>
      <c r="AS200" t="s">
        <v>1958</v>
      </c>
      <c r="AU200" t="s">
        <v>1955</v>
      </c>
      <c r="AV200" t="s">
        <v>937</v>
      </c>
      <c r="AX200">
        <v>5</v>
      </c>
      <c r="AY200" t="s">
        <v>111</v>
      </c>
      <c r="AZ200" t="s">
        <v>96</v>
      </c>
      <c r="BA200" t="s">
        <v>225</v>
      </c>
      <c r="BB200" t="s">
        <v>854</v>
      </c>
    </row>
    <row r="201" spans="1:57" x14ac:dyDescent="0.3">
      <c r="A201" s="204">
        <v>46235</v>
      </c>
      <c r="B201" t="s">
        <v>142</v>
      </c>
      <c r="C201" t="s">
        <v>345</v>
      </c>
      <c r="D201" t="s">
        <v>63</v>
      </c>
      <c r="E201" t="s">
        <v>95</v>
      </c>
      <c r="F201" t="s">
        <v>309</v>
      </c>
      <c r="G201" t="s">
        <v>1116</v>
      </c>
      <c r="H201" t="s">
        <v>1524</v>
      </c>
      <c r="I201" t="s">
        <v>1117</v>
      </c>
      <c r="J201">
        <v>6</v>
      </c>
      <c r="K201">
        <v>6</v>
      </c>
      <c r="L201" t="s">
        <v>1118</v>
      </c>
      <c r="M201" s="15">
        <v>46230.40084490741</v>
      </c>
      <c r="N201" s="15">
        <v>46237.400694444441</v>
      </c>
      <c r="O201" s="15">
        <v>46233.454386574071</v>
      </c>
      <c r="P201" s="15">
        <v>46238.481249999997</v>
      </c>
      <c r="Q201" s="15"/>
      <c r="S201" t="s">
        <v>356</v>
      </c>
      <c r="U201" t="s">
        <v>1533</v>
      </c>
      <c r="V201" t="s">
        <v>356</v>
      </c>
      <c r="W201">
        <v>109</v>
      </c>
      <c r="X201" t="s">
        <v>369</v>
      </c>
      <c r="Y201" t="s">
        <v>239</v>
      </c>
      <c r="Z201" t="s">
        <v>851</v>
      </c>
      <c r="AB201" t="s">
        <v>348</v>
      </c>
      <c r="AC201" t="s">
        <v>7</v>
      </c>
      <c r="AD201" t="s">
        <v>7</v>
      </c>
      <c r="AE201" t="s">
        <v>7</v>
      </c>
      <c r="AF201" t="s">
        <v>1605</v>
      </c>
      <c r="AG201" t="s">
        <v>250</v>
      </c>
      <c r="AH201">
        <v>2</v>
      </c>
      <c r="AI201" t="s">
        <v>250</v>
      </c>
      <c r="AJ201" t="s">
        <v>251</v>
      </c>
      <c r="AK201" t="s">
        <v>827</v>
      </c>
      <c r="AL201" t="s">
        <v>156</v>
      </c>
      <c r="AM201" t="s">
        <v>1594</v>
      </c>
      <c r="AO201">
        <v>46233</v>
      </c>
      <c r="AP201">
        <v>0.45438657407407407</v>
      </c>
      <c r="AQ201">
        <v>46238</v>
      </c>
      <c r="AR201">
        <v>0.48125000000000001</v>
      </c>
      <c r="AS201" t="s">
        <v>1958</v>
      </c>
      <c r="AU201" t="s">
        <v>1955</v>
      </c>
      <c r="AV201" t="s">
        <v>937</v>
      </c>
      <c r="AX201">
        <v>6</v>
      </c>
      <c r="AY201" t="s">
        <v>111</v>
      </c>
      <c r="AZ201" t="s">
        <v>96</v>
      </c>
      <c r="BA201" t="s">
        <v>225</v>
      </c>
      <c r="BB201" t="s">
        <v>854</v>
      </c>
    </row>
    <row r="202" spans="1:57" x14ac:dyDescent="0.3">
      <c r="A202" s="204">
        <v>46235</v>
      </c>
      <c r="B202" t="s">
        <v>142</v>
      </c>
      <c r="C202" t="s">
        <v>345</v>
      </c>
      <c r="D202" t="s">
        <v>63</v>
      </c>
      <c r="E202" t="s">
        <v>95</v>
      </c>
      <c r="F202" t="s">
        <v>309</v>
      </c>
      <c r="G202" t="s">
        <v>1121</v>
      </c>
      <c r="H202" t="s">
        <v>1538</v>
      </c>
      <c r="I202" t="s">
        <v>402</v>
      </c>
      <c r="J202">
        <v>2</v>
      </c>
      <c r="K202">
        <v>2</v>
      </c>
      <c r="L202" t="s">
        <v>1122</v>
      </c>
      <c r="M202" s="15">
        <v>46212.717303240737</v>
      </c>
      <c r="N202" s="15">
        <v>46220.333333333336</v>
      </c>
      <c r="O202" s="15">
        <v>46231.477627314816</v>
      </c>
      <c r="P202" s="15">
        <v>46238.444444444445</v>
      </c>
      <c r="Q202" s="15"/>
      <c r="S202" t="s">
        <v>355</v>
      </c>
      <c r="T202" t="s">
        <v>1542</v>
      </c>
      <c r="U202" t="s">
        <v>1543</v>
      </c>
      <c r="V202" t="s">
        <v>355</v>
      </c>
      <c r="W202">
        <v>2200</v>
      </c>
      <c r="X202" t="s">
        <v>369</v>
      </c>
      <c r="Y202" t="s">
        <v>239</v>
      </c>
      <c r="Z202" t="s">
        <v>851</v>
      </c>
      <c r="AB202" t="s">
        <v>348</v>
      </c>
      <c r="AC202" t="s">
        <v>7</v>
      </c>
      <c r="AD202" t="s">
        <v>7</v>
      </c>
      <c r="AE202" t="s">
        <v>7</v>
      </c>
      <c r="AF202" t="s">
        <v>1606</v>
      </c>
      <c r="AG202" t="s">
        <v>249</v>
      </c>
      <c r="AH202">
        <v>2</v>
      </c>
      <c r="AI202" t="s">
        <v>250</v>
      </c>
      <c r="AJ202" t="s">
        <v>251</v>
      </c>
      <c r="AK202" t="s">
        <v>827</v>
      </c>
      <c r="AL202" t="s">
        <v>156</v>
      </c>
      <c r="AM202" t="s">
        <v>1594</v>
      </c>
      <c r="AO202">
        <v>46231</v>
      </c>
      <c r="AP202">
        <v>0.4776273148148148</v>
      </c>
      <c r="AQ202">
        <v>46238</v>
      </c>
      <c r="AR202">
        <v>0.44444444444444442</v>
      </c>
      <c r="AS202" t="s">
        <v>201</v>
      </c>
      <c r="AT202" t="s">
        <v>1954</v>
      </c>
      <c r="AU202" t="s">
        <v>1955</v>
      </c>
      <c r="AV202" t="s">
        <v>937</v>
      </c>
      <c r="AX202">
        <v>2</v>
      </c>
      <c r="AY202" t="s">
        <v>111</v>
      </c>
      <c r="AZ202" t="s">
        <v>96</v>
      </c>
      <c r="BA202" t="s">
        <v>225</v>
      </c>
      <c r="BB202" t="s">
        <v>859</v>
      </c>
      <c r="BE202">
        <v>1.9</v>
      </c>
    </row>
    <row r="203" spans="1:57" x14ac:dyDescent="0.3">
      <c r="A203" s="204">
        <v>46235</v>
      </c>
      <c r="B203" t="s">
        <v>142</v>
      </c>
      <c r="C203" t="s">
        <v>345</v>
      </c>
      <c r="D203" t="s">
        <v>63</v>
      </c>
      <c r="E203" t="s">
        <v>95</v>
      </c>
      <c r="F203" t="s">
        <v>309</v>
      </c>
      <c r="G203" t="s">
        <v>1121</v>
      </c>
      <c r="H203" t="s">
        <v>1538</v>
      </c>
      <c r="I203" t="s">
        <v>402</v>
      </c>
      <c r="J203">
        <v>2</v>
      </c>
      <c r="K203">
        <v>2</v>
      </c>
      <c r="L203" t="s">
        <v>1122</v>
      </c>
      <c r="M203" s="15">
        <v>46212.717303240737</v>
      </c>
      <c r="N203" s="15">
        <v>46220.333333333336</v>
      </c>
      <c r="O203" s="15">
        <v>46231.477627314816</v>
      </c>
      <c r="P203" s="15">
        <v>46238.444444444445</v>
      </c>
      <c r="Q203" s="15"/>
      <c r="S203" t="s">
        <v>355</v>
      </c>
      <c r="T203" t="s">
        <v>1539</v>
      </c>
      <c r="U203" t="s">
        <v>1540</v>
      </c>
      <c r="V203" t="s">
        <v>355</v>
      </c>
      <c r="W203">
        <v>2200</v>
      </c>
      <c r="X203" t="s">
        <v>369</v>
      </c>
      <c r="Y203" t="s">
        <v>239</v>
      </c>
      <c r="Z203" t="s">
        <v>851</v>
      </c>
      <c r="AB203" t="s">
        <v>348</v>
      </c>
      <c r="AC203" t="s">
        <v>7</v>
      </c>
      <c r="AD203" t="s">
        <v>7</v>
      </c>
      <c r="AE203" t="s">
        <v>7</v>
      </c>
      <c r="AF203" t="s">
        <v>1606</v>
      </c>
      <c r="AG203" t="s">
        <v>250</v>
      </c>
      <c r="AH203">
        <v>2</v>
      </c>
      <c r="AI203" t="s">
        <v>250</v>
      </c>
      <c r="AJ203" t="s">
        <v>251</v>
      </c>
      <c r="AK203" t="s">
        <v>827</v>
      </c>
      <c r="AL203" t="s">
        <v>156</v>
      </c>
      <c r="AM203" t="s">
        <v>1594</v>
      </c>
      <c r="AO203">
        <v>46231</v>
      </c>
      <c r="AP203">
        <v>0.4776273148148148</v>
      </c>
      <c r="AQ203">
        <v>46238</v>
      </c>
      <c r="AR203">
        <v>0.44444444444444442</v>
      </c>
      <c r="AS203" t="s">
        <v>1958</v>
      </c>
      <c r="AU203" t="s">
        <v>1955</v>
      </c>
      <c r="AV203" t="s">
        <v>937</v>
      </c>
      <c r="AX203">
        <v>2</v>
      </c>
      <c r="AY203" t="s">
        <v>111</v>
      </c>
      <c r="AZ203" t="s">
        <v>96</v>
      </c>
      <c r="BA203" t="s">
        <v>225</v>
      </c>
      <c r="BB203" t="s">
        <v>859</v>
      </c>
    </row>
    <row r="204" spans="1:57" x14ac:dyDescent="0.3">
      <c r="A204" s="204">
        <v>46235</v>
      </c>
      <c r="B204" t="s">
        <v>142</v>
      </c>
      <c r="C204" t="s">
        <v>345</v>
      </c>
      <c r="D204" t="s">
        <v>63</v>
      </c>
      <c r="E204" t="s">
        <v>95</v>
      </c>
      <c r="F204" t="s">
        <v>309</v>
      </c>
      <c r="G204" t="s">
        <v>1123</v>
      </c>
      <c r="H204" t="s">
        <v>845</v>
      </c>
      <c r="I204" t="s">
        <v>402</v>
      </c>
      <c r="J204">
        <v>1</v>
      </c>
      <c r="K204">
        <v>1</v>
      </c>
      <c r="L204" t="s">
        <v>1124</v>
      </c>
      <c r="M204" s="15">
        <v>46223.754212962966</v>
      </c>
      <c r="N204" s="15">
        <v>46231.333333333336</v>
      </c>
      <c r="O204" s="15">
        <v>46232.484236111108</v>
      </c>
      <c r="P204" s="15">
        <v>46238.427083333336</v>
      </c>
      <c r="Q204" s="15"/>
      <c r="S204" t="s">
        <v>355</v>
      </c>
      <c r="T204" t="s">
        <v>1544</v>
      </c>
      <c r="U204" t="s">
        <v>1545</v>
      </c>
      <c r="V204" t="s">
        <v>355</v>
      </c>
      <c r="W204">
        <v>2200</v>
      </c>
      <c r="X204" t="s">
        <v>369</v>
      </c>
      <c r="Y204" t="s">
        <v>239</v>
      </c>
      <c r="Z204" t="s">
        <v>851</v>
      </c>
      <c r="AB204" t="s">
        <v>348</v>
      </c>
      <c r="AC204" t="s">
        <v>7</v>
      </c>
      <c r="AD204" t="s">
        <v>7</v>
      </c>
      <c r="AE204" t="s">
        <v>7</v>
      </c>
      <c r="AF204" t="s">
        <v>1607</v>
      </c>
      <c r="AG204" t="s">
        <v>249</v>
      </c>
      <c r="AH204">
        <v>2</v>
      </c>
      <c r="AI204" t="s">
        <v>250</v>
      </c>
      <c r="AJ204" t="s">
        <v>251</v>
      </c>
      <c r="AK204" t="s">
        <v>827</v>
      </c>
      <c r="AL204" t="s">
        <v>156</v>
      </c>
      <c r="AM204" t="s">
        <v>1594</v>
      </c>
      <c r="AO204">
        <v>46232</v>
      </c>
      <c r="AP204">
        <v>0.48423611111111109</v>
      </c>
      <c r="AQ204">
        <v>46238</v>
      </c>
      <c r="AR204">
        <v>0.42708333333333331</v>
      </c>
      <c r="AS204" t="s">
        <v>201</v>
      </c>
      <c r="AT204" t="s">
        <v>1954</v>
      </c>
      <c r="AU204" t="s">
        <v>1955</v>
      </c>
      <c r="AV204" t="s">
        <v>937</v>
      </c>
      <c r="AX204">
        <v>1</v>
      </c>
      <c r="AY204" t="s">
        <v>111</v>
      </c>
      <c r="AZ204" t="s">
        <v>96</v>
      </c>
      <c r="BA204" t="s">
        <v>225</v>
      </c>
      <c r="BB204" t="s">
        <v>859</v>
      </c>
    </row>
    <row r="205" spans="1:57" x14ac:dyDescent="0.3">
      <c r="A205" s="204">
        <v>46235</v>
      </c>
      <c r="B205" t="s">
        <v>142</v>
      </c>
      <c r="C205" t="s">
        <v>345</v>
      </c>
      <c r="D205" t="s">
        <v>63</v>
      </c>
      <c r="E205" t="s">
        <v>95</v>
      </c>
      <c r="F205" t="s">
        <v>309</v>
      </c>
      <c r="G205" t="s">
        <v>1125</v>
      </c>
      <c r="H205" t="s">
        <v>864</v>
      </c>
      <c r="I205" t="s">
        <v>420</v>
      </c>
      <c r="J205">
        <v>6</v>
      </c>
      <c r="K205">
        <v>6</v>
      </c>
      <c r="L205" t="s">
        <v>1126</v>
      </c>
      <c r="M205" s="15">
        <v>46233.719895833332</v>
      </c>
      <c r="N205" s="15">
        <v>46241.333333333336</v>
      </c>
      <c r="O205" s="15">
        <v>46234.410682870373</v>
      </c>
      <c r="P205" s="15">
        <v>46238.434027777781</v>
      </c>
      <c r="Q205" s="15"/>
      <c r="S205" t="s">
        <v>355</v>
      </c>
      <c r="U205" t="s">
        <v>1547</v>
      </c>
      <c r="V205" t="s">
        <v>355</v>
      </c>
      <c r="W205">
        <v>2200</v>
      </c>
      <c r="X205" t="s">
        <v>369</v>
      </c>
      <c r="Y205" t="s">
        <v>239</v>
      </c>
      <c r="Z205" t="s">
        <v>851</v>
      </c>
      <c r="AB205" t="s">
        <v>348</v>
      </c>
      <c r="AC205" t="s">
        <v>7</v>
      </c>
      <c r="AD205" t="s">
        <v>7</v>
      </c>
      <c r="AE205" t="s">
        <v>7</v>
      </c>
      <c r="AF205" t="s">
        <v>1608</v>
      </c>
      <c r="AG205" t="s">
        <v>249</v>
      </c>
      <c r="AH205">
        <v>2</v>
      </c>
      <c r="AI205" t="s">
        <v>250</v>
      </c>
      <c r="AJ205" t="s">
        <v>251</v>
      </c>
      <c r="AK205" t="s">
        <v>827</v>
      </c>
      <c r="AL205" t="s">
        <v>156</v>
      </c>
      <c r="AM205" t="s">
        <v>1594</v>
      </c>
      <c r="AO205">
        <v>46234</v>
      </c>
      <c r="AP205">
        <v>0.41068287037037038</v>
      </c>
      <c r="AQ205">
        <v>46238</v>
      </c>
      <c r="AR205">
        <v>0.43402777777777779</v>
      </c>
      <c r="AS205" t="s">
        <v>201</v>
      </c>
      <c r="AT205" t="s">
        <v>1954</v>
      </c>
      <c r="AU205" t="s">
        <v>1955</v>
      </c>
      <c r="AV205" t="s">
        <v>937</v>
      </c>
      <c r="AX205">
        <v>6</v>
      </c>
      <c r="AY205" t="s">
        <v>111</v>
      </c>
      <c r="AZ205" t="s">
        <v>96</v>
      </c>
      <c r="BA205" t="s">
        <v>225</v>
      </c>
      <c r="BB205" t="s">
        <v>859</v>
      </c>
    </row>
    <row r="206" spans="1:57" x14ac:dyDescent="0.3">
      <c r="A206" s="204">
        <v>46235</v>
      </c>
      <c r="B206" t="s">
        <v>142</v>
      </c>
      <c r="C206" t="s">
        <v>345</v>
      </c>
      <c r="D206" t="s">
        <v>63</v>
      </c>
      <c r="E206" t="s">
        <v>95</v>
      </c>
      <c r="F206" t="s">
        <v>309</v>
      </c>
      <c r="G206" t="s">
        <v>1125</v>
      </c>
      <c r="H206" t="s">
        <v>864</v>
      </c>
      <c r="I206" t="s">
        <v>420</v>
      </c>
      <c r="J206">
        <v>2</v>
      </c>
      <c r="K206">
        <v>2</v>
      </c>
      <c r="L206" t="s">
        <v>1127</v>
      </c>
      <c r="M206" s="15">
        <v>46233.719895833332</v>
      </c>
      <c r="N206" s="15">
        <v>46241.333333333336</v>
      </c>
      <c r="O206" s="15">
        <v>46234.408483796295</v>
      </c>
      <c r="P206" s="15">
        <v>46238.436805555553</v>
      </c>
      <c r="Q206" s="15"/>
      <c r="S206" t="s">
        <v>355</v>
      </c>
      <c r="U206" t="s">
        <v>1549</v>
      </c>
      <c r="V206" t="s">
        <v>355</v>
      </c>
      <c r="W206">
        <v>2200</v>
      </c>
      <c r="X206" t="s">
        <v>369</v>
      </c>
      <c r="Y206" t="s">
        <v>239</v>
      </c>
      <c r="Z206" t="s">
        <v>851</v>
      </c>
      <c r="AB206" t="s">
        <v>348</v>
      </c>
      <c r="AC206" t="s">
        <v>7</v>
      </c>
      <c r="AD206" t="s">
        <v>7</v>
      </c>
      <c r="AE206" t="s">
        <v>7</v>
      </c>
      <c r="AF206" t="s">
        <v>1609</v>
      </c>
      <c r="AG206" t="s">
        <v>249</v>
      </c>
      <c r="AH206">
        <v>2</v>
      </c>
      <c r="AI206" t="s">
        <v>250</v>
      </c>
      <c r="AJ206" t="s">
        <v>251</v>
      </c>
      <c r="AK206" t="s">
        <v>827</v>
      </c>
      <c r="AL206" t="s">
        <v>156</v>
      </c>
      <c r="AM206" t="s">
        <v>1594</v>
      </c>
      <c r="AO206">
        <v>46234</v>
      </c>
      <c r="AP206">
        <v>0.40848379629629628</v>
      </c>
      <c r="AQ206">
        <v>46238</v>
      </c>
      <c r="AR206">
        <v>0.43680555555555556</v>
      </c>
      <c r="AS206" t="s">
        <v>201</v>
      </c>
      <c r="AT206" t="s">
        <v>1954</v>
      </c>
      <c r="AU206" t="s">
        <v>1955</v>
      </c>
      <c r="AV206" t="s">
        <v>937</v>
      </c>
      <c r="AX206">
        <v>2</v>
      </c>
      <c r="AY206" t="s">
        <v>111</v>
      </c>
      <c r="AZ206" t="s">
        <v>96</v>
      </c>
      <c r="BA206" t="s">
        <v>225</v>
      </c>
      <c r="BB206" t="s">
        <v>859</v>
      </c>
    </row>
    <row r="207" spans="1:57" x14ac:dyDescent="0.3">
      <c r="A207" s="204">
        <v>46235</v>
      </c>
      <c r="B207" t="s">
        <v>142</v>
      </c>
      <c r="C207" t="s">
        <v>345</v>
      </c>
      <c r="D207" t="s">
        <v>63</v>
      </c>
      <c r="E207" t="s">
        <v>95</v>
      </c>
      <c r="F207" t="s">
        <v>309</v>
      </c>
      <c r="G207" t="s">
        <v>1125</v>
      </c>
      <c r="H207" t="s">
        <v>864</v>
      </c>
      <c r="I207" t="s">
        <v>420</v>
      </c>
      <c r="J207">
        <v>6</v>
      </c>
      <c r="K207">
        <v>6</v>
      </c>
      <c r="L207" t="s">
        <v>1126</v>
      </c>
      <c r="M207" s="15">
        <v>46233.719895833332</v>
      </c>
      <c r="N207" s="15">
        <v>46241.333333333336</v>
      </c>
      <c r="O207" s="15">
        <v>46234.410682870373</v>
      </c>
      <c r="P207" s="15">
        <v>46238.434027777781</v>
      </c>
      <c r="Q207" s="15"/>
      <c r="S207" t="s">
        <v>355</v>
      </c>
      <c r="U207" t="s">
        <v>1551</v>
      </c>
      <c r="V207" t="s">
        <v>355</v>
      </c>
      <c r="W207">
        <v>2200</v>
      </c>
      <c r="X207" t="s">
        <v>369</v>
      </c>
      <c r="Y207" t="s">
        <v>239</v>
      </c>
      <c r="Z207" t="s">
        <v>851</v>
      </c>
      <c r="AB207" t="s">
        <v>348</v>
      </c>
      <c r="AC207" t="s">
        <v>7</v>
      </c>
      <c r="AD207" t="s">
        <v>7</v>
      </c>
      <c r="AE207" t="s">
        <v>7</v>
      </c>
      <c r="AF207" t="s">
        <v>1608</v>
      </c>
      <c r="AG207" t="s">
        <v>250</v>
      </c>
      <c r="AH207">
        <v>2</v>
      </c>
      <c r="AI207" t="s">
        <v>250</v>
      </c>
      <c r="AJ207" t="s">
        <v>251</v>
      </c>
      <c r="AK207" t="s">
        <v>827</v>
      </c>
      <c r="AL207" t="s">
        <v>156</v>
      </c>
      <c r="AM207" t="s">
        <v>1594</v>
      </c>
      <c r="AO207">
        <v>46234</v>
      </c>
      <c r="AP207">
        <v>0.41068287037037038</v>
      </c>
      <c r="AQ207">
        <v>46238</v>
      </c>
      <c r="AR207">
        <v>0.43402777777777779</v>
      </c>
      <c r="AS207" t="s">
        <v>1958</v>
      </c>
      <c r="AU207" t="s">
        <v>1955</v>
      </c>
      <c r="AV207" t="s">
        <v>937</v>
      </c>
      <c r="AX207">
        <v>6</v>
      </c>
      <c r="AY207" t="s">
        <v>111</v>
      </c>
      <c r="AZ207" t="s">
        <v>96</v>
      </c>
      <c r="BA207" t="s">
        <v>225</v>
      </c>
      <c r="BB207" t="s">
        <v>859</v>
      </c>
    </row>
    <row r="208" spans="1:57" x14ac:dyDescent="0.3">
      <c r="A208" s="204">
        <v>46235</v>
      </c>
      <c r="B208" t="s">
        <v>142</v>
      </c>
      <c r="C208" t="s">
        <v>345</v>
      </c>
      <c r="D208" t="s">
        <v>63</v>
      </c>
      <c r="E208" t="s">
        <v>95</v>
      </c>
      <c r="F208" t="s">
        <v>309</v>
      </c>
      <c r="G208" t="s">
        <v>1114</v>
      </c>
      <c r="H208" t="s">
        <v>860</v>
      </c>
      <c r="I208" t="s">
        <v>419</v>
      </c>
      <c r="J208" s="14">
        <v>26</v>
      </c>
      <c r="K208" s="14">
        <v>26</v>
      </c>
      <c r="L208" t="s">
        <v>1128</v>
      </c>
      <c r="M208" s="15">
        <v>46202.512337962966</v>
      </c>
      <c r="N208" s="15">
        <v>46209.5</v>
      </c>
      <c r="O208" s="15">
        <v>46203.361828703702</v>
      </c>
      <c r="P208" s="15">
        <v>46212.739201388889</v>
      </c>
      <c r="Q208" s="15"/>
      <c r="S208" t="s">
        <v>356</v>
      </c>
      <c r="U208" t="s">
        <v>1552</v>
      </c>
      <c r="V208" t="s">
        <v>356</v>
      </c>
      <c r="W208">
        <v>109</v>
      </c>
      <c r="X208" t="s">
        <v>369</v>
      </c>
      <c r="Y208" t="s">
        <v>239</v>
      </c>
      <c r="Z208" t="s">
        <v>851</v>
      </c>
      <c r="AB208" t="s">
        <v>348</v>
      </c>
      <c r="AC208" t="s">
        <v>7</v>
      </c>
      <c r="AD208" t="s">
        <v>7</v>
      </c>
      <c r="AE208" t="s">
        <v>7</v>
      </c>
      <c r="AF208" t="s">
        <v>1610</v>
      </c>
      <c r="AG208" t="s">
        <v>249</v>
      </c>
      <c r="AH208">
        <v>2</v>
      </c>
      <c r="AI208" t="s">
        <v>250</v>
      </c>
      <c r="AJ208" t="s">
        <v>251</v>
      </c>
      <c r="AK208" t="s">
        <v>827</v>
      </c>
      <c r="AL208" t="s">
        <v>156</v>
      </c>
      <c r="AM208" t="s">
        <v>1594</v>
      </c>
      <c r="AO208">
        <v>46203</v>
      </c>
      <c r="AP208">
        <v>0.36182870370370368</v>
      </c>
      <c r="AQ208">
        <v>46212</v>
      </c>
      <c r="AR208">
        <v>0.73920138888888887</v>
      </c>
      <c r="AS208" t="s">
        <v>201</v>
      </c>
      <c r="AT208" t="s">
        <v>1954</v>
      </c>
      <c r="AU208" t="s">
        <v>1955</v>
      </c>
      <c r="AV208" t="s">
        <v>937</v>
      </c>
      <c r="AX208">
        <v>26</v>
      </c>
      <c r="AY208" t="s">
        <v>111</v>
      </c>
      <c r="AZ208" t="s">
        <v>96</v>
      </c>
      <c r="BA208" t="s">
        <v>225</v>
      </c>
      <c r="BB208" t="s">
        <v>854</v>
      </c>
      <c r="BE208">
        <v>3.9</v>
      </c>
    </row>
    <row r="209" spans="1:57" x14ac:dyDescent="0.3">
      <c r="A209" s="204">
        <v>46235</v>
      </c>
      <c r="B209" t="s">
        <v>142</v>
      </c>
      <c r="C209" t="s">
        <v>345</v>
      </c>
      <c r="D209" t="s">
        <v>63</v>
      </c>
      <c r="E209" t="s">
        <v>95</v>
      </c>
      <c r="F209" t="s">
        <v>309</v>
      </c>
      <c r="G209" t="s">
        <v>1114</v>
      </c>
      <c r="H209" t="s">
        <v>860</v>
      </c>
      <c r="I209" t="s">
        <v>419</v>
      </c>
      <c r="J209" s="14">
        <v>13</v>
      </c>
      <c r="K209" s="14">
        <v>13</v>
      </c>
      <c r="L209" t="s">
        <v>1128</v>
      </c>
      <c r="M209" s="15">
        <v>46202.512337962966</v>
      </c>
      <c r="N209" s="15">
        <v>46209.5</v>
      </c>
      <c r="O209" s="15">
        <v>46203.361828703702</v>
      </c>
      <c r="P209" s="15">
        <v>46212.739201388889</v>
      </c>
      <c r="Q209" s="15"/>
      <c r="S209" t="s">
        <v>356</v>
      </c>
      <c r="U209" t="s">
        <v>1554</v>
      </c>
      <c r="V209" t="s">
        <v>356</v>
      </c>
      <c r="W209">
        <v>109</v>
      </c>
      <c r="X209" t="s">
        <v>369</v>
      </c>
      <c r="Y209" t="s">
        <v>239</v>
      </c>
      <c r="Z209" t="s">
        <v>851</v>
      </c>
      <c r="AB209" t="s">
        <v>348</v>
      </c>
      <c r="AC209" t="s">
        <v>7</v>
      </c>
      <c r="AD209" t="s">
        <v>7</v>
      </c>
      <c r="AE209" t="s">
        <v>7</v>
      </c>
      <c r="AF209" t="s">
        <v>1610</v>
      </c>
      <c r="AG209" t="s">
        <v>250</v>
      </c>
      <c r="AH209">
        <v>2</v>
      </c>
      <c r="AI209" t="s">
        <v>250</v>
      </c>
      <c r="AJ209" t="s">
        <v>251</v>
      </c>
      <c r="AK209" t="s">
        <v>827</v>
      </c>
      <c r="AL209" t="s">
        <v>156</v>
      </c>
      <c r="AM209" t="s">
        <v>1594</v>
      </c>
      <c r="AO209">
        <v>46203</v>
      </c>
      <c r="AP209">
        <v>0.36182870370370368</v>
      </c>
      <c r="AQ209">
        <v>46212</v>
      </c>
      <c r="AR209">
        <v>0.73920138888888887</v>
      </c>
      <c r="AS209" t="s">
        <v>1958</v>
      </c>
      <c r="AU209" t="s">
        <v>1955</v>
      </c>
      <c r="AV209" t="s">
        <v>937</v>
      </c>
      <c r="AX209">
        <v>13</v>
      </c>
      <c r="AY209" t="s">
        <v>111</v>
      </c>
      <c r="AZ209" t="s">
        <v>96</v>
      </c>
      <c r="BA209" t="s">
        <v>225</v>
      </c>
      <c r="BB209" t="s">
        <v>854</v>
      </c>
    </row>
    <row r="210" spans="1:57" x14ac:dyDescent="0.3">
      <c r="A210" s="204">
        <v>46235</v>
      </c>
      <c r="B210" t="s">
        <v>142</v>
      </c>
      <c r="C210" t="s">
        <v>345</v>
      </c>
      <c r="D210" t="s">
        <v>63</v>
      </c>
      <c r="E210" t="s">
        <v>95</v>
      </c>
      <c r="F210" t="s">
        <v>309</v>
      </c>
      <c r="G210" t="s">
        <v>1114</v>
      </c>
      <c r="H210" t="s">
        <v>860</v>
      </c>
      <c r="I210" t="s">
        <v>419</v>
      </c>
      <c r="J210" s="14">
        <v>30</v>
      </c>
      <c r="K210" s="14">
        <v>30</v>
      </c>
      <c r="L210" t="s">
        <v>1129</v>
      </c>
      <c r="M210" s="15">
        <v>46202.512337962966</v>
      </c>
      <c r="N210" s="15">
        <v>46209.5</v>
      </c>
      <c r="O210" s="15">
        <v>46239.591469907406</v>
      </c>
      <c r="P210" s="15">
        <v>46241.497916666667</v>
      </c>
      <c r="Q210" s="15"/>
      <c r="S210" t="s">
        <v>356</v>
      </c>
      <c r="T210" t="s">
        <v>1555</v>
      </c>
      <c r="U210" t="s">
        <v>1556</v>
      </c>
      <c r="V210" t="s">
        <v>356</v>
      </c>
      <c r="W210">
        <v>109</v>
      </c>
      <c r="X210" t="s">
        <v>369</v>
      </c>
      <c r="Y210" t="s">
        <v>239</v>
      </c>
      <c r="Z210" t="s">
        <v>851</v>
      </c>
      <c r="AB210" t="s">
        <v>348</v>
      </c>
      <c r="AC210" t="s">
        <v>7</v>
      </c>
      <c r="AD210" t="s">
        <v>7</v>
      </c>
      <c r="AE210" t="s">
        <v>7</v>
      </c>
      <c r="AF210" t="s">
        <v>1611</v>
      </c>
      <c r="AG210" t="s">
        <v>249</v>
      </c>
      <c r="AH210">
        <v>2</v>
      </c>
      <c r="AI210" t="s">
        <v>250</v>
      </c>
      <c r="AJ210" t="s">
        <v>251</v>
      </c>
      <c r="AK210" t="s">
        <v>827</v>
      </c>
      <c r="AL210" t="s">
        <v>156</v>
      </c>
      <c r="AM210" t="s">
        <v>1594</v>
      </c>
      <c r="AO210">
        <v>46239</v>
      </c>
      <c r="AP210">
        <v>0.59146990740740746</v>
      </c>
      <c r="AQ210">
        <v>46241</v>
      </c>
      <c r="AR210">
        <v>0.49791666666666667</v>
      </c>
      <c r="AS210" t="s">
        <v>201</v>
      </c>
      <c r="AT210" t="s">
        <v>1954</v>
      </c>
      <c r="AU210" t="s">
        <v>1955</v>
      </c>
      <c r="AV210" t="s">
        <v>937</v>
      </c>
      <c r="AX210">
        <v>30</v>
      </c>
      <c r="AY210" t="s">
        <v>111</v>
      </c>
      <c r="AZ210" t="s">
        <v>96</v>
      </c>
      <c r="BA210" t="s">
        <v>225</v>
      </c>
      <c r="BB210" t="s">
        <v>854</v>
      </c>
      <c r="BE210">
        <v>3</v>
      </c>
    </row>
    <row r="211" spans="1:57" x14ac:dyDescent="0.3">
      <c r="A211" s="204">
        <v>46237</v>
      </c>
      <c r="B211" t="s">
        <v>142</v>
      </c>
      <c r="C211" t="s">
        <v>345</v>
      </c>
      <c r="D211" t="s">
        <v>63</v>
      </c>
      <c r="E211" t="s">
        <v>95</v>
      </c>
      <c r="F211" t="s">
        <v>309</v>
      </c>
      <c r="G211" t="s">
        <v>1130</v>
      </c>
      <c r="H211" t="s">
        <v>864</v>
      </c>
      <c r="I211" t="s">
        <v>402</v>
      </c>
      <c r="J211">
        <v>1</v>
      </c>
      <c r="K211">
        <v>1</v>
      </c>
      <c r="L211" t="s">
        <v>1131</v>
      </c>
      <c r="M211" s="15">
        <v>46253.45040509259</v>
      </c>
      <c r="N211" s="15">
        <v>46260.45</v>
      </c>
      <c r="O211" s="15">
        <v>46255.393750000003</v>
      </c>
      <c r="P211" s="15">
        <v>46258.414583333331</v>
      </c>
      <c r="Q211" s="15"/>
      <c r="S211" t="s">
        <v>355</v>
      </c>
      <c r="V211" t="s">
        <v>355</v>
      </c>
      <c r="W211">
        <v>2200</v>
      </c>
      <c r="X211" t="s">
        <v>369</v>
      </c>
      <c r="Y211" t="s">
        <v>239</v>
      </c>
      <c r="Z211" t="s">
        <v>851</v>
      </c>
      <c r="AB211" t="s">
        <v>348</v>
      </c>
      <c r="AC211" t="s">
        <v>7</v>
      </c>
      <c r="AD211" t="s">
        <v>7</v>
      </c>
      <c r="AE211" t="s">
        <v>7</v>
      </c>
      <c r="AF211" t="s">
        <v>1612</v>
      </c>
      <c r="AG211" t="s">
        <v>249</v>
      </c>
      <c r="AH211">
        <v>2</v>
      </c>
      <c r="AI211" t="s">
        <v>250</v>
      </c>
      <c r="AJ211" t="s">
        <v>251</v>
      </c>
      <c r="AK211" t="s">
        <v>827</v>
      </c>
      <c r="AL211" t="s">
        <v>156</v>
      </c>
      <c r="AM211" t="s">
        <v>1594</v>
      </c>
      <c r="AO211">
        <v>46255</v>
      </c>
      <c r="AP211">
        <v>0.39374999999999999</v>
      </c>
      <c r="AQ211">
        <v>46258</v>
      </c>
      <c r="AR211">
        <v>0.41458333333333336</v>
      </c>
      <c r="AS211" t="s">
        <v>201</v>
      </c>
      <c r="AT211" t="s">
        <v>1954</v>
      </c>
      <c r="AU211" t="s">
        <v>1955</v>
      </c>
      <c r="AV211" t="s">
        <v>937</v>
      </c>
      <c r="AX211">
        <v>1</v>
      </c>
      <c r="AY211" t="s">
        <v>111</v>
      </c>
      <c r="AZ211" t="s">
        <v>96</v>
      </c>
      <c r="BA211" t="s">
        <v>225</v>
      </c>
      <c r="BB211" t="s">
        <v>859</v>
      </c>
      <c r="BE211">
        <v>1</v>
      </c>
    </row>
    <row r="212" spans="1:57" x14ac:dyDescent="0.3">
      <c r="A212" s="204">
        <v>46235</v>
      </c>
      <c r="B212" t="s">
        <v>142</v>
      </c>
      <c r="C212" t="s">
        <v>345</v>
      </c>
      <c r="D212" t="s">
        <v>63</v>
      </c>
      <c r="E212" t="s">
        <v>95</v>
      </c>
      <c r="F212" t="s">
        <v>309</v>
      </c>
      <c r="G212" t="s">
        <v>1132</v>
      </c>
      <c r="H212" t="s">
        <v>840</v>
      </c>
      <c r="I212" t="s">
        <v>399</v>
      </c>
      <c r="J212">
        <v>1</v>
      </c>
      <c r="K212">
        <v>1</v>
      </c>
      <c r="L212" t="s">
        <v>1133</v>
      </c>
      <c r="M212" s="15">
        <v>46225.356817129628</v>
      </c>
      <c r="N212" s="15">
        <v>46232.356249999997</v>
      </c>
      <c r="O212" s="15">
        <v>46233.380069444444</v>
      </c>
      <c r="P212" s="15">
        <v>46238.463194444441</v>
      </c>
      <c r="Q212" s="15"/>
      <c r="S212" t="s">
        <v>354</v>
      </c>
      <c r="T212" t="s">
        <v>1559</v>
      </c>
      <c r="U212" t="s">
        <v>1560</v>
      </c>
      <c r="V212" t="s">
        <v>354</v>
      </c>
      <c r="W212">
        <v>50</v>
      </c>
      <c r="X212" t="s">
        <v>369</v>
      </c>
      <c r="Y212" t="s">
        <v>239</v>
      </c>
      <c r="Z212" t="s">
        <v>851</v>
      </c>
      <c r="AB212" t="s">
        <v>348</v>
      </c>
      <c r="AC212" t="s">
        <v>7</v>
      </c>
      <c r="AD212" t="s">
        <v>7</v>
      </c>
      <c r="AE212" t="s">
        <v>7</v>
      </c>
      <c r="AF212" t="s">
        <v>1613</v>
      </c>
      <c r="AG212" t="s">
        <v>249</v>
      </c>
      <c r="AH212">
        <v>2</v>
      </c>
      <c r="AI212" t="s">
        <v>250</v>
      </c>
      <c r="AJ212" t="s">
        <v>251</v>
      </c>
      <c r="AK212" t="s">
        <v>827</v>
      </c>
      <c r="AL212" t="s">
        <v>156</v>
      </c>
      <c r="AM212" t="s">
        <v>1594</v>
      </c>
      <c r="AO212">
        <v>46233</v>
      </c>
      <c r="AP212">
        <v>0.38006944444444446</v>
      </c>
      <c r="AQ212">
        <v>46238</v>
      </c>
      <c r="AR212">
        <v>0.46319444444444446</v>
      </c>
      <c r="AS212" t="s">
        <v>201</v>
      </c>
      <c r="AT212" t="s">
        <v>1954</v>
      </c>
      <c r="AU212" t="s">
        <v>1955</v>
      </c>
      <c r="AV212" t="s">
        <v>937</v>
      </c>
      <c r="AX212">
        <v>1</v>
      </c>
      <c r="AY212" t="s">
        <v>111</v>
      </c>
      <c r="AZ212" t="s">
        <v>96</v>
      </c>
      <c r="BA212" t="s">
        <v>225</v>
      </c>
      <c r="BB212" t="s">
        <v>858</v>
      </c>
      <c r="BE212">
        <v>1</v>
      </c>
    </row>
    <row r="213" spans="1:57" x14ac:dyDescent="0.3">
      <c r="A213" s="204">
        <v>46235</v>
      </c>
      <c r="B213" t="s">
        <v>142</v>
      </c>
      <c r="C213" t="s">
        <v>345</v>
      </c>
      <c r="D213" t="s">
        <v>63</v>
      </c>
      <c r="E213" t="s">
        <v>95</v>
      </c>
      <c r="F213" t="s">
        <v>309</v>
      </c>
      <c r="G213" t="s">
        <v>1119</v>
      </c>
      <c r="H213" t="s">
        <v>842</v>
      </c>
      <c r="I213" t="s">
        <v>401</v>
      </c>
      <c r="J213">
        <v>1</v>
      </c>
      <c r="K213">
        <v>1</v>
      </c>
      <c r="L213" t="s">
        <v>1120</v>
      </c>
      <c r="M213" s="15">
        <v>46232.31826388889</v>
      </c>
      <c r="N213" s="15">
        <v>46239.333333333336</v>
      </c>
      <c r="O213" s="15">
        <v>46232.407094907408</v>
      </c>
      <c r="P213" s="15">
        <v>46238.423611111109</v>
      </c>
      <c r="Q213" s="15"/>
      <c r="S213" t="s">
        <v>357</v>
      </c>
      <c r="U213" t="s">
        <v>1536</v>
      </c>
      <c r="V213" t="s">
        <v>357</v>
      </c>
      <c r="W213">
        <v>101</v>
      </c>
      <c r="X213" t="s">
        <v>369</v>
      </c>
      <c r="Y213" t="s">
        <v>239</v>
      </c>
      <c r="Z213" t="s">
        <v>851</v>
      </c>
      <c r="AB213" t="s">
        <v>348</v>
      </c>
      <c r="AC213" t="s">
        <v>7</v>
      </c>
      <c r="AD213" t="s">
        <v>7</v>
      </c>
      <c r="AE213" t="s">
        <v>7</v>
      </c>
      <c r="AF213" t="s">
        <v>1614</v>
      </c>
      <c r="AG213" t="s">
        <v>249</v>
      </c>
      <c r="AH213">
        <v>2</v>
      </c>
      <c r="AI213" t="s">
        <v>250</v>
      </c>
      <c r="AJ213" t="s">
        <v>251</v>
      </c>
      <c r="AK213" t="s">
        <v>827</v>
      </c>
      <c r="AL213" t="s">
        <v>156</v>
      </c>
      <c r="AM213" t="s">
        <v>1594</v>
      </c>
      <c r="AO213">
        <v>46232</v>
      </c>
      <c r="AP213">
        <v>0.40709490740740739</v>
      </c>
      <c r="AQ213">
        <v>46238</v>
      </c>
      <c r="AR213">
        <v>0.4236111111111111</v>
      </c>
      <c r="AS213" t="s">
        <v>201</v>
      </c>
      <c r="AT213" t="s">
        <v>1954</v>
      </c>
      <c r="AU213" t="s">
        <v>1955</v>
      </c>
      <c r="AV213" t="s">
        <v>937</v>
      </c>
      <c r="AX213">
        <v>1</v>
      </c>
      <c r="AY213" t="s">
        <v>111</v>
      </c>
      <c r="AZ213" t="s">
        <v>96</v>
      </c>
      <c r="BA213" t="s">
        <v>225</v>
      </c>
      <c r="BB213" t="s">
        <v>863</v>
      </c>
      <c r="BE213">
        <v>1</v>
      </c>
    </row>
    <row r="214" spans="1:57" x14ac:dyDescent="0.3">
      <c r="A214" s="204">
        <v>46230</v>
      </c>
      <c r="B214" t="s">
        <v>142</v>
      </c>
      <c r="C214" t="s">
        <v>345</v>
      </c>
      <c r="D214" t="s">
        <v>63</v>
      </c>
      <c r="E214" t="s">
        <v>95</v>
      </c>
      <c r="F214" t="s">
        <v>309</v>
      </c>
      <c r="G214" t="s">
        <v>1134</v>
      </c>
      <c r="H214" t="s">
        <v>845</v>
      </c>
      <c r="I214" t="s">
        <v>402</v>
      </c>
      <c r="J214">
        <v>1</v>
      </c>
      <c r="K214">
        <v>1</v>
      </c>
      <c r="L214" t="s">
        <v>1135</v>
      </c>
      <c r="M214" s="15">
        <v>46223.623645833337</v>
      </c>
      <c r="N214" s="15">
        <v>46230.623611111114</v>
      </c>
      <c r="O214" s="15">
        <v>46224.351388888892</v>
      </c>
      <c r="P214" s="15">
        <v>46227.68472222222</v>
      </c>
      <c r="Q214" s="15">
        <v>46234.655555555553</v>
      </c>
      <c r="S214" t="s">
        <v>355</v>
      </c>
      <c r="T214" t="s">
        <v>1562</v>
      </c>
      <c r="U214" t="s">
        <v>1563</v>
      </c>
      <c r="V214" t="s">
        <v>355</v>
      </c>
      <c r="W214">
        <v>2200</v>
      </c>
      <c r="X214" t="s">
        <v>369</v>
      </c>
      <c r="Y214" t="s">
        <v>239</v>
      </c>
      <c r="Z214" t="s">
        <v>851</v>
      </c>
      <c r="AB214" t="s">
        <v>348</v>
      </c>
      <c r="AC214" t="s">
        <v>7</v>
      </c>
      <c r="AD214" t="s">
        <v>7</v>
      </c>
      <c r="AE214" t="s">
        <v>7</v>
      </c>
      <c r="AF214" t="s">
        <v>1615</v>
      </c>
      <c r="AG214" t="s">
        <v>249</v>
      </c>
      <c r="AH214">
        <v>2</v>
      </c>
      <c r="AI214" t="s">
        <v>250</v>
      </c>
      <c r="AJ214" t="s">
        <v>251</v>
      </c>
      <c r="AK214" t="s">
        <v>827</v>
      </c>
      <c r="AL214" t="s">
        <v>156</v>
      </c>
      <c r="AM214" t="s">
        <v>1594</v>
      </c>
      <c r="AO214">
        <v>46224</v>
      </c>
      <c r="AP214">
        <v>0.35138888888888886</v>
      </c>
      <c r="AQ214">
        <v>46227</v>
      </c>
      <c r="AR214">
        <v>0.68472222222222223</v>
      </c>
      <c r="AS214" t="s">
        <v>201</v>
      </c>
      <c r="AT214" t="s">
        <v>1954</v>
      </c>
      <c r="AU214" t="s">
        <v>1955</v>
      </c>
      <c r="AV214" t="s">
        <v>937</v>
      </c>
      <c r="AX214">
        <v>1</v>
      </c>
      <c r="AY214" t="s">
        <v>111</v>
      </c>
      <c r="AZ214" t="s">
        <v>96</v>
      </c>
      <c r="BA214" t="s">
        <v>225</v>
      </c>
      <c r="BB214" t="s">
        <v>859</v>
      </c>
      <c r="BE214">
        <v>1</v>
      </c>
    </row>
    <row r="215" spans="1:57" x14ac:dyDescent="0.3">
      <c r="A215" s="204">
        <v>46230</v>
      </c>
      <c r="B215" t="s">
        <v>142</v>
      </c>
      <c r="C215" t="s">
        <v>345</v>
      </c>
      <c r="D215" t="s">
        <v>63</v>
      </c>
      <c r="E215" t="s">
        <v>95</v>
      </c>
      <c r="F215" t="s">
        <v>309</v>
      </c>
      <c r="G215" t="s">
        <v>1134</v>
      </c>
      <c r="H215" t="s">
        <v>845</v>
      </c>
      <c r="I215" t="s">
        <v>402</v>
      </c>
      <c r="J215">
        <v>1</v>
      </c>
      <c r="K215">
        <v>1</v>
      </c>
      <c r="L215" t="s">
        <v>1135</v>
      </c>
      <c r="M215" s="15">
        <v>46223.623645833337</v>
      </c>
      <c r="N215" s="15">
        <v>46230.623611111114</v>
      </c>
      <c r="O215" s="15">
        <v>46224.351388888892</v>
      </c>
      <c r="P215" s="15">
        <v>46227.68472222222</v>
      </c>
      <c r="Q215" s="15">
        <v>46234.655555555553</v>
      </c>
      <c r="S215" t="s">
        <v>355</v>
      </c>
      <c r="T215" t="s">
        <v>1562</v>
      </c>
      <c r="U215" t="s">
        <v>1565</v>
      </c>
      <c r="V215" t="s">
        <v>355</v>
      </c>
      <c r="W215">
        <v>2200</v>
      </c>
      <c r="X215" t="s">
        <v>369</v>
      </c>
      <c r="Y215" t="s">
        <v>239</v>
      </c>
      <c r="Z215" t="s">
        <v>851</v>
      </c>
      <c r="AB215" t="s">
        <v>348</v>
      </c>
      <c r="AC215" t="s">
        <v>7</v>
      </c>
      <c r="AD215" t="s">
        <v>7</v>
      </c>
      <c r="AE215" t="s">
        <v>7</v>
      </c>
      <c r="AF215" t="s">
        <v>1615</v>
      </c>
      <c r="AG215" t="s">
        <v>250</v>
      </c>
      <c r="AH215">
        <v>2</v>
      </c>
      <c r="AI215" t="s">
        <v>250</v>
      </c>
      <c r="AJ215" t="s">
        <v>251</v>
      </c>
      <c r="AK215" t="s">
        <v>827</v>
      </c>
      <c r="AL215" t="s">
        <v>156</v>
      </c>
      <c r="AM215" t="s">
        <v>1594</v>
      </c>
      <c r="AO215">
        <v>46224</v>
      </c>
      <c r="AP215">
        <v>0.35138888888888886</v>
      </c>
      <c r="AQ215">
        <v>46227</v>
      </c>
      <c r="AR215">
        <v>0.68472222222222223</v>
      </c>
      <c r="AS215" t="s">
        <v>1958</v>
      </c>
      <c r="AU215" t="s">
        <v>1955</v>
      </c>
      <c r="AV215" t="s">
        <v>937</v>
      </c>
      <c r="AX215">
        <v>1</v>
      </c>
      <c r="AY215" t="s">
        <v>111</v>
      </c>
      <c r="AZ215" t="s">
        <v>96</v>
      </c>
      <c r="BA215" t="s">
        <v>225</v>
      </c>
      <c r="BB215" t="s">
        <v>859</v>
      </c>
    </row>
    <row r="216" spans="1:57" x14ac:dyDescent="0.3">
      <c r="A216" s="204">
        <v>46230</v>
      </c>
      <c r="B216" t="s">
        <v>142</v>
      </c>
      <c r="C216" t="s">
        <v>345</v>
      </c>
      <c r="D216" t="s">
        <v>63</v>
      </c>
      <c r="E216" t="s">
        <v>95</v>
      </c>
      <c r="F216" t="s">
        <v>309</v>
      </c>
      <c r="G216" t="s">
        <v>1134</v>
      </c>
      <c r="H216" t="s">
        <v>845</v>
      </c>
      <c r="I216" t="s">
        <v>402</v>
      </c>
      <c r="J216">
        <v>3</v>
      </c>
      <c r="K216">
        <v>3</v>
      </c>
      <c r="L216" t="s">
        <v>1136</v>
      </c>
      <c r="M216" s="15">
        <v>46223.623645833337</v>
      </c>
      <c r="N216" s="15">
        <v>46230.623611111114</v>
      </c>
      <c r="O216" s="15">
        <v>46224.351388888892</v>
      </c>
      <c r="P216" s="15">
        <v>46227.68472222222</v>
      </c>
      <c r="Q216" s="15"/>
      <c r="S216" t="s">
        <v>355</v>
      </c>
      <c r="T216" t="s">
        <v>1562</v>
      </c>
      <c r="U216" t="s">
        <v>1566</v>
      </c>
      <c r="V216" t="s">
        <v>355</v>
      </c>
      <c r="W216">
        <v>2200</v>
      </c>
      <c r="X216" t="s">
        <v>369</v>
      </c>
      <c r="Y216" t="s">
        <v>239</v>
      </c>
      <c r="Z216" t="s">
        <v>851</v>
      </c>
      <c r="AB216" t="s">
        <v>348</v>
      </c>
      <c r="AC216" t="s">
        <v>7</v>
      </c>
      <c r="AD216" t="s">
        <v>7</v>
      </c>
      <c r="AE216" t="s">
        <v>7</v>
      </c>
      <c r="AF216" t="s">
        <v>1616</v>
      </c>
      <c r="AG216" t="s">
        <v>249</v>
      </c>
      <c r="AH216">
        <v>2</v>
      </c>
      <c r="AI216" t="s">
        <v>250</v>
      </c>
      <c r="AJ216" t="s">
        <v>251</v>
      </c>
      <c r="AK216" t="s">
        <v>827</v>
      </c>
      <c r="AL216" t="s">
        <v>156</v>
      </c>
      <c r="AM216" t="s">
        <v>1594</v>
      </c>
      <c r="AO216">
        <v>46224</v>
      </c>
      <c r="AP216">
        <v>0.35138888888888886</v>
      </c>
      <c r="AQ216">
        <v>46227</v>
      </c>
      <c r="AR216">
        <v>0.68472222222222223</v>
      </c>
      <c r="AS216" t="s">
        <v>201</v>
      </c>
      <c r="AT216" t="s">
        <v>1954</v>
      </c>
      <c r="AU216" t="s">
        <v>1955</v>
      </c>
      <c r="AV216" t="s">
        <v>937</v>
      </c>
      <c r="AX216">
        <v>3</v>
      </c>
      <c r="AY216" t="s">
        <v>111</v>
      </c>
      <c r="AZ216" t="s">
        <v>96</v>
      </c>
      <c r="BA216" t="s">
        <v>225</v>
      </c>
      <c r="BB216" t="s">
        <v>859</v>
      </c>
    </row>
    <row r="217" spans="1:57" x14ac:dyDescent="0.3">
      <c r="A217" s="204">
        <v>46230</v>
      </c>
      <c r="B217" t="s">
        <v>142</v>
      </c>
      <c r="C217" t="s">
        <v>345</v>
      </c>
      <c r="D217" t="s">
        <v>63</v>
      </c>
      <c r="E217" t="s">
        <v>95</v>
      </c>
      <c r="F217" t="s">
        <v>309</v>
      </c>
      <c r="G217" t="s">
        <v>1137</v>
      </c>
      <c r="H217" t="s">
        <v>1568</v>
      </c>
      <c r="I217" t="s">
        <v>420</v>
      </c>
      <c r="J217">
        <v>1</v>
      </c>
      <c r="K217">
        <v>1</v>
      </c>
      <c r="L217" t="s">
        <v>1138</v>
      </c>
      <c r="M217" s="15">
        <v>46217.60359953704</v>
      </c>
      <c r="N217" s="15">
        <v>46224.603472222225</v>
      </c>
      <c r="O217" s="15">
        <v>46220.352083333331</v>
      </c>
      <c r="P217" s="15">
        <v>46227.702777777777</v>
      </c>
      <c r="Q217" s="15"/>
      <c r="S217" t="s">
        <v>357</v>
      </c>
      <c r="U217" t="s">
        <v>1569</v>
      </c>
      <c r="V217" t="s">
        <v>357</v>
      </c>
      <c r="W217">
        <v>101</v>
      </c>
      <c r="X217" t="s">
        <v>369</v>
      </c>
      <c r="Y217" t="s">
        <v>239</v>
      </c>
      <c r="Z217" t="s">
        <v>851</v>
      </c>
      <c r="AB217" t="s">
        <v>348</v>
      </c>
      <c r="AC217" t="s">
        <v>7</v>
      </c>
      <c r="AD217" t="s">
        <v>7</v>
      </c>
      <c r="AE217" t="s">
        <v>7</v>
      </c>
      <c r="AF217" t="s">
        <v>1617</v>
      </c>
      <c r="AG217" t="s">
        <v>249</v>
      </c>
      <c r="AH217">
        <v>2</v>
      </c>
      <c r="AI217" t="s">
        <v>250</v>
      </c>
      <c r="AJ217" t="s">
        <v>251</v>
      </c>
      <c r="AK217" t="s">
        <v>827</v>
      </c>
      <c r="AL217" t="s">
        <v>156</v>
      </c>
      <c r="AM217" t="s">
        <v>1594</v>
      </c>
      <c r="AO217">
        <v>46220</v>
      </c>
      <c r="AP217">
        <v>0.35208333333333336</v>
      </c>
      <c r="AQ217">
        <v>46227</v>
      </c>
      <c r="AR217">
        <v>0.70277777777777772</v>
      </c>
      <c r="AS217" t="s">
        <v>201</v>
      </c>
      <c r="AT217" t="s">
        <v>1954</v>
      </c>
      <c r="AU217" t="s">
        <v>1955</v>
      </c>
      <c r="AV217" t="s">
        <v>937</v>
      </c>
      <c r="AX217">
        <v>1</v>
      </c>
      <c r="AY217" t="s">
        <v>111</v>
      </c>
      <c r="AZ217" t="s">
        <v>96</v>
      </c>
      <c r="BA217" t="s">
        <v>225</v>
      </c>
      <c r="BB217" t="s">
        <v>863</v>
      </c>
      <c r="BE217">
        <v>1</v>
      </c>
    </row>
    <row r="218" spans="1:57" x14ac:dyDescent="0.3">
      <c r="A218" s="204">
        <v>46230</v>
      </c>
      <c r="B218" t="s">
        <v>142</v>
      </c>
      <c r="C218" t="s">
        <v>345</v>
      </c>
      <c r="D218" t="s">
        <v>63</v>
      </c>
      <c r="E218" t="s">
        <v>95</v>
      </c>
      <c r="F218" t="s">
        <v>309</v>
      </c>
      <c r="G218" t="s">
        <v>1137</v>
      </c>
      <c r="H218" t="s">
        <v>1568</v>
      </c>
      <c r="I218" t="s">
        <v>420</v>
      </c>
      <c r="J218">
        <v>4</v>
      </c>
      <c r="K218">
        <v>4</v>
      </c>
      <c r="L218" t="s">
        <v>1138</v>
      </c>
      <c r="M218" s="15">
        <v>46217.60359953704</v>
      </c>
      <c r="N218" s="15">
        <v>46224.603472222225</v>
      </c>
      <c r="O218" s="15">
        <v>46220.352083333331</v>
      </c>
      <c r="P218" s="15">
        <v>46227.702777777777</v>
      </c>
      <c r="Q218" s="15"/>
      <c r="S218" t="s">
        <v>357</v>
      </c>
      <c r="U218" t="s">
        <v>1571</v>
      </c>
      <c r="V218" t="s">
        <v>357</v>
      </c>
      <c r="W218">
        <v>101</v>
      </c>
      <c r="X218" t="s">
        <v>369</v>
      </c>
      <c r="Y218" t="s">
        <v>239</v>
      </c>
      <c r="Z218" t="s">
        <v>851</v>
      </c>
      <c r="AB218" t="s">
        <v>348</v>
      </c>
      <c r="AC218" t="s">
        <v>7</v>
      </c>
      <c r="AD218" t="s">
        <v>7</v>
      </c>
      <c r="AE218" t="s">
        <v>7</v>
      </c>
      <c r="AF218" t="s">
        <v>1617</v>
      </c>
      <c r="AG218" t="s">
        <v>250</v>
      </c>
      <c r="AH218">
        <v>2</v>
      </c>
      <c r="AI218" t="s">
        <v>250</v>
      </c>
      <c r="AJ218" t="s">
        <v>251</v>
      </c>
      <c r="AK218" t="s">
        <v>827</v>
      </c>
      <c r="AL218" t="s">
        <v>156</v>
      </c>
      <c r="AM218" t="s">
        <v>1594</v>
      </c>
      <c r="AO218">
        <v>46220</v>
      </c>
      <c r="AP218">
        <v>0.35208333333333336</v>
      </c>
      <c r="AQ218">
        <v>46227</v>
      </c>
      <c r="AR218">
        <v>0.70277777777777772</v>
      </c>
      <c r="AS218" t="s">
        <v>1958</v>
      </c>
      <c r="AU218" t="s">
        <v>1955</v>
      </c>
      <c r="AV218" t="s">
        <v>937</v>
      </c>
      <c r="AX218">
        <v>4</v>
      </c>
      <c r="AY218" t="s">
        <v>111</v>
      </c>
      <c r="AZ218" t="s">
        <v>96</v>
      </c>
      <c r="BA218" t="s">
        <v>225</v>
      </c>
      <c r="BB218" t="s">
        <v>863</v>
      </c>
    </row>
    <row r="219" spans="1:57" x14ac:dyDescent="0.3">
      <c r="A219" s="204">
        <v>46230</v>
      </c>
      <c r="B219" t="s">
        <v>142</v>
      </c>
      <c r="C219" t="s">
        <v>345</v>
      </c>
      <c r="D219" t="s">
        <v>63</v>
      </c>
      <c r="E219" t="s">
        <v>95</v>
      </c>
      <c r="F219" t="s">
        <v>309</v>
      </c>
      <c r="G219" t="s">
        <v>1137</v>
      </c>
      <c r="H219" t="s">
        <v>1568</v>
      </c>
      <c r="I219" t="s">
        <v>420</v>
      </c>
      <c r="J219">
        <v>1</v>
      </c>
      <c r="K219">
        <v>1</v>
      </c>
      <c r="L219" t="s">
        <v>1138</v>
      </c>
      <c r="M219" s="15">
        <v>46217.60359953704</v>
      </c>
      <c r="N219" s="15">
        <v>46224.603472222225</v>
      </c>
      <c r="O219" s="15">
        <v>46220.352083333331</v>
      </c>
      <c r="P219" s="15">
        <v>46227.702777777777</v>
      </c>
      <c r="Q219" s="15"/>
      <c r="S219" t="s">
        <v>357</v>
      </c>
      <c r="U219" t="s">
        <v>1572</v>
      </c>
      <c r="V219" t="s">
        <v>357</v>
      </c>
      <c r="W219">
        <v>101</v>
      </c>
      <c r="X219" t="s">
        <v>369</v>
      </c>
      <c r="Y219" t="s">
        <v>239</v>
      </c>
      <c r="Z219" t="s">
        <v>851</v>
      </c>
      <c r="AB219" t="s">
        <v>348</v>
      </c>
      <c r="AC219" t="s">
        <v>7</v>
      </c>
      <c r="AD219" t="s">
        <v>7</v>
      </c>
      <c r="AE219" t="s">
        <v>7</v>
      </c>
      <c r="AF219" t="s">
        <v>1617</v>
      </c>
      <c r="AG219" t="s">
        <v>250</v>
      </c>
      <c r="AH219">
        <v>2</v>
      </c>
      <c r="AI219" t="s">
        <v>250</v>
      </c>
      <c r="AJ219" t="s">
        <v>251</v>
      </c>
      <c r="AK219" t="s">
        <v>827</v>
      </c>
      <c r="AL219" t="s">
        <v>156</v>
      </c>
      <c r="AM219" t="s">
        <v>1594</v>
      </c>
      <c r="AO219">
        <v>46220</v>
      </c>
      <c r="AP219">
        <v>0.35208333333333336</v>
      </c>
      <c r="AQ219">
        <v>46227</v>
      </c>
      <c r="AR219">
        <v>0.70277777777777772</v>
      </c>
      <c r="AS219" t="s">
        <v>1958</v>
      </c>
      <c r="AU219" t="s">
        <v>1955</v>
      </c>
      <c r="AV219" t="s">
        <v>937</v>
      </c>
      <c r="AX219">
        <v>1</v>
      </c>
      <c r="AY219" t="s">
        <v>111</v>
      </c>
      <c r="AZ219" t="s">
        <v>96</v>
      </c>
      <c r="BA219" t="s">
        <v>225</v>
      </c>
      <c r="BB219" t="s">
        <v>863</v>
      </c>
    </row>
    <row r="220" spans="1:57" x14ac:dyDescent="0.3">
      <c r="A220" s="204">
        <v>46230</v>
      </c>
      <c r="B220" t="s">
        <v>142</v>
      </c>
      <c r="C220" t="s">
        <v>345</v>
      </c>
      <c r="D220" t="s">
        <v>281</v>
      </c>
      <c r="E220" t="s">
        <v>85</v>
      </c>
      <c r="F220" t="s">
        <v>309</v>
      </c>
      <c r="G220" t="s">
        <v>1137</v>
      </c>
      <c r="H220" t="s">
        <v>1568</v>
      </c>
      <c r="I220" t="s">
        <v>420</v>
      </c>
      <c r="J220">
        <v>1</v>
      </c>
      <c r="K220">
        <v>1</v>
      </c>
      <c r="L220" t="s">
        <v>1138</v>
      </c>
      <c r="M220" s="15">
        <v>46217.60359953704</v>
      </c>
      <c r="N220" s="15">
        <v>46224.603472222225</v>
      </c>
      <c r="O220" s="15">
        <v>46220.352083333331</v>
      </c>
      <c r="P220" s="15">
        <v>46227.702777777777</v>
      </c>
      <c r="Q220" s="15"/>
      <c r="S220" t="s">
        <v>357</v>
      </c>
      <c r="U220" t="s">
        <v>1569</v>
      </c>
      <c r="V220" t="s">
        <v>357</v>
      </c>
      <c r="W220">
        <v>101</v>
      </c>
      <c r="X220" t="s">
        <v>369</v>
      </c>
      <c r="Y220" t="s">
        <v>239</v>
      </c>
      <c r="Z220" t="s">
        <v>851</v>
      </c>
      <c r="AB220" t="s">
        <v>348</v>
      </c>
      <c r="AC220" t="s">
        <v>7</v>
      </c>
      <c r="AD220" t="s">
        <v>7</v>
      </c>
      <c r="AE220" t="s">
        <v>7</v>
      </c>
      <c r="AF220" t="s">
        <v>1618</v>
      </c>
      <c r="AG220" t="s">
        <v>249</v>
      </c>
      <c r="AH220">
        <v>2</v>
      </c>
      <c r="AI220" t="s">
        <v>250</v>
      </c>
      <c r="AJ220" t="s">
        <v>248</v>
      </c>
      <c r="AK220" t="s">
        <v>827</v>
      </c>
      <c r="AL220" t="s">
        <v>156</v>
      </c>
      <c r="AM220" t="s">
        <v>872</v>
      </c>
      <c r="AN220">
        <v>5</v>
      </c>
      <c r="AO220">
        <v>46220</v>
      </c>
      <c r="AP220">
        <v>0.35208333333333336</v>
      </c>
      <c r="AQ220">
        <v>46227</v>
      </c>
      <c r="AR220">
        <v>0.70277777777777772</v>
      </c>
      <c r="AS220" t="s">
        <v>201</v>
      </c>
      <c r="AT220" t="s">
        <v>1956</v>
      </c>
      <c r="AU220" t="s">
        <v>1955</v>
      </c>
      <c r="AV220" t="s">
        <v>873</v>
      </c>
      <c r="AW220">
        <v>1</v>
      </c>
      <c r="AX220">
        <v>1</v>
      </c>
      <c r="AY220" t="s">
        <v>124</v>
      </c>
      <c r="AZ220" t="s">
        <v>122</v>
      </c>
      <c r="BA220" t="s">
        <v>231</v>
      </c>
      <c r="BB220" t="s">
        <v>863</v>
      </c>
      <c r="BE220">
        <v>1.6</v>
      </c>
    </row>
    <row r="221" spans="1:57" x14ac:dyDescent="0.3">
      <c r="A221" s="204">
        <v>46230</v>
      </c>
      <c r="B221" t="s">
        <v>142</v>
      </c>
      <c r="C221" t="s">
        <v>345</v>
      </c>
      <c r="D221" t="s">
        <v>281</v>
      </c>
      <c r="E221" t="s">
        <v>85</v>
      </c>
      <c r="F221" t="s">
        <v>309</v>
      </c>
      <c r="G221" t="s">
        <v>1137</v>
      </c>
      <c r="H221" t="s">
        <v>1568</v>
      </c>
      <c r="I221" t="s">
        <v>420</v>
      </c>
      <c r="J221">
        <v>14</v>
      </c>
      <c r="K221">
        <v>14</v>
      </c>
      <c r="L221" t="s">
        <v>1138</v>
      </c>
      <c r="M221" s="15">
        <v>46217.60359953704</v>
      </c>
      <c r="N221" s="15">
        <v>46224.603472222225</v>
      </c>
      <c r="O221" s="15">
        <v>46220.352083333331</v>
      </c>
      <c r="P221" s="15">
        <v>46227.702777777777</v>
      </c>
      <c r="Q221" s="15"/>
      <c r="S221" t="s">
        <v>357</v>
      </c>
      <c r="U221" t="s">
        <v>1571</v>
      </c>
      <c r="V221" t="s">
        <v>357</v>
      </c>
      <c r="W221">
        <v>101</v>
      </c>
      <c r="X221" t="s">
        <v>369</v>
      </c>
      <c r="Y221" t="s">
        <v>239</v>
      </c>
      <c r="Z221" t="s">
        <v>851</v>
      </c>
      <c r="AB221" t="s">
        <v>348</v>
      </c>
      <c r="AC221" t="s">
        <v>7</v>
      </c>
      <c r="AD221" t="s">
        <v>7</v>
      </c>
      <c r="AE221" t="s">
        <v>7</v>
      </c>
      <c r="AF221" t="s">
        <v>1618</v>
      </c>
      <c r="AG221" t="s">
        <v>250</v>
      </c>
      <c r="AH221">
        <v>2</v>
      </c>
      <c r="AI221" t="s">
        <v>250</v>
      </c>
      <c r="AJ221" t="s">
        <v>248</v>
      </c>
      <c r="AK221" t="s">
        <v>827</v>
      </c>
      <c r="AL221" t="s">
        <v>156</v>
      </c>
      <c r="AM221" t="s">
        <v>872</v>
      </c>
      <c r="AN221">
        <v>5</v>
      </c>
      <c r="AO221">
        <v>46220</v>
      </c>
      <c r="AP221">
        <v>0.35208333333333336</v>
      </c>
      <c r="AQ221">
        <v>46227</v>
      </c>
      <c r="AR221">
        <v>0.70277777777777772</v>
      </c>
      <c r="AS221" t="s">
        <v>1958</v>
      </c>
      <c r="AU221" t="s">
        <v>1955</v>
      </c>
      <c r="AV221" t="s">
        <v>873</v>
      </c>
      <c r="AW221">
        <v>1</v>
      </c>
      <c r="AX221">
        <v>14</v>
      </c>
      <c r="AY221" t="s">
        <v>124</v>
      </c>
      <c r="AZ221" t="s">
        <v>122</v>
      </c>
      <c r="BA221" t="s">
        <v>231</v>
      </c>
      <c r="BB221" t="s">
        <v>863</v>
      </c>
    </row>
    <row r="222" spans="1:57" x14ac:dyDescent="0.3">
      <c r="A222" s="204">
        <v>46235</v>
      </c>
      <c r="B222" t="s">
        <v>142</v>
      </c>
      <c r="C222" t="s">
        <v>345</v>
      </c>
      <c r="D222" t="s">
        <v>279</v>
      </c>
      <c r="E222" t="s">
        <v>197</v>
      </c>
      <c r="F222" t="s">
        <v>309</v>
      </c>
      <c r="G222" t="s">
        <v>1114</v>
      </c>
      <c r="H222" t="s">
        <v>860</v>
      </c>
      <c r="I222" t="s">
        <v>419</v>
      </c>
      <c r="J222" s="14">
        <v>30</v>
      </c>
      <c r="K222" s="14">
        <v>30</v>
      </c>
      <c r="L222" t="s">
        <v>1129</v>
      </c>
      <c r="M222" s="15">
        <v>46202.512337962966</v>
      </c>
      <c r="N222" s="15">
        <v>46209.5</v>
      </c>
      <c r="O222" s="15">
        <v>46239.591469907406</v>
      </c>
      <c r="P222" s="15">
        <v>46241.497916666667</v>
      </c>
      <c r="Q222" s="15"/>
      <c r="S222" t="s">
        <v>356</v>
      </c>
      <c r="T222" t="s">
        <v>1555</v>
      </c>
      <c r="U222" t="s">
        <v>1556</v>
      </c>
      <c r="V222" t="s">
        <v>356</v>
      </c>
      <c r="W222">
        <v>109</v>
      </c>
      <c r="X222" t="s">
        <v>369</v>
      </c>
      <c r="Y222" t="s">
        <v>239</v>
      </c>
      <c r="Z222" t="s">
        <v>851</v>
      </c>
      <c r="AB222" t="s">
        <v>348</v>
      </c>
      <c r="AC222" t="s">
        <v>7</v>
      </c>
      <c r="AD222" t="s">
        <v>7</v>
      </c>
      <c r="AE222" t="s">
        <v>7</v>
      </c>
      <c r="AF222" t="s">
        <v>1619</v>
      </c>
      <c r="AG222" t="s">
        <v>249</v>
      </c>
      <c r="AH222">
        <v>2</v>
      </c>
      <c r="AI222" t="s">
        <v>250</v>
      </c>
      <c r="AJ222" t="s">
        <v>248</v>
      </c>
      <c r="AK222" t="s">
        <v>827</v>
      </c>
      <c r="AL222" t="s">
        <v>156</v>
      </c>
      <c r="AM222" t="s">
        <v>855</v>
      </c>
      <c r="AN222">
        <v>3</v>
      </c>
      <c r="AO222">
        <v>46239</v>
      </c>
      <c r="AP222">
        <v>0.59146990740740746</v>
      </c>
      <c r="AQ222">
        <v>46241</v>
      </c>
      <c r="AR222">
        <v>0.49791666666666667</v>
      </c>
      <c r="AS222" t="s">
        <v>201</v>
      </c>
      <c r="AT222" t="s">
        <v>1954</v>
      </c>
      <c r="AU222" t="s">
        <v>1955</v>
      </c>
      <c r="AV222" t="s">
        <v>866</v>
      </c>
      <c r="AW222">
        <v>16</v>
      </c>
      <c r="AX222">
        <v>480</v>
      </c>
      <c r="AY222" t="s">
        <v>125</v>
      </c>
      <c r="AZ222" t="s">
        <v>122</v>
      </c>
      <c r="BA222" t="s">
        <v>232</v>
      </c>
      <c r="BB222" t="s">
        <v>854</v>
      </c>
      <c r="BE222">
        <v>48</v>
      </c>
    </row>
    <row r="223" spans="1:57" x14ac:dyDescent="0.3">
      <c r="A223" s="204">
        <v>46235</v>
      </c>
      <c r="B223" t="s">
        <v>142</v>
      </c>
      <c r="C223" t="s">
        <v>345</v>
      </c>
      <c r="D223" t="s">
        <v>60</v>
      </c>
      <c r="E223" t="s">
        <v>92</v>
      </c>
      <c r="F223" t="s">
        <v>309</v>
      </c>
      <c r="G223" t="s">
        <v>1114</v>
      </c>
      <c r="H223" t="s">
        <v>860</v>
      </c>
      <c r="I223" t="s">
        <v>419</v>
      </c>
      <c r="J223" s="14">
        <v>736</v>
      </c>
      <c r="K223" s="14">
        <v>736</v>
      </c>
      <c r="L223" t="s">
        <v>1128</v>
      </c>
      <c r="M223" s="15">
        <v>46202.512337962966</v>
      </c>
      <c r="N223" s="15">
        <v>46209.5</v>
      </c>
      <c r="O223" s="15">
        <v>46203.361828703702</v>
      </c>
      <c r="P223" s="15">
        <v>46212.739201388889</v>
      </c>
      <c r="Q223" s="15"/>
      <c r="S223" t="s">
        <v>356</v>
      </c>
      <c r="U223" t="s">
        <v>1552</v>
      </c>
      <c r="V223" t="s">
        <v>356</v>
      </c>
      <c r="W223">
        <v>109</v>
      </c>
      <c r="X223" t="s">
        <v>369</v>
      </c>
      <c r="Y223" t="s">
        <v>239</v>
      </c>
      <c r="Z223" t="s">
        <v>851</v>
      </c>
      <c r="AB223" t="s">
        <v>348</v>
      </c>
      <c r="AC223" t="s">
        <v>7</v>
      </c>
      <c r="AD223" t="s">
        <v>7</v>
      </c>
      <c r="AE223" t="s">
        <v>7</v>
      </c>
      <c r="AF223" t="s">
        <v>1620</v>
      </c>
      <c r="AG223" t="s">
        <v>249</v>
      </c>
      <c r="AH223">
        <v>2</v>
      </c>
      <c r="AI223" t="s">
        <v>250</v>
      </c>
      <c r="AJ223" t="s">
        <v>251</v>
      </c>
      <c r="AK223" t="s">
        <v>827</v>
      </c>
      <c r="AL223" t="s">
        <v>156</v>
      </c>
      <c r="AM223" t="s">
        <v>1621</v>
      </c>
      <c r="AO223">
        <v>46203</v>
      </c>
      <c r="AP223">
        <v>0.36182870370370368</v>
      </c>
      <c r="AQ223">
        <v>46212</v>
      </c>
      <c r="AR223">
        <v>0.73920138888888887</v>
      </c>
      <c r="AS223" t="s">
        <v>201</v>
      </c>
      <c r="AT223" t="s">
        <v>1954</v>
      </c>
      <c r="AU223" t="s">
        <v>1955</v>
      </c>
      <c r="AV223" t="s">
        <v>1622</v>
      </c>
      <c r="AX223">
        <v>736</v>
      </c>
      <c r="AY223" t="s">
        <v>130</v>
      </c>
      <c r="AZ223" t="s">
        <v>92</v>
      </c>
      <c r="BA223" t="s">
        <v>236</v>
      </c>
      <c r="BB223" t="s">
        <v>854</v>
      </c>
      <c r="BE223">
        <v>79.599999999999994</v>
      </c>
    </row>
    <row r="224" spans="1:57" x14ac:dyDescent="0.3">
      <c r="A224" s="204">
        <v>46235</v>
      </c>
      <c r="B224" t="s">
        <v>142</v>
      </c>
      <c r="C224" t="s">
        <v>345</v>
      </c>
      <c r="D224" t="s">
        <v>60</v>
      </c>
      <c r="E224" t="s">
        <v>92</v>
      </c>
      <c r="F224" t="s">
        <v>309</v>
      </c>
      <c r="G224" t="s">
        <v>1114</v>
      </c>
      <c r="H224" t="s">
        <v>860</v>
      </c>
      <c r="I224" t="s">
        <v>419</v>
      </c>
      <c r="J224" s="14">
        <v>60</v>
      </c>
      <c r="K224" s="14">
        <v>60</v>
      </c>
      <c r="L224" t="s">
        <v>1128</v>
      </c>
      <c r="M224" s="15">
        <v>46202.512337962966</v>
      </c>
      <c r="N224" s="15">
        <v>46209.5</v>
      </c>
      <c r="O224" s="15">
        <v>46203.361828703702</v>
      </c>
      <c r="P224" s="15">
        <v>46212.739201388889</v>
      </c>
      <c r="Q224" s="15"/>
      <c r="S224" t="s">
        <v>356</v>
      </c>
      <c r="U224" t="s">
        <v>1554</v>
      </c>
      <c r="V224" t="s">
        <v>356</v>
      </c>
      <c r="W224">
        <v>109</v>
      </c>
      <c r="X224" t="s">
        <v>369</v>
      </c>
      <c r="Y224" t="s">
        <v>239</v>
      </c>
      <c r="Z224" t="s">
        <v>851</v>
      </c>
      <c r="AB224" t="s">
        <v>348</v>
      </c>
      <c r="AC224" t="s">
        <v>7</v>
      </c>
      <c r="AD224" t="s">
        <v>7</v>
      </c>
      <c r="AE224" t="s">
        <v>7</v>
      </c>
      <c r="AF224" t="s">
        <v>1620</v>
      </c>
      <c r="AG224" t="s">
        <v>250</v>
      </c>
      <c r="AH224">
        <v>2</v>
      </c>
      <c r="AI224" t="s">
        <v>250</v>
      </c>
      <c r="AJ224" t="s">
        <v>251</v>
      </c>
      <c r="AK224" t="s">
        <v>827</v>
      </c>
      <c r="AL224" t="s">
        <v>156</v>
      </c>
      <c r="AM224" t="s">
        <v>1621</v>
      </c>
      <c r="AO224">
        <v>46203</v>
      </c>
      <c r="AP224">
        <v>0.36182870370370368</v>
      </c>
      <c r="AQ224">
        <v>46212</v>
      </c>
      <c r="AR224">
        <v>0.73920138888888887</v>
      </c>
      <c r="AS224" t="s">
        <v>1958</v>
      </c>
      <c r="AU224" t="s">
        <v>1955</v>
      </c>
      <c r="AV224" t="s">
        <v>1622</v>
      </c>
      <c r="AX224">
        <v>60</v>
      </c>
      <c r="AY224" t="s">
        <v>130</v>
      </c>
      <c r="AZ224" t="s">
        <v>92</v>
      </c>
      <c r="BA224" t="s">
        <v>236</v>
      </c>
      <c r="BB224" t="s">
        <v>854</v>
      </c>
    </row>
    <row r="225" spans="1:57" x14ac:dyDescent="0.3">
      <c r="A225" s="204">
        <v>46235</v>
      </c>
      <c r="B225" t="s">
        <v>142</v>
      </c>
      <c r="C225" t="s">
        <v>345</v>
      </c>
      <c r="D225" t="s">
        <v>281</v>
      </c>
      <c r="E225" t="s">
        <v>85</v>
      </c>
      <c r="F225" t="s">
        <v>309</v>
      </c>
      <c r="G225" t="s">
        <v>1139</v>
      </c>
      <c r="H225" t="s">
        <v>842</v>
      </c>
      <c r="I225" t="s">
        <v>401</v>
      </c>
      <c r="J225">
        <v>5</v>
      </c>
      <c r="K225">
        <v>5</v>
      </c>
      <c r="L225" t="s">
        <v>1140</v>
      </c>
      <c r="M225" s="15">
        <v>46238.326192129629</v>
      </c>
      <c r="N225" s="15">
        <v>46245.333333333336</v>
      </c>
      <c r="O225" s="15">
        <v>46238.341504629629</v>
      </c>
      <c r="P225" s="15">
        <v>46239.65625</v>
      </c>
      <c r="Q225" s="15"/>
      <c r="S225" t="s">
        <v>357</v>
      </c>
      <c r="U225" t="s">
        <v>1623</v>
      </c>
      <c r="V225" t="s">
        <v>357</v>
      </c>
      <c r="W225">
        <v>101</v>
      </c>
      <c r="X225" t="s">
        <v>369</v>
      </c>
      <c r="Y225" t="s">
        <v>239</v>
      </c>
      <c r="Z225" t="s">
        <v>851</v>
      </c>
      <c r="AB225" t="s">
        <v>348</v>
      </c>
      <c r="AC225" t="s">
        <v>7</v>
      </c>
      <c r="AD225" t="s">
        <v>7</v>
      </c>
      <c r="AE225" t="s">
        <v>7</v>
      </c>
      <c r="AF225" t="s">
        <v>1624</v>
      </c>
      <c r="AG225" t="s">
        <v>249</v>
      </c>
      <c r="AH225">
        <v>2</v>
      </c>
      <c r="AI225" t="s">
        <v>250</v>
      </c>
      <c r="AJ225" t="s">
        <v>248</v>
      </c>
      <c r="AK225" t="s">
        <v>827</v>
      </c>
      <c r="AL225" t="s">
        <v>156</v>
      </c>
      <c r="AM225" t="s">
        <v>872</v>
      </c>
      <c r="AN225">
        <v>5</v>
      </c>
      <c r="AO225">
        <v>46238</v>
      </c>
      <c r="AP225">
        <v>0.34150462962962963</v>
      </c>
      <c r="AQ225">
        <v>46239</v>
      </c>
      <c r="AR225">
        <v>0.65625</v>
      </c>
      <c r="AS225" t="s">
        <v>201</v>
      </c>
      <c r="AT225" t="s">
        <v>1954</v>
      </c>
      <c r="AU225" t="s">
        <v>1955</v>
      </c>
      <c r="AV225" t="s">
        <v>873</v>
      </c>
      <c r="AW225">
        <v>1</v>
      </c>
      <c r="AX225">
        <v>5</v>
      </c>
      <c r="AY225" t="s">
        <v>124</v>
      </c>
      <c r="AZ225" t="s">
        <v>122</v>
      </c>
      <c r="BA225" t="s">
        <v>231</v>
      </c>
      <c r="BB225" t="s">
        <v>863</v>
      </c>
      <c r="BE225">
        <v>1</v>
      </c>
    </row>
    <row r="226" spans="1:57" x14ac:dyDescent="0.3">
      <c r="A226" s="204">
        <v>46235</v>
      </c>
      <c r="B226" t="s">
        <v>142</v>
      </c>
      <c r="C226" t="s">
        <v>345</v>
      </c>
      <c r="D226" t="s">
        <v>281</v>
      </c>
      <c r="E226" t="s">
        <v>85</v>
      </c>
      <c r="F226" t="s">
        <v>309</v>
      </c>
      <c r="G226" t="s">
        <v>1139</v>
      </c>
      <c r="H226" t="s">
        <v>842</v>
      </c>
      <c r="I226" t="s">
        <v>401</v>
      </c>
      <c r="J226">
        <v>5</v>
      </c>
      <c r="K226">
        <v>5</v>
      </c>
      <c r="L226" t="s">
        <v>1140</v>
      </c>
      <c r="M226" s="15">
        <v>46238.326192129629</v>
      </c>
      <c r="N226" s="15">
        <v>46245.333333333336</v>
      </c>
      <c r="O226" s="15">
        <v>46238.341504629629</v>
      </c>
      <c r="P226" s="15">
        <v>46239.65625</v>
      </c>
      <c r="Q226" s="15"/>
      <c r="S226" t="s">
        <v>357</v>
      </c>
      <c r="U226" t="s">
        <v>1625</v>
      </c>
      <c r="V226" t="s">
        <v>357</v>
      </c>
      <c r="W226">
        <v>101</v>
      </c>
      <c r="X226" t="s">
        <v>369</v>
      </c>
      <c r="Y226" t="s">
        <v>239</v>
      </c>
      <c r="Z226" t="s">
        <v>851</v>
      </c>
      <c r="AB226" t="s">
        <v>348</v>
      </c>
      <c r="AC226" t="s">
        <v>7</v>
      </c>
      <c r="AD226" t="s">
        <v>7</v>
      </c>
      <c r="AE226" t="s">
        <v>7</v>
      </c>
      <c r="AF226" t="s">
        <v>1624</v>
      </c>
      <c r="AG226" t="s">
        <v>250</v>
      </c>
      <c r="AH226">
        <v>2</v>
      </c>
      <c r="AI226" t="s">
        <v>250</v>
      </c>
      <c r="AJ226" t="s">
        <v>248</v>
      </c>
      <c r="AK226" t="s">
        <v>827</v>
      </c>
      <c r="AL226" t="s">
        <v>156</v>
      </c>
      <c r="AM226" t="s">
        <v>872</v>
      </c>
      <c r="AN226">
        <v>5</v>
      </c>
      <c r="AO226">
        <v>46238</v>
      </c>
      <c r="AP226">
        <v>0.34150462962962963</v>
      </c>
      <c r="AQ226">
        <v>46239</v>
      </c>
      <c r="AR226">
        <v>0.65625</v>
      </c>
      <c r="AS226" t="s">
        <v>1958</v>
      </c>
      <c r="AU226" t="s">
        <v>1955</v>
      </c>
      <c r="AV226" t="s">
        <v>873</v>
      </c>
      <c r="AW226">
        <v>1</v>
      </c>
      <c r="AX226">
        <v>5</v>
      </c>
      <c r="AY226" t="s">
        <v>124</v>
      </c>
      <c r="AZ226" t="s">
        <v>122</v>
      </c>
      <c r="BA226" t="s">
        <v>231</v>
      </c>
      <c r="BB226" t="s">
        <v>863</v>
      </c>
    </row>
    <row r="227" spans="1:57" x14ac:dyDescent="0.3">
      <c r="A227" s="204">
        <v>46235</v>
      </c>
      <c r="B227" t="s">
        <v>142</v>
      </c>
      <c r="C227" t="s">
        <v>345</v>
      </c>
      <c r="D227" t="s">
        <v>63</v>
      </c>
      <c r="E227" t="s">
        <v>95</v>
      </c>
      <c r="F227" t="s">
        <v>309</v>
      </c>
      <c r="G227" t="s">
        <v>1139</v>
      </c>
      <c r="H227" t="s">
        <v>842</v>
      </c>
      <c r="I227" t="s">
        <v>401</v>
      </c>
      <c r="J227">
        <v>1</v>
      </c>
      <c r="K227">
        <v>1</v>
      </c>
      <c r="L227" t="s">
        <v>1140</v>
      </c>
      <c r="M227" s="15">
        <v>46238.326192129629</v>
      </c>
      <c r="N227" s="15">
        <v>46245.333333333336</v>
      </c>
      <c r="O227" s="15">
        <v>46238.341504629629</v>
      </c>
      <c r="P227" s="15">
        <v>46239.65625</v>
      </c>
      <c r="Q227" s="15"/>
      <c r="S227" t="s">
        <v>357</v>
      </c>
      <c r="U227" t="s">
        <v>1625</v>
      </c>
      <c r="V227" t="s">
        <v>357</v>
      </c>
      <c r="W227">
        <v>101</v>
      </c>
      <c r="X227" t="s">
        <v>369</v>
      </c>
      <c r="Y227" t="s">
        <v>239</v>
      </c>
      <c r="Z227" t="s">
        <v>851</v>
      </c>
      <c r="AB227" t="s">
        <v>348</v>
      </c>
      <c r="AC227" t="s">
        <v>7</v>
      </c>
      <c r="AD227" t="s">
        <v>7</v>
      </c>
      <c r="AE227" t="s">
        <v>7</v>
      </c>
      <c r="AF227" t="s">
        <v>1626</v>
      </c>
      <c r="AG227" t="s">
        <v>249</v>
      </c>
      <c r="AH227">
        <v>2</v>
      </c>
      <c r="AI227" t="s">
        <v>250</v>
      </c>
      <c r="AJ227" t="s">
        <v>251</v>
      </c>
      <c r="AK227" t="s">
        <v>827</v>
      </c>
      <c r="AL227" t="s">
        <v>156</v>
      </c>
      <c r="AM227" t="s">
        <v>1594</v>
      </c>
      <c r="AO227">
        <v>46238</v>
      </c>
      <c r="AP227">
        <v>0.34150462962962963</v>
      </c>
      <c r="AQ227">
        <v>46239</v>
      </c>
      <c r="AR227">
        <v>0.65625</v>
      </c>
      <c r="AS227" t="s">
        <v>201</v>
      </c>
      <c r="AT227" t="s">
        <v>1954</v>
      </c>
      <c r="AU227" t="s">
        <v>1955</v>
      </c>
      <c r="AV227" t="s">
        <v>937</v>
      </c>
      <c r="AX227">
        <v>1</v>
      </c>
      <c r="AY227" t="s">
        <v>111</v>
      </c>
      <c r="AZ227" t="s">
        <v>96</v>
      </c>
      <c r="BA227" t="s">
        <v>225</v>
      </c>
      <c r="BB227" t="s">
        <v>863</v>
      </c>
      <c r="BE227">
        <v>1.5</v>
      </c>
    </row>
    <row r="228" spans="1:57" x14ac:dyDescent="0.3">
      <c r="A228" s="204">
        <v>46235</v>
      </c>
      <c r="B228" t="s">
        <v>142</v>
      </c>
      <c r="C228" t="s">
        <v>345</v>
      </c>
      <c r="D228" t="s">
        <v>63</v>
      </c>
      <c r="E228" t="s">
        <v>95</v>
      </c>
      <c r="F228" t="s">
        <v>309</v>
      </c>
      <c r="G228" t="s">
        <v>1139</v>
      </c>
      <c r="H228" t="s">
        <v>842</v>
      </c>
      <c r="I228" t="s">
        <v>401</v>
      </c>
      <c r="J228">
        <v>1</v>
      </c>
      <c r="K228">
        <v>1</v>
      </c>
      <c r="L228" t="s">
        <v>1140</v>
      </c>
      <c r="M228" s="15">
        <v>46238.326192129629</v>
      </c>
      <c r="N228" s="15">
        <v>46245.333333333336</v>
      </c>
      <c r="O228" s="15">
        <v>46238.341504629629</v>
      </c>
      <c r="P228" s="15">
        <v>46239.65625</v>
      </c>
      <c r="Q228" s="15"/>
      <c r="S228" t="s">
        <v>357</v>
      </c>
      <c r="U228" t="s">
        <v>1623</v>
      </c>
      <c r="V228" t="s">
        <v>357</v>
      </c>
      <c r="W228">
        <v>101</v>
      </c>
      <c r="X228" t="s">
        <v>369</v>
      </c>
      <c r="Y228" t="s">
        <v>239</v>
      </c>
      <c r="Z228" t="s">
        <v>851</v>
      </c>
      <c r="AB228" t="s">
        <v>348</v>
      </c>
      <c r="AC228" t="s">
        <v>7</v>
      </c>
      <c r="AD228" t="s">
        <v>7</v>
      </c>
      <c r="AE228" t="s">
        <v>7</v>
      </c>
      <c r="AF228" t="s">
        <v>1626</v>
      </c>
      <c r="AG228" t="s">
        <v>250</v>
      </c>
      <c r="AH228">
        <v>2</v>
      </c>
      <c r="AI228" t="s">
        <v>250</v>
      </c>
      <c r="AJ228" t="s">
        <v>251</v>
      </c>
      <c r="AK228" t="s">
        <v>827</v>
      </c>
      <c r="AL228" t="s">
        <v>156</v>
      </c>
      <c r="AM228" t="s">
        <v>1594</v>
      </c>
      <c r="AO228">
        <v>46238</v>
      </c>
      <c r="AP228">
        <v>0.34150462962962963</v>
      </c>
      <c r="AQ228">
        <v>46239</v>
      </c>
      <c r="AR228">
        <v>0.65625</v>
      </c>
      <c r="AS228" t="s">
        <v>1958</v>
      </c>
      <c r="AU228" t="s">
        <v>1955</v>
      </c>
      <c r="AV228" t="s">
        <v>937</v>
      </c>
      <c r="AX228">
        <v>1</v>
      </c>
      <c r="AY228" t="s">
        <v>111</v>
      </c>
      <c r="AZ228" t="s">
        <v>96</v>
      </c>
      <c r="BA228" t="s">
        <v>225</v>
      </c>
      <c r="BB228" t="s">
        <v>863</v>
      </c>
    </row>
    <row r="229" spans="1:57" x14ac:dyDescent="0.3">
      <c r="A229" s="204">
        <v>46235</v>
      </c>
      <c r="B229" t="s">
        <v>142</v>
      </c>
      <c r="C229" t="s">
        <v>345</v>
      </c>
      <c r="D229" t="s">
        <v>57</v>
      </c>
      <c r="E229" t="s">
        <v>117</v>
      </c>
      <c r="F229" t="s">
        <v>309</v>
      </c>
      <c r="G229" t="s">
        <v>1139</v>
      </c>
      <c r="H229" t="s">
        <v>842</v>
      </c>
      <c r="I229" t="s">
        <v>401</v>
      </c>
      <c r="J229">
        <v>1</v>
      </c>
      <c r="K229">
        <v>1</v>
      </c>
      <c r="L229" t="s">
        <v>1140</v>
      </c>
      <c r="M229" s="15">
        <v>46238.326192129629</v>
      </c>
      <c r="N229" s="15">
        <v>46245.333333333336</v>
      </c>
      <c r="O229" s="15">
        <v>46238.341504629629</v>
      </c>
      <c r="P229" s="15">
        <v>46239.65625</v>
      </c>
      <c r="Q229" s="15"/>
      <c r="S229" t="s">
        <v>357</v>
      </c>
      <c r="U229" t="s">
        <v>1625</v>
      </c>
      <c r="V229" t="s">
        <v>357</v>
      </c>
      <c r="W229">
        <v>101</v>
      </c>
      <c r="X229" t="s">
        <v>369</v>
      </c>
      <c r="Y229" t="s">
        <v>239</v>
      </c>
      <c r="Z229" t="s">
        <v>851</v>
      </c>
      <c r="AB229" t="s">
        <v>348</v>
      </c>
      <c r="AC229" t="s">
        <v>7</v>
      </c>
      <c r="AD229" t="s">
        <v>7</v>
      </c>
      <c r="AE229" t="s">
        <v>7</v>
      </c>
      <c r="AF229" t="s">
        <v>1627</v>
      </c>
      <c r="AG229" t="s">
        <v>249</v>
      </c>
      <c r="AH229">
        <v>2</v>
      </c>
      <c r="AI229" t="s">
        <v>250</v>
      </c>
      <c r="AJ229" t="s">
        <v>251</v>
      </c>
      <c r="AK229" t="s">
        <v>827</v>
      </c>
      <c r="AL229" t="s">
        <v>156</v>
      </c>
      <c r="AM229" t="s">
        <v>861</v>
      </c>
      <c r="AO229">
        <v>46238</v>
      </c>
      <c r="AP229">
        <v>0.34150462962962963</v>
      </c>
      <c r="AQ229">
        <v>46239</v>
      </c>
      <c r="AR229">
        <v>0.65625</v>
      </c>
      <c r="AS229" t="s">
        <v>201</v>
      </c>
      <c r="AT229" t="s">
        <v>1954</v>
      </c>
      <c r="AU229" t="s">
        <v>1955</v>
      </c>
      <c r="AV229" t="s">
        <v>862</v>
      </c>
      <c r="AX229">
        <v>1</v>
      </c>
      <c r="AY229" t="s">
        <v>126</v>
      </c>
      <c r="AZ229" t="s">
        <v>127</v>
      </c>
      <c r="BA229" t="s">
        <v>233</v>
      </c>
      <c r="BB229" t="s">
        <v>863</v>
      </c>
      <c r="BE229">
        <v>1</v>
      </c>
    </row>
    <row r="230" spans="1:57" x14ac:dyDescent="0.3">
      <c r="A230" s="204">
        <v>46235</v>
      </c>
      <c r="B230" t="s">
        <v>142</v>
      </c>
      <c r="C230" t="s">
        <v>345</v>
      </c>
      <c r="D230" t="s">
        <v>57</v>
      </c>
      <c r="E230" t="s">
        <v>117</v>
      </c>
      <c r="F230" t="s">
        <v>309</v>
      </c>
      <c r="G230" t="s">
        <v>1139</v>
      </c>
      <c r="H230" t="s">
        <v>842</v>
      </c>
      <c r="I230" t="s">
        <v>401</v>
      </c>
      <c r="J230">
        <v>1</v>
      </c>
      <c r="K230">
        <v>1</v>
      </c>
      <c r="L230" t="s">
        <v>1140</v>
      </c>
      <c r="M230" s="15">
        <v>46238.326192129629</v>
      </c>
      <c r="N230" s="15">
        <v>46245.333333333336</v>
      </c>
      <c r="O230" s="15">
        <v>46238.341504629629</v>
      </c>
      <c r="P230" s="15">
        <v>46239.65625</v>
      </c>
      <c r="Q230" s="15"/>
      <c r="S230" t="s">
        <v>357</v>
      </c>
      <c r="U230" t="s">
        <v>1623</v>
      </c>
      <c r="V230" t="s">
        <v>357</v>
      </c>
      <c r="W230">
        <v>101</v>
      </c>
      <c r="X230" t="s">
        <v>369</v>
      </c>
      <c r="Y230" t="s">
        <v>239</v>
      </c>
      <c r="Z230" t="s">
        <v>851</v>
      </c>
      <c r="AB230" t="s">
        <v>348</v>
      </c>
      <c r="AC230" t="s">
        <v>7</v>
      </c>
      <c r="AD230" t="s">
        <v>7</v>
      </c>
      <c r="AE230" t="s">
        <v>7</v>
      </c>
      <c r="AF230" t="s">
        <v>1627</v>
      </c>
      <c r="AG230" t="s">
        <v>250</v>
      </c>
      <c r="AH230">
        <v>2</v>
      </c>
      <c r="AI230" t="s">
        <v>250</v>
      </c>
      <c r="AJ230" t="s">
        <v>251</v>
      </c>
      <c r="AK230" t="s">
        <v>827</v>
      </c>
      <c r="AL230" t="s">
        <v>156</v>
      </c>
      <c r="AM230" t="s">
        <v>861</v>
      </c>
      <c r="AO230">
        <v>46238</v>
      </c>
      <c r="AP230">
        <v>0.34150462962962963</v>
      </c>
      <c r="AQ230">
        <v>46239</v>
      </c>
      <c r="AR230">
        <v>0.65625</v>
      </c>
      <c r="AS230" t="s">
        <v>1958</v>
      </c>
      <c r="AU230" t="s">
        <v>1955</v>
      </c>
      <c r="AV230" t="s">
        <v>862</v>
      </c>
      <c r="AX230">
        <v>1</v>
      </c>
      <c r="AY230" t="s">
        <v>126</v>
      </c>
      <c r="AZ230" t="s">
        <v>127</v>
      </c>
      <c r="BA230" t="s">
        <v>233</v>
      </c>
      <c r="BB230" t="s">
        <v>863</v>
      </c>
    </row>
    <row r="231" spans="1:57" x14ac:dyDescent="0.3">
      <c r="A231" s="204">
        <v>46235</v>
      </c>
      <c r="B231" t="s">
        <v>142</v>
      </c>
      <c r="C231" t="s">
        <v>345</v>
      </c>
      <c r="D231" t="s">
        <v>63</v>
      </c>
      <c r="E231" t="s">
        <v>95</v>
      </c>
      <c r="F231" t="s">
        <v>309</v>
      </c>
      <c r="G231" t="s">
        <v>1125</v>
      </c>
      <c r="H231" t="s">
        <v>864</v>
      </c>
      <c r="I231" t="s">
        <v>420</v>
      </c>
      <c r="J231">
        <v>108</v>
      </c>
      <c r="K231">
        <v>108</v>
      </c>
      <c r="L231" t="s">
        <v>1141</v>
      </c>
      <c r="M231" s="15">
        <v>46233.719895833332</v>
      </c>
      <c r="N231" s="15">
        <v>46241.333333333336</v>
      </c>
      <c r="O231" s="15">
        <v>46244.494745370372</v>
      </c>
      <c r="P231" s="15">
        <v>46247.731863425928</v>
      </c>
      <c r="Q231" s="15"/>
      <c r="S231" t="s">
        <v>355</v>
      </c>
      <c r="T231" t="s">
        <v>1628</v>
      </c>
      <c r="U231" t="s">
        <v>1629</v>
      </c>
      <c r="V231" t="s">
        <v>355</v>
      </c>
      <c r="W231">
        <v>2200</v>
      </c>
      <c r="X231" t="s">
        <v>369</v>
      </c>
      <c r="Y231" t="s">
        <v>239</v>
      </c>
      <c r="Z231" t="s">
        <v>851</v>
      </c>
      <c r="AB231" t="s">
        <v>348</v>
      </c>
      <c r="AC231" t="s">
        <v>7</v>
      </c>
      <c r="AD231" t="s">
        <v>7</v>
      </c>
      <c r="AE231" t="s">
        <v>7</v>
      </c>
      <c r="AF231" t="s">
        <v>1630</v>
      </c>
      <c r="AG231" t="s">
        <v>249</v>
      </c>
      <c r="AH231">
        <v>2</v>
      </c>
      <c r="AI231" t="s">
        <v>250</v>
      </c>
      <c r="AJ231" t="s">
        <v>251</v>
      </c>
      <c r="AK231" t="s">
        <v>827</v>
      </c>
      <c r="AL231" t="s">
        <v>156</v>
      </c>
      <c r="AM231" t="s">
        <v>1594</v>
      </c>
      <c r="AO231">
        <v>46244</v>
      </c>
      <c r="AP231">
        <v>0.49474537037037036</v>
      </c>
      <c r="AQ231">
        <v>46247</v>
      </c>
      <c r="AR231">
        <v>0.7318634259259259</v>
      </c>
      <c r="AS231" t="s">
        <v>201</v>
      </c>
      <c r="AT231" t="s">
        <v>1954</v>
      </c>
      <c r="AU231" t="s">
        <v>1955</v>
      </c>
      <c r="AV231" t="s">
        <v>937</v>
      </c>
      <c r="AX231">
        <v>108</v>
      </c>
      <c r="AY231" t="s">
        <v>111</v>
      </c>
      <c r="AZ231" t="s">
        <v>96</v>
      </c>
      <c r="BA231" t="s">
        <v>225</v>
      </c>
      <c r="BB231" t="s">
        <v>859</v>
      </c>
      <c r="BE231">
        <v>10.8</v>
      </c>
    </row>
    <row r="232" spans="1:57" x14ac:dyDescent="0.3">
      <c r="A232" s="204">
        <v>46235</v>
      </c>
      <c r="B232" t="s">
        <v>142</v>
      </c>
      <c r="C232" t="s">
        <v>345</v>
      </c>
      <c r="D232" t="s">
        <v>57</v>
      </c>
      <c r="E232" t="s">
        <v>117</v>
      </c>
      <c r="F232" t="s">
        <v>309</v>
      </c>
      <c r="G232" t="s">
        <v>1125</v>
      </c>
      <c r="H232" t="s">
        <v>864</v>
      </c>
      <c r="I232" t="s">
        <v>420</v>
      </c>
      <c r="J232">
        <v>108</v>
      </c>
      <c r="K232">
        <v>108</v>
      </c>
      <c r="L232" t="s">
        <v>1141</v>
      </c>
      <c r="M232" s="15">
        <v>46233.719895833332</v>
      </c>
      <c r="N232" s="15">
        <v>46241.333333333336</v>
      </c>
      <c r="O232" s="15">
        <v>46244.494745370372</v>
      </c>
      <c r="P232" s="15">
        <v>46247.731863425928</v>
      </c>
      <c r="Q232" s="15"/>
      <c r="S232" t="s">
        <v>355</v>
      </c>
      <c r="T232" t="s">
        <v>1628</v>
      </c>
      <c r="U232" t="s">
        <v>1629</v>
      </c>
      <c r="V232" t="s">
        <v>355</v>
      </c>
      <c r="W232">
        <v>2200</v>
      </c>
      <c r="X232" t="s">
        <v>369</v>
      </c>
      <c r="Y232" t="s">
        <v>239</v>
      </c>
      <c r="Z232" t="s">
        <v>851</v>
      </c>
      <c r="AB232" t="s">
        <v>348</v>
      </c>
      <c r="AC232" t="s">
        <v>7</v>
      </c>
      <c r="AD232" t="s">
        <v>7</v>
      </c>
      <c r="AE232" t="s">
        <v>7</v>
      </c>
      <c r="AF232" t="s">
        <v>1631</v>
      </c>
      <c r="AG232" t="s">
        <v>249</v>
      </c>
      <c r="AH232">
        <v>2</v>
      </c>
      <c r="AI232" t="s">
        <v>250</v>
      </c>
      <c r="AJ232" t="s">
        <v>251</v>
      </c>
      <c r="AK232" t="s">
        <v>827</v>
      </c>
      <c r="AL232" t="s">
        <v>156</v>
      </c>
      <c r="AM232" t="s">
        <v>861</v>
      </c>
      <c r="AO232">
        <v>46244</v>
      </c>
      <c r="AP232">
        <v>0.49474537037037036</v>
      </c>
      <c r="AQ232">
        <v>46247</v>
      </c>
      <c r="AR232">
        <v>0.7318634259259259</v>
      </c>
      <c r="AS232" t="s">
        <v>201</v>
      </c>
      <c r="AT232" t="s">
        <v>1954</v>
      </c>
      <c r="AU232" t="s">
        <v>1955</v>
      </c>
      <c r="AV232" t="s">
        <v>862</v>
      </c>
      <c r="AX232">
        <v>10.8</v>
      </c>
      <c r="AY232" t="s">
        <v>126</v>
      </c>
      <c r="AZ232" t="s">
        <v>127</v>
      </c>
      <c r="BA232" t="s">
        <v>233</v>
      </c>
      <c r="BB232" t="s">
        <v>859</v>
      </c>
      <c r="BE232">
        <v>1.08</v>
      </c>
    </row>
    <row r="233" spans="1:57" x14ac:dyDescent="0.3">
      <c r="A233" s="204">
        <v>46235</v>
      </c>
      <c r="B233" t="s">
        <v>142</v>
      </c>
      <c r="C233" t="s">
        <v>345</v>
      </c>
      <c r="D233" t="s">
        <v>63</v>
      </c>
      <c r="E233" t="s">
        <v>95</v>
      </c>
      <c r="F233" t="s">
        <v>309</v>
      </c>
      <c r="G233" t="s">
        <v>1125</v>
      </c>
      <c r="H233" t="s">
        <v>864</v>
      </c>
      <c r="I233" t="s">
        <v>420</v>
      </c>
      <c r="J233">
        <v>12</v>
      </c>
      <c r="K233">
        <v>12</v>
      </c>
      <c r="L233" t="s">
        <v>1142</v>
      </c>
      <c r="M233" s="15">
        <v>46233.719895833332</v>
      </c>
      <c r="N233" s="15">
        <v>46241.333333333336</v>
      </c>
      <c r="O233" s="15">
        <v>46237.708252314813</v>
      </c>
      <c r="P233" s="15">
        <v>46240.458333333336</v>
      </c>
      <c r="Q233" s="15"/>
      <c r="S233" t="s">
        <v>355</v>
      </c>
      <c r="T233" t="s">
        <v>1632</v>
      </c>
      <c r="U233" t="s">
        <v>1633</v>
      </c>
      <c r="V233" t="s">
        <v>355</v>
      </c>
      <c r="W233">
        <v>2200</v>
      </c>
      <c r="X233" t="s">
        <v>369</v>
      </c>
      <c r="Y233" t="s">
        <v>239</v>
      </c>
      <c r="Z233" t="s">
        <v>851</v>
      </c>
      <c r="AB233" t="s">
        <v>348</v>
      </c>
      <c r="AC233" t="s">
        <v>7</v>
      </c>
      <c r="AD233" t="s">
        <v>7</v>
      </c>
      <c r="AE233" t="s">
        <v>7</v>
      </c>
      <c r="AF233" t="s">
        <v>1634</v>
      </c>
      <c r="AG233" t="s">
        <v>249</v>
      </c>
      <c r="AH233">
        <v>2</v>
      </c>
      <c r="AI233" t="s">
        <v>250</v>
      </c>
      <c r="AJ233" t="s">
        <v>251</v>
      </c>
      <c r="AK233" t="s">
        <v>827</v>
      </c>
      <c r="AL233" t="s">
        <v>156</v>
      </c>
      <c r="AM233" t="s">
        <v>1594</v>
      </c>
      <c r="AO233">
        <v>46237</v>
      </c>
      <c r="AP233">
        <v>0.70825231481481477</v>
      </c>
      <c r="AQ233">
        <v>46240</v>
      </c>
      <c r="AR233">
        <v>0.45833333333333331</v>
      </c>
      <c r="AS233" t="s">
        <v>201</v>
      </c>
      <c r="AT233" t="s">
        <v>1954</v>
      </c>
      <c r="AU233" t="s">
        <v>1955</v>
      </c>
      <c r="AV233" t="s">
        <v>937</v>
      </c>
      <c r="AX233">
        <v>12</v>
      </c>
      <c r="AY233" t="s">
        <v>111</v>
      </c>
      <c r="AZ233" t="s">
        <v>96</v>
      </c>
      <c r="BA233" t="s">
        <v>225</v>
      </c>
      <c r="BB233" t="s">
        <v>859</v>
      </c>
      <c r="BE233">
        <v>1.2</v>
      </c>
    </row>
    <row r="234" spans="1:57" x14ac:dyDescent="0.3">
      <c r="A234" s="204">
        <v>46235</v>
      </c>
      <c r="B234" t="s">
        <v>142</v>
      </c>
      <c r="C234" t="s">
        <v>345</v>
      </c>
      <c r="D234" t="s">
        <v>57</v>
      </c>
      <c r="E234" t="s">
        <v>117</v>
      </c>
      <c r="F234" t="s">
        <v>309</v>
      </c>
      <c r="G234" t="s">
        <v>1125</v>
      </c>
      <c r="H234" t="s">
        <v>864</v>
      </c>
      <c r="I234" t="s">
        <v>420</v>
      </c>
      <c r="J234">
        <v>12</v>
      </c>
      <c r="K234">
        <v>12</v>
      </c>
      <c r="L234" t="s">
        <v>1142</v>
      </c>
      <c r="M234" s="15">
        <v>46233.719895833332</v>
      </c>
      <c r="N234" s="15">
        <v>46241.333333333336</v>
      </c>
      <c r="O234" s="15">
        <v>46237.708252314813</v>
      </c>
      <c r="P234" s="15">
        <v>46240.458333333336</v>
      </c>
      <c r="Q234" s="15"/>
      <c r="S234" t="s">
        <v>355</v>
      </c>
      <c r="T234" t="s">
        <v>1632</v>
      </c>
      <c r="U234" t="s">
        <v>1633</v>
      </c>
      <c r="V234" t="s">
        <v>355</v>
      </c>
      <c r="W234">
        <v>2200</v>
      </c>
      <c r="X234" t="s">
        <v>369</v>
      </c>
      <c r="Y234" t="s">
        <v>239</v>
      </c>
      <c r="Z234" t="s">
        <v>851</v>
      </c>
      <c r="AB234" t="s">
        <v>348</v>
      </c>
      <c r="AC234" t="s">
        <v>7</v>
      </c>
      <c r="AD234" t="s">
        <v>7</v>
      </c>
      <c r="AE234" t="s">
        <v>7</v>
      </c>
      <c r="AF234" t="s">
        <v>1635</v>
      </c>
      <c r="AG234" t="s">
        <v>249</v>
      </c>
      <c r="AH234">
        <v>2</v>
      </c>
      <c r="AI234" t="s">
        <v>250</v>
      </c>
      <c r="AJ234" t="s">
        <v>251</v>
      </c>
      <c r="AK234" t="s">
        <v>827</v>
      </c>
      <c r="AL234" t="s">
        <v>156</v>
      </c>
      <c r="AM234" t="s">
        <v>861</v>
      </c>
      <c r="AO234">
        <v>46237</v>
      </c>
      <c r="AP234">
        <v>0.70825231481481477</v>
      </c>
      <c r="AQ234">
        <v>46240</v>
      </c>
      <c r="AR234">
        <v>0.45833333333333331</v>
      </c>
      <c r="AS234" t="s">
        <v>201</v>
      </c>
      <c r="AT234" t="s">
        <v>1954</v>
      </c>
      <c r="AU234" t="s">
        <v>1955</v>
      </c>
      <c r="AV234" t="s">
        <v>862</v>
      </c>
      <c r="AX234">
        <v>1.2</v>
      </c>
      <c r="AY234" t="s">
        <v>126</v>
      </c>
      <c r="AZ234" t="s">
        <v>127</v>
      </c>
      <c r="BA234" t="s">
        <v>233</v>
      </c>
      <c r="BB234" t="s">
        <v>859</v>
      </c>
      <c r="BE234">
        <v>1</v>
      </c>
    </row>
    <row r="235" spans="1:57" x14ac:dyDescent="0.3">
      <c r="A235" s="204">
        <v>46235</v>
      </c>
      <c r="B235" t="s">
        <v>142</v>
      </c>
      <c r="C235" t="s">
        <v>345</v>
      </c>
      <c r="D235" t="s">
        <v>279</v>
      </c>
      <c r="E235" t="s">
        <v>197</v>
      </c>
      <c r="F235" t="s">
        <v>309</v>
      </c>
      <c r="G235" t="s">
        <v>1125</v>
      </c>
      <c r="H235" t="s">
        <v>864</v>
      </c>
      <c r="I235" t="s">
        <v>420</v>
      </c>
      <c r="J235">
        <v>12</v>
      </c>
      <c r="K235">
        <v>12</v>
      </c>
      <c r="L235" t="s">
        <v>1142</v>
      </c>
      <c r="M235" s="15">
        <v>46233.719895833332</v>
      </c>
      <c r="N235" s="15">
        <v>46241.333333333336</v>
      </c>
      <c r="O235" s="15">
        <v>46237.708252314813</v>
      </c>
      <c r="P235" s="15">
        <v>46240.458333333336</v>
      </c>
      <c r="Q235" s="15"/>
      <c r="S235" t="s">
        <v>355</v>
      </c>
      <c r="T235" t="s">
        <v>1632</v>
      </c>
      <c r="U235" t="s">
        <v>1633</v>
      </c>
      <c r="V235" t="s">
        <v>355</v>
      </c>
      <c r="W235">
        <v>2200</v>
      </c>
      <c r="X235" t="s">
        <v>369</v>
      </c>
      <c r="Y235" t="s">
        <v>239</v>
      </c>
      <c r="Z235" t="s">
        <v>851</v>
      </c>
      <c r="AB235" t="s">
        <v>348</v>
      </c>
      <c r="AC235" t="s">
        <v>7</v>
      </c>
      <c r="AD235" t="s">
        <v>7</v>
      </c>
      <c r="AE235" t="s">
        <v>7</v>
      </c>
      <c r="AF235" t="s">
        <v>1636</v>
      </c>
      <c r="AG235" t="s">
        <v>249</v>
      </c>
      <c r="AH235">
        <v>2</v>
      </c>
      <c r="AI235" t="s">
        <v>250</v>
      </c>
      <c r="AJ235" t="s">
        <v>248</v>
      </c>
      <c r="AK235" t="s">
        <v>827</v>
      </c>
      <c r="AL235" t="s">
        <v>156</v>
      </c>
      <c r="AM235" t="s">
        <v>855</v>
      </c>
      <c r="AN235">
        <v>3</v>
      </c>
      <c r="AO235">
        <v>46237</v>
      </c>
      <c r="AP235">
        <v>0.70825231481481477</v>
      </c>
      <c r="AQ235">
        <v>46240</v>
      </c>
      <c r="AR235">
        <v>0.45833333333333331</v>
      </c>
      <c r="AS235" t="s">
        <v>201</v>
      </c>
      <c r="AT235" t="s">
        <v>1954</v>
      </c>
      <c r="AU235" t="s">
        <v>1955</v>
      </c>
      <c r="AV235" t="s">
        <v>866</v>
      </c>
      <c r="AW235">
        <v>16</v>
      </c>
      <c r="AX235">
        <v>192</v>
      </c>
      <c r="AY235" t="s">
        <v>125</v>
      </c>
      <c r="AZ235" t="s">
        <v>122</v>
      </c>
      <c r="BA235" t="s">
        <v>232</v>
      </c>
      <c r="BB235" t="s">
        <v>859</v>
      </c>
      <c r="BE235">
        <v>19.2</v>
      </c>
    </row>
    <row r="236" spans="1:57" x14ac:dyDescent="0.3">
      <c r="A236" s="204">
        <v>46235</v>
      </c>
      <c r="B236" t="s">
        <v>142</v>
      </c>
      <c r="C236" t="s">
        <v>345</v>
      </c>
      <c r="D236" t="s">
        <v>281</v>
      </c>
      <c r="E236" t="s">
        <v>85</v>
      </c>
      <c r="F236" t="s">
        <v>309</v>
      </c>
      <c r="G236" t="s">
        <v>1125</v>
      </c>
      <c r="H236" t="s">
        <v>864</v>
      </c>
      <c r="I236" t="s">
        <v>420</v>
      </c>
      <c r="J236">
        <v>2</v>
      </c>
      <c r="K236">
        <v>2</v>
      </c>
      <c r="L236" t="s">
        <v>1127</v>
      </c>
      <c r="M236" s="15">
        <v>46233.719895833332</v>
      </c>
      <c r="N236" s="15">
        <v>46241.333333333336</v>
      </c>
      <c r="O236" s="15">
        <v>46234.408483796295</v>
      </c>
      <c r="P236" s="15">
        <v>46238.436805555553</v>
      </c>
      <c r="Q236" s="15"/>
      <c r="S236" t="s">
        <v>355</v>
      </c>
      <c r="U236" t="s">
        <v>1549</v>
      </c>
      <c r="V236" t="s">
        <v>355</v>
      </c>
      <c r="W236">
        <v>2200</v>
      </c>
      <c r="X236" t="s">
        <v>369</v>
      </c>
      <c r="Y236" t="s">
        <v>239</v>
      </c>
      <c r="Z236" t="s">
        <v>851</v>
      </c>
      <c r="AB236" t="s">
        <v>348</v>
      </c>
      <c r="AC236" t="s">
        <v>7</v>
      </c>
      <c r="AD236" t="s">
        <v>7</v>
      </c>
      <c r="AE236" t="s">
        <v>7</v>
      </c>
      <c r="AF236" t="s">
        <v>1637</v>
      </c>
      <c r="AG236" t="s">
        <v>249</v>
      </c>
      <c r="AH236">
        <v>2</v>
      </c>
      <c r="AI236" t="s">
        <v>250</v>
      </c>
      <c r="AJ236" t="s">
        <v>248</v>
      </c>
      <c r="AK236" t="s">
        <v>827</v>
      </c>
      <c r="AL236" t="s">
        <v>156</v>
      </c>
      <c r="AM236" t="s">
        <v>872</v>
      </c>
      <c r="AN236">
        <v>5</v>
      </c>
      <c r="AO236">
        <v>46234</v>
      </c>
      <c r="AP236">
        <v>0.40848379629629628</v>
      </c>
      <c r="AQ236">
        <v>46238</v>
      </c>
      <c r="AR236">
        <v>0.43680555555555556</v>
      </c>
      <c r="AS236" t="s">
        <v>201</v>
      </c>
      <c r="AT236" t="s">
        <v>1954</v>
      </c>
      <c r="AU236" t="s">
        <v>1955</v>
      </c>
      <c r="AV236" t="s">
        <v>873</v>
      </c>
      <c r="AW236">
        <v>1</v>
      </c>
      <c r="AX236">
        <v>2</v>
      </c>
      <c r="AY236" t="s">
        <v>124</v>
      </c>
      <c r="AZ236" t="s">
        <v>122</v>
      </c>
      <c r="BA236" t="s">
        <v>231</v>
      </c>
      <c r="BB236" t="s">
        <v>859</v>
      </c>
      <c r="BE236">
        <v>1</v>
      </c>
    </row>
    <row r="237" spans="1:57" x14ac:dyDescent="0.3">
      <c r="A237" s="204">
        <v>46235</v>
      </c>
      <c r="B237" t="s">
        <v>142</v>
      </c>
      <c r="C237" t="s">
        <v>345</v>
      </c>
      <c r="D237" t="s">
        <v>279</v>
      </c>
      <c r="E237" t="s">
        <v>197</v>
      </c>
      <c r="F237" t="s">
        <v>309</v>
      </c>
      <c r="G237" t="s">
        <v>1125</v>
      </c>
      <c r="H237" t="s">
        <v>864</v>
      </c>
      <c r="I237" t="s">
        <v>420</v>
      </c>
      <c r="J237">
        <v>108</v>
      </c>
      <c r="K237">
        <v>108</v>
      </c>
      <c r="L237" t="s">
        <v>1141</v>
      </c>
      <c r="M237" s="15">
        <v>46233.719895833332</v>
      </c>
      <c r="N237" s="15">
        <v>46241.333333333336</v>
      </c>
      <c r="O237" s="15">
        <v>46244.494745370372</v>
      </c>
      <c r="P237" s="15">
        <v>46247.731863425928</v>
      </c>
      <c r="Q237" s="15"/>
      <c r="S237" t="s">
        <v>355</v>
      </c>
      <c r="T237" t="s">
        <v>1628</v>
      </c>
      <c r="U237" t="s">
        <v>1629</v>
      </c>
      <c r="V237" t="s">
        <v>355</v>
      </c>
      <c r="W237">
        <v>2200</v>
      </c>
      <c r="X237" t="s">
        <v>369</v>
      </c>
      <c r="Y237" t="s">
        <v>239</v>
      </c>
      <c r="Z237" t="s">
        <v>851</v>
      </c>
      <c r="AB237" t="s">
        <v>348</v>
      </c>
      <c r="AC237" t="s">
        <v>7</v>
      </c>
      <c r="AD237" t="s">
        <v>7</v>
      </c>
      <c r="AE237" t="s">
        <v>7</v>
      </c>
      <c r="AF237" t="s">
        <v>1638</v>
      </c>
      <c r="AG237" t="s">
        <v>249</v>
      </c>
      <c r="AH237">
        <v>2</v>
      </c>
      <c r="AI237" t="s">
        <v>250</v>
      </c>
      <c r="AJ237" t="s">
        <v>248</v>
      </c>
      <c r="AK237" t="s">
        <v>827</v>
      </c>
      <c r="AL237" t="s">
        <v>156</v>
      </c>
      <c r="AM237" t="s">
        <v>855</v>
      </c>
      <c r="AN237">
        <v>3</v>
      </c>
      <c r="AO237">
        <v>46244</v>
      </c>
      <c r="AP237">
        <v>0.49474537037037036</v>
      </c>
      <c r="AQ237">
        <v>46247</v>
      </c>
      <c r="AR237">
        <v>0.7318634259259259</v>
      </c>
      <c r="AS237" t="s">
        <v>201</v>
      </c>
      <c r="AT237" t="s">
        <v>1956</v>
      </c>
      <c r="AU237" t="s">
        <v>1955</v>
      </c>
      <c r="AV237" t="s">
        <v>866</v>
      </c>
      <c r="AW237">
        <v>16</v>
      </c>
      <c r="AX237">
        <v>1728</v>
      </c>
      <c r="AY237" t="s">
        <v>125</v>
      </c>
      <c r="AZ237" t="s">
        <v>122</v>
      </c>
      <c r="BA237" t="s">
        <v>232</v>
      </c>
      <c r="BB237" t="s">
        <v>859</v>
      </c>
      <c r="BE237">
        <v>172.8</v>
      </c>
    </row>
    <row r="238" spans="1:57" x14ac:dyDescent="0.3">
      <c r="A238" s="204">
        <v>46230</v>
      </c>
      <c r="B238" t="s">
        <v>142</v>
      </c>
      <c r="C238" t="s">
        <v>345</v>
      </c>
      <c r="D238" t="s">
        <v>47</v>
      </c>
      <c r="E238" t="s">
        <v>68</v>
      </c>
      <c r="F238" t="s">
        <v>309</v>
      </c>
      <c r="G238" t="s">
        <v>1143</v>
      </c>
      <c r="H238" t="s">
        <v>831</v>
      </c>
      <c r="I238" t="s">
        <v>403</v>
      </c>
      <c r="J238">
        <v>2</v>
      </c>
      <c r="K238">
        <v>2</v>
      </c>
      <c r="L238" t="s">
        <v>1144</v>
      </c>
      <c r="M238" s="15">
        <v>46211.698680555557</v>
      </c>
      <c r="N238" s="15">
        <v>46218.698611111111</v>
      </c>
      <c r="O238" s="15">
        <v>46219.448703703703</v>
      </c>
      <c r="P238" s="15">
        <v>46220.459722222222</v>
      </c>
      <c r="Q238" s="15"/>
      <c r="S238" t="s">
        <v>356</v>
      </c>
      <c r="T238" t="s">
        <v>1639</v>
      </c>
      <c r="V238" t="s">
        <v>356</v>
      </c>
      <c r="W238">
        <v>109</v>
      </c>
      <c r="X238" t="s">
        <v>369</v>
      </c>
      <c r="Y238" t="s">
        <v>239</v>
      </c>
      <c r="Z238" t="s">
        <v>826</v>
      </c>
      <c r="AB238" t="s">
        <v>348</v>
      </c>
      <c r="AC238" t="s">
        <v>348</v>
      </c>
      <c r="AD238" t="s">
        <v>369</v>
      </c>
      <c r="AE238" t="s">
        <v>239</v>
      </c>
      <c r="AF238" t="s">
        <v>1640</v>
      </c>
      <c r="AG238" t="s">
        <v>249</v>
      </c>
      <c r="AH238">
        <v>1</v>
      </c>
      <c r="AI238" t="s">
        <v>250</v>
      </c>
      <c r="AJ238" t="s">
        <v>248</v>
      </c>
      <c r="AK238" t="s">
        <v>827</v>
      </c>
      <c r="AL238" t="s">
        <v>156</v>
      </c>
      <c r="AM238" t="s">
        <v>878</v>
      </c>
      <c r="AN238">
        <v>0.5</v>
      </c>
      <c r="AO238">
        <v>46219</v>
      </c>
      <c r="AP238">
        <v>0.44870370370370372</v>
      </c>
      <c r="AQ238">
        <v>46220</v>
      </c>
      <c r="AR238">
        <v>0.4597222222222222</v>
      </c>
      <c r="AS238" t="s">
        <v>201</v>
      </c>
      <c r="AT238" t="s">
        <v>1956</v>
      </c>
      <c r="AU238" t="s">
        <v>1955</v>
      </c>
      <c r="AV238" t="s">
        <v>879</v>
      </c>
      <c r="AX238">
        <v>1</v>
      </c>
      <c r="AY238" t="s">
        <v>93</v>
      </c>
      <c r="AZ238" t="s">
        <v>90</v>
      </c>
      <c r="BA238" t="s">
        <v>218</v>
      </c>
      <c r="BB238" t="s">
        <v>830</v>
      </c>
      <c r="BC238">
        <v>23.5</v>
      </c>
      <c r="BD238">
        <v>0</v>
      </c>
      <c r="BE238">
        <v>1</v>
      </c>
    </row>
    <row r="239" spans="1:57" x14ac:dyDescent="0.3">
      <c r="A239" s="204">
        <v>46230</v>
      </c>
      <c r="B239" t="s">
        <v>142</v>
      </c>
      <c r="C239" t="s">
        <v>345</v>
      </c>
      <c r="D239" t="s">
        <v>279</v>
      </c>
      <c r="E239" t="s">
        <v>197</v>
      </c>
      <c r="F239" t="s">
        <v>309</v>
      </c>
      <c r="G239" t="s">
        <v>1137</v>
      </c>
      <c r="H239" t="s">
        <v>1568</v>
      </c>
      <c r="I239" t="s">
        <v>420</v>
      </c>
      <c r="J239">
        <v>13</v>
      </c>
      <c r="K239">
        <v>13</v>
      </c>
      <c r="L239" t="s">
        <v>1145</v>
      </c>
      <c r="M239" s="15">
        <v>46217.60359953704</v>
      </c>
      <c r="N239" s="15">
        <v>46224.603472222225</v>
      </c>
      <c r="O239" s="15">
        <v>46237.518055555556</v>
      </c>
      <c r="P239" s="15">
        <v>46239.647916666669</v>
      </c>
      <c r="Q239" s="15"/>
      <c r="S239" t="s">
        <v>357</v>
      </c>
      <c r="T239" t="s">
        <v>1641</v>
      </c>
      <c r="U239" t="s">
        <v>1642</v>
      </c>
      <c r="V239" t="s">
        <v>357</v>
      </c>
      <c r="W239">
        <v>101</v>
      </c>
      <c r="X239" t="s">
        <v>369</v>
      </c>
      <c r="Y239" t="s">
        <v>239</v>
      </c>
      <c r="Z239" t="s">
        <v>851</v>
      </c>
      <c r="AB239" t="s">
        <v>348</v>
      </c>
      <c r="AC239" t="s">
        <v>7</v>
      </c>
      <c r="AD239" t="s">
        <v>7</v>
      </c>
      <c r="AE239" t="s">
        <v>7</v>
      </c>
      <c r="AF239" t="s">
        <v>1643</v>
      </c>
      <c r="AG239" t="s">
        <v>249</v>
      </c>
      <c r="AH239">
        <v>2</v>
      </c>
      <c r="AI239" t="s">
        <v>250</v>
      </c>
      <c r="AJ239" t="s">
        <v>248</v>
      </c>
      <c r="AK239" t="s">
        <v>827</v>
      </c>
      <c r="AL239" t="s">
        <v>156</v>
      </c>
      <c r="AM239" t="s">
        <v>855</v>
      </c>
      <c r="AN239">
        <v>3</v>
      </c>
      <c r="AO239">
        <v>46237</v>
      </c>
      <c r="AP239">
        <v>0.5180555555555556</v>
      </c>
      <c r="AQ239">
        <v>46239</v>
      </c>
      <c r="AR239">
        <v>0.6479166666666667</v>
      </c>
      <c r="AS239" t="s">
        <v>201</v>
      </c>
      <c r="AT239" t="s">
        <v>1954</v>
      </c>
      <c r="AU239" t="s">
        <v>1955</v>
      </c>
      <c r="AV239" t="s">
        <v>866</v>
      </c>
      <c r="AW239">
        <v>16</v>
      </c>
      <c r="AX239">
        <v>208</v>
      </c>
      <c r="AY239" t="s">
        <v>125</v>
      </c>
      <c r="AZ239" t="s">
        <v>122</v>
      </c>
      <c r="BA239" t="s">
        <v>232</v>
      </c>
      <c r="BB239" t="s">
        <v>863</v>
      </c>
      <c r="BE239">
        <v>20.8</v>
      </c>
    </row>
    <row r="240" spans="1:57" x14ac:dyDescent="0.3">
      <c r="A240" s="204">
        <v>46230</v>
      </c>
      <c r="B240" t="s">
        <v>142</v>
      </c>
      <c r="C240" t="s">
        <v>345</v>
      </c>
      <c r="D240" t="s">
        <v>57</v>
      </c>
      <c r="E240" t="s">
        <v>117</v>
      </c>
      <c r="F240" t="s">
        <v>309</v>
      </c>
      <c r="G240" t="s">
        <v>1146</v>
      </c>
      <c r="H240" t="s">
        <v>901</v>
      </c>
      <c r="I240" t="s">
        <v>399</v>
      </c>
      <c r="J240">
        <v>1</v>
      </c>
      <c r="K240">
        <v>1</v>
      </c>
      <c r="L240" t="s">
        <v>1147</v>
      </c>
      <c r="M240" s="15">
        <v>46247.424131944441</v>
      </c>
      <c r="N240" s="15">
        <v>46254.423611111109</v>
      </c>
      <c r="O240" s="15">
        <v>46247.640277777777</v>
      </c>
      <c r="P240" s="15">
        <v>46253.622916666667</v>
      </c>
      <c r="Q240" s="15"/>
      <c r="S240" t="s">
        <v>353</v>
      </c>
      <c r="U240" t="s">
        <v>1644</v>
      </c>
      <c r="V240" t="s">
        <v>353</v>
      </c>
      <c r="W240">
        <v>2100</v>
      </c>
      <c r="X240" t="s">
        <v>368</v>
      </c>
      <c r="Y240" t="s">
        <v>239</v>
      </c>
      <c r="Z240" t="s">
        <v>851</v>
      </c>
      <c r="AB240" t="s">
        <v>348</v>
      </c>
      <c r="AC240" t="s">
        <v>7</v>
      </c>
      <c r="AD240" t="s">
        <v>7</v>
      </c>
      <c r="AE240" t="s">
        <v>7</v>
      </c>
      <c r="AF240" t="s">
        <v>1645</v>
      </c>
      <c r="AG240" t="s">
        <v>249</v>
      </c>
      <c r="AH240">
        <v>2</v>
      </c>
      <c r="AI240" t="s">
        <v>250</v>
      </c>
      <c r="AJ240" t="s">
        <v>251</v>
      </c>
      <c r="AK240" t="s">
        <v>886</v>
      </c>
      <c r="AL240" t="s">
        <v>203</v>
      </c>
      <c r="AM240" t="s">
        <v>899</v>
      </c>
      <c r="AO240">
        <v>46247</v>
      </c>
      <c r="AP240">
        <v>0.64027777777777772</v>
      </c>
      <c r="AQ240">
        <v>46253</v>
      </c>
      <c r="AR240">
        <v>0.62291666666666667</v>
      </c>
      <c r="AS240" t="s">
        <v>201</v>
      </c>
      <c r="AT240" t="s">
        <v>1954</v>
      </c>
      <c r="AU240" t="s">
        <v>1955</v>
      </c>
      <c r="AV240" t="s">
        <v>862</v>
      </c>
      <c r="AX240">
        <v>1</v>
      </c>
      <c r="AY240" t="s">
        <v>126</v>
      </c>
      <c r="AZ240" t="s">
        <v>127</v>
      </c>
      <c r="BA240" t="s">
        <v>233</v>
      </c>
      <c r="BB240" t="s">
        <v>891</v>
      </c>
      <c r="BE240">
        <v>1</v>
      </c>
    </row>
    <row r="241" spans="1:57" x14ac:dyDescent="0.3">
      <c r="A241" s="204">
        <v>46230</v>
      </c>
      <c r="B241" t="s">
        <v>142</v>
      </c>
      <c r="C241" t="s">
        <v>345</v>
      </c>
      <c r="D241" t="s">
        <v>57</v>
      </c>
      <c r="E241" t="s">
        <v>117</v>
      </c>
      <c r="F241" t="s">
        <v>309</v>
      </c>
      <c r="G241" t="s">
        <v>1148</v>
      </c>
      <c r="H241" t="s">
        <v>890</v>
      </c>
      <c r="I241" t="s">
        <v>399</v>
      </c>
      <c r="J241">
        <v>1</v>
      </c>
      <c r="K241">
        <v>1</v>
      </c>
      <c r="L241" t="s">
        <v>1149</v>
      </c>
      <c r="M241" s="15">
        <v>46241.653622685182</v>
      </c>
      <c r="N241" s="15">
        <v>46248.65347222222</v>
      </c>
      <c r="O241" s="15">
        <v>46247.673611111109</v>
      </c>
      <c r="P241" s="15">
        <v>46253.618055555555</v>
      </c>
      <c r="Q241" s="15"/>
      <c r="S241" t="s">
        <v>353</v>
      </c>
      <c r="U241" t="s">
        <v>1646</v>
      </c>
      <c r="V241" t="s">
        <v>353</v>
      </c>
      <c r="W241">
        <v>2100</v>
      </c>
      <c r="X241" t="s">
        <v>368</v>
      </c>
      <c r="Y241" t="s">
        <v>239</v>
      </c>
      <c r="Z241" t="s">
        <v>851</v>
      </c>
      <c r="AB241" t="s">
        <v>348</v>
      </c>
      <c r="AC241" t="s">
        <v>7</v>
      </c>
      <c r="AD241" t="s">
        <v>7</v>
      </c>
      <c r="AE241" t="s">
        <v>7</v>
      </c>
      <c r="AF241" t="s">
        <v>1647</v>
      </c>
      <c r="AG241" t="s">
        <v>249</v>
      </c>
      <c r="AH241">
        <v>2</v>
      </c>
      <c r="AI241" t="s">
        <v>250</v>
      </c>
      <c r="AJ241" t="s">
        <v>251</v>
      </c>
      <c r="AK241" t="s">
        <v>886</v>
      </c>
      <c r="AL241" t="s">
        <v>203</v>
      </c>
      <c r="AM241" t="s">
        <v>899</v>
      </c>
      <c r="AO241">
        <v>46247</v>
      </c>
      <c r="AP241">
        <v>0.67361111111111116</v>
      </c>
      <c r="AQ241">
        <v>46253</v>
      </c>
      <c r="AR241">
        <v>0.61805555555555558</v>
      </c>
      <c r="AS241" t="s">
        <v>201</v>
      </c>
      <c r="AT241" t="s">
        <v>1954</v>
      </c>
      <c r="AU241" t="s">
        <v>1955</v>
      </c>
      <c r="AV241" t="s">
        <v>862</v>
      </c>
      <c r="AX241">
        <v>1</v>
      </c>
      <c r="AY241" t="s">
        <v>126</v>
      </c>
      <c r="AZ241" t="s">
        <v>127</v>
      </c>
      <c r="BA241" t="s">
        <v>233</v>
      </c>
      <c r="BB241" t="s">
        <v>891</v>
      </c>
    </row>
    <row r="242" spans="1:57" x14ac:dyDescent="0.3">
      <c r="A242" s="204">
        <v>46230</v>
      </c>
      <c r="B242" t="s">
        <v>142</v>
      </c>
      <c r="C242" t="s">
        <v>345</v>
      </c>
      <c r="D242" t="s">
        <v>57</v>
      </c>
      <c r="E242" t="s">
        <v>117</v>
      </c>
      <c r="F242" t="s">
        <v>309</v>
      </c>
      <c r="G242" t="s">
        <v>1150</v>
      </c>
      <c r="H242" t="s">
        <v>890</v>
      </c>
      <c r="I242" t="s">
        <v>399</v>
      </c>
      <c r="J242">
        <v>1</v>
      </c>
      <c r="K242">
        <v>1</v>
      </c>
      <c r="L242" t="s">
        <v>1151</v>
      </c>
      <c r="M242" s="15">
        <v>46238.350578703707</v>
      </c>
      <c r="N242" s="15">
        <v>46245.35</v>
      </c>
      <c r="O242" s="15">
        <v>46238.650694444441</v>
      </c>
      <c r="P242" s="15">
        <v>46241.494444444441</v>
      </c>
      <c r="Q242" s="15"/>
      <c r="S242" t="s">
        <v>353</v>
      </c>
      <c r="U242" t="s">
        <v>1648</v>
      </c>
      <c r="V242" t="s">
        <v>353</v>
      </c>
      <c r="W242">
        <v>2100</v>
      </c>
      <c r="X242" t="s">
        <v>368</v>
      </c>
      <c r="Y242" t="s">
        <v>239</v>
      </c>
      <c r="Z242" t="s">
        <v>851</v>
      </c>
      <c r="AB242" t="s">
        <v>348</v>
      </c>
      <c r="AC242" t="s">
        <v>7</v>
      </c>
      <c r="AD242" t="s">
        <v>7</v>
      </c>
      <c r="AE242" t="s">
        <v>7</v>
      </c>
      <c r="AF242" t="s">
        <v>1649</v>
      </c>
      <c r="AG242" t="s">
        <v>249</v>
      </c>
      <c r="AH242">
        <v>2</v>
      </c>
      <c r="AI242" t="s">
        <v>250</v>
      </c>
      <c r="AJ242" t="s">
        <v>251</v>
      </c>
      <c r="AK242" t="s">
        <v>886</v>
      </c>
      <c r="AL242" t="s">
        <v>203</v>
      </c>
      <c r="AM242" t="s">
        <v>899</v>
      </c>
      <c r="AO242">
        <v>46238</v>
      </c>
      <c r="AP242">
        <v>0.65069444444444446</v>
      </c>
      <c r="AQ242">
        <v>46241</v>
      </c>
      <c r="AR242">
        <v>0.49444444444444446</v>
      </c>
      <c r="AS242" t="s">
        <v>201</v>
      </c>
      <c r="AT242" t="s">
        <v>1954</v>
      </c>
      <c r="AU242" t="s">
        <v>1955</v>
      </c>
      <c r="AV242" t="s">
        <v>862</v>
      </c>
      <c r="AX242">
        <v>1</v>
      </c>
      <c r="AY242" t="s">
        <v>126</v>
      </c>
      <c r="AZ242" t="s">
        <v>127</v>
      </c>
      <c r="BA242" t="s">
        <v>233</v>
      </c>
      <c r="BB242" t="s">
        <v>891</v>
      </c>
      <c r="BE242">
        <v>1</v>
      </c>
    </row>
    <row r="243" spans="1:57" x14ac:dyDescent="0.3">
      <c r="A243" s="204">
        <v>46230</v>
      </c>
      <c r="B243" t="s">
        <v>142</v>
      </c>
      <c r="C243" t="s">
        <v>345</v>
      </c>
      <c r="D243" t="s">
        <v>279</v>
      </c>
      <c r="E243" t="s">
        <v>192</v>
      </c>
      <c r="F243" t="s">
        <v>309</v>
      </c>
      <c r="G243" t="s">
        <v>1146</v>
      </c>
      <c r="H243" t="s">
        <v>901</v>
      </c>
      <c r="I243" t="s">
        <v>399</v>
      </c>
      <c r="J243">
        <v>557</v>
      </c>
      <c r="K243">
        <v>557</v>
      </c>
      <c r="L243" t="s">
        <v>1147</v>
      </c>
      <c r="M243" s="15">
        <v>46247.424131944441</v>
      </c>
      <c r="N243" s="15">
        <v>46254.423611111109</v>
      </c>
      <c r="O243" s="15">
        <v>46247.640277777777</v>
      </c>
      <c r="P243" s="15">
        <v>46253.622916666667</v>
      </c>
      <c r="Q243" s="15"/>
      <c r="S243" t="s">
        <v>353</v>
      </c>
      <c r="U243" t="s">
        <v>1644</v>
      </c>
      <c r="V243" t="s">
        <v>353</v>
      </c>
      <c r="W243">
        <v>2100</v>
      </c>
      <c r="X243" t="s">
        <v>368</v>
      </c>
      <c r="Y243" t="s">
        <v>239</v>
      </c>
      <c r="Z243" t="s">
        <v>851</v>
      </c>
      <c r="AB243" t="s">
        <v>348</v>
      </c>
      <c r="AC243" t="s">
        <v>7</v>
      </c>
      <c r="AD243" t="s">
        <v>7</v>
      </c>
      <c r="AE243" t="s">
        <v>7</v>
      </c>
      <c r="AF243" t="s">
        <v>1650</v>
      </c>
      <c r="AG243" t="s">
        <v>249</v>
      </c>
      <c r="AH243">
        <v>2</v>
      </c>
      <c r="AI243" t="s">
        <v>250</v>
      </c>
      <c r="AJ243" t="s">
        <v>248</v>
      </c>
      <c r="AK243" t="s">
        <v>886</v>
      </c>
      <c r="AL243" t="s">
        <v>203</v>
      </c>
      <c r="AM243" t="s">
        <v>900</v>
      </c>
      <c r="AN243">
        <v>3</v>
      </c>
      <c r="AO243">
        <v>46247</v>
      </c>
      <c r="AP243">
        <v>0.64027777777777772</v>
      </c>
      <c r="AQ243">
        <v>46253</v>
      </c>
      <c r="AR243">
        <v>0.62291666666666667</v>
      </c>
      <c r="AS243" t="s">
        <v>201</v>
      </c>
      <c r="AT243" t="s">
        <v>1956</v>
      </c>
      <c r="AU243" t="s">
        <v>1955</v>
      </c>
      <c r="AV243" t="s">
        <v>856</v>
      </c>
      <c r="AW243">
        <v>1</v>
      </c>
      <c r="AX243">
        <v>557</v>
      </c>
      <c r="AY243" t="s">
        <v>125</v>
      </c>
      <c r="AZ243" t="s">
        <v>122</v>
      </c>
      <c r="BA243" t="s">
        <v>232</v>
      </c>
      <c r="BB243" t="s">
        <v>891</v>
      </c>
      <c r="BE243">
        <v>95</v>
      </c>
    </row>
    <row r="244" spans="1:57" x14ac:dyDescent="0.3">
      <c r="A244" s="204">
        <v>46230</v>
      </c>
      <c r="B244" t="s">
        <v>142</v>
      </c>
      <c r="C244" t="s">
        <v>345</v>
      </c>
      <c r="D244" t="s">
        <v>279</v>
      </c>
      <c r="E244" t="s">
        <v>192</v>
      </c>
      <c r="F244" t="s">
        <v>309</v>
      </c>
      <c r="G244" t="s">
        <v>1148</v>
      </c>
      <c r="H244" t="s">
        <v>890</v>
      </c>
      <c r="I244" t="s">
        <v>399</v>
      </c>
      <c r="J244">
        <v>393</v>
      </c>
      <c r="K244">
        <v>393</v>
      </c>
      <c r="L244" t="s">
        <v>1149</v>
      </c>
      <c r="M244" s="15">
        <v>46241.653622685182</v>
      </c>
      <c r="N244" s="15">
        <v>46248.65347222222</v>
      </c>
      <c r="O244" s="15">
        <v>46247.673611111109</v>
      </c>
      <c r="P244" s="15">
        <v>46253.618055555555</v>
      </c>
      <c r="Q244" s="15"/>
      <c r="S244" t="s">
        <v>353</v>
      </c>
      <c r="T244" t="s">
        <v>1651</v>
      </c>
      <c r="U244" t="s">
        <v>1646</v>
      </c>
      <c r="V244" t="s">
        <v>353</v>
      </c>
      <c r="W244">
        <v>2100</v>
      </c>
      <c r="X244" t="s">
        <v>368</v>
      </c>
      <c r="Y244" t="s">
        <v>239</v>
      </c>
      <c r="Z244" t="s">
        <v>851</v>
      </c>
      <c r="AB244" t="s">
        <v>348</v>
      </c>
      <c r="AC244" t="s">
        <v>7</v>
      </c>
      <c r="AD244" t="s">
        <v>7</v>
      </c>
      <c r="AE244" t="s">
        <v>7</v>
      </c>
      <c r="AF244" t="s">
        <v>1652</v>
      </c>
      <c r="AG244" t="s">
        <v>249</v>
      </c>
      <c r="AH244">
        <v>2</v>
      </c>
      <c r="AI244" t="s">
        <v>250</v>
      </c>
      <c r="AJ244" t="s">
        <v>248</v>
      </c>
      <c r="AK244" t="s">
        <v>886</v>
      </c>
      <c r="AL244" t="s">
        <v>203</v>
      </c>
      <c r="AM244" t="s">
        <v>900</v>
      </c>
      <c r="AN244">
        <v>3</v>
      </c>
      <c r="AO244">
        <v>46247</v>
      </c>
      <c r="AP244">
        <v>0.67361111111111116</v>
      </c>
      <c r="AQ244">
        <v>46253</v>
      </c>
      <c r="AR244">
        <v>0.61805555555555558</v>
      </c>
      <c r="AS244" t="s">
        <v>201</v>
      </c>
      <c r="AT244" t="s">
        <v>1956</v>
      </c>
      <c r="AU244" t="s">
        <v>1955</v>
      </c>
      <c r="AV244" t="s">
        <v>856</v>
      </c>
      <c r="AW244">
        <v>1</v>
      </c>
      <c r="AX244">
        <v>393</v>
      </c>
      <c r="AY244" t="s">
        <v>125</v>
      </c>
      <c r="AZ244" t="s">
        <v>122</v>
      </c>
      <c r="BA244" t="s">
        <v>232</v>
      </c>
      <c r="BB244" t="s">
        <v>891</v>
      </c>
    </row>
    <row r="245" spans="1:57" x14ac:dyDescent="0.3">
      <c r="A245" s="204">
        <v>46230</v>
      </c>
      <c r="B245" t="s">
        <v>142</v>
      </c>
      <c r="C245" t="s">
        <v>345</v>
      </c>
      <c r="D245" t="s">
        <v>279</v>
      </c>
      <c r="E245" t="s">
        <v>192</v>
      </c>
      <c r="F245" t="s">
        <v>309</v>
      </c>
      <c r="G245" t="s">
        <v>1150</v>
      </c>
      <c r="H245" t="s">
        <v>890</v>
      </c>
      <c r="I245" t="s">
        <v>399</v>
      </c>
      <c r="J245">
        <v>224</v>
      </c>
      <c r="K245">
        <v>224</v>
      </c>
      <c r="L245" t="s">
        <v>1151</v>
      </c>
      <c r="M245" s="15">
        <v>46238.350578703707</v>
      </c>
      <c r="N245" s="15">
        <v>46245.35</v>
      </c>
      <c r="O245" s="15">
        <v>46238.650694444441</v>
      </c>
      <c r="P245" s="15">
        <v>46241.494444444441</v>
      </c>
      <c r="Q245" s="15"/>
      <c r="S245" t="s">
        <v>353</v>
      </c>
      <c r="U245" t="s">
        <v>1648</v>
      </c>
      <c r="V245" t="s">
        <v>353</v>
      </c>
      <c r="W245">
        <v>2100</v>
      </c>
      <c r="X245" t="s">
        <v>368</v>
      </c>
      <c r="Y245" t="s">
        <v>239</v>
      </c>
      <c r="Z245" t="s">
        <v>851</v>
      </c>
      <c r="AB245" t="s">
        <v>348</v>
      </c>
      <c r="AC245" t="s">
        <v>7</v>
      </c>
      <c r="AD245" t="s">
        <v>7</v>
      </c>
      <c r="AE245" t="s">
        <v>7</v>
      </c>
      <c r="AF245" t="s">
        <v>1653</v>
      </c>
      <c r="AG245" t="s">
        <v>249</v>
      </c>
      <c r="AH245">
        <v>2</v>
      </c>
      <c r="AI245" t="s">
        <v>250</v>
      </c>
      <c r="AJ245" t="s">
        <v>248</v>
      </c>
      <c r="AK245" t="s">
        <v>886</v>
      </c>
      <c r="AL245" t="s">
        <v>203</v>
      </c>
      <c r="AM245" t="s">
        <v>900</v>
      </c>
      <c r="AN245">
        <v>3</v>
      </c>
      <c r="AO245">
        <v>46238</v>
      </c>
      <c r="AP245">
        <v>0.65069444444444446</v>
      </c>
      <c r="AQ245">
        <v>46241</v>
      </c>
      <c r="AR245">
        <v>0.49444444444444446</v>
      </c>
      <c r="AS245" t="s">
        <v>201</v>
      </c>
      <c r="AT245" t="s">
        <v>1954</v>
      </c>
      <c r="AU245" t="s">
        <v>1955</v>
      </c>
      <c r="AV245" t="s">
        <v>856</v>
      </c>
      <c r="AW245">
        <v>1</v>
      </c>
      <c r="AX245">
        <v>224</v>
      </c>
      <c r="AY245" t="s">
        <v>125</v>
      </c>
      <c r="AZ245" t="s">
        <v>122</v>
      </c>
      <c r="BA245" t="s">
        <v>232</v>
      </c>
      <c r="BB245" t="s">
        <v>891</v>
      </c>
      <c r="BE245">
        <v>22.4</v>
      </c>
    </row>
    <row r="246" spans="1:57" x14ac:dyDescent="0.3">
      <c r="A246" s="204">
        <v>46230</v>
      </c>
      <c r="B246" t="s">
        <v>142</v>
      </c>
      <c r="C246" t="s">
        <v>345</v>
      </c>
      <c r="D246" t="s">
        <v>63</v>
      </c>
      <c r="E246" t="s">
        <v>95</v>
      </c>
      <c r="F246" t="s">
        <v>309</v>
      </c>
      <c r="G246" t="s">
        <v>1146</v>
      </c>
      <c r="H246" t="s">
        <v>901</v>
      </c>
      <c r="I246" t="s">
        <v>399</v>
      </c>
      <c r="J246">
        <v>1</v>
      </c>
      <c r="K246">
        <v>1</v>
      </c>
      <c r="L246" t="s">
        <v>1147</v>
      </c>
      <c r="M246" s="15">
        <v>46247.424131944441</v>
      </c>
      <c r="N246" s="15">
        <v>46254.423611111109</v>
      </c>
      <c r="O246" s="15">
        <v>46247.640277777777</v>
      </c>
      <c r="P246" s="15">
        <v>46253.622916666667</v>
      </c>
      <c r="Q246" s="15"/>
      <c r="S246" t="s">
        <v>353</v>
      </c>
      <c r="U246" t="s">
        <v>1644</v>
      </c>
      <c r="V246" t="s">
        <v>353</v>
      </c>
      <c r="W246">
        <v>2100</v>
      </c>
      <c r="X246" t="s">
        <v>368</v>
      </c>
      <c r="Y246" t="s">
        <v>239</v>
      </c>
      <c r="Z246" t="s">
        <v>851</v>
      </c>
      <c r="AB246" t="s">
        <v>348</v>
      </c>
      <c r="AC246" t="s">
        <v>7</v>
      </c>
      <c r="AD246" t="s">
        <v>7</v>
      </c>
      <c r="AE246" t="s">
        <v>7</v>
      </c>
      <c r="AF246" t="s">
        <v>1654</v>
      </c>
      <c r="AG246" t="s">
        <v>249</v>
      </c>
      <c r="AH246">
        <v>2</v>
      </c>
      <c r="AI246" t="s">
        <v>250</v>
      </c>
      <c r="AJ246" t="s">
        <v>251</v>
      </c>
      <c r="AK246" t="s">
        <v>886</v>
      </c>
      <c r="AL246" t="s">
        <v>203</v>
      </c>
      <c r="AM246" t="s">
        <v>1655</v>
      </c>
      <c r="AO246">
        <v>46247</v>
      </c>
      <c r="AP246">
        <v>0.64027777777777772</v>
      </c>
      <c r="AQ246">
        <v>46253</v>
      </c>
      <c r="AR246">
        <v>0.62291666666666667</v>
      </c>
      <c r="AS246" t="s">
        <v>201</v>
      </c>
      <c r="AT246" t="s">
        <v>1954</v>
      </c>
      <c r="AU246" t="s">
        <v>1955</v>
      </c>
      <c r="AV246" t="s">
        <v>937</v>
      </c>
      <c r="AX246">
        <v>1</v>
      </c>
      <c r="AY246" t="s">
        <v>111</v>
      </c>
      <c r="AZ246" t="s">
        <v>96</v>
      </c>
      <c r="BA246" t="s">
        <v>225</v>
      </c>
      <c r="BB246" t="s">
        <v>891</v>
      </c>
      <c r="BE246">
        <v>1</v>
      </c>
    </row>
    <row r="247" spans="1:57" x14ac:dyDescent="0.3">
      <c r="A247" s="204">
        <v>46230</v>
      </c>
      <c r="B247" t="s">
        <v>142</v>
      </c>
      <c r="C247" t="s">
        <v>345</v>
      </c>
      <c r="D247" t="s">
        <v>63</v>
      </c>
      <c r="E247" t="s">
        <v>95</v>
      </c>
      <c r="F247" t="s">
        <v>309</v>
      </c>
      <c r="G247" t="s">
        <v>1148</v>
      </c>
      <c r="H247" t="s">
        <v>890</v>
      </c>
      <c r="I247" t="s">
        <v>399</v>
      </c>
      <c r="J247">
        <v>1</v>
      </c>
      <c r="K247">
        <v>1</v>
      </c>
      <c r="L247" t="s">
        <v>1149</v>
      </c>
      <c r="M247" s="15">
        <v>46241.653622685182</v>
      </c>
      <c r="N247" s="15">
        <v>46248.65347222222</v>
      </c>
      <c r="O247" s="15">
        <v>46247.673611111109</v>
      </c>
      <c r="P247" s="15">
        <v>46253.618055555555</v>
      </c>
      <c r="Q247" s="15"/>
      <c r="S247" t="s">
        <v>353</v>
      </c>
      <c r="U247" t="s">
        <v>1646</v>
      </c>
      <c r="V247" t="s">
        <v>353</v>
      </c>
      <c r="W247">
        <v>2100</v>
      </c>
      <c r="X247" t="s">
        <v>368</v>
      </c>
      <c r="Y247" t="s">
        <v>239</v>
      </c>
      <c r="Z247" t="s">
        <v>851</v>
      </c>
      <c r="AB247" t="s">
        <v>348</v>
      </c>
      <c r="AC247" t="s">
        <v>7</v>
      </c>
      <c r="AD247" t="s">
        <v>7</v>
      </c>
      <c r="AE247" t="s">
        <v>7</v>
      </c>
      <c r="AF247" t="s">
        <v>1656</v>
      </c>
      <c r="AG247" t="s">
        <v>249</v>
      </c>
      <c r="AH247">
        <v>2</v>
      </c>
      <c r="AI247" t="s">
        <v>250</v>
      </c>
      <c r="AJ247" t="s">
        <v>251</v>
      </c>
      <c r="AK247" t="s">
        <v>886</v>
      </c>
      <c r="AL247" t="s">
        <v>203</v>
      </c>
      <c r="AM247" t="s">
        <v>1655</v>
      </c>
      <c r="AO247">
        <v>46247</v>
      </c>
      <c r="AP247">
        <v>0.67361111111111116</v>
      </c>
      <c r="AQ247">
        <v>46253</v>
      </c>
      <c r="AR247">
        <v>0.61805555555555558</v>
      </c>
      <c r="AS247" t="s">
        <v>201</v>
      </c>
      <c r="AT247" t="s">
        <v>1954</v>
      </c>
      <c r="AU247" t="s">
        <v>1955</v>
      </c>
      <c r="AV247" t="s">
        <v>937</v>
      </c>
      <c r="AX247">
        <v>1</v>
      </c>
      <c r="AY247" t="s">
        <v>111</v>
      </c>
      <c r="AZ247" t="s">
        <v>96</v>
      </c>
      <c r="BA247" t="s">
        <v>225</v>
      </c>
      <c r="BB247" t="s">
        <v>891</v>
      </c>
    </row>
    <row r="248" spans="1:57" x14ac:dyDescent="0.3">
      <c r="A248" s="204">
        <v>46230</v>
      </c>
      <c r="B248" t="s">
        <v>142</v>
      </c>
      <c r="C248" t="s">
        <v>345</v>
      </c>
      <c r="D248" t="s">
        <v>63</v>
      </c>
      <c r="E248" t="s">
        <v>95</v>
      </c>
      <c r="F248" t="s">
        <v>309</v>
      </c>
      <c r="G248" t="s">
        <v>1150</v>
      </c>
      <c r="H248" t="s">
        <v>890</v>
      </c>
      <c r="I248" t="s">
        <v>399</v>
      </c>
      <c r="J248">
        <v>1</v>
      </c>
      <c r="K248">
        <v>1</v>
      </c>
      <c r="L248" t="s">
        <v>1151</v>
      </c>
      <c r="M248" s="15">
        <v>46238.350578703707</v>
      </c>
      <c r="N248" s="15">
        <v>46245.35</v>
      </c>
      <c r="O248" s="15">
        <v>46238.650694444441</v>
      </c>
      <c r="P248" s="15">
        <v>46241.494444444441</v>
      </c>
      <c r="Q248" s="15"/>
      <c r="S248" t="s">
        <v>353</v>
      </c>
      <c r="U248" t="s">
        <v>1648</v>
      </c>
      <c r="V248" t="s">
        <v>353</v>
      </c>
      <c r="W248">
        <v>2100</v>
      </c>
      <c r="X248" t="s">
        <v>368</v>
      </c>
      <c r="Y248" t="s">
        <v>239</v>
      </c>
      <c r="Z248" t="s">
        <v>851</v>
      </c>
      <c r="AB248" t="s">
        <v>348</v>
      </c>
      <c r="AC248" t="s">
        <v>7</v>
      </c>
      <c r="AD248" t="s">
        <v>7</v>
      </c>
      <c r="AE248" t="s">
        <v>7</v>
      </c>
      <c r="AF248" t="s">
        <v>1657</v>
      </c>
      <c r="AG248" t="s">
        <v>249</v>
      </c>
      <c r="AH248">
        <v>2</v>
      </c>
      <c r="AI248" t="s">
        <v>250</v>
      </c>
      <c r="AJ248" t="s">
        <v>251</v>
      </c>
      <c r="AK248" t="s">
        <v>886</v>
      </c>
      <c r="AL248" t="s">
        <v>203</v>
      </c>
      <c r="AM248" t="s">
        <v>1655</v>
      </c>
      <c r="AO248">
        <v>46238</v>
      </c>
      <c r="AP248">
        <v>0.65069444444444446</v>
      </c>
      <c r="AQ248">
        <v>46241</v>
      </c>
      <c r="AR248">
        <v>0.49444444444444446</v>
      </c>
      <c r="AS248" t="s">
        <v>201</v>
      </c>
      <c r="AT248" t="s">
        <v>1954</v>
      </c>
      <c r="AU248" t="s">
        <v>1955</v>
      </c>
      <c r="AV248" t="s">
        <v>937</v>
      </c>
      <c r="AX248">
        <v>1</v>
      </c>
      <c r="AY248" t="s">
        <v>111</v>
      </c>
      <c r="AZ248" t="s">
        <v>96</v>
      </c>
      <c r="BA248" t="s">
        <v>225</v>
      </c>
      <c r="BB248" t="s">
        <v>891</v>
      </c>
      <c r="BE248">
        <v>1</v>
      </c>
    </row>
    <row r="249" spans="1:57" x14ac:dyDescent="0.3">
      <c r="A249" s="204">
        <v>46230</v>
      </c>
      <c r="B249" t="s">
        <v>142</v>
      </c>
      <c r="C249" t="s">
        <v>345</v>
      </c>
      <c r="D249" t="s">
        <v>45</v>
      </c>
      <c r="E249" t="s">
        <v>68</v>
      </c>
      <c r="F249" t="s">
        <v>309</v>
      </c>
      <c r="G249" t="s">
        <v>1152</v>
      </c>
      <c r="H249" t="s">
        <v>896</v>
      </c>
      <c r="I249" t="s">
        <v>398</v>
      </c>
      <c r="J249">
        <v>5</v>
      </c>
      <c r="K249">
        <v>5</v>
      </c>
      <c r="L249" t="s">
        <v>1153</v>
      </c>
      <c r="M249" s="15">
        <v>46234.569490740738</v>
      </c>
      <c r="N249" s="15">
        <v>46241.569444444445</v>
      </c>
      <c r="O249" s="15">
        <v>46234.710416666669</v>
      </c>
      <c r="P249" s="15">
        <v>46239.541666666664</v>
      </c>
      <c r="Q249" s="15"/>
      <c r="R249" t="s">
        <v>314</v>
      </c>
      <c r="S249" t="s">
        <v>353</v>
      </c>
      <c r="T249" t="s">
        <v>1658</v>
      </c>
      <c r="U249" t="s">
        <v>1659</v>
      </c>
      <c r="V249" t="s">
        <v>353</v>
      </c>
      <c r="W249">
        <v>2100</v>
      </c>
      <c r="X249" t="s">
        <v>368</v>
      </c>
      <c r="Y249" t="s">
        <v>239</v>
      </c>
      <c r="Z249" t="s">
        <v>826</v>
      </c>
      <c r="AB249" t="s">
        <v>348</v>
      </c>
      <c r="AC249" t="s">
        <v>348</v>
      </c>
      <c r="AD249" t="s">
        <v>369</v>
      </c>
      <c r="AE249" t="s">
        <v>239</v>
      </c>
      <c r="AF249" t="s">
        <v>1660</v>
      </c>
      <c r="AG249" t="s">
        <v>249</v>
      </c>
      <c r="AH249">
        <v>1</v>
      </c>
      <c r="AI249" t="s">
        <v>250</v>
      </c>
      <c r="AJ249" t="s">
        <v>248</v>
      </c>
      <c r="AK249" t="s">
        <v>886</v>
      </c>
      <c r="AL249" t="s">
        <v>203</v>
      </c>
      <c r="AM249" t="s">
        <v>888</v>
      </c>
      <c r="AN249">
        <v>2</v>
      </c>
      <c r="AO249">
        <v>46234</v>
      </c>
      <c r="AP249">
        <v>0.7104166666666667</v>
      </c>
      <c r="AQ249">
        <v>46239</v>
      </c>
      <c r="AR249">
        <v>0.54166666666666663</v>
      </c>
      <c r="AS249" t="s">
        <v>201</v>
      </c>
      <c r="AT249" t="s">
        <v>1956</v>
      </c>
      <c r="AU249" t="s">
        <v>1955</v>
      </c>
      <c r="AV249" t="s">
        <v>829</v>
      </c>
      <c r="AX249">
        <v>1</v>
      </c>
      <c r="AY249" t="s">
        <v>89</v>
      </c>
      <c r="AZ249" t="s">
        <v>67</v>
      </c>
      <c r="BA249" t="s">
        <v>217</v>
      </c>
      <c r="BB249" t="s">
        <v>893</v>
      </c>
      <c r="BC249">
        <v>203</v>
      </c>
      <c r="BD249">
        <v>103</v>
      </c>
      <c r="BE249">
        <v>1</v>
      </c>
    </row>
    <row r="250" spans="1:57" x14ac:dyDescent="0.3">
      <c r="A250" s="204">
        <v>46230</v>
      </c>
      <c r="B250" t="s">
        <v>142</v>
      </c>
      <c r="C250" t="s">
        <v>345</v>
      </c>
      <c r="D250" t="s">
        <v>45</v>
      </c>
      <c r="E250" t="s">
        <v>68</v>
      </c>
      <c r="F250" t="s">
        <v>309</v>
      </c>
      <c r="G250" t="s">
        <v>1154</v>
      </c>
      <c r="H250" t="s">
        <v>895</v>
      </c>
      <c r="I250" t="s">
        <v>398</v>
      </c>
      <c r="J250">
        <v>3</v>
      </c>
      <c r="K250">
        <v>3</v>
      </c>
      <c r="L250" t="s">
        <v>1155</v>
      </c>
      <c r="M250" s="15">
        <v>46233.473078703704</v>
      </c>
      <c r="N250" s="15">
        <v>46240.472916666666</v>
      </c>
      <c r="O250" s="15">
        <v>46233.640972222223</v>
      </c>
      <c r="P250" s="15">
        <v>46237.458333333336</v>
      </c>
      <c r="Q250" s="15"/>
      <c r="S250" t="s">
        <v>353</v>
      </c>
      <c r="T250" t="s">
        <v>837</v>
      </c>
      <c r="U250" t="s">
        <v>1661</v>
      </c>
      <c r="V250" t="s">
        <v>353</v>
      </c>
      <c r="W250">
        <v>2100</v>
      </c>
      <c r="X250" t="s">
        <v>368</v>
      </c>
      <c r="Y250" t="s">
        <v>239</v>
      </c>
      <c r="Z250" t="s">
        <v>826</v>
      </c>
      <c r="AB250" t="s">
        <v>348</v>
      </c>
      <c r="AC250" t="s">
        <v>348</v>
      </c>
      <c r="AD250" t="s">
        <v>369</v>
      </c>
      <c r="AE250" t="s">
        <v>239</v>
      </c>
      <c r="AF250" t="s">
        <v>1662</v>
      </c>
      <c r="AG250" t="s">
        <v>249</v>
      </c>
      <c r="AH250">
        <v>1</v>
      </c>
      <c r="AI250" t="s">
        <v>250</v>
      </c>
      <c r="AJ250" t="s">
        <v>248</v>
      </c>
      <c r="AK250" t="s">
        <v>886</v>
      </c>
      <c r="AL250" t="s">
        <v>203</v>
      </c>
      <c r="AM250" t="s">
        <v>888</v>
      </c>
      <c r="AN250">
        <v>2</v>
      </c>
      <c r="AO250">
        <v>46233</v>
      </c>
      <c r="AP250">
        <v>0.64097222222222228</v>
      </c>
      <c r="AQ250">
        <v>46237</v>
      </c>
      <c r="AR250">
        <v>0.45833333333333331</v>
      </c>
      <c r="AS250" t="s">
        <v>201</v>
      </c>
      <c r="AT250" t="s">
        <v>1954</v>
      </c>
      <c r="AU250" t="s">
        <v>1955</v>
      </c>
      <c r="AV250" t="s">
        <v>829</v>
      </c>
      <c r="AX250">
        <v>1</v>
      </c>
      <c r="AY250" t="s">
        <v>89</v>
      </c>
      <c r="AZ250" t="s">
        <v>67</v>
      </c>
      <c r="BA250" t="s">
        <v>217</v>
      </c>
      <c r="BB250" t="s">
        <v>893</v>
      </c>
      <c r="BC250">
        <v>203</v>
      </c>
      <c r="BD250">
        <v>103</v>
      </c>
      <c r="BE250">
        <v>1</v>
      </c>
    </row>
    <row r="251" spans="1:57" x14ac:dyDescent="0.3">
      <c r="A251" s="204">
        <v>46230</v>
      </c>
      <c r="B251" t="s">
        <v>142</v>
      </c>
      <c r="C251" t="s">
        <v>345</v>
      </c>
      <c r="D251" t="s">
        <v>45</v>
      </c>
      <c r="E251" t="s">
        <v>68</v>
      </c>
      <c r="F251" t="s">
        <v>309</v>
      </c>
      <c r="G251" t="s">
        <v>1156</v>
      </c>
      <c r="H251" t="s">
        <v>895</v>
      </c>
      <c r="I251" t="s">
        <v>398</v>
      </c>
      <c r="J251">
        <v>2</v>
      </c>
      <c r="K251">
        <v>2</v>
      </c>
      <c r="L251" t="s">
        <v>1155</v>
      </c>
      <c r="M251" s="15">
        <v>46233.472222222219</v>
      </c>
      <c r="N251" s="15">
        <v>46240.472222222219</v>
      </c>
      <c r="O251" s="15">
        <v>46233.640972222223</v>
      </c>
      <c r="P251" s="15">
        <v>46237.458333333336</v>
      </c>
      <c r="Q251" s="15"/>
      <c r="S251" t="s">
        <v>353</v>
      </c>
      <c r="T251" t="s">
        <v>837</v>
      </c>
      <c r="U251" t="s">
        <v>1663</v>
      </c>
      <c r="V251" t="s">
        <v>353</v>
      </c>
      <c r="W251">
        <v>2100</v>
      </c>
      <c r="X251" t="s">
        <v>368</v>
      </c>
      <c r="Y251" t="s">
        <v>239</v>
      </c>
      <c r="Z251" t="s">
        <v>826</v>
      </c>
      <c r="AB251" t="s">
        <v>348</v>
      </c>
      <c r="AC251" t="s">
        <v>348</v>
      </c>
      <c r="AD251" t="s">
        <v>369</v>
      </c>
      <c r="AE251" t="s">
        <v>239</v>
      </c>
      <c r="AF251" t="s">
        <v>1664</v>
      </c>
      <c r="AG251" t="s">
        <v>249</v>
      </c>
      <c r="AH251">
        <v>1</v>
      </c>
      <c r="AI251" t="s">
        <v>250</v>
      </c>
      <c r="AJ251" t="s">
        <v>248</v>
      </c>
      <c r="AK251" t="s">
        <v>886</v>
      </c>
      <c r="AL251" t="s">
        <v>203</v>
      </c>
      <c r="AM251" t="s">
        <v>888</v>
      </c>
      <c r="AN251">
        <v>2</v>
      </c>
      <c r="AO251">
        <v>46233</v>
      </c>
      <c r="AP251">
        <v>0.64097222222222228</v>
      </c>
      <c r="AQ251">
        <v>46237</v>
      </c>
      <c r="AR251">
        <v>0.45833333333333331</v>
      </c>
      <c r="AS251" t="s">
        <v>201</v>
      </c>
      <c r="AT251" t="s">
        <v>1954</v>
      </c>
      <c r="AU251" t="s">
        <v>1955</v>
      </c>
      <c r="AV251" t="s">
        <v>829</v>
      </c>
      <c r="AX251">
        <v>1</v>
      </c>
      <c r="AY251" t="s">
        <v>89</v>
      </c>
      <c r="AZ251" t="s">
        <v>67</v>
      </c>
      <c r="BA251" t="s">
        <v>217</v>
      </c>
      <c r="BB251" t="s">
        <v>893</v>
      </c>
      <c r="BC251">
        <v>203</v>
      </c>
    </row>
    <row r="252" spans="1:57" x14ac:dyDescent="0.3">
      <c r="A252" s="204">
        <v>46230</v>
      </c>
      <c r="B252" t="s">
        <v>142</v>
      </c>
      <c r="C252" t="s">
        <v>345</v>
      </c>
      <c r="D252" t="s">
        <v>45</v>
      </c>
      <c r="E252" t="s">
        <v>68</v>
      </c>
      <c r="F252" t="s">
        <v>309</v>
      </c>
      <c r="G252" t="s">
        <v>1157</v>
      </c>
      <c r="H252" t="s">
        <v>895</v>
      </c>
      <c r="I252" t="s">
        <v>398</v>
      </c>
      <c r="J252">
        <v>3</v>
      </c>
      <c r="K252">
        <v>3</v>
      </c>
      <c r="L252" t="s">
        <v>1155</v>
      </c>
      <c r="M252" s="15">
        <v>46233.471770833334</v>
      </c>
      <c r="N252" s="15">
        <v>46240.47152777778</v>
      </c>
      <c r="O252" s="15">
        <v>46233.640972222223</v>
      </c>
      <c r="P252" s="15">
        <v>46237.458333333336</v>
      </c>
      <c r="Q252" s="15"/>
      <c r="S252" t="s">
        <v>353</v>
      </c>
      <c r="T252" t="s">
        <v>837</v>
      </c>
      <c r="U252" t="s">
        <v>1665</v>
      </c>
      <c r="V252" t="s">
        <v>353</v>
      </c>
      <c r="W252">
        <v>2100</v>
      </c>
      <c r="X252" t="s">
        <v>368</v>
      </c>
      <c r="Y252" t="s">
        <v>239</v>
      </c>
      <c r="Z252" t="s">
        <v>826</v>
      </c>
      <c r="AB252" t="s">
        <v>348</v>
      </c>
      <c r="AC252" t="s">
        <v>348</v>
      </c>
      <c r="AD252" t="s">
        <v>369</v>
      </c>
      <c r="AE252" t="s">
        <v>239</v>
      </c>
      <c r="AF252" t="s">
        <v>1666</v>
      </c>
      <c r="AG252" t="s">
        <v>249</v>
      </c>
      <c r="AH252">
        <v>1</v>
      </c>
      <c r="AI252" t="s">
        <v>250</v>
      </c>
      <c r="AJ252" t="s">
        <v>248</v>
      </c>
      <c r="AK252" t="s">
        <v>886</v>
      </c>
      <c r="AL252" t="s">
        <v>203</v>
      </c>
      <c r="AM252" t="s">
        <v>888</v>
      </c>
      <c r="AN252">
        <v>2</v>
      </c>
      <c r="AO252">
        <v>46233</v>
      </c>
      <c r="AP252">
        <v>0.64097222222222228</v>
      </c>
      <c r="AQ252">
        <v>46237</v>
      </c>
      <c r="AR252">
        <v>0.45833333333333331</v>
      </c>
      <c r="AS252" t="s">
        <v>201</v>
      </c>
      <c r="AT252" t="s">
        <v>1954</v>
      </c>
      <c r="AU252" t="s">
        <v>1955</v>
      </c>
      <c r="AV252" t="s">
        <v>829</v>
      </c>
      <c r="AX252">
        <v>1</v>
      </c>
      <c r="AY252" t="s">
        <v>89</v>
      </c>
      <c r="AZ252" t="s">
        <v>67</v>
      </c>
      <c r="BA252" t="s">
        <v>217</v>
      </c>
      <c r="BB252" t="s">
        <v>893</v>
      </c>
      <c r="BC252">
        <v>203</v>
      </c>
    </row>
    <row r="253" spans="1:57" x14ac:dyDescent="0.3">
      <c r="A253" s="204">
        <v>46237</v>
      </c>
      <c r="B253" t="s">
        <v>142</v>
      </c>
      <c r="C253" t="s">
        <v>345</v>
      </c>
      <c r="D253" t="s">
        <v>279</v>
      </c>
      <c r="E253" t="s">
        <v>197</v>
      </c>
      <c r="F253" t="s">
        <v>309</v>
      </c>
      <c r="G253" t="s">
        <v>1158</v>
      </c>
      <c r="H253" t="s">
        <v>898</v>
      </c>
      <c r="I253" t="s">
        <v>402</v>
      </c>
      <c r="J253">
        <v>1</v>
      </c>
      <c r="K253">
        <v>1</v>
      </c>
      <c r="L253" t="s">
        <v>1159</v>
      </c>
      <c r="M253" s="15">
        <v>46239.427071759259</v>
      </c>
      <c r="N253" s="15">
        <v>46246.426388888889</v>
      </c>
      <c r="O253" s="15">
        <v>46240.368750000001</v>
      </c>
      <c r="P253" s="15">
        <v>46246.47152777778</v>
      </c>
      <c r="Q253" s="15"/>
      <c r="S253" t="s">
        <v>353</v>
      </c>
      <c r="V253" t="s">
        <v>353</v>
      </c>
      <c r="W253">
        <v>2100</v>
      </c>
      <c r="X253" t="s">
        <v>368</v>
      </c>
      <c r="Y253" t="s">
        <v>239</v>
      </c>
      <c r="Z253" t="s">
        <v>851</v>
      </c>
      <c r="AB253" t="s">
        <v>348</v>
      </c>
      <c r="AC253" t="s">
        <v>7</v>
      </c>
      <c r="AD253" t="s">
        <v>7</v>
      </c>
      <c r="AE253" t="s">
        <v>7</v>
      </c>
      <c r="AF253" t="s">
        <v>1667</v>
      </c>
      <c r="AG253" t="s">
        <v>249</v>
      </c>
      <c r="AH253">
        <v>2</v>
      </c>
      <c r="AI253" t="s">
        <v>250</v>
      </c>
      <c r="AJ253" t="s">
        <v>248</v>
      </c>
      <c r="AK253" t="s">
        <v>886</v>
      </c>
      <c r="AL253" t="s">
        <v>203</v>
      </c>
      <c r="AM253" t="s">
        <v>900</v>
      </c>
      <c r="AN253">
        <v>3</v>
      </c>
      <c r="AO253">
        <v>46240</v>
      </c>
      <c r="AP253">
        <v>0.36875000000000002</v>
      </c>
      <c r="AQ253">
        <v>46246</v>
      </c>
      <c r="AR253">
        <v>0.47152777777777777</v>
      </c>
      <c r="AS253" t="s">
        <v>201</v>
      </c>
      <c r="AT253" t="s">
        <v>1956</v>
      </c>
      <c r="AU253" t="s">
        <v>1955</v>
      </c>
      <c r="AV253" t="s">
        <v>866</v>
      </c>
      <c r="AW253">
        <v>16</v>
      </c>
      <c r="AX253">
        <v>16</v>
      </c>
      <c r="AY253" t="s">
        <v>125</v>
      </c>
      <c r="AZ253" t="s">
        <v>122</v>
      </c>
      <c r="BA253" t="s">
        <v>232</v>
      </c>
      <c r="BB253" t="s">
        <v>891</v>
      </c>
      <c r="BE253">
        <v>60.8</v>
      </c>
    </row>
    <row r="254" spans="1:57" x14ac:dyDescent="0.3">
      <c r="A254" s="204">
        <v>46237</v>
      </c>
      <c r="B254" t="s">
        <v>142</v>
      </c>
      <c r="C254" t="s">
        <v>345</v>
      </c>
      <c r="D254" t="s">
        <v>279</v>
      </c>
      <c r="E254" t="s">
        <v>197</v>
      </c>
      <c r="F254" t="s">
        <v>309</v>
      </c>
      <c r="G254" t="s">
        <v>1158</v>
      </c>
      <c r="H254" t="s">
        <v>898</v>
      </c>
      <c r="I254" t="s">
        <v>402</v>
      </c>
      <c r="J254">
        <v>9</v>
      </c>
      <c r="K254">
        <v>9</v>
      </c>
      <c r="L254" t="s">
        <v>1159</v>
      </c>
      <c r="M254" s="15">
        <v>46239.427071759259</v>
      </c>
      <c r="N254" s="15">
        <v>46246.426388888889</v>
      </c>
      <c r="O254" s="15">
        <v>46240.368750000001</v>
      </c>
      <c r="P254" s="15">
        <v>46246.47152777778</v>
      </c>
      <c r="Q254" s="15"/>
      <c r="S254" t="s">
        <v>353</v>
      </c>
      <c r="V254" t="s">
        <v>353</v>
      </c>
      <c r="W254">
        <v>2100</v>
      </c>
      <c r="X254" t="s">
        <v>368</v>
      </c>
      <c r="Y254" t="s">
        <v>239</v>
      </c>
      <c r="Z254" t="s">
        <v>851</v>
      </c>
      <c r="AB254" t="s">
        <v>348</v>
      </c>
      <c r="AC254" t="s">
        <v>7</v>
      </c>
      <c r="AD254" t="s">
        <v>7</v>
      </c>
      <c r="AE254" t="s">
        <v>7</v>
      </c>
      <c r="AF254" t="s">
        <v>1667</v>
      </c>
      <c r="AG254" t="s">
        <v>250</v>
      </c>
      <c r="AH254">
        <v>2</v>
      </c>
      <c r="AI254" t="s">
        <v>250</v>
      </c>
      <c r="AJ254" t="s">
        <v>248</v>
      </c>
      <c r="AK254" t="s">
        <v>886</v>
      </c>
      <c r="AL254" t="s">
        <v>203</v>
      </c>
      <c r="AM254" t="s">
        <v>900</v>
      </c>
      <c r="AN254">
        <v>3</v>
      </c>
      <c r="AO254">
        <v>46240</v>
      </c>
      <c r="AP254">
        <v>0.36875000000000002</v>
      </c>
      <c r="AQ254">
        <v>46246</v>
      </c>
      <c r="AR254">
        <v>0.47152777777777777</v>
      </c>
      <c r="AS254" t="s">
        <v>1958</v>
      </c>
      <c r="AU254" t="s">
        <v>1955</v>
      </c>
      <c r="AV254" t="s">
        <v>866</v>
      </c>
      <c r="AW254">
        <v>16</v>
      </c>
      <c r="AX254">
        <v>144</v>
      </c>
      <c r="AY254" t="s">
        <v>125</v>
      </c>
      <c r="AZ254" t="s">
        <v>122</v>
      </c>
      <c r="BA254" t="s">
        <v>232</v>
      </c>
      <c r="BB254" t="s">
        <v>891</v>
      </c>
    </row>
    <row r="255" spans="1:57" x14ac:dyDescent="0.3">
      <c r="A255" s="204">
        <v>46237</v>
      </c>
      <c r="B255" t="s">
        <v>142</v>
      </c>
      <c r="C255" t="s">
        <v>345</v>
      </c>
      <c r="D255" t="s">
        <v>279</v>
      </c>
      <c r="E255" t="s">
        <v>197</v>
      </c>
      <c r="F255" t="s">
        <v>309</v>
      </c>
      <c r="G255" t="s">
        <v>1158</v>
      </c>
      <c r="H255" t="s">
        <v>898</v>
      </c>
      <c r="I255" t="s">
        <v>402</v>
      </c>
      <c r="J255">
        <v>25</v>
      </c>
      <c r="K255">
        <v>25</v>
      </c>
      <c r="L255" t="s">
        <v>1159</v>
      </c>
      <c r="M255" s="15">
        <v>46239.427071759259</v>
      </c>
      <c r="N255" s="15">
        <v>46246.426388888889</v>
      </c>
      <c r="O255" s="15">
        <v>46240.368750000001</v>
      </c>
      <c r="P255" s="15">
        <v>46246.47152777778</v>
      </c>
      <c r="Q255" s="15"/>
      <c r="S255" t="s">
        <v>353</v>
      </c>
      <c r="V255" t="s">
        <v>353</v>
      </c>
      <c r="W255">
        <v>2100</v>
      </c>
      <c r="X255" t="s">
        <v>368</v>
      </c>
      <c r="Y255" t="s">
        <v>239</v>
      </c>
      <c r="Z255" t="s">
        <v>851</v>
      </c>
      <c r="AB255" t="s">
        <v>348</v>
      </c>
      <c r="AC255" t="s">
        <v>7</v>
      </c>
      <c r="AD255" t="s">
        <v>7</v>
      </c>
      <c r="AE255" t="s">
        <v>7</v>
      </c>
      <c r="AF255" t="s">
        <v>1667</v>
      </c>
      <c r="AG255" t="s">
        <v>250</v>
      </c>
      <c r="AH255">
        <v>2</v>
      </c>
      <c r="AI255" t="s">
        <v>250</v>
      </c>
      <c r="AJ255" t="s">
        <v>248</v>
      </c>
      <c r="AK255" t="s">
        <v>886</v>
      </c>
      <c r="AL255" t="s">
        <v>203</v>
      </c>
      <c r="AM255" t="s">
        <v>900</v>
      </c>
      <c r="AN255">
        <v>3</v>
      </c>
      <c r="AO255">
        <v>46240</v>
      </c>
      <c r="AP255">
        <v>0.36875000000000002</v>
      </c>
      <c r="AQ255">
        <v>46246</v>
      </c>
      <c r="AR255">
        <v>0.47152777777777777</v>
      </c>
      <c r="AS255" t="s">
        <v>1958</v>
      </c>
      <c r="AU255" t="s">
        <v>1955</v>
      </c>
      <c r="AV255" t="s">
        <v>866</v>
      </c>
      <c r="AW255">
        <v>16</v>
      </c>
      <c r="AX255">
        <v>400</v>
      </c>
      <c r="AY255" t="s">
        <v>125</v>
      </c>
      <c r="AZ255" t="s">
        <v>122</v>
      </c>
      <c r="BA255" t="s">
        <v>232</v>
      </c>
      <c r="BB255" t="s">
        <v>891</v>
      </c>
    </row>
    <row r="256" spans="1:57" x14ac:dyDescent="0.3">
      <c r="A256" s="204">
        <v>46237</v>
      </c>
      <c r="B256" t="s">
        <v>142</v>
      </c>
      <c r="C256" t="s">
        <v>345</v>
      </c>
      <c r="D256" t="s">
        <v>279</v>
      </c>
      <c r="E256" t="s">
        <v>197</v>
      </c>
      <c r="F256" t="s">
        <v>309</v>
      </c>
      <c r="G256" t="s">
        <v>1158</v>
      </c>
      <c r="H256" t="s">
        <v>898</v>
      </c>
      <c r="I256" t="s">
        <v>402</v>
      </c>
      <c r="J256">
        <v>1</v>
      </c>
      <c r="K256">
        <v>1</v>
      </c>
      <c r="L256" t="s">
        <v>1159</v>
      </c>
      <c r="M256" s="15">
        <v>46239.427071759259</v>
      </c>
      <c r="N256" s="15">
        <v>46246.426388888889</v>
      </c>
      <c r="O256" s="15">
        <v>46240.368750000001</v>
      </c>
      <c r="P256" s="15">
        <v>46246.47152777778</v>
      </c>
      <c r="Q256" s="15"/>
      <c r="S256" t="s">
        <v>353</v>
      </c>
      <c r="V256" t="s">
        <v>353</v>
      </c>
      <c r="W256">
        <v>2100</v>
      </c>
      <c r="X256" t="s">
        <v>368</v>
      </c>
      <c r="Y256" t="s">
        <v>239</v>
      </c>
      <c r="Z256" t="s">
        <v>851</v>
      </c>
      <c r="AB256" t="s">
        <v>348</v>
      </c>
      <c r="AC256" t="s">
        <v>7</v>
      </c>
      <c r="AD256" t="s">
        <v>7</v>
      </c>
      <c r="AE256" t="s">
        <v>7</v>
      </c>
      <c r="AF256" t="s">
        <v>1667</v>
      </c>
      <c r="AG256" t="s">
        <v>250</v>
      </c>
      <c r="AH256">
        <v>2</v>
      </c>
      <c r="AI256" t="s">
        <v>250</v>
      </c>
      <c r="AJ256" t="s">
        <v>248</v>
      </c>
      <c r="AK256" t="s">
        <v>886</v>
      </c>
      <c r="AL256" t="s">
        <v>203</v>
      </c>
      <c r="AM256" t="s">
        <v>900</v>
      </c>
      <c r="AN256">
        <v>3</v>
      </c>
      <c r="AO256">
        <v>46240</v>
      </c>
      <c r="AP256">
        <v>0.36875000000000002</v>
      </c>
      <c r="AQ256">
        <v>46246</v>
      </c>
      <c r="AR256">
        <v>0.47152777777777777</v>
      </c>
      <c r="AS256" t="s">
        <v>1958</v>
      </c>
      <c r="AU256" t="s">
        <v>1955</v>
      </c>
      <c r="AV256" t="s">
        <v>866</v>
      </c>
      <c r="AW256">
        <v>16</v>
      </c>
      <c r="AX256">
        <v>16</v>
      </c>
      <c r="AY256" t="s">
        <v>125</v>
      </c>
      <c r="AZ256" t="s">
        <v>122</v>
      </c>
      <c r="BA256" t="s">
        <v>232</v>
      </c>
      <c r="BB256" t="s">
        <v>891</v>
      </c>
    </row>
    <row r="257" spans="1:57" x14ac:dyDescent="0.3">
      <c r="A257" s="204">
        <v>46237</v>
      </c>
      <c r="B257" t="s">
        <v>142</v>
      </c>
      <c r="C257" t="s">
        <v>345</v>
      </c>
      <c r="D257" t="s">
        <v>279</v>
      </c>
      <c r="E257" t="s">
        <v>197</v>
      </c>
      <c r="F257" t="s">
        <v>309</v>
      </c>
      <c r="G257" t="s">
        <v>1158</v>
      </c>
      <c r="H257" t="s">
        <v>898</v>
      </c>
      <c r="I257" t="s">
        <v>402</v>
      </c>
      <c r="J257">
        <v>2</v>
      </c>
      <c r="K257">
        <v>2</v>
      </c>
      <c r="L257" t="s">
        <v>1159</v>
      </c>
      <c r="M257" s="15">
        <v>46239.427071759259</v>
      </c>
      <c r="N257" s="15">
        <v>46246.426388888889</v>
      </c>
      <c r="O257" s="15">
        <v>46240.368750000001</v>
      </c>
      <c r="P257" s="15">
        <v>46246.47152777778</v>
      </c>
      <c r="Q257" s="15"/>
      <c r="S257" t="s">
        <v>353</v>
      </c>
      <c r="V257" t="s">
        <v>353</v>
      </c>
      <c r="W257">
        <v>2100</v>
      </c>
      <c r="X257" t="s">
        <v>368</v>
      </c>
      <c r="Y257" t="s">
        <v>239</v>
      </c>
      <c r="Z257" t="s">
        <v>851</v>
      </c>
      <c r="AB257" t="s">
        <v>348</v>
      </c>
      <c r="AC257" t="s">
        <v>7</v>
      </c>
      <c r="AD257" t="s">
        <v>7</v>
      </c>
      <c r="AE257" t="s">
        <v>7</v>
      </c>
      <c r="AF257" t="s">
        <v>1667</v>
      </c>
      <c r="AG257" t="s">
        <v>250</v>
      </c>
      <c r="AH257">
        <v>2</v>
      </c>
      <c r="AI257" t="s">
        <v>250</v>
      </c>
      <c r="AJ257" t="s">
        <v>248</v>
      </c>
      <c r="AK257" t="s">
        <v>886</v>
      </c>
      <c r="AL257" t="s">
        <v>203</v>
      </c>
      <c r="AM257" t="s">
        <v>900</v>
      </c>
      <c r="AN257">
        <v>3</v>
      </c>
      <c r="AO257">
        <v>46240</v>
      </c>
      <c r="AP257">
        <v>0.36875000000000002</v>
      </c>
      <c r="AQ257">
        <v>46246</v>
      </c>
      <c r="AR257">
        <v>0.47152777777777777</v>
      </c>
      <c r="AS257" t="s">
        <v>1958</v>
      </c>
      <c r="AU257" t="s">
        <v>1955</v>
      </c>
      <c r="AV257" t="s">
        <v>866</v>
      </c>
      <c r="AW257">
        <v>16</v>
      </c>
      <c r="AX257">
        <v>32</v>
      </c>
      <c r="AY257" t="s">
        <v>125</v>
      </c>
      <c r="AZ257" t="s">
        <v>122</v>
      </c>
      <c r="BA257" t="s">
        <v>232</v>
      </c>
      <c r="BB257" t="s">
        <v>891</v>
      </c>
    </row>
    <row r="258" spans="1:57" x14ac:dyDescent="0.3">
      <c r="A258" s="204">
        <v>46237</v>
      </c>
      <c r="B258" t="s">
        <v>142</v>
      </c>
      <c r="C258" t="s">
        <v>345</v>
      </c>
      <c r="D258" t="s">
        <v>63</v>
      </c>
      <c r="E258" t="s">
        <v>95</v>
      </c>
      <c r="F258" t="s">
        <v>309</v>
      </c>
      <c r="G258" t="s">
        <v>1158</v>
      </c>
      <c r="H258" t="s">
        <v>898</v>
      </c>
      <c r="I258" t="s">
        <v>402</v>
      </c>
      <c r="J258">
        <v>9</v>
      </c>
      <c r="K258">
        <v>9</v>
      </c>
      <c r="L258" t="s">
        <v>1159</v>
      </c>
      <c r="M258" s="15">
        <v>46239.427071759259</v>
      </c>
      <c r="N258" s="15">
        <v>46246.426388888889</v>
      </c>
      <c r="O258" s="15">
        <v>46240.368750000001</v>
      </c>
      <c r="P258" s="15">
        <v>46246.47152777778</v>
      </c>
      <c r="Q258" s="15"/>
      <c r="S258" t="s">
        <v>353</v>
      </c>
      <c r="V258" t="s">
        <v>353</v>
      </c>
      <c r="W258">
        <v>2100</v>
      </c>
      <c r="X258" t="s">
        <v>368</v>
      </c>
      <c r="Y258" t="s">
        <v>239</v>
      </c>
      <c r="Z258" t="s">
        <v>851</v>
      </c>
      <c r="AB258" t="s">
        <v>348</v>
      </c>
      <c r="AC258" t="s">
        <v>7</v>
      </c>
      <c r="AD258" t="s">
        <v>7</v>
      </c>
      <c r="AE258" t="s">
        <v>7</v>
      </c>
      <c r="AF258" t="s">
        <v>1668</v>
      </c>
      <c r="AG258" t="s">
        <v>249</v>
      </c>
      <c r="AH258">
        <v>2</v>
      </c>
      <c r="AI258" t="s">
        <v>250</v>
      </c>
      <c r="AJ258" t="s">
        <v>251</v>
      </c>
      <c r="AK258" t="s">
        <v>886</v>
      </c>
      <c r="AL258" t="s">
        <v>203</v>
      </c>
      <c r="AM258" t="s">
        <v>1655</v>
      </c>
      <c r="AO258">
        <v>46240</v>
      </c>
      <c r="AP258">
        <v>0.36875000000000002</v>
      </c>
      <c r="AQ258">
        <v>46246</v>
      </c>
      <c r="AR258">
        <v>0.47152777777777777</v>
      </c>
      <c r="AS258" t="s">
        <v>201</v>
      </c>
      <c r="AT258" t="s">
        <v>1954</v>
      </c>
      <c r="AU258" t="s">
        <v>1955</v>
      </c>
      <c r="AV258" t="s">
        <v>937</v>
      </c>
      <c r="AX258">
        <v>9</v>
      </c>
      <c r="AY258" t="s">
        <v>111</v>
      </c>
      <c r="AZ258" t="s">
        <v>96</v>
      </c>
      <c r="BA258" t="s">
        <v>225</v>
      </c>
      <c r="BB258" t="s">
        <v>891</v>
      </c>
      <c r="BE258">
        <v>3.8</v>
      </c>
    </row>
    <row r="259" spans="1:57" x14ac:dyDescent="0.3">
      <c r="A259" s="204">
        <v>46237</v>
      </c>
      <c r="B259" t="s">
        <v>142</v>
      </c>
      <c r="C259" t="s">
        <v>345</v>
      </c>
      <c r="D259" t="s">
        <v>63</v>
      </c>
      <c r="E259" t="s">
        <v>95</v>
      </c>
      <c r="F259" t="s">
        <v>309</v>
      </c>
      <c r="G259" t="s">
        <v>1158</v>
      </c>
      <c r="H259" t="s">
        <v>898</v>
      </c>
      <c r="I259" t="s">
        <v>402</v>
      </c>
      <c r="J259">
        <v>25</v>
      </c>
      <c r="K259">
        <v>25</v>
      </c>
      <c r="L259" t="s">
        <v>1159</v>
      </c>
      <c r="M259" s="15">
        <v>46239.427071759259</v>
      </c>
      <c r="N259" s="15">
        <v>46246.426388888889</v>
      </c>
      <c r="O259" s="15">
        <v>46240.368750000001</v>
      </c>
      <c r="P259" s="15">
        <v>46246.47152777778</v>
      </c>
      <c r="Q259" s="15"/>
      <c r="S259" t="s">
        <v>353</v>
      </c>
      <c r="V259" t="s">
        <v>353</v>
      </c>
      <c r="W259">
        <v>2100</v>
      </c>
      <c r="X259" t="s">
        <v>368</v>
      </c>
      <c r="Y259" t="s">
        <v>239</v>
      </c>
      <c r="Z259" t="s">
        <v>851</v>
      </c>
      <c r="AB259" t="s">
        <v>348</v>
      </c>
      <c r="AC259" t="s">
        <v>7</v>
      </c>
      <c r="AD259" t="s">
        <v>7</v>
      </c>
      <c r="AE259" t="s">
        <v>7</v>
      </c>
      <c r="AF259" t="s">
        <v>1668</v>
      </c>
      <c r="AG259" t="s">
        <v>250</v>
      </c>
      <c r="AH259">
        <v>2</v>
      </c>
      <c r="AI259" t="s">
        <v>250</v>
      </c>
      <c r="AJ259" t="s">
        <v>251</v>
      </c>
      <c r="AK259" t="s">
        <v>886</v>
      </c>
      <c r="AL259" t="s">
        <v>203</v>
      </c>
      <c r="AM259" t="s">
        <v>1655</v>
      </c>
      <c r="AO259">
        <v>46240</v>
      </c>
      <c r="AP259">
        <v>0.36875000000000002</v>
      </c>
      <c r="AQ259">
        <v>46246</v>
      </c>
      <c r="AR259">
        <v>0.47152777777777777</v>
      </c>
      <c r="AS259" t="s">
        <v>1958</v>
      </c>
      <c r="AU259" t="s">
        <v>1955</v>
      </c>
      <c r="AV259" t="s">
        <v>937</v>
      </c>
      <c r="AX259">
        <v>25</v>
      </c>
      <c r="AY259" t="s">
        <v>111</v>
      </c>
      <c r="AZ259" t="s">
        <v>96</v>
      </c>
      <c r="BA259" t="s">
        <v>225</v>
      </c>
      <c r="BB259" t="s">
        <v>891</v>
      </c>
    </row>
    <row r="260" spans="1:57" x14ac:dyDescent="0.3">
      <c r="A260" s="204">
        <v>46237</v>
      </c>
      <c r="B260" t="s">
        <v>142</v>
      </c>
      <c r="C260" t="s">
        <v>345</v>
      </c>
      <c r="D260" t="s">
        <v>63</v>
      </c>
      <c r="E260" t="s">
        <v>95</v>
      </c>
      <c r="F260" t="s">
        <v>309</v>
      </c>
      <c r="G260" t="s">
        <v>1158</v>
      </c>
      <c r="H260" t="s">
        <v>898</v>
      </c>
      <c r="I260" t="s">
        <v>402</v>
      </c>
      <c r="J260">
        <v>1</v>
      </c>
      <c r="K260">
        <v>1</v>
      </c>
      <c r="L260" t="s">
        <v>1159</v>
      </c>
      <c r="M260" s="15">
        <v>46239.427071759259</v>
      </c>
      <c r="N260" s="15">
        <v>46246.426388888889</v>
      </c>
      <c r="O260" s="15">
        <v>46240.368750000001</v>
      </c>
      <c r="P260" s="15">
        <v>46246.47152777778</v>
      </c>
      <c r="Q260" s="15"/>
      <c r="S260" t="s">
        <v>353</v>
      </c>
      <c r="V260" t="s">
        <v>353</v>
      </c>
      <c r="W260">
        <v>2100</v>
      </c>
      <c r="X260" t="s">
        <v>368</v>
      </c>
      <c r="Y260" t="s">
        <v>239</v>
      </c>
      <c r="Z260" t="s">
        <v>851</v>
      </c>
      <c r="AB260" t="s">
        <v>348</v>
      </c>
      <c r="AC260" t="s">
        <v>7</v>
      </c>
      <c r="AD260" t="s">
        <v>7</v>
      </c>
      <c r="AE260" t="s">
        <v>7</v>
      </c>
      <c r="AF260" t="s">
        <v>1668</v>
      </c>
      <c r="AG260" t="s">
        <v>250</v>
      </c>
      <c r="AH260">
        <v>2</v>
      </c>
      <c r="AI260" t="s">
        <v>250</v>
      </c>
      <c r="AJ260" t="s">
        <v>251</v>
      </c>
      <c r="AK260" t="s">
        <v>886</v>
      </c>
      <c r="AL260" t="s">
        <v>203</v>
      </c>
      <c r="AM260" t="s">
        <v>1655</v>
      </c>
      <c r="AO260">
        <v>46240</v>
      </c>
      <c r="AP260">
        <v>0.36875000000000002</v>
      </c>
      <c r="AQ260">
        <v>46246</v>
      </c>
      <c r="AR260">
        <v>0.47152777777777777</v>
      </c>
      <c r="AS260" t="s">
        <v>1958</v>
      </c>
      <c r="AU260" t="s">
        <v>1955</v>
      </c>
      <c r="AV260" t="s">
        <v>937</v>
      </c>
      <c r="AX260">
        <v>1</v>
      </c>
      <c r="AY260" t="s">
        <v>111</v>
      </c>
      <c r="AZ260" t="s">
        <v>96</v>
      </c>
      <c r="BA260" t="s">
        <v>225</v>
      </c>
      <c r="BB260" t="s">
        <v>891</v>
      </c>
    </row>
    <row r="261" spans="1:57" x14ac:dyDescent="0.3">
      <c r="A261" s="204">
        <v>46237</v>
      </c>
      <c r="B261" t="s">
        <v>142</v>
      </c>
      <c r="C261" t="s">
        <v>345</v>
      </c>
      <c r="D261" t="s">
        <v>63</v>
      </c>
      <c r="E261" t="s">
        <v>95</v>
      </c>
      <c r="F261" t="s">
        <v>309</v>
      </c>
      <c r="G261" t="s">
        <v>1158</v>
      </c>
      <c r="H261" t="s">
        <v>898</v>
      </c>
      <c r="I261" t="s">
        <v>402</v>
      </c>
      <c r="J261">
        <v>2</v>
      </c>
      <c r="K261">
        <v>2</v>
      </c>
      <c r="L261" t="s">
        <v>1159</v>
      </c>
      <c r="M261" s="15">
        <v>46239.427071759259</v>
      </c>
      <c r="N261" s="15">
        <v>46246.426388888889</v>
      </c>
      <c r="O261" s="15">
        <v>46240.368750000001</v>
      </c>
      <c r="P261" s="15">
        <v>46246.47152777778</v>
      </c>
      <c r="Q261" s="15"/>
      <c r="S261" t="s">
        <v>353</v>
      </c>
      <c r="V261" t="s">
        <v>353</v>
      </c>
      <c r="W261">
        <v>2100</v>
      </c>
      <c r="X261" t="s">
        <v>368</v>
      </c>
      <c r="Y261" t="s">
        <v>239</v>
      </c>
      <c r="Z261" t="s">
        <v>851</v>
      </c>
      <c r="AB261" t="s">
        <v>348</v>
      </c>
      <c r="AC261" t="s">
        <v>7</v>
      </c>
      <c r="AD261" t="s">
        <v>7</v>
      </c>
      <c r="AE261" t="s">
        <v>7</v>
      </c>
      <c r="AF261" t="s">
        <v>1668</v>
      </c>
      <c r="AG261" t="s">
        <v>250</v>
      </c>
      <c r="AH261">
        <v>2</v>
      </c>
      <c r="AI261" t="s">
        <v>250</v>
      </c>
      <c r="AJ261" t="s">
        <v>251</v>
      </c>
      <c r="AK261" t="s">
        <v>886</v>
      </c>
      <c r="AL261" t="s">
        <v>203</v>
      </c>
      <c r="AM261" t="s">
        <v>1655</v>
      </c>
      <c r="AO261">
        <v>46240</v>
      </c>
      <c r="AP261">
        <v>0.36875000000000002</v>
      </c>
      <c r="AQ261">
        <v>46246</v>
      </c>
      <c r="AR261">
        <v>0.47152777777777777</v>
      </c>
      <c r="AS261" t="s">
        <v>1958</v>
      </c>
      <c r="AU261" t="s">
        <v>1955</v>
      </c>
      <c r="AV261" t="s">
        <v>937</v>
      </c>
      <c r="AX261">
        <v>2</v>
      </c>
      <c r="AY261" t="s">
        <v>111</v>
      </c>
      <c r="AZ261" t="s">
        <v>96</v>
      </c>
      <c r="BA261" t="s">
        <v>225</v>
      </c>
      <c r="BB261" t="s">
        <v>891</v>
      </c>
    </row>
    <row r="262" spans="1:57" x14ac:dyDescent="0.3">
      <c r="A262" s="204">
        <v>46237</v>
      </c>
      <c r="B262" t="s">
        <v>142</v>
      </c>
      <c r="C262" t="s">
        <v>345</v>
      </c>
      <c r="D262" t="s">
        <v>63</v>
      </c>
      <c r="E262" t="s">
        <v>95</v>
      </c>
      <c r="F262" t="s">
        <v>309</v>
      </c>
      <c r="G262" t="s">
        <v>1158</v>
      </c>
      <c r="H262" t="s">
        <v>898</v>
      </c>
      <c r="I262" t="s">
        <v>402</v>
      </c>
      <c r="J262">
        <v>1</v>
      </c>
      <c r="K262">
        <v>1</v>
      </c>
      <c r="L262" t="s">
        <v>1159</v>
      </c>
      <c r="M262" s="15">
        <v>46239.427071759259</v>
      </c>
      <c r="N262" s="15">
        <v>46246.426388888889</v>
      </c>
      <c r="O262" s="15">
        <v>46240.368750000001</v>
      </c>
      <c r="P262" s="15">
        <v>46246.47152777778</v>
      </c>
      <c r="Q262" s="15"/>
      <c r="S262" t="s">
        <v>353</v>
      </c>
      <c r="V262" t="s">
        <v>353</v>
      </c>
      <c r="W262">
        <v>2100</v>
      </c>
      <c r="X262" t="s">
        <v>368</v>
      </c>
      <c r="Y262" t="s">
        <v>239</v>
      </c>
      <c r="Z262" t="s">
        <v>851</v>
      </c>
      <c r="AB262" t="s">
        <v>348</v>
      </c>
      <c r="AC262" t="s">
        <v>7</v>
      </c>
      <c r="AD262" t="s">
        <v>7</v>
      </c>
      <c r="AE262" t="s">
        <v>7</v>
      </c>
      <c r="AF262" t="s">
        <v>1668</v>
      </c>
      <c r="AG262" t="s">
        <v>250</v>
      </c>
      <c r="AH262">
        <v>2</v>
      </c>
      <c r="AI262" t="s">
        <v>250</v>
      </c>
      <c r="AJ262" t="s">
        <v>251</v>
      </c>
      <c r="AK262" t="s">
        <v>886</v>
      </c>
      <c r="AL262" t="s">
        <v>203</v>
      </c>
      <c r="AM262" t="s">
        <v>1655</v>
      </c>
      <c r="AO262">
        <v>46240</v>
      </c>
      <c r="AP262">
        <v>0.36875000000000002</v>
      </c>
      <c r="AQ262">
        <v>46246</v>
      </c>
      <c r="AR262">
        <v>0.47152777777777777</v>
      </c>
      <c r="AS262" t="s">
        <v>1958</v>
      </c>
      <c r="AU262" t="s">
        <v>1955</v>
      </c>
      <c r="AV262" t="s">
        <v>937</v>
      </c>
      <c r="AX262">
        <v>1</v>
      </c>
      <c r="AY262" t="s">
        <v>111</v>
      </c>
      <c r="AZ262" t="s">
        <v>96</v>
      </c>
      <c r="BA262" t="s">
        <v>225</v>
      </c>
      <c r="BB262" t="s">
        <v>891</v>
      </c>
    </row>
    <row r="263" spans="1:57" x14ac:dyDescent="0.3">
      <c r="A263" s="204">
        <v>46237</v>
      </c>
      <c r="B263" t="s">
        <v>142</v>
      </c>
      <c r="C263" t="s">
        <v>345</v>
      </c>
      <c r="D263" t="s">
        <v>57</v>
      </c>
      <c r="E263" t="s">
        <v>117</v>
      </c>
      <c r="F263" t="s">
        <v>309</v>
      </c>
      <c r="G263" t="s">
        <v>1158</v>
      </c>
      <c r="H263" t="s">
        <v>898</v>
      </c>
      <c r="I263" t="s">
        <v>402</v>
      </c>
      <c r="J263">
        <v>9</v>
      </c>
      <c r="K263">
        <v>9</v>
      </c>
      <c r="L263" t="s">
        <v>1159</v>
      </c>
      <c r="M263" s="15">
        <v>46239.427071759259</v>
      </c>
      <c r="N263" s="15">
        <v>46246.426388888889</v>
      </c>
      <c r="O263" s="15">
        <v>46240.368750000001</v>
      </c>
      <c r="P263" s="15">
        <v>46246.47152777778</v>
      </c>
      <c r="Q263" s="15"/>
      <c r="S263" t="s">
        <v>353</v>
      </c>
      <c r="V263" t="s">
        <v>353</v>
      </c>
      <c r="W263">
        <v>2100</v>
      </c>
      <c r="X263" t="s">
        <v>368</v>
      </c>
      <c r="Y263" t="s">
        <v>239</v>
      </c>
      <c r="Z263" t="s">
        <v>851</v>
      </c>
      <c r="AB263" t="s">
        <v>348</v>
      </c>
      <c r="AC263" t="s">
        <v>7</v>
      </c>
      <c r="AD263" t="s">
        <v>7</v>
      </c>
      <c r="AE263" t="s">
        <v>7</v>
      </c>
      <c r="AF263" t="s">
        <v>1669</v>
      </c>
      <c r="AG263" t="s">
        <v>249</v>
      </c>
      <c r="AH263">
        <v>2</v>
      </c>
      <c r="AI263" t="s">
        <v>250</v>
      </c>
      <c r="AJ263" t="s">
        <v>251</v>
      </c>
      <c r="AK263" t="s">
        <v>886</v>
      </c>
      <c r="AL263" t="s">
        <v>203</v>
      </c>
      <c r="AM263" t="s">
        <v>899</v>
      </c>
      <c r="AO263">
        <v>46240</v>
      </c>
      <c r="AP263">
        <v>0.36875000000000002</v>
      </c>
      <c r="AQ263">
        <v>46246</v>
      </c>
      <c r="AR263">
        <v>0.47152777777777777</v>
      </c>
      <c r="AS263" t="s">
        <v>201</v>
      </c>
      <c r="AT263" t="s">
        <v>1954</v>
      </c>
      <c r="AU263" t="s">
        <v>1955</v>
      </c>
      <c r="AV263" t="s">
        <v>862</v>
      </c>
      <c r="AX263">
        <v>1</v>
      </c>
      <c r="AY263" t="s">
        <v>126</v>
      </c>
      <c r="AZ263" t="s">
        <v>127</v>
      </c>
      <c r="BA263" t="s">
        <v>233</v>
      </c>
      <c r="BB263" t="s">
        <v>891</v>
      </c>
      <c r="BE263">
        <v>1</v>
      </c>
    </row>
    <row r="264" spans="1:57" x14ac:dyDescent="0.3">
      <c r="A264" s="204">
        <v>46237</v>
      </c>
      <c r="B264" t="s">
        <v>142</v>
      </c>
      <c r="C264" t="s">
        <v>345</v>
      </c>
      <c r="D264" t="s">
        <v>57</v>
      </c>
      <c r="E264" t="s">
        <v>117</v>
      </c>
      <c r="F264" t="s">
        <v>309</v>
      </c>
      <c r="G264" t="s">
        <v>1158</v>
      </c>
      <c r="H264" t="s">
        <v>898</v>
      </c>
      <c r="I264" t="s">
        <v>402</v>
      </c>
      <c r="J264">
        <v>25</v>
      </c>
      <c r="K264">
        <v>25</v>
      </c>
      <c r="L264" t="s">
        <v>1159</v>
      </c>
      <c r="M264" s="15">
        <v>46239.427071759259</v>
      </c>
      <c r="N264" s="15">
        <v>46246.426388888889</v>
      </c>
      <c r="O264" s="15">
        <v>46240.368750000001</v>
      </c>
      <c r="P264" s="15">
        <v>46246.47152777778</v>
      </c>
      <c r="Q264" s="15"/>
      <c r="S264" t="s">
        <v>353</v>
      </c>
      <c r="V264" t="s">
        <v>353</v>
      </c>
      <c r="W264">
        <v>2100</v>
      </c>
      <c r="X264" t="s">
        <v>368</v>
      </c>
      <c r="Y264" t="s">
        <v>239</v>
      </c>
      <c r="Z264" t="s">
        <v>851</v>
      </c>
      <c r="AB264" t="s">
        <v>348</v>
      </c>
      <c r="AC264" t="s">
        <v>7</v>
      </c>
      <c r="AD264" t="s">
        <v>7</v>
      </c>
      <c r="AE264" t="s">
        <v>7</v>
      </c>
      <c r="AF264" t="s">
        <v>1669</v>
      </c>
      <c r="AG264" t="s">
        <v>250</v>
      </c>
      <c r="AH264">
        <v>2</v>
      </c>
      <c r="AI264" t="s">
        <v>250</v>
      </c>
      <c r="AJ264" t="s">
        <v>251</v>
      </c>
      <c r="AK264" t="s">
        <v>886</v>
      </c>
      <c r="AL264" t="s">
        <v>203</v>
      </c>
      <c r="AM264" t="s">
        <v>899</v>
      </c>
      <c r="AO264">
        <v>46240</v>
      </c>
      <c r="AP264">
        <v>0.36875000000000002</v>
      </c>
      <c r="AQ264">
        <v>46246</v>
      </c>
      <c r="AR264">
        <v>0.47152777777777777</v>
      </c>
      <c r="AS264" t="s">
        <v>1958</v>
      </c>
      <c r="AU264" t="s">
        <v>1955</v>
      </c>
      <c r="AV264" t="s">
        <v>862</v>
      </c>
      <c r="AX264">
        <v>2.5</v>
      </c>
      <c r="AY264" t="s">
        <v>126</v>
      </c>
      <c r="AZ264" t="s">
        <v>127</v>
      </c>
      <c r="BA264" t="s">
        <v>233</v>
      </c>
      <c r="BB264" t="s">
        <v>891</v>
      </c>
    </row>
    <row r="265" spans="1:57" x14ac:dyDescent="0.3">
      <c r="A265" s="204">
        <v>46237</v>
      </c>
      <c r="B265" t="s">
        <v>142</v>
      </c>
      <c r="C265" t="s">
        <v>345</v>
      </c>
      <c r="D265" t="s">
        <v>57</v>
      </c>
      <c r="E265" t="s">
        <v>117</v>
      </c>
      <c r="F265" t="s">
        <v>309</v>
      </c>
      <c r="G265" t="s">
        <v>1158</v>
      </c>
      <c r="H265" t="s">
        <v>898</v>
      </c>
      <c r="I265" t="s">
        <v>402</v>
      </c>
      <c r="J265">
        <v>1</v>
      </c>
      <c r="K265">
        <v>1</v>
      </c>
      <c r="L265" t="s">
        <v>1159</v>
      </c>
      <c r="M265" s="15">
        <v>46239.427071759259</v>
      </c>
      <c r="N265" s="15">
        <v>46246.426388888889</v>
      </c>
      <c r="O265" s="15">
        <v>46240.368750000001</v>
      </c>
      <c r="P265" s="15">
        <v>46246.47152777778</v>
      </c>
      <c r="Q265" s="15"/>
      <c r="S265" t="s">
        <v>353</v>
      </c>
      <c r="V265" t="s">
        <v>353</v>
      </c>
      <c r="W265">
        <v>2100</v>
      </c>
      <c r="X265" t="s">
        <v>368</v>
      </c>
      <c r="Y265" t="s">
        <v>239</v>
      </c>
      <c r="Z265" t="s">
        <v>851</v>
      </c>
      <c r="AB265" t="s">
        <v>348</v>
      </c>
      <c r="AC265" t="s">
        <v>7</v>
      </c>
      <c r="AD265" t="s">
        <v>7</v>
      </c>
      <c r="AE265" t="s">
        <v>7</v>
      </c>
      <c r="AF265" t="s">
        <v>1669</v>
      </c>
      <c r="AG265" t="s">
        <v>250</v>
      </c>
      <c r="AH265">
        <v>2</v>
      </c>
      <c r="AI265" t="s">
        <v>250</v>
      </c>
      <c r="AJ265" t="s">
        <v>251</v>
      </c>
      <c r="AK265" t="s">
        <v>886</v>
      </c>
      <c r="AL265" t="s">
        <v>203</v>
      </c>
      <c r="AM265" t="s">
        <v>899</v>
      </c>
      <c r="AO265">
        <v>46240</v>
      </c>
      <c r="AP265">
        <v>0.36875000000000002</v>
      </c>
      <c r="AQ265">
        <v>46246</v>
      </c>
      <c r="AR265">
        <v>0.47152777777777777</v>
      </c>
      <c r="AS265" t="s">
        <v>1958</v>
      </c>
      <c r="AU265" t="s">
        <v>1955</v>
      </c>
      <c r="AV265" t="s">
        <v>862</v>
      </c>
      <c r="AX265">
        <v>1</v>
      </c>
      <c r="AY265" t="s">
        <v>126</v>
      </c>
      <c r="AZ265" t="s">
        <v>127</v>
      </c>
      <c r="BA265" t="s">
        <v>233</v>
      </c>
      <c r="BB265" t="s">
        <v>891</v>
      </c>
    </row>
    <row r="266" spans="1:57" x14ac:dyDescent="0.3">
      <c r="A266" s="204">
        <v>46237</v>
      </c>
      <c r="B266" t="s">
        <v>142</v>
      </c>
      <c r="C266" t="s">
        <v>345</v>
      </c>
      <c r="D266" t="s">
        <v>57</v>
      </c>
      <c r="E266" t="s">
        <v>117</v>
      </c>
      <c r="F266" t="s">
        <v>309</v>
      </c>
      <c r="G266" t="s">
        <v>1158</v>
      </c>
      <c r="H266" t="s">
        <v>898</v>
      </c>
      <c r="I266" t="s">
        <v>402</v>
      </c>
      <c r="J266">
        <v>1</v>
      </c>
      <c r="K266">
        <v>1</v>
      </c>
      <c r="L266" t="s">
        <v>1159</v>
      </c>
      <c r="M266" s="15">
        <v>46239.427071759259</v>
      </c>
      <c r="N266" s="15">
        <v>46246.426388888889</v>
      </c>
      <c r="O266" s="15">
        <v>46240.368750000001</v>
      </c>
      <c r="P266" s="15">
        <v>46246.47152777778</v>
      </c>
      <c r="Q266" s="15"/>
      <c r="S266" t="s">
        <v>353</v>
      </c>
      <c r="V266" t="s">
        <v>353</v>
      </c>
      <c r="W266">
        <v>2100</v>
      </c>
      <c r="X266" t="s">
        <v>368</v>
      </c>
      <c r="Y266" t="s">
        <v>239</v>
      </c>
      <c r="Z266" t="s">
        <v>851</v>
      </c>
      <c r="AB266" t="s">
        <v>348</v>
      </c>
      <c r="AC266" t="s">
        <v>7</v>
      </c>
      <c r="AD266" t="s">
        <v>7</v>
      </c>
      <c r="AE266" t="s">
        <v>7</v>
      </c>
      <c r="AF266" t="s">
        <v>1669</v>
      </c>
      <c r="AG266" t="s">
        <v>250</v>
      </c>
      <c r="AH266">
        <v>2</v>
      </c>
      <c r="AI266" t="s">
        <v>250</v>
      </c>
      <c r="AJ266" t="s">
        <v>251</v>
      </c>
      <c r="AK266" t="s">
        <v>886</v>
      </c>
      <c r="AL266" t="s">
        <v>203</v>
      </c>
      <c r="AM266" t="s">
        <v>899</v>
      </c>
      <c r="AO266">
        <v>46240</v>
      </c>
      <c r="AP266">
        <v>0.36875000000000002</v>
      </c>
      <c r="AQ266">
        <v>46246</v>
      </c>
      <c r="AR266">
        <v>0.47152777777777777</v>
      </c>
      <c r="AS266" t="s">
        <v>1958</v>
      </c>
      <c r="AU266" t="s">
        <v>1955</v>
      </c>
      <c r="AV266" t="s">
        <v>862</v>
      </c>
      <c r="AX266">
        <v>1</v>
      </c>
      <c r="AY266" t="s">
        <v>126</v>
      </c>
      <c r="AZ266" t="s">
        <v>127</v>
      </c>
      <c r="BA266" t="s">
        <v>233</v>
      </c>
      <c r="BB266" t="s">
        <v>891</v>
      </c>
    </row>
    <row r="267" spans="1:57" x14ac:dyDescent="0.3">
      <c r="A267" s="204">
        <v>46237</v>
      </c>
      <c r="B267" t="s">
        <v>142</v>
      </c>
      <c r="C267" t="s">
        <v>345</v>
      </c>
      <c r="D267" t="s">
        <v>57</v>
      </c>
      <c r="E267" t="s">
        <v>117</v>
      </c>
      <c r="F267" t="s">
        <v>309</v>
      </c>
      <c r="G267" t="s">
        <v>1158</v>
      </c>
      <c r="H267" t="s">
        <v>898</v>
      </c>
      <c r="I267" t="s">
        <v>402</v>
      </c>
      <c r="J267">
        <v>2</v>
      </c>
      <c r="K267">
        <v>2</v>
      </c>
      <c r="L267" t="s">
        <v>1159</v>
      </c>
      <c r="M267" s="15">
        <v>46239.427071759259</v>
      </c>
      <c r="N267" s="15">
        <v>46246.426388888889</v>
      </c>
      <c r="O267" s="15">
        <v>46240.368750000001</v>
      </c>
      <c r="P267" s="15">
        <v>46246.47152777778</v>
      </c>
      <c r="Q267" s="15"/>
      <c r="S267" t="s">
        <v>353</v>
      </c>
      <c r="V267" t="s">
        <v>353</v>
      </c>
      <c r="W267">
        <v>2100</v>
      </c>
      <c r="X267" t="s">
        <v>368</v>
      </c>
      <c r="Y267" t="s">
        <v>239</v>
      </c>
      <c r="Z267" t="s">
        <v>851</v>
      </c>
      <c r="AB267" t="s">
        <v>348</v>
      </c>
      <c r="AC267" t="s">
        <v>7</v>
      </c>
      <c r="AD267" t="s">
        <v>7</v>
      </c>
      <c r="AE267" t="s">
        <v>7</v>
      </c>
      <c r="AF267" t="s">
        <v>1669</v>
      </c>
      <c r="AG267" t="s">
        <v>250</v>
      </c>
      <c r="AH267">
        <v>2</v>
      </c>
      <c r="AI267" t="s">
        <v>250</v>
      </c>
      <c r="AJ267" t="s">
        <v>251</v>
      </c>
      <c r="AK267" t="s">
        <v>886</v>
      </c>
      <c r="AL267" t="s">
        <v>203</v>
      </c>
      <c r="AM267" t="s">
        <v>899</v>
      </c>
      <c r="AO267">
        <v>46240</v>
      </c>
      <c r="AP267">
        <v>0.36875000000000002</v>
      </c>
      <c r="AQ267">
        <v>46246</v>
      </c>
      <c r="AR267">
        <v>0.47152777777777777</v>
      </c>
      <c r="AS267" t="s">
        <v>1958</v>
      </c>
      <c r="AU267" t="s">
        <v>1955</v>
      </c>
      <c r="AV267" t="s">
        <v>862</v>
      </c>
      <c r="AX267">
        <v>1</v>
      </c>
      <c r="AY267" t="s">
        <v>126</v>
      </c>
      <c r="AZ267" t="s">
        <v>127</v>
      </c>
      <c r="BA267" t="s">
        <v>233</v>
      </c>
      <c r="BB267" t="s">
        <v>891</v>
      </c>
    </row>
    <row r="268" spans="1:57" x14ac:dyDescent="0.3">
      <c r="A268" s="204">
        <v>46237</v>
      </c>
      <c r="B268" t="s">
        <v>142</v>
      </c>
      <c r="C268" t="s">
        <v>345</v>
      </c>
      <c r="D268" t="s">
        <v>45</v>
      </c>
      <c r="E268" t="s">
        <v>68</v>
      </c>
      <c r="F268" t="s">
        <v>309</v>
      </c>
      <c r="G268" t="s">
        <v>1160</v>
      </c>
      <c r="H268" t="s">
        <v>895</v>
      </c>
      <c r="I268" t="s">
        <v>398</v>
      </c>
      <c r="J268">
        <v>2</v>
      </c>
      <c r="K268">
        <v>2</v>
      </c>
      <c r="L268" t="s">
        <v>1161</v>
      </c>
      <c r="M268" s="15">
        <v>46244.473298611112</v>
      </c>
      <c r="N268" s="15">
        <v>46251.472916666666</v>
      </c>
      <c r="O268" s="15">
        <v>46245.607638888891</v>
      </c>
      <c r="P268" s="15">
        <v>46246.458333333336</v>
      </c>
      <c r="Q268" s="15"/>
      <c r="S268" t="s">
        <v>353</v>
      </c>
      <c r="U268" t="s">
        <v>1670</v>
      </c>
      <c r="V268" t="s">
        <v>353</v>
      </c>
      <c r="W268">
        <v>2100</v>
      </c>
      <c r="X268" t="s">
        <v>368</v>
      </c>
      <c r="Y268" t="s">
        <v>239</v>
      </c>
      <c r="Z268" t="s">
        <v>826</v>
      </c>
      <c r="AB268" t="s">
        <v>348</v>
      </c>
      <c r="AC268" t="s">
        <v>348</v>
      </c>
      <c r="AD268" t="s">
        <v>369</v>
      </c>
      <c r="AE268" t="s">
        <v>239</v>
      </c>
      <c r="AF268" t="s">
        <v>1671</v>
      </c>
      <c r="AG268" t="s">
        <v>249</v>
      </c>
      <c r="AH268">
        <v>1</v>
      </c>
      <c r="AI268" t="s">
        <v>250</v>
      </c>
      <c r="AJ268" t="s">
        <v>248</v>
      </c>
      <c r="AK268" t="s">
        <v>886</v>
      </c>
      <c r="AL268" t="s">
        <v>203</v>
      </c>
      <c r="AM268" t="s">
        <v>888</v>
      </c>
      <c r="AN268">
        <v>2</v>
      </c>
      <c r="AO268">
        <v>46245</v>
      </c>
      <c r="AP268">
        <v>0.60763888888888884</v>
      </c>
      <c r="AQ268">
        <v>46246</v>
      </c>
      <c r="AR268">
        <v>0.45833333333333331</v>
      </c>
      <c r="AS268" t="s">
        <v>201</v>
      </c>
      <c r="AT268" t="s">
        <v>1954</v>
      </c>
      <c r="AU268" t="s">
        <v>1955</v>
      </c>
      <c r="AV268" t="s">
        <v>829</v>
      </c>
      <c r="AX268">
        <v>1</v>
      </c>
      <c r="AY268" t="s">
        <v>89</v>
      </c>
      <c r="AZ268" t="s">
        <v>67</v>
      </c>
      <c r="BA268" t="s">
        <v>217</v>
      </c>
      <c r="BB268" t="s">
        <v>893</v>
      </c>
      <c r="BC268">
        <v>203</v>
      </c>
      <c r="BD268">
        <v>103</v>
      </c>
      <c r="BE268">
        <v>1</v>
      </c>
    </row>
    <row r="269" spans="1:57" x14ac:dyDescent="0.3">
      <c r="A269" s="204">
        <v>46235</v>
      </c>
      <c r="B269" t="s">
        <v>142</v>
      </c>
      <c r="C269" t="s">
        <v>345</v>
      </c>
      <c r="D269" t="s">
        <v>45</v>
      </c>
      <c r="E269" t="s">
        <v>68</v>
      </c>
      <c r="F269" t="s">
        <v>309</v>
      </c>
      <c r="G269" t="s">
        <v>1162</v>
      </c>
      <c r="H269" t="s">
        <v>895</v>
      </c>
      <c r="I269" t="s">
        <v>398</v>
      </c>
      <c r="J269">
        <v>3</v>
      </c>
      <c r="K269">
        <v>3</v>
      </c>
      <c r="L269" t="s">
        <v>1163</v>
      </c>
      <c r="M269" s="15">
        <v>46246.66033564815</v>
      </c>
      <c r="N269" s="15">
        <v>46253.659722222219</v>
      </c>
      <c r="O269" s="15">
        <v>46246.69027777778</v>
      </c>
      <c r="P269" s="15">
        <v>46252.458333333336</v>
      </c>
      <c r="Q269" s="15"/>
      <c r="S269" t="s">
        <v>353</v>
      </c>
      <c r="U269" t="s">
        <v>1672</v>
      </c>
      <c r="V269" t="s">
        <v>353</v>
      </c>
      <c r="W269">
        <v>2100</v>
      </c>
      <c r="X269" t="s">
        <v>368</v>
      </c>
      <c r="Y269" t="s">
        <v>239</v>
      </c>
      <c r="Z269" t="s">
        <v>826</v>
      </c>
      <c r="AB269" t="s">
        <v>348</v>
      </c>
      <c r="AC269" t="s">
        <v>348</v>
      </c>
      <c r="AD269" t="s">
        <v>369</v>
      </c>
      <c r="AE269" t="s">
        <v>239</v>
      </c>
      <c r="AF269" t="s">
        <v>1673</v>
      </c>
      <c r="AG269" t="s">
        <v>249</v>
      </c>
      <c r="AH269">
        <v>1</v>
      </c>
      <c r="AI269" t="s">
        <v>250</v>
      </c>
      <c r="AJ269" t="s">
        <v>248</v>
      </c>
      <c r="AK269" t="s">
        <v>886</v>
      </c>
      <c r="AL269" t="s">
        <v>203</v>
      </c>
      <c r="AM269" t="s">
        <v>888</v>
      </c>
      <c r="AN269">
        <v>2</v>
      </c>
      <c r="AO269">
        <v>46246</v>
      </c>
      <c r="AP269">
        <v>0.69027777777777777</v>
      </c>
      <c r="AQ269">
        <v>46252</v>
      </c>
      <c r="AR269">
        <v>0.45833333333333331</v>
      </c>
      <c r="AS269" t="s">
        <v>201</v>
      </c>
      <c r="AT269" t="s">
        <v>1956</v>
      </c>
      <c r="AU269" t="s">
        <v>1955</v>
      </c>
      <c r="AV269" t="s">
        <v>829</v>
      </c>
      <c r="AX269">
        <v>1</v>
      </c>
      <c r="AY269" t="s">
        <v>89</v>
      </c>
      <c r="AZ269" t="s">
        <v>67</v>
      </c>
      <c r="BA269" t="s">
        <v>217</v>
      </c>
      <c r="BB269" t="s">
        <v>893</v>
      </c>
      <c r="BC269">
        <v>203</v>
      </c>
      <c r="BD269">
        <v>103</v>
      </c>
      <c r="BE269">
        <v>1</v>
      </c>
    </row>
    <row r="270" spans="1:57" x14ac:dyDescent="0.3">
      <c r="A270" s="204">
        <v>46235</v>
      </c>
      <c r="B270" t="s">
        <v>142</v>
      </c>
      <c r="C270" t="s">
        <v>345</v>
      </c>
      <c r="D270" t="s">
        <v>45</v>
      </c>
      <c r="E270" t="s">
        <v>68</v>
      </c>
      <c r="F270" t="s">
        <v>309</v>
      </c>
      <c r="G270" t="s">
        <v>1164</v>
      </c>
      <c r="H270" t="s">
        <v>895</v>
      </c>
      <c r="I270" t="s">
        <v>1165</v>
      </c>
      <c r="J270">
        <v>3</v>
      </c>
      <c r="K270">
        <v>3</v>
      </c>
      <c r="L270" t="s">
        <v>1163</v>
      </c>
      <c r="M270" s="15">
        <v>46246.659872685188</v>
      </c>
      <c r="N270" s="15">
        <v>46253.659722222219</v>
      </c>
      <c r="O270" s="15">
        <v>46246.69027777778</v>
      </c>
      <c r="P270" s="15">
        <v>46252.458333333336</v>
      </c>
      <c r="Q270" s="15"/>
      <c r="S270" t="s">
        <v>353</v>
      </c>
      <c r="U270" t="s">
        <v>1674</v>
      </c>
      <c r="V270" t="s">
        <v>353</v>
      </c>
      <c r="W270">
        <v>2100</v>
      </c>
      <c r="X270" t="s">
        <v>368</v>
      </c>
      <c r="Y270" t="s">
        <v>239</v>
      </c>
      <c r="Z270" t="s">
        <v>826</v>
      </c>
      <c r="AB270" t="s">
        <v>348</v>
      </c>
      <c r="AC270" t="s">
        <v>348</v>
      </c>
      <c r="AD270" t="s">
        <v>369</v>
      </c>
      <c r="AE270" t="s">
        <v>239</v>
      </c>
      <c r="AF270" t="s">
        <v>1675</v>
      </c>
      <c r="AG270" t="s">
        <v>249</v>
      </c>
      <c r="AH270">
        <v>1</v>
      </c>
      <c r="AI270" t="s">
        <v>250</v>
      </c>
      <c r="AJ270" t="s">
        <v>248</v>
      </c>
      <c r="AK270" t="s">
        <v>886</v>
      </c>
      <c r="AL270" t="s">
        <v>203</v>
      </c>
      <c r="AM270" t="s">
        <v>888</v>
      </c>
      <c r="AN270">
        <v>2</v>
      </c>
      <c r="AO270">
        <v>46246</v>
      </c>
      <c r="AP270">
        <v>0.69027777777777777</v>
      </c>
      <c r="AQ270">
        <v>46252</v>
      </c>
      <c r="AR270">
        <v>0.45833333333333331</v>
      </c>
      <c r="AS270" t="s">
        <v>201</v>
      </c>
      <c r="AT270" t="s">
        <v>1956</v>
      </c>
      <c r="AU270" t="s">
        <v>1955</v>
      </c>
      <c r="AV270" t="s">
        <v>829</v>
      </c>
      <c r="AX270">
        <v>1</v>
      </c>
      <c r="AY270" t="s">
        <v>89</v>
      </c>
      <c r="AZ270" t="s">
        <v>67</v>
      </c>
      <c r="BA270" t="s">
        <v>217</v>
      </c>
      <c r="BB270" t="s">
        <v>893</v>
      </c>
      <c r="BC270">
        <v>203</v>
      </c>
    </row>
    <row r="271" spans="1:57" x14ac:dyDescent="0.3">
      <c r="A271" s="204">
        <v>46235</v>
      </c>
      <c r="B271" t="s">
        <v>142</v>
      </c>
      <c r="C271" t="s">
        <v>345</v>
      </c>
      <c r="D271" t="s">
        <v>45</v>
      </c>
      <c r="E271" t="s">
        <v>68</v>
      </c>
      <c r="F271" t="s">
        <v>309</v>
      </c>
      <c r="G271" t="s">
        <v>1166</v>
      </c>
      <c r="H271" t="s">
        <v>896</v>
      </c>
      <c r="I271" t="s">
        <v>398</v>
      </c>
      <c r="J271">
        <v>3</v>
      </c>
      <c r="K271">
        <v>3</v>
      </c>
      <c r="L271" t="s">
        <v>1167</v>
      </c>
      <c r="M271" s="15">
        <v>46245.574305555558</v>
      </c>
      <c r="N271" s="15">
        <v>46252.574305555558</v>
      </c>
      <c r="O271" s="15">
        <v>46245.65902777778</v>
      </c>
      <c r="P271" s="15">
        <v>46246.458333333336</v>
      </c>
      <c r="Q271" s="15"/>
      <c r="S271" t="s">
        <v>353</v>
      </c>
      <c r="U271" t="s">
        <v>1676</v>
      </c>
      <c r="V271" t="s">
        <v>353</v>
      </c>
      <c r="W271">
        <v>2100</v>
      </c>
      <c r="X271" t="s">
        <v>368</v>
      </c>
      <c r="Y271" t="s">
        <v>239</v>
      </c>
      <c r="Z271" t="s">
        <v>826</v>
      </c>
      <c r="AB271" t="s">
        <v>348</v>
      </c>
      <c r="AC271" t="s">
        <v>348</v>
      </c>
      <c r="AD271" t="s">
        <v>369</v>
      </c>
      <c r="AE271" t="s">
        <v>239</v>
      </c>
      <c r="AF271" t="s">
        <v>1677</v>
      </c>
      <c r="AG271" t="s">
        <v>249</v>
      </c>
      <c r="AH271">
        <v>1</v>
      </c>
      <c r="AI271" t="s">
        <v>250</v>
      </c>
      <c r="AJ271" t="s">
        <v>248</v>
      </c>
      <c r="AK271" t="s">
        <v>886</v>
      </c>
      <c r="AL271" t="s">
        <v>203</v>
      </c>
      <c r="AM271" t="s">
        <v>888</v>
      </c>
      <c r="AN271">
        <v>2</v>
      </c>
      <c r="AO271">
        <v>46245</v>
      </c>
      <c r="AP271">
        <v>0.65902777777777777</v>
      </c>
      <c r="AQ271">
        <v>46246</v>
      </c>
      <c r="AR271">
        <v>0.45833333333333331</v>
      </c>
      <c r="AS271" t="s">
        <v>201</v>
      </c>
      <c r="AT271" t="s">
        <v>1954</v>
      </c>
      <c r="AU271" t="s">
        <v>1955</v>
      </c>
      <c r="AV271" t="s">
        <v>829</v>
      </c>
      <c r="AX271">
        <v>1</v>
      </c>
      <c r="AY271" t="s">
        <v>89</v>
      </c>
      <c r="AZ271" t="s">
        <v>67</v>
      </c>
      <c r="BA271" t="s">
        <v>217</v>
      </c>
      <c r="BB271" t="s">
        <v>893</v>
      </c>
      <c r="BC271">
        <v>203</v>
      </c>
    </row>
    <row r="272" spans="1:57" x14ac:dyDescent="0.3">
      <c r="A272" s="204">
        <v>46235</v>
      </c>
      <c r="B272" t="s">
        <v>142</v>
      </c>
      <c r="C272" t="s">
        <v>345</v>
      </c>
      <c r="D272" t="s">
        <v>45</v>
      </c>
      <c r="E272" t="s">
        <v>68</v>
      </c>
      <c r="F272" t="s">
        <v>309</v>
      </c>
      <c r="G272" t="s">
        <v>1168</v>
      </c>
      <c r="H272" t="s">
        <v>896</v>
      </c>
      <c r="I272" t="s">
        <v>398</v>
      </c>
      <c r="J272">
        <v>5</v>
      </c>
      <c r="K272">
        <v>5</v>
      </c>
      <c r="L272" t="s">
        <v>1169</v>
      </c>
      <c r="M272" s="15">
        <v>46244.657546296294</v>
      </c>
      <c r="N272" s="15">
        <v>46251.656944444447</v>
      </c>
      <c r="O272" s="15">
        <v>46245.393750000003</v>
      </c>
      <c r="P272" s="15">
        <v>46246.458333333336</v>
      </c>
      <c r="Q272" s="15"/>
      <c r="S272" t="s">
        <v>353</v>
      </c>
      <c r="U272" t="s">
        <v>1678</v>
      </c>
      <c r="V272" t="s">
        <v>353</v>
      </c>
      <c r="W272">
        <v>2100</v>
      </c>
      <c r="X272" t="s">
        <v>368</v>
      </c>
      <c r="Y272" t="s">
        <v>239</v>
      </c>
      <c r="Z272" t="s">
        <v>826</v>
      </c>
      <c r="AB272" t="s">
        <v>348</v>
      </c>
      <c r="AC272" t="s">
        <v>348</v>
      </c>
      <c r="AD272" t="s">
        <v>369</v>
      </c>
      <c r="AE272" t="s">
        <v>239</v>
      </c>
      <c r="AF272" t="s">
        <v>1679</v>
      </c>
      <c r="AG272" t="s">
        <v>249</v>
      </c>
      <c r="AH272">
        <v>1</v>
      </c>
      <c r="AI272" t="s">
        <v>250</v>
      </c>
      <c r="AJ272" t="s">
        <v>248</v>
      </c>
      <c r="AK272" t="s">
        <v>886</v>
      </c>
      <c r="AL272" t="s">
        <v>203</v>
      </c>
      <c r="AM272" t="s">
        <v>888</v>
      </c>
      <c r="AN272">
        <v>2</v>
      </c>
      <c r="AO272">
        <v>46245</v>
      </c>
      <c r="AP272">
        <v>0.39374999999999999</v>
      </c>
      <c r="AQ272">
        <v>46246</v>
      </c>
      <c r="AR272">
        <v>0.45833333333333331</v>
      </c>
      <c r="AS272" t="s">
        <v>201</v>
      </c>
      <c r="AT272" t="s">
        <v>1954</v>
      </c>
      <c r="AU272" t="s">
        <v>1955</v>
      </c>
      <c r="AV272" t="s">
        <v>829</v>
      </c>
      <c r="AX272">
        <v>1</v>
      </c>
      <c r="AY272" t="s">
        <v>89</v>
      </c>
      <c r="AZ272" t="s">
        <v>67</v>
      </c>
      <c r="BA272" t="s">
        <v>217</v>
      </c>
      <c r="BB272" t="s">
        <v>893</v>
      </c>
      <c r="BC272">
        <v>203</v>
      </c>
    </row>
    <row r="273" spans="1:57" x14ac:dyDescent="0.3">
      <c r="A273" s="204">
        <v>46235</v>
      </c>
      <c r="B273" t="s">
        <v>142</v>
      </c>
      <c r="C273" t="s">
        <v>345</v>
      </c>
      <c r="D273" t="s">
        <v>45</v>
      </c>
      <c r="E273" t="s">
        <v>68</v>
      </c>
      <c r="F273" t="s">
        <v>309</v>
      </c>
      <c r="G273" t="s">
        <v>1170</v>
      </c>
      <c r="H273" t="s">
        <v>895</v>
      </c>
      <c r="I273" t="s">
        <v>398</v>
      </c>
      <c r="J273">
        <v>3</v>
      </c>
      <c r="K273">
        <v>3</v>
      </c>
      <c r="L273" t="s">
        <v>1171</v>
      </c>
      <c r="M273" s="15">
        <v>46244.47451388889</v>
      </c>
      <c r="N273" s="15">
        <v>46251.474305555559</v>
      </c>
      <c r="O273" s="15">
        <v>46244.695833333331</v>
      </c>
      <c r="P273" s="15">
        <v>46246.458333333336</v>
      </c>
      <c r="Q273" s="15"/>
      <c r="S273" t="s">
        <v>353</v>
      </c>
      <c r="U273" t="s">
        <v>1680</v>
      </c>
      <c r="V273" t="s">
        <v>353</v>
      </c>
      <c r="W273">
        <v>2100</v>
      </c>
      <c r="X273" t="s">
        <v>368</v>
      </c>
      <c r="Y273" t="s">
        <v>239</v>
      </c>
      <c r="Z273" t="s">
        <v>826</v>
      </c>
      <c r="AB273" t="s">
        <v>348</v>
      </c>
      <c r="AC273" t="s">
        <v>348</v>
      </c>
      <c r="AD273" t="s">
        <v>369</v>
      </c>
      <c r="AE273" t="s">
        <v>239</v>
      </c>
      <c r="AF273" t="s">
        <v>1681</v>
      </c>
      <c r="AG273" t="s">
        <v>249</v>
      </c>
      <c r="AH273">
        <v>1</v>
      </c>
      <c r="AI273" t="s">
        <v>250</v>
      </c>
      <c r="AJ273" t="s">
        <v>248</v>
      </c>
      <c r="AK273" t="s">
        <v>886</v>
      </c>
      <c r="AL273" t="s">
        <v>203</v>
      </c>
      <c r="AM273" t="s">
        <v>888</v>
      </c>
      <c r="AN273">
        <v>2</v>
      </c>
      <c r="AO273">
        <v>46244</v>
      </c>
      <c r="AP273">
        <v>0.6958333333333333</v>
      </c>
      <c r="AQ273">
        <v>46246</v>
      </c>
      <c r="AR273">
        <v>0.45833333333333331</v>
      </c>
      <c r="AS273" t="s">
        <v>201</v>
      </c>
      <c r="AT273" t="s">
        <v>1954</v>
      </c>
      <c r="AU273" t="s">
        <v>1955</v>
      </c>
      <c r="AV273" t="s">
        <v>829</v>
      </c>
      <c r="AX273">
        <v>1</v>
      </c>
      <c r="AY273" t="s">
        <v>89</v>
      </c>
      <c r="AZ273" t="s">
        <v>67</v>
      </c>
      <c r="BA273" t="s">
        <v>217</v>
      </c>
      <c r="BB273" t="s">
        <v>893</v>
      </c>
      <c r="BC273">
        <v>203</v>
      </c>
      <c r="BD273">
        <v>103</v>
      </c>
    </row>
    <row r="274" spans="1:57" x14ac:dyDescent="0.3">
      <c r="A274" s="204">
        <v>46235</v>
      </c>
      <c r="B274" t="s">
        <v>142</v>
      </c>
      <c r="C274" t="s">
        <v>345</v>
      </c>
      <c r="D274" t="s">
        <v>45</v>
      </c>
      <c r="E274" t="s">
        <v>68</v>
      </c>
      <c r="F274" t="s">
        <v>309</v>
      </c>
      <c r="G274" t="s">
        <v>1172</v>
      </c>
      <c r="H274" t="s">
        <v>895</v>
      </c>
      <c r="I274" t="s">
        <v>398</v>
      </c>
      <c r="J274">
        <v>1</v>
      </c>
      <c r="K274">
        <v>1</v>
      </c>
      <c r="L274" t="s">
        <v>1163</v>
      </c>
      <c r="M274" s="15">
        <v>46246.658784722225</v>
      </c>
      <c r="N274" s="15">
        <v>46253.658333333333</v>
      </c>
      <c r="O274" s="15">
        <v>46246.69027777778</v>
      </c>
      <c r="P274" s="15">
        <v>46252.458333333336</v>
      </c>
      <c r="Q274" s="15"/>
      <c r="S274" t="s">
        <v>353</v>
      </c>
      <c r="U274" t="s">
        <v>1682</v>
      </c>
      <c r="V274" t="s">
        <v>353</v>
      </c>
      <c r="W274">
        <v>2100</v>
      </c>
      <c r="X274" t="s">
        <v>368</v>
      </c>
      <c r="Y274" t="s">
        <v>239</v>
      </c>
      <c r="Z274" t="s">
        <v>826</v>
      </c>
      <c r="AB274" t="s">
        <v>348</v>
      </c>
      <c r="AC274" t="s">
        <v>348</v>
      </c>
      <c r="AD274" t="s">
        <v>369</v>
      </c>
      <c r="AE274" t="s">
        <v>239</v>
      </c>
      <c r="AF274" t="s">
        <v>1683</v>
      </c>
      <c r="AG274" t="s">
        <v>249</v>
      </c>
      <c r="AH274">
        <v>1</v>
      </c>
      <c r="AI274" t="s">
        <v>250</v>
      </c>
      <c r="AJ274" t="s">
        <v>248</v>
      </c>
      <c r="AK274" t="s">
        <v>886</v>
      </c>
      <c r="AL274" t="s">
        <v>203</v>
      </c>
      <c r="AM274" t="s">
        <v>888</v>
      </c>
      <c r="AN274">
        <v>2</v>
      </c>
      <c r="AO274">
        <v>46246</v>
      </c>
      <c r="AP274">
        <v>0.69027777777777777</v>
      </c>
      <c r="AQ274">
        <v>46252</v>
      </c>
      <c r="AR274">
        <v>0.45833333333333331</v>
      </c>
      <c r="AS274" t="s">
        <v>201</v>
      </c>
      <c r="AT274" t="s">
        <v>1956</v>
      </c>
      <c r="AU274" t="s">
        <v>1955</v>
      </c>
      <c r="AV274" t="s">
        <v>829</v>
      </c>
      <c r="AX274">
        <v>1</v>
      </c>
      <c r="AY274" t="s">
        <v>89</v>
      </c>
      <c r="AZ274" t="s">
        <v>67</v>
      </c>
      <c r="BA274" t="s">
        <v>217</v>
      </c>
      <c r="BB274" t="s">
        <v>893</v>
      </c>
      <c r="BC274">
        <v>203</v>
      </c>
    </row>
    <row r="275" spans="1:57" x14ac:dyDescent="0.3">
      <c r="A275" s="204">
        <v>46235</v>
      </c>
      <c r="B275" t="s">
        <v>142</v>
      </c>
      <c r="C275" t="s">
        <v>345</v>
      </c>
      <c r="D275" t="s">
        <v>45</v>
      </c>
      <c r="E275" t="s">
        <v>68</v>
      </c>
      <c r="F275" t="s">
        <v>309</v>
      </c>
      <c r="G275" t="s">
        <v>1173</v>
      </c>
      <c r="H275" t="s">
        <v>895</v>
      </c>
      <c r="I275" t="s">
        <v>398</v>
      </c>
      <c r="J275">
        <v>1</v>
      </c>
      <c r="K275">
        <v>1</v>
      </c>
      <c r="L275" t="s">
        <v>1171</v>
      </c>
      <c r="M275" s="15">
        <v>46244.477743055555</v>
      </c>
      <c r="N275" s="15">
        <v>46251.477083333331</v>
      </c>
      <c r="O275" s="15">
        <v>46244.695833333331</v>
      </c>
      <c r="P275" s="15">
        <v>46246.458333333336</v>
      </c>
      <c r="Q275" s="15"/>
      <c r="S275" t="s">
        <v>353</v>
      </c>
      <c r="U275" t="s">
        <v>1684</v>
      </c>
      <c r="V275" t="s">
        <v>353</v>
      </c>
      <c r="W275">
        <v>2100</v>
      </c>
      <c r="X275" t="s">
        <v>368</v>
      </c>
      <c r="Y275" t="s">
        <v>239</v>
      </c>
      <c r="Z275" t="s">
        <v>826</v>
      </c>
      <c r="AB275" t="s">
        <v>348</v>
      </c>
      <c r="AC275" t="s">
        <v>348</v>
      </c>
      <c r="AD275" t="s">
        <v>369</v>
      </c>
      <c r="AE275" t="s">
        <v>239</v>
      </c>
      <c r="AF275" t="s">
        <v>1685</v>
      </c>
      <c r="AG275" t="s">
        <v>249</v>
      </c>
      <c r="AH275">
        <v>1</v>
      </c>
      <c r="AI275" t="s">
        <v>250</v>
      </c>
      <c r="AJ275" t="s">
        <v>248</v>
      </c>
      <c r="AK275" t="s">
        <v>886</v>
      </c>
      <c r="AL275" t="s">
        <v>203</v>
      </c>
      <c r="AM275" t="s">
        <v>888</v>
      </c>
      <c r="AN275">
        <v>2</v>
      </c>
      <c r="AO275">
        <v>46244</v>
      </c>
      <c r="AP275">
        <v>0.6958333333333333</v>
      </c>
      <c r="AQ275">
        <v>46246</v>
      </c>
      <c r="AR275">
        <v>0.45833333333333331</v>
      </c>
      <c r="AS275" t="s">
        <v>201</v>
      </c>
      <c r="AT275" t="s">
        <v>1954</v>
      </c>
      <c r="AU275" t="s">
        <v>1955</v>
      </c>
      <c r="AV275" t="s">
        <v>829</v>
      </c>
      <c r="AX275">
        <v>1</v>
      </c>
      <c r="AY275" t="s">
        <v>89</v>
      </c>
      <c r="AZ275" t="s">
        <v>67</v>
      </c>
      <c r="BA275" t="s">
        <v>217</v>
      </c>
      <c r="BB275" t="s">
        <v>893</v>
      </c>
      <c r="BC275">
        <v>203</v>
      </c>
    </row>
    <row r="276" spans="1:57" x14ac:dyDescent="0.3">
      <c r="A276" s="204">
        <v>46235</v>
      </c>
      <c r="B276" t="s">
        <v>142</v>
      </c>
      <c r="C276" t="s">
        <v>345</v>
      </c>
      <c r="D276" t="s">
        <v>45</v>
      </c>
      <c r="E276" t="s">
        <v>68</v>
      </c>
      <c r="F276" t="s">
        <v>309</v>
      </c>
      <c r="G276" t="s">
        <v>1174</v>
      </c>
      <c r="H276" t="s">
        <v>895</v>
      </c>
      <c r="I276" t="s">
        <v>398</v>
      </c>
      <c r="J276">
        <v>1</v>
      </c>
      <c r="K276">
        <v>1</v>
      </c>
      <c r="L276" t="s">
        <v>1175</v>
      </c>
      <c r="M276" s="15">
        <v>46244.473958333336</v>
      </c>
      <c r="N276" s="15">
        <v>46251.473611111112</v>
      </c>
      <c r="O276" s="15">
        <v>46244.682638888888</v>
      </c>
      <c r="P276" s="15">
        <v>46246.458333333336</v>
      </c>
      <c r="Q276" s="15"/>
      <c r="S276" t="s">
        <v>353</v>
      </c>
      <c r="U276" t="s">
        <v>1686</v>
      </c>
      <c r="V276" t="s">
        <v>353</v>
      </c>
      <c r="W276">
        <v>2100</v>
      </c>
      <c r="X276" t="s">
        <v>368</v>
      </c>
      <c r="Y276" t="s">
        <v>239</v>
      </c>
      <c r="Z276" t="s">
        <v>826</v>
      </c>
      <c r="AB276" t="s">
        <v>348</v>
      </c>
      <c r="AC276" t="s">
        <v>348</v>
      </c>
      <c r="AD276" t="s">
        <v>369</v>
      </c>
      <c r="AE276" t="s">
        <v>239</v>
      </c>
      <c r="AF276" t="s">
        <v>1687</v>
      </c>
      <c r="AG276" t="s">
        <v>249</v>
      </c>
      <c r="AH276">
        <v>1</v>
      </c>
      <c r="AI276" t="s">
        <v>250</v>
      </c>
      <c r="AJ276" t="s">
        <v>248</v>
      </c>
      <c r="AK276" t="s">
        <v>886</v>
      </c>
      <c r="AL276" t="s">
        <v>203</v>
      </c>
      <c r="AM276" t="s">
        <v>888</v>
      </c>
      <c r="AN276">
        <v>2</v>
      </c>
      <c r="AO276">
        <v>46244</v>
      </c>
      <c r="AP276">
        <v>0.68263888888888891</v>
      </c>
      <c r="AQ276">
        <v>46246</v>
      </c>
      <c r="AR276">
        <v>0.45833333333333331</v>
      </c>
      <c r="AS276" t="s">
        <v>201</v>
      </c>
      <c r="AT276" t="s">
        <v>1954</v>
      </c>
      <c r="AU276" t="s">
        <v>1955</v>
      </c>
      <c r="AV276" t="s">
        <v>829</v>
      </c>
      <c r="AX276">
        <v>1</v>
      </c>
      <c r="AY276" t="s">
        <v>89</v>
      </c>
      <c r="AZ276" t="s">
        <v>67</v>
      </c>
      <c r="BA276" t="s">
        <v>217</v>
      </c>
      <c r="BB276" t="s">
        <v>893</v>
      </c>
      <c r="BC276">
        <v>203</v>
      </c>
    </row>
    <row r="277" spans="1:57" x14ac:dyDescent="0.3">
      <c r="A277" s="204">
        <v>46235</v>
      </c>
      <c r="B277" t="s">
        <v>142</v>
      </c>
      <c r="C277" t="s">
        <v>345</v>
      </c>
      <c r="D277" t="s">
        <v>45</v>
      </c>
      <c r="E277" t="s">
        <v>68</v>
      </c>
      <c r="F277" t="s">
        <v>309</v>
      </c>
      <c r="G277" t="s">
        <v>1176</v>
      </c>
      <c r="H277" t="s">
        <v>895</v>
      </c>
      <c r="I277" t="s">
        <v>398</v>
      </c>
      <c r="J277">
        <v>3</v>
      </c>
      <c r="K277">
        <v>3</v>
      </c>
      <c r="L277" t="s">
        <v>1175</v>
      </c>
      <c r="M277" s="15">
        <v>46244.476030092592</v>
      </c>
      <c r="N277" s="15">
        <v>46251.475694444445</v>
      </c>
      <c r="O277" s="15">
        <v>46244.682638888888</v>
      </c>
      <c r="P277" s="15">
        <v>46246.458333333336</v>
      </c>
      <c r="Q277" s="15"/>
      <c r="S277" t="s">
        <v>353</v>
      </c>
      <c r="U277" t="s">
        <v>1688</v>
      </c>
      <c r="V277" t="s">
        <v>353</v>
      </c>
      <c r="W277">
        <v>2100</v>
      </c>
      <c r="X277" t="s">
        <v>368</v>
      </c>
      <c r="Y277" t="s">
        <v>239</v>
      </c>
      <c r="Z277" t="s">
        <v>826</v>
      </c>
      <c r="AB277" t="s">
        <v>348</v>
      </c>
      <c r="AC277" t="s">
        <v>348</v>
      </c>
      <c r="AD277" t="s">
        <v>369</v>
      </c>
      <c r="AE277" t="s">
        <v>239</v>
      </c>
      <c r="AF277" t="s">
        <v>1689</v>
      </c>
      <c r="AG277" t="s">
        <v>249</v>
      </c>
      <c r="AH277">
        <v>1</v>
      </c>
      <c r="AI277" t="s">
        <v>250</v>
      </c>
      <c r="AJ277" t="s">
        <v>248</v>
      </c>
      <c r="AK277" t="s">
        <v>886</v>
      </c>
      <c r="AL277" t="s">
        <v>203</v>
      </c>
      <c r="AM277" t="s">
        <v>888</v>
      </c>
      <c r="AN277">
        <v>2</v>
      </c>
      <c r="AO277">
        <v>46244</v>
      </c>
      <c r="AP277">
        <v>0.68263888888888891</v>
      </c>
      <c r="AQ277">
        <v>46246</v>
      </c>
      <c r="AR277">
        <v>0.45833333333333331</v>
      </c>
      <c r="AS277" t="s">
        <v>201</v>
      </c>
      <c r="AT277" t="s">
        <v>1954</v>
      </c>
      <c r="AU277" t="s">
        <v>1955</v>
      </c>
      <c r="AV277" t="s">
        <v>829</v>
      </c>
      <c r="AX277">
        <v>1</v>
      </c>
      <c r="AY277" t="s">
        <v>89</v>
      </c>
      <c r="AZ277" t="s">
        <v>67</v>
      </c>
      <c r="BA277" t="s">
        <v>217</v>
      </c>
      <c r="BB277" t="s">
        <v>893</v>
      </c>
      <c r="BC277">
        <v>203</v>
      </c>
    </row>
    <row r="278" spans="1:57" x14ac:dyDescent="0.3">
      <c r="A278" s="204">
        <v>46235</v>
      </c>
      <c r="B278" t="s">
        <v>142</v>
      </c>
      <c r="C278" t="s">
        <v>345</v>
      </c>
      <c r="D278" t="s">
        <v>45</v>
      </c>
      <c r="E278" t="s">
        <v>68</v>
      </c>
      <c r="F278" t="s">
        <v>309</v>
      </c>
      <c r="G278" t="s">
        <v>1177</v>
      </c>
      <c r="H278" t="s">
        <v>895</v>
      </c>
      <c r="I278" t="s">
        <v>398</v>
      </c>
      <c r="J278">
        <v>5</v>
      </c>
      <c r="K278">
        <v>5</v>
      </c>
      <c r="L278" t="s">
        <v>1178</v>
      </c>
      <c r="M278" s="15">
        <v>46237.458333333336</v>
      </c>
      <c r="N278" s="15">
        <v>46244.458333333336</v>
      </c>
      <c r="O278" s="15">
        <v>46237.70208333333</v>
      </c>
      <c r="P278" s="15">
        <v>46239.5</v>
      </c>
      <c r="Q278" s="15"/>
      <c r="S278" t="s">
        <v>353</v>
      </c>
      <c r="U278" t="s">
        <v>1659</v>
      </c>
      <c r="V278" t="s">
        <v>353</v>
      </c>
      <c r="W278">
        <v>2100</v>
      </c>
      <c r="X278" t="s">
        <v>368</v>
      </c>
      <c r="Y278" t="s">
        <v>239</v>
      </c>
      <c r="Z278" t="s">
        <v>826</v>
      </c>
      <c r="AB278" t="s">
        <v>348</v>
      </c>
      <c r="AC278" t="s">
        <v>348</v>
      </c>
      <c r="AD278" t="s">
        <v>369</v>
      </c>
      <c r="AE278" t="s">
        <v>239</v>
      </c>
      <c r="AF278" t="s">
        <v>1690</v>
      </c>
      <c r="AG278" t="s">
        <v>249</v>
      </c>
      <c r="AH278">
        <v>1</v>
      </c>
      <c r="AI278" t="s">
        <v>250</v>
      </c>
      <c r="AJ278" t="s">
        <v>248</v>
      </c>
      <c r="AK278" t="s">
        <v>886</v>
      </c>
      <c r="AL278" t="s">
        <v>203</v>
      </c>
      <c r="AM278" t="s">
        <v>888</v>
      </c>
      <c r="AN278">
        <v>2</v>
      </c>
      <c r="AO278">
        <v>46237</v>
      </c>
      <c r="AP278">
        <v>0.70208333333333328</v>
      </c>
      <c r="AQ278">
        <v>46239</v>
      </c>
      <c r="AR278">
        <v>0.5</v>
      </c>
      <c r="AS278" t="s">
        <v>201</v>
      </c>
      <c r="AT278" t="s">
        <v>1954</v>
      </c>
      <c r="AU278" t="s">
        <v>1955</v>
      </c>
      <c r="AV278" t="s">
        <v>829</v>
      </c>
      <c r="AX278">
        <v>1</v>
      </c>
      <c r="AY278" t="s">
        <v>89</v>
      </c>
      <c r="AZ278" t="s">
        <v>67</v>
      </c>
      <c r="BA278" t="s">
        <v>217</v>
      </c>
      <c r="BB278" t="s">
        <v>893</v>
      </c>
      <c r="BC278">
        <v>203</v>
      </c>
      <c r="BD278">
        <v>103</v>
      </c>
    </row>
    <row r="279" spans="1:57" x14ac:dyDescent="0.3">
      <c r="A279" s="204">
        <v>46235</v>
      </c>
      <c r="B279" t="s">
        <v>142</v>
      </c>
      <c r="C279" t="s">
        <v>345</v>
      </c>
      <c r="D279" t="s">
        <v>45</v>
      </c>
      <c r="E279" t="s">
        <v>68</v>
      </c>
      <c r="F279" t="s">
        <v>309</v>
      </c>
      <c r="G279" t="s">
        <v>1179</v>
      </c>
      <c r="H279" t="s">
        <v>895</v>
      </c>
      <c r="I279" t="s">
        <v>398</v>
      </c>
      <c r="J279">
        <v>3</v>
      </c>
      <c r="K279">
        <v>3</v>
      </c>
      <c r="L279" t="s">
        <v>1175</v>
      </c>
      <c r="M279" s="15">
        <v>46244.476921296293</v>
      </c>
      <c r="N279" s="15">
        <v>46251.476388888892</v>
      </c>
      <c r="O279" s="15">
        <v>46244.682638888888</v>
      </c>
      <c r="P279" s="15">
        <v>46246.458333333336</v>
      </c>
      <c r="Q279" s="15"/>
      <c r="S279" t="s">
        <v>353</v>
      </c>
      <c r="U279" t="s">
        <v>1691</v>
      </c>
      <c r="V279" t="s">
        <v>353</v>
      </c>
      <c r="W279">
        <v>2100</v>
      </c>
      <c r="X279" t="s">
        <v>368</v>
      </c>
      <c r="Y279" t="s">
        <v>239</v>
      </c>
      <c r="Z279" t="s">
        <v>826</v>
      </c>
      <c r="AB279" t="s">
        <v>348</v>
      </c>
      <c r="AC279" t="s">
        <v>348</v>
      </c>
      <c r="AD279" t="s">
        <v>369</v>
      </c>
      <c r="AE279" t="s">
        <v>239</v>
      </c>
      <c r="AF279" t="s">
        <v>1692</v>
      </c>
      <c r="AG279" t="s">
        <v>249</v>
      </c>
      <c r="AH279">
        <v>1</v>
      </c>
      <c r="AI279" t="s">
        <v>250</v>
      </c>
      <c r="AJ279" t="s">
        <v>248</v>
      </c>
      <c r="AK279" t="s">
        <v>886</v>
      </c>
      <c r="AL279" t="s">
        <v>203</v>
      </c>
      <c r="AM279" t="s">
        <v>888</v>
      </c>
      <c r="AN279">
        <v>2</v>
      </c>
      <c r="AO279">
        <v>46244</v>
      </c>
      <c r="AP279">
        <v>0.68263888888888891</v>
      </c>
      <c r="AQ279">
        <v>46246</v>
      </c>
      <c r="AR279">
        <v>0.45833333333333331</v>
      </c>
      <c r="AS279" t="s">
        <v>201</v>
      </c>
      <c r="AT279" t="s">
        <v>1954</v>
      </c>
      <c r="AU279" t="s">
        <v>1955</v>
      </c>
      <c r="AV279" t="s">
        <v>829</v>
      </c>
      <c r="AX279">
        <v>1</v>
      </c>
      <c r="AY279" t="s">
        <v>89</v>
      </c>
      <c r="AZ279" t="s">
        <v>67</v>
      </c>
      <c r="BA279" t="s">
        <v>217</v>
      </c>
      <c r="BB279" t="s">
        <v>893</v>
      </c>
      <c r="BC279">
        <v>203</v>
      </c>
    </row>
    <row r="280" spans="1:57" x14ac:dyDescent="0.3">
      <c r="A280" s="204">
        <v>46235</v>
      </c>
      <c r="B280" t="s">
        <v>142</v>
      </c>
      <c r="C280" t="s">
        <v>345</v>
      </c>
      <c r="D280" t="s">
        <v>45</v>
      </c>
      <c r="E280" t="s">
        <v>68</v>
      </c>
      <c r="F280" t="s">
        <v>309</v>
      </c>
      <c r="G280" t="s">
        <v>1180</v>
      </c>
      <c r="H280" t="s">
        <v>895</v>
      </c>
      <c r="I280" t="s">
        <v>398</v>
      </c>
      <c r="J280">
        <v>3</v>
      </c>
      <c r="K280">
        <v>3</v>
      </c>
      <c r="L280" t="s">
        <v>1163</v>
      </c>
      <c r="M280" s="15">
        <v>46246.659317129626</v>
      </c>
      <c r="N280" s="15">
        <v>46253.65902777778</v>
      </c>
      <c r="O280" s="15">
        <v>46246.69027777778</v>
      </c>
      <c r="P280" s="15">
        <v>46252.458333333336</v>
      </c>
      <c r="Q280" s="15"/>
      <c r="S280" t="s">
        <v>353</v>
      </c>
      <c r="U280" t="s">
        <v>1693</v>
      </c>
      <c r="V280" t="s">
        <v>353</v>
      </c>
      <c r="W280">
        <v>2100</v>
      </c>
      <c r="X280" t="s">
        <v>368</v>
      </c>
      <c r="Y280" t="s">
        <v>239</v>
      </c>
      <c r="Z280" t="s">
        <v>826</v>
      </c>
      <c r="AB280" t="s">
        <v>348</v>
      </c>
      <c r="AC280" t="s">
        <v>348</v>
      </c>
      <c r="AD280" t="s">
        <v>369</v>
      </c>
      <c r="AE280" t="s">
        <v>239</v>
      </c>
      <c r="AF280" t="s">
        <v>1694</v>
      </c>
      <c r="AG280" t="s">
        <v>249</v>
      </c>
      <c r="AH280">
        <v>1</v>
      </c>
      <c r="AI280" t="s">
        <v>250</v>
      </c>
      <c r="AJ280" t="s">
        <v>248</v>
      </c>
      <c r="AK280" t="s">
        <v>886</v>
      </c>
      <c r="AL280" t="s">
        <v>203</v>
      </c>
      <c r="AM280" t="s">
        <v>888</v>
      </c>
      <c r="AN280">
        <v>2</v>
      </c>
      <c r="AO280">
        <v>46246</v>
      </c>
      <c r="AP280">
        <v>0.69027777777777777</v>
      </c>
      <c r="AQ280">
        <v>46252</v>
      </c>
      <c r="AR280">
        <v>0.45833333333333331</v>
      </c>
      <c r="AS280" t="s">
        <v>201</v>
      </c>
      <c r="AT280" t="s">
        <v>1956</v>
      </c>
      <c r="AU280" t="s">
        <v>1955</v>
      </c>
      <c r="AV280" t="s">
        <v>829</v>
      </c>
      <c r="AX280">
        <v>1</v>
      </c>
      <c r="AY280" t="s">
        <v>89</v>
      </c>
      <c r="AZ280" t="s">
        <v>67</v>
      </c>
      <c r="BA280" t="s">
        <v>217</v>
      </c>
      <c r="BB280" t="s">
        <v>893</v>
      </c>
      <c r="BC280">
        <v>203</v>
      </c>
    </row>
    <row r="281" spans="1:57" x14ac:dyDescent="0.3">
      <c r="A281" s="204">
        <v>46235</v>
      </c>
      <c r="B281" t="s">
        <v>142</v>
      </c>
      <c r="C281" t="s">
        <v>345</v>
      </c>
      <c r="D281" t="s">
        <v>45</v>
      </c>
      <c r="E281" t="s">
        <v>68</v>
      </c>
      <c r="F281" t="s">
        <v>309</v>
      </c>
      <c r="G281" t="s">
        <v>1181</v>
      </c>
      <c r="H281" t="s">
        <v>896</v>
      </c>
      <c r="I281" t="s">
        <v>398</v>
      </c>
      <c r="J281">
        <v>3</v>
      </c>
      <c r="K281">
        <v>3</v>
      </c>
      <c r="L281" t="s">
        <v>1182</v>
      </c>
      <c r="M281" s="15">
        <v>46251.598506944443</v>
      </c>
      <c r="N281" s="15">
        <v>46258.597916666666</v>
      </c>
      <c r="O281" s="15">
        <v>46253.477083333331</v>
      </c>
      <c r="P281" s="15">
        <v>46255.493055555555</v>
      </c>
      <c r="Q281" s="15"/>
      <c r="S281" t="s">
        <v>353</v>
      </c>
      <c r="T281" t="s">
        <v>837</v>
      </c>
      <c r="U281" t="s">
        <v>1695</v>
      </c>
      <c r="V281" t="s">
        <v>353</v>
      </c>
      <c r="W281">
        <v>2100</v>
      </c>
      <c r="X281" t="s">
        <v>368</v>
      </c>
      <c r="Y281" t="s">
        <v>239</v>
      </c>
      <c r="Z281" t="s">
        <v>826</v>
      </c>
      <c r="AB281" t="s">
        <v>348</v>
      </c>
      <c r="AC281" t="s">
        <v>348</v>
      </c>
      <c r="AD281" t="s">
        <v>369</v>
      </c>
      <c r="AE281" t="s">
        <v>239</v>
      </c>
      <c r="AF281" t="s">
        <v>1696</v>
      </c>
      <c r="AG281" t="s">
        <v>249</v>
      </c>
      <c r="AH281">
        <v>1</v>
      </c>
      <c r="AI281" t="s">
        <v>250</v>
      </c>
      <c r="AJ281" t="s">
        <v>248</v>
      </c>
      <c r="AK281" t="s">
        <v>886</v>
      </c>
      <c r="AL281" t="s">
        <v>203</v>
      </c>
      <c r="AM281" t="s">
        <v>888</v>
      </c>
      <c r="AN281">
        <v>2</v>
      </c>
      <c r="AO281">
        <v>46253</v>
      </c>
      <c r="AP281">
        <v>0.47708333333333336</v>
      </c>
      <c r="AQ281">
        <v>46255</v>
      </c>
      <c r="AR281">
        <v>0.49305555555555558</v>
      </c>
      <c r="AS281" t="s">
        <v>201</v>
      </c>
      <c r="AT281" t="s">
        <v>1956</v>
      </c>
      <c r="AU281" t="s">
        <v>1955</v>
      </c>
      <c r="AV281" t="s">
        <v>829</v>
      </c>
      <c r="AX281">
        <v>1</v>
      </c>
      <c r="AY281" t="s">
        <v>89</v>
      </c>
      <c r="AZ281" t="s">
        <v>67</v>
      </c>
      <c r="BA281" t="s">
        <v>217</v>
      </c>
      <c r="BB281" t="s">
        <v>893</v>
      </c>
      <c r="BC281">
        <v>203</v>
      </c>
      <c r="BD281">
        <v>103</v>
      </c>
      <c r="BE281">
        <v>1</v>
      </c>
    </row>
    <row r="282" spans="1:57" x14ac:dyDescent="0.3">
      <c r="A282" s="204">
        <v>46235</v>
      </c>
      <c r="B282" t="s">
        <v>142</v>
      </c>
      <c r="C282" t="s">
        <v>345</v>
      </c>
      <c r="D282" t="s">
        <v>51</v>
      </c>
      <c r="E282" t="s">
        <v>258</v>
      </c>
      <c r="F282" t="s">
        <v>309</v>
      </c>
      <c r="G282" t="s">
        <v>1183</v>
      </c>
      <c r="H282" t="s">
        <v>895</v>
      </c>
      <c r="I282" t="s">
        <v>398</v>
      </c>
      <c r="J282">
        <v>100</v>
      </c>
      <c r="K282">
        <v>100</v>
      </c>
      <c r="L282" t="s">
        <v>1184</v>
      </c>
      <c r="M282" s="15">
        <v>46251.581516203703</v>
      </c>
      <c r="N282" s="15">
        <v>46258.581250000003</v>
      </c>
      <c r="O282" s="15">
        <v>46253.445138888892</v>
      </c>
      <c r="P282" s="15">
        <v>46255.493055555555</v>
      </c>
      <c r="Q282" s="15"/>
      <c r="S282" t="s">
        <v>353</v>
      </c>
      <c r="T282" t="s">
        <v>1697</v>
      </c>
      <c r="U282" t="s">
        <v>1698</v>
      </c>
      <c r="V282" t="s">
        <v>353</v>
      </c>
      <c r="W282">
        <v>2100</v>
      </c>
      <c r="X282" t="s">
        <v>368</v>
      </c>
      <c r="Y282" t="s">
        <v>239</v>
      </c>
      <c r="Z282" t="s">
        <v>851</v>
      </c>
      <c r="AB282" t="s">
        <v>348</v>
      </c>
      <c r="AC282" t="s">
        <v>7</v>
      </c>
      <c r="AD282" t="s">
        <v>7</v>
      </c>
      <c r="AE282" t="s">
        <v>7</v>
      </c>
      <c r="AF282" t="s">
        <v>1699</v>
      </c>
      <c r="AG282" t="s">
        <v>249</v>
      </c>
      <c r="AH282">
        <v>1</v>
      </c>
      <c r="AI282" t="s">
        <v>250</v>
      </c>
      <c r="AJ282" t="s">
        <v>248</v>
      </c>
      <c r="AK282" t="s">
        <v>886</v>
      </c>
      <c r="AL282" t="s">
        <v>203</v>
      </c>
      <c r="AM282" t="s">
        <v>887</v>
      </c>
      <c r="AN282">
        <v>2</v>
      </c>
      <c r="AO282">
        <v>46253</v>
      </c>
      <c r="AP282">
        <v>0.44513888888888886</v>
      </c>
      <c r="AQ282">
        <v>46255</v>
      </c>
      <c r="AR282">
        <v>0.49305555555555558</v>
      </c>
      <c r="AS282" t="s">
        <v>201</v>
      </c>
      <c r="AT282" t="s">
        <v>1956</v>
      </c>
      <c r="AU282" t="s">
        <v>1955</v>
      </c>
      <c r="AV282" t="s">
        <v>853</v>
      </c>
      <c r="AY282" t="s">
        <v>7</v>
      </c>
      <c r="AZ282" t="s">
        <v>238</v>
      </c>
      <c r="BA282" t="s">
        <v>7</v>
      </c>
      <c r="BB282" t="s">
        <v>891</v>
      </c>
      <c r="BE282">
        <v>0</v>
      </c>
    </row>
    <row r="283" spans="1:57" x14ac:dyDescent="0.3">
      <c r="A283" s="204">
        <v>46235</v>
      </c>
      <c r="B283" t="s">
        <v>142</v>
      </c>
      <c r="C283" t="s">
        <v>345</v>
      </c>
      <c r="D283" t="s">
        <v>51</v>
      </c>
      <c r="E283" t="s">
        <v>258</v>
      </c>
      <c r="F283" t="s">
        <v>309</v>
      </c>
      <c r="G283" t="s">
        <v>1185</v>
      </c>
      <c r="H283" t="s">
        <v>895</v>
      </c>
      <c r="I283" t="s">
        <v>398</v>
      </c>
      <c r="J283">
        <v>450</v>
      </c>
      <c r="K283">
        <v>450</v>
      </c>
      <c r="L283" t="s">
        <v>1184</v>
      </c>
      <c r="M283" s="15">
        <v>46251.566979166666</v>
      </c>
      <c r="N283" s="15">
        <v>46258.566666666666</v>
      </c>
      <c r="O283" s="15">
        <v>46253.445138888892</v>
      </c>
      <c r="P283" s="15">
        <v>46255.493055555555</v>
      </c>
      <c r="Q283" s="15"/>
      <c r="S283" t="s">
        <v>353</v>
      </c>
      <c r="T283" t="s">
        <v>1700</v>
      </c>
      <c r="U283" t="s">
        <v>1698</v>
      </c>
      <c r="V283" t="s">
        <v>353</v>
      </c>
      <c r="W283">
        <v>2100</v>
      </c>
      <c r="X283" t="s">
        <v>368</v>
      </c>
      <c r="Y283" t="s">
        <v>239</v>
      </c>
      <c r="Z283" t="s">
        <v>851</v>
      </c>
      <c r="AB283" t="s">
        <v>348</v>
      </c>
      <c r="AC283" t="s">
        <v>7</v>
      </c>
      <c r="AD283" t="s">
        <v>7</v>
      </c>
      <c r="AE283" t="s">
        <v>7</v>
      </c>
      <c r="AF283" t="s">
        <v>1701</v>
      </c>
      <c r="AG283" t="s">
        <v>249</v>
      </c>
      <c r="AH283">
        <v>1</v>
      </c>
      <c r="AI283" t="s">
        <v>250</v>
      </c>
      <c r="AJ283" t="s">
        <v>248</v>
      </c>
      <c r="AK283" t="s">
        <v>886</v>
      </c>
      <c r="AL283" t="s">
        <v>203</v>
      </c>
      <c r="AM283" t="s">
        <v>887</v>
      </c>
      <c r="AN283">
        <v>2</v>
      </c>
      <c r="AO283">
        <v>46253</v>
      </c>
      <c r="AP283">
        <v>0.44513888888888886</v>
      </c>
      <c r="AQ283">
        <v>46255</v>
      </c>
      <c r="AR283">
        <v>0.49305555555555558</v>
      </c>
      <c r="AS283" t="s">
        <v>201</v>
      </c>
      <c r="AT283" t="s">
        <v>1956</v>
      </c>
      <c r="AU283" t="s">
        <v>1955</v>
      </c>
      <c r="AV283" t="s">
        <v>853</v>
      </c>
      <c r="AY283" t="s">
        <v>7</v>
      </c>
      <c r="AZ283" t="s">
        <v>238</v>
      </c>
      <c r="BA283" t="s">
        <v>7</v>
      </c>
      <c r="BB283" t="s">
        <v>891</v>
      </c>
    </row>
    <row r="284" spans="1:57" x14ac:dyDescent="0.3">
      <c r="A284" s="204">
        <v>46235</v>
      </c>
      <c r="B284" t="s">
        <v>142</v>
      </c>
      <c r="C284" t="s">
        <v>345</v>
      </c>
      <c r="D284" t="s">
        <v>51</v>
      </c>
      <c r="E284" t="s">
        <v>258</v>
      </c>
      <c r="F284" t="s">
        <v>309</v>
      </c>
      <c r="G284" t="s">
        <v>1186</v>
      </c>
      <c r="H284" t="s">
        <v>894</v>
      </c>
      <c r="I284" t="s">
        <v>1187</v>
      </c>
      <c r="J284">
        <v>64</v>
      </c>
      <c r="K284">
        <v>64</v>
      </c>
      <c r="L284" t="s">
        <v>1188</v>
      </c>
      <c r="M284" s="15">
        <v>46244.518692129626</v>
      </c>
      <c r="N284" s="15">
        <v>46251.5</v>
      </c>
      <c r="O284" s="15">
        <v>46245.446527777778</v>
      </c>
      <c r="P284" s="15">
        <v>46246.4375</v>
      </c>
      <c r="Q284" s="15"/>
      <c r="S284" t="s">
        <v>353</v>
      </c>
      <c r="T284" t="s">
        <v>1702</v>
      </c>
      <c r="V284" t="s">
        <v>353</v>
      </c>
      <c r="W284">
        <v>2100</v>
      </c>
      <c r="X284" t="s">
        <v>368</v>
      </c>
      <c r="Y284" t="s">
        <v>239</v>
      </c>
      <c r="Z284" t="s">
        <v>851</v>
      </c>
      <c r="AB284" t="s">
        <v>348</v>
      </c>
      <c r="AC284" t="s">
        <v>7</v>
      </c>
      <c r="AD284" t="s">
        <v>7</v>
      </c>
      <c r="AE284" t="s">
        <v>7</v>
      </c>
      <c r="AF284" t="s">
        <v>1703</v>
      </c>
      <c r="AG284" t="s">
        <v>249</v>
      </c>
      <c r="AH284">
        <v>1</v>
      </c>
      <c r="AI284" t="s">
        <v>250</v>
      </c>
      <c r="AJ284" t="s">
        <v>248</v>
      </c>
      <c r="AK284" t="s">
        <v>886</v>
      </c>
      <c r="AL284" t="s">
        <v>203</v>
      </c>
      <c r="AM284" t="s">
        <v>887</v>
      </c>
      <c r="AN284">
        <v>2</v>
      </c>
      <c r="AO284">
        <v>46245</v>
      </c>
      <c r="AP284">
        <v>0.4465277777777778</v>
      </c>
      <c r="AQ284">
        <v>46246</v>
      </c>
      <c r="AR284">
        <v>0.4375</v>
      </c>
      <c r="AS284" t="s">
        <v>201</v>
      </c>
      <c r="AT284" t="s">
        <v>1954</v>
      </c>
      <c r="AU284" t="s">
        <v>1955</v>
      </c>
      <c r="AV284" t="s">
        <v>853</v>
      </c>
      <c r="AY284" t="s">
        <v>7</v>
      </c>
      <c r="AZ284" t="s">
        <v>238</v>
      </c>
      <c r="BA284" t="s">
        <v>7</v>
      </c>
      <c r="BB284" t="s">
        <v>891</v>
      </c>
      <c r="BE284">
        <v>0</v>
      </c>
    </row>
    <row r="285" spans="1:57" x14ac:dyDescent="0.3">
      <c r="A285" s="204">
        <v>46235</v>
      </c>
      <c r="B285" t="s">
        <v>142</v>
      </c>
      <c r="C285" t="s">
        <v>345</v>
      </c>
      <c r="D285" t="s">
        <v>51</v>
      </c>
      <c r="E285" t="s">
        <v>258</v>
      </c>
      <c r="F285" t="s">
        <v>309</v>
      </c>
      <c r="G285" t="s">
        <v>1189</v>
      </c>
      <c r="H285" t="s">
        <v>898</v>
      </c>
      <c r="I285" t="s">
        <v>402</v>
      </c>
      <c r="J285">
        <v>450</v>
      </c>
      <c r="K285">
        <v>450</v>
      </c>
      <c r="L285" t="s">
        <v>1190</v>
      </c>
      <c r="M285" s="15">
        <v>46240.542048611111</v>
      </c>
      <c r="N285" s="15">
        <v>46247.5</v>
      </c>
      <c r="O285" s="15">
        <v>46244.459722222222</v>
      </c>
      <c r="P285" s="15">
        <v>46246.4375</v>
      </c>
      <c r="Q285" s="15"/>
      <c r="S285" t="s">
        <v>353</v>
      </c>
      <c r="U285" t="s">
        <v>1704</v>
      </c>
      <c r="V285" t="s">
        <v>353</v>
      </c>
      <c r="W285">
        <v>2100</v>
      </c>
      <c r="X285" t="s">
        <v>368</v>
      </c>
      <c r="Y285" t="s">
        <v>239</v>
      </c>
      <c r="Z285" t="s">
        <v>851</v>
      </c>
      <c r="AB285" t="s">
        <v>348</v>
      </c>
      <c r="AC285" t="s">
        <v>7</v>
      </c>
      <c r="AD285" t="s">
        <v>7</v>
      </c>
      <c r="AE285" t="s">
        <v>7</v>
      </c>
      <c r="AF285" t="s">
        <v>1705</v>
      </c>
      <c r="AG285" t="s">
        <v>249</v>
      </c>
      <c r="AH285">
        <v>1</v>
      </c>
      <c r="AI285" t="s">
        <v>250</v>
      </c>
      <c r="AJ285" t="s">
        <v>248</v>
      </c>
      <c r="AK285" t="s">
        <v>886</v>
      </c>
      <c r="AL285" t="s">
        <v>203</v>
      </c>
      <c r="AM285" t="s">
        <v>887</v>
      </c>
      <c r="AN285">
        <v>2</v>
      </c>
      <c r="AO285">
        <v>46244</v>
      </c>
      <c r="AP285">
        <v>0.4597222222222222</v>
      </c>
      <c r="AQ285">
        <v>46246</v>
      </c>
      <c r="AR285">
        <v>0.4375</v>
      </c>
      <c r="AS285" t="s">
        <v>201</v>
      </c>
      <c r="AT285" t="s">
        <v>1954</v>
      </c>
      <c r="AU285" t="s">
        <v>1955</v>
      </c>
      <c r="AV285" t="s">
        <v>853</v>
      </c>
      <c r="AY285" t="s">
        <v>7</v>
      </c>
      <c r="AZ285" t="s">
        <v>238</v>
      </c>
      <c r="BA285" t="s">
        <v>7</v>
      </c>
      <c r="BB285" t="s">
        <v>891</v>
      </c>
    </row>
    <row r="286" spans="1:57" x14ac:dyDescent="0.3">
      <c r="A286" s="204">
        <v>46235</v>
      </c>
      <c r="B286" t="s">
        <v>142</v>
      </c>
      <c r="C286" t="s">
        <v>345</v>
      </c>
      <c r="D286" t="s">
        <v>45</v>
      </c>
      <c r="E286" t="s">
        <v>68</v>
      </c>
      <c r="F286" t="s">
        <v>309</v>
      </c>
      <c r="G286" t="s">
        <v>1191</v>
      </c>
      <c r="H286" t="s">
        <v>885</v>
      </c>
      <c r="I286" t="s">
        <v>412</v>
      </c>
      <c r="J286">
        <v>35</v>
      </c>
      <c r="K286">
        <v>35</v>
      </c>
      <c r="L286" t="s">
        <v>1192</v>
      </c>
      <c r="M286" s="15">
        <v>46254.355046296296</v>
      </c>
      <c r="N286" s="15">
        <v>46261.354861111111</v>
      </c>
      <c r="O286" s="15">
        <v>46254.531944444447</v>
      </c>
      <c r="P286" s="15">
        <v>46258.410416666666</v>
      </c>
      <c r="Q286" s="15"/>
      <c r="S286" t="s">
        <v>465</v>
      </c>
      <c r="U286" t="s">
        <v>1706</v>
      </c>
      <c r="V286" t="s">
        <v>359</v>
      </c>
      <c r="W286">
        <v>289</v>
      </c>
      <c r="X286" t="s">
        <v>368</v>
      </c>
      <c r="Y286" t="s">
        <v>239</v>
      </c>
      <c r="Z286" t="s">
        <v>826</v>
      </c>
      <c r="AB286" t="s">
        <v>348</v>
      </c>
      <c r="AC286" t="s">
        <v>348</v>
      </c>
      <c r="AD286" t="s">
        <v>369</v>
      </c>
      <c r="AE286" t="s">
        <v>239</v>
      </c>
      <c r="AF286" t="s">
        <v>1707</v>
      </c>
      <c r="AG286" t="s">
        <v>249</v>
      </c>
      <c r="AH286">
        <v>1</v>
      </c>
      <c r="AI286" t="s">
        <v>250</v>
      </c>
      <c r="AJ286" t="s">
        <v>248</v>
      </c>
      <c r="AK286" t="s">
        <v>886</v>
      </c>
      <c r="AL286" t="s">
        <v>203</v>
      </c>
      <c r="AM286" t="s">
        <v>888</v>
      </c>
      <c r="AN286">
        <v>2</v>
      </c>
      <c r="AO286">
        <v>46254</v>
      </c>
      <c r="AP286">
        <v>0.53194444444444444</v>
      </c>
      <c r="AQ286">
        <v>46258</v>
      </c>
      <c r="AR286">
        <v>0.41041666666666665</v>
      </c>
      <c r="AS286" t="s">
        <v>201</v>
      </c>
      <c r="AT286" t="s">
        <v>1954</v>
      </c>
      <c r="AU286" t="s">
        <v>1955</v>
      </c>
      <c r="AV286" t="s">
        <v>829</v>
      </c>
      <c r="AX286">
        <v>3.5</v>
      </c>
      <c r="AY286" t="s">
        <v>89</v>
      </c>
      <c r="AZ286" t="s">
        <v>67</v>
      </c>
      <c r="BA286" t="s">
        <v>217</v>
      </c>
      <c r="BB286" t="s">
        <v>889</v>
      </c>
      <c r="BC286">
        <v>193</v>
      </c>
      <c r="BD286">
        <v>93</v>
      </c>
      <c r="BE286">
        <v>1</v>
      </c>
    </row>
    <row r="287" spans="1:57" x14ac:dyDescent="0.3">
      <c r="A287" s="204">
        <v>46235</v>
      </c>
      <c r="B287" t="s">
        <v>142</v>
      </c>
      <c r="C287" t="s">
        <v>345</v>
      </c>
      <c r="D287" t="s">
        <v>45</v>
      </c>
      <c r="E287" t="s">
        <v>68</v>
      </c>
      <c r="F287" t="s">
        <v>309</v>
      </c>
      <c r="G287" t="s">
        <v>1193</v>
      </c>
      <c r="H287" t="s">
        <v>895</v>
      </c>
      <c r="I287" t="s">
        <v>398</v>
      </c>
      <c r="J287">
        <v>3</v>
      </c>
      <c r="K287">
        <v>3</v>
      </c>
      <c r="L287" t="s">
        <v>1194</v>
      </c>
      <c r="M287" s="15">
        <v>46253.542812500003</v>
      </c>
      <c r="N287" s="15">
        <v>46260.542361111111</v>
      </c>
      <c r="O287" s="15">
        <v>46254.361805555556</v>
      </c>
      <c r="P287" s="15">
        <v>46255.493055555555</v>
      </c>
      <c r="Q287" s="15"/>
      <c r="S287" t="s">
        <v>353</v>
      </c>
      <c r="U287" t="s">
        <v>1708</v>
      </c>
      <c r="V287" t="s">
        <v>353</v>
      </c>
      <c r="W287">
        <v>2100</v>
      </c>
      <c r="X287" t="s">
        <v>368</v>
      </c>
      <c r="Y287" t="s">
        <v>239</v>
      </c>
      <c r="Z287" t="s">
        <v>826</v>
      </c>
      <c r="AB287" t="s">
        <v>348</v>
      </c>
      <c r="AC287" t="s">
        <v>348</v>
      </c>
      <c r="AD287" t="s">
        <v>369</v>
      </c>
      <c r="AE287" t="s">
        <v>239</v>
      </c>
      <c r="AF287" t="s">
        <v>1709</v>
      </c>
      <c r="AG287" t="s">
        <v>249</v>
      </c>
      <c r="AH287">
        <v>1</v>
      </c>
      <c r="AI287" t="s">
        <v>250</v>
      </c>
      <c r="AJ287" t="s">
        <v>248</v>
      </c>
      <c r="AK287" t="s">
        <v>886</v>
      </c>
      <c r="AL287" t="s">
        <v>203</v>
      </c>
      <c r="AM287" t="s">
        <v>888</v>
      </c>
      <c r="AN287">
        <v>2</v>
      </c>
      <c r="AO287">
        <v>46254</v>
      </c>
      <c r="AP287">
        <v>0.36180555555555555</v>
      </c>
      <c r="AQ287">
        <v>46255</v>
      </c>
      <c r="AR287">
        <v>0.49305555555555558</v>
      </c>
      <c r="AS287" t="s">
        <v>201</v>
      </c>
      <c r="AT287" t="s">
        <v>1954</v>
      </c>
      <c r="AU287" t="s">
        <v>1955</v>
      </c>
      <c r="AV287" t="s">
        <v>829</v>
      </c>
      <c r="AX287">
        <v>1</v>
      </c>
      <c r="AY287" t="s">
        <v>89</v>
      </c>
      <c r="AZ287" t="s">
        <v>67</v>
      </c>
      <c r="BA287" t="s">
        <v>217</v>
      </c>
      <c r="BB287" t="s">
        <v>893</v>
      </c>
      <c r="BC287">
        <v>203</v>
      </c>
      <c r="BD287">
        <v>103</v>
      </c>
    </row>
    <row r="288" spans="1:57" x14ac:dyDescent="0.3">
      <c r="A288" s="204">
        <v>46235</v>
      </c>
      <c r="B288" t="s">
        <v>142</v>
      </c>
      <c r="C288" t="s">
        <v>345</v>
      </c>
      <c r="D288" t="s">
        <v>45</v>
      </c>
      <c r="E288" t="s">
        <v>68</v>
      </c>
      <c r="F288" t="s">
        <v>309</v>
      </c>
      <c r="G288" t="s">
        <v>1195</v>
      </c>
      <c r="H288" t="s">
        <v>895</v>
      </c>
      <c r="I288" t="s">
        <v>398</v>
      </c>
      <c r="J288">
        <v>3</v>
      </c>
      <c r="K288">
        <v>3</v>
      </c>
      <c r="L288" t="s">
        <v>1194</v>
      </c>
      <c r="M288" s="15">
        <v>46253.545694444445</v>
      </c>
      <c r="N288" s="15">
        <v>46260.545138888891</v>
      </c>
      <c r="O288" s="15">
        <v>46254.361805555556</v>
      </c>
      <c r="P288" s="15">
        <v>46255.493055555555</v>
      </c>
      <c r="Q288" s="15"/>
      <c r="S288" t="s">
        <v>353</v>
      </c>
      <c r="U288" t="s">
        <v>1710</v>
      </c>
      <c r="V288" t="s">
        <v>353</v>
      </c>
      <c r="W288">
        <v>2100</v>
      </c>
      <c r="X288" t="s">
        <v>368</v>
      </c>
      <c r="Y288" t="s">
        <v>239</v>
      </c>
      <c r="Z288" t="s">
        <v>826</v>
      </c>
      <c r="AB288" t="s">
        <v>348</v>
      </c>
      <c r="AC288" t="s">
        <v>348</v>
      </c>
      <c r="AD288" t="s">
        <v>369</v>
      </c>
      <c r="AE288" t="s">
        <v>239</v>
      </c>
      <c r="AF288" t="s">
        <v>1711</v>
      </c>
      <c r="AG288" t="s">
        <v>249</v>
      </c>
      <c r="AH288">
        <v>1</v>
      </c>
      <c r="AI288" t="s">
        <v>250</v>
      </c>
      <c r="AJ288" t="s">
        <v>248</v>
      </c>
      <c r="AK288" t="s">
        <v>886</v>
      </c>
      <c r="AL288" t="s">
        <v>203</v>
      </c>
      <c r="AM288" t="s">
        <v>888</v>
      </c>
      <c r="AN288">
        <v>2</v>
      </c>
      <c r="AO288">
        <v>46254</v>
      </c>
      <c r="AP288">
        <v>0.36180555555555555</v>
      </c>
      <c r="AQ288">
        <v>46255</v>
      </c>
      <c r="AR288">
        <v>0.49305555555555558</v>
      </c>
      <c r="AS288" t="s">
        <v>201</v>
      </c>
      <c r="AT288" t="s">
        <v>1954</v>
      </c>
      <c r="AU288" t="s">
        <v>1955</v>
      </c>
      <c r="AV288" t="s">
        <v>829</v>
      </c>
      <c r="AX288">
        <v>1</v>
      </c>
      <c r="AY288" t="s">
        <v>89</v>
      </c>
      <c r="AZ288" t="s">
        <v>67</v>
      </c>
      <c r="BA288" t="s">
        <v>217</v>
      </c>
      <c r="BB288" t="s">
        <v>893</v>
      </c>
      <c r="BC288">
        <v>203</v>
      </c>
    </row>
    <row r="289" spans="1:57" x14ac:dyDescent="0.3">
      <c r="A289" s="204">
        <v>46235</v>
      </c>
      <c r="B289" t="s">
        <v>142</v>
      </c>
      <c r="C289" t="s">
        <v>345</v>
      </c>
      <c r="D289" t="s">
        <v>45</v>
      </c>
      <c r="E289" t="s">
        <v>68</v>
      </c>
      <c r="F289" t="s">
        <v>309</v>
      </c>
      <c r="G289" t="s">
        <v>1196</v>
      </c>
      <c r="H289" t="s">
        <v>895</v>
      </c>
      <c r="I289" t="s">
        <v>398</v>
      </c>
      <c r="J289">
        <v>3</v>
      </c>
      <c r="K289">
        <v>3</v>
      </c>
      <c r="L289" t="s">
        <v>1194</v>
      </c>
      <c r="M289" s="15">
        <v>46253.545173611114</v>
      </c>
      <c r="N289" s="15">
        <v>46260.545138888891</v>
      </c>
      <c r="O289" s="15">
        <v>46254.361805555556</v>
      </c>
      <c r="P289" s="15">
        <v>46255.493055555555</v>
      </c>
      <c r="Q289" s="15"/>
      <c r="S289" t="s">
        <v>353</v>
      </c>
      <c r="U289" t="s">
        <v>1712</v>
      </c>
      <c r="V289" t="s">
        <v>353</v>
      </c>
      <c r="W289">
        <v>2100</v>
      </c>
      <c r="X289" t="s">
        <v>368</v>
      </c>
      <c r="Y289" t="s">
        <v>239</v>
      </c>
      <c r="Z289" t="s">
        <v>826</v>
      </c>
      <c r="AB289" t="s">
        <v>348</v>
      </c>
      <c r="AC289" t="s">
        <v>348</v>
      </c>
      <c r="AD289" t="s">
        <v>369</v>
      </c>
      <c r="AE289" t="s">
        <v>239</v>
      </c>
      <c r="AF289" t="s">
        <v>1713</v>
      </c>
      <c r="AG289" t="s">
        <v>249</v>
      </c>
      <c r="AH289">
        <v>1</v>
      </c>
      <c r="AI289" t="s">
        <v>250</v>
      </c>
      <c r="AJ289" t="s">
        <v>248</v>
      </c>
      <c r="AK289" t="s">
        <v>886</v>
      </c>
      <c r="AL289" t="s">
        <v>203</v>
      </c>
      <c r="AM289" t="s">
        <v>888</v>
      </c>
      <c r="AN289">
        <v>2</v>
      </c>
      <c r="AO289">
        <v>46254</v>
      </c>
      <c r="AP289">
        <v>0.36180555555555555</v>
      </c>
      <c r="AQ289">
        <v>46255</v>
      </c>
      <c r="AR289">
        <v>0.49305555555555558</v>
      </c>
      <c r="AS289" t="s">
        <v>201</v>
      </c>
      <c r="AT289" t="s">
        <v>1954</v>
      </c>
      <c r="AU289" t="s">
        <v>1955</v>
      </c>
      <c r="AV289" t="s">
        <v>829</v>
      </c>
      <c r="AX289">
        <v>1</v>
      </c>
      <c r="AY289" t="s">
        <v>89</v>
      </c>
      <c r="AZ289" t="s">
        <v>67</v>
      </c>
      <c r="BA289" t="s">
        <v>217</v>
      </c>
      <c r="BB289" t="s">
        <v>893</v>
      </c>
      <c r="BC289">
        <v>203</v>
      </c>
    </row>
    <row r="290" spans="1:57" x14ac:dyDescent="0.3">
      <c r="A290" s="204">
        <v>46235</v>
      </c>
      <c r="B290" t="s">
        <v>142</v>
      </c>
      <c r="C290" t="s">
        <v>345</v>
      </c>
      <c r="D290" t="s">
        <v>45</v>
      </c>
      <c r="E290" t="s">
        <v>68</v>
      </c>
      <c r="F290" t="s">
        <v>309</v>
      </c>
      <c r="G290" t="s">
        <v>1197</v>
      </c>
      <c r="H290" t="s">
        <v>895</v>
      </c>
      <c r="I290" t="s">
        <v>398</v>
      </c>
      <c r="J290">
        <v>3</v>
      </c>
      <c r="K290">
        <v>3</v>
      </c>
      <c r="L290" t="s">
        <v>1198</v>
      </c>
      <c r="M290" s="15">
        <v>46233.471192129633</v>
      </c>
      <c r="N290" s="15">
        <v>46240.470833333333</v>
      </c>
      <c r="O290" s="15">
        <v>46233.615185185183</v>
      </c>
      <c r="P290" s="15">
        <v>46237.458333333336</v>
      </c>
      <c r="Q290" s="15"/>
      <c r="S290" t="s">
        <v>353</v>
      </c>
      <c r="U290" t="s">
        <v>1714</v>
      </c>
      <c r="V290" t="s">
        <v>353</v>
      </c>
      <c r="W290">
        <v>2100</v>
      </c>
      <c r="X290" t="s">
        <v>368</v>
      </c>
      <c r="Y290" t="s">
        <v>239</v>
      </c>
      <c r="Z290" t="s">
        <v>826</v>
      </c>
      <c r="AB290" t="s">
        <v>348</v>
      </c>
      <c r="AC290" t="s">
        <v>348</v>
      </c>
      <c r="AD290" t="s">
        <v>369</v>
      </c>
      <c r="AE290" t="s">
        <v>239</v>
      </c>
      <c r="AF290" t="s">
        <v>1715</v>
      </c>
      <c r="AG290" t="s">
        <v>249</v>
      </c>
      <c r="AH290">
        <v>1</v>
      </c>
      <c r="AI290" t="s">
        <v>250</v>
      </c>
      <c r="AJ290" t="s">
        <v>248</v>
      </c>
      <c r="AK290" t="s">
        <v>886</v>
      </c>
      <c r="AL290" t="s">
        <v>203</v>
      </c>
      <c r="AM290" t="s">
        <v>888</v>
      </c>
      <c r="AN290">
        <v>2</v>
      </c>
      <c r="AO290">
        <v>46233</v>
      </c>
      <c r="AP290">
        <v>0.61518518518518517</v>
      </c>
      <c r="AQ290">
        <v>46237</v>
      </c>
      <c r="AR290">
        <v>0.45833333333333331</v>
      </c>
      <c r="AS290" t="s">
        <v>201</v>
      </c>
      <c r="AT290" t="s">
        <v>1954</v>
      </c>
      <c r="AU290" t="s">
        <v>1955</v>
      </c>
      <c r="AV290" t="s">
        <v>829</v>
      </c>
      <c r="AX290">
        <v>1</v>
      </c>
      <c r="AY290" t="s">
        <v>89</v>
      </c>
      <c r="AZ290" t="s">
        <v>67</v>
      </c>
      <c r="BA290" t="s">
        <v>217</v>
      </c>
      <c r="BB290" t="s">
        <v>893</v>
      </c>
      <c r="BC290">
        <v>203</v>
      </c>
    </row>
    <row r="291" spans="1:57" x14ac:dyDescent="0.3">
      <c r="A291" s="204">
        <v>46235</v>
      </c>
      <c r="B291" t="s">
        <v>142</v>
      </c>
      <c r="C291" t="s">
        <v>345</v>
      </c>
      <c r="D291" t="s">
        <v>45</v>
      </c>
      <c r="E291" t="s">
        <v>68</v>
      </c>
      <c r="F291" t="s">
        <v>309</v>
      </c>
      <c r="G291" t="s">
        <v>1199</v>
      </c>
      <c r="H291" t="s">
        <v>895</v>
      </c>
      <c r="I291" t="s">
        <v>398</v>
      </c>
      <c r="J291">
        <v>3</v>
      </c>
      <c r="K291">
        <v>3</v>
      </c>
      <c r="L291" t="s">
        <v>1198</v>
      </c>
      <c r="M291" s="15">
        <v>46233.470659722225</v>
      </c>
      <c r="N291" s="15">
        <v>46240.470138888886</v>
      </c>
      <c r="O291" s="15">
        <v>46233.615185185183</v>
      </c>
      <c r="P291" s="15">
        <v>46237.458333333336</v>
      </c>
      <c r="Q291" s="15"/>
      <c r="S291" t="s">
        <v>353</v>
      </c>
      <c r="U291" t="s">
        <v>1716</v>
      </c>
      <c r="V291" t="s">
        <v>353</v>
      </c>
      <c r="W291">
        <v>2100</v>
      </c>
      <c r="X291" t="s">
        <v>368</v>
      </c>
      <c r="Y291" t="s">
        <v>239</v>
      </c>
      <c r="Z291" t="s">
        <v>826</v>
      </c>
      <c r="AB291" t="s">
        <v>348</v>
      </c>
      <c r="AC291" t="s">
        <v>348</v>
      </c>
      <c r="AD291" t="s">
        <v>369</v>
      </c>
      <c r="AE291" t="s">
        <v>239</v>
      </c>
      <c r="AF291" t="s">
        <v>1717</v>
      </c>
      <c r="AG291" t="s">
        <v>249</v>
      </c>
      <c r="AH291">
        <v>1</v>
      </c>
      <c r="AI291" t="s">
        <v>250</v>
      </c>
      <c r="AJ291" t="s">
        <v>248</v>
      </c>
      <c r="AK291" t="s">
        <v>886</v>
      </c>
      <c r="AL291" t="s">
        <v>203</v>
      </c>
      <c r="AM291" t="s">
        <v>888</v>
      </c>
      <c r="AN291">
        <v>2</v>
      </c>
      <c r="AO291">
        <v>46233</v>
      </c>
      <c r="AP291">
        <v>0.61518518518518517</v>
      </c>
      <c r="AQ291">
        <v>46237</v>
      </c>
      <c r="AR291">
        <v>0.45833333333333331</v>
      </c>
      <c r="AS291" t="s">
        <v>201</v>
      </c>
      <c r="AT291" t="s">
        <v>1954</v>
      </c>
      <c r="AU291" t="s">
        <v>1955</v>
      </c>
      <c r="AV291" t="s">
        <v>829</v>
      </c>
      <c r="AX291">
        <v>1</v>
      </c>
      <c r="AY291" t="s">
        <v>89</v>
      </c>
      <c r="AZ291" t="s">
        <v>67</v>
      </c>
      <c r="BA291" t="s">
        <v>217</v>
      </c>
      <c r="BB291" t="s">
        <v>893</v>
      </c>
      <c r="BC291">
        <v>203</v>
      </c>
    </row>
    <row r="292" spans="1:57" x14ac:dyDescent="0.3">
      <c r="A292" s="204">
        <v>46235</v>
      </c>
      <c r="B292" t="s">
        <v>142</v>
      </c>
      <c r="C292" t="s">
        <v>345</v>
      </c>
      <c r="D292" t="s">
        <v>45</v>
      </c>
      <c r="E292" t="s">
        <v>68</v>
      </c>
      <c r="F292" t="s">
        <v>309</v>
      </c>
      <c r="G292" t="s">
        <v>1200</v>
      </c>
      <c r="H292" t="s">
        <v>895</v>
      </c>
      <c r="I292" t="s">
        <v>398</v>
      </c>
      <c r="J292">
        <v>3</v>
      </c>
      <c r="K292">
        <v>3</v>
      </c>
      <c r="L292" t="s">
        <v>1198</v>
      </c>
      <c r="M292" s="15">
        <v>46233.468287037038</v>
      </c>
      <c r="N292" s="15">
        <v>46240.468055555553</v>
      </c>
      <c r="O292" s="15">
        <v>46233.615185185183</v>
      </c>
      <c r="P292" s="15">
        <v>46237.458333333336</v>
      </c>
      <c r="Q292" s="15"/>
      <c r="S292" t="s">
        <v>353</v>
      </c>
      <c r="U292" t="s">
        <v>1718</v>
      </c>
      <c r="V292" t="s">
        <v>353</v>
      </c>
      <c r="W292">
        <v>2100</v>
      </c>
      <c r="X292" t="s">
        <v>368</v>
      </c>
      <c r="Y292" t="s">
        <v>239</v>
      </c>
      <c r="Z292" t="s">
        <v>826</v>
      </c>
      <c r="AB292" t="s">
        <v>348</v>
      </c>
      <c r="AC292" t="s">
        <v>348</v>
      </c>
      <c r="AD292" t="s">
        <v>369</v>
      </c>
      <c r="AE292" t="s">
        <v>239</v>
      </c>
      <c r="AF292" t="s">
        <v>1719</v>
      </c>
      <c r="AG292" t="s">
        <v>249</v>
      </c>
      <c r="AH292">
        <v>1</v>
      </c>
      <c r="AI292" t="s">
        <v>250</v>
      </c>
      <c r="AJ292" t="s">
        <v>248</v>
      </c>
      <c r="AK292" t="s">
        <v>886</v>
      </c>
      <c r="AL292" t="s">
        <v>203</v>
      </c>
      <c r="AM292" t="s">
        <v>888</v>
      </c>
      <c r="AN292">
        <v>2</v>
      </c>
      <c r="AO292">
        <v>46233</v>
      </c>
      <c r="AP292">
        <v>0.61518518518518517</v>
      </c>
      <c r="AQ292">
        <v>46237</v>
      </c>
      <c r="AR292">
        <v>0.45833333333333331</v>
      </c>
      <c r="AS292" t="s">
        <v>201</v>
      </c>
      <c r="AT292" t="s">
        <v>1954</v>
      </c>
      <c r="AU292" t="s">
        <v>1955</v>
      </c>
      <c r="AV292" t="s">
        <v>829</v>
      </c>
      <c r="AX292">
        <v>1</v>
      </c>
      <c r="AY292" t="s">
        <v>89</v>
      </c>
      <c r="AZ292" t="s">
        <v>67</v>
      </c>
      <c r="BA292" t="s">
        <v>217</v>
      </c>
      <c r="BB292" t="s">
        <v>893</v>
      </c>
      <c r="BC292">
        <v>203</v>
      </c>
    </row>
    <row r="293" spans="1:57" x14ac:dyDescent="0.3">
      <c r="A293" s="204">
        <v>46235</v>
      </c>
      <c r="B293" t="s">
        <v>142</v>
      </c>
      <c r="C293" t="s">
        <v>345</v>
      </c>
      <c r="D293" t="s">
        <v>45</v>
      </c>
      <c r="E293" t="s">
        <v>68</v>
      </c>
      <c r="F293" t="s">
        <v>309</v>
      </c>
      <c r="G293" t="s">
        <v>1201</v>
      </c>
      <c r="H293" t="s">
        <v>895</v>
      </c>
      <c r="I293" t="s">
        <v>398</v>
      </c>
      <c r="J293">
        <v>3</v>
      </c>
      <c r="K293">
        <v>3</v>
      </c>
      <c r="L293" t="s">
        <v>1202</v>
      </c>
      <c r="M293" s="15">
        <v>46225.582372685189</v>
      </c>
      <c r="N293" s="15">
        <v>46232.581944444442</v>
      </c>
      <c r="O293" s="15">
        <v>46226.429560185185</v>
      </c>
      <c r="P293" s="15">
        <v>46231.455555555556</v>
      </c>
      <c r="Q293" s="15"/>
      <c r="S293" t="s">
        <v>353</v>
      </c>
      <c r="U293" t="s">
        <v>1720</v>
      </c>
      <c r="V293" t="s">
        <v>353</v>
      </c>
      <c r="W293">
        <v>2100</v>
      </c>
      <c r="X293" t="s">
        <v>368</v>
      </c>
      <c r="Y293" t="s">
        <v>239</v>
      </c>
      <c r="Z293" t="s">
        <v>826</v>
      </c>
      <c r="AB293" t="s">
        <v>348</v>
      </c>
      <c r="AC293" t="s">
        <v>348</v>
      </c>
      <c r="AD293" t="s">
        <v>369</v>
      </c>
      <c r="AE293" t="s">
        <v>239</v>
      </c>
      <c r="AF293" t="s">
        <v>1721</v>
      </c>
      <c r="AG293" t="s">
        <v>249</v>
      </c>
      <c r="AH293">
        <v>1</v>
      </c>
      <c r="AI293" t="s">
        <v>250</v>
      </c>
      <c r="AJ293" t="s">
        <v>248</v>
      </c>
      <c r="AK293" t="s">
        <v>886</v>
      </c>
      <c r="AL293" t="s">
        <v>203</v>
      </c>
      <c r="AM293" t="s">
        <v>888</v>
      </c>
      <c r="AN293">
        <v>2</v>
      </c>
      <c r="AO293">
        <v>46226</v>
      </c>
      <c r="AP293">
        <v>0.42956018518518518</v>
      </c>
      <c r="AQ293">
        <v>46231</v>
      </c>
      <c r="AR293">
        <v>0.45555555555555555</v>
      </c>
      <c r="AS293" t="s">
        <v>201</v>
      </c>
      <c r="AT293" t="s">
        <v>1956</v>
      </c>
      <c r="AU293" t="s">
        <v>1955</v>
      </c>
      <c r="AV293" t="s">
        <v>829</v>
      </c>
      <c r="AX293">
        <v>1</v>
      </c>
      <c r="AY293" t="s">
        <v>89</v>
      </c>
      <c r="AZ293" t="s">
        <v>67</v>
      </c>
      <c r="BA293" t="s">
        <v>217</v>
      </c>
      <c r="BB293" t="s">
        <v>893</v>
      </c>
      <c r="BC293">
        <v>203</v>
      </c>
      <c r="BD293">
        <v>103</v>
      </c>
      <c r="BE293">
        <v>1</v>
      </c>
    </row>
    <row r="294" spans="1:57" x14ac:dyDescent="0.3">
      <c r="A294" s="204">
        <v>46235</v>
      </c>
      <c r="B294" t="s">
        <v>142</v>
      </c>
      <c r="C294" t="s">
        <v>345</v>
      </c>
      <c r="D294" t="s">
        <v>45</v>
      </c>
      <c r="E294" t="s">
        <v>68</v>
      </c>
      <c r="F294" t="s">
        <v>309</v>
      </c>
      <c r="G294" t="s">
        <v>1203</v>
      </c>
      <c r="H294" t="s">
        <v>895</v>
      </c>
      <c r="I294" t="s">
        <v>398</v>
      </c>
      <c r="J294">
        <v>1</v>
      </c>
      <c r="K294">
        <v>1</v>
      </c>
      <c r="L294" t="s">
        <v>1202</v>
      </c>
      <c r="M294" s="15">
        <v>46225.581944444442</v>
      </c>
      <c r="N294" s="15">
        <v>46232.581944444442</v>
      </c>
      <c r="O294" s="15">
        <v>46226.429560185185</v>
      </c>
      <c r="P294" s="15">
        <v>46231.455555555556</v>
      </c>
      <c r="Q294" s="15"/>
      <c r="S294" t="s">
        <v>353</v>
      </c>
      <c r="U294" t="s">
        <v>1722</v>
      </c>
      <c r="V294" t="s">
        <v>353</v>
      </c>
      <c r="W294">
        <v>2100</v>
      </c>
      <c r="X294" t="s">
        <v>368</v>
      </c>
      <c r="Y294" t="s">
        <v>239</v>
      </c>
      <c r="Z294" t="s">
        <v>826</v>
      </c>
      <c r="AB294" t="s">
        <v>348</v>
      </c>
      <c r="AC294" t="s">
        <v>348</v>
      </c>
      <c r="AD294" t="s">
        <v>369</v>
      </c>
      <c r="AE294" t="s">
        <v>239</v>
      </c>
      <c r="AF294" t="s">
        <v>1723</v>
      </c>
      <c r="AG294" t="s">
        <v>249</v>
      </c>
      <c r="AH294">
        <v>1</v>
      </c>
      <c r="AI294" t="s">
        <v>250</v>
      </c>
      <c r="AJ294" t="s">
        <v>248</v>
      </c>
      <c r="AK294" t="s">
        <v>886</v>
      </c>
      <c r="AL294" t="s">
        <v>203</v>
      </c>
      <c r="AM294" t="s">
        <v>888</v>
      </c>
      <c r="AN294">
        <v>2</v>
      </c>
      <c r="AO294">
        <v>46226</v>
      </c>
      <c r="AP294">
        <v>0.42956018518518518</v>
      </c>
      <c r="AQ294">
        <v>46231</v>
      </c>
      <c r="AR294">
        <v>0.45555555555555555</v>
      </c>
      <c r="AS294" t="s">
        <v>201</v>
      </c>
      <c r="AT294" t="s">
        <v>1956</v>
      </c>
      <c r="AU294" t="s">
        <v>1955</v>
      </c>
      <c r="AV294" t="s">
        <v>829</v>
      </c>
      <c r="AX294">
        <v>1</v>
      </c>
      <c r="AY294" t="s">
        <v>89</v>
      </c>
      <c r="AZ294" t="s">
        <v>67</v>
      </c>
      <c r="BA294" t="s">
        <v>217</v>
      </c>
      <c r="BB294" t="s">
        <v>893</v>
      </c>
      <c r="BC294">
        <v>203</v>
      </c>
    </row>
    <row r="295" spans="1:57" x14ac:dyDescent="0.3">
      <c r="A295" s="204">
        <v>46235</v>
      </c>
      <c r="B295" t="s">
        <v>142</v>
      </c>
      <c r="C295" t="s">
        <v>345</v>
      </c>
      <c r="D295" t="s">
        <v>45</v>
      </c>
      <c r="E295" t="s">
        <v>68</v>
      </c>
      <c r="F295" t="s">
        <v>309</v>
      </c>
      <c r="G295" t="s">
        <v>1204</v>
      </c>
      <c r="H295" t="s">
        <v>895</v>
      </c>
      <c r="I295" t="s">
        <v>398</v>
      </c>
      <c r="J295">
        <v>3</v>
      </c>
      <c r="K295">
        <v>3</v>
      </c>
      <c r="L295" t="s">
        <v>1202</v>
      </c>
      <c r="M295" s="15">
        <v>46225.581226851849</v>
      </c>
      <c r="N295" s="15">
        <v>46232.580555555556</v>
      </c>
      <c r="O295" s="15">
        <v>46226.429560185185</v>
      </c>
      <c r="P295" s="15">
        <v>46231.455555555556</v>
      </c>
      <c r="Q295" s="15"/>
      <c r="S295" t="s">
        <v>353</v>
      </c>
      <c r="U295" t="s">
        <v>1724</v>
      </c>
      <c r="V295" t="s">
        <v>353</v>
      </c>
      <c r="W295">
        <v>2100</v>
      </c>
      <c r="X295" t="s">
        <v>368</v>
      </c>
      <c r="Y295" t="s">
        <v>239</v>
      </c>
      <c r="Z295" t="s">
        <v>826</v>
      </c>
      <c r="AB295" t="s">
        <v>348</v>
      </c>
      <c r="AC295" t="s">
        <v>348</v>
      </c>
      <c r="AD295" t="s">
        <v>369</v>
      </c>
      <c r="AE295" t="s">
        <v>239</v>
      </c>
      <c r="AF295" t="s">
        <v>1725</v>
      </c>
      <c r="AG295" t="s">
        <v>249</v>
      </c>
      <c r="AH295">
        <v>1</v>
      </c>
      <c r="AI295" t="s">
        <v>250</v>
      </c>
      <c r="AJ295" t="s">
        <v>248</v>
      </c>
      <c r="AK295" t="s">
        <v>886</v>
      </c>
      <c r="AL295" t="s">
        <v>203</v>
      </c>
      <c r="AM295" t="s">
        <v>888</v>
      </c>
      <c r="AN295">
        <v>2</v>
      </c>
      <c r="AO295">
        <v>46226</v>
      </c>
      <c r="AP295">
        <v>0.42956018518518518</v>
      </c>
      <c r="AQ295">
        <v>46231</v>
      </c>
      <c r="AR295">
        <v>0.45555555555555555</v>
      </c>
      <c r="AS295" t="s">
        <v>201</v>
      </c>
      <c r="AT295" t="s">
        <v>1956</v>
      </c>
      <c r="AU295" t="s">
        <v>1955</v>
      </c>
      <c r="AV295" t="s">
        <v>829</v>
      </c>
      <c r="AX295">
        <v>1</v>
      </c>
      <c r="AY295" t="s">
        <v>89</v>
      </c>
      <c r="AZ295" t="s">
        <v>67</v>
      </c>
      <c r="BA295" t="s">
        <v>217</v>
      </c>
      <c r="BB295" t="s">
        <v>893</v>
      </c>
      <c r="BC295">
        <v>203</v>
      </c>
    </row>
    <row r="296" spans="1:57" x14ac:dyDescent="0.3">
      <c r="A296" s="204">
        <v>46235</v>
      </c>
      <c r="B296" t="s">
        <v>142</v>
      </c>
      <c r="C296" t="s">
        <v>345</v>
      </c>
      <c r="D296" t="s">
        <v>45</v>
      </c>
      <c r="E296" t="s">
        <v>68</v>
      </c>
      <c r="F296" t="s">
        <v>309</v>
      </c>
      <c r="G296" t="s">
        <v>1205</v>
      </c>
      <c r="H296" t="s">
        <v>897</v>
      </c>
      <c r="I296" t="s">
        <v>402</v>
      </c>
      <c r="J296">
        <v>26</v>
      </c>
      <c r="K296">
        <v>26</v>
      </c>
      <c r="L296" t="s">
        <v>1206</v>
      </c>
      <c r="M296" s="15">
        <v>46225.358090277776</v>
      </c>
      <c r="N296" s="15">
        <v>46232.357638888891</v>
      </c>
      <c r="O296" s="15">
        <v>46226.397361111114</v>
      </c>
      <c r="P296" s="15">
        <v>46227.5</v>
      </c>
      <c r="Q296" s="15"/>
      <c r="S296" t="s">
        <v>353</v>
      </c>
      <c r="T296" t="s">
        <v>1726</v>
      </c>
      <c r="U296" t="s">
        <v>1727</v>
      </c>
      <c r="V296" t="s">
        <v>353</v>
      </c>
      <c r="W296">
        <v>2100</v>
      </c>
      <c r="X296" t="s">
        <v>368</v>
      </c>
      <c r="Y296" t="s">
        <v>239</v>
      </c>
      <c r="Z296" t="s">
        <v>826</v>
      </c>
      <c r="AB296" t="s">
        <v>348</v>
      </c>
      <c r="AC296" t="s">
        <v>348</v>
      </c>
      <c r="AD296" t="s">
        <v>369</v>
      </c>
      <c r="AE296" t="s">
        <v>239</v>
      </c>
      <c r="AF296" t="s">
        <v>1728</v>
      </c>
      <c r="AG296" t="s">
        <v>249</v>
      </c>
      <c r="AH296">
        <v>1</v>
      </c>
      <c r="AI296" t="s">
        <v>250</v>
      </c>
      <c r="AJ296" t="s">
        <v>248</v>
      </c>
      <c r="AK296" t="s">
        <v>886</v>
      </c>
      <c r="AL296" t="s">
        <v>203</v>
      </c>
      <c r="AM296" t="s">
        <v>888</v>
      </c>
      <c r="AN296">
        <v>2</v>
      </c>
      <c r="AO296">
        <v>46226</v>
      </c>
      <c r="AP296">
        <v>0.39736111111111111</v>
      </c>
      <c r="AQ296">
        <v>46227</v>
      </c>
      <c r="AR296">
        <v>0.5</v>
      </c>
      <c r="AS296" t="s">
        <v>201</v>
      </c>
      <c r="AT296" t="s">
        <v>1954</v>
      </c>
      <c r="AU296" t="s">
        <v>1955</v>
      </c>
      <c r="AV296" t="s">
        <v>829</v>
      </c>
      <c r="AX296">
        <v>2.6</v>
      </c>
      <c r="AY296" t="s">
        <v>89</v>
      </c>
      <c r="AZ296" t="s">
        <v>67</v>
      </c>
      <c r="BA296" t="s">
        <v>217</v>
      </c>
      <c r="BB296" t="s">
        <v>893</v>
      </c>
      <c r="BC296">
        <v>203</v>
      </c>
      <c r="BE296">
        <v>1.23</v>
      </c>
    </row>
    <row r="297" spans="1:57" x14ac:dyDescent="0.3">
      <c r="A297" s="204">
        <v>46235</v>
      </c>
      <c r="B297" t="s">
        <v>142</v>
      </c>
      <c r="C297" t="s">
        <v>345</v>
      </c>
      <c r="D297" t="s">
        <v>45</v>
      </c>
      <c r="E297" t="s">
        <v>68</v>
      </c>
      <c r="F297" t="s">
        <v>309</v>
      </c>
      <c r="G297" t="s">
        <v>1207</v>
      </c>
      <c r="H297" t="s">
        <v>892</v>
      </c>
      <c r="I297" t="s">
        <v>413</v>
      </c>
      <c r="J297">
        <v>8</v>
      </c>
      <c r="K297">
        <v>8</v>
      </c>
      <c r="L297" t="s">
        <v>1208</v>
      </c>
      <c r="M297" s="15">
        <v>46225.333067129628</v>
      </c>
      <c r="N297" s="15">
        <v>46232.333333333336</v>
      </c>
      <c r="O297" s="15">
        <v>46225.466446759259</v>
      </c>
      <c r="P297" s="15">
        <v>46227.5</v>
      </c>
      <c r="Q297" s="15">
        <v>46227.5</v>
      </c>
      <c r="R297" t="s">
        <v>319</v>
      </c>
      <c r="S297" t="s">
        <v>353</v>
      </c>
      <c r="U297" t="s">
        <v>1729</v>
      </c>
      <c r="V297" t="s">
        <v>353</v>
      </c>
      <c r="W297">
        <v>2100</v>
      </c>
      <c r="X297" t="s">
        <v>368</v>
      </c>
      <c r="Y297" t="s">
        <v>239</v>
      </c>
      <c r="Z297" t="s">
        <v>826</v>
      </c>
      <c r="AB297" t="s">
        <v>348</v>
      </c>
      <c r="AC297" t="s">
        <v>348</v>
      </c>
      <c r="AD297" t="s">
        <v>369</v>
      </c>
      <c r="AE297" t="s">
        <v>239</v>
      </c>
      <c r="AF297" t="s">
        <v>1730</v>
      </c>
      <c r="AG297" t="s">
        <v>249</v>
      </c>
      <c r="AH297">
        <v>1</v>
      </c>
      <c r="AI297" t="s">
        <v>250</v>
      </c>
      <c r="AJ297" t="s">
        <v>248</v>
      </c>
      <c r="AK297" t="s">
        <v>886</v>
      </c>
      <c r="AL297" t="s">
        <v>203</v>
      </c>
      <c r="AM297" t="s">
        <v>888</v>
      </c>
      <c r="AN297">
        <v>2</v>
      </c>
      <c r="AO297">
        <v>46225</v>
      </c>
      <c r="AP297">
        <v>0.46644675925925927</v>
      </c>
      <c r="AQ297">
        <v>46227</v>
      </c>
      <c r="AR297">
        <v>0.5</v>
      </c>
      <c r="AS297" t="s">
        <v>201</v>
      </c>
      <c r="AT297" t="s">
        <v>1956</v>
      </c>
      <c r="AU297" t="s">
        <v>1955</v>
      </c>
      <c r="AV297" t="s">
        <v>829</v>
      </c>
      <c r="AX297">
        <v>1</v>
      </c>
      <c r="AY297" t="s">
        <v>89</v>
      </c>
      <c r="AZ297" t="s">
        <v>67</v>
      </c>
      <c r="BA297" t="s">
        <v>217</v>
      </c>
      <c r="BB297" t="s">
        <v>893</v>
      </c>
      <c r="BC297">
        <v>203</v>
      </c>
      <c r="BD297">
        <v>103</v>
      </c>
    </row>
    <row r="298" spans="1:57" x14ac:dyDescent="0.3">
      <c r="A298" s="204">
        <v>46235</v>
      </c>
      <c r="B298" t="s">
        <v>142</v>
      </c>
      <c r="C298" t="s">
        <v>345</v>
      </c>
      <c r="D298" t="s">
        <v>45</v>
      </c>
      <c r="E298" t="s">
        <v>68</v>
      </c>
      <c r="F298" t="s">
        <v>309</v>
      </c>
      <c r="G298" t="s">
        <v>1209</v>
      </c>
      <c r="H298" t="s">
        <v>895</v>
      </c>
      <c r="I298" t="s">
        <v>398</v>
      </c>
      <c r="J298">
        <v>2</v>
      </c>
      <c r="K298">
        <v>2</v>
      </c>
      <c r="L298" t="s">
        <v>1210</v>
      </c>
      <c r="M298" s="15">
        <v>46223.488009259258</v>
      </c>
      <c r="N298" s="15">
        <v>46230.487500000003</v>
      </c>
      <c r="O298" s="15">
        <v>46223.579861111109</v>
      </c>
      <c r="P298" s="15">
        <v>46231.451388888891</v>
      </c>
      <c r="Q298" s="15">
        <v>46230.708333333336</v>
      </c>
      <c r="S298" t="s">
        <v>353</v>
      </c>
      <c r="U298" t="s">
        <v>1731</v>
      </c>
      <c r="V298" t="s">
        <v>353</v>
      </c>
      <c r="W298">
        <v>2100</v>
      </c>
      <c r="X298" t="s">
        <v>368</v>
      </c>
      <c r="Y298" t="s">
        <v>239</v>
      </c>
      <c r="Z298" t="s">
        <v>826</v>
      </c>
      <c r="AB298" t="s">
        <v>348</v>
      </c>
      <c r="AC298" t="s">
        <v>348</v>
      </c>
      <c r="AD298" t="s">
        <v>369</v>
      </c>
      <c r="AE298" t="s">
        <v>239</v>
      </c>
      <c r="AF298" t="s">
        <v>1732</v>
      </c>
      <c r="AG298" t="s">
        <v>249</v>
      </c>
      <c r="AH298">
        <v>1</v>
      </c>
      <c r="AI298" t="s">
        <v>250</v>
      </c>
      <c r="AJ298" t="s">
        <v>248</v>
      </c>
      <c r="AK298" t="s">
        <v>886</v>
      </c>
      <c r="AL298" t="s">
        <v>203</v>
      </c>
      <c r="AM298" t="s">
        <v>888</v>
      </c>
      <c r="AN298">
        <v>2</v>
      </c>
      <c r="AO298">
        <v>46223</v>
      </c>
      <c r="AP298">
        <v>0.57986111111111116</v>
      </c>
      <c r="AQ298">
        <v>46231</v>
      </c>
      <c r="AR298">
        <v>0.4513888888888889</v>
      </c>
      <c r="AS298" t="s">
        <v>201</v>
      </c>
      <c r="AT298" t="s">
        <v>1956</v>
      </c>
      <c r="AU298" t="s">
        <v>1955</v>
      </c>
      <c r="AV298" t="s">
        <v>829</v>
      </c>
      <c r="AX298">
        <v>1</v>
      </c>
      <c r="AY298" t="s">
        <v>89</v>
      </c>
      <c r="AZ298" t="s">
        <v>67</v>
      </c>
      <c r="BA298" t="s">
        <v>217</v>
      </c>
      <c r="BB298" t="s">
        <v>893</v>
      </c>
      <c r="BC298">
        <v>203</v>
      </c>
      <c r="BD298">
        <v>103</v>
      </c>
    </row>
    <row r="299" spans="1:57" x14ac:dyDescent="0.3">
      <c r="A299" s="204">
        <v>46235</v>
      </c>
      <c r="B299" t="s">
        <v>142</v>
      </c>
      <c r="C299" t="s">
        <v>345</v>
      </c>
      <c r="D299" t="s">
        <v>45</v>
      </c>
      <c r="E299" t="s">
        <v>68</v>
      </c>
      <c r="F299" t="s">
        <v>309</v>
      </c>
      <c r="G299" t="s">
        <v>1211</v>
      </c>
      <c r="H299" t="s">
        <v>895</v>
      </c>
      <c r="I299" t="s">
        <v>398</v>
      </c>
      <c r="J299">
        <v>1</v>
      </c>
      <c r="K299">
        <v>1</v>
      </c>
      <c r="L299" t="s">
        <v>1210</v>
      </c>
      <c r="M299" s="15">
        <v>46223.487222222226</v>
      </c>
      <c r="N299" s="15">
        <v>46230.486805555556</v>
      </c>
      <c r="O299" s="15">
        <v>46223.579861111109</v>
      </c>
      <c r="P299" s="15">
        <v>46231.451388888891</v>
      </c>
      <c r="Q299" s="15">
        <v>46230.708333333336</v>
      </c>
      <c r="S299" t="s">
        <v>353</v>
      </c>
      <c r="U299" t="s">
        <v>1733</v>
      </c>
      <c r="V299" t="s">
        <v>353</v>
      </c>
      <c r="W299">
        <v>2100</v>
      </c>
      <c r="X299" t="s">
        <v>368</v>
      </c>
      <c r="Y299" t="s">
        <v>239</v>
      </c>
      <c r="Z299" t="s">
        <v>826</v>
      </c>
      <c r="AB299" t="s">
        <v>348</v>
      </c>
      <c r="AC299" t="s">
        <v>348</v>
      </c>
      <c r="AD299" t="s">
        <v>369</v>
      </c>
      <c r="AE299" t="s">
        <v>239</v>
      </c>
      <c r="AF299" t="s">
        <v>1734</v>
      </c>
      <c r="AG299" t="s">
        <v>249</v>
      </c>
      <c r="AH299">
        <v>1</v>
      </c>
      <c r="AI299" t="s">
        <v>250</v>
      </c>
      <c r="AJ299" t="s">
        <v>248</v>
      </c>
      <c r="AK299" t="s">
        <v>886</v>
      </c>
      <c r="AL299" t="s">
        <v>203</v>
      </c>
      <c r="AM299" t="s">
        <v>888</v>
      </c>
      <c r="AN299">
        <v>2</v>
      </c>
      <c r="AO299">
        <v>46223</v>
      </c>
      <c r="AP299">
        <v>0.57986111111111116</v>
      </c>
      <c r="AQ299">
        <v>46231</v>
      </c>
      <c r="AR299">
        <v>0.4513888888888889</v>
      </c>
      <c r="AS299" t="s">
        <v>201</v>
      </c>
      <c r="AT299" t="s">
        <v>1956</v>
      </c>
      <c r="AU299" t="s">
        <v>1955</v>
      </c>
      <c r="AV299" t="s">
        <v>829</v>
      </c>
      <c r="AX299">
        <v>1</v>
      </c>
      <c r="AY299" t="s">
        <v>89</v>
      </c>
      <c r="AZ299" t="s">
        <v>67</v>
      </c>
      <c r="BA299" t="s">
        <v>217</v>
      </c>
      <c r="BB299" t="s">
        <v>893</v>
      </c>
      <c r="BC299">
        <v>203</v>
      </c>
    </row>
    <row r="300" spans="1:57" x14ac:dyDescent="0.3">
      <c r="A300" s="204">
        <v>46230</v>
      </c>
      <c r="B300" t="s">
        <v>142</v>
      </c>
      <c r="C300" t="s">
        <v>345</v>
      </c>
      <c r="D300" t="s">
        <v>45</v>
      </c>
      <c r="E300" t="s">
        <v>68</v>
      </c>
      <c r="F300" t="s">
        <v>309</v>
      </c>
      <c r="G300" t="s">
        <v>1212</v>
      </c>
      <c r="H300" t="s">
        <v>898</v>
      </c>
      <c r="I300" t="s">
        <v>402</v>
      </c>
      <c r="J300">
        <v>4</v>
      </c>
      <c r="K300">
        <v>4</v>
      </c>
      <c r="L300" t="s">
        <v>1213</v>
      </c>
      <c r="M300" s="15">
        <v>46225.339780092596</v>
      </c>
      <c r="N300" s="15">
        <v>46232.339583333334</v>
      </c>
      <c r="O300" s="15">
        <v>46225.680555555555</v>
      </c>
      <c r="P300" s="15">
        <v>46227.5</v>
      </c>
      <c r="Q300" s="15"/>
      <c r="S300" t="s">
        <v>353</v>
      </c>
      <c r="T300" t="s">
        <v>837</v>
      </c>
      <c r="U300" t="s">
        <v>1735</v>
      </c>
      <c r="V300" t="s">
        <v>353</v>
      </c>
      <c r="W300">
        <v>2100</v>
      </c>
      <c r="X300" t="s">
        <v>368</v>
      </c>
      <c r="Y300" t="s">
        <v>239</v>
      </c>
      <c r="Z300" t="s">
        <v>826</v>
      </c>
      <c r="AB300" t="s">
        <v>348</v>
      </c>
      <c r="AC300" t="s">
        <v>348</v>
      </c>
      <c r="AD300" t="s">
        <v>369</v>
      </c>
      <c r="AE300" t="s">
        <v>239</v>
      </c>
      <c r="AF300" t="s">
        <v>1736</v>
      </c>
      <c r="AG300" t="s">
        <v>249</v>
      </c>
      <c r="AH300">
        <v>1</v>
      </c>
      <c r="AI300" t="s">
        <v>250</v>
      </c>
      <c r="AJ300" t="s">
        <v>248</v>
      </c>
      <c r="AK300" t="s">
        <v>886</v>
      </c>
      <c r="AL300" t="s">
        <v>203</v>
      </c>
      <c r="AM300" t="s">
        <v>888</v>
      </c>
      <c r="AN300">
        <v>2</v>
      </c>
      <c r="AO300">
        <v>46225</v>
      </c>
      <c r="AP300">
        <v>0.68055555555555558</v>
      </c>
      <c r="AQ300">
        <v>46227</v>
      </c>
      <c r="AR300">
        <v>0.5</v>
      </c>
      <c r="AS300" t="s">
        <v>201</v>
      </c>
      <c r="AT300" t="s">
        <v>1954</v>
      </c>
      <c r="AU300" t="s">
        <v>1955</v>
      </c>
      <c r="AV300" t="s">
        <v>829</v>
      </c>
      <c r="AX300">
        <v>1</v>
      </c>
      <c r="AY300" t="s">
        <v>89</v>
      </c>
      <c r="AZ300" t="s">
        <v>67</v>
      </c>
      <c r="BA300" t="s">
        <v>217</v>
      </c>
      <c r="BB300" t="s">
        <v>893</v>
      </c>
      <c r="BC300">
        <v>203</v>
      </c>
    </row>
    <row r="301" spans="1:57" x14ac:dyDescent="0.3">
      <c r="A301" s="204">
        <v>46230</v>
      </c>
      <c r="B301" t="s">
        <v>142</v>
      </c>
      <c r="C301" t="s">
        <v>345</v>
      </c>
      <c r="D301" t="s">
        <v>45</v>
      </c>
      <c r="E301" t="s">
        <v>68</v>
      </c>
      <c r="F301" t="s">
        <v>309</v>
      </c>
      <c r="G301" t="s">
        <v>1214</v>
      </c>
      <c r="H301" t="s">
        <v>898</v>
      </c>
      <c r="I301" t="s">
        <v>402</v>
      </c>
      <c r="J301">
        <v>2</v>
      </c>
      <c r="K301">
        <v>2</v>
      </c>
      <c r="L301" t="s">
        <v>1213</v>
      </c>
      <c r="M301" s="15">
        <v>46225.337905092594</v>
      </c>
      <c r="N301" s="15">
        <v>46232.337500000001</v>
      </c>
      <c r="O301" s="15">
        <v>46225.680555555555</v>
      </c>
      <c r="P301" s="15">
        <v>46227.5</v>
      </c>
      <c r="Q301" s="15"/>
      <c r="S301" t="s">
        <v>353</v>
      </c>
      <c r="T301" t="s">
        <v>837</v>
      </c>
      <c r="U301" t="s">
        <v>1737</v>
      </c>
      <c r="V301" t="s">
        <v>353</v>
      </c>
      <c r="W301">
        <v>2100</v>
      </c>
      <c r="X301" t="s">
        <v>368</v>
      </c>
      <c r="Y301" t="s">
        <v>239</v>
      </c>
      <c r="Z301" t="s">
        <v>826</v>
      </c>
      <c r="AB301" t="s">
        <v>348</v>
      </c>
      <c r="AC301" t="s">
        <v>348</v>
      </c>
      <c r="AD301" t="s">
        <v>369</v>
      </c>
      <c r="AE301" t="s">
        <v>239</v>
      </c>
      <c r="AF301" t="s">
        <v>1738</v>
      </c>
      <c r="AG301" t="s">
        <v>249</v>
      </c>
      <c r="AH301">
        <v>1</v>
      </c>
      <c r="AI301" t="s">
        <v>250</v>
      </c>
      <c r="AJ301" t="s">
        <v>248</v>
      </c>
      <c r="AK301" t="s">
        <v>886</v>
      </c>
      <c r="AL301" t="s">
        <v>203</v>
      </c>
      <c r="AM301" t="s">
        <v>888</v>
      </c>
      <c r="AN301">
        <v>2</v>
      </c>
      <c r="AO301">
        <v>46225</v>
      </c>
      <c r="AP301">
        <v>0.68055555555555558</v>
      </c>
      <c r="AQ301">
        <v>46227</v>
      </c>
      <c r="AR301">
        <v>0.5</v>
      </c>
      <c r="AS301" t="s">
        <v>201</v>
      </c>
      <c r="AT301" t="s">
        <v>1954</v>
      </c>
      <c r="AU301" t="s">
        <v>1955</v>
      </c>
      <c r="AV301" t="s">
        <v>829</v>
      </c>
      <c r="AX301">
        <v>1</v>
      </c>
      <c r="AY301" t="s">
        <v>89</v>
      </c>
      <c r="AZ301" t="s">
        <v>67</v>
      </c>
      <c r="BA301" t="s">
        <v>217</v>
      </c>
      <c r="BB301" t="s">
        <v>893</v>
      </c>
      <c r="BC301">
        <v>203</v>
      </c>
    </row>
    <row r="302" spans="1:57" x14ac:dyDescent="0.3">
      <c r="A302" s="204">
        <v>46230</v>
      </c>
      <c r="B302" t="s">
        <v>142</v>
      </c>
      <c r="C302" t="s">
        <v>345</v>
      </c>
      <c r="D302" t="s">
        <v>45</v>
      </c>
      <c r="E302" t="s">
        <v>68</v>
      </c>
      <c r="F302" t="s">
        <v>309</v>
      </c>
      <c r="G302" t="s">
        <v>1215</v>
      </c>
      <c r="H302" t="s">
        <v>898</v>
      </c>
      <c r="I302" t="s">
        <v>402</v>
      </c>
      <c r="J302">
        <v>1</v>
      </c>
      <c r="K302">
        <v>1</v>
      </c>
      <c r="L302" t="s">
        <v>1213</v>
      </c>
      <c r="M302" s="15">
        <v>46225.337650462963</v>
      </c>
      <c r="N302" s="15">
        <v>46232.337500000001</v>
      </c>
      <c r="O302" s="15">
        <v>46225.680555555555</v>
      </c>
      <c r="P302" s="15">
        <v>46227.5</v>
      </c>
      <c r="Q302" s="15"/>
      <c r="S302" t="s">
        <v>353</v>
      </c>
      <c r="T302" t="s">
        <v>837</v>
      </c>
      <c r="U302" t="s">
        <v>1739</v>
      </c>
      <c r="V302" t="s">
        <v>353</v>
      </c>
      <c r="W302">
        <v>2100</v>
      </c>
      <c r="X302" t="s">
        <v>368</v>
      </c>
      <c r="Y302" t="s">
        <v>239</v>
      </c>
      <c r="Z302" t="s">
        <v>826</v>
      </c>
      <c r="AB302" t="s">
        <v>348</v>
      </c>
      <c r="AC302" t="s">
        <v>348</v>
      </c>
      <c r="AD302" t="s">
        <v>369</v>
      </c>
      <c r="AE302" t="s">
        <v>239</v>
      </c>
      <c r="AF302" t="s">
        <v>1740</v>
      </c>
      <c r="AG302" t="s">
        <v>249</v>
      </c>
      <c r="AH302">
        <v>1</v>
      </c>
      <c r="AI302" t="s">
        <v>250</v>
      </c>
      <c r="AJ302" t="s">
        <v>248</v>
      </c>
      <c r="AK302" t="s">
        <v>886</v>
      </c>
      <c r="AL302" t="s">
        <v>203</v>
      </c>
      <c r="AM302" t="s">
        <v>888</v>
      </c>
      <c r="AN302">
        <v>2</v>
      </c>
      <c r="AO302">
        <v>46225</v>
      </c>
      <c r="AP302">
        <v>0.68055555555555558</v>
      </c>
      <c r="AQ302">
        <v>46227</v>
      </c>
      <c r="AR302">
        <v>0.5</v>
      </c>
      <c r="AS302" t="s">
        <v>201</v>
      </c>
      <c r="AT302" t="s">
        <v>1954</v>
      </c>
      <c r="AU302" t="s">
        <v>1955</v>
      </c>
      <c r="AV302" t="s">
        <v>829</v>
      </c>
      <c r="AX302">
        <v>1</v>
      </c>
      <c r="AY302" t="s">
        <v>89</v>
      </c>
      <c r="AZ302" t="s">
        <v>67</v>
      </c>
      <c r="BA302" t="s">
        <v>217</v>
      </c>
      <c r="BB302" t="s">
        <v>893</v>
      </c>
      <c r="BC302">
        <v>203</v>
      </c>
    </row>
    <row r="303" spans="1:57" x14ac:dyDescent="0.3">
      <c r="A303" s="204">
        <v>46230</v>
      </c>
      <c r="B303" t="s">
        <v>142</v>
      </c>
      <c r="C303" t="s">
        <v>345</v>
      </c>
      <c r="D303" t="s">
        <v>45</v>
      </c>
      <c r="E303" t="s">
        <v>68</v>
      </c>
      <c r="F303" t="s">
        <v>309</v>
      </c>
      <c r="G303" t="s">
        <v>1216</v>
      </c>
      <c r="H303" t="s">
        <v>894</v>
      </c>
      <c r="I303" t="s">
        <v>402</v>
      </c>
      <c r="J303">
        <v>16</v>
      </c>
      <c r="K303">
        <v>16</v>
      </c>
      <c r="L303" t="s">
        <v>1217</v>
      </c>
      <c r="M303" s="15">
        <v>46224.651469907411</v>
      </c>
      <c r="N303" s="15">
        <v>46231.651388888888</v>
      </c>
      <c r="O303" s="15">
        <v>46225.65902777778</v>
      </c>
      <c r="P303" s="15">
        <v>46227.5</v>
      </c>
      <c r="Q303" s="15">
        <v>46227</v>
      </c>
      <c r="R303" t="s">
        <v>319</v>
      </c>
      <c r="S303" t="s">
        <v>353</v>
      </c>
      <c r="T303" t="s">
        <v>837</v>
      </c>
      <c r="U303" t="s">
        <v>1741</v>
      </c>
      <c r="V303" t="s">
        <v>353</v>
      </c>
      <c r="W303">
        <v>2100</v>
      </c>
      <c r="X303" t="s">
        <v>368</v>
      </c>
      <c r="Y303" t="s">
        <v>239</v>
      </c>
      <c r="Z303" t="s">
        <v>826</v>
      </c>
      <c r="AB303" t="s">
        <v>348</v>
      </c>
      <c r="AC303" t="s">
        <v>348</v>
      </c>
      <c r="AD303" t="s">
        <v>369</v>
      </c>
      <c r="AE303" t="s">
        <v>239</v>
      </c>
      <c r="AF303" t="s">
        <v>1742</v>
      </c>
      <c r="AG303" t="s">
        <v>249</v>
      </c>
      <c r="AH303">
        <v>1</v>
      </c>
      <c r="AI303" t="s">
        <v>250</v>
      </c>
      <c r="AJ303" t="s">
        <v>248</v>
      </c>
      <c r="AK303" t="s">
        <v>886</v>
      </c>
      <c r="AL303" t="s">
        <v>203</v>
      </c>
      <c r="AM303" t="s">
        <v>888</v>
      </c>
      <c r="AN303">
        <v>2</v>
      </c>
      <c r="AO303">
        <v>46225</v>
      </c>
      <c r="AP303">
        <v>0.65902777777777777</v>
      </c>
      <c r="AQ303">
        <v>46227</v>
      </c>
      <c r="AR303">
        <v>0.5</v>
      </c>
      <c r="AS303" t="s">
        <v>201</v>
      </c>
      <c r="AT303" t="s">
        <v>1954</v>
      </c>
      <c r="AU303" t="s">
        <v>1955</v>
      </c>
      <c r="AV303" t="s">
        <v>829</v>
      </c>
      <c r="AX303">
        <v>1.6</v>
      </c>
      <c r="AY303" t="s">
        <v>89</v>
      </c>
      <c r="AZ303" t="s">
        <v>67</v>
      </c>
      <c r="BA303" t="s">
        <v>217</v>
      </c>
      <c r="BB303" t="s">
        <v>893</v>
      </c>
      <c r="BC303">
        <v>203</v>
      </c>
    </row>
    <row r="304" spans="1:57" x14ac:dyDescent="0.3">
      <c r="A304" s="204">
        <v>46230</v>
      </c>
      <c r="B304" t="s">
        <v>142</v>
      </c>
      <c r="C304" t="s">
        <v>345</v>
      </c>
      <c r="D304" t="s">
        <v>45</v>
      </c>
      <c r="E304" t="s">
        <v>68</v>
      </c>
      <c r="F304" t="s">
        <v>309</v>
      </c>
      <c r="G304" t="s">
        <v>1218</v>
      </c>
      <c r="H304" t="s">
        <v>894</v>
      </c>
      <c r="I304" t="s">
        <v>402</v>
      </c>
      <c r="J304">
        <v>6</v>
      </c>
      <c r="K304">
        <v>6</v>
      </c>
      <c r="L304" t="s">
        <v>1217</v>
      </c>
      <c r="M304" s="15">
        <v>46224.65053240741</v>
      </c>
      <c r="N304" s="15">
        <v>46231.65</v>
      </c>
      <c r="O304" s="15">
        <v>46225.65902777778</v>
      </c>
      <c r="P304" s="15">
        <v>46227.5</v>
      </c>
      <c r="Q304" s="15">
        <v>46227</v>
      </c>
      <c r="R304" t="s">
        <v>319</v>
      </c>
      <c r="S304" t="s">
        <v>353</v>
      </c>
      <c r="T304" t="s">
        <v>837</v>
      </c>
      <c r="U304" t="s">
        <v>1743</v>
      </c>
      <c r="V304" t="s">
        <v>353</v>
      </c>
      <c r="W304">
        <v>2100</v>
      </c>
      <c r="X304" t="s">
        <v>368</v>
      </c>
      <c r="Y304" t="s">
        <v>239</v>
      </c>
      <c r="Z304" t="s">
        <v>826</v>
      </c>
      <c r="AB304" t="s">
        <v>348</v>
      </c>
      <c r="AC304" t="s">
        <v>348</v>
      </c>
      <c r="AD304" t="s">
        <v>369</v>
      </c>
      <c r="AE304" t="s">
        <v>239</v>
      </c>
      <c r="AF304" t="s">
        <v>1744</v>
      </c>
      <c r="AG304" t="s">
        <v>249</v>
      </c>
      <c r="AH304">
        <v>1</v>
      </c>
      <c r="AI304" t="s">
        <v>250</v>
      </c>
      <c r="AJ304" t="s">
        <v>248</v>
      </c>
      <c r="AK304" t="s">
        <v>886</v>
      </c>
      <c r="AL304" t="s">
        <v>203</v>
      </c>
      <c r="AM304" t="s">
        <v>888</v>
      </c>
      <c r="AN304">
        <v>2</v>
      </c>
      <c r="AO304">
        <v>46225</v>
      </c>
      <c r="AP304">
        <v>0.65902777777777777</v>
      </c>
      <c r="AQ304">
        <v>46227</v>
      </c>
      <c r="AR304">
        <v>0.5</v>
      </c>
      <c r="AS304" t="s">
        <v>201</v>
      </c>
      <c r="AT304" t="s">
        <v>1954</v>
      </c>
      <c r="AU304" t="s">
        <v>1955</v>
      </c>
      <c r="AV304" t="s">
        <v>829</v>
      </c>
      <c r="AX304">
        <v>1</v>
      </c>
      <c r="AY304" t="s">
        <v>89</v>
      </c>
      <c r="AZ304" t="s">
        <v>67</v>
      </c>
      <c r="BA304" t="s">
        <v>217</v>
      </c>
      <c r="BB304" t="s">
        <v>893</v>
      </c>
      <c r="BC304">
        <v>203</v>
      </c>
    </row>
    <row r="305" spans="1:57" x14ac:dyDescent="0.3">
      <c r="A305" s="204">
        <v>46230</v>
      </c>
      <c r="B305" t="s">
        <v>142</v>
      </c>
      <c r="C305" t="s">
        <v>345</v>
      </c>
      <c r="D305" t="s">
        <v>45</v>
      </c>
      <c r="E305" t="s">
        <v>68</v>
      </c>
      <c r="F305" t="s">
        <v>309</v>
      </c>
      <c r="G305" t="s">
        <v>1219</v>
      </c>
      <c r="H305" t="s">
        <v>898</v>
      </c>
      <c r="I305" t="s">
        <v>402</v>
      </c>
      <c r="J305">
        <v>3</v>
      </c>
      <c r="K305">
        <v>3</v>
      </c>
      <c r="L305" t="s">
        <v>1213</v>
      </c>
      <c r="M305" s="15">
        <v>46225.340196759258</v>
      </c>
      <c r="N305" s="15">
        <v>46232.339583333334</v>
      </c>
      <c r="O305" s="15">
        <v>46225.680555555555</v>
      </c>
      <c r="P305" s="15">
        <v>46227.5</v>
      </c>
      <c r="Q305" s="15"/>
      <c r="S305" t="s">
        <v>353</v>
      </c>
      <c r="T305" t="s">
        <v>837</v>
      </c>
      <c r="U305" t="s">
        <v>1745</v>
      </c>
      <c r="V305" t="s">
        <v>353</v>
      </c>
      <c r="W305">
        <v>2100</v>
      </c>
      <c r="X305" t="s">
        <v>368</v>
      </c>
      <c r="Y305" t="s">
        <v>239</v>
      </c>
      <c r="Z305" t="s">
        <v>826</v>
      </c>
      <c r="AB305" t="s">
        <v>348</v>
      </c>
      <c r="AC305" t="s">
        <v>348</v>
      </c>
      <c r="AD305" t="s">
        <v>369</v>
      </c>
      <c r="AE305" t="s">
        <v>239</v>
      </c>
      <c r="AF305" t="s">
        <v>1746</v>
      </c>
      <c r="AG305" t="s">
        <v>249</v>
      </c>
      <c r="AH305">
        <v>1</v>
      </c>
      <c r="AI305" t="s">
        <v>250</v>
      </c>
      <c r="AJ305" t="s">
        <v>248</v>
      </c>
      <c r="AK305" t="s">
        <v>886</v>
      </c>
      <c r="AL305" t="s">
        <v>203</v>
      </c>
      <c r="AM305" t="s">
        <v>888</v>
      </c>
      <c r="AN305">
        <v>2</v>
      </c>
      <c r="AO305">
        <v>46225</v>
      </c>
      <c r="AP305">
        <v>0.68055555555555558</v>
      </c>
      <c r="AQ305">
        <v>46227</v>
      </c>
      <c r="AR305">
        <v>0.5</v>
      </c>
      <c r="AS305" t="s">
        <v>201</v>
      </c>
      <c r="AT305" t="s">
        <v>1954</v>
      </c>
      <c r="AU305" t="s">
        <v>1955</v>
      </c>
      <c r="AV305" t="s">
        <v>829</v>
      </c>
      <c r="AX305">
        <v>1</v>
      </c>
      <c r="AY305" t="s">
        <v>89</v>
      </c>
      <c r="AZ305" t="s">
        <v>67</v>
      </c>
      <c r="BA305" t="s">
        <v>217</v>
      </c>
      <c r="BB305" t="s">
        <v>893</v>
      </c>
      <c r="BC305">
        <v>203</v>
      </c>
    </row>
    <row r="306" spans="1:57" x14ac:dyDescent="0.3">
      <c r="A306" s="204">
        <v>46230</v>
      </c>
      <c r="B306" t="s">
        <v>142</v>
      </c>
      <c r="C306" t="s">
        <v>345</v>
      </c>
      <c r="D306" t="s">
        <v>45</v>
      </c>
      <c r="E306" t="s">
        <v>68</v>
      </c>
      <c r="F306" t="s">
        <v>309</v>
      </c>
      <c r="G306" t="s">
        <v>1220</v>
      </c>
      <c r="H306" t="s">
        <v>898</v>
      </c>
      <c r="I306" t="s">
        <v>402</v>
      </c>
      <c r="J306">
        <v>3</v>
      </c>
      <c r="K306">
        <v>3</v>
      </c>
      <c r="L306" t="s">
        <v>1213</v>
      </c>
      <c r="M306" s="15">
        <v>46225.340752314813</v>
      </c>
      <c r="N306" s="15">
        <v>46232.340277777781</v>
      </c>
      <c r="O306" s="15">
        <v>46225.680555555555</v>
      </c>
      <c r="P306" s="15">
        <v>46227.5</v>
      </c>
      <c r="Q306" s="15"/>
      <c r="S306" t="s">
        <v>353</v>
      </c>
      <c r="T306" t="s">
        <v>837</v>
      </c>
      <c r="U306" t="s">
        <v>1747</v>
      </c>
      <c r="V306" t="s">
        <v>353</v>
      </c>
      <c r="W306">
        <v>2100</v>
      </c>
      <c r="X306" t="s">
        <v>368</v>
      </c>
      <c r="Y306" t="s">
        <v>239</v>
      </c>
      <c r="Z306" t="s">
        <v>826</v>
      </c>
      <c r="AB306" t="s">
        <v>348</v>
      </c>
      <c r="AC306" t="s">
        <v>348</v>
      </c>
      <c r="AD306" t="s">
        <v>369</v>
      </c>
      <c r="AE306" t="s">
        <v>239</v>
      </c>
      <c r="AF306" t="s">
        <v>1748</v>
      </c>
      <c r="AG306" t="s">
        <v>249</v>
      </c>
      <c r="AH306">
        <v>1</v>
      </c>
      <c r="AI306" t="s">
        <v>250</v>
      </c>
      <c r="AJ306" t="s">
        <v>248</v>
      </c>
      <c r="AK306" t="s">
        <v>886</v>
      </c>
      <c r="AL306" t="s">
        <v>203</v>
      </c>
      <c r="AM306" t="s">
        <v>888</v>
      </c>
      <c r="AN306">
        <v>2</v>
      </c>
      <c r="AO306">
        <v>46225</v>
      </c>
      <c r="AP306">
        <v>0.68055555555555558</v>
      </c>
      <c r="AQ306">
        <v>46227</v>
      </c>
      <c r="AR306">
        <v>0.5</v>
      </c>
      <c r="AS306" t="s">
        <v>201</v>
      </c>
      <c r="AT306" t="s">
        <v>1954</v>
      </c>
      <c r="AU306" t="s">
        <v>1955</v>
      </c>
      <c r="AV306" t="s">
        <v>829</v>
      </c>
      <c r="AX306">
        <v>1</v>
      </c>
      <c r="AY306" t="s">
        <v>89</v>
      </c>
      <c r="AZ306" t="s">
        <v>67</v>
      </c>
      <c r="BA306" t="s">
        <v>217</v>
      </c>
      <c r="BB306" t="s">
        <v>893</v>
      </c>
      <c r="BC306">
        <v>203</v>
      </c>
    </row>
    <row r="307" spans="1:57" x14ac:dyDescent="0.3">
      <c r="A307" s="204">
        <v>46230</v>
      </c>
      <c r="B307" t="s">
        <v>142</v>
      </c>
      <c r="C307" t="s">
        <v>345</v>
      </c>
      <c r="D307" t="s">
        <v>63</v>
      </c>
      <c r="E307" t="s">
        <v>95</v>
      </c>
      <c r="F307" t="s">
        <v>309</v>
      </c>
      <c r="G307" t="s">
        <v>1221</v>
      </c>
      <c r="H307" t="s">
        <v>890</v>
      </c>
      <c r="I307" t="s">
        <v>399</v>
      </c>
      <c r="J307">
        <v>1</v>
      </c>
      <c r="K307">
        <v>1</v>
      </c>
      <c r="L307" t="s">
        <v>1222</v>
      </c>
      <c r="M307" s="15">
        <v>46230.561921296299</v>
      </c>
      <c r="N307" s="15">
        <v>46237.561805555553</v>
      </c>
      <c r="O307" s="15">
        <v>46231.383333333331</v>
      </c>
      <c r="P307" s="15">
        <v>46237.474999999999</v>
      </c>
      <c r="Q307" s="15"/>
      <c r="S307" t="s">
        <v>353</v>
      </c>
      <c r="U307" t="s">
        <v>1749</v>
      </c>
      <c r="V307" t="s">
        <v>353</v>
      </c>
      <c r="W307">
        <v>2100</v>
      </c>
      <c r="X307" t="s">
        <v>368</v>
      </c>
      <c r="Y307" t="s">
        <v>239</v>
      </c>
      <c r="Z307" t="s">
        <v>851</v>
      </c>
      <c r="AB307" t="s">
        <v>348</v>
      </c>
      <c r="AC307" t="s">
        <v>7</v>
      </c>
      <c r="AD307" t="s">
        <v>7</v>
      </c>
      <c r="AE307" t="s">
        <v>7</v>
      </c>
      <c r="AF307" t="s">
        <v>1750</v>
      </c>
      <c r="AG307" t="s">
        <v>249</v>
      </c>
      <c r="AH307">
        <v>2</v>
      </c>
      <c r="AI307" t="s">
        <v>250</v>
      </c>
      <c r="AJ307" t="s">
        <v>251</v>
      </c>
      <c r="AK307" t="s">
        <v>886</v>
      </c>
      <c r="AL307" t="s">
        <v>203</v>
      </c>
      <c r="AM307" t="s">
        <v>1655</v>
      </c>
      <c r="AO307">
        <v>46231</v>
      </c>
      <c r="AP307">
        <v>0.38333333333333336</v>
      </c>
      <c r="AQ307">
        <v>46237</v>
      </c>
      <c r="AR307">
        <v>0.47499999999999998</v>
      </c>
      <c r="AS307" t="s">
        <v>201</v>
      </c>
      <c r="AT307" t="s">
        <v>1954</v>
      </c>
      <c r="AU307" t="s">
        <v>1955</v>
      </c>
      <c r="AV307" t="s">
        <v>937</v>
      </c>
      <c r="AX307">
        <v>1</v>
      </c>
      <c r="AY307" t="s">
        <v>111</v>
      </c>
      <c r="AZ307" t="s">
        <v>96</v>
      </c>
      <c r="BA307" t="s">
        <v>225</v>
      </c>
      <c r="BB307" t="s">
        <v>891</v>
      </c>
      <c r="BE307">
        <v>1</v>
      </c>
    </row>
    <row r="308" spans="1:57" x14ac:dyDescent="0.3">
      <c r="A308" s="204">
        <v>46230</v>
      </c>
      <c r="B308" t="s">
        <v>142</v>
      </c>
      <c r="C308" t="s">
        <v>345</v>
      </c>
      <c r="D308" t="s">
        <v>57</v>
      </c>
      <c r="E308" t="s">
        <v>117</v>
      </c>
      <c r="F308" t="s">
        <v>309</v>
      </c>
      <c r="G308" t="s">
        <v>1221</v>
      </c>
      <c r="H308" t="s">
        <v>890</v>
      </c>
      <c r="I308" t="s">
        <v>399</v>
      </c>
      <c r="J308">
        <v>1</v>
      </c>
      <c r="K308">
        <v>1</v>
      </c>
      <c r="L308" t="s">
        <v>1222</v>
      </c>
      <c r="M308" s="15">
        <v>46230.561921296299</v>
      </c>
      <c r="N308" s="15">
        <v>46237.561805555553</v>
      </c>
      <c r="O308" s="15">
        <v>46231.383333333331</v>
      </c>
      <c r="P308" s="15">
        <v>46237.474999999999</v>
      </c>
      <c r="Q308" s="15"/>
      <c r="S308" t="s">
        <v>353</v>
      </c>
      <c r="U308" t="s">
        <v>1749</v>
      </c>
      <c r="V308" t="s">
        <v>353</v>
      </c>
      <c r="W308">
        <v>2100</v>
      </c>
      <c r="X308" t="s">
        <v>368</v>
      </c>
      <c r="Y308" t="s">
        <v>239</v>
      </c>
      <c r="Z308" t="s">
        <v>851</v>
      </c>
      <c r="AB308" t="s">
        <v>348</v>
      </c>
      <c r="AC308" t="s">
        <v>7</v>
      </c>
      <c r="AD308" t="s">
        <v>7</v>
      </c>
      <c r="AE308" t="s">
        <v>7</v>
      </c>
      <c r="AF308" t="s">
        <v>1751</v>
      </c>
      <c r="AG308" t="s">
        <v>249</v>
      </c>
      <c r="AH308">
        <v>2</v>
      </c>
      <c r="AI308" t="s">
        <v>250</v>
      </c>
      <c r="AJ308" t="s">
        <v>251</v>
      </c>
      <c r="AK308" t="s">
        <v>886</v>
      </c>
      <c r="AL308" t="s">
        <v>203</v>
      </c>
      <c r="AM308" t="s">
        <v>899</v>
      </c>
      <c r="AO308">
        <v>46231</v>
      </c>
      <c r="AP308">
        <v>0.38333333333333336</v>
      </c>
      <c r="AQ308">
        <v>46237</v>
      </c>
      <c r="AR308">
        <v>0.47499999999999998</v>
      </c>
      <c r="AS308" t="s">
        <v>201</v>
      </c>
      <c r="AT308" t="s">
        <v>1954</v>
      </c>
      <c r="AU308" t="s">
        <v>1955</v>
      </c>
      <c r="AV308" t="s">
        <v>862</v>
      </c>
      <c r="AX308">
        <v>1</v>
      </c>
      <c r="AY308" t="s">
        <v>126</v>
      </c>
      <c r="AZ308" t="s">
        <v>127</v>
      </c>
      <c r="BA308" t="s">
        <v>233</v>
      </c>
      <c r="BB308" t="s">
        <v>891</v>
      </c>
      <c r="BE308">
        <v>1</v>
      </c>
    </row>
    <row r="309" spans="1:57" x14ac:dyDescent="0.3">
      <c r="A309" s="204">
        <v>46230</v>
      </c>
      <c r="B309" t="s">
        <v>142</v>
      </c>
      <c r="C309" t="s">
        <v>345</v>
      </c>
      <c r="D309" t="s">
        <v>279</v>
      </c>
      <c r="E309" t="s">
        <v>192</v>
      </c>
      <c r="F309" t="s">
        <v>309</v>
      </c>
      <c r="G309" t="s">
        <v>1221</v>
      </c>
      <c r="H309" t="s">
        <v>890</v>
      </c>
      <c r="I309" t="s">
        <v>399</v>
      </c>
      <c r="J309">
        <v>245</v>
      </c>
      <c r="K309">
        <v>245</v>
      </c>
      <c r="L309" t="s">
        <v>1222</v>
      </c>
      <c r="M309" s="15">
        <v>46230.561921296299</v>
      </c>
      <c r="N309" s="15">
        <v>46237.561805555553</v>
      </c>
      <c r="O309" s="15">
        <v>46231.383333333331</v>
      </c>
      <c r="P309" s="15">
        <v>46237.474999999999</v>
      </c>
      <c r="Q309" s="15"/>
      <c r="S309" t="s">
        <v>353</v>
      </c>
      <c r="U309" t="s">
        <v>1749</v>
      </c>
      <c r="V309" t="s">
        <v>353</v>
      </c>
      <c r="W309">
        <v>2100</v>
      </c>
      <c r="X309" t="s">
        <v>368</v>
      </c>
      <c r="Y309" t="s">
        <v>239</v>
      </c>
      <c r="Z309" t="s">
        <v>851</v>
      </c>
      <c r="AB309" t="s">
        <v>348</v>
      </c>
      <c r="AC309" t="s">
        <v>7</v>
      </c>
      <c r="AD309" t="s">
        <v>7</v>
      </c>
      <c r="AE309" t="s">
        <v>7</v>
      </c>
      <c r="AF309" t="s">
        <v>1752</v>
      </c>
      <c r="AG309" t="s">
        <v>249</v>
      </c>
      <c r="AH309">
        <v>2</v>
      </c>
      <c r="AI309" t="s">
        <v>250</v>
      </c>
      <c r="AJ309" t="s">
        <v>248</v>
      </c>
      <c r="AK309" t="s">
        <v>886</v>
      </c>
      <c r="AL309" t="s">
        <v>203</v>
      </c>
      <c r="AM309" t="s">
        <v>900</v>
      </c>
      <c r="AN309">
        <v>3</v>
      </c>
      <c r="AO309">
        <v>46231</v>
      </c>
      <c r="AP309">
        <v>0.38333333333333336</v>
      </c>
      <c r="AQ309">
        <v>46237</v>
      </c>
      <c r="AR309">
        <v>0.47499999999999998</v>
      </c>
      <c r="AS309" t="s">
        <v>201</v>
      </c>
      <c r="AT309" t="s">
        <v>1956</v>
      </c>
      <c r="AU309" t="s">
        <v>1955</v>
      </c>
      <c r="AV309" t="s">
        <v>856</v>
      </c>
      <c r="AW309">
        <v>1</v>
      </c>
      <c r="AX309">
        <v>245</v>
      </c>
      <c r="AY309" t="s">
        <v>125</v>
      </c>
      <c r="AZ309" t="s">
        <v>122</v>
      </c>
      <c r="BA309" t="s">
        <v>232</v>
      </c>
      <c r="BB309" t="s">
        <v>891</v>
      </c>
      <c r="BE309">
        <v>24.5</v>
      </c>
    </row>
    <row r="310" spans="1:57" x14ac:dyDescent="0.3">
      <c r="A310" s="204">
        <v>46230</v>
      </c>
      <c r="B310" t="s">
        <v>142</v>
      </c>
      <c r="C310" t="s">
        <v>345</v>
      </c>
      <c r="D310" t="s">
        <v>45</v>
      </c>
      <c r="E310" t="s">
        <v>68</v>
      </c>
      <c r="F310" t="s">
        <v>309</v>
      </c>
      <c r="G310" t="s">
        <v>1223</v>
      </c>
      <c r="H310" t="s">
        <v>896</v>
      </c>
      <c r="I310" t="s">
        <v>398</v>
      </c>
      <c r="J310">
        <v>3</v>
      </c>
      <c r="K310">
        <v>3</v>
      </c>
      <c r="L310" t="s">
        <v>1224</v>
      </c>
      <c r="M310" s="15">
        <v>46230.441238425927</v>
      </c>
      <c r="N310" s="15">
        <v>46237.440972222219</v>
      </c>
      <c r="O310" s="15">
        <v>46230.705555555556</v>
      </c>
      <c r="P310" s="15">
        <v>46231.431944444441</v>
      </c>
      <c r="Q310" s="15"/>
      <c r="S310" t="s">
        <v>353</v>
      </c>
      <c r="T310" t="s">
        <v>837</v>
      </c>
      <c r="U310" t="s">
        <v>1753</v>
      </c>
      <c r="V310" t="s">
        <v>353</v>
      </c>
      <c r="W310">
        <v>2100</v>
      </c>
      <c r="X310" t="s">
        <v>368</v>
      </c>
      <c r="Y310" t="s">
        <v>239</v>
      </c>
      <c r="Z310" t="s">
        <v>826</v>
      </c>
      <c r="AB310" t="s">
        <v>348</v>
      </c>
      <c r="AC310" t="s">
        <v>348</v>
      </c>
      <c r="AD310" t="s">
        <v>369</v>
      </c>
      <c r="AE310" t="s">
        <v>239</v>
      </c>
      <c r="AF310" t="s">
        <v>1754</v>
      </c>
      <c r="AG310" t="s">
        <v>249</v>
      </c>
      <c r="AH310">
        <v>1</v>
      </c>
      <c r="AI310" t="s">
        <v>250</v>
      </c>
      <c r="AJ310" t="s">
        <v>248</v>
      </c>
      <c r="AK310" t="s">
        <v>886</v>
      </c>
      <c r="AL310" t="s">
        <v>203</v>
      </c>
      <c r="AM310" t="s">
        <v>888</v>
      </c>
      <c r="AN310">
        <v>2</v>
      </c>
      <c r="AO310">
        <v>46230</v>
      </c>
      <c r="AP310">
        <v>0.7055555555555556</v>
      </c>
      <c r="AQ310">
        <v>46231</v>
      </c>
      <c r="AR310">
        <v>0.43194444444444446</v>
      </c>
      <c r="AS310" t="s">
        <v>201</v>
      </c>
      <c r="AT310" t="s">
        <v>1954</v>
      </c>
      <c r="AU310" t="s">
        <v>1955</v>
      </c>
      <c r="AV310" t="s">
        <v>829</v>
      </c>
      <c r="AX310">
        <v>1</v>
      </c>
      <c r="AY310" t="s">
        <v>89</v>
      </c>
      <c r="AZ310" t="s">
        <v>67</v>
      </c>
      <c r="BA310" t="s">
        <v>217</v>
      </c>
      <c r="BB310" t="s">
        <v>893</v>
      </c>
      <c r="BC310">
        <v>203</v>
      </c>
      <c r="BD310">
        <v>103</v>
      </c>
    </row>
    <row r="311" spans="1:57" x14ac:dyDescent="0.3">
      <c r="A311" s="204">
        <v>46230</v>
      </c>
      <c r="B311" t="s">
        <v>142</v>
      </c>
      <c r="C311" t="s">
        <v>345</v>
      </c>
      <c r="D311" t="s">
        <v>45</v>
      </c>
      <c r="E311" t="s">
        <v>68</v>
      </c>
      <c r="F311" t="s">
        <v>309</v>
      </c>
      <c r="G311" t="s">
        <v>1225</v>
      </c>
      <c r="H311" t="s">
        <v>896</v>
      </c>
      <c r="I311" t="s">
        <v>398</v>
      </c>
      <c r="J311">
        <v>4</v>
      </c>
      <c r="K311">
        <v>4</v>
      </c>
      <c r="L311" t="s">
        <v>1224</v>
      </c>
      <c r="M311" s="15">
        <v>46230.439814814818</v>
      </c>
      <c r="N311" s="15">
        <v>46237.439583333333</v>
      </c>
      <c r="O311" s="15">
        <v>46230.705555555556</v>
      </c>
      <c r="P311" s="15">
        <v>46231.431944444441</v>
      </c>
      <c r="Q311" s="15"/>
      <c r="S311" t="s">
        <v>353</v>
      </c>
      <c r="T311" t="s">
        <v>837</v>
      </c>
      <c r="U311" t="s">
        <v>1755</v>
      </c>
      <c r="V311" t="s">
        <v>353</v>
      </c>
      <c r="W311">
        <v>2100</v>
      </c>
      <c r="X311" t="s">
        <v>368</v>
      </c>
      <c r="Y311" t="s">
        <v>239</v>
      </c>
      <c r="Z311" t="s">
        <v>826</v>
      </c>
      <c r="AB311" t="s">
        <v>348</v>
      </c>
      <c r="AC311" t="s">
        <v>348</v>
      </c>
      <c r="AD311" t="s">
        <v>369</v>
      </c>
      <c r="AE311" t="s">
        <v>239</v>
      </c>
      <c r="AF311" t="s">
        <v>1756</v>
      </c>
      <c r="AG311" t="s">
        <v>249</v>
      </c>
      <c r="AH311">
        <v>1</v>
      </c>
      <c r="AI311" t="s">
        <v>250</v>
      </c>
      <c r="AJ311" t="s">
        <v>248</v>
      </c>
      <c r="AK311" t="s">
        <v>886</v>
      </c>
      <c r="AL311" t="s">
        <v>203</v>
      </c>
      <c r="AM311" t="s">
        <v>888</v>
      </c>
      <c r="AN311">
        <v>2</v>
      </c>
      <c r="AO311">
        <v>46230</v>
      </c>
      <c r="AP311">
        <v>0.7055555555555556</v>
      </c>
      <c r="AQ311">
        <v>46231</v>
      </c>
      <c r="AR311">
        <v>0.43194444444444446</v>
      </c>
      <c r="AS311" t="s">
        <v>201</v>
      </c>
      <c r="AT311" t="s">
        <v>1954</v>
      </c>
      <c r="AU311" t="s">
        <v>1955</v>
      </c>
      <c r="AV311" t="s">
        <v>829</v>
      </c>
      <c r="AX311">
        <v>1</v>
      </c>
      <c r="AY311" t="s">
        <v>89</v>
      </c>
      <c r="AZ311" t="s">
        <v>67</v>
      </c>
      <c r="BA311" t="s">
        <v>217</v>
      </c>
      <c r="BB311" t="s">
        <v>893</v>
      </c>
      <c r="BC311">
        <v>203</v>
      </c>
    </row>
    <row r="312" spans="1:57" x14ac:dyDescent="0.3">
      <c r="A312" s="204">
        <v>46230</v>
      </c>
      <c r="B312" t="s">
        <v>142</v>
      </c>
      <c r="C312" t="s">
        <v>345</v>
      </c>
      <c r="D312" t="s">
        <v>43</v>
      </c>
      <c r="E312" t="s">
        <v>105</v>
      </c>
      <c r="F312" t="s">
        <v>309</v>
      </c>
      <c r="G312" t="s">
        <v>1226</v>
      </c>
      <c r="H312" t="s">
        <v>1757</v>
      </c>
      <c r="I312" t="s">
        <v>1227</v>
      </c>
      <c r="J312">
        <v>1</v>
      </c>
      <c r="K312">
        <v>1</v>
      </c>
      <c r="L312" t="s">
        <v>1228</v>
      </c>
      <c r="M312" s="15">
        <v>46226.43414351852</v>
      </c>
      <c r="N312" s="15">
        <v>46233.434027777781</v>
      </c>
      <c r="O312" s="15">
        <v>46226.474999999999</v>
      </c>
      <c r="P312" s="15">
        <v>46231.455555555556</v>
      </c>
      <c r="Q312" s="15"/>
      <c r="S312" t="s">
        <v>353</v>
      </c>
      <c r="T312" t="s">
        <v>837</v>
      </c>
      <c r="V312" t="s">
        <v>353</v>
      </c>
      <c r="W312">
        <v>2100</v>
      </c>
      <c r="X312" t="s">
        <v>368</v>
      </c>
      <c r="Y312" t="s">
        <v>239</v>
      </c>
      <c r="Z312" t="s">
        <v>826</v>
      </c>
      <c r="AB312" t="s">
        <v>348</v>
      </c>
      <c r="AC312" t="s">
        <v>348</v>
      </c>
      <c r="AD312" t="s">
        <v>369</v>
      </c>
      <c r="AE312" t="s">
        <v>239</v>
      </c>
      <c r="AF312" t="s">
        <v>1758</v>
      </c>
      <c r="AG312" t="s">
        <v>249</v>
      </c>
      <c r="AH312">
        <v>1</v>
      </c>
      <c r="AI312" t="s">
        <v>250</v>
      </c>
      <c r="AJ312" t="s">
        <v>248</v>
      </c>
      <c r="AK312" t="s">
        <v>886</v>
      </c>
      <c r="AL312" t="s">
        <v>203</v>
      </c>
      <c r="AM312" t="s">
        <v>902</v>
      </c>
      <c r="AN312">
        <v>2</v>
      </c>
      <c r="AO312">
        <v>46226</v>
      </c>
      <c r="AP312">
        <v>0.47499999999999998</v>
      </c>
      <c r="AQ312">
        <v>46231</v>
      </c>
      <c r="AR312">
        <v>0.45555555555555555</v>
      </c>
      <c r="AS312" t="s">
        <v>201</v>
      </c>
      <c r="AT312" t="s">
        <v>1956</v>
      </c>
      <c r="AU312" t="s">
        <v>1955</v>
      </c>
      <c r="AV312" t="s">
        <v>839</v>
      </c>
      <c r="AX312">
        <v>1</v>
      </c>
      <c r="AY312" t="s">
        <v>89</v>
      </c>
      <c r="AZ312" t="s">
        <v>67</v>
      </c>
      <c r="BA312" t="s">
        <v>217</v>
      </c>
      <c r="BB312" t="s">
        <v>893</v>
      </c>
      <c r="BC312">
        <v>203</v>
      </c>
    </row>
    <row r="313" spans="1:57" x14ac:dyDescent="0.3">
      <c r="A313" s="204">
        <v>46230</v>
      </c>
      <c r="B313" t="s">
        <v>142</v>
      </c>
      <c r="C313" t="s">
        <v>345</v>
      </c>
      <c r="D313" t="s">
        <v>45</v>
      </c>
      <c r="E313" t="s">
        <v>68</v>
      </c>
      <c r="F313" t="s">
        <v>309</v>
      </c>
      <c r="G313" t="s">
        <v>1229</v>
      </c>
      <c r="H313" t="s">
        <v>898</v>
      </c>
      <c r="I313" t="s">
        <v>402</v>
      </c>
      <c r="J313">
        <v>11</v>
      </c>
      <c r="K313">
        <v>11</v>
      </c>
      <c r="L313" t="s">
        <v>1213</v>
      </c>
      <c r="M313" s="15">
        <v>46225.341481481482</v>
      </c>
      <c r="N313" s="15">
        <v>46232.34097222222</v>
      </c>
      <c r="O313" s="15">
        <v>46225.680555555555</v>
      </c>
      <c r="P313" s="15">
        <v>46227.5</v>
      </c>
      <c r="Q313" s="15"/>
      <c r="S313" t="s">
        <v>353</v>
      </c>
      <c r="T313" t="s">
        <v>837</v>
      </c>
      <c r="U313" t="s">
        <v>1759</v>
      </c>
      <c r="V313" t="s">
        <v>353</v>
      </c>
      <c r="W313">
        <v>2100</v>
      </c>
      <c r="X313" t="s">
        <v>368</v>
      </c>
      <c r="Y313" t="s">
        <v>239</v>
      </c>
      <c r="Z313" t="s">
        <v>826</v>
      </c>
      <c r="AB313" t="s">
        <v>348</v>
      </c>
      <c r="AC313" t="s">
        <v>348</v>
      </c>
      <c r="AD313" t="s">
        <v>369</v>
      </c>
      <c r="AE313" t="s">
        <v>239</v>
      </c>
      <c r="AF313" t="s">
        <v>1760</v>
      </c>
      <c r="AG313" t="s">
        <v>249</v>
      </c>
      <c r="AH313">
        <v>1</v>
      </c>
      <c r="AI313" t="s">
        <v>250</v>
      </c>
      <c r="AJ313" t="s">
        <v>248</v>
      </c>
      <c r="AK313" t="s">
        <v>886</v>
      </c>
      <c r="AL313" t="s">
        <v>203</v>
      </c>
      <c r="AM313" t="s">
        <v>888</v>
      </c>
      <c r="AN313">
        <v>2</v>
      </c>
      <c r="AO313">
        <v>46225</v>
      </c>
      <c r="AP313">
        <v>0.68055555555555558</v>
      </c>
      <c r="AQ313">
        <v>46227</v>
      </c>
      <c r="AR313">
        <v>0.5</v>
      </c>
      <c r="AS313" t="s">
        <v>201</v>
      </c>
      <c r="AT313" t="s">
        <v>1954</v>
      </c>
      <c r="AU313" t="s">
        <v>1955</v>
      </c>
      <c r="AV313" t="s">
        <v>829</v>
      </c>
      <c r="AX313">
        <v>1.1000000000000001</v>
      </c>
      <c r="AY313" t="s">
        <v>89</v>
      </c>
      <c r="AZ313" t="s">
        <v>67</v>
      </c>
      <c r="BA313" t="s">
        <v>217</v>
      </c>
      <c r="BB313" t="s">
        <v>893</v>
      </c>
      <c r="BC313">
        <v>203</v>
      </c>
    </row>
    <row r="314" spans="1:57" x14ac:dyDescent="0.3">
      <c r="A314" s="204">
        <v>46235</v>
      </c>
      <c r="B314" t="s">
        <v>142</v>
      </c>
      <c r="C314" t="s">
        <v>345</v>
      </c>
      <c r="D314" t="s">
        <v>45</v>
      </c>
      <c r="E314" t="s">
        <v>68</v>
      </c>
      <c r="F314" t="s">
        <v>309</v>
      </c>
      <c r="G314" t="s">
        <v>1230</v>
      </c>
      <c r="H314" t="s">
        <v>883</v>
      </c>
      <c r="I314" t="s">
        <v>408</v>
      </c>
      <c r="J314">
        <v>6</v>
      </c>
      <c r="K314">
        <v>6</v>
      </c>
      <c r="L314" t="s">
        <v>1231</v>
      </c>
      <c r="M314" s="15">
        <v>46244.522743055553</v>
      </c>
      <c r="N314" s="15">
        <v>46251.5</v>
      </c>
      <c r="O314" s="15">
        <v>46244.706250000003</v>
      </c>
      <c r="P314" s="15">
        <v>46247.409722222219</v>
      </c>
      <c r="Q314" s="15"/>
      <c r="S314" t="s">
        <v>358</v>
      </c>
      <c r="U314" t="s">
        <v>1761</v>
      </c>
      <c r="V314" t="s">
        <v>358</v>
      </c>
      <c r="W314">
        <v>1050</v>
      </c>
      <c r="X314" t="s">
        <v>370</v>
      </c>
      <c r="Y314" t="s">
        <v>239</v>
      </c>
      <c r="Z314" t="s">
        <v>826</v>
      </c>
      <c r="AB314" t="s">
        <v>348</v>
      </c>
      <c r="AC314" t="s">
        <v>348</v>
      </c>
      <c r="AD314" t="s">
        <v>369</v>
      </c>
      <c r="AE314" t="s">
        <v>239</v>
      </c>
      <c r="AF314" t="s">
        <v>1762</v>
      </c>
      <c r="AG314" t="s">
        <v>249</v>
      </c>
      <c r="AH314">
        <v>1</v>
      </c>
      <c r="AI314" t="s">
        <v>250</v>
      </c>
      <c r="AJ314" t="s">
        <v>248</v>
      </c>
      <c r="AK314" t="s">
        <v>881</v>
      </c>
      <c r="AL314" t="s">
        <v>156</v>
      </c>
      <c r="AM314" t="s">
        <v>828</v>
      </c>
      <c r="AN314">
        <v>1</v>
      </c>
      <c r="AO314">
        <v>46244</v>
      </c>
      <c r="AP314">
        <v>0.70625000000000004</v>
      </c>
      <c r="AQ314">
        <v>46247</v>
      </c>
      <c r="AR314">
        <v>0.40972222222222221</v>
      </c>
      <c r="AS314" t="s">
        <v>201</v>
      </c>
      <c r="AT314" t="s">
        <v>1956</v>
      </c>
      <c r="AU314" t="s">
        <v>1955</v>
      </c>
      <c r="AV314" t="s">
        <v>829</v>
      </c>
      <c r="AX314">
        <v>1</v>
      </c>
      <c r="AY314" t="s">
        <v>89</v>
      </c>
      <c r="AZ314" t="s">
        <v>67</v>
      </c>
      <c r="BA314" t="s">
        <v>217</v>
      </c>
      <c r="BB314" t="s">
        <v>882</v>
      </c>
      <c r="BC314">
        <v>5.7</v>
      </c>
      <c r="BD314">
        <v>0</v>
      </c>
      <c r="BE314">
        <v>1</v>
      </c>
    </row>
    <row r="315" spans="1:57" x14ac:dyDescent="0.3">
      <c r="A315" s="204">
        <v>46235</v>
      </c>
      <c r="B315" t="s">
        <v>142</v>
      </c>
      <c r="C315" t="s">
        <v>345</v>
      </c>
      <c r="D315" t="s">
        <v>51</v>
      </c>
      <c r="E315" t="s">
        <v>258</v>
      </c>
      <c r="F315" t="s">
        <v>309</v>
      </c>
      <c r="G315" t="s">
        <v>1232</v>
      </c>
      <c r="H315" t="s">
        <v>883</v>
      </c>
      <c r="I315" t="s">
        <v>408</v>
      </c>
      <c r="J315">
        <v>120</v>
      </c>
      <c r="K315">
        <v>120</v>
      </c>
      <c r="L315" t="s">
        <v>1233</v>
      </c>
      <c r="M315" s="15">
        <v>46247.655405092592</v>
      </c>
      <c r="N315" s="15">
        <v>46254.654861111114</v>
      </c>
      <c r="O315" s="15">
        <v>46247.70208333333</v>
      </c>
      <c r="P315" s="15">
        <v>46253.604166666664</v>
      </c>
      <c r="Q315" s="15"/>
      <c r="S315" t="s">
        <v>358</v>
      </c>
      <c r="T315" t="s">
        <v>837</v>
      </c>
      <c r="V315" t="s">
        <v>358</v>
      </c>
      <c r="W315">
        <v>1050</v>
      </c>
      <c r="X315" t="s">
        <v>370</v>
      </c>
      <c r="Y315" t="s">
        <v>239</v>
      </c>
      <c r="Z315" t="s">
        <v>851</v>
      </c>
      <c r="AB315" t="s">
        <v>348</v>
      </c>
      <c r="AC315" t="s">
        <v>7</v>
      </c>
      <c r="AD315" t="s">
        <v>7</v>
      </c>
      <c r="AE315" t="s">
        <v>7</v>
      </c>
      <c r="AF315" t="s">
        <v>1763</v>
      </c>
      <c r="AG315" t="s">
        <v>249</v>
      </c>
      <c r="AH315">
        <v>1</v>
      </c>
      <c r="AI315" t="s">
        <v>250</v>
      </c>
      <c r="AJ315" t="s">
        <v>248</v>
      </c>
      <c r="AK315" t="s">
        <v>881</v>
      </c>
      <c r="AL315" t="s">
        <v>156</v>
      </c>
      <c r="AM315" t="s">
        <v>852</v>
      </c>
      <c r="AN315">
        <v>1</v>
      </c>
      <c r="AO315">
        <v>46247</v>
      </c>
      <c r="AP315">
        <v>0.70208333333333328</v>
      </c>
      <c r="AQ315">
        <v>46253</v>
      </c>
      <c r="AR315">
        <v>0.60416666666666663</v>
      </c>
      <c r="AS315" t="s">
        <v>201</v>
      </c>
      <c r="AT315" t="s">
        <v>1956</v>
      </c>
      <c r="AU315" t="s">
        <v>1955</v>
      </c>
      <c r="AV315" t="s">
        <v>853</v>
      </c>
      <c r="AY315" t="s">
        <v>7</v>
      </c>
      <c r="AZ315" t="s">
        <v>238</v>
      </c>
      <c r="BA315" t="s">
        <v>7</v>
      </c>
      <c r="BB315" t="s">
        <v>884</v>
      </c>
      <c r="BE315">
        <v>0</v>
      </c>
    </row>
    <row r="316" spans="1:57" x14ac:dyDescent="0.3">
      <c r="A316" s="204">
        <v>46235</v>
      </c>
      <c r="B316" t="s">
        <v>142</v>
      </c>
      <c r="C316" t="s">
        <v>345</v>
      </c>
      <c r="D316" t="s">
        <v>45</v>
      </c>
      <c r="E316" t="s">
        <v>68</v>
      </c>
      <c r="F316" t="s">
        <v>309</v>
      </c>
      <c r="G316" t="s">
        <v>1234</v>
      </c>
      <c r="H316" t="s">
        <v>880</v>
      </c>
      <c r="I316" t="s">
        <v>404</v>
      </c>
      <c r="J316">
        <v>45</v>
      </c>
      <c r="K316">
        <v>45</v>
      </c>
      <c r="L316" t="s">
        <v>1235</v>
      </c>
      <c r="M316" s="15">
        <v>46252.385625000003</v>
      </c>
      <c r="N316" s="15">
        <v>46259.385416666664</v>
      </c>
      <c r="O316" s="15">
        <v>46252.684027777781</v>
      </c>
      <c r="P316" s="15">
        <v>46254.560416666667</v>
      </c>
      <c r="Q316" s="15"/>
      <c r="S316" t="s">
        <v>358</v>
      </c>
      <c r="U316" t="s">
        <v>1764</v>
      </c>
      <c r="V316" t="s">
        <v>358</v>
      </c>
      <c r="W316">
        <v>1050</v>
      </c>
      <c r="X316" t="s">
        <v>370</v>
      </c>
      <c r="Y316" t="s">
        <v>239</v>
      </c>
      <c r="Z316" t="s">
        <v>826</v>
      </c>
      <c r="AB316" t="s">
        <v>348</v>
      </c>
      <c r="AC316" t="s">
        <v>348</v>
      </c>
      <c r="AD316" t="s">
        <v>369</v>
      </c>
      <c r="AE316" t="s">
        <v>239</v>
      </c>
      <c r="AF316" t="s">
        <v>1765</v>
      </c>
      <c r="AG316" t="s">
        <v>249</v>
      </c>
      <c r="AH316">
        <v>1</v>
      </c>
      <c r="AI316" t="s">
        <v>250</v>
      </c>
      <c r="AJ316" t="s">
        <v>248</v>
      </c>
      <c r="AK316" t="s">
        <v>881</v>
      </c>
      <c r="AL316" t="s">
        <v>156</v>
      </c>
      <c r="AM316" t="s">
        <v>828</v>
      </c>
      <c r="AN316">
        <v>1</v>
      </c>
      <c r="AO316">
        <v>46252</v>
      </c>
      <c r="AP316">
        <v>0.68402777777777779</v>
      </c>
      <c r="AQ316">
        <v>46254</v>
      </c>
      <c r="AR316">
        <v>0.56041666666666667</v>
      </c>
      <c r="AS316" t="s">
        <v>201</v>
      </c>
      <c r="AT316" t="s">
        <v>1956</v>
      </c>
      <c r="AU316" t="s">
        <v>1955</v>
      </c>
      <c r="AV316" t="s">
        <v>829</v>
      </c>
      <c r="AX316">
        <v>4.5</v>
      </c>
      <c r="AY316" t="s">
        <v>89</v>
      </c>
      <c r="AZ316" t="s">
        <v>67</v>
      </c>
      <c r="BA316" t="s">
        <v>217</v>
      </c>
      <c r="BB316" t="s">
        <v>882</v>
      </c>
      <c r="BC316">
        <v>5.7</v>
      </c>
      <c r="BD316">
        <v>0</v>
      </c>
      <c r="BE316">
        <v>1</v>
      </c>
    </row>
    <row r="317" spans="1:57" x14ac:dyDescent="0.3">
      <c r="A317" s="204">
        <v>46235</v>
      </c>
      <c r="B317" t="s">
        <v>142</v>
      </c>
      <c r="C317" t="s">
        <v>345</v>
      </c>
      <c r="D317" t="s">
        <v>45</v>
      </c>
      <c r="E317" t="s">
        <v>68</v>
      </c>
      <c r="F317" t="s">
        <v>309</v>
      </c>
      <c r="G317" t="s">
        <v>1236</v>
      </c>
      <c r="H317" t="s">
        <v>883</v>
      </c>
      <c r="I317" t="s">
        <v>408</v>
      </c>
      <c r="J317">
        <v>15</v>
      </c>
      <c r="K317">
        <v>15</v>
      </c>
      <c r="L317" t="s">
        <v>1237</v>
      </c>
      <c r="M317" s="15">
        <v>46251.574641203704</v>
      </c>
      <c r="N317" s="15">
        <v>46258.574305555558</v>
      </c>
      <c r="O317" s="15">
        <v>46252.347222222219</v>
      </c>
      <c r="P317" s="15">
        <v>46253.486111111109</v>
      </c>
      <c r="Q317" s="15"/>
      <c r="S317" t="s">
        <v>358</v>
      </c>
      <c r="U317" t="s">
        <v>1766</v>
      </c>
      <c r="V317" t="s">
        <v>358</v>
      </c>
      <c r="W317">
        <v>1050</v>
      </c>
      <c r="X317" t="s">
        <v>370</v>
      </c>
      <c r="Y317" t="s">
        <v>239</v>
      </c>
      <c r="Z317" t="s">
        <v>826</v>
      </c>
      <c r="AB317" t="s">
        <v>348</v>
      </c>
      <c r="AC317" t="s">
        <v>348</v>
      </c>
      <c r="AD317" t="s">
        <v>369</v>
      </c>
      <c r="AE317" t="s">
        <v>239</v>
      </c>
      <c r="AF317" t="s">
        <v>1767</v>
      </c>
      <c r="AG317" t="s">
        <v>249</v>
      </c>
      <c r="AH317">
        <v>1</v>
      </c>
      <c r="AI317" t="s">
        <v>250</v>
      </c>
      <c r="AJ317" t="s">
        <v>248</v>
      </c>
      <c r="AK317" t="s">
        <v>881</v>
      </c>
      <c r="AL317" t="s">
        <v>156</v>
      </c>
      <c r="AM317" t="s">
        <v>828</v>
      </c>
      <c r="AN317">
        <v>1</v>
      </c>
      <c r="AO317">
        <v>46252</v>
      </c>
      <c r="AP317">
        <v>0.34722222222222221</v>
      </c>
      <c r="AQ317">
        <v>46253</v>
      </c>
      <c r="AR317">
        <v>0.4861111111111111</v>
      </c>
      <c r="AS317" t="s">
        <v>201</v>
      </c>
      <c r="AT317" t="s">
        <v>1956</v>
      </c>
      <c r="AU317" t="s">
        <v>1955</v>
      </c>
      <c r="AV317" t="s">
        <v>829</v>
      </c>
      <c r="AX317">
        <v>1.5</v>
      </c>
      <c r="AY317" t="s">
        <v>89</v>
      </c>
      <c r="AZ317" t="s">
        <v>67</v>
      </c>
      <c r="BA317" t="s">
        <v>217</v>
      </c>
      <c r="BB317" t="s">
        <v>882</v>
      </c>
      <c r="BC317">
        <v>5.7</v>
      </c>
      <c r="BE317">
        <v>1</v>
      </c>
    </row>
    <row r="318" spans="1:57" x14ac:dyDescent="0.3">
      <c r="A318" s="204">
        <v>46230</v>
      </c>
      <c r="B318" t="s">
        <v>142</v>
      </c>
      <c r="C318" t="s">
        <v>345</v>
      </c>
      <c r="D318" t="s">
        <v>45</v>
      </c>
      <c r="E318" t="s">
        <v>68</v>
      </c>
      <c r="F318" t="s">
        <v>309</v>
      </c>
      <c r="G318" t="s">
        <v>1238</v>
      </c>
      <c r="H318" t="s">
        <v>880</v>
      </c>
      <c r="I318" t="s">
        <v>404</v>
      </c>
      <c r="J318">
        <v>50</v>
      </c>
      <c r="K318">
        <v>50</v>
      </c>
      <c r="L318" t="s">
        <v>1239</v>
      </c>
      <c r="M318" s="15">
        <v>46224.403738425928</v>
      </c>
      <c r="N318" s="15">
        <v>46231.40347222222</v>
      </c>
      <c r="O318" s="15">
        <v>46224.678472222222</v>
      </c>
      <c r="P318" s="15">
        <v>46227.503472222219</v>
      </c>
      <c r="Q318" s="15"/>
      <c r="S318" t="s">
        <v>358</v>
      </c>
      <c r="T318" t="s">
        <v>837</v>
      </c>
      <c r="U318" t="s">
        <v>1768</v>
      </c>
      <c r="V318" t="s">
        <v>358</v>
      </c>
      <c r="W318">
        <v>1050</v>
      </c>
      <c r="X318" t="s">
        <v>370</v>
      </c>
      <c r="Y318" t="s">
        <v>239</v>
      </c>
      <c r="Z318" t="s">
        <v>826</v>
      </c>
      <c r="AB318" t="s">
        <v>348</v>
      </c>
      <c r="AC318" t="s">
        <v>348</v>
      </c>
      <c r="AD318" t="s">
        <v>369</v>
      </c>
      <c r="AE318" t="s">
        <v>239</v>
      </c>
      <c r="AF318" t="s">
        <v>1769</v>
      </c>
      <c r="AG318" t="s">
        <v>249</v>
      </c>
      <c r="AH318">
        <v>1</v>
      </c>
      <c r="AI318" t="s">
        <v>250</v>
      </c>
      <c r="AJ318" t="s">
        <v>248</v>
      </c>
      <c r="AK318" t="s">
        <v>881</v>
      </c>
      <c r="AL318" t="s">
        <v>156</v>
      </c>
      <c r="AM318" t="s">
        <v>828</v>
      </c>
      <c r="AN318">
        <v>1</v>
      </c>
      <c r="AO318">
        <v>46224</v>
      </c>
      <c r="AP318">
        <v>0.67847222222222225</v>
      </c>
      <c r="AQ318">
        <v>46227</v>
      </c>
      <c r="AR318">
        <v>0.50347222222222221</v>
      </c>
      <c r="AS318" t="s">
        <v>201</v>
      </c>
      <c r="AT318" t="s">
        <v>1956</v>
      </c>
      <c r="AU318" t="s">
        <v>1955</v>
      </c>
      <c r="AV318" t="s">
        <v>829</v>
      </c>
      <c r="AX318">
        <v>5</v>
      </c>
      <c r="AY318" t="s">
        <v>89</v>
      </c>
      <c r="AZ318" t="s">
        <v>67</v>
      </c>
      <c r="BA318" t="s">
        <v>217</v>
      </c>
      <c r="BB318" t="s">
        <v>882</v>
      </c>
      <c r="BC318">
        <v>5.7</v>
      </c>
      <c r="BD318">
        <v>0</v>
      </c>
      <c r="BE318">
        <v>1</v>
      </c>
    </row>
    <row r="319" spans="1:57" x14ac:dyDescent="0.3">
      <c r="A319" s="204">
        <v>46230</v>
      </c>
      <c r="B319" t="s">
        <v>142</v>
      </c>
      <c r="C319" t="s">
        <v>345</v>
      </c>
      <c r="D319" t="s">
        <v>45</v>
      </c>
      <c r="E319" t="s">
        <v>68</v>
      </c>
      <c r="F319" t="s">
        <v>309</v>
      </c>
      <c r="G319" t="s">
        <v>1240</v>
      </c>
      <c r="H319" t="s">
        <v>883</v>
      </c>
      <c r="I319" t="s">
        <v>408</v>
      </c>
      <c r="J319">
        <v>22</v>
      </c>
      <c r="K319">
        <v>22</v>
      </c>
      <c r="L319" t="s">
        <v>1241</v>
      </c>
      <c r="M319" s="15">
        <v>46230.325821759259</v>
      </c>
      <c r="N319" s="15">
        <v>46237.333333333336</v>
      </c>
      <c r="O319" s="15">
        <v>46230.419444444444</v>
      </c>
      <c r="P319" s="15">
        <v>46232.520833333336</v>
      </c>
      <c r="Q319" s="15"/>
      <c r="S319" t="s">
        <v>358</v>
      </c>
      <c r="T319" t="s">
        <v>837</v>
      </c>
      <c r="U319" t="s">
        <v>1770</v>
      </c>
      <c r="V319" t="s">
        <v>358</v>
      </c>
      <c r="W319">
        <v>1050</v>
      </c>
      <c r="X319" t="s">
        <v>370</v>
      </c>
      <c r="Y319" t="s">
        <v>239</v>
      </c>
      <c r="Z319" t="s">
        <v>826</v>
      </c>
      <c r="AB319" t="s">
        <v>348</v>
      </c>
      <c r="AC319" t="s">
        <v>348</v>
      </c>
      <c r="AD319" t="s">
        <v>369</v>
      </c>
      <c r="AE319" t="s">
        <v>239</v>
      </c>
      <c r="AF319" t="s">
        <v>1771</v>
      </c>
      <c r="AG319" t="s">
        <v>249</v>
      </c>
      <c r="AH319">
        <v>1</v>
      </c>
      <c r="AI319" t="s">
        <v>250</v>
      </c>
      <c r="AJ319" t="s">
        <v>248</v>
      </c>
      <c r="AK319" t="s">
        <v>881</v>
      </c>
      <c r="AL319" t="s">
        <v>156</v>
      </c>
      <c r="AM319" t="s">
        <v>828</v>
      </c>
      <c r="AN319">
        <v>1</v>
      </c>
      <c r="AO319">
        <v>46230</v>
      </c>
      <c r="AP319">
        <v>0.41944444444444445</v>
      </c>
      <c r="AQ319">
        <v>46232</v>
      </c>
      <c r="AR319">
        <v>0.52083333333333337</v>
      </c>
      <c r="AS319" t="s">
        <v>201</v>
      </c>
      <c r="AT319" t="s">
        <v>1956</v>
      </c>
      <c r="AU319" t="s">
        <v>1955</v>
      </c>
      <c r="AV319" t="s">
        <v>829</v>
      </c>
      <c r="AX319">
        <v>2.2000000000000002</v>
      </c>
      <c r="AY319" t="s">
        <v>89</v>
      </c>
      <c r="AZ319" t="s">
        <v>67</v>
      </c>
      <c r="BA319" t="s">
        <v>217</v>
      </c>
      <c r="BB319" t="s">
        <v>882</v>
      </c>
      <c r="BC319">
        <v>5.7</v>
      </c>
      <c r="BD319">
        <v>0</v>
      </c>
      <c r="BE319">
        <v>1</v>
      </c>
    </row>
    <row r="320" spans="1:57" x14ac:dyDescent="0.3">
      <c r="A320" s="204">
        <v>46230</v>
      </c>
      <c r="B320" t="s">
        <v>142</v>
      </c>
      <c r="C320" t="s">
        <v>345</v>
      </c>
      <c r="D320" t="s">
        <v>48</v>
      </c>
      <c r="E320" t="s">
        <v>68</v>
      </c>
      <c r="F320" t="s">
        <v>309</v>
      </c>
      <c r="G320" t="s">
        <v>1242</v>
      </c>
      <c r="H320" t="s">
        <v>1772</v>
      </c>
      <c r="I320" t="s">
        <v>404</v>
      </c>
      <c r="J320">
        <v>1</v>
      </c>
      <c r="K320">
        <v>1</v>
      </c>
      <c r="L320" t="s">
        <v>1243</v>
      </c>
      <c r="M320" s="15">
        <v>46226.544976851852</v>
      </c>
      <c r="N320" s="15">
        <v>46233.544444444444</v>
      </c>
      <c r="O320" s="15">
        <v>46227.467361111114</v>
      </c>
      <c r="P320" s="15">
        <v>46230.449305555558</v>
      </c>
      <c r="Q320" s="15"/>
      <c r="S320" t="s">
        <v>358</v>
      </c>
      <c r="T320" t="s">
        <v>1773</v>
      </c>
      <c r="V320" t="s">
        <v>358</v>
      </c>
      <c r="W320">
        <v>1050</v>
      </c>
      <c r="X320" t="s">
        <v>370</v>
      </c>
      <c r="Y320" t="s">
        <v>239</v>
      </c>
      <c r="Z320" t="s">
        <v>826</v>
      </c>
      <c r="AB320" t="s">
        <v>348</v>
      </c>
      <c r="AC320" t="s">
        <v>348</v>
      </c>
      <c r="AD320" t="s">
        <v>369</v>
      </c>
      <c r="AE320" t="s">
        <v>239</v>
      </c>
      <c r="AF320" t="s">
        <v>1774</v>
      </c>
      <c r="AG320" t="s">
        <v>249</v>
      </c>
      <c r="AH320">
        <v>1</v>
      </c>
      <c r="AI320" t="s">
        <v>250</v>
      </c>
      <c r="AJ320" t="s">
        <v>248</v>
      </c>
      <c r="AK320" t="s">
        <v>881</v>
      </c>
      <c r="AL320" t="s">
        <v>156</v>
      </c>
      <c r="AM320" t="s">
        <v>832</v>
      </c>
      <c r="AN320">
        <v>1</v>
      </c>
      <c r="AO320">
        <v>46227</v>
      </c>
      <c r="AP320">
        <v>0.46736111111111112</v>
      </c>
      <c r="AQ320">
        <v>46230</v>
      </c>
      <c r="AR320">
        <v>0.44930555555555557</v>
      </c>
      <c r="AS320" t="s">
        <v>201</v>
      </c>
      <c r="AT320" t="s">
        <v>1954</v>
      </c>
      <c r="AU320" t="s">
        <v>1955</v>
      </c>
      <c r="AV320" t="s">
        <v>833</v>
      </c>
      <c r="AX320">
        <v>1</v>
      </c>
      <c r="AY320" t="s">
        <v>89</v>
      </c>
      <c r="AZ320" t="s">
        <v>90</v>
      </c>
      <c r="BA320" t="s">
        <v>217</v>
      </c>
      <c r="BB320" t="s">
        <v>882</v>
      </c>
      <c r="BC320">
        <v>5.7</v>
      </c>
      <c r="BD320">
        <v>0</v>
      </c>
      <c r="BE320">
        <v>1</v>
      </c>
    </row>
    <row r="321" spans="1:57" x14ac:dyDescent="0.3">
      <c r="A321" s="204">
        <v>46230</v>
      </c>
      <c r="B321" t="s">
        <v>142</v>
      </c>
      <c r="C321" t="s">
        <v>345</v>
      </c>
      <c r="D321" t="s">
        <v>43</v>
      </c>
      <c r="E321" t="s">
        <v>105</v>
      </c>
      <c r="F321" t="s">
        <v>309</v>
      </c>
      <c r="G321" t="s">
        <v>1244</v>
      </c>
      <c r="H321" t="s">
        <v>1538</v>
      </c>
      <c r="I321" t="s">
        <v>402</v>
      </c>
      <c r="J321">
        <v>1</v>
      </c>
      <c r="K321">
        <v>1</v>
      </c>
      <c r="L321" t="s">
        <v>1245</v>
      </c>
      <c r="M321" s="15">
        <v>46251.397696759261</v>
      </c>
      <c r="N321" s="15">
        <v>46258.397222222222</v>
      </c>
      <c r="O321" s="15">
        <v>46252.372916666667</v>
      </c>
      <c r="P321" s="15">
        <v>46255.615277777775</v>
      </c>
      <c r="Q321" s="15">
        <v>46255</v>
      </c>
      <c r="R321" t="s">
        <v>319</v>
      </c>
      <c r="S321" t="s">
        <v>750</v>
      </c>
      <c r="T321" t="s">
        <v>837</v>
      </c>
      <c r="V321" t="s">
        <v>750</v>
      </c>
      <c r="W321">
        <v>2300</v>
      </c>
      <c r="X321" t="s">
        <v>751</v>
      </c>
      <c r="Y321" t="s">
        <v>261</v>
      </c>
      <c r="Z321" t="s">
        <v>826</v>
      </c>
      <c r="AB321" t="s">
        <v>349</v>
      </c>
      <c r="AC321" t="s">
        <v>349</v>
      </c>
      <c r="AD321" t="s">
        <v>393</v>
      </c>
      <c r="AE321" t="s">
        <v>261</v>
      </c>
      <c r="AF321" t="s">
        <v>1775</v>
      </c>
      <c r="AG321" t="s">
        <v>249</v>
      </c>
      <c r="AH321">
        <v>1</v>
      </c>
      <c r="AI321" t="s">
        <v>250</v>
      </c>
      <c r="AJ321" t="s">
        <v>248</v>
      </c>
      <c r="AK321" t="s">
        <v>906</v>
      </c>
      <c r="AL321" t="s">
        <v>203</v>
      </c>
      <c r="AM321" t="s">
        <v>902</v>
      </c>
      <c r="AN321">
        <v>2</v>
      </c>
      <c r="AO321">
        <v>46252</v>
      </c>
      <c r="AP321">
        <v>0.37291666666666667</v>
      </c>
      <c r="AQ321">
        <v>46255</v>
      </c>
      <c r="AR321">
        <v>0.61527777777777781</v>
      </c>
      <c r="AS321" t="s">
        <v>201</v>
      </c>
      <c r="AT321" t="s">
        <v>1956</v>
      </c>
      <c r="AU321" t="s">
        <v>1955</v>
      </c>
      <c r="AV321" t="s">
        <v>839</v>
      </c>
      <c r="AX321">
        <v>1</v>
      </c>
      <c r="AY321" t="s">
        <v>89</v>
      </c>
      <c r="AZ321" t="s">
        <v>67</v>
      </c>
      <c r="BA321" t="s">
        <v>217</v>
      </c>
      <c r="BB321" t="s">
        <v>909</v>
      </c>
      <c r="BC321">
        <v>19.399999999999999</v>
      </c>
      <c r="BD321">
        <v>0</v>
      </c>
      <c r="BE321">
        <v>1</v>
      </c>
    </row>
    <row r="322" spans="1:57" x14ac:dyDescent="0.3">
      <c r="A322" s="204">
        <v>46237</v>
      </c>
      <c r="B322" t="s">
        <v>142</v>
      </c>
      <c r="C322" t="s">
        <v>345</v>
      </c>
      <c r="D322" t="s">
        <v>63</v>
      </c>
      <c r="E322" t="s">
        <v>95</v>
      </c>
      <c r="F322" t="s">
        <v>309</v>
      </c>
      <c r="G322" t="s">
        <v>1158</v>
      </c>
      <c r="H322" t="s">
        <v>898</v>
      </c>
      <c r="I322" t="s">
        <v>402</v>
      </c>
      <c r="J322">
        <v>18</v>
      </c>
      <c r="K322">
        <v>18</v>
      </c>
      <c r="L322" t="s">
        <v>1246</v>
      </c>
      <c r="M322" s="15">
        <v>46239.427071759259</v>
      </c>
      <c r="N322" s="15">
        <v>46246.426388888889</v>
      </c>
      <c r="O322" s="15">
        <v>46240.370833333334</v>
      </c>
      <c r="P322" s="15">
        <v>46253.495833333334</v>
      </c>
      <c r="Q322" s="15"/>
      <c r="S322" t="s">
        <v>750</v>
      </c>
      <c r="V322" t="s">
        <v>750</v>
      </c>
      <c r="W322">
        <v>2300</v>
      </c>
      <c r="X322" t="s">
        <v>751</v>
      </c>
      <c r="Y322" t="s">
        <v>261</v>
      </c>
      <c r="Z322" t="s">
        <v>851</v>
      </c>
      <c r="AB322" t="s">
        <v>349</v>
      </c>
      <c r="AC322" t="s">
        <v>7</v>
      </c>
      <c r="AD322" t="s">
        <v>7</v>
      </c>
      <c r="AE322" t="s">
        <v>7</v>
      </c>
      <c r="AF322" t="s">
        <v>1776</v>
      </c>
      <c r="AG322" t="s">
        <v>249</v>
      </c>
      <c r="AH322">
        <v>2</v>
      </c>
      <c r="AI322" t="s">
        <v>250</v>
      </c>
      <c r="AJ322" t="s">
        <v>251</v>
      </c>
      <c r="AK322" t="s">
        <v>906</v>
      </c>
      <c r="AL322" t="s">
        <v>203</v>
      </c>
      <c r="AM322" t="s">
        <v>1655</v>
      </c>
      <c r="AO322">
        <v>46240</v>
      </c>
      <c r="AP322">
        <v>0.37083333333333335</v>
      </c>
      <c r="AQ322">
        <v>46253</v>
      </c>
      <c r="AR322">
        <v>0.49583333333333335</v>
      </c>
      <c r="AS322" t="s">
        <v>201</v>
      </c>
      <c r="AT322" t="s">
        <v>1954</v>
      </c>
      <c r="AU322" t="s">
        <v>1955</v>
      </c>
      <c r="AV322" t="s">
        <v>937</v>
      </c>
      <c r="AX322">
        <v>18</v>
      </c>
      <c r="AY322" t="s">
        <v>111</v>
      </c>
      <c r="AZ322" t="s">
        <v>96</v>
      </c>
      <c r="BA322" t="s">
        <v>225</v>
      </c>
      <c r="BB322" t="s">
        <v>907</v>
      </c>
      <c r="BE322">
        <v>1.8</v>
      </c>
    </row>
    <row r="323" spans="1:57" x14ac:dyDescent="0.3">
      <c r="A323" s="204">
        <v>46237</v>
      </c>
      <c r="B323" t="s">
        <v>142</v>
      </c>
      <c r="C323" t="s">
        <v>345</v>
      </c>
      <c r="D323" t="s">
        <v>57</v>
      </c>
      <c r="E323" t="s">
        <v>117</v>
      </c>
      <c r="F323" t="s">
        <v>309</v>
      </c>
      <c r="G323" t="s">
        <v>1158</v>
      </c>
      <c r="H323" t="s">
        <v>898</v>
      </c>
      <c r="I323" t="s">
        <v>402</v>
      </c>
      <c r="J323">
        <v>18</v>
      </c>
      <c r="K323">
        <v>18</v>
      </c>
      <c r="L323" t="s">
        <v>1246</v>
      </c>
      <c r="M323" s="15">
        <v>46239.427071759259</v>
      </c>
      <c r="N323" s="15">
        <v>46246.426388888889</v>
      </c>
      <c r="O323" s="15">
        <v>46240.370833333334</v>
      </c>
      <c r="P323" s="15">
        <v>46253.495833333334</v>
      </c>
      <c r="Q323" s="15"/>
      <c r="S323" t="s">
        <v>750</v>
      </c>
      <c r="V323" t="s">
        <v>750</v>
      </c>
      <c r="W323">
        <v>2300</v>
      </c>
      <c r="X323" t="s">
        <v>751</v>
      </c>
      <c r="Y323" t="s">
        <v>261</v>
      </c>
      <c r="Z323" t="s">
        <v>851</v>
      </c>
      <c r="AB323" t="s">
        <v>349</v>
      </c>
      <c r="AC323" t="s">
        <v>7</v>
      </c>
      <c r="AD323" t="s">
        <v>7</v>
      </c>
      <c r="AE323" t="s">
        <v>7</v>
      </c>
      <c r="AF323" t="s">
        <v>1777</v>
      </c>
      <c r="AG323" t="s">
        <v>249</v>
      </c>
      <c r="AH323">
        <v>2</v>
      </c>
      <c r="AI323" t="s">
        <v>250</v>
      </c>
      <c r="AJ323" t="s">
        <v>251</v>
      </c>
      <c r="AK323" t="s">
        <v>906</v>
      </c>
      <c r="AL323" t="s">
        <v>203</v>
      </c>
      <c r="AM323" t="s">
        <v>899</v>
      </c>
      <c r="AO323">
        <v>46240</v>
      </c>
      <c r="AP323">
        <v>0.37083333333333335</v>
      </c>
      <c r="AQ323">
        <v>46253</v>
      </c>
      <c r="AR323">
        <v>0.49583333333333335</v>
      </c>
      <c r="AS323" t="s">
        <v>201</v>
      </c>
      <c r="AT323" t="s">
        <v>1954</v>
      </c>
      <c r="AU323" t="s">
        <v>1955</v>
      </c>
      <c r="AV323" t="s">
        <v>862</v>
      </c>
      <c r="AX323">
        <v>1.8</v>
      </c>
      <c r="AY323" t="s">
        <v>126</v>
      </c>
      <c r="AZ323" t="s">
        <v>127</v>
      </c>
      <c r="BA323" t="s">
        <v>233</v>
      </c>
      <c r="BB323" t="s">
        <v>907</v>
      </c>
      <c r="BE323">
        <v>1</v>
      </c>
    </row>
    <row r="324" spans="1:57" x14ac:dyDescent="0.3">
      <c r="A324" s="204">
        <v>46237</v>
      </c>
      <c r="B324" t="s">
        <v>142</v>
      </c>
      <c r="C324" t="s">
        <v>345</v>
      </c>
      <c r="D324" t="s">
        <v>279</v>
      </c>
      <c r="E324" t="s">
        <v>197</v>
      </c>
      <c r="F324" t="s">
        <v>309</v>
      </c>
      <c r="G324" t="s">
        <v>1158</v>
      </c>
      <c r="H324" t="s">
        <v>898</v>
      </c>
      <c r="I324" t="s">
        <v>402</v>
      </c>
      <c r="J324">
        <v>18</v>
      </c>
      <c r="K324">
        <v>18</v>
      </c>
      <c r="L324" t="s">
        <v>1246</v>
      </c>
      <c r="M324" s="15">
        <v>46239.427071759259</v>
      </c>
      <c r="N324" s="15">
        <v>46246.426388888889</v>
      </c>
      <c r="O324" s="15">
        <v>46240.370833333334</v>
      </c>
      <c r="P324" s="15">
        <v>46253.495833333334</v>
      </c>
      <c r="Q324" s="15"/>
      <c r="S324" t="s">
        <v>750</v>
      </c>
      <c r="V324" t="s">
        <v>750</v>
      </c>
      <c r="W324">
        <v>2300</v>
      </c>
      <c r="X324" t="s">
        <v>751</v>
      </c>
      <c r="Y324" t="s">
        <v>261</v>
      </c>
      <c r="Z324" t="s">
        <v>851</v>
      </c>
      <c r="AB324" t="s">
        <v>349</v>
      </c>
      <c r="AC324" t="s">
        <v>7</v>
      </c>
      <c r="AD324" t="s">
        <v>7</v>
      </c>
      <c r="AE324" t="s">
        <v>7</v>
      </c>
      <c r="AF324" t="s">
        <v>1778</v>
      </c>
      <c r="AG324" t="s">
        <v>249</v>
      </c>
      <c r="AH324">
        <v>2</v>
      </c>
      <c r="AI324" t="s">
        <v>250</v>
      </c>
      <c r="AJ324" t="s">
        <v>248</v>
      </c>
      <c r="AK324" t="s">
        <v>906</v>
      </c>
      <c r="AL324" t="s">
        <v>203</v>
      </c>
      <c r="AM324" t="s">
        <v>900</v>
      </c>
      <c r="AN324">
        <v>3</v>
      </c>
      <c r="AO324">
        <v>46240</v>
      </c>
      <c r="AP324">
        <v>0.37083333333333335</v>
      </c>
      <c r="AQ324">
        <v>46253</v>
      </c>
      <c r="AR324">
        <v>0.49583333333333335</v>
      </c>
      <c r="AS324" t="s">
        <v>201</v>
      </c>
      <c r="AT324" t="s">
        <v>1956</v>
      </c>
      <c r="AU324" t="s">
        <v>1955</v>
      </c>
      <c r="AV324" t="s">
        <v>866</v>
      </c>
      <c r="AW324">
        <v>16</v>
      </c>
      <c r="AX324">
        <v>288</v>
      </c>
      <c r="AY324" t="s">
        <v>125</v>
      </c>
      <c r="AZ324" t="s">
        <v>122</v>
      </c>
      <c r="BA324" t="s">
        <v>232</v>
      </c>
      <c r="BB324" t="s">
        <v>907</v>
      </c>
      <c r="BE324">
        <v>28.8</v>
      </c>
    </row>
    <row r="325" spans="1:57" x14ac:dyDescent="0.3">
      <c r="A325" s="204">
        <v>46235</v>
      </c>
      <c r="B325" t="s">
        <v>142</v>
      </c>
      <c r="C325" t="s">
        <v>345</v>
      </c>
      <c r="D325" t="s">
        <v>45</v>
      </c>
      <c r="E325" t="s">
        <v>68</v>
      </c>
      <c r="F325" t="s">
        <v>309</v>
      </c>
      <c r="G325" t="s">
        <v>1247</v>
      </c>
      <c r="H325" t="s">
        <v>904</v>
      </c>
      <c r="I325" t="s">
        <v>752</v>
      </c>
      <c r="J325">
        <v>10</v>
      </c>
      <c r="K325">
        <v>10</v>
      </c>
      <c r="L325" t="s">
        <v>1248</v>
      </c>
      <c r="M325" s="15">
        <v>46251.388148148151</v>
      </c>
      <c r="N325" s="15">
        <v>46258.387499999997</v>
      </c>
      <c r="O325" s="15">
        <v>46251.484722222223</v>
      </c>
      <c r="P325" s="15">
        <v>46255.618055555555</v>
      </c>
      <c r="Q325" s="15">
        <v>46255.486111111109</v>
      </c>
      <c r="S325" t="s">
        <v>750</v>
      </c>
      <c r="U325" t="s">
        <v>1779</v>
      </c>
      <c r="V325" t="s">
        <v>750</v>
      </c>
      <c r="W325">
        <v>2300</v>
      </c>
      <c r="X325" t="s">
        <v>751</v>
      </c>
      <c r="Y325" t="s">
        <v>261</v>
      </c>
      <c r="Z325" t="s">
        <v>826</v>
      </c>
      <c r="AB325" t="s">
        <v>349</v>
      </c>
      <c r="AC325" t="s">
        <v>349</v>
      </c>
      <c r="AD325" t="s">
        <v>393</v>
      </c>
      <c r="AE325" t="s">
        <v>261</v>
      </c>
      <c r="AF325" t="s">
        <v>1780</v>
      </c>
      <c r="AG325" t="s">
        <v>249</v>
      </c>
      <c r="AH325">
        <v>1</v>
      </c>
      <c r="AI325" t="s">
        <v>250</v>
      </c>
      <c r="AJ325" t="s">
        <v>248</v>
      </c>
      <c r="AK325" t="s">
        <v>906</v>
      </c>
      <c r="AL325" t="s">
        <v>203</v>
      </c>
      <c r="AM325" t="s">
        <v>888</v>
      </c>
      <c r="AN325">
        <v>2</v>
      </c>
      <c r="AO325">
        <v>46251</v>
      </c>
      <c r="AP325">
        <v>0.48472222222222222</v>
      </c>
      <c r="AQ325">
        <v>46255</v>
      </c>
      <c r="AR325">
        <v>0.61805555555555558</v>
      </c>
      <c r="AS325" t="s">
        <v>201</v>
      </c>
      <c r="AT325" t="s">
        <v>1956</v>
      </c>
      <c r="AU325" t="s">
        <v>1955</v>
      </c>
      <c r="AV325" t="s">
        <v>829</v>
      </c>
      <c r="AX325">
        <v>1</v>
      </c>
      <c r="AY325" t="s">
        <v>89</v>
      </c>
      <c r="AZ325" t="s">
        <v>67</v>
      </c>
      <c r="BA325" t="s">
        <v>217</v>
      </c>
      <c r="BB325" t="s">
        <v>909</v>
      </c>
      <c r="BC325">
        <v>19.399999999999999</v>
      </c>
      <c r="BD325">
        <v>0</v>
      </c>
    </row>
    <row r="326" spans="1:57" x14ac:dyDescent="0.3">
      <c r="A326" s="204">
        <v>46235</v>
      </c>
      <c r="B326" t="s">
        <v>142</v>
      </c>
      <c r="C326" t="s">
        <v>345</v>
      </c>
      <c r="D326" t="s">
        <v>51</v>
      </c>
      <c r="E326" t="s">
        <v>258</v>
      </c>
      <c r="F326" t="s">
        <v>309</v>
      </c>
      <c r="G326" t="s">
        <v>753</v>
      </c>
      <c r="H326" t="s">
        <v>904</v>
      </c>
      <c r="I326" t="s">
        <v>752</v>
      </c>
      <c r="J326">
        <v>150</v>
      </c>
      <c r="K326">
        <v>150</v>
      </c>
      <c r="L326" t="s">
        <v>754</v>
      </c>
      <c r="M326" s="15">
        <v>46252.367824074077</v>
      </c>
      <c r="N326" s="15">
        <v>46259.367361111108</v>
      </c>
      <c r="O326" s="15">
        <v>46253.532638888886</v>
      </c>
      <c r="P326" s="15">
        <v>46255.618055555555</v>
      </c>
      <c r="Q326" s="15"/>
      <c r="S326" t="s">
        <v>750</v>
      </c>
      <c r="V326" t="s">
        <v>750</v>
      </c>
      <c r="W326">
        <v>2300</v>
      </c>
      <c r="X326" t="s">
        <v>751</v>
      </c>
      <c r="Y326" t="s">
        <v>261</v>
      </c>
      <c r="Z326" t="s">
        <v>851</v>
      </c>
      <c r="AB326" t="s">
        <v>349</v>
      </c>
      <c r="AC326" t="s">
        <v>7</v>
      </c>
      <c r="AD326" t="s">
        <v>7</v>
      </c>
      <c r="AE326" t="s">
        <v>7</v>
      </c>
      <c r="AF326" t="s">
        <v>905</v>
      </c>
      <c r="AG326" t="s">
        <v>249</v>
      </c>
      <c r="AH326">
        <v>1</v>
      </c>
      <c r="AI326" t="s">
        <v>250</v>
      </c>
      <c r="AJ326" t="s">
        <v>248</v>
      </c>
      <c r="AK326" t="s">
        <v>906</v>
      </c>
      <c r="AL326" t="s">
        <v>203</v>
      </c>
      <c r="AM326" t="s">
        <v>887</v>
      </c>
      <c r="AN326">
        <v>2</v>
      </c>
      <c r="AO326">
        <v>46253</v>
      </c>
      <c r="AP326">
        <v>0.53263888888888888</v>
      </c>
      <c r="AQ326">
        <v>46255</v>
      </c>
      <c r="AR326">
        <v>0.61805555555555558</v>
      </c>
      <c r="AS326" t="s">
        <v>201</v>
      </c>
      <c r="AT326" t="s">
        <v>1956</v>
      </c>
      <c r="AU326" t="s">
        <v>1955</v>
      </c>
      <c r="AV326" t="s">
        <v>853</v>
      </c>
      <c r="AY326" t="s">
        <v>7</v>
      </c>
      <c r="AZ326" t="s">
        <v>238</v>
      </c>
      <c r="BA326" t="s">
        <v>7</v>
      </c>
      <c r="BB326" t="s">
        <v>907</v>
      </c>
      <c r="BE326">
        <v>0</v>
      </c>
    </row>
    <row r="327" spans="1:57" x14ac:dyDescent="0.3">
      <c r="A327" s="204">
        <v>46235</v>
      </c>
      <c r="B327" t="s">
        <v>142</v>
      </c>
      <c r="C327" t="s">
        <v>345</v>
      </c>
      <c r="D327" t="s">
        <v>45</v>
      </c>
      <c r="E327" t="s">
        <v>68</v>
      </c>
      <c r="F327" t="s">
        <v>309</v>
      </c>
      <c r="G327" t="s">
        <v>1249</v>
      </c>
      <c r="H327" t="s">
        <v>908</v>
      </c>
      <c r="I327" t="s">
        <v>752</v>
      </c>
      <c r="J327">
        <v>5</v>
      </c>
      <c r="K327">
        <v>5</v>
      </c>
      <c r="L327" t="s">
        <v>1250</v>
      </c>
      <c r="M327" s="15">
        <v>46251.394097222219</v>
      </c>
      <c r="N327" s="15">
        <v>46258.393750000003</v>
      </c>
      <c r="O327" s="15">
        <v>46251.520138888889</v>
      </c>
      <c r="P327" s="15">
        <v>46255.615277777775</v>
      </c>
      <c r="Q327" s="15">
        <v>46255.520138888889</v>
      </c>
      <c r="S327" t="s">
        <v>750</v>
      </c>
      <c r="U327" t="s">
        <v>1781</v>
      </c>
      <c r="V327" t="s">
        <v>750</v>
      </c>
      <c r="W327">
        <v>2300</v>
      </c>
      <c r="X327" t="s">
        <v>751</v>
      </c>
      <c r="Y327" t="s">
        <v>261</v>
      </c>
      <c r="Z327" t="s">
        <v>826</v>
      </c>
      <c r="AB327" t="s">
        <v>349</v>
      </c>
      <c r="AC327" t="s">
        <v>349</v>
      </c>
      <c r="AD327" t="s">
        <v>393</v>
      </c>
      <c r="AE327" t="s">
        <v>261</v>
      </c>
      <c r="AF327" t="s">
        <v>1782</v>
      </c>
      <c r="AG327" t="s">
        <v>249</v>
      </c>
      <c r="AH327">
        <v>1</v>
      </c>
      <c r="AI327" t="s">
        <v>250</v>
      </c>
      <c r="AJ327" t="s">
        <v>248</v>
      </c>
      <c r="AK327" t="s">
        <v>906</v>
      </c>
      <c r="AL327" t="s">
        <v>203</v>
      </c>
      <c r="AM327" t="s">
        <v>888</v>
      </c>
      <c r="AN327">
        <v>2</v>
      </c>
      <c r="AO327">
        <v>46251</v>
      </c>
      <c r="AP327">
        <v>0.52013888888888893</v>
      </c>
      <c r="AQ327">
        <v>46255</v>
      </c>
      <c r="AR327">
        <v>0.61527777777777781</v>
      </c>
      <c r="AS327" t="s">
        <v>201</v>
      </c>
      <c r="AT327" t="s">
        <v>1956</v>
      </c>
      <c r="AU327" t="s">
        <v>1955</v>
      </c>
      <c r="AV327" t="s">
        <v>829</v>
      </c>
      <c r="AX327">
        <v>1</v>
      </c>
      <c r="AY327" t="s">
        <v>89</v>
      </c>
      <c r="AZ327" t="s">
        <v>67</v>
      </c>
      <c r="BA327" t="s">
        <v>217</v>
      </c>
      <c r="BB327" t="s">
        <v>909</v>
      </c>
      <c r="BC327">
        <v>19.399999999999999</v>
      </c>
    </row>
    <row r="328" spans="1:57" x14ac:dyDescent="0.3">
      <c r="A328" s="204">
        <v>46235</v>
      </c>
      <c r="B328" t="s">
        <v>142</v>
      </c>
      <c r="C328" t="s">
        <v>345</v>
      </c>
      <c r="D328" t="s">
        <v>48</v>
      </c>
      <c r="E328" t="s">
        <v>68</v>
      </c>
      <c r="F328" t="s">
        <v>309</v>
      </c>
      <c r="G328" t="s">
        <v>1251</v>
      </c>
      <c r="H328" t="s">
        <v>1538</v>
      </c>
      <c r="I328" t="s">
        <v>402</v>
      </c>
      <c r="J328">
        <v>1</v>
      </c>
      <c r="K328">
        <v>1</v>
      </c>
      <c r="L328" t="s">
        <v>1252</v>
      </c>
      <c r="M328" s="15">
        <v>46226.72587962963</v>
      </c>
      <c r="N328" s="15">
        <v>46234.333333333336</v>
      </c>
      <c r="O328" s="15">
        <v>46227.348449074074</v>
      </c>
      <c r="P328" s="15">
        <v>46232.441666666666</v>
      </c>
      <c r="Q328" s="15">
        <v>46232.441666666666</v>
      </c>
      <c r="R328" t="s">
        <v>319</v>
      </c>
      <c r="S328" t="s">
        <v>750</v>
      </c>
      <c r="T328" t="s">
        <v>1783</v>
      </c>
      <c r="V328" t="s">
        <v>750</v>
      </c>
      <c r="W328">
        <v>2300</v>
      </c>
      <c r="X328" t="s">
        <v>751</v>
      </c>
      <c r="Y328" t="s">
        <v>261</v>
      </c>
      <c r="Z328" t="s">
        <v>826</v>
      </c>
      <c r="AB328" t="s">
        <v>349</v>
      </c>
      <c r="AC328" t="s">
        <v>349</v>
      </c>
      <c r="AD328" t="s">
        <v>393</v>
      </c>
      <c r="AE328" t="s">
        <v>261</v>
      </c>
      <c r="AF328" t="s">
        <v>1784</v>
      </c>
      <c r="AG328" t="s">
        <v>249</v>
      </c>
      <c r="AH328">
        <v>1</v>
      </c>
      <c r="AI328" t="s">
        <v>250</v>
      </c>
      <c r="AJ328" t="s">
        <v>248</v>
      </c>
      <c r="AK328" t="s">
        <v>906</v>
      </c>
      <c r="AL328" t="s">
        <v>203</v>
      </c>
      <c r="AM328" t="s">
        <v>903</v>
      </c>
      <c r="AN328">
        <v>2</v>
      </c>
      <c r="AO328">
        <v>46227</v>
      </c>
      <c r="AP328">
        <v>0.34844907407407405</v>
      </c>
      <c r="AQ328">
        <v>46232</v>
      </c>
      <c r="AR328">
        <v>0.44166666666666665</v>
      </c>
      <c r="AS328" t="s">
        <v>201</v>
      </c>
      <c r="AT328" t="s">
        <v>1956</v>
      </c>
      <c r="AU328" t="s">
        <v>1955</v>
      </c>
      <c r="AV328" t="s">
        <v>833</v>
      </c>
      <c r="AX328">
        <v>1</v>
      </c>
      <c r="AY328" t="s">
        <v>89</v>
      </c>
      <c r="AZ328" t="s">
        <v>90</v>
      </c>
      <c r="BA328" t="s">
        <v>217</v>
      </c>
      <c r="BB328" t="s">
        <v>909</v>
      </c>
      <c r="BC328">
        <v>19.399999999999999</v>
      </c>
      <c r="BD328">
        <v>0</v>
      </c>
      <c r="BE328">
        <v>1</v>
      </c>
    </row>
    <row r="329" spans="1:57" x14ac:dyDescent="0.3">
      <c r="A329" s="204">
        <v>46235</v>
      </c>
      <c r="B329" t="s">
        <v>142</v>
      </c>
      <c r="C329" t="s">
        <v>345</v>
      </c>
      <c r="D329" t="s">
        <v>45</v>
      </c>
      <c r="E329" t="s">
        <v>68</v>
      </c>
      <c r="F329" t="s">
        <v>309</v>
      </c>
      <c r="G329" t="s">
        <v>1253</v>
      </c>
      <c r="H329" t="s">
        <v>904</v>
      </c>
      <c r="I329" t="s">
        <v>752</v>
      </c>
      <c r="J329">
        <v>9</v>
      </c>
      <c r="K329">
        <v>9</v>
      </c>
      <c r="L329" t="s">
        <v>1254</v>
      </c>
      <c r="M329" s="15">
        <v>46219.31449074074</v>
      </c>
      <c r="N329" s="15">
        <v>46226.333333333336</v>
      </c>
      <c r="O329" s="15">
        <v>46219.41547453704</v>
      </c>
      <c r="P329" s="15">
        <v>46232.447916666664</v>
      </c>
      <c r="Q329" s="15">
        <v>46224.708333333336</v>
      </c>
      <c r="S329" t="s">
        <v>750</v>
      </c>
      <c r="T329" t="s">
        <v>1785</v>
      </c>
      <c r="U329" t="s">
        <v>1786</v>
      </c>
      <c r="V329" t="s">
        <v>750</v>
      </c>
      <c r="W329">
        <v>2300</v>
      </c>
      <c r="X329" t="s">
        <v>751</v>
      </c>
      <c r="Y329" t="s">
        <v>261</v>
      </c>
      <c r="Z329" t="s">
        <v>826</v>
      </c>
      <c r="AB329" t="s">
        <v>349</v>
      </c>
      <c r="AC329" t="s">
        <v>349</v>
      </c>
      <c r="AD329" t="s">
        <v>393</v>
      </c>
      <c r="AE329" t="s">
        <v>261</v>
      </c>
      <c r="AF329" t="s">
        <v>1787</v>
      </c>
      <c r="AG329" t="s">
        <v>249</v>
      </c>
      <c r="AH329">
        <v>1</v>
      </c>
      <c r="AI329" t="s">
        <v>250</v>
      </c>
      <c r="AJ329" t="s">
        <v>248</v>
      </c>
      <c r="AK329" t="s">
        <v>906</v>
      </c>
      <c r="AL329" t="s">
        <v>203</v>
      </c>
      <c r="AM329" t="s">
        <v>888</v>
      </c>
      <c r="AN329">
        <v>2</v>
      </c>
      <c r="AO329">
        <v>46219</v>
      </c>
      <c r="AP329">
        <v>0.41547453703703702</v>
      </c>
      <c r="AQ329">
        <v>46232</v>
      </c>
      <c r="AR329">
        <v>0.44791666666666669</v>
      </c>
      <c r="AS329" t="s">
        <v>201</v>
      </c>
      <c r="AT329" t="s">
        <v>1956</v>
      </c>
      <c r="AU329" t="s">
        <v>1955</v>
      </c>
      <c r="AV329" t="s">
        <v>829</v>
      </c>
      <c r="AX329">
        <v>1</v>
      </c>
      <c r="AY329" t="s">
        <v>89</v>
      </c>
      <c r="AZ329" t="s">
        <v>67</v>
      </c>
      <c r="BA329" t="s">
        <v>217</v>
      </c>
      <c r="BB329" t="s">
        <v>909</v>
      </c>
      <c r="BC329">
        <v>19.399999999999999</v>
      </c>
      <c r="BD329">
        <v>0</v>
      </c>
    </row>
    <row r="330" spans="1:57" x14ac:dyDescent="0.3">
      <c r="A330" s="204">
        <v>46237</v>
      </c>
      <c r="B330" t="s">
        <v>142</v>
      </c>
      <c r="C330" t="s">
        <v>345</v>
      </c>
      <c r="D330" t="s">
        <v>57</v>
      </c>
      <c r="E330" t="s">
        <v>117</v>
      </c>
      <c r="F330" t="s">
        <v>309</v>
      </c>
      <c r="G330" t="s">
        <v>755</v>
      </c>
      <c r="H330" t="s">
        <v>864</v>
      </c>
      <c r="I330" t="s">
        <v>420</v>
      </c>
      <c r="J330">
        <v>3</v>
      </c>
      <c r="K330">
        <v>3</v>
      </c>
      <c r="L330" t="s">
        <v>756</v>
      </c>
      <c r="M330" s="15">
        <v>46241.564421296294</v>
      </c>
      <c r="N330" s="15">
        <v>46248.563888888886</v>
      </c>
      <c r="O330" s="15">
        <v>46248.417361111111</v>
      </c>
      <c r="P330" s="15">
        <v>46254.490972222222</v>
      </c>
      <c r="Q330" s="15"/>
      <c r="S330" t="s">
        <v>397</v>
      </c>
      <c r="V330" t="s">
        <v>365</v>
      </c>
      <c r="W330">
        <v>2940</v>
      </c>
      <c r="X330" t="s">
        <v>377</v>
      </c>
      <c r="Y330" t="s">
        <v>293</v>
      </c>
      <c r="Z330" t="s">
        <v>851</v>
      </c>
      <c r="AB330" t="s">
        <v>350</v>
      </c>
      <c r="AC330" t="s">
        <v>7</v>
      </c>
      <c r="AD330" t="s">
        <v>7</v>
      </c>
      <c r="AE330" t="s">
        <v>7</v>
      </c>
      <c r="AF330" t="s">
        <v>871</v>
      </c>
      <c r="AG330" t="s">
        <v>249</v>
      </c>
      <c r="AH330">
        <v>2</v>
      </c>
      <c r="AI330" t="s">
        <v>250</v>
      </c>
      <c r="AJ330" t="s">
        <v>251</v>
      </c>
      <c r="AK330" t="s">
        <v>920</v>
      </c>
      <c r="AL330" t="s">
        <v>203</v>
      </c>
      <c r="AM330" t="s">
        <v>899</v>
      </c>
      <c r="AO330">
        <v>46248</v>
      </c>
      <c r="AP330">
        <v>0.41736111111111113</v>
      </c>
      <c r="AQ330">
        <v>46254</v>
      </c>
      <c r="AR330">
        <v>0.4909722222222222</v>
      </c>
      <c r="AS330" t="s">
        <v>201</v>
      </c>
      <c r="AT330" t="s">
        <v>1954</v>
      </c>
      <c r="AU330" t="s">
        <v>1955</v>
      </c>
      <c r="AV330" t="s">
        <v>862</v>
      </c>
      <c r="AX330">
        <v>1</v>
      </c>
      <c r="AY330" t="s">
        <v>126</v>
      </c>
      <c r="AZ330" t="s">
        <v>127</v>
      </c>
      <c r="BA330" t="s">
        <v>233</v>
      </c>
      <c r="BB330" t="s">
        <v>921</v>
      </c>
      <c r="BE330">
        <v>1</v>
      </c>
    </row>
    <row r="331" spans="1:57" x14ac:dyDescent="0.3">
      <c r="A331" s="204">
        <v>46237</v>
      </c>
      <c r="B331" t="s">
        <v>142</v>
      </c>
      <c r="C331" t="s">
        <v>345</v>
      </c>
      <c r="D331" t="s">
        <v>57</v>
      </c>
      <c r="E331" t="s">
        <v>117</v>
      </c>
      <c r="F331" t="s">
        <v>309</v>
      </c>
      <c r="G331" t="s">
        <v>755</v>
      </c>
      <c r="H331" t="s">
        <v>864</v>
      </c>
      <c r="I331" t="s">
        <v>420</v>
      </c>
      <c r="J331">
        <v>26</v>
      </c>
      <c r="K331">
        <v>26</v>
      </c>
      <c r="L331" t="s">
        <v>756</v>
      </c>
      <c r="M331" s="15">
        <v>46241.564421296294</v>
      </c>
      <c r="N331" s="15">
        <v>46248.563888888886</v>
      </c>
      <c r="O331" s="15">
        <v>46248.417361111111</v>
      </c>
      <c r="P331" s="15">
        <v>46254.490972222222</v>
      </c>
      <c r="Q331" s="15"/>
      <c r="S331" t="s">
        <v>397</v>
      </c>
      <c r="V331" t="s">
        <v>365</v>
      </c>
      <c r="W331">
        <v>2940</v>
      </c>
      <c r="X331" t="s">
        <v>377</v>
      </c>
      <c r="Y331" t="s">
        <v>293</v>
      </c>
      <c r="Z331" t="s">
        <v>851</v>
      </c>
      <c r="AB331" t="s">
        <v>350</v>
      </c>
      <c r="AC331" t="s">
        <v>7</v>
      </c>
      <c r="AD331" t="s">
        <v>7</v>
      </c>
      <c r="AE331" t="s">
        <v>7</v>
      </c>
      <c r="AF331" t="s">
        <v>871</v>
      </c>
      <c r="AG331" t="s">
        <v>250</v>
      </c>
      <c r="AH331">
        <v>2</v>
      </c>
      <c r="AI331" t="s">
        <v>250</v>
      </c>
      <c r="AJ331" t="s">
        <v>251</v>
      </c>
      <c r="AK331" t="s">
        <v>920</v>
      </c>
      <c r="AL331" t="s">
        <v>203</v>
      </c>
      <c r="AM331" t="s">
        <v>899</v>
      </c>
      <c r="AO331">
        <v>46248</v>
      </c>
      <c r="AP331">
        <v>0.41736111111111113</v>
      </c>
      <c r="AQ331">
        <v>46254</v>
      </c>
      <c r="AR331">
        <v>0.4909722222222222</v>
      </c>
      <c r="AS331" t="s">
        <v>1958</v>
      </c>
      <c r="AU331" t="s">
        <v>1955</v>
      </c>
      <c r="AV331" t="s">
        <v>862</v>
      </c>
      <c r="AX331">
        <v>2.6</v>
      </c>
      <c r="AY331" t="s">
        <v>126</v>
      </c>
      <c r="AZ331" t="s">
        <v>127</v>
      </c>
      <c r="BA331" t="s">
        <v>233</v>
      </c>
      <c r="BB331" t="s">
        <v>921</v>
      </c>
    </row>
    <row r="332" spans="1:57" x14ac:dyDescent="0.3">
      <c r="A332" s="204">
        <v>46237</v>
      </c>
      <c r="B332" t="s">
        <v>142</v>
      </c>
      <c r="C332" t="s">
        <v>345</v>
      </c>
      <c r="D332" t="s">
        <v>57</v>
      </c>
      <c r="E332" t="s">
        <v>117</v>
      </c>
      <c r="F332" t="s">
        <v>309</v>
      </c>
      <c r="G332" t="s">
        <v>755</v>
      </c>
      <c r="H332" t="s">
        <v>864</v>
      </c>
      <c r="I332" t="s">
        <v>420</v>
      </c>
      <c r="J332">
        <v>6</v>
      </c>
      <c r="K332">
        <v>6</v>
      </c>
      <c r="L332" t="s">
        <v>756</v>
      </c>
      <c r="M332" s="15">
        <v>46241.564421296294</v>
      </c>
      <c r="N332" s="15">
        <v>46248.563888888886</v>
      </c>
      <c r="O332" s="15">
        <v>46248.417361111111</v>
      </c>
      <c r="P332" s="15">
        <v>46254.490972222222</v>
      </c>
      <c r="Q332" s="15"/>
      <c r="S332" t="s">
        <v>397</v>
      </c>
      <c r="V332" t="s">
        <v>365</v>
      </c>
      <c r="W332">
        <v>2940</v>
      </c>
      <c r="X332" t="s">
        <v>377</v>
      </c>
      <c r="Y332" t="s">
        <v>293</v>
      </c>
      <c r="Z332" t="s">
        <v>851</v>
      </c>
      <c r="AB332" t="s">
        <v>350</v>
      </c>
      <c r="AC332" t="s">
        <v>7</v>
      </c>
      <c r="AD332" t="s">
        <v>7</v>
      </c>
      <c r="AE332" t="s">
        <v>7</v>
      </c>
      <c r="AF332" t="s">
        <v>871</v>
      </c>
      <c r="AG332" t="s">
        <v>250</v>
      </c>
      <c r="AH332">
        <v>2</v>
      </c>
      <c r="AI332" t="s">
        <v>250</v>
      </c>
      <c r="AJ332" t="s">
        <v>251</v>
      </c>
      <c r="AK332" t="s">
        <v>920</v>
      </c>
      <c r="AL332" t="s">
        <v>203</v>
      </c>
      <c r="AM332" t="s">
        <v>899</v>
      </c>
      <c r="AO332">
        <v>46248</v>
      </c>
      <c r="AP332">
        <v>0.41736111111111113</v>
      </c>
      <c r="AQ332">
        <v>46254</v>
      </c>
      <c r="AR332">
        <v>0.4909722222222222</v>
      </c>
      <c r="AS332" t="s">
        <v>1958</v>
      </c>
      <c r="AU332" t="s">
        <v>1955</v>
      </c>
      <c r="AV332" t="s">
        <v>862</v>
      </c>
      <c r="AX332">
        <v>1</v>
      </c>
      <c r="AY332" t="s">
        <v>126</v>
      </c>
      <c r="AZ332" t="s">
        <v>127</v>
      </c>
      <c r="BA332" t="s">
        <v>233</v>
      </c>
      <c r="BB332" t="s">
        <v>921</v>
      </c>
    </row>
    <row r="333" spans="1:57" x14ac:dyDescent="0.3">
      <c r="A333" s="204">
        <v>46237</v>
      </c>
      <c r="B333" t="s">
        <v>142</v>
      </c>
      <c r="C333" t="s">
        <v>345</v>
      </c>
      <c r="D333" t="s">
        <v>57</v>
      </c>
      <c r="E333" t="s">
        <v>117</v>
      </c>
      <c r="F333" t="s">
        <v>309</v>
      </c>
      <c r="G333" t="s">
        <v>755</v>
      </c>
      <c r="H333" t="s">
        <v>864</v>
      </c>
      <c r="I333" t="s">
        <v>420</v>
      </c>
      <c r="J333">
        <v>7</v>
      </c>
      <c r="K333">
        <v>7</v>
      </c>
      <c r="L333" t="s">
        <v>756</v>
      </c>
      <c r="M333" s="15">
        <v>46241.564421296294</v>
      </c>
      <c r="N333" s="15">
        <v>46248.563888888886</v>
      </c>
      <c r="O333" s="15">
        <v>46248.417361111111</v>
      </c>
      <c r="P333" s="15">
        <v>46254.490972222222</v>
      </c>
      <c r="Q333" s="15"/>
      <c r="S333" t="s">
        <v>397</v>
      </c>
      <c r="V333" t="s">
        <v>365</v>
      </c>
      <c r="W333">
        <v>2940</v>
      </c>
      <c r="X333" t="s">
        <v>377</v>
      </c>
      <c r="Y333" t="s">
        <v>293</v>
      </c>
      <c r="Z333" t="s">
        <v>851</v>
      </c>
      <c r="AB333" t="s">
        <v>350</v>
      </c>
      <c r="AC333" t="s">
        <v>7</v>
      </c>
      <c r="AD333" t="s">
        <v>7</v>
      </c>
      <c r="AE333" t="s">
        <v>7</v>
      </c>
      <c r="AF333" t="s">
        <v>871</v>
      </c>
      <c r="AG333" t="s">
        <v>250</v>
      </c>
      <c r="AH333">
        <v>2</v>
      </c>
      <c r="AI333" t="s">
        <v>250</v>
      </c>
      <c r="AJ333" t="s">
        <v>251</v>
      </c>
      <c r="AK333" t="s">
        <v>920</v>
      </c>
      <c r="AL333" t="s">
        <v>203</v>
      </c>
      <c r="AM333" t="s">
        <v>899</v>
      </c>
      <c r="AO333">
        <v>46248</v>
      </c>
      <c r="AP333">
        <v>0.41736111111111113</v>
      </c>
      <c r="AQ333">
        <v>46254</v>
      </c>
      <c r="AR333">
        <v>0.4909722222222222</v>
      </c>
      <c r="AS333" t="s">
        <v>1958</v>
      </c>
      <c r="AU333" t="s">
        <v>1955</v>
      </c>
      <c r="AV333" t="s">
        <v>862</v>
      </c>
      <c r="AX333">
        <v>1</v>
      </c>
      <c r="AY333" t="s">
        <v>126</v>
      </c>
      <c r="AZ333" t="s">
        <v>127</v>
      </c>
      <c r="BA333" t="s">
        <v>233</v>
      </c>
      <c r="BB333" t="s">
        <v>921</v>
      </c>
    </row>
    <row r="334" spans="1:57" x14ac:dyDescent="0.3">
      <c r="A334" s="204">
        <v>46237</v>
      </c>
      <c r="B334" t="s">
        <v>142</v>
      </c>
      <c r="C334" t="s">
        <v>345</v>
      </c>
      <c r="D334" t="s">
        <v>63</v>
      </c>
      <c r="E334" t="s">
        <v>95</v>
      </c>
      <c r="F334" t="s">
        <v>309</v>
      </c>
      <c r="G334" t="s">
        <v>755</v>
      </c>
      <c r="H334" t="s">
        <v>864</v>
      </c>
      <c r="I334" t="s">
        <v>420</v>
      </c>
      <c r="J334">
        <v>6</v>
      </c>
      <c r="K334">
        <v>6</v>
      </c>
      <c r="L334" t="s">
        <v>756</v>
      </c>
      <c r="M334" s="15">
        <v>46241.564421296294</v>
      </c>
      <c r="N334" s="15">
        <v>46248.563888888886</v>
      </c>
      <c r="O334" s="15">
        <v>46248.417361111111</v>
      </c>
      <c r="P334" s="15">
        <v>46254.490972222222</v>
      </c>
      <c r="Q334" s="15"/>
      <c r="S334" t="s">
        <v>397</v>
      </c>
      <c r="V334" t="s">
        <v>365</v>
      </c>
      <c r="W334">
        <v>2940</v>
      </c>
      <c r="X334" t="s">
        <v>377</v>
      </c>
      <c r="Y334" t="s">
        <v>293</v>
      </c>
      <c r="Z334" t="s">
        <v>851</v>
      </c>
      <c r="AB334" t="s">
        <v>350</v>
      </c>
      <c r="AC334" t="s">
        <v>7</v>
      </c>
      <c r="AD334" t="s">
        <v>7</v>
      </c>
      <c r="AE334" t="s">
        <v>7</v>
      </c>
      <c r="AF334" t="s">
        <v>1788</v>
      </c>
      <c r="AG334" t="s">
        <v>249</v>
      </c>
      <c r="AH334">
        <v>2</v>
      </c>
      <c r="AI334" t="s">
        <v>250</v>
      </c>
      <c r="AJ334" t="s">
        <v>251</v>
      </c>
      <c r="AK334" t="s">
        <v>920</v>
      </c>
      <c r="AL334" t="s">
        <v>203</v>
      </c>
      <c r="AM334" t="s">
        <v>1655</v>
      </c>
      <c r="AO334">
        <v>46248</v>
      </c>
      <c r="AP334">
        <v>0.41736111111111113</v>
      </c>
      <c r="AQ334">
        <v>46254</v>
      </c>
      <c r="AR334">
        <v>0.4909722222222222</v>
      </c>
      <c r="AS334" t="s">
        <v>201</v>
      </c>
      <c r="AT334" t="s">
        <v>1954</v>
      </c>
      <c r="AU334" t="s">
        <v>1955</v>
      </c>
      <c r="AV334" t="s">
        <v>937</v>
      </c>
      <c r="AX334">
        <v>6</v>
      </c>
      <c r="AY334" t="s">
        <v>111</v>
      </c>
      <c r="AZ334" t="s">
        <v>96</v>
      </c>
      <c r="BA334" t="s">
        <v>225</v>
      </c>
      <c r="BB334" t="s">
        <v>921</v>
      </c>
      <c r="BE334">
        <v>10.9</v>
      </c>
    </row>
    <row r="335" spans="1:57" x14ac:dyDescent="0.3">
      <c r="A335" s="204">
        <v>46237</v>
      </c>
      <c r="B335" t="s">
        <v>142</v>
      </c>
      <c r="C335" t="s">
        <v>345</v>
      </c>
      <c r="D335" t="s">
        <v>63</v>
      </c>
      <c r="E335" t="s">
        <v>95</v>
      </c>
      <c r="F335" t="s">
        <v>309</v>
      </c>
      <c r="G335" t="s">
        <v>755</v>
      </c>
      <c r="H335" t="s">
        <v>864</v>
      </c>
      <c r="I335" t="s">
        <v>420</v>
      </c>
      <c r="J335">
        <v>26</v>
      </c>
      <c r="K335">
        <v>26</v>
      </c>
      <c r="L335" t="s">
        <v>756</v>
      </c>
      <c r="M335" s="15">
        <v>46241.564421296294</v>
      </c>
      <c r="N335" s="15">
        <v>46248.563888888886</v>
      </c>
      <c r="O335" s="15">
        <v>46248.417361111111</v>
      </c>
      <c r="P335" s="15">
        <v>46254.490972222222</v>
      </c>
      <c r="Q335" s="15"/>
      <c r="S335" t="s">
        <v>397</v>
      </c>
      <c r="V335" t="s">
        <v>365</v>
      </c>
      <c r="W335">
        <v>2940</v>
      </c>
      <c r="X335" t="s">
        <v>377</v>
      </c>
      <c r="Y335" t="s">
        <v>293</v>
      </c>
      <c r="Z335" t="s">
        <v>851</v>
      </c>
      <c r="AB335" t="s">
        <v>350</v>
      </c>
      <c r="AC335" t="s">
        <v>7</v>
      </c>
      <c r="AD335" t="s">
        <v>7</v>
      </c>
      <c r="AE335" t="s">
        <v>7</v>
      </c>
      <c r="AF335" t="s">
        <v>1788</v>
      </c>
      <c r="AG335" t="s">
        <v>250</v>
      </c>
      <c r="AH335">
        <v>2</v>
      </c>
      <c r="AI335" t="s">
        <v>250</v>
      </c>
      <c r="AJ335" t="s">
        <v>251</v>
      </c>
      <c r="AK335" t="s">
        <v>920</v>
      </c>
      <c r="AL335" t="s">
        <v>203</v>
      </c>
      <c r="AM335" t="s">
        <v>1655</v>
      </c>
      <c r="AO335">
        <v>46248</v>
      </c>
      <c r="AP335">
        <v>0.41736111111111113</v>
      </c>
      <c r="AQ335">
        <v>46254</v>
      </c>
      <c r="AR335">
        <v>0.4909722222222222</v>
      </c>
      <c r="AS335" t="s">
        <v>1958</v>
      </c>
      <c r="AU335" t="s">
        <v>1955</v>
      </c>
      <c r="AV335" t="s">
        <v>937</v>
      </c>
      <c r="AX335">
        <v>26</v>
      </c>
      <c r="AY335" t="s">
        <v>111</v>
      </c>
      <c r="AZ335" t="s">
        <v>96</v>
      </c>
      <c r="BA335" t="s">
        <v>225</v>
      </c>
      <c r="BB335" t="s">
        <v>921</v>
      </c>
    </row>
    <row r="336" spans="1:57" x14ac:dyDescent="0.3">
      <c r="A336" s="204">
        <v>46237</v>
      </c>
      <c r="B336" t="s">
        <v>142</v>
      </c>
      <c r="C336" t="s">
        <v>345</v>
      </c>
      <c r="D336" t="s">
        <v>63</v>
      </c>
      <c r="E336" t="s">
        <v>95</v>
      </c>
      <c r="F336" t="s">
        <v>309</v>
      </c>
      <c r="G336" t="s">
        <v>755</v>
      </c>
      <c r="H336" t="s">
        <v>864</v>
      </c>
      <c r="I336" t="s">
        <v>420</v>
      </c>
      <c r="J336">
        <v>1</v>
      </c>
      <c r="K336">
        <v>1</v>
      </c>
      <c r="L336" t="s">
        <v>756</v>
      </c>
      <c r="M336" s="15">
        <v>46241.564421296294</v>
      </c>
      <c r="N336" s="15">
        <v>46248.563888888886</v>
      </c>
      <c r="O336" s="15">
        <v>46248.417361111111</v>
      </c>
      <c r="P336" s="15">
        <v>46254.490972222222</v>
      </c>
      <c r="Q336" s="15"/>
      <c r="S336" t="s">
        <v>397</v>
      </c>
      <c r="V336" t="s">
        <v>365</v>
      </c>
      <c r="W336">
        <v>2940</v>
      </c>
      <c r="X336" t="s">
        <v>377</v>
      </c>
      <c r="Y336" t="s">
        <v>293</v>
      </c>
      <c r="Z336" t="s">
        <v>851</v>
      </c>
      <c r="AB336" t="s">
        <v>350</v>
      </c>
      <c r="AC336" t="s">
        <v>7</v>
      </c>
      <c r="AD336" t="s">
        <v>7</v>
      </c>
      <c r="AE336" t="s">
        <v>7</v>
      </c>
      <c r="AF336" t="s">
        <v>1788</v>
      </c>
      <c r="AG336" t="s">
        <v>250</v>
      </c>
      <c r="AH336">
        <v>2</v>
      </c>
      <c r="AI336" t="s">
        <v>250</v>
      </c>
      <c r="AJ336" t="s">
        <v>251</v>
      </c>
      <c r="AK336" t="s">
        <v>920</v>
      </c>
      <c r="AL336" t="s">
        <v>203</v>
      </c>
      <c r="AM336" t="s">
        <v>1655</v>
      </c>
      <c r="AO336">
        <v>46248</v>
      </c>
      <c r="AP336">
        <v>0.41736111111111113</v>
      </c>
      <c r="AQ336">
        <v>46254</v>
      </c>
      <c r="AR336">
        <v>0.4909722222222222</v>
      </c>
      <c r="AS336" t="s">
        <v>1958</v>
      </c>
      <c r="AU336" t="s">
        <v>1955</v>
      </c>
      <c r="AV336" t="s">
        <v>937</v>
      </c>
      <c r="AX336">
        <v>1</v>
      </c>
      <c r="AY336" t="s">
        <v>111</v>
      </c>
      <c r="AZ336" t="s">
        <v>96</v>
      </c>
      <c r="BA336" t="s">
        <v>225</v>
      </c>
      <c r="BB336" t="s">
        <v>921</v>
      </c>
    </row>
    <row r="337" spans="1:57" x14ac:dyDescent="0.3">
      <c r="A337" s="204">
        <v>46237</v>
      </c>
      <c r="B337" t="s">
        <v>142</v>
      </c>
      <c r="C337" t="s">
        <v>345</v>
      </c>
      <c r="D337" t="s">
        <v>63</v>
      </c>
      <c r="E337" t="s">
        <v>95</v>
      </c>
      <c r="F337" t="s">
        <v>309</v>
      </c>
      <c r="G337" t="s">
        <v>755</v>
      </c>
      <c r="H337" t="s">
        <v>864</v>
      </c>
      <c r="I337" t="s">
        <v>420</v>
      </c>
      <c r="J337">
        <v>32</v>
      </c>
      <c r="K337">
        <v>32</v>
      </c>
      <c r="L337" t="s">
        <v>756</v>
      </c>
      <c r="M337" s="15">
        <v>46241.564421296294</v>
      </c>
      <c r="N337" s="15">
        <v>46248.563888888886</v>
      </c>
      <c r="O337" s="15">
        <v>46248.417361111111</v>
      </c>
      <c r="P337" s="15">
        <v>46254.490972222222</v>
      </c>
      <c r="Q337" s="15"/>
      <c r="S337" t="s">
        <v>397</v>
      </c>
      <c r="V337" t="s">
        <v>365</v>
      </c>
      <c r="W337">
        <v>2940</v>
      </c>
      <c r="X337" t="s">
        <v>377</v>
      </c>
      <c r="Y337" t="s">
        <v>293</v>
      </c>
      <c r="Z337" t="s">
        <v>851</v>
      </c>
      <c r="AB337" t="s">
        <v>350</v>
      </c>
      <c r="AC337" t="s">
        <v>7</v>
      </c>
      <c r="AD337" t="s">
        <v>7</v>
      </c>
      <c r="AE337" t="s">
        <v>7</v>
      </c>
      <c r="AF337" t="s">
        <v>1788</v>
      </c>
      <c r="AG337" t="s">
        <v>250</v>
      </c>
      <c r="AH337">
        <v>2</v>
      </c>
      <c r="AI337" t="s">
        <v>250</v>
      </c>
      <c r="AJ337" t="s">
        <v>251</v>
      </c>
      <c r="AK337" t="s">
        <v>920</v>
      </c>
      <c r="AL337" t="s">
        <v>203</v>
      </c>
      <c r="AM337" t="s">
        <v>1655</v>
      </c>
      <c r="AO337">
        <v>46248</v>
      </c>
      <c r="AP337">
        <v>0.41736111111111113</v>
      </c>
      <c r="AQ337">
        <v>46254</v>
      </c>
      <c r="AR337">
        <v>0.4909722222222222</v>
      </c>
      <c r="AS337" t="s">
        <v>1958</v>
      </c>
      <c r="AU337" t="s">
        <v>1955</v>
      </c>
      <c r="AV337" t="s">
        <v>937</v>
      </c>
      <c r="AX337">
        <v>32</v>
      </c>
      <c r="AY337" t="s">
        <v>111</v>
      </c>
      <c r="AZ337" t="s">
        <v>96</v>
      </c>
      <c r="BA337" t="s">
        <v>225</v>
      </c>
      <c r="BB337" t="s">
        <v>921</v>
      </c>
    </row>
    <row r="338" spans="1:57" x14ac:dyDescent="0.3">
      <c r="A338" s="204">
        <v>46237</v>
      </c>
      <c r="B338" t="s">
        <v>142</v>
      </c>
      <c r="C338" t="s">
        <v>345</v>
      </c>
      <c r="D338" t="s">
        <v>63</v>
      </c>
      <c r="E338" t="s">
        <v>95</v>
      </c>
      <c r="F338" t="s">
        <v>309</v>
      </c>
      <c r="G338" t="s">
        <v>755</v>
      </c>
      <c r="H338" t="s">
        <v>864</v>
      </c>
      <c r="I338" t="s">
        <v>420</v>
      </c>
      <c r="J338">
        <v>25</v>
      </c>
      <c r="K338">
        <v>25</v>
      </c>
      <c r="L338" t="s">
        <v>756</v>
      </c>
      <c r="M338" s="15">
        <v>46241.564421296294</v>
      </c>
      <c r="N338" s="15">
        <v>46248.563888888886</v>
      </c>
      <c r="O338" s="15">
        <v>46248.417361111111</v>
      </c>
      <c r="P338" s="15">
        <v>46254.490972222222</v>
      </c>
      <c r="Q338" s="15"/>
      <c r="S338" t="s">
        <v>397</v>
      </c>
      <c r="V338" t="s">
        <v>365</v>
      </c>
      <c r="W338">
        <v>2940</v>
      </c>
      <c r="X338" t="s">
        <v>377</v>
      </c>
      <c r="Y338" t="s">
        <v>293</v>
      </c>
      <c r="Z338" t="s">
        <v>851</v>
      </c>
      <c r="AB338" t="s">
        <v>350</v>
      </c>
      <c r="AC338" t="s">
        <v>7</v>
      </c>
      <c r="AD338" t="s">
        <v>7</v>
      </c>
      <c r="AE338" t="s">
        <v>7</v>
      </c>
      <c r="AF338" t="s">
        <v>1788</v>
      </c>
      <c r="AG338" t="s">
        <v>250</v>
      </c>
      <c r="AH338">
        <v>2</v>
      </c>
      <c r="AI338" t="s">
        <v>250</v>
      </c>
      <c r="AJ338" t="s">
        <v>251</v>
      </c>
      <c r="AK338" t="s">
        <v>920</v>
      </c>
      <c r="AL338" t="s">
        <v>203</v>
      </c>
      <c r="AM338" t="s">
        <v>1655</v>
      </c>
      <c r="AO338">
        <v>46248</v>
      </c>
      <c r="AP338">
        <v>0.41736111111111113</v>
      </c>
      <c r="AQ338">
        <v>46254</v>
      </c>
      <c r="AR338">
        <v>0.4909722222222222</v>
      </c>
      <c r="AS338" t="s">
        <v>1958</v>
      </c>
      <c r="AU338" t="s">
        <v>1955</v>
      </c>
      <c r="AV338" t="s">
        <v>937</v>
      </c>
      <c r="AX338">
        <v>25</v>
      </c>
      <c r="AY338" t="s">
        <v>111</v>
      </c>
      <c r="AZ338" t="s">
        <v>96</v>
      </c>
      <c r="BA338" t="s">
        <v>225</v>
      </c>
      <c r="BB338" t="s">
        <v>921</v>
      </c>
    </row>
    <row r="339" spans="1:57" x14ac:dyDescent="0.3">
      <c r="A339" s="204">
        <v>46237</v>
      </c>
      <c r="B339" t="s">
        <v>142</v>
      </c>
      <c r="C339" t="s">
        <v>345</v>
      </c>
      <c r="D339" t="s">
        <v>63</v>
      </c>
      <c r="E339" t="s">
        <v>95</v>
      </c>
      <c r="F339" t="s">
        <v>309</v>
      </c>
      <c r="G339" t="s">
        <v>755</v>
      </c>
      <c r="H339" t="s">
        <v>864</v>
      </c>
      <c r="I339" t="s">
        <v>420</v>
      </c>
      <c r="J339">
        <v>3</v>
      </c>
      <c r="K339">
        <v>3</v>
      </c>
      <c r="L339" t="s">
        <v>756</v>
      </c>
      <c r="M339" s="15">
        <v>46241.564421296294</v>
      </c>
      <c r="N339" s="15">
        <v>46248.563888888886</v>
      </c>
      <c r="O339" s="15">
        <v>46248.417361111111</v>
      </c>
      <c r="P339" s="15">
        <v>46254.490972222222</v>
      </c>
      <c r="Q339" s="15"/>
      <c r="S339" t="s">
        <v>397</v>
      </c>
      <c r="V339" t="s">
        <v>365</v>
      </c>
      <c r="W339">
        <v>2940</v>
      </c>
      <c r="X339" t="s">
        <v>377</v>
      </c>
      <c r="Y339" t="s">
        <v>293</v>
      </c>
      <c r="Z339" t="s">
        <v>851</v>
      </c>
      <c r="AB339" t="s">
        <v>350</v>
      </c>
      <c r="AC339" t="s">
        <v>7</v>
      </c>
      <c r="AD339" t="s">
        <v>7</v>
      </c>
      <c r="AE339" t="s">
        <v>7</v>
      </c>
      <c r="AF339" t="s">
        <v>1788</v>
      </c>
      <c r="AG339" t="s">
        <v>250</v>
      </c>
      <c r="AH339">
        <v>2</v>
      </c>
      <c r="AI339" t="s">
        <v>250</v>
      </c>
      <c r="AJ339" t="s">
        <v>251</v>
      </c>
      <c r="AK339" t="s">
        <v>920</v>
      </c>
      <c r="AL339" t="s">
        <v>203</v>
      </c>
      <c r="AM339" t="s">
        <v>1655</v>
      </c>
      <c r="AO339">
        <v>46248</v>
      </c>
      <c r="AP339">
        <v>0.41736111111111113</v>
      </c>
      <c r="AQ339">
        <v>46254</v>
      </c>
      <c r="AR339">
        <v>0.4909722222222222</v>
      </c>
      <c r="AS339" t="s">
        <v>1958</v>
      </c>
      <c r="AU339" t="s">
        <v>1955</v>
      </c>
      <c r="AV339" t="s">
        <v>937</v>
      </c>
      <c r="AX339">
        <v>3</v>
      </c>
      <c r="AY339" t="s">
        <v>111</v>
      </c>
      <c r="AZ339" t="s">
        <v>96</v>
      </c>
      <c r="BA339" t="s">
        <v>225</v>
      </c>
      <c r="BB339" t="s">
        <v>921</v>
      </c>
    </row>
    <row r="340" spans="1:57" x14ac:dyDescent="0.3">
      <c r="A340" s="204">
        <v>46237</v>
      </c>
      <c r="B340" t="s">
        <v>142</v>
      </c>
      <c r="C340" t="s">
        <v>345</v>
      </c>
      <c r="D340" t="s">
        <v>63</v>
      </c>
      <c r="E340" t="s">
        <v>95</v>
      </c>
      <c r="F340" t="s">
        <v>309</v>
      </c>
      <c r="G340" t="s">
        <v>755</v>
      </c>
      <c r="H340" t="s">
        <v>864</v>
      </c>
      <c r="I340" t="s">
        <v>420</v>
      </c>
      <c r="J340">
        <v>2</v>
      </c>
      <c r="K340">
        <v>2</v>
      </c>
      <c r="L340" t="s">
        <v>756</v>
      </c>
      <c r="M340" s="15">
        <v>46241.564421296294</v>
      </c>
      <c r="N340" s="15">
        <v>46248.563888888886</v>
      </c>
      <c r="O340" s="15">
        <v>46248.417361111111</v>
      </c>
      <c r="P340" s="15">
        <v>46254.490972222222</v>
      </c>
      <c r="Q340" s="15"/>
      <c r="S340" t="s">
        <v>397</v>
      </c>
      <c r="V340" t="s">
        <v>365</v>
      </c>
      <c r="W340">
        <v>2940</v>
      </c>
      <c r="X340" t="s">
        <v>377</v>
      </c>
      <c r="Y340" t="s">
        <v>293</v>
      </c>
      <c r="Z340" t="s">
        <v>851</v>
      </c>
      <c r="AB340" t="s">
        <v>350</v>
      </c>
      <c r="AC340" t="s">
        <v>7</v>
      </c>
      <c r="AD340" t="s">
        <v>7</v>
      </c>
      <c r="AE340" t="s">
        <v>7</v>
      </c>
      <c r="AF340" t="s">
        <v>1788</v>
      </c>
      <c r="AG340" t="s">
        <v>250</v>
      </c>
      <c r="AH340">
        <v>2</v>
      </c>
      <c r="AI340" t="s">
        <v>250</v>
      </c>
      <c r="AJ340" t="s">
        <v>251</v>
      </c>
      <c r="AK340" t="s">
        <v>920</v>
      </c>
      <c r="AL340" t="s">
        <v>203</v>
      </c>
      <c r="AM340" t="s">
        <v>1655</v>
      </c>
      <c r="AO340">
        <v>46248</v>
      </c>
      <c r="AP340">
        <v>0.41736111111111113</v>
      </c>
      <c r="AQ340">
        <v>46254</v>
      </c>
      <c r="AR340">
        <v>0.4909722222222222</v>
      </c>
      <c r="AS340" t="s">
        <v>1958</v>
      </c>
      <c r="AU340" t="s">
        <v>1955</v>
      </c>
      <c r="AV340" t="s">
        <v>937</v>
      </c>
      <c r="AX340">
        <v>2</v>
      </c>
      <c r="AY340" t="s">
        <v>111</v>
      </c>
      <c r="AZ340" t="s">
        <v>96</v>
      </c>
      <c r="BA340" t="s">
        <v>225</v>
      </c>
      <c r="BB340" t="s">
        <v>921</v>
      </c>
    </row>
    <row r="341" spans="1:57" x14ac:dyDescent="0.3">
      <c r="A341" s="204">
        <v>46237</v>
      </c>
      <c r="B341" t="s">
        <v>142</v>
      </c>
      <c r="C341" t="s">
        <v>345</v>
      </c>
      <c r="D341" t="s">
        <v>63</v>
      </c>
      <c r="E341" t="s">
        <v>95</v>
      </c>
      <c r="F341" t="s">
        <v>309</v>
      </c>
      <c r="G341" t="s">
        <v>755</v>
      </c>
      <c r="H341" t="s">
        <v>864</v>
      </c>
      <c r="I341" t="s">
        <v>420</v>
      </c>
      <c r="J341">
        <v>12</v>
      </c>
      <c r="K341">
        <v>12</v>
      </c>
      <c r="L341" t="s">
        <v>756</v>
      </c>
      <c r="M341" s="15">
        <v>46241.564421296294</v>
      </c>
      <c r="N341" s="15">
        <v>46248.563888888886</v>
      </c>
      <c r="O341" s="15">
        <v>46248.417361111111</v>
      </c>
      <c r="P341" s="15">
        <v>46254.490972222222</v>
      </c>
      <c r="Q341" s="15"/>
      <c r="S341" t="s">
        <v>397</v>
      </c>
      <c r="V341" t="s">
        <v>365</v>
      </c>
      <c r="W341">
        <v>2940</v>
      </c>
      <c r="X341" t="s">
        <v>377</v>
      </c>
      <c r="Y341" t="s">
        <v>293</v>
      </c>
      <c r="Z341" t="s">
        <v>851</v>
      </c>
      <c r="AB341" t="s">
        <v>350</v>
      </c>
      <c r="AC341" t="s">
        <v>7</v>
      </c>
      <c r="AD341" t="s">
        <v>7</v>
      </c>
      <c r="AE341" t="s">
        <v>7</v>
      </c>
      <c r="AF341" t="s">
        <v>1788</v>
      </c>
      <c r="AG341" t="s">
        <v>250</v>
      </c>
      <c r="AH341">
        <v>2</v>
      </c>
      <c r="AI341" t="s">
        <v>250</v>
      </c>
      <c r="AJ341" t="s">
        <v>251</v>
      </c>
      <c r="AK341" t="s">
        <v>920</v>
      </c>
      <c r="AL341" t="s">
        <v>203</v>
      </c>
      <c r="AM341" t="s">
        <v>1655</v>
      </c>
      <c r="AO341">
        <v>46248</v>
      </c>
      <c r="AP341">
        <v>0.41736111111111113</v>
      </c>
      <c r="AQ341">
        <v>46254</v>
      </c>
      <c r="AR341">
        <v>0.4909722222222222</v>
      </c>
      <c r="AS341" t="s">
        <v>1958</v>
      </c>
      <c r="AU341" t="s">
        <v>1955</v>
      </c>
      <c r="AV341" t="s">
        <v>937</v>
      </c>
      <c r="AX341">
        <v>12</v>
      </c>
      <c r="AY341" t="s">
        <v>111</v>
      </c>
      <c r="AZ341" t="s">
        <v>96</v>
      </c>
      <c r="BA341" t="s">
        <v>225</v>
      </c>
      <c r="BB341" t="s">
        <v>921</v>
      </c>
    </row>
    <row r="342" spans="1:57" x14ac:dyDescent="0.3">
      <c r="A342" s="204">
        <v>46237</v>
      </c>
      <c r="B342" t="s">
        <v>142</v>
      </c>
      <c r="C342" t="s">
        <v>345</v>
      </c>
      <c r="D342" t="s">
        <v>57</v>
      </c>
      <c r="E342" t="s">
        <v>117</v>
      </c>
      <c r="F342" t="s">
        <v>309</v>
      </c>
      <c r="G342" t="s">
        <v>755</v>
      </c>
      <c r="H342" t="s">
        <v>864</v>
      </c>
      <c r="I342" t="s">
        <v>420</v>
      </c>
      <c r="J342">
        <v>3</v>
      </c>
      <c r="K342">
        <v>3</v>
      </c>
      <c r="L342" t="s">
        <v>757</v>
      </c>
      <c r="M342" s="15">
        <v>46241.564421296294</v>
      </c>
      <c r="N342" s="15">
        <v>46248.563888888886</v>
      </c>
      <c r="O342" s="15">
        <v>46245.577777777777</v>
      </c>
      <c r="P342" s="15">
        <v>46253.505555555559</v>
      </c>
      <c r="Q342" s="15"/>
      <c r="S342" t="s">
        <v>397</v>
      </c>
      <c r="V342" t="s">
        <v>365</v>
      </c>
      <c r="W342">
        <v>2940</v>
      </c>
      <c r="X342" t="s">
        <v>377</v>
      </c>
      <c r="Y342" t="s">
        <v>293</v>
      </c>
      <c r="Z342" t="s">
        <v>851</v>
      </c>
      <c r="AB342" t="s">
        <v>350</v>
      </c>
      <c r="AC342" t="s">
        <v>7</v>
      </c>
      <c r="AD342" t="s">
        <v>7</v>
      </c>
      <c r="AE342" t="s">
        <v>7</v>
      </c>
      <c r="AF342" t="s">
        <v>870</v>
      </c>
      <c r="AG342" t="s">
        <v>249</v>
      </c>
      <c r="AH342">
        <v>2</v>
      </c>
      <c r="AI342" t="s">
        <v>250</v>
      </c>
      <c r="AJ342" t="s">
        <v>251</v>
      </c>
      <c r="AK342" t="s">
        <v>920</v>
      </c>
      <c r="AL342" t="s">
        <v>203</v>
      </c>
      <c r="AM342" t="s">
        <v>899</v>
      </c>
      <c r="AO342">
        <v>46245</v>
      </c>
      <c r="AP342">
        <v>0.57777777777777772</v>
      </c>
      <c r="AQ342">
        <v>46253</v>
      </c>
      <c r="AR342">
        <v>0.50555555555555554</v>
      </c>
      <c r="AS342" t="s">
        <v>201</v>
      </c>
      <c r="AT342" t="s">
        <v>1954</v>
      </c>
      <c r="AU342" t="s">
        <v>1955</v>
      </c>
      <c r="AV342" t="s">
        <v>862</v>
      </c>
      <c r="AX342">
        <v>1</v>
      </c>
      <c r="AY342" t="s">
        <v>126</v>
      </c>
      <c r="AZ342" t="s">
        <v>127</v>
      </c>
      <c r="BA342" t="s">
        <v>233</v>
      </c>
      <c r="BB342" t="s">
        <v>921</v>
      </c>
      <c r="BE342">
        <v>1.2899999999999998</v>
      </c>
    </row>
    <row r="343" spans="1:57" x14ac:dyDescent="0.3">
      <c r="A343" s="204">
        <v>46237</v>
      </c>
      <c r="B343" t="s">
        <v>142</v>
      </c>
      <c r="C343" t="s">
        <v>345</v>
      </c>
      <c r="D343" t="s">
        <v>57</v>
      </c>
      <c r="E343" t="s">
        <v>117</v>
      </c>
      <c r="F343" t="s">
        <v>309</v>
      </c>
      <c r="G343" t="s">
        <v>755</v>
      </c>
      <c r="H343" t="s">
        <v>864</v>
      </c>
      <c r="I343" t="s">
        <v>420</v>
      </c>
      <c r="J343">
        <v>5</v>
      </c>
      <c r="K343">
        <v>5</v>
      </c>
      <c r="L343" t="s">
        <v>757</v>
      </c>
      <c r="M343" s="15">
        <v>46241.564421296294</v>
      </c>
      <c r="N343" s="15">
        <v>46248.563888888886</v>
      </c>
      <c r="O343" s="15">
        <v>46245.577777777777</v>
      </c>
      <c r="P343" s="15">
        <v>46253.505555555559</v>
      </c>
      <c r="Q343" s="15"/>
      <c r="S343" t="s">
        <v>397</v>
      </c>
      <c r="V343" t="s">
        <v>365</v>
      </c>
      <c r="W343">
        <v>2940</v>
      </c>
      <c r="X343" t="s">
        <v>377</v>
      </c>
      <c r="Y343" t="s">
        <v>293</v>
      </c>
      <c r="Z343" t="s">
        <v>851</v>
      </c>
      <c r="AB343" t="s">
        <v>350</v>
      </c>
      <c r="AC343" t="s">
        <v>7</v>
      </c>
      <c r="AD343" t="s">
        <v>7</v>
      </c>
      <c r="AE343" t="s">
        <v>7</v>
      </c>
      <c r="AF343" t="s">
        <v>870</v>
      </c>
      <c r="AG343" t="s">
        <v>250</v>
      </c>
      <c r="AH343">
        <v>2</v>
      </c>
      <c r="AI343" t="s">
        <v>250</v>
      </c>
      <c r="AJ343" t="s">
        <v>251</v>
      </c>
      <c r="AK343" t="s">
        <v>920</v>
      </c>
      <c r="AL343" t="s">
        <v>203</v>
      </c>
      <c r="AM343" t="s">
        <v>899</v>
      </c>
      <c r="AO343">
        <v>46245</v>
      </c>
      <c r="AP343">
        <v>0.57777777777777772</v>
      </c>
      <c r="AQ343">
        <v>46253</v>
      </c>
      <c r="AR343">
        <v>0.50555555555555554</v>
      </c>
      <c r="AS343" t="s">
        <v>1958</v>
      </c>
      <c r="AU343" t="s">
        <v>1955</v>
      </c>
      <c r="AV343" t="s">
        <v>862</v>
      </c>
      <c r="AX343">
        <v>1</v>
      </c>
      <c r="AY343" t="s">
        <v>126</v>
      </c>
      <c r="AZ343" t="s">
        <v>127</v>
      </c>
      <c r="BA343" t="s">
        <v>233</v>
      </c>
      <c r="BB343" t="s">
        <v>921</v>
      </c>
    </row>
    <row r="344" spans="1:57" x14ac:dyDescent="0.3">
      <c r="A344" s="204">
        <v>46237</v>
      </c>
      <c r="B344" t="s">
        <v>142</v>
      </c>
      <c r="C344" t="s">
        <v>345</v>
      </c>
      <c r="D344" t="s">
        <v>63</v>
      </c>
      <c r="E344" t="s">
        <v>95</v>
      </c>
      <c r="F344" t="s">
        <v>309</v>
      </c>
      <c r="G344" t="s">
        <v>755</v>
      </c>
      <c r="H344" t="s">
        <v>864</v>
      </c>
      <c r="I344" t="s">
        <v>420</v>
      </c>
      <c r="J344">
        <v>3</v>
      </c>
      <c r="K344">
        <v>3</v>
      </c>
      <c r="L344" t="s">
        <v>757</v>
      </c>
      <c r="M344" s="15">
        <v>46241.564421296294</v>
      </c>
      <c r="N344" s="15">
        <v>46248.563888888886</v>
      </c>
      <c r="O344" s="15">
        <v>46245.577777777777</v>
      </c>
      <c r="P344" s="15">
        <v>46253.505555555559</v>
      </c>
      <c r="Q344" s="15"/>
      <c r="S344" t="s">
        <v>397</v>
      </c>
      <c r="V344" t="s">
        <v>365</v>
      </c>
      <c r="W344">
        <v>2940</v>
      </c>
      <c r="X344" t="s">
        <v>377</v>
      </c>
      <c r="Y344" t="s">
        <v>293</v>
      </c>
      <c r="Z344" t="s">
        <v>851</v>
      </c>
      <c r="AB344" t="s">
        <v>350</v>
      </c>
      <c r="AC344" t="s">
        <v>7</v>
      </c>
      <c r="AD344" t="s">
        <v>7</v>
      </c>
      <c r="AE344" t="s">
        <v>7</v>
      </c>
      <c r="AF344" t="s">
        <v>1789</v>
      </c>
      <c r="AG344" t="s">
        <v>249</v>
      </c>
      <c r="AH344">
        <v>2</v>
      </c>
      <c r="AI344" t="s">
        <v>250</v>
      </c>
      <c r="AJ344" t="s">
        <v>251</v>
      </c>
      <c r="AK344" t="s">
        <v>920</v>
      </c>
      <c r="AL344" t="s">
        <v>203</v>
      </c>
      <c r="AM344" t="s">
        <v>1655</v>
      </c>
      <c r="AO344">
        <v>46245</v>
      </c>
      <c r="AP344">
        <v>0.57777777777777772</v>
      </c>
      <c r="AQ344">
        <v>46253</v>
      </c>
      <c r="AR344">
        <v>0.50555555555555554</v>
      </c>
      <c r="AS344" t="s">
        <v>201</v>
      </c>
      <c r="AT344" t="s">
        <v>1954</v>
      </c>
      <c r="AU344" t="s">
        <v>1955</v>
      </c>
      <c r="AV344" t="s">
        <v>937</v>
      </c>
      <c r="AX344">
        <v>3</v>
      </c>
      <c r="AY344" t="s">
        <v>111</v>
      </c>
      <c r="AZ344" t="s">
        <v>96</v>
      </c>
      <c r="BA344" t="s">
        <v>225</v>
      </c>
      <c r="BB344" t="s">
        <v>921</v>
      </c>
      <c r="BE344">
        <v>2.4</v>
      </c>
    </row>
    <row r="345" spans="1:57" x14ac:dyDescent="0.3">
      <c r="A345" s="204">
        <v>46237</v>
      </c>
      <c r="B345" t="s">
        <v>142</v>
      </c>
      <c r="C345" t="s">
        <v>345</v>
      </c>
      <c r="D345" t="s">
        <v>63</v>
      </c>
      <c r="E345" t="s">
        <v>95</v>
      </c>
      <c r="F345" t="s">
        <v>309</v>
      </c>
      <c r="G345" t="s">
        <v>755</v>
      </c>
      <c r="H345" t="s">
        <v>864</v>
      </c>
      <c r="I345" t="s">
        <v>420</v>
      </c>
      <c r="J345">
        <v>9</v>
      </c>
      <c r="K345">
        <v>9</v>
      </c>
      <c r="L345" t="s">
        <v>757</v>
      </c>
      <c r="M345" s="15">
        <v>46241.564421296294</v>
      </c>
      <c r="N345" s="15">
        <v>46248.563888888886</v>
      </c>
      <c r="O345" s="15">
        <v>46245.577777777777</v>
      </c>
      <c r="P345" s="15">
        <v>46253.505555555559</v>
      </c>
      <c r="Q345" s="15"/>
      <c r="S345" t="s">
        <v>397</v>
      </c>
      <c r="V345" t="s">
        <v>365</v>
      </c>
      <c r="W345">
        <v>2940</v>
      </c>
      <c r="X345" t="s">
        <v>377</v>
      </c>
      <c r="Y345" t="s">
        <v>293</v>
      </c>
      <c r="Z345" t="s">
        <v>851</v>
      </c>
      <c r="AB345" t="s">
        <v>350</v>
      </c>
      <c r="AC345" t="s">
        <v>7</v>
      </c>
      <c r="AD345" t="s">
        <v>7</v>
      </c>
      <c r="AE345" t="s">
        <v>7</v>
      </c>
      <c r="AF345" t="s">
        <v>1789</v>
      </c>
      <c r="AG345" t="s">
        <v>250</v>
      </c>
      <c r="AH345">
        <v>2</v>
      </c>
      <c r="AI345" t="s">
        <v>250</v>
      </c>
      <c r="AJ345" t="s">
        <v>251</v>
      </c>
      <c r="AK345" t="s">
        <v>920</v>
      </c>
      <c r="AL345" t="s">
        <v>203</v>
      </c>
      <c r="AM345" t="s">
        <v>1655</v>
      </c>
      <c r="AO345">
        <v>46245</v>
      </c>
      <c r="AP345">
        <v>0.57777777777777772</v>
      </c>
      <c r="AQ345">
        <v>46253</v>
      </c>
      <c r="AR345">
        <v>0.50555555555555554</v>
      </c>
      <c r="AS345" t="s">
        <v>1958</v>
      </c>
      <c r="AU345" t="s">
        <v>1955</v>
      </c>
      <c r="AV345" t="s">
        <v>937</v>
      </c>
      <c r="AX345">
        <v>9</v>
      </c>
      <c r="AY345" t="s">
        <v>111</v>
      </c>
      <c r="AZ345" t="s">
        <v>96</v>
      </c>
      <c r="BA345" t="s">
        <v>225</v>
      </c>
      <c r="BB345" t="s">
        <v>921</v>
      </c>
    </row>
    <row r="346" spans="1:57" x14ac:dyDescent="0.3">
      <c r="A346" s="204">
        <v>46237</v>
      </c>
      <c r="B346" t="s">
        <v>142</v>
      </c>
      <c r="C346" t="s">
        <v>345</v>
      </c>
      <c r="D346" t="s">
        <v>63</v>
      </c>
      <c r="E346" t="s">
        <v>95</v>
      </c>
      <c r="F346" t="s">
        <v>309</v>
      </c>
      <c r="G346" t="s">
        <v>755</v>
      </c>
      <c r="H346" t="s">
        <v>864</v>
      </c>
      <c r="I346" t="s">
        <v>420</v>
      </c>
      <c r="J346">
        <v>5</v>
      </c>
      <c r="K346">
        <v>5</v>
      </c>
      <c r="L346" t="s">
        <v>757</v>
      </c>
      <c r="M346" s="15">
        <v>46241.564421296294</v>
      </c>
      <c r="N346" s="15">
        <v>46248.563888888886</v>
      </c>
      <c r="O346" s="15">
        <v>46245.577777777777</v>
      </c>
      <c r="P346" s="15">
        <v>46253.505555555559</v>
      </c>
      <c r="Q346" s="15"/>
      <c r="S346" t="s">
        <v>397</v>
      </c>
      <c r="V346" t="s">
        <v>365</v>
      </c>
      <c r="W346">
        <v>2940</v>
      </c>
      <c r="X346" t="s">
        <v>377</v>
      </c>
      <c r="Y346" t="s">
        <v>293</v>
      </c>
      <c r="Z346" t="s">
        <v>851</v>
      </c>
      <c r="AB346" t="s">
        <v>350</v>
      </c>
      <c r="AC346" t="s">
        <v>7</v>
      </c>
      <c r="AD346" t="s">
        <v>7</v>
      </c>
      <c r="AE346" t="s">
        <v>7</v>
      </c>
      <c r="AF346" t="s">
        <v>1789</v>
      </c>
      <c r="AG346" t="s">
        <v>250</v>
      </c>
      <c r="AH346">
        <v>2</v>
      </c>
      <c r="AI346" t="s">
        <v>250</v>
      </c>
      <c r="AJ346" t="s">
        <v>251</v>
      </c>
      <c r="AK346" t="s">
        <v>920</v>
      </c>
      <c r="AL346" t="s">
        <v>203</v>
      </c>
      <c r="AM346" t="s">
        <v>1655</v>
      </c>
      <c r="AO346">
        <v>46245</v>
      </c>
      <c r="AP346">
        <v>0.57777777777777772</v>
      </c>
      <c r="AQ346">
        <v>46253</v>
      </c>
      <c r="AR346">
        <v>0.50555555555555554</v>
      </c>
      <c r="AS346" t="s">
        <v>1958</v>
      </c>
      <c r="AU346" t="s">
        <v>1955</v>
      </c>
      <c r="AV346" t="s">
        <v>937</v>
      </c>
      <c r="AX346">
        <v>5</v>
      </c>
      <c r="AY346" t="s">
        <v>111</v>
      </c>
      <c r="AZ346" t="s">
        <v>96</v>
      </c>
      <c r="BA346" t="s">
        <v>225</v>
      </c>
      <c r="BB346" t="s">
        <v>921</v>
      </c>
    </row>
    <row r="347" spans="1:57" x14ac:dyDescent="0.3">
      <c r="A347" s="204">
        <v>46237</v>
      </c>
      <c r="B347" t="s">
        <v>142</v>
      </c>
      <c r="C347" t="s">
        <v>345</v>
      </c>
      <c r="D347" t="s">
        <v>279</v>
      </c>
      <c r="E347" t="s">
        <v>197</v>
      </c>
      <c r="F347" t="s">
        <v>309</v>
      </c>
      <c r="G347" t="s">
        <v>755</v>
      </c>
      <c r="H347" t="s">
        <v>864</v>
      </c>
      <c r="I347" t="s">
        <v>420</v>
      </c>
      <c r="J347">
        <v>26</v>
      </c>
      <c r="K347">
        <v>26</v>
      </c>
      <c r="L347" t="s">
        <v>756</v>
      </c>
      <c r="M347" s="15">
        <v>46241.564421296294</v>
      </c>
      <c r="N347" s="15">
        <v>46248.563888888886</v>
      </c>
      <c r="O347" s="15">
        <v>46248.417361111111</v>
      </c>
      <c r="P347" s="15">
        <v>46254.490972222222</v>
      </c>
      <c r="Q347" s="15"/>
      <c r="S347" t="s">
        <v>397</v>
      </c>
      <c r="V347" t="s">
        <v>365</v>
      </c>
      <c r="W347">
        <v>2940</v>
      </c>
      <c r="X347" t="s">
        <v>377</v>
      </c>
      <c r="Y347" t="s">
        <v>293</v>
      </c>
      <c r="Z347" t="s">
        <v>851</v>
      </c>
      <c r="AB347" t="s">
        <v>350</v>
      </c>
      <c r="AC347" t="s">
        <v>7</v>
      </c>
      <c r="AD347" t="s">
        <v>7</v>
      </c>
      <c r="AE347" t="s">
        <v>7</v>
      </c>
      <c r="AF347" t="s">
        <v>865</v>
      </c>
      <c r="AG347" t="s">
        <v>249</v>
      </c>
      <c r="AH347">
        <v>2</v>
      </c>
      <c r="AI347" t="s">
        <v>250</v>
      </c>
      <c r="AJ347" t="s">
        <v>248</v>
      </c>
      <c r="AK347" t="s">
        <v>920</v>
      </c>
      <c r="AL347" t="s">
        <v>203</v>
      </c>
      <c r="AM347" t="s">
        <v>900</v>
      </c>
      <c r="AN347">
        <v>3</v>
      </c>
      <c r="AO347">
        <v>46248</v>
      </c>
      <c r="AP347">
        <v>0.41736111111111113</v>
      </c>
      <c r="AQ347">
        <v>46254</v>
      </c>
      <c r="AR347">
        <v>0.4909722222222222</v>
      </c>
      <c r="AS347" t="s">
        <v>201</v>
      </c>
      <c r="AT347" t="s">
        <v>1956</v>
      </c>
      <c r="AU347" t="s">
        <v>1955</v>
      </c>
      <c r="AV347" t="s">
        <v>866</v>
      </c>
      <c r="AW347">
        <v>16</v>
      </c>
      <c r="AX347">
        <v>416</v>
      </c>
      <c r="AY347" t="s">
        <v>125</v>
      </c>
      <c r="AZ347" t="s">
        <v>122</v>
      </c>
      <c r="BA347" t="s">
        <v>232</v>
      </c>
      <c r="BB347" t="s">
        <v>921</v>
      </c>
      <c r="BE347">
        <v>67.2</v>
      </c>
    </row>
    <row r="348" spans="1:57" x14ac:dyDescent="0.3">
      <c r="A348" s="204">
        <v>46237</v>
      </c>
      <c r="B348" t="s">
        <v>142</v>
      </c>
      <c r="C348" t="s">
        <v>345</v>
      </c>
      <c r="D348" t="s">
        <v>279</v>
      </c>
      <c r="E348" t="s">
        <v>197</v>
      </c>
      <c r="F348" t="s">
        <v>309</v>
      </c>
      <c r="G348" t="s">
        <v>755</v>
      </c>
      <c r="H348" t="s">
        <v>864</v>
      </c>
      <c r="I348" t="s">
        <v>420</v>
      </c>
      <c r="J348">
        <v>3</v>
      </c>
      <c r="K348">
        <v>3</v>
      </c>
      <c r="L348" t="s">
        <v>756</v>
      </c>
      <c r="M348" s="15">
        <v>46241.564421296294</v>
      </c>
      <c r="N348" s="15">
        <v>46248.563888888886</v>
      </c>
      <c r="O348" s="15">
        <v>46248.417361111111</v>
      </c>
      <c r="P348" s="15">
        <v>46254.490972222222</v>
      </c>
      <c r="Q348" s="15"/>
      <c r="S348" t="s">
        <v>397</v>
      </c>
      <c r="V348" t="s">
        <v>365</v>
      </c>
      <c r="W348">
        <v>2940</v>
      </c>
      <c r="X348" t="s">
        <v>377</v>
      </c>
      <c r="Y348" t="s">
        <v>293</v>
      </c>
      <c r="Z348" t="s">
        <v>851</v>
      </c>
      <c r="AB348" t="s">
        <v>350</v>
      </c>
      <c r="AC348" t="s">
        <v>7</v>
      </c>
      <c r="AD348" t="s">
        <v>7</v>
      </c>
      <c r="AE348" t="s">
        <v>7</v>
      </c>
      <c r="AF348" t="s">
        <v>865</v>
      </c>
      <c r="AG348" t="s">
        <v>250</v>
      </c>
      <c r="AH348">
        <v>2</v>
      </c>
      <c r="AI348" t="s">
        <v>250</v>
      </c>
      <c r="AJ348" t="s">
        <v>248</v>
      </c>
      <c r="AK348" t="s">
        <v>920</v>
      </c>
      <c r="AL348" t="s">
        <v>203</v>
      </c>
      <c r="AM348" t="s">
        <v>900</v>
      </c>
      <c r="AN348">
        <v>3</v>
      </c>
      <c r="AO348">
        <v>46248</v>
      </c>
      <c r="AP348">
        <v>0.41736111111111113</v>
      </c>
      <c r="AQ348">
        <v>46254</v>
      </c>
      <c r="AR348">
        <v>0.4909722222222222</v>
      </c>
      <c r="AS348" t="s">
        <v>1958</v>
      </c>
      <c r="AU348" t="s">
        <v>1955</v>
      </c>
      <c r="AV348" t="s">
        <v>866</v>
      </c>
      <c r="AW348">
        <v>16</v>
      </c>
      <c r="AX348">
        <v>48</v>
      </c>
      <c r="AY348" t="s">
        <v>125</v>
      </c>
      <c r="AZ348" t="s">
        <v>122</v>
      </c>
      <c r="BA348" t="s">
        <v>232</v>
      </c>
      <c r="BB348" t="s">
        <v>921</v>
      </c>
    </row>
    <row r="349" spans="1:57" x14ac:dyDescent="0.3">
      <c r="A349" s="204">
        <v>46237</v>
      </c>
      <c r="B349" t="s">
        <v>142</v>
      </c>
      <c r="C349" t="s">
        <v>345</v>
      </c>
      <c r="D349" t="s">
        <v>279</v>
      </c>
      <c r="E349" t="s">
        <v>197</v>
      </c>
      <c r="F349" t="s">
        <v>309</v>
      </c>
      <c r="G349" t="s">
        <v>755</v>
      </c>
      <c r="H349" t="s">
        <v>864</v>
      </c>
      <c r="I349" t="s">
        <v>420</v>
      </c>
      <c r="J349">
        <v>6</v>
      </c>
      <c r="K349">
        <v>6</v>
      </c>
      <c r="L349" t="s">
        <v>756</v>
      </c>
      <c r="M349" s="15">
        <v>46241.564421296294</v>
      </c>
      <c r="N349" s="15">
        <v>46248.563888888886</v>
      </c>
      <c r="O349" s="15">
        <v>46248.417361111111</v>
      </c>
      <c r="P349" s="15">
        <v>46254.490972222222</v>
      </c>
      <c r="Q349" s="15"/>
      <c r="S349" t="s">
        <v>397</v>
      </c>
      <c r="V349" t="s">
        <v>365</v>
      </c>
      <c r="W349">
        <v>2940</v>
      </c>
      <c r="X349" t="s">
        <v>377</v>
      </c>
      <c r="Y349" t="s">
        <v>293</v>
      </c>
      <c r="Z349" t="s">
        <v>851</v>
      </c>
      <c r="AB349" t="s">
        <v>350</v>
      </c>
      <c r="AC349" t="s">
        <v>7</v>
      </c>
      <c r="AD349" t="s">
        <v>7</v>
      </c>
      <c r="AE349" t="s">
        <v>7</v>
      </c>
      <c r="AF349" t="s">
        <v>865</v>
      </c>
      <c r="AG349" t="s">
        <v>250</v>
      </c>
      <c r="AH349">
        <v>2</v>
      </c>
      <c r="AI349" t="s">
        <v>250</v>
      </c>
      <c r="AJ349" t="s">
        <v>248</v>
      </c>
      <c r="AK349" t="s">
        <v>920</v>
      </c>
      <c r="AL349" t="s">
        <v>203</v>
      </c>
      <c r="AM349" t="s">
        <v>900</v>
      </c>
      <c r="AN349">
        <v>3</v>
      </c>
      <c r="AO349">
        <v>46248</v>
      </c>
      <c r="AP349">
        <v>0.41736111111111113</v>
      </c>
      <c r="AQ349">
        <v>46254</v>
      </c>
      <c r="AR349">
        <v>0.4909722222222222</v>
      </c>
      <c r="AS349" t="s">
        <v>1958</v>
      </c>
      <c r="AU349" t="s">
        <v>1955</v>
      </c>
      <c r="AV349" t="s">
        <v>866</v>
      </c>
      <c r="AW349">
        <v>16</v>
      </c>
      <c r="AX349">
        <v>96</v>
      </c>
      <c r="AY349" t="s">
        <v>125</v>
      </c>
      <c r="AZ349" t="s">
        <v>122</v>
      </c>
      <c r="BA349" t="s">
        <v>232</v>
      </c>
      <c r="BB349" t="s">
        <v>921</v>
      </c>
    </row>
    <row r="350" spans="1:57" x14ac:dyDescent="0.3">
      <c r="A350" s="204">
        <v>46237</v>
      </c>
      <c r="B350" t="s">
        <v>142</v>
      </c>
      <c r="C350" t="s">
        <v>345</v>
      </c>
      <c r="D350" t="s">
        <v>279</v>
      </c>
      <c r="E350" t="s">
        <v>197</v>
      </c>
      <c r="F350" t="s">
        <v>309</v>
      </c>
      <c r="G350" t="s">
        <v>755</v>
      </c>
      <c r="H350" t="s">
        <v>864</v>
      </c>
      <c r="I350" t="s">
        <v>420</v>
      </c>
      <c r="J350">
        <v>7</v>
      </c>
      <c r="K350">
        <v>7</v>
      </c>
      <c r="L350" t="s">
        <v>756</v>
      </c>
      <c r="M350" s="15">
        <v>46241.564421296294</v>
      </c>
      <c r="N350" s="15">
        <v>46248.563888888886</v>
      </c>
      <c r="O350" s="15">
        <v>46248.417361111111</v>
      </c>
      <c r="P350" s="15">
        <v>46254.490972222222</v>
      </c>
      <c r="Q350" s="15"/>
      <c r="S350" t="s">
        <v>397</v>
      </c>
      <c r="V350" t="s">
        <v>365</v>
      </c>
      <c r="W350">
        <v>2940</v>
      </c>
      <c r="X350" t="s">
        <v>377</v>
      </c>
      <c r="Y350" t="s">
        <v>293</v>
      </c>
      <c r="Z350" t="s">
        <v>851</v>
      </c>
      <c r="AB350" t="s">
        <v>350</v>
      </c>
      <c r="AC350" t="s">
        <v>7</v>
      </c>
      <c r="AD350" t="s">
        <v>7</v>
      </c>
      <c r="AE350" t="s">
        <v>7</v>
      </c>
      <c r="AF350" t="s">
        <v>865</v>
      </c>
      <c r="AG350" t="s">
        <v>250</v>
      </c>
      <c r="AH350">
        <v>2</v>
      </c>
      <c r="AI350" t="s">
        <v>250</v>
      </c>
      <c r="AJ350" t="s">
        <v>248</v>
      </c>
      <c r="AK350" t="s">
        <v>920</v>
      </c>
      <c r="AL350" t="s">
        <v>203</v>
      </c>
      <c r="AM350" t="s">
        <v>900</v>
      </c>
      <c r="AN350">
        <v>3</v>
      </c>
      <c r="AO350">
        <v>46248</v>
      </c>
      <c r="AP350">
        <v>0.41736111111111113</v>
      </c>
      <c r="AQ350">
        <v>46254</v>
      </c>
      <c r="AR350">
        <v>0.4909722222222222</v>
      </c>
      <c r="AS350" t="s">
        <v>1958</v>
      </c>
      <c r="AU350" t="s">
        <v>1955</v>
      </c>
      <c r="AV350" t="s">
        <v>866</v>
      </c>
      <c r="AW350">
        <v>16</v>
      </c>
      <c r="AX350">
        <v>112</v>
      </c>
      <c r="AY350" t="s">
        <v>125</v>
      </c>
      <c r="AZ350" t="s">
        <v>122</v>
      </c>
      <c r="BA350" t="s">
        <v>232</v>
      </c>
      <c r="BB350" t="s">
        <v>921</v>
      </c>
    </row>
    <row r="351" spans="1:57" x14ac:dyDescent="0.3">
      <c r="A351" s="204">
        <v>46237</v>
      </c>
      <c r="B351" t="s">
        <v>142</v>
      </c>
      <c r="C351" t="s">
        <v>345</v>
      </c>
      <c r="D351" t="s">
        <v>63</v>
      </c>
      <c r="E351" t="s">
        <v>95</v>
      </c>
      <c r="F351" t="s">
        <v>309</v>
      </c>
      <c r="G351" t="s">
        <v>755</v>
      </c>
      <c r="H351" t="s">
        <v>864</v>
      </c>
      <c r="I351" t="s">
        <v>420</v>
      </c>
      <c r="J351">
        <v>7</v>
      </c>
      <c r="K351">
        <v>7</v>
      </c>
      <c r="L351" t="s">
        <v>758</v>
      </c>
      <c r="M351" s="15">
        <v>46241.564421296294</v>
      </c>
      <c r="N351" s="15">
        <v>46248.563888888886</v>
      </c>
      <c r="O351" s="15">
        <v>46245.47152777778</v>
      </c>
      <c r="P351" s="15">
        <v>46253.505555555559</v>
      </c>
      <c r="Q351" s="15"/>
      <c r="S351" t="s">
        <v>397</v>
      </c>
      <c r="V351" t="s">
        <v>365</v>
      </c>
      <c r="W351">
        <v>2940</v>
      </c>
      <c r="X351" t="s">
        <v>377</v>
      </c>
      <c r="Y351" t="s">
        <v>293</v>
      </c>
      <c r="Z351" t="s">
        <v>851</v>
      </c>
      <c r="AB351" t="s">
        <v>350</v>
      </c>
      <c r="AC351" t="s">
        <v>7</v>
      </c>
      <c r="AD351" t="s">
        <v>7</v>
      </c>
      <c r="AE351" t="s">
        <v>7</v>
      </c>
      <c r="AF351" t="s">
        <v>1790</v>
      </c>
      <c r="AG351" t="s">
        <v>249</v>
      </c>
      <c r="AH351">
        <v>2</v>
      </c>
      <c r="AI351" t="s">
        <v>250</v>
      </c>
      <c r="AJ351" t="s">
        <v>251</v>
      </c>
      <c r="AK351" t="s">
        <v>920</v>
      </c>
      <c r="AL351" t="s">
        <v>203</v>
      </c>
      <c r="AM351" t="s">
        <v>1655</v>
      </c>
      <c r="AO351">
        <v>46245</v>
      </c>
      <c r="AP351">
        <v>0.47152777777777777</v>
      </c>
      <c r="AQ351">
        <v>46253</v>
      </c>
      <c r="AR351">
        <v>0.50555555555555554</v>
      </c>
      <c r="AS351" t="s">
        <v>201</v>
      </c>
      <c r="AT351" t="s">
        <v>1954</v>
      </c>
      <c r="AU351" t="s">
        <v>1955</v>
      </c>
      <c r="AV351" t="s">
        <v>937</v>
      </c>
      <c r="AX351">
        <v>7</v>
      </c>
      <c r="AY351" t="s">
        <v>111</v>
      </c>
      <c r="AZ351" t="s">
        <v>96</v>
      </c>
      <c r="BA351" t="s">
        <v>225</v>
      </c>
      <c r="BB351" t="s">
        <v>921</v>
      </c>
    </row>
    <row r="352" spans="1:57" x14ac:dyDescent="0.3">
      <c r="A352" s="204">
        <v>46237</v>
      </c>
      <c r="B352" t="s">
        <v>142</v>
      </c>
      <c r="C352" t="s">
        <v>345</v>
      </c>
      <c r="D352" t="s">
        <v>279</v>
      </c>
      <c r="E352" t="s">
        <v>197</v>
      </c>
      <c r="F352" t="s">
        <v>309</v>
      </c>
      <c r="G352" t="s">
        <v>755</v>
      </c>
      <c r="H352" t="s">
        <v>864</v>
      </c>
      <c r="I352" t="s">
        <v>420</v>
      </c>
      <c r="J352">
        <v>30</v>
      </c>
      <c r="K352">
        <v>30</v>
      </c>
      <c r="L352" t="s">
        <v>758</v>
      </c>
      <c r="M352" s="15">
        <v>46241.564421296294</v>
      </c>
      <c r="N352" s="15">
        <v>46248.563888888886</v>
      </c>
      <c r="O352" s="15">
        <v>46245.47152777778</v>
      </c>
      <c r="P352" s="15">
        <v>46253.505555555559</v>
      </c>
      <c r="Q352" s="15"/>
      <c r="S352" t="s">
        <v>397</v>
      </c>
      <c r="V352" t="s">
        <v>365</v>
      </c>
      <c r="W352">
        <v>2940</v>
      </c>
      <c r="X352" t="s">
        <v>377</v>
      </c>
      <c r="Y352" t="s">
        <v>293</v>
      </c>
      <c r="Z352" t="s">
        <v>851</v>
      </c>
      <c r="AB352" t="s">
        <v>350</v>
      </c>
      <c r="AC352" t="s">
        <v>7</v>
      </c>
      <c r="AD352" t="s">
        <v>7</v>
      </c>
      <c r="AE352" t="s">
        <v>7</v>
      </c>
      <c r="AF352" t="s">
        <v>868</v>
      </c>
      <c r="AG352" t="s">
        <v>249</v>
      </c>
      <c r="AH352">
        <v>2</v>
      </c>
      <c r="AI352" t="s">
        <v>250</v>
      </c>
      <c r="AJ352" t="s">
        <v>248</v>
      </c>
      <c r="AK352" t="s">
        <v>920</v>
      </c>
      <c r="AL352" t="s">
        <v>203</v>
      </c>
      <c r="AM352" t="s">
        <v>900</v>
      </c>
      <c r="AN352">
        <v>3</v>
      </c>
      <c r="AO352">
        <v>46245</v>
      </c>
      <c r="AP352">
        <v>0.47152777777777777</v>
      </c>
      <c r="AQ352">
        <v>46253</v>
      </c>
      <c r="AR352">
        <v>0.50555555555555554</v>
      </c>
      <c r="AS352" t="s">
        <v>201</v>
      </c>
      <c r="AT352" t="s">
        <v>1956</v>
      </c>
      <c r="AU352" t="s">
        <v>1955</v>
      </c>
      <c r="AV352" t="s">
        <v>866</v>
      </c>
      <c r="AW352">
        <v>16</v>
      </c>
      <c r="AX352">
        <v>480</v>
      </c>
      <c r="AY352" t="s">
        <v>125</v>
      </c>
      <c r="AZ352" t="s">
        <v>122</v>
      </c>
      <c r="BA352" t="s">
        <v>232</v>
      </c>
      <c r="BB352" t="s">
        <v>921</v>
      </c>
      <c r="BE352">
        <v>192</v>
      </c>
    </row>
    <row r="353" spans="1:57" x14ac:dyDescent="0.3">
      <c r="A353" s="204">
        <v>46237</v>
      </c>
      <c r="B353" t="s">
        <v>142</v>
      </c>
      <c r="C353" t="s">
        <v>345</v>
      </c>
      <c r="D353" t="s">
        <v>279</v>
      </c>
      <c r="E353" t="s">
        <v>197</v>
      </c>
      <c r="F353" t="s">
        <v>309</v>
      </c>
      <c r="G353" t="s">
        <v>755</v>
      </c>
      <c r="H353" t="s">
        <v>864</v>
      </c>
      <c r="I353" t="s">
        <v>420</v>
      </c>
      <c r="J353">
        <v>32</v>
      </c>
      <c r="K353">
        <v>32</v>
      </c>
      <c r="L353" t="s">
        <v>758</v>
      </c>
      <c r="M353" s="15">
        <v>46241.564421296294</v>
      </c>
      <c r="N353" s="15">
        <v>46248.563888888886</v>
      </c>
      <c r="O353" s="15">
        <v>46245.47152777778</v>
      </c>
      <c r="P353" s="15">
        <v>46253.505555555559</v>
      </c>
      <c r="Q353" s="15"/>
      <c r="S353" t="s">
        <v>397</v>
      </c>
      <c r="V353" t="s">
        <v>365</v>
      </c>
      <c r="W353">
        <v>2940</v>
      </c>
      <c r="X353" t="s">
        <v>377</v>
      </c>
      <c r="Y353" t="s">
        <v>293</v>
      </c>
      <c r="Z353" t="s">
        <v>851</v>
      </c>
      <c r="AB353" t="s">
        <v>350</v>
      </c>
      <c r="AC353" t="s">
        <v>7</v>
      </c>
      <c r="AD353" t="s">
        <v>7</v>
      </c>
      <c r="AE353" t="s">
        <v>7</v>
      </c>
      <c r="AF353" t="s">
        <v>868</v>
      </c>
      <c r="AG353" t="s">
        <v>250</v>
      </c>
      <c r="AH353">
        <v>2</v>
      </c>
      <c r="AI353" t="s">
        <v>250</v>
      </c>
      <c r="AJ353" t="s">
        <v>248</v>
      </c>
      <c r="AK353" t="s">
        <v>920</v>
      </c>
      <c r="AL353" t="s">
        <v>203</v>
      </c>
      <c r="AM353" t="s">
        <v>900</v>
      </c>
      <c r="AN353">
        <v>3</v>
      </c>
      <c r="AO353">
        <v>46245</v>
      </c>
      <c r="AP353">
        <v>0.47152777777777777</v>
      </c>
      <c r="AQ353">
        <v>46253</v>
      </c>
      <c r="AR353">
        <v>0.50555555555555554</v>
      </c>
      <c r="AS353" t="s">
        <v>1958</v>
      </c>
      <c r="AU353" t="s">
        <v>1955</v>
      </c>
      <c r="AV353" t="s">
        <v>866</v>
      </c>
      <c r="AW353">
        <v>16</v>
      </c>
      <c r="AX353">
        <v>512</v>
      </c>
      <c r="AY353" t="s">
        <v>125</v>
      </c>
      <c r="AZ353" t="s">
        <v>122</v>
      </c>
      <c r="BA353" t="s">
        <v>232</v>
      </c>
      <c r="BB353" t="s">
        <v>921</v>
      </c>
    </row>
    <row r="354" spans="1:57" x14ac:dyDescent="0.3">
      <c r="A354" s="204">
        <v>46237</v>
      </c>
      <c r="B354" t="s">
        <v>142</v>
      </c>
      <c r="C354" t="s">
        <v>345</v>
      </c>
      <c r="D354" t="s">
        <v>279</v>
      </c>
      <c r="E354" t="s">
        <v>197</v>
      </c>
      <c r="F354" t="s">
        <v>309</v>
      </c>
      <c r="G354" t="s">
        <v>755</v>
      </c>
      <c r="H354" t="s">
        <v>864</v>
      </c>
      <c r="I354" t="s">
        <v>420</v>
      </c>
      <c r="J354">
        <v>25</v>
      </c>
      <c r="K354">
        <v>25</v>
      </c>
      <c r="L354" t="s">
        <v>758</v>
      </c>
      <c r="M354" s="15">
        <v>46241.564421296294</v>
      </c>
      <c r="N354" s="15">
        <v>46248.563888888886</v>
      </c>
      <c r="O354" s="15">
        <v>46245.47152777778</v>
      </c>
      <c r="P354" s="15">
        <v>46253.505555555559</v>
      </c>
      <c r="Q354" s="15"/>
      <c r="S354" t="s">
        <v>397</v>
      </c>
      <c r="V354" t="s">
        <v>365</v>
      </c>
      <c r="W354">
        <v>2940</v>
      </c>
      <c r="X354" t="s">
        <v>377</v>
      </c>
      <c r="Y354" t="s">
        <v>293</v>
      </c>
      <c r="Z354" t="s">
        <v>851</v>
      </c>
      <c r="AB354" t="s">
        <v>350</v>
      </c>
      <c r="AC354" t="s">
        <v>7</v>
      </c>
      <c r="AD354" t="s">
        <v>7</v>
      </c>
      <c r="AE354" t="s">
        <v>7</v>
      </c>
      <c r="AF354" t="s">
        <v>868</v>
      </c>
      <c r="AG354" t="s">
        <v>250</v>
      </c>
      <c r="AH354">
        <v>2</v>
      </c>
      <c r="AI354" t="s">
        <v>250</v>
      </c>
      <c r="AJ354" t="s">
        <v>248</v>
      </c>
      <c r="AK354" t="s">
        <v>920</v>
      </c>
      <c r="AL354" t="s">
        <v>203</v>
      </c>
      <c r="AM354" t="s">
        <v>900</v>
      </c>
      <c r="AN354">
        <v>3</v>
      </c>
      <c r="AO354">
        <v>46245</v>
      </c>
      <c r="AP354">
        <v>0.47152777777777777</v>
      </c>
      <c r="AQ354">
        <v>46253</v>
      </c>
      <c r="AR354">
        <v>0.50555555555555554</v>
      </c>
      <c r="AS354" t="s">
        <v>1958</v>
      </c>
      <c r="AU354" t="s">
        <v>1955</v>
      </c>
      <c r="AV354" t="s">
        <v>866</v>
      </c>
      <c r="AW354">
        <v>16</v>
      </c>
      <c r="AX354">
        <v>400</v>
      </c>
      <c r="AY354" t="s">
        <v>125</v>
      </c>
      <c r="AZ354" t="s">
        <v>122</v>
      </c>
      <c r="BA354" t="s">
        <v>232</v>
      </c>
      <c r="BB354" t="s">
        <v>921</v>
      </c>
    </row>
    <row r="355" spans="1:57" x14ac:dyDescent="0.3">
      <c r="A355" s="204">
        <v>46237</v>
      </c>
      <c r="B355" t="s">
        <v>142</v>
      </c>
      <c r="C355" t="s">
        <v>345</v>
      </c>
      <c r="D355" t="s">
        <v>279</v>
      </c>
      <c r="E355" t="s">
        <v>197</v>
      </c>
      <c r="F355" t="s">
        <v>309</v>
      </c>
      <c r="G355" t="s">
        <v>755</v>
      </c>
      <c r="H355" t="s">
        <v>864</v>
      </c>
      <c r="I355" t="s">
        <v>420</v>
      </c>
      <c r="J355">
        <v>2</v>
      </c>
      <c r="K355">
        <v>2</v>
      </c>
      <c r="L355" t="s">
        <v>758</v>
      </c>
      <c r="M355" s="15">
        <v>46241.564421296294</v>
      </c>
      <c r="N355" s="15">
        <v>46248.563888888886</v>
      </c>
      <c r="O355" s="15">
        <v>46245.47152777778</v>
      </c>
      <c r="P355" s="15">
        <v>46253.505555555559</v>
      </c>
      <c r="Q355" s="15"/>
      <c r="S355" t="s">
        <v>397</v>
      </c>
      <c r="V355" t="s">
        <v>365</v>
      </c>
      <c r="W355">
        <v>2940</v>
      </c>
      <c r="X355" t="s">
        <v>377</v>
      </c>
      <c r="Y355" t="s">
        <v>293</v>
      </c>
      <c r="Z355" t="s">
        <v>851</v>
      </c>
      <c r="AB355" t="s">
        <v>350</v>
      </c>
      <c r="AC355" t="s">
        <v>7</v>
      </c>
      <c r="AD355" t="s">
        <v>7</v>
      </c>
      <c r="AE355" t="s">
        <v>7</v>
      </c>
      <c r="AF355" t="s">
        <v>868</v>
      </c>
      <c r="AG355" t="s">
        <v>250</v>
      </c>
      <c r="AH355">
        <v>2</v>
      </c>
      <c r="AI355" t="s">
        <v>250</v>
      </c>
      <c r="AJ355" t="s">
        <v>248</v>
      </c>
      <c r="AK355" t="s">
        <v>920</v>
      </c>
      <c r="AL355" t="s">
        <v>203</v>
      </c>
      <c r="AM355" t="s">
        <v>900</v>
      </c>
      <c r="AN355">
        <v>3</v>
      </c>
      <c r="AO355">
        <v>46245</v>
      </c>
      <c r="AP355">
        <v>0.47152777777777777</v>
      </c>
      <c r="AQ355">
        <v>46253</v>
      </c>
      <c r="AR355">
        <v>0.50555555555555554</v>
      </c>
      <c r="AS355" t="s">
        <v>1958</v>
      </c>
      <c r="AU355" t="s">
        <v>1955</v>
      </c>
      <c r="AV355" t="s">
        <v>866</v>
      </c>
      <c r="AW355">
        <v>16</v>
      </c>
      <c r="AX355">
        <v>32</v>
      </c>
      <c r="AY355" t="s">
        <v>125</v>
      </c>
      <c r="AZ355" t="s">
        <v>122</v>
      </c>
      <c r="BA355" t="s">
        <v>232</v>
      </c>
      <c r="BB355" t="s">
        <v>921</v>
      </c>
    </row>
    <row r="356" spans="1:57" x14ac:dyDescent="0.3">
      <c r="A356" s="204">
        <v>46237</v>
      </c>
      <c r="B356" t="s">
        <v>142</v>
      </c>
      <c r="C356" t="s">
        <v>345</v>
      </c>
      <c r="D356" t="s">
        <v>279</v>
      </c>
      <c r="E356" t="s">
        <v>197</v>
      </c>
      <c r="F356" t="s">
        <v>309</v>
      </c>
      <c r="G356" t="s">
        <v>755</v>
      </c>
      <c r="H356" t="s">
        <v>864</v>
      </c>
      <c r="I356" t="s">
        <v>420</v>
      </c>
      <c r="J356">
        <v>12</v>
      </c>
      <c r="K356">
        <v>12</v>
      </c>
      <c r="L356" t="s">
        <v>758</v>
      </c>
      <c r="M356" s="15">
        <v>46241.564421296294</v>
      </c>
      <c r="N356" s="15">
        <v>46248.563888888886</v>
      </c>
      <c r="O356" s="15">
        <v>46245.47152777778</v>
      </c>
      <c r="P356" s="15">
        <v>46253.505555555559</v>
      </c>
      <c r="Q356" s="15"/>
      <c r="S356" t="s">
        <v>397</v>
      </c>
      <c r="V356" t="s">
        <v>365</v>
      </c>
      <c r="W356">
        <v>2940</v>
      </c>
      <c r="X356" t="s">
        <v>377</v>
      </c>
      <c r="Y356" t="s">
        <v>293</v>
      </c>
      <c r="Z356" t="s">
        <v>851</v>
      </c>
      <c r="AB356" t="s">
        <v>350</v>
      </c>
      <c r="AC356" t="s">
        <v>7</v>
      </c>
      <c r="AD356" t="s">
        <v>7</v>
      </c>
      <c r="AE356" t="s">
        <v>7</v>
      </c>
      <c r="AF356" t="s">
        <v>868</v>
      </c>
      <c r="AG356" t="s">
        <v>250</v>
      </c>
      <c r="AH356">
        <v>2</v>
      </c>
      <c r="AI356" t="s">
        <v>250</v>
      </c>
      <c r="AJ356" t="s">
        <v>248</v>
      </c>
      <c r="AK356" t="s">
        <v>920</v>
      </c>
      <c r="AL356" t="s">
        <v>203</v>
      </c>
      <c r="AM356" t="s">
        <v>900</v>
      </c>
      <c r="AN356">
        <v>3</v>
      </c>
      <c r="AO356">
        <v>46245</v>
      </c>
      <c r="AP356">
        <v>0.47152777777777777</v>
      </c>
      <c r="AQ356">
        <v>46253</v>
      </c>
      <c r="AR356">
        <v>0.50555555555555554</v>
      </c>
      <c r="AS356" t="s">
        <v>1958</v>
      </c>
      <c r="AU356" t="s">
        <v>1955</v>
      </c>
      <c r="AV356" t="s">
        <v>866</v>
      </c>
      <c r="AW356">
        <v>16</v>
      </c>
      <c r="AX356">
        <v>192</v>
      </c>
      <c r="AY356" t="s">
        <v>125</v>
      </c>
      <c r="AZ356" t="s">
        <v>122</v>
      </c>
      <c r="BA356" t="s">
        <v>232</v>
      </c>
      <c r="BB356" t="s">
        <v>921</v>
      </c>
    </row>
    <row r="357" spans="1:57" x14ac:dyDescent="0.3">
      <c r="A357" s="204">
        <v>46237</v>
      </c>
      <c r="B357" t="s">
        <v>142</v>
      </c>
      <c r="C357" t="s">
        <v>345</v>
      </c>
      <c r="D357" t="s">
        <v>279</v>
      </c>
      <c r="E357" t="s">
        <v>197</v>
      </c>
      <c r="F357" t="s">
        <v>309</v>
      </c>
      <c r="G357" t="s">
        <v>755</v>
      </c>
      <c r="H357" t="s">
        <v>864</v>
      </c>
      <c r="I357" t="s">
        <v>420</v>
      </c>
      <c r="J357">
        <v>2</v>
      </c>
      <c r="K357">
        <v>2</v>
      </c>
      <c r="L357" t="s">
        <v>758</v>
      </c>
      <c r="M357" s="15">
        <v>46241.564421296294</v>
      </c>
      <c r="N357" s="15">
        <v>46248.563888888886</v>
      </c>
      <c r="O357" s="15">
        <v>46245.47152777778</v>
      </c>
      <c r="P357" s="15">
        <v>46253.505555555559</v>
      </c>
      <c r="Q357" s="15"/>
      <c r="S357" t="s">
        <v>397</v>
      </c>
      <c r="V357" t="s">
        <v>365</v>
      </c>
      <c r="W357">
        <v>2940</v>
      </c>
      <c r="X357" t="s">
        <v>377</v>
      </c>
      <c r="Y357" t="s">
        <v>293</v>
      </c>
      <c r="Z357" t="s">
        <v>851</v>
      </c>
      <c r="AB357" t="s">
        <v>350</v>
      </c>
      <c r="AC357" t="s">
        <v>7</v>
      </c>
      <c r="AD357" t="s">
        <v>7</v>
      </c>
      <c r="AE357" t="s">
        <v>7</v>
      </c>
      <c r="AF357" t="s">
        <v>868</v>
      </c>
      <c r="AG357" t="s">
        <v>250</v>
      </c>
      <c r="AH357">
        <v>2</v>
      </c>
      <c r="AI357" t="s">
        <v>250</v>
      </c>
      <c r="AJ357" t="s">
        <v>248</v>
      </c>
      <c r="AK357" t="s">
        <v>920</v>
      </c>
      <c r="AL357" t="s">
        <v>203</v>
      </c>
      <c r="AM357" t="s">
        <v>900</v>
      </c>
      <c r="AN357">
        <v>3</v>
      </c>
      <c r="AO357">
        <v>46245</v>
      </c>
      <c r="AP357">
        <v>0.47152777777777777</v>
      </c>
      <c r="AQ357">
        <v>46253</v>
      </c>
      <c r="AR357">
        <v>0.50555555555555554</v>
      </c>
      <c r="AS357" t="s">
        <v>1958</v>
      </c>
      <c r="AU357" t="s">
        <v>1955</v>
      </c>
      <c r="AV357" t="s">
        <v>866</v>
      </c>
      <c r="AW357">
        <v>16</v>
      </c>
      <c r="AX357">
        <v>32</v>
      </c>
      <c r="AY357" t="s">
        <v>125</v>
      </c>
      <c r="AZ357" t="s">
        <v>122</v>
      </c>
      <c r="BA357" t="s">
        <v>232</v>
      </c>
      <c r="BB357" t="s">
        <v>921</v>
      </c>
    </row>
    <row r="358" spans="1:57" x14ac:dyDescent="0.3">
      <c r="A358" s="204">
        <v>46237</v>
      </c>
      <c r="B358" t="s">
        <v>142</v>
      </c>
      <c r="C358" t="s">
        <v>345</v>
      </c>
      <c r="D358" t="s">
        <v>57</v>
      </c>
      <c r="E358" t="s">
        <v>117</v>
      </c>
      <c r="F358" t="s">
        <v>309</v>
      </c>
      <c r="G358" t="s">
        <v>755</v>
      </c>
      <c r="H358" t="s">
        <v>864</v>
      </c>
      <c r="I358" t="s">
        <v>420</v>
      </c>
      <c r="J358">
        <v>1</v>
      </c>
      <c r="K358">
        <v>1</v>
      </c>
      <c r="L358" t="s">
        <v>758</v>
      </c>
      <c r="M358" s="15">
        <v>46241.564421296294</v>
      </c>
      <c r="N358" s="15">
        <v>46248.563888888886</v>
      </c>
      <c r="O358" s="15">
        <v>46245.47152777778</v>
      </c>
      <c r="P358" s="15">
        <v>46253.505555555559</v>
      </c>
      <c r="Q358" s="15"/>
      <c r="S358" t="s">
        <v>397</v>
      </c>
      <c r="V358" t="s">
        <v>365</v>
      </c>
      <c r="W358">
        <v>2940</v>
      </c>
      <c r="X358" t="s">
        <v>377</v>
      </c>
      <c r="Y358" t="s">
        <v>293</v>
      </c>
      <c r="Z358" t="s">
        <v>851</v>
      </c>
      <c r="AB358" t="s">
        <v>350</v>
      </c>
      <c r="AC358" t="s">
        <v>7</v>
      </c>
      <c r="AD358" t="s">
        <v>7</v>
      </c>
      <c r="AE358" t="s">
        <v>7</v>
      </c>
      <c r="AF358" t="s">
        <v>869</v>
      </c>
      <c r="AG358" t="s">
        <v>249</v>
      </c>
      <c r="AH358">
        <v>2</v>
      </c>
      <c r="AI358" t="s">
        <v>250</v>
      </c>
      <c r="AJ358" t="s">
        <v>251</v>
      </c>
      <c r="AK358" t="s">
        <v>920</v>
      </c>
      <c r="AL358" t="s">
        <v>203</v>
      </c>
      <c r="AM358" t="s">
        <v>899</v>
      </c>
      <c r="AO358">
        <v>46245</v>
      </c>
      <c r="AP358">
        <v>0.47152777777777777</v>
      </c>
      <c r="AQ358">
        <v>46253</v>
      </c>
      <c r="AR358">
        <v>0.50555555555555554</v>
      </c>
      <c r="AS358" t="s">
        <v>201</v>
      </c>
      <c r="AT358" t="s">
        <v>1954</v>
      </c>
      <c r="AU358" t="s">
        <v>1955</v>
      </c>
      <c r="AV358" t="s">
        <v>862</v>
      </c>
      <c r="AX358">
        <v>1</v>
      </c>
      <c r="AY358" t="s">
        <v>126</v>
      </c>
      <c r="AZ358" t="s">
        <v>127</v>
      </c>
      <c r="BA358" t="s">
        <v>233</v>
      </c>
      <c r="BB358" t="s">
        <v>921</v>
      </c>
    </row>
    <row r="359" spans="1:57" x14ac:dyDescent="0.3">
      <c r="A359" s="204">
        <v>46237</v>
      </c>
      <c r="B359" t="s">
        <v>142</v>
      </c>
      <c r="C359" t="s">
        <v>345</v>
      </c>
      <c r="D359" t="s">
        <v>57</v>
      </c>
      <c r="E359" t="s">
        <v>117</v>
      </c>
      <c r="F359" t="s">
        <v>309</v>
      </c>
      <c r="G359" t="s">
        <v>755</v>
      </c>
      <c r="H359" t="s">
        <v>864</v>
      </c>
      <c r="I359" t="s">
        <v>420</v>
      </c>
      <c r="J359">
        <v>32</v>
      </c>
      <c r="K359">
        <v>32</v>
      </c>
      <c r="L359" t="s">
        <v>758</v>
      </c>
      <c r="M359" s="15">
        <v>46241.564421296294</v>
      </c>
      <c r="N359" s="15">
        <v>46248.563888888886</v>
      </c>
      <c r="O359" s="15">
        <v>46245.47152777778</v>
      </c>
      <c r="P359" s="15">
        <v>46253.505555555559</v>
      </c>
      <c r="Q359" s="15"/>
      <c r="S359" t="s">
        <v>397</v>
      </c>
      <c r="V359" t="s">
        <v>365</v>
      </c>
      <c r="W359">
        <v>2940</v>
      </c>
      <c r="X359" t="s">
        <v>377</v>
      </c>
      <c r="Y359" t="s">
        <v>293</v>
      </c>
      <c r="Z359" t="s">
        <v>851</v>
      </c>
      <c r="AB359" t="s">
        <v>350</v>
      </c>
      <c r="AC359" t="s">
        <v>7</v>
      </c>
      <c r="AD359" t="s">
        <v>7</v>
      </c>
      <c r="AE359" t="s">
        <v>7</v>
      </c>
      <c r="AF359" t="s">
        <v>869</v>
      </c>
      <c r="AG359" t="s">
        <v>250</v>
      </c>
      <c r="AH359">
        <v>2</v>
      </c>
      <c r="AI359" t="s">
        <v>250</v>
      </c>
      <c r="AJ359" t="s">
        <v>251</v>
      </c>
      <c r="AK359" t="s">
        <v>920</v>
      </c>
      <c r="AL359" t="s">
        <v>203</v>
      </c>
      <c r="AM359" t="s">
        <v>899</v>
      </c>
      <c r="AO359">
        <v>46245</v>
      </c>
      <c r="AP359">
        <v>0.47152777777777777</v>
      </c>
      <c r="AQ359">
        <v>46253</v>
      </c>
      <c r="AR359">
        <v>0.50555555555555554</v>
      </c>
      <c r="AS359" t="s">
        <v>1958</v>
      </c>
      <c r="AU359" t="s">
        <v>1955</v>
      </c>
      <c r="AV359" t="s">
        <v>862</v>
      </c>
      <c r="AX359">
        <v>3.2</v>
      </c>
      <c r="AY359" t="s">
        <v>126</v>
      </c>
      <c r="AZ359" t="s">
        <v>127</v>
      </c>
      <c r="BA359" t="s">
        <v>233</v>
      </c>
      <c r="BB359" t="s">
        <v>921</v>
      </c>
    </row>
    <row r="360" spans="1:57" x14ac:dyDescent="0.3">
      <c r="A360" s="204">
        <v>46237</v>
      </c>
      <c r="B360" t="s">
        <v>142</v>
      </c>
      <c r="C360" t="s">
        <v>345</v>
      </c>
      <c r="D360" t="s">
        <v>57</v>
      </c>
      <c r="E360" t="s">
        <v>117</v>
      </c>
      <c r="F360" t="s">
        <v>309</v>
      </c>
      <c r="G360" t="s">
        <v>755</v>
      </c>
      <c r="H360" t="s">
        <v>864</v>
      </c>
      <c r="I360" t="s">
        <v>420</v>
      </c>
      <c r="J360">
        <v>25</v>
      </c>
      <c r="K360">
        <v>25</v>
      </c>
      <c r="L360" t="s">
        <v>758</v>
      </c>
      <c r="M360" s="15">
        <v>46241.564421296294</v>
      </c>
      <c r="N360" s="15">
        <v>46248.563888888886</v>
      </c>
      <c r="O360" s="15">
        <v>46245.47152777778</v>
      </c>
      <c r="P360" s="15">
        <v>46253.505555555559</v>
      </c>
      <c r="Q360" s="15"/>
      <c r="S360" t="s">
        <v>397</v>
      </c>
      <c r="V360" t="s">
        <v>365</v>
      </c>
      <c r="W360">
        <v>2940</v>
      </c>
      <c r="X360" t="s">
        <v>377</v>
      </c>
      <c r="Y360" t="s">
        <v>293</v>
      </c>
      <c r="Z360" t="s">
        <v>851</v>
      </c>
      <c r="AB360" t="s">
        <v>350</v>
      </c>
      <c r="AC360" t="s">
        <v>7</v>
      </c>
      <c r="AD360" t="s">
        <v>7</v>
      </c>
      <c r="AE360" t="s">
        <v>7</v>
      </c>
      <c r="AF360" t="s">
        <v>869</v>
      </c>
      <c r="AG360" t="s">
        <v>250</v>
      </c>
      <c r="AH360">
        <v>2</v>
      </c>
      <c r="AI360" t="s">
        <v>250</v>
      </c>
      <c r="AJ360" t="s">
        <v>251</v>
      </c>
      <c r="AK360" t="s">
        <v>920</v>
      </c>
      <c r="AL360" t="s">
        <v>203</v>
      </c>
      <c r="AM360" t="s">
        <v>899</v>
      </c>
      <c r="AO360">
        <v>46245</v>
      </c>
      <c r="AP360">
        <v>0.47152777777777777</v>
      </c>
      <c r="AQ360">
        <v>46253</v>
      </c>
      <c r="AR360">
        <v>0.50555555555555554</v>
      </c>
      <c r="AS360" t="s">
        <v>1958</v>
      </c>
      <c r="AU360" t="s">
        <v>1955</v>
      </c>
      <c r="AV360" t="s">
        <v>862</v>
      </c>
      <c r="AX360">
        <v>2.5</v>
      </c>
      <c r="AY360" t="s">
        <v>126</v>
      </c>
      <c r="AZ360" t="s">
        <v>127</v>
      </c>
      <c r="BA360" t="s">
        <v>233</v>
      </c>
      <c r="BB360" t="s">
        <v>921</v>
      </c>
    </row>
    <row r="361" spans="1:57" x14ac:dyDescent="0.3">
      <c r="A361" s="204">
        <v>46237</v>
      </c>
      <c r="B361" t="s">
        <v>142</v>
      </c>
      <c r="C361" t="s">
        <v>345</v>
      </c>
      <c r="D361" t="s">
        <v>57</v>
      </c>
      <c r="E361" t="s">
        <v>117</v>
      </c>
      <c r="F361" t="s">
        <v>309</v>
      </c>
      <c r="G361" t="s">
        <v>755</v>
      </c>
      <c r="H361" t="s">
        <v>864</v>
      </c>
      <c r="I361" t="s">
        <v>420</v>
      </c>
      <c r="J361">
        <v>2</v>
      </c>
      <c r="K361">
        <v>2</v>
      </c>
      <c r="L361" t="s">
        <v>758</v>
      </c>
      <c r="M361" s="15">
        <v>46241.564421296294</v>
      </c>
      <c r="N361" s="15">
        <v>46248.563888888886</v>
      </c>
      <c r="O361" s="15">
        <v>46245.47152777778</v>
      </c>
      <c r="P361" s="15">
        <v>46253.505555555559</v>
      </c>
      <c r="Q361" s="15"/>
      <c r="S361" t="s">
        <v>397</v>
      </c>
      <c r="V361" t="s">
        <v>365</v>
      </c>
      <c r="W361">
        <v>2940</v>
      </c>
      <c r="X361" t="s">
        <v>377</v>
      </c>
      <c r="Y361" t="s">
        <v>293</v>
      </c>
      <c r="Z361" t="s">
        <v>851</v>
      </c>
      <c r="AB361" t="s">
        <v>350</v>
      </c>
      <c r="AC361" t="s">
        <v>7</v>
      </c>
      <c r="AD361" t="s">
        <v>7</v>
      </c>
      <c r="AE361" t="s">
        <v>7</v>
      </c>
      <c r="AF361" t="s">
        <v>869</v>
      </c>
      <c r="AG361" t="s">
        <v>250</v>
      </c>
      <c r="AH361">
        <v>2</v>
      </c>
      <c r="AI361" t="s">
        <v>250</v>
      </c>
      <c r="AJ361" t="s">
        <v>251</v>
      </c>
      <c r="AK361" t="s">
        <v>920</v>
      </c>
      <c r="AL361" t="s">
        <v>203</v>
      </c>
      <c r="AM361" t="s">
        <v>899</v>
      </c>
      <c r="AO361">
        <v>46245</v>
      </c>
      <c r="AP361">
        <v>0.47152777777777777</v>
      </c>
      <c r="AQ361">
        <v>46253</v>
      </c>
      <c r="AR361">
        <v>0.50555555555555554</v>
      </c>
      <c r="AS361" t="s">
        <v>1958</v>
      </c>
      <c r="AU361" t="s">
        <v>1955</v>
      </c>
      <c r="AV361" t="s">
        <v>862</v>
      </c>
      <c r="AX361">
        <v>1</v>
      </c>
      <c r="AY361" t="s">
        <v>126</v>
      </c>
      <c r="AZ361" t="s">
        <v>127</v>
      </c>
      <c r="BA361" t="s">
        <v>233</v>
      </c>
      <c r="BB361" t="s">
        <v>921</v>
      </c>
    </row>
    <row r="362" spans="1:57" x14ac:dyDescent="0.3">
      <c r="A362" s="204">
        <v>46237</v>
      </c>
      <c r="B362" t="s">
        <v>142</v>
      </c>
      <c r="C362" t="s">
        <v>345</v>
      </c>
      <c r="D362" t="s">
        <v>57</v>
      </c>
      <c r="E362" t="s">
        <v>117</v>
      </c>
      <c r="F362" t="s">
        <v>309</v>
      </c>
      <c r="G362" t="s">
        <v>755</v>
      </c>
      <c r="H362" t="s">
        <v>864</v>
      </c>
      <c r="I362" t="s">
        <v>420</v>
      </c>
      <c r="J362">
        <v>12</v>
      </c>
      <c r="K362">
        <v>12</v>
      </c>
      <c r="L362" t="s">
        <v>758</v>
      </c>
      <c r="M362" s="15">
        <v>46241.564421296294</v>
      </c>
      <c r="N362" s="15">
        <v>46248.563888888886</v>
      </c>
      <c r="O362" s="15">
        <v>46245.47152777778</v>
      </c>
      <c r="P362" s="15">
        <v>46253.505555555559</v>
      </c>
      <c r="Q362" s="15"/>
      <c r="S362" t="s">
        <v>397</v>
      </c>
      <c r="V362" t="s">
        <v>365</v>
      </c>
      <c r="W362">
        <v>2940</v>
      </c>
      <c r="X362" t="s">
        <v>377</v>
      </c>
      <c r="Y362" t="s">
        <v>293</v>
      </c>
      <c r="Z362" t="s">
        <v>851</v>
      </c>
      <c r="AB362" t="s">
        <v>350</v>
      </c>
      <c r="AC362" t="s">
        <v>7</v>
      </c>
      <c r="AD362" t="s">
        <v>7</v>
      </c>
      <c r="AE362" t="s">
        <v>7</v>
      </c>
      <c r="AF362" t="s">
        <v>869</v>
      </c>
      <c r="AG362" t="s">
        <v>250</v>
      </c>
      <c r="AH362">
        <v>2</v>
      </c>
      <c r="AI362" t="s">
        <v>250</v>
      </c>
      <c r="AJ362" t="s">
        <v>251</v>
      </c>
      <c r="AK362" t="s">
        <v>920</v>
      </c>
      <c r="AL362" t="s">
        <v>203</v>
      </c>
      <c r="AM362" t="s">
        <v>899</v>
      </c>
      <c r="AO362">
        <v>46245</v>
      </c>
      <c r="AP362">
        <v>0.47152777777777777</v>
      </c>
      <c r="AQ362">
        <v>46253</v>
      </c>
      <c r="AR362">
        <v>0.50555555555555554</v>
      </c>
      <c r="AS362" t="s">
        <v>1958</v>
      </c>
      <c r="AU362" t="s">
        <v>1955</v>
      </c>
      <c r="AV362" t="s">
        <v>862</v>
      </c>
      <c r="AX362">
        <v>1.2</v>
      </c>
      <c r="AY362" t="s">
        <v>126</v>
      </c>
      <c r="AZ362" t="s">
        <v>127</v>
      </c>
      <c r="BA362" t="s">
        <v>233</v>
      </c>
      <c r="BB362" t="s">
        <v>921</v>
      </c>
    </row>
    <row r="363" spans="1:57" x14ac:dyDescent="0.3">
      <c r="A363" s="204">
        <v>46237</v>
      </c>
      <c r="B363" t="s">
        <v>142</v>
      </c>
      <c r="C363" t="s">
        <v>345</v>
      </c>
      <c r="D363" t="s">
        <v>279</v>
      </c>
      <c r="E363" t="s">
        <v>197</v>
      </c>
      <c r="F363" t="s">
        <v>309</v>
      </c>
      <c r="G363" t="s">
        <v>755</v>
      </c>
      <c r="H363" t="s">
        <v>864</v>
      </c>
      <c r="I363" t="s">
        <v>420</v>
      </c>
      <c r="J363">
        <v>3</v>
      </c>
      <c r="K363">
        <v>3</v>
      </c>
      <c r="L363" t="s">
        <v>757</v>
      </c>
      <c r="M363" s="15">
        <v>46241.564421296294</v>
      </c>
      <c r="N363" s="15">
        <v>46248.563888888886</v>
      </c>
      <c r="O363" s="15">
        <v>46245.577777777777</v>
      </c>
      <c r="P363" s="15">
        <v>46253.505555555559</v>
      </c>
      <c r="Q363" s="15"/>
      <c r="S363" t="s">
        <v>397</v>
      </c>
      <c r="V363" t="s">
        <v>365</v>
      </c>
      <c r="W363">
        <v>2940</v>
      </c>
      <c r="X363" t="s">
        <v>377</v>
      </c>
      <c r="Y363" t="s">
        <v>293</v>
      </c>
      <c r="Z363" t="s">
        <v>851</v>
      </c>
      <c r="AB363" t="s">
        <v>350</v>
      </c>
      <c r="AC363" t="s">
        <v>7</v>
      </c>
      <c r="AD363" t="s">
        <v>7</v>
      </c>
      <c r="AE363" t="s">
        <v>7</v>
      </c>
      <c r="AF363" t="s">
        <v>867</v>
      </c>
      <c r="AG363" t="s">
        <v>249</v>
      </c>
      <c r="AH363">
        <v>2</v>
      </c>
      <c r="AI363" t="s">
        <v>250</v>
      </c>
      <c r="AJ363" t="s">
        <v>248</v>
      </c>
      <c r="AK363" t="s">
        <v>920</v>
      </c>
      <c r="AL363" t="s">
        <v>203</v>
      </c>
      <c r="AM363" t="s">
        <v>900</v>
      </c>
      <c r="AN363">
        <v>3</v>
      </c>
      <c r="AO363">
        <v>46245</v>
      </c>
      <c r="AP363">
        <v>0.57777777777777772</v>
      </c>
      <c r="AQ363">
        <v>46253</v>
      </c>
      <c r="AR363">
        <v>0.50555555555555554</v>
      </c>
      <c r="AS363" t="s">
        <v>201</v>
      </c>
      <c r="AT363" t="s">
        <v>1956</v>
      </c>
      <c r="AU363" t="s">
        <v>1955</v>
      </c>
      <c r="AV363" t="s">
        <v>866</v>
      </c>
      <c r="AW363">
        <v>16</v>
      </c>
      <c r="AX363">
        <v>48</v>
      </c>
      <c r="AY363" t="s">
        <v>125</v>
      </c>
      <c r="AZ363" t="s">
        <v>122</v>
      </c>
      <c r="BA363" t="s">
        <v>232</v>
      </c>
      <c r="BB363" t="s">
        <v>921</v>
      </c>
    </row>
    <row r="364" spans="1:57" x14ac:dyDescent="0.3">
      <c r="A364" s="204">
        <v>46237</v>
      </c>
      <c r="B364" t="s">
        <v>142</v>
      </c>
      <c r="C364" t="s">
        <v>345</v>
      </c>
      <c r="D364" t="s">
        <v>279</v>
      </c>
      <c r="E364" t="s">
        <v>197</v>
      </c>
      <c r="F364" t="s">
        <v>309</v>
      </c>
      <c r="G364" t="s">
        <v>755</v>
      </c>
      <c r="H364" t="s">
        <v>864</v>
      </c>
      <c r="I364" t="s">
        <v>420</v>
      </c>
      <c r="J364">
        <v>5</v>
      </c>
      <c r="K364">
        <v>5</v>
      </c>
      <c r="L364" t="s">
        <v>757</v>
      </c>
      <c r="M364" s="15">
        <v>46241.564421296294</v>
      </c>
      <c r="N364" s="15">
        <v>46248.563888888886</v>
      </c>
      <c r="O364" s="15">
        <v>46245.577777777777</v>
      </c>
      <c r="P364" s="15">
        <v>46253.505555555559</v>
      </c>
      <c r="Q364" s="15"/>
      <c r="S364" t="s">
        <v>397</v>
      </c>
      <c r="V364" t="s">
        <v>365</v>
      </c>
      <c r="W364">
        <v>2940</v>
      </c>
      <c r="X364" t="s">
        <v>377</v>
      </c>
      <c r="Y364" t="s">
        <v>293</v>
      </c>
      <c r="Z364" t="s">
        <v>851</v>
      </c>
      <c r="AB364" t="s">
        <v>350</v>
      </c>
      <c r="AC364" t="s">
        <v>7</v>
      </c>
      <c r="AD364" t="s">
        <v>7</v>
      </c>
      <c r="AE364" t="s">
        <v>7</v>
      </c>
      <c r="AF364" t="s">
        <v>867</v>
      </c>
      <c r="AG364" t="s">
        <v>250</v>
      </c>
      <c r="AH364">
        <v>2</v>
      </c>
      <c r="AI364" t="s">
        <v>250</v>
      </c>
      <c r="AJ364" t="s">
        <v>248</v>
      </c>
      <c r="AK364" t="s">
        <v>920</v>
      </c>
      <c r="AL364" t="s">
        <v>203</v>
      </c>
      <c r="AM364" t="s">
        <v>900</v>
      </c>
      <c r="AN364">
        <v>3</v>
      </c>
      <c r="AO364">
        <v>46245</v>
      </c>
      <c r="AP364">
        <v>0.57777777777777772</v>
      </c>
      <c r="AQ364">
        <v>46253</v>
      </c>
      <c r="AR364">
        <v>0.50555555555555554</v>
      </c>
      <c r="AS364" t="s">
        <v>1958</v>
      </c>
      <c r="AU364" t="s">
        <v>1955</v>
      </c>
      <c r="AV364" t="s">
        <v>866</v>
      </c>
      <c r="AW364">
        <v>16</v>
      </c>
      <c r="AX364">
        <v>80</v>
      </c>
      <c r="AY364" t="s">
        <v>125</v>
      </c>
      <c r="AZ364" t="s">
        <v>122</v>
      </c>
      <c r="BA364" t="s">
        <v>232</v>
      </c>
      <c r="BB364" t="s">
        <v>921</v>
      </c>
    </row>
    <row r="365" spans="1:57" x14ac:dyDescent="0.3">
      <c r="A365" s="204">
        <v>46237</v>
      </c>
      <c r="B365" t="s">
        <v>142</v>
      </c>
      <c r="C365" t="s">
        <v>345</v>
      </c>
      <c r="D365" t="s">
        <v>279</v>
      </c>
      <c r="E365" t="s">
        <v>197</v>
      </c>
      <c r="F365" t="s">
        <v>309</v>
      </c>
      <c r="G365" t="s">
        <v>755</v>
      </c>
      <c r="H365" t="s">
        <v>864</v>
      </c>
      <c r="I365" t="s">
        <v>420</v>
      </c>
      <c r="J365">
        <v>9</v>
      </c>
      <c r="K365">
        <v>9</v>
      </c>
      <c r="L365" t="s">
        <v>757</v>
      </c>
      <c r="M365" s="15">
        <v>46241.564421296294</v>
      </c>
      <c r="N365" s="15">
        <v>46248.563888888886</v>
      </c>
      <c r="O365" s="15">
        <v>46245.577777777777</v>
      </c>
      <c r="P365" s="15">
        <v>46253.505555555559</v>
      </c>
      <c r="Q365" s="15"/>
      <c r="S365" t="s">
        <v>397</v>
      </c>
      <c r="V365" t="s">
        <v>365</v>
      </c>
      <c r="W365">
        <v>2940</v>
      </c>
      <c r="X365" t="s">
        <v>377</v>
      </c>
      <c r="Y365" t="s">
        <v>293</v>
      </c>
      <c r="Z365" t="s">
        <v>851</v>
      </c>
      <c r="AB365" t="s">
        <v>350</v>
      </c>
      <c r="AC365" t="s">
        <v>7</v>
      </c>
      <c r="AD365" t="s">
        <v>7</v>
      </c>
      <c r="AE365" t="s">
        <v>7</v>
      </c>
      <c r="AF365" t="s">
        <v>867</v>
      </c>
      <c r="AG365" t="s">
        <v>250</v>
      </c>
      <c r="AH365">
        <v>2</v>
      </c>
      <c r="AI365" t="s">
        <v>250</v>
      </c>
      <c r="AJ365" t="s">
        <v>248</v>
      </c>
      <c r="AK365" t="s">
        <v>920</v>
      </c>
      <c r="AL365" t="s">
        <v>203</v>
      </c>
      <c r="AM365" t="s">
        <v>900</v>
      </c>
      <c r="AN365">
        <v>3</v>
      </c>
      <c r="AO365">
        <v>46245</v>
      </c>
      <c r="AP365">
        <v>0.57777777777777772</v>
      </c>
      <c r="AQ365">
        <v>46253</v>
      </c>
      <c r="AR365">
        <v>0.50555555555555554</v>
      </c>
      <c r="AS365" t="s">
        <v>1958</v>
      </c>
      <c r="AU365" t="s">
        <v>1955</v>
      </c>
      <c r="AV365" t="s">
        <v>866</v>
      </c>
      <c r="AW365">
        <v>16</v>
      </c>
      <c r="AX365">
        <v>144</v>
      </c>
      <c r="AY365" t="s">
        <v>125</v>
      </c>
      <c r="AZ365" t="s">
        <v>122</v>
      </c>
      <c r="BA365" t="s">
        <v>232</v>
      </c>
      <c r="BB365" t="s">
        <v>921</v>
      </c>
    </row>
    <row r="366" spans="1:57" x14ac:dyDescent="0.3">
      <c r="A366" s="204">
        <v>46237</v>
      </c>
      <c r="B366" t="s">
        <v>142</v>
      </c>
      <c r="C366" t="s">
        <v>345</v>
      </c>
      <c r="D366" t="s">
        <v>57</v>
      </c>
      <c r="E366" t="s">
        <v>117</v>
      </c>
      <c r="F366" t="s">
        <v>309</v>
      </c>
      <c r="G366" t="s">
        <v>755</v>
      </c>
      <c r="H366" t="s">
        <v>864</v>
      </c>
      <c r="I366" t="s">
        <v>420</v>
      </c>
      <c r="J366">
        <v>9</v>
      </c>
      <c r="K366">
        <v>9</v>
      </c>
      <c r="L366" t="s">
        <v>757</v>
      </c>
      <c r="M366" s="15">
        <v>46241.564421296294</v>
      </c>
      <c r="N366" s="15">
        <v>46248.563888888886</v>
      </c>
      <c r="O366" s="15">
        <v>46245.577777777777</v>
      </c>
      <c r="P366" s="15">
        <v>46253.505555555559</v>
      </c>
      <c r="Q366" s="15"/>
      <c r="S366" t="s">
        <v>397</v>
      </c>
      <c r="V366" t="s">
        <v>365</v>
      </c>
      <c r="W366">
        <v>2940</v>
      </c>
      <c r="X366" t="s">
        <v>377</v>
      </c>
      <c r="Y366" t="s">
        <v>293</v>
      </c>
      <c r="Z366" t="s">
        <v>851</v>
      </c>
      <c r="AB366" t="s">
        <v>350</v>
      </c>
      <c r="AC366" t="s">
        <v>7</v>
      </c>
      <c r="AD366" t="s">
        <v>7</v>
      </c>
      <c r="AE366" t="s">
        <v>7</v>
      </c>
      <c r="AF366" t="s">
        <v>870</v>
      </c>
      <c r="AG366" t="s">
        <v>250</v>
      </c>
      <c r="AH366">
        <v>2</v>
      </c>
      <c r="AI366" t="s">
        <v>250</v>
      </c>
      <c r="AJ366" t="s">
        <v>251</v>
      </c>
      <c r="AK366" t="s">
        <v>920</v>
      </c>
      <c r="AL366" t="s">
        <v>203</v>
      </c>
      <c r="AM366" t="s">
        <v>899</v>
      </c>
      <c r="AO366">
        <v>46245</v>
      </c>
      <c r="AP366">
        <v>0.57777777777777772</v>
      </c>
      <c r="AQ366">
        <v>46253</v>
      </c>
      <c r="AR366">
        <v>0.50555555555555554</v>
      </c>
      <c r="AS366" t="s">
        <v>1958</v>
      </c>
      <c r="AU366" t="s">
        <v>1955</v>
      </c>
      <c r="AV366" t="s">
        <v>862</v>
      </c>
      <c r="AX366">
        <v>1</v>
      </c>
      <c r="AY366" t="s">
        <v>126</v>
      </c>
      <c r="AZ366" t="s">
        <v>127</v>
      </c>
      <c r="BA366" t="s">
        <v>233</v>
      </c>
      <c r="BB366" t="s">
        <v>921</v>
      </c>
    </row>
    <row r="367" spans="1:57" x14ac:dyDescent="0.3">
      <c r="A367" s="204">
        <v>46237</v>
      </c>
      <c r="B367" t="s">
        <v>142</v>
      </c>
      <c r="C367" t="s">
        <v>345</v>
      </c>
      <c r="D367" t="s">
        <v>63</v>
      </c>
      <c r="E367" t="s">
        <v>95</v>
      </c>
      <c r="F367" t="s">
        <v>309</v>
      </c>
      <c r="G367" t="s">
        <v>755</v>
      </c>
      <c r="H367" t="s">
        <v>864</v>
      </c>
      <c r="I367" t="s">
        <v>420</v>
      </c>
      <c r="J367">
        <v>2</v>
      </c>
      <c r="K367">
        <v>2</v>
      </c>
      <c r="L367" t="s">
        <v>756</v>
      </c>
      <c r="M367" s="15">
        <v>46241.564421296294</v>
      </c>
      <c r="N367" s="15">
        <v>46248.563888888886</v>
      </c>
      <c r="O367" s="15">
        <v>46248.417361111111</v>
      </c>
      <c r="P367" s="15">
        <v>46254.490972222222</v>
      </c>
      <c r="Q367" s="15"/>
      <c r="S367" t="s">
        <v>397</v>
      </c>
      <c r="V367" t="s">
        <v>365</v>
      </c>
      <c r="W367">
        <v>2940</v>
      </c>
      <c r="X367" t="s">
        <v>377</v>
      </c>
      <c r="Y367" t="s">
        <v>293</v>
      </c>
      <c r="Z367" t="s">
        <v>851</v>
      </c>
      <c r="AB367" t="s">
        <v>350</v>
      </c>
      <c r="AC367" t="s">
        <v>7</v>
      </c>
      <c r="AD367" t="s">
        <v>7</v>
      </c>
      <c r="AE367" t="s">
        <v>7</v>
      </c>
      <c r="AF367" t="s">
        <v>1788</v>
      </c>
      <c r="AG367" t="s">
        <v>250</v>
      </c>
      <c r="AH367">
        <v>2</v>
      </c>
      <c r="AI367" t="s">
        <v>250</v>
      </c>
      <c r="AJ367" t="s">
        <v>251</v>
      </c>
      <c r="AK367" t="s">
        <v>920</v>
      </c>
      <c r="AL367" t="s">
        <v>203</v>
      </c>
      <c r="AM367" t="s">
        <v>1655</v>
      </c>
      <c r="AO367">
        <v>46248</v>
      </c>
      <c r="AP367">
        <v>0.41736111111111113</v>
      </c>
      <c r="AQ367">
        <v>46254</v>
      </c>
      <c r="AR367">
        <v>0.4909722222222222</v>
      </c>
      <c r="AS367" t="s">
        <v>1958</v>
      </c>
      <c r="AU367" t="s">
        <v>1955</v>
      </c>
      <c r="AV367" t="s">
        <v>937</v>
      </c>
      <c r="AX367">
        <v>2</v>
      </c>
      <c r="AY367" t="s">
        <v>111</v>
      </c>
      <c r="AZ367" t="s">
        <v>96</v>
      </c>
      <c r="BA367" t="s">
        <v>225</v>
      </c>
      <c r="BB367" t="s">
        <v>921</v>
      </c>
    </row>
    <row r="368" spans="1:57" x14ac:dyDescent="0.3">
      <c r="A368" s="204">
        <v>46230</v>
      </c>
      <c r="B368" t="s">
        <v>142</v>
      </c>
      <c r="C368" t="s">
        <v>345</v>
      </c>
      <c r="D368" t="s">
        <v>51</v>
      </c>
      <c r="E368" t="s">
        <v>258</v>
      </c>
      <c r="F368" t="s">
        <v>309</v>
      </c>
      <c r="G368" t="s">
        <v>1255</v>
      </c>
      <c r="H368" t="s">
        <v>834</v>
      </c>
      <c r="I368" t="s">
        <v>759</v>
      </c>
      <c r="J368">
        <v>105</v>
      </c>
      <c r="K368">
        <v>105</v>
      </c>
      <c r="L368" t="s">
        <v>1256</v>
      </c>
      <c r="M368" s="15">
        <v>46253.364374999997</v>
      </c>
      <c r="N368" s="15">
        <v>46260.363888888889</v>
      </c>
      <c r="O368" s="15">
        <v>46253.631249999999</v>
      </c>
      <c r="P368" s="15">
        <v>46254.472222222219</v>
      </c>
      <c r="Q368" s="15"/>
      <c r="S368" t="s">
        <v>1257</v>
      </c>
      <c r="T368" t="s">
        <v>837</v>
      </c>
      <c r="V368" t="s">
        <v>1257</v>
      </c>
      <c r="X368" t="s">
        <v>1258</v>
      </c>
      <c r="Y368" t="s">
        <v>240</v>
      </c>
      <c r="Z368" t="s">
        <v>851</v>
      </c>
      <c r="AB368" t="s">
        <v>347</v>
      </c>
      <c r="AC368" t="s">
        <v>7</v>
      </c>
      <c r="AD368" t="s">
        <v>7</v>
      </c>
      <c r="AE368" t="s">
        <v>7</v>
      </c>
      <c r="AF368" t="s">
        <v>1791</v>
      </c>
      <c r="AG368" t="s">
        <v>249</v>
      </c>
      <c r="AH368">
        <v>1</v>
      </c>
      <c r="AI368" t="s">
        <v>250</v>
      </c>
      <c r="AJ368" t="s">
        <v>248</v>
      </c>
      <c r="AK368" t="s">
        <v>1792</v>
      </c>
      <c r="AL368" t="s">
        <v>203</v>
      </c>
      <c r="AM368" t="s">
        <v>887</v>
      </c>
      <c r="AN368">
        <v>2</v>
      </c>
      <c r="AO368">
        <v>46253</v>
      </c>
      <c r="AP368">
        <v>0.63124999999999998</v>
      </c>
      <c r="AQ368">
        <v>46254</v>
      </c>
      <c r="AR368">
        <v>0.47222222222222221</v>
      </c>
      <c r="AS368" t="s">
        <v>201</v>
      </c>
      <c r="AT368" t="s">
        <v>1954</v>
      </c>
      <c r="AU368" t="s">
        <v>1955</v>
      </c>
      <c r="AV368" t="s">
        <v>853</v>
      </c>
      <c r="AY368" t="s">
        <v>7</v>
      </c>
      <c r="AZ368" t="s">
        <v>238</v>
      </c>
      <c r="BA368" t="s">
        <v>7</v>
      </c>
      <c r="BB368" t="s">
        <v>1793</v>
      </c>
      <c r="BE368">
        <v>0</v>
      </c>
    </row>
    <row r="369" spans="1:57" x14ac:dyDescent="0.3">
      <c r="A369" s="204">
        <v>46235</v>
      </c>
      <c r="B369" t="s">
        <v>142</v>
      </c>
      <c r="C369" t="s">
        <v>345</v>
      </c>
      <c r="D369" t="s">
        <v>51</v>
      </c>
      <c r="E369" t="s">
        <v>258</v>
      </c>
      <c r="F369" t="s">
        <v>309</v>
      </c>
      <c r="G369" t="s">
        <v>1259</v>
      </c>
      <c r="H369" t="s">
        <v>1794</v>
      </c>
      <c r="I369" t="s">
        <v>1260</v>
      </c>
      <c r="J369">
        <v>220</v>
      </c>
      <c r="K369">
        <v>220</v>
      </c>
      <c r="L369" t="s">
        <v>1261</v>
      </c>
      <c r="M369" s="15">
        <v>46252.495659722219</v>
      </c>
      <c r="N369" s="15">
        <v>46259.495138888888</v>
      </c>
      <c r="O369" s="15">
        <v>46253.654861111114</v>
      </c>
      <c r="P369" s="15">
        <v>46255.357638888891</v>
      </c>
      <c r="Q369" s="15"/>
      <c r="S369" t="s">
        <v>1257</v>
      </c>
      <c r="T369" t="s">
        <v>837</v>
      </c>
      <c r="V369" t="s">
        <v>1257</v>
      </c>
      <c r="X369" t="s">
        <v>1258</v>
      </c>
      <c r="Y369" t="s">
        <v>240</v>
      </c>
      <c r="Z369" t="s">
        <v>851</v>
      </c>
      <c r="AB369" t="s">
        <v>347</v>
      </c>
      <c r="AC369" t="s">
        <v>7</v>
      </c>
      <c r="AD369" t="s">
        <v>7</v>
      </c>
      <c r="AE369" t="s">
        <v>7</v>
      </c>
      <c r="AF369" t="s">
        <v>1795</v>
      </c>
      <c r="AG369" t="s">
        <v>249</v>
      </c>
      <c r="AH369">
        <v>1</v>
      </c>
      <c r="AI369" t="s">
        <v>250</v>
      </c>
      <c r="AJ369" t="s">
        <v>248</v>
      </c>
      <c r="AK369" t="s">
        <v>1792</v>
      </c>
      <c r="AL369" t="s">
        <v>203</v>
      </c>
      <c r="AM369" t="s">
        <v>887</v>
      </c>
      <c r="AN369">
        <v>2</v>
      </c>
      <c r="AO369">
        <v>46253</v>
      </c>
      <c r="AP369">
        <v>0.65486111111111112</v>
      </c>
      <c r="AQ369">
        <v>46255</v>
      </c>
      <c r="AR369">
        <v>0.3576388888888889</v>
      </c>
      <c r="AS369" t="s">
        <v>201</v>
      </c>
      <c r="AT369" t="s">
        <v>1954</v>
      </c>
      <c r="AU369" t="s">
        <v>1955</v>
      </c>
      <c r="AV369" t="s">
        <v>853</v>
      </c>
      <c r="AY369" t="s">
        <v>7</v>
      </c>
      <c r="AZ369" t="s">
        <v>238</v>
      </c>
      <c r="BA369" t="s">
        <v>7</v>
      </c>
      <c r="BB369" t="s">
        <v>1793</v>
      </c>
      <c r="BE369">
        <v>0</v>
      </c>
    </row>
    <row r="370" spans="1:57" x14ac:dyDescent="0.3">
      <c r="A370" s="204">
        <v>46235</v>
      </c>
      <c r="B370" t="s">
        <v>142</v>
      </c>
      <c r="C370" t="s">
        <v>345</v>
      </c>
      <c r="D370" t="s">
        <v>45</v>
      </c>
      <c r="E370" t="s">
        <v>68</v>
      </c>
      <c r="F370" t="s">
        <v>309</v>
      </c>
      <c r="G370" t="s">
        <v>1262</v>
      </c>
      <c r="H370" t="s">
        <v>1794</v>
      </c>
      <c r="I370" t="s">
        <v>1260</v>
      </c>
      <c r="J370">
        <v>25</v>
      </c>
      <c r="K370">
        <v>25</v>
      </c>
      <c r="L370" t="s">
        <v>1263</v>
      </c>
      <c r="M370" s="15">
        <v>46244.678773148145</v>
      </c>
      <c r="N370" s="15">
        <v>46251.678472222222</v>
      </c>
      <c r="O370" s="15">
        <v>46245.410416666666</v>
      </c>
      <c r="P370" s="15">
        <v>46246.395833333336</v>
      </c>
      <c r="Q370" s="15"/>
      <c r="S370" t="s">
        <v>1257</v>
      </c>
      <c r="U370" t="s">
        <v>1796</v>
      </c>
      <c r="V370" t="s">
        <v>1257</v>
      </c>
      <c r="X370" t="s">
        <v>1258</v>
      </c>
      <c r="Y370" t="s">
        <v>240</v>
      </c>
      <c r="Z370" t="s">
        <v>826</v>
      </c>
      <c r="AB370" t="s">
        <v>347</v>
      </c>
      <c r="AC370" t="s">
        <v>347</v>
      </c>
      <c r="AD370" t="s">
        <v>351</v>
      </c>
      <c r="AE370" t="s">
        <v>240</v>
      </c>
      <c r="AF370" t="s">
        <v>1797</v>
      </c>
      <c r="AG370" t="s">
        <v>249</v>
      </c>
      <c r="AH370">
        <v>1</v>
      </c>
      <c r="AI370" t="s">
        <v>250</v>
      </c>
      <c r="AJ370" t="s">
        <v>248</v>
      </c>
      <c r="AK370" t="s">
        <v>1792</v>
      </c>
      <c r="AL370" t="s">
        <v>203</v>
      </c>
      <c r="AM370" t="s">
        <v>888</v>
      </c>
      <c r="AN370">
        <v>2</v>
      </c>
      <c r="AO370">
        <v>46245</v>
      </c>
      <c r="AP370">
        <v>0.41041666666666665</v>
      </c>
      <c r="AQ370">
        <v>46246</v>
      </c>
      <c r="AR370">
        <v>0.39583333333333331</v>
      </c>
      <c r="AS370" t="s">
        <v>201</v>
      </c>
      <c r="AT370" t="s">
        <v>1954</v>
      </c>
      <c r="AU370" t="s">
        <v>1955</v>
      </c>
      <c r="AV370" t="s">
        <v>829</v>
      </c>
      <c r="AX370">
        <v>2.5</v>
      </c>
      <c r="AY370" t="s">
        <v>89</v>
      </c>
      <c r="AZ370" t="s">
        <v>67</v>
      </c>
      <c r="BA370" t="s">
        <v>217</v>
      </c>
      <c r="BB370" t="s">
        <v>1798</v>
      </c>
      <c r="BC370">
        <v>103</v>
      </c>
      <c r="BD370">
        <v>3</v>
      </c>
      <c r="BE370">
        <v>1</v>
      </c>
    </row>
    <row r="371" spans="1:57" x14ac:dyDescent="0.3">
      <c r="A371" s="204">
        <v>46235</v>
      </c>
      <c r="B371" t="s">
        <v>142</v>
      </c>
      <c r="C371" t="s">
        <v>345</v>
      </c>
      <c r="D371" t="s">
        <v>45</v>
      </c>
      <c r="E371" t="s">
        <v>68</v>
      </c>
      <c r="F371" t="s">
        <v>309</v>
      </c>
      <c r="G371" t="s">
        <v>1264</v>
      </c>
      <c r="H371" t="s">
        <v>1794</v>
      </c>
      <c r="I371" t="s">
        <v>1260</v>
      </c>
      <c r="J371">
        <v>25</v>
      </c>
      <c r="K371">
        <v>25</v>
      </c>
      <c r="L371" t="s">
        <v>1265</v>
      </c>
      <c r="M371" s="15">
        <v>46252.494293981479</v>
      </c>
      <c r="N371" s="15">
        <v>46259.493750000001</v>
      </c>
      <c r="O371" s="15">
        <v>46252.644444444442</v>
      </c>
      <c r="P371" s="15">
        <v>46253.423611111109</v>
      </c>
      <c r="Q371" s="15"/>
      <c r="S371" t="s">
        <v>1257</v>
      </c>
      <c r="U371" t="s">
        <v>1799</v>
      </c>
      <c r="V371" t="s">
        <v>1257</v>
      </c>
      <c r="X371" t="s">
        <v>1258</v>
      </c>
      <c r="Y371" t="s">
        <v>240</v>
      </c>
      <c r="Z371" t="s">
        <v>826</v>
      </c>
      <c r="AB371" t="s">
        <v>347</v>
      </c>
      <c r="AC371" t="s">
        <v>347</v>
      </c>
      <c r="AD371" t="s">
        <v>351</v>
      </c>
      <c r="AE371" t="s">
        <v>240</v>
      </c>
      <c r="AF371" t="s">
        <v>1800</v>
      </c>
      <c r="AG371" t="s">
        <v>249</v>
      </c>
      <c r="AH371">
        <v>1</v>
      </c>
      <c r="AI371" t="s">
        <v>250</v>
      </c>
      <c r="AJ371" t="s">
        <v>248</v>
      </c>
      <c r="AK371" t="s">
        <v>1792</v>
      </c>
      <c r="AL371" t="s">
        <v>203</v>
      </c>
      <c r="AM371" t="s">
        <v>888</v>
      </c>
      <c r="AN371">
        <v>2</v>
      </c>
      <c r="AO371">
        <v>46252</v>
      </c>
      <c r="AP371">
        <v>0.64444444444444449</v>
      </c>
      <c r="AQ371">
        <v>46253</v>
      </c>
      <c r="AR371">
        <v>0.4236111111111111</v>
      </c>
      <c r="AS371" t="s">
        <v>201</v>
      </c>
      <c r="AT371" t="s">
        <v>1954</v>
      </c>
      <c r="AU371" t="s">
        <v>1955</v>
      </c>
      <c r="AV371" t="s">
        <v>829</v>
      </c>
      <c r="AX371">
        <v>2.5</v>
      </c>
      <c r="AY371" t="s">
        <v>89</v>
      </c>
      <c r="AZ371" t="s">
        <v>67</v>
      </c>
      <c r="BA371" t="s">
        <v>217</v>
      </c>
      <c r="BB371" t="s">
        <v>1798</v>
      </c>
      <c r="BC371">
        <v>103</v>
      </c>
      <c r="BD371">
        <v>3</v>
      </c>
      <c r="BE371">
        <v>1</v>
      </c>
    </row>
    <row r="372" spans="1:57" x14ac:dyDescent="0.3">
      <c r="A372" s="204">
        <v>46235</v>
      </c>
      <c r="B372" t="s">
        <v>142</v>
      </c>
      <c r="C372" t="s">
        <v>345</v>
      </c>
      <c r="D372" t="s">
        <v>45</v>
      </c>
      <c r="E372" t="s">
        <v>68</v>
      </c>
      <c r="F372" t="s">
        <v>309</v>
      </c>
      <c r="G372" t="s">
        <v>1266</v>
      </c>
      <c r="H372" t="s">
        <v>1801</v>
      </c>
      <c r="I372" t="s">
        <v>1260</v>
      </c>
      <c r="J372">
        <v>20</v>
      </c>
      <c r="K372">
        <v>20</v>
      </c>
      <c r="L372" t="s">
        <v>1267</v>
      </c>
      <c r="M372" s="15">
        <v>46237.299120370371</v>
      </c>
      <c r="N372" s="15">
        <v>46244.333333333336</v>
      </c>
      <c r="O372" s="15">
        <v>46237.356944444444</v>
      </c>
      <c r="P372" s="15">
        <v>46239.371527777781</v>
      </c>
      <c r="Q372" s="15"/>
      <c r="S372" t="s">
        <v>1257</v>
      </c>
      <c r="U372" t="s">
        <v>1802</v>
      </c>
      <c r="V372" t="s">
        <v>1257</v>
      </c>
      <c r="X372" t="s">
        <v>1258</v>
      </c>
      <c r="Y372" t="s">
        <v>240</v>
      </c>
      <c r="Z372" t="s">
        <v>826</v>
      </c>
      <c r="AB372" t="s">
        <v>347</v>
      </c>
      <c r="AC372" t="s">
        <v>347</v>
      </c>
      <c r="AD372" t="s">
        <v>351</v>
      </c>
      <c r="AE372" t="s">
        <v>240</v>
      </c>
      <c r="AF372" t="s">
        <v>1803</v>
      </c>
      <c r="AG372" t="s">
        <v>249</v>
      </c>
      <c r="AH372">
        <v>1</v>
      </c>
      <c r="AI372" t="s">
        <v>250</v>
      </c>
      <c r="AJ372" t="s">
        <v>248</v>
      </c>
      <c r="AK372" t="s">
        <v>1792</v>
      </c>
      <c r="AL372" t="s">
        <v>203</v>
      </c>
      <c r="AM372" t="s">
        <v>888</v>
      </c>
      <c r="AN372">
        <v>2</v>
      </c>
      <c r="AO372">
        <v>46237</v>
      </c>
      <c r="AP372">
        <v>0.35694444444444445</v>
      </c>
      <c r="AQ372">
        <v>46239</v>
      </c>
      <c r="AR372">
        <v>0.37152777777777779</v>
      </c>
      <c r="AS372" t="s">
        <v>201</v>
      </c>
      <c r="AT372" t="s">
        <v>1956</v>
      </c>
      <c r="AU372" t="s">
        <v>1955</v>
      </c>
      <c r="AV372" t="s">
        <v>829</v>
      </c>
      <c r="AX372">
        <v>2</v>
      </c>
      <c r="AY372" t="s">
        <v>89</v>
      </c>
      <c r="AZ372" t="s">
        <v>67</v>
      </c>
      <c r="BA372" t="s">
        <v>217</v>
      </c>
      <c r="BB372" t="s">
        <v>1798</v>
      </c>
      <c r="BC372">
        <v>103</v>
      </c>
      <c r="BD372">
        <v>3</v>
      </c>
      <c r="BE372">
        <v>1</v>
      </c>
    </row>
    <row r="373" spans="1:57" x14ac:dyDescent="0.3">
      <c r="A373" s="204">
        <v>46235</v>
      </c>
      <c r="B373" t="s">
        <v>142</v>
      </c>
      <c r="C373" t="s">
        <v>345</v>
      </c>
      <c r="D373" t="s">
        <v>51</v>
      </c>
      <c r="E373" t="s">
        <v>258</v>
      </c>
      <c r="F373" t="s">
        <v>309</v>
      </c>
      <c r="G373" t="s">
        <v>1268</v>
      </c>
      <c r="H373" t="s">
        <v>1804</v>
      </c>
      <c r="I373" t="s">
        <v>1269</v>
      </c>
      <c r="J373">
        <v>6</v>
      </c>
      <c r="K373">
        <v>6</v>
      </c>
      <c r="L373" t="s">
        <v>1270</v>
      </c>
      <c r="M373" s="15">
        <v>46218.456944444442</v>
      </c>
      <c r="N373" s="15">
        <v>46225.456944444442</v>
      </c>
      <c r="O373" s="15">
        <v>46218.598611111112</v>
      </c>
      <c r="P373" s="15">
        <v>46220.557638888888</v>
      </c>
      <c r="Q373" s="15"/>
      <c r="S373" t="s">
        <v>361</v>
      </c>
      <c r="V373" t="s">
        <v>361</v>
      </c>
      <c r="W373">
        <v>1100</v>
      </c>
      <c r="X373" t="s">
        <v>372</v>
      </c>
      <c r="Y373" t="s">
        <v>240</v>
      </c>
      <c r="Z373" t="s">
        <v>851</v>
      </c>
      <c r="AB373" t="s">
        <v>347</v>
      </c>
      <c r="AC373" t="s">
        <v>7</v>
      </c>
      <c r="AD373" t="s">
        <v>7</v>
      </c>
      <c r="AE373" t="s">
        <v>7</v>
      </c>
      <c r="AF373" t="s">
        <v>1805</v>
      </c>
      <c r="AG373" t="s">
        <v>249</v>
      </c>
      <c r="AH373">
        <v>1</v>
      </c>
      <c r="AI373" t="s">
        <v>250</v>
      </c>
      <c r="AJ373" t="s">
        <v>248</v>
      </c>
      <c r="AK373" t="s">
        <v>914</v>
      </c>
      <c r="AL373" t="s">
        <v>203</v>
      </c>
      <c r="AM373" t="s">
        <v>887</v>
      </c>
      <c r="AN373">
        <v>2</v>
      </c>
      <c r="AO373">
        <v>46218</v>
      </c>
      <c r="AP373">
        <v>0.59861111111111109</v>
      </c>
      <c r="AQ373">
        <v>46220</v>
      </c>
      <c r="AR373">
        <v>0.55763888888888891</v>
      </c>
      <c r="AS373" t="s">
        <v>201</v>
      </c>
      <c r="AT373" t="s">
        <v>1954</v>
      </c>
      <c r="AU373" t="s">
        <v>1955</v>
      </c>
      <c r="AV373" t="s">
        <v>853</v>
      </c>
      <c r="AY373" t="s">
        <v>7</v>
      </c>
      <c r="AZ373" t="s">
        <v>238</v>
      </c>
      <c r="BA373" t="s">
        <v>7</v>
      </c>
      <c r="BB373" t="s">
        <v>915</v>
      </c>
      <c r="BE373">
        <v>0</v>
      </c>
    </row>
    <row r="374" spans="1:57" x14ac:dyDescent="0.3">
      <c r="A374" s="204">
        <v>46235</v>
      </c>
      <c r="B374" t="s">
        <v>142</v>
      </c>
      <c r="C374" t="s">
        <v>345</v>
      </c>
      <c r="D374" t="s">
        <v>51</v>
      </c>
      <c r="E374" t="s">
        <v>258</v>
      </c>
      <c r="F374" t="s">
        <v>309</v>
      </c>
      <c r="G374" t="s">
        <v>1271</v>
      </c>
      <c r="H374" t="s">
        <v>1804</v>
      </c>
      <c r="I374" t="s">
        <v>1269</v>
      </c>
      <c r="J374">
        <v>20</v>
      </c>
      <c r="K374">
        <v>20</v>
      </c>
      <c r="L374" t="s">
        <v>1272</v>
      </c>
      <c r="M374" s="15">
        <v>46230.652881944443</v>
      </c>
      <c r="N374" s="15">
        <v>46237.652777777781</v>
      </c>
      <c r="O374" s="15">
        <v>46230.70208333333</v>
      </c>
      <c r="P374" s="15">
        <v>46232.451388888891</v>
      </c>
      <c r="Q374" s="15"/>
      <c r="S374" t="s">
        <v>361</v>
      </c>
      <c r="V374" t="s">
        <v>361</v>
      </c>
      <c r="W374">
        <v>1100</v>
      </c>
      <c r="X374" t="s">
        <v>372</v>
      </c>
      <c r="Y374" t="s">
        <v>240</v>
      </c>
      <c r="Z374" t="s">
        <v>851</v>
      </c>
      <c r="AB374" t="s">
        <v>347</v>
      </c>
      <c r="AC374" t="s">
        <v>7</v>
      </c>
      <c r="AD374" t="s">
        <v>7</v>
      </c>
      <c r="AE374" t="s">
        <v>7</v>
      </c>
      <c r="AF374" t="s">
        <v>1806</v>
      </c>
      <c r="AG374" t="s">
        <v>249</v>
      </c>
      <c r="AH374">
        <v>1</v>
      </c>
      <c r="AI374" t="s">
        <v>250</v>
      </c>
      <c r="AJ374" t="s">
        <v>248</v>
      </c>
      <c r="AK374" t="s">
        <v>914</v>
      </c>
      <c r="AL374" t="s">
        <v>203</v>
      </c>
      <c r="AM374" t="s">
        <v>887</v>
      </c>
      <c r="AN374">
        <v>2</v>
      </c>
      <c r="AO374">
        <v>46230</v>
      </c>
      <c r="AP374">
        <v>0.70208333333333328</v>
      </c>
      <c r="AQ374">
        <v>46232</v>
      </c>
      <c r="AR374">
        <v>0.4513888888888889</v>
      </c>
      <c r="AS374" t="s">
        <v>201</v>
      </c>
      <c r="AT374" t="s">
        <v>1954</v>
      </c>
      <c r="AU374" t="s">
        <v>1955</v>
      </c>
      <c r="AV374" t="s">
        <v>853</v>
      </c>
      <c r="AY374" t="s">
        <v>7</v>
      </c>
      <c r="AZ374" t="s">
        <v>238</v>
      </c>
      <c r="BA374" t="s">
        <v>7</v>
      </c>
      <c r="BB374" t="s">
        <v>915</v>
      </c>
      <c r="BE374">
        <v>0</v>
      </c>
    </row>
    <row r="375" spans="1:57" x14ac:dyDescent="0.3">
      <c r="A375" s="204">
        <v>46237</v>
      </c>
      <c r="B375" t="s">
        <v>142</v>
      </c>
      <c r="C375" t="s">
        <v>345</v>
      </c>
      <c r="D375" t="s">
        <v>63</v>
      </c>
      <c r="E375" t="s">
        <v>95</v>
      </c>
      <c r="F375" t="s">
        <v>309</v>
      </c>
      <c r="G375" t="s">
        <v>1273</v>
      </c>
      <c r="H375" t="s">
        <v>864</v>
      </c>
      <c r="I375" t="s">
        <v>411</v>
      </c>
      <c r="J375">
        <v>26</v>
      </c>
      <c r="K375">
        <v>26</v>
      </c>
      <c r="L375" t="s">
        <v>1274</v>
      </c>
      <c r="M375" s="15">
        <v>46248.469560185185</v>
      </c>
      <c r="N375" s="15">
        <v>46255.469444444447</v>
      </c>
      <c r="O375" s="15">
        <v>46251.56527777778</v>
      </c>
      <c r="P375" s="15">
        <v>46254.506944444445</v>
      </c>
      <c r="Q375" s="15"/>
      <c r="S375" t="s">
        <v>361</v>
      </c>
      <c r="V375" t="s">
        <v>361</v>
      </c>
      <c r="W375">
        <v>1100</v>
      </c>
      <c r="X375" t="s">
        <v>372</v>
      </c>
      <c r="Y375" t="s">
        <v>240</v>
      </c>
      <c r="Z375" t="s">
        <v>851</v>
      </c>
      <c r="AB375" t="s">
        <v>347</v>
      </c>
      <c r="AC375" t="s">
        <v>7</v>
      </c>
      <c r="AD375" t="s">
        <v>7</v>
      </c>
      <c r="AE375" t="s">
        <v>7</v>
      </c>
      <c r="AF375" t="s">
        <v>1807</v>
      </c>
      <c r="AG375" t="s">
        <v>249</v>
      </c>
      <c r="AH375">
        <v>2</v>
      </c>
      <c r="AI375" t="s">
        <v>250</v>
      </c>
      <c r="AJ375" t="s">
        <v>251</v>
      </c>
      <c r="AK375" t="s">
        <v>914</v>
      </c>
      <c r="AL375" t="s">
        <v>203</v>
      </c>
      <c r="AM375" t="s">
        <v>1655</v>
      </c>
      <c r="AO375">
        <v>46251</v>
      </c>
      <c r="AP375">
        <v>0.56527777777777777</v>
      </c>
      <c r="AQ375">
        <v>46254</v>
      </c>
      <c r="AR375">
        <v>0.50694444444444442</v>
      </c>
      <c r="AS375" t="s">
        <v>201</v>
      </c>
      <c r="AT375" t="s">
        <v>1954</v>
      </c>
      <c r="AU375" t="s">
        <v>1955</v>
      </c>
      <c r="AV375" t="s">
        <v>937</v>
      </c>
      <c r="AX375">
        <v>26</v>
      </c>
      <c r="AY375" t="s">
        <v>111</v>
      </c>
      <c r="AZ375" t="s">
        <v>96</v>
      </c>
      <c r="BA375" t="s">
        <v>225</v>
      </c>
      <c r="BB375" t="s">
        <v>915</v>
      </c>
      <c r="BE375">
        <v>2.6</v>
      </c>
    </row>
    <row r="376" spans="1:57" x14ac:dyDescent="0.3">
      <c r="A376" s="204">
        <v>46237</v>
      </c>
      <c r="B376" t="s">
        <v>142</v>
      </c>
      <c r="C376" t="s">
        <v>345</v>
      </c>
      <c r="D376" t="s">
        <v>279</v>
      </c>
      <c r="E376" t="s">
        <v>197</v>
      </c>
      <c r="F376" t="s">
        <v>309</v>
      </c>
      <c r="G376" t="s">
        <v>1273</v>
      </c>
      <c r="H376" t="s">
        <v>864</v>
      </c>
      <c r="I376" t="s">
        <v>411</v>
      </c>
      <c r="J376">
        <v>26</v>
      </c>
      <c r="K376">
        <v>26</v>
      </c>
      <c r="L376" t="s">
        <v>1274</v>
      </c>
      <c r="M376" s="15">
        <v>46248.469560185185</v>
      </c>
      <c r="N376" s="15">
        <v>46255.469444444447</v>
      </c>
      <c r="O376" s="15">
        <v>46251.56527777778</v>
      </c>
      <c r="P376" s="15">
        <v>46254.506944444445</v>
      </c>
      <c r="Q376" s="15"/>
      <c r="S376" t="s">
        <v>361</v>
      </c>
      <c r="V376" t="s">
        <v>361</v>
      </c>
      <c r="W376">
        <v>1100</v>
      </c>
      <c r="X376" t="s">
        <v>372</v>
      </c>
      <c r="Y376" t="s">
        <v>240</v>
      </c>
      <c r="Z376" t="s">
        <v>851</v>
      </c>
      <c r="AB376" t="s">
        <v>347</v>
      </c>
      <c r="AC376" t="s">
        <v>7</v>
      </c>
      <c r="AD376" t="s">
        <v>7</v>
      </c>
      <c r="AE376" t="s">
        <v>7</v>
      </c>
      <c r="AF376" t="s">
        <v>1808</v>
      </c>
      <c r="AG376" t="s">
        <v>249</v>
      </c>
      <c r="AH376">
        <v>2</v>
      </c>
      <c r="AI376" t="s">
        <v>250</v>
      </c>
      <c r="AJ376" t="s">
        <v>248</v>
      </c>
      <c r="AK376" t="s">
        <v>914</v>
      </c>
      <c r="AL376" t="s">
        <v>203</v>
      </c>
      <c r="AM376" t="s">
        <v>900</v>
      </c>
      <c r="AN376">
        <v>3</v>
      </c>
      <c r="AO376">
        <v>46251</v>
      </c>
      <c r="AP376">
        <v>0.56527777777777777</v>
      </c>
      <c r="AQ376">
        <v>46254</v>
      </c>
      <c r="AR376">
        <v>0.50694444444444442</v>
      </c>
      <c r="AS376" t="s">
        <v>201</v>
      </c>
      <c r="AT376" t="s">
        <v>1954</v>
      </c>
      <c r="AU376" t="s">
        <v>1955</v>
      </c>
      <c r="AV376" t="s">
        <v>866</v>
      </c>
      <c r="AW376">
        <v>16</v>
      </c>
      <c r="AX376">
        <v>416</v>
      </c>
      <c r="AY376" t="s">
        <v>125</v>
      </c>
      <c r="AZ376" t="s">
        <v>122</v>
      </c>
      <c r="BA376" t="s">
        <v>232</v>
      </c>
      <c r="BB376" t="s">
        <v>915</v>
      </c>
      <c r="BE376">
        <v>41.6</v>
      </c>
    </row>
    <row r="377" spans="1:57" x14ac:dyDescent="0.3">
      <c r="A377" s="204">
        <v>46237</v>
      </c>
      <c r="B377" t="s">
        <v>142</v>
      </c>
      <c r="C377" t="s">
        <v>345</v>
      </c>
      <c r="D377" t="s">
        <v>57</v>
      </c>
      <c r="E377" t="s">
        <v>117</v>
      </c>
      <c r="F377" t="s">
        <v>309</v>
      </c>
      <c r="G377" t="s">
        <v>1273</v>
      </c>
      <c r="H377" t="s">
        <v>864</v>
      </c>
      <c r="I377" t="s">
        <v>411</v>
      </c>
      <c r="J377">
        <v>26</v>
      </c>
      <c r="K377">
        <v>26</v>
      </c>
      <c r="L377" t="s">
        <v>1274</v>
      </c>
      <c r="M377" s="15">
        <v>46248.469560185185</v>
      </c>
      <c r="N377" s="15">
        <v>46255.469444444447</v>
      </c>
      <c r="O377" s="15">
        <v>46251.56527777778</v>
      </c>
      <c r="P377" s="15">
        <v>46254.506944444445</v>
      </c>
      <c r="Q377" s="15"/>
      <c r="S377" t="s">
        <v>361</v>
      </c>
      <c r="V377" t="s">
        <v>361</v>
      </c>
      <c r="W377">
        <v>1100</v>
      </c>
      <c r="X377" t="s">
        <v>372</v>
      </c>
      <c r="Y377" t="s">
        <v>240</v>
      </c>
      <c r="Z377" t="s">
        <v>851</v>
      </c>
      <c r="AB377" t="s">
        <v>347</v>
      </c>
      <c r="AC377" t="s">
        <v>7</v>
      </c>
      <c r="AD377" t="s">
        <v>7</v>
      </c>
      <c r="AE377" t="s">
        <v>7</v>
      </c>
      <c r="AF377" t="s">
        <v>1809</v>
      </c>
      <c r="AG377" t="s">
        <v>249</v>
      </c>
      <c r="AH377">
        <v>2</v>
      </c>
      <c r="AI377" t="s">
        <v>250</v>
      </c>
      <c r="AJ377" t="s">
        <v>251</v>
      </c>
      <c r="AK377" t="s">
        <v>914</v>
      </c>
      <c r="AL377" t="s">
        <v>203</v>
      </c>
      <c r="AM377" t="s">
        <v>899</v>
      </c>
      <c r="AO377">
        <v>46251</v>
      </c>
      <c r="AP377">
        <v>0.56527777777777777</v>
      </c>
      <c r="AQ377">
        <v>46254</v>
      </c>
      <c r="AR377">
        <v>0.50694444444444442</v>
      </c>
      <c r="AS377" t="s">
        <v>201</v>
      </c>
      <c r="AT377" t="s">
        <v>1954</v>
      </c>
      <c r="AU377" t="s">
        <v>1955</v>
      </c>
      <c r="AV377" t="s">
        <v>862</v>
      </c>
      <c r="AX377">
        <v>2.6</v>
      </c>
      <c r="AY377" t="s">
        <v>126</v>
      </c>
      <c r="AZ377" t="s">
        <v>127</v>
      </c>
      <c r="BA377" t="s">
        <v>233</v>
      </c>
      <c r="BB377" t="s">
        <v>915</v>
      </c>
      <c r="BE377">
        <v>1</v>
      </c>
    </row>
    <row r="378" spans="1:57" x14ac:dyDescent="0.3">
      <c r="A378" s="204">
        <v>46230</v>
      </c>
      <c r="B378" t="s">
        <v>142</v>
      </c>
      <c r="C378" t="s">
        <v>345</v>
      </c>
      <c r="D378" t="s">
        <v>51</v>
      </c>
      <c r="E378" t="s">
        <v>258</v>
      </c>
      <c r="F378" t="s">
        <v>309</v>
      </c>
      <c r="G378" t="s">
        <v>1275</v>
      </c>
      <c r="H378" t="s">
        <v>910</v>
      </c>
      <c r="I378" t="s">
        <v>400</v>
      </c>
      <c r="J378">
        <v>32</v>
      </c>
      <c r="K378">
        <v>32</v>
      </c>
      <c r="L378" t="s">
        <v>1276</v>
      </c>
      <c r="M378" s="15">
        <v>46253.319224537037</v>
      </c>
      <c r="N378" s="15">
        <v>46260.333333333336</v>
      </c>
      <c r="O378" s="15">
        <v>46253.518750000003</v>
      </c>
      <c r="P378" s="15">
        <v>46254.46875</v>
      </c>
      <c r="Q378" s="15"/>
      <c r="S378" t="s">
        <v>362</v>
      </c>
      <c r="T378" t="s">
        <v>837</v>
      </c>
      <c r="V378" t="s">
        <v>362</v>
      </c>
      <c r="X378" t="s">
        <v>373</v>
      </c>
      <c r="Y378" t="s">
        <v>240</v>
      </c>
      <c r="Z378" t="s">
        <v>851</v>
      </c>
      <c r="AB378" t="s">
        <v>347</v>
      </c>
      <c r="AC378" t="s">
        <v>7</v>
      </c>
      <c r="AD378" t="s">
        <v>7</v>
      </c>
      <c r="AE378" t="s">
        <v>7</v>
      </c>
      <c r="AF378" t="s">
        <v>1810</v>
      </c>
      <c r="AG378" t="s">
        <v>249</v>
      </c>
      <c r="AH378">
        <v>1</v>
      </c>
      <c r="AI378" t="s">
        <v>250</v>
      </c>
      <c r="AJ378" t="s">
        <v>248</v>
      </c>
      <c r="AK378" t="s">
        <v>911</v>
      </c>
      <c r="AL378" t="s">
        <v>203</v>
      </c>
      <c r="AM378" t="s">
        <v>887</v>
      </c>
      <c r="AN378">
        <v>2</v>
      </c>
      <c r="AO378">
        <v>46253</v>
      </c>
      <c r="AP378">
        <v>0.51875000000000004</v>
      </c>
      <c r="AQ378">
        <v>46254</v>
      </c>
      <c r="AR378">
        <v>0.46875</v>
      </c>
      <c r="AS378" t="s">
        <v>201</v>
      </c>
      <c r="AT378" t="s">
        <v>1954</v>
      </c>
      <c r="AU378" t="s">
        <v>1955</v>
      </c>
      <c r="AV378" t="s">
        <v>853</v>
      </c>
      <c r="AY378" t="s">
        <v>7</v>
      </c>
      <c r="AZ378" t="s">
        <v>238</v>
      </c>
      <c r="BA378" t="s">
        <v>7</v>
      </c>
      <c r="BB378" t="s">
        <v>913</v>
      </c>
      <c r="BE378">
        <v>0</v>
      </c>
    </row>
    <row r="379" spans="1:57" x14ac:dyDescent="0.3">
      <c r="A379" s="204">
        <v>46230</v>
      </c>
      <c r="B379" t="s">
        <v>142</v>
      </c>
      <c r="C379" t="s">
        <v>345</v>
      </c>
      <c r="D379" t="s">
        <v>51</v>
      </c>
      <c r="E379" t="s">
        <v>258</v>
      </c>
      <c r="F379" t="s">
        <v>309</v>
      </c>
      <c r="G379" t="s">
        <v>1277</v>
      </c>
      <c r="H379" t="s">
        <v>910</v>
      </c>
      <c r="I379" t="s">
        <v>400</v>
      </c>
      <c r="J379">
        <v>32</v>
      </c>
      <c r="K379">
        <v>32</v>
      </c>
      <c r="L379" t="s">
        <v>1276</v>
      </c>
      <c r="M379" s="15">
        <v>46253.318599537037</v>
      </c>
      <c r="N379" s="15">
        <v>46260.333333333336</v>
      </c>
      <c r="O379" s="15">
        <v>46253.518750000003</v>
      </c>
      <c r="P379" s="15">
        <v>46254.46875</v>
      </c>
      <c r="Q379" s="15"/>
      <c r="S379" t="s">
        <v>362</v>
      </c>
      <c r="V379" t="s">
        <v>362</v>
      </c>
      <c r="X379" t="s">
        <v>373</v>
      </c>
      <c r="Y379" t="s">
        <v>240</v>
      </c>
      <c r="Z379" t="s">
        <v>851</v>
      </c>
      <c r="AB379" t="s">
        <v>347</v>
      </c>
      <c r="AC379" t="s">
        <v>7</v>
      </c>
      <c r="AD379" t="s">
        <v>7</v>
      </c>
      <c r="AE379" t="s">
        <v>7</v>
      </c>
      <c r="AF379" t="s">
        <v>1811</v>
      </c>
      <c r="AG379" t="s">
        <v>249</v>
      </c>
      <c r="AH379">
        <v>1</v>
      </c>
      <c r="AI379" t="s">
        <v>250</v>
      </c>
      <c r="AJ379" t="s">
        <v>248</v>
      </c>
      <c r="AK379" t="s">
        <v>911</v>
      </c>
      <c r="AL379" t="s">
        <v>203</v>
      </c>
      <c r="AM379" t="s">
        <v>887</v>
      </c>
      <c r="AN379">
        <v>2</v>
      </c>
      <c r="AO379">
        <v>46253</v>
      </c>
      <c r="AP379">
        <v>0.51875000000000004</v>
      </c>
      <c r="AQ379">
        <v>46254</v>
      </c>
      <c r="AR379">
        <v>0.46875</v>
      </c>
      <c r="AS379" t="s">
        <v>201</v>
      </c>
      <c r="AT379" t="s">
        <v>1954</v>
      </c>
      <c r="AU379" t="s">
        <v>1955</v>
      </c>
      <c r="AV379" t="s">
        <v>853</v>
      </c>
      <c r="AY379" t="s">
        <v>7</v>
      </c>
      <c r="AZ379" t="s">
        <v>238</v>
      </c>
      <c r="BA379" t="s">
        <v>7</v>
      </c>
      <c r="BB379" t="s">
        <v>913</v>
      </c>
    </row>
    <row r="380" spans="1:57" x14ac:dyDescent="0.3">
      <c r="A380" s="204">
        <v>46230</v>
      </c>
      <c r="B380" t="s">
        <v>142</v>
      </c>
      <c r="C380" t="s">
        <v>345</v>
      </c>
      <c r="D380" t="s">
        <v>51</v>
      </c>
      <c r="E380" t="s">
        <v>258</v>
      </c>
      <c r="F380" t="s">
        <v>309</v>
      </c>
      <c r="G380" t="s">
        <v>1278</v>
      </c>
      <c r="H380" t="s">
        <v>910</v>
      </c>
      <c r="I380" t="s">
        <v>400</v>
      </c>
      <c r="J380">
        <v>32</v>
      </c>
      <c r="K380">
        <v>32</v>
      </c>
      <c r="L380" t="s">
        <v>1276</v>
      </c>
      <c r="M380" s="15">
        <v>46253.319699074076</v>
      </c>
      <c r="N380" s="15">
        <v>46260.333333333336</v>
      </c>
      <c r="O380" s="15">
        <v>46253.518750000003</v>
      </c>
      <c r="P380" s="15">
        <v>46254.46875</v>
      </c>
      <c r="Q380" s="15"/>
      <c r="S380" t="s">
        <v>362</v>
      </c>
      <c r="V380" t="s">
        <v>362</v>
      </c>
      <c r="X380" t="s">
        <v>373</v>
      </c>
      <c r="Y380" t="s">
        <v>240</v>
      </c>
      <c r="Z380" t="s">
        <v>851</v>
      </c>
      <c r="AB380" t="s">
        <v>347</v>
      </c>
      <c r="AC380" t="s">
        <v>7</v>
      </c>
      <c r="AD380" t="s">
        <v>7</v>
      </c>
      <c r="AE380" t="s">
        <v>7</v>
      </c>
      <c r="AF380" t="s">
        <v>1812</v>
      </c>
      <c r="AG380" t="s">
        <v>249</v>
      </c>
      <c r="AH380">
        <v>1</v>
      </c>
      <c r="AI380" t="s">
        <v>250</v>
      </c>
      <c r="AJ380" t="s">
        <v>248</v>
      </c>
      <c r="AK380" t="s">
        <v>911</v>
      </c>
      <c r="AL380" t="s">
        <v>203</v>
      </c>
      <c r="AM380" t="s">
        <v>887</v>
      </c>
      <c r="AN380">
        <v>2</v>
      </c>
      <c r="AO380">
        <v>46253</v>
      </c>
      <c r="AP380">
        <v>0.51875000000000004</v>
      </c>
      <c r="AQ380">
        <v>46254</v>
      </c>
      <c r="AR380">
        <v>0.46875</v>
      </c>
      <c r="AS380" t="s">
        <v>201</v>
      </c>
      <c r="AT380" t="s">
        <v>1954</v>
      </c>
      <c r="AU380" t="s">
        <v>1955</v>
      </c>
      <c r="AV380" t="s">
        <v>853</v>
      </c>
      <c r="AY380" t="s">
        <v>7</v>
      </c>
      <c r="AZ380" t="s">
        <v>238</v>
      </c>
      <c r="BA380" t="s">
        <v>7</v>
      </c>
      <c r="BB380" t="s">
        <v>913</v>
      </c>
    </row>
    <row r="381" spans="1:57" x14ac:dyDescent="0.3">
      <c r="A381" s="204">
        <v>46237</v>
      </c>
      <c r="B381" t="s">
        <v>142</v>
      </c>
      <c r="C381" t="s">
        <v>345</v>
      </c>
      <c r="D381" t="s">
        <v>43</v>
      </c>
      <c r="E381" t="s">
        <v>105</v>
      </c>
      <c r="F381" t="s">
        <v>309</v>
      </c>
      <c r="G381" t="s">
        <v>1279</v>
      </c>
      <c r="H381" t="s">
        <v>910</v>
      </c>
      <c r="I381" t="s">
        <v>400</v>
      </c>
      <c r="J381">
        <v>3</v>
      </c>
      <c r="K381">
        <v>3</v>
      </c>
      <c r="L381" t="s">
        <v>1280</v>
      </c>
      <c r="M381" s="15">
        <v>46244.665532407409</v>
      </c>
      <c r="N381" s="15">
        <v>46251.665277777778</v>
      </c>
      <c r="O381" s="15">
        <v>46246.388194444444</v>
      </c>
      <c r="P381" s="15">
        <v>46247.479166666664</v>
      </c>
      <c r="Q381" s="15"/>
      <c r="S381" t="s">
        <v>362</v>
      </c>
      <c r="V381" t="s">
        <v>362</v>
      </c>
      <c r="X381" t="s">
        <v>373</v>
      </c>
      <c r="Y381" t="s">
        <v>240</v>
      </c>
      <c r="Z381" t="s">
        <v>826</v>
      </c>
      <c r="AB381" t="s">
        <v>347</v>
      </c>
      <c r="AC381" t="s">
        <v>347</v>
      </c>
      <c r="AD381" t="s">
        <v>351</v>
      </c>
      <c r="AE381" t="s">
        <v>240</v>
      </c>
      <c r="AF381" t="s">
        <v>1813</v>
      </c>
      <c r="AG381" t="s">
        <v>249</v>
      </c>
      <c r="AH381">
        <v>1</v>
      </c>
      <c r="AI381" t="s">
        <v>250</v>
      </c>
      <c r="AJ381" t="s">
        <v>248</v>
      </c>
      <c r="AK381" t="s">
        <v>911</v>
      </c>
      <c r="AL381" t="s">
        <v>203</v>
      </c>
      <c r="AM381" t="s">
        <v>902</v>
      </c>
      <c r="AN381">
        <v>2</v>
      </c>
      <c r="AO381">
        <v>46246</v>
      </c>
      <c r="AP381">
        <v>0.38819444444444445</v>
      </c>
      <c r="AQ381">
        <v>46247</v>
      </c>
      <c r="AR381">
        <v>0.47916666666666669</v>
      </c>
      <c r="AS381" t="s">
        <v>201</v>
      </c>
      <c r="AT381" t="s">
        <v>1954</v>
      </c>
      <c r="AU381" t="s">
        <v>1955</v>
      </c>
      <c r="AV381" t="s">
        <v>839</v>
      </c>
      <c r="AX381">
        <v>1</v>
      </c>
      <c r="AY381" t="s">
        <v>89</v>
      </c>
      <c r="AZ381" t="s">
        <v>67</v>
      </c>
      <c r="BA381" t="s">
        <v>217</v>
      </c>
      <c r="BB381" t="s">
        <v>912</v>
      </c>
      <c r="BC381">
        <v>148</v>
      </c>
      <c r="BD381">
        <v>48</v>
      </c>
      <c r="BE381">
        <v>1</v>
      </c>
    </row>
    <row r="382" spans="1:57" x14ac:dyDescent="0.3">
      <c r="A382" s="204">
        <v>46235</v>
      </c>
      <c r="B382" t="s">
        <v>142</v>
      </c>
      <c r="C382" t="s">
        <v>345</v>
      </c>
      <c r="D382" t="s">
        <v>45</v>
      </c>
      <c r="E382" t="s">
        <v>68</v>
      </c>
      <c r="F382" t="s">
        <v>309</v>
      </c>
      <c r="G382" t="s">
        <v>1281</v>
      </c>
      <c r="H382" t="s">
        <v>910</v>
      </c>
      <c r="I382" t="s">
        <v>400</v>
      </c>
      <c r="J382">
        <v>25</v>
      </c>
      <c r="K382">
        <v>25</v>
      </c>
      <c r="L382" t="s">
        <v>1282</v>
      </c>
      <c r="M382" s="15">
        <v>46244.660208333335</v>
      </c>
      <c r="N382" s="15">
        <v>46251.659722222219</v>
      </c>
      <c r="O382" s="15">
        <v>46245.366666666669</v>
      </c>
      <c r="P382" s="15">
        <v>46246.611111111109</v>
      </c>
      <c r="Q382" s="15"/>
      <c r="S382" t="s">
        <v>362</v>
      </c>
      <c r="U382" t="s">
        <v>1814</v>
      </c>
      <c r="V382" t="s">
        <v>362</v>
      </c>
      <c r="X382" t="s">
        <v>373</v>
      </c>
      <c r="Y382" t="s">
        <v>240</v>
      </c>
      <c r="Z382" t="s">
        <v>826</v>
      </c>
      <c r="AB382" t="s">
        <v>347</v>
      </c>
      <c r="AC382" t="s">
        <v>347</v>
      </c>
      <c r="AD382" t="s">
        <v>351</v>
      </c>
      <c r="AE382" t="s">
        <v>240</v>
      </c>
      <c r="AF382" t="s">
        <v>1815</v>
      </c>
      <c r="AG382" t="s">
        <v>249</v>
      </c>
      <c r="AH382">
        <v>1</v>
      </c>
      <c r="AI382" t="s">
        <v>250</v>
      </c>
      <c r="AJ382" t="s">
        <v>248</v>
      </c>
      <c r="AK382" t="s">
        <v>911</v>
      </c>
      <c r="AL382" t="s">
        <v>203</v>
      </c>
      <c r="AM382" t="s">
        <v>888</v>
      </c>
      <c r="AN382">
        <v>2</v>
      </c>
      <c r="AO382">
        <v>46245</v>
      </c>
      <c r="AP382">
        <v>0.36666666666666664</v>
      </c>
      <c r="AQ382">
        <v>46246</v>
      </c>
      <c r="AR382">
        <v>0.61111111111111116</v>
      </c>
      <c r="AS382" t="s">
        <v>201</v>
      </c>
      <c r="AT382" t="s">
        <v>1954</v>
      </c>
      <c r="AU382" t="s">
        <v>1955</v>
      </c>
      <c r="AV382" t="s">
        <v>829</v>
      </c>
      <c r="AX382">
        <v>2.5</v>
      </c>
      <c r="AY382" t="s">
        <v>89</v>
      </c>
      <c r="AZ382" t="s">
        <v>67</v>
      </c>
      <c r="BA382" t="s">
        <v>217</v>
      </c>
      <c r="BB382" t="s">
        <v>912</v>
      </c>
      <c r="BC382">
        <v>148</v>
      </c>
      <c r="BD382">
        <v>48</v>
      </c>
      <c r="BE382">
        <v>1</v>
      </c>
    </row>
    <row r="383" spans="1:57" x14ac:dyDescent="0.3">
      <c r="A383" s="204">
        <v>46235</v>
      </c>
      <c r="B383" t="s">
        <v>142</v>
      </c>
      <c r="C383" t="s">
        <v>345</v>
      </c>
      <c r="D383" t="s">
        <v>51</v>
      </c>
      <c r="E383" t="s">
        <v>258</v>
      </c>
      <c r="F383" t="s">
        <v>309</v>
      </c>
      <c r="G383" t="s">
        <v>1283</v>
      </c>
      <c r="H383" t="s">
        <v>910</v>
      </c>
      <c r="I383" t="s">
        <v>400</v>
      </c>
      <c r="J383">
        <v>25</v>
      </c>
      <c r="K383">
        <v>25</v>
      </c>
      <c r="L383" t="s">
        <v>1284</v>
      </c>
      <c r="M383" s="15">
        <v>46244.662893518522</v>
      </c>
      <c r="N383" s="15">
        <v>46251.662499999999</v>
      </c>
      <c r="O383" s="15">
        <v>46245.432638888888</v>
      </c>
      <c r="P383" s="15">
        <v>46246.611111111109</v>
      </c>
      <c r="Q383" s="15"/>
      <c r="S383" t="s">
        <v>362</v>
      </c>
      <c r="T383" t="s">
        <v>1702</v>
      </c>
      <c r="V383" t="s">
        <v>362</v>
      </c>
      <c r="X383" t="s">
        <v>373</v>
      </c>
      <c r="Y383" t="s">
        <v>240</v>
      </c>
      <c r="Z383" t="s">
        <v>851</v>
      </c>
      <c r="AB383" t="s">
        <v>347</v>
      </c>
      <c r="AC383" t="s">
        <v>7</v>
      </c>
      <c r="AD383" t="s">
        <v>7</v>
      </c>
      <c r="AE383" t="s">
        <v>7</v>
      </c>
      <c r="AF383" t="s">
        <v>1816</v>
      </c>
      <c r="AG383" t="s">
        <v>249</v>
      </c>
      <c r="AH383">
        <v>1</v>
      </c>
      <c r="AI383" t="s">
        <v>250</v>
      </c>
      <c r="AJ383" t="s">
        <v>248</v>
      </c>
      <c r="AK383" t="s">
        <v>911</v>
      </c>
      <c r="AL383" t="s">
        <v>203</v>
      </c>
      <c r="AM383" t="s">
        <v>887</v>
      </c>
      <c r="AN383">
        <v>2</v>
      </c>
      <c r="AO383">
        <v>46245</v>
      </c>
      <c r="AP383">
        <v>0.43263888888888891</v>
      </c>
      <c r="AQ383">
        <v>46246</v>
      </c>
      <c r="AR383">
        <v>0.61111111111111116</v>
      </c>
      <c r="AS383" t="s">
        <v>201</v>
      </c>
      <c r="AT383" t="s">
        <v>1954</v>
      </c>
      <c r="AU383" t="s">
        <v>1955</v>
      </c>
      <c r="AV383" t="s">
        <v>853</v>
      </c>
      <c r="AY383" t="s">
        <v>7</v>
      </c>
      <c r="AZ383" t="s">
        <v>238</v>
      </c>
      <c r="BA383" t="s">
        <v>7</v>
      </c>
      <c r="BB383" t="s">
        <v>913</v>
      </c>
      <c r="BE383">
        <v>0</v>
      </c>
    </row>
    <row r="384" spans="1:57" x14ac:dyDescent="0.3">
      <c r="A384" s="204">
        <v>46235</v>
      </c>
      <c r="B384" t="s">
        <v>142</v>
      </c>
      <c r="C384" t="s">
        <v>345</v>
      </c>
      <c r="D384" t="s">
        <v>51</v>
      </c>
      <c r="E384" t="s">
        <v>258</v>
      </c>
      <c r="F384" t="s">
        <v>309</v>
      </c>
      <c r="G384" t="s">
        <v>1285</v>
      </c>
      <c r="H384" t="s">
        <v>910</v>
      </c>
      <c r="I384" t="s">
        <v>400</v>
      </c>
      <c r="J384">
        <v>25</v>
      </c>
      <c r="K384">
        <v>25</v>
      </c>
      <c r="L384" t="s">
        <v>1284</v>
      </c>
      <c r="M384" s="15">
        <v>46244.662442129629</v>
      </c>
      <c r="N384" s="15">
        <v>46251.661805555559</v>
      </c>
      <c r="O384" s="15">
        <v>46245.432638888888</v>
      </c>
      <c r="P384" s="15">
        <v>46246.611111111109</v>
      </c>
      <c r="Q384" s="15"/>
      <c r="S384" t="s">
        <v>362</v>
      </c>
      <c r="V384" t="s">
        <v>362</v>
      </c>
      <c r="X384" t="s">
        <v>373</v>
      </c>
      <c r="Y384" t="s">
        <v>240</v>
      </c>
      <c r="Z384" t="s">
        <v>851</v>
      </c>
      <c r="AB384" t="s">
        <v>347</v>
      </c>
      <c r="AC384" t="s">
        <v>7</v>
      </c>
      <c r="AD384" t="s">
        <v>7</v>
      </c>
      <c r="AE384" t="s">
        <v>7</v>
      </c>
      <c r="AF384" t="s">
        <v>1817</v>
      </c>
      <c r="AG384" t="s">
        <v>249</v>
      </c>
      <c r="AH384">
        <v>1</v>
      </c>
      <c r="AI384" t="s">
        <v>250</v>
      </c>
      <c r="AJ384" t="s">
        <v>248</v>
      </c>
      <c r="AK384" t="s">
        <v>911</v>
      </c>
      <c r="AL384" t="s">
        <v>203</v>
      </c>
      <c r="AM384" t="s">
        <v>887</v>
      </c>
      <c r="AN384">
        <v>2</v>
      </c>
      <c r="AO384">
        <v>46245</v>
      </c>
      <c r="AP384">
        <v>0.43263888888888891</v>
      </c>
      <c r="AQ384">
        <v>46246</v>
      </c>
      <c r="AR384">
        <v>0.61111111111111116</v>
      </c>
      <c r="AS384" t="s">
        <v>201</v>
      </c>
      <c r="AT384" t="s">
        <v>1954</v>
      </c>
      <c r="AU384" t="s">
        <v>1955</v>
      </c>
      <c r="AV384" t="s">
        <v>853</v>
      </c>
      <c r="AY384" t="s">
        <v>7</v>
      </c>
      <c r="AZ384" t="s">
        <v>238</v>
      </c>
      <c r="BA384" t="s">
        <v>7</v>
      </c>
      <c r="BB384" t="s">
        <v>913</v>
      </c>
    </row>
    <row r="385" spans="1:57" x14ac:dyDescent="0.3">
      <c r="A385" s="204">
        <v>46235</v>
      </c>
      <c r="B385" t="s">
        <v>142</v>
      </c>
      <c r="C385" t="s">
        <v>345</v>
      </c>
      <c r="D385" t="s">
        <v>51</v>
      </c>
      <c r="E385" t="s">
        <v>258</v>
      </c>
      <c r="F385" t="s">
        <v>309</v>
      </c>
      <c r="G385" t="s">
        <v>1286</v>
      </c>
      <c r="H385" t="s">
        <v>910</v>
      </c>
      <c r="I385" t="s">
        <v>400</v>
      </c>
      <c r="J385">
        <v>25</v>
      </c>
      <c r="K385">
        <v>25</v>
      </c>
      <c r="L385" t="s">
        <v>1284</v>
      </c>
      <c r="M385" s="15">
        <v>46244.661898148152</v>
      </c>
      <c r="N385" s="15">
        <v>46251.661805555559</v>
      </c>
      <c r="O385" s="15">
        <v>46245.432638888888</v>
      </c>
      <c r="P385" s="15">
        <v>46246.611111111109</v>
      </c>
      <c r="Q385" s="15"/>
      <c r="S385" t="s">
        <v>362</v>
      </c>
      <c r="V385" t="s">
        <v>362</v>
      </c>
      <c r="X385" t="s">
        <v>373</v>
      </c>
      <c r="Y385" t="s">
        <v>240</v>
      </c>
      <c r="Z385" t="s">
        <v>851</v>
      </c>
      <c r="AB385" t="s">
        <v>347</v>
      </c>
      <c r="AC385" t="s">
        <v>7</v>
      </c>
      <c r="AD385" t="s">
        <v>7</v>
      </c>
      <c r="AE385" t="s">
        <v>7</v>
      </c>
      <c r="AF385" t="s">
        <v>1818</v>
      </c>
      <c r="AG385" t="s">
        <v>249</v>
      </c>
      <c r="AH385">
        <v>1</v>
      </c>
      <c r="AI385" t="s">
        <v>250</v>
      </c>
      <c r="AJ385" t="s">
        <v>248</v>
      </c>
      <c r="AK385" t="s">
        <v>911</v>
      </c>
      <c r="AL385" t="s">
        <v>203</v>
      </c>
      <c r="AM385" t="s">
        <v>887</v>
      </c>
      <c r="AN385">
        <v>2</v>
      </c>
      <c r="AO385">
        <v>46245</v>
      </c>
      <c r="AP385">
        <v>0.43263888888888891</v>
      </c>
      <c r="AQ385">
        <v>46246</v>
      </c>
      <c r="AR385">
        <v>0.61111111111111116</v>
      </c>
      <c r="AS385" t="s">
        <v>201</v>
      </c>
      <c r="AT385" t="s">
        <v>1954</v>
      </c>
      <c r="AU385" t="s">
        <v>1955</v>
      </c>
      <c r="AV385" t="s">
        <v>853</v>
      </c>
      <c r="AY385" t="s">
        <v>7</v>
      </c>
      <c r="AZ385" t="s">
        <v>238</v>
      </c>
      <c r="BA385" t="s">
        <v>7</v>
      </c>
      <c r="BB385" t="s">
        <v>913</v>
      </c>
    </row>
    <row r="386" spans="1:57" x14ac:dyDescent="0.3">
      <c r="A386" s="204">
        <v>46235</v>
      </c>
      <c r="B386" t="s">
        <v>142</v>
      </c>
      <c r="C386" t="s">
        <v>345</v>
      </c>
      <c r="D386" t="s">
        <v>45</v>
      </c>
      <c r="E386" t="s">
        <v>68</v>
      </c>
      <c r="F386" t="s">
        <v>309</v>
      </c>
      <c r="G386" t="s">
        <v>1287</v>
      </c>
      <c r="H386" t="s">
        <v>910</v>
      </c>
      <c r="I386" t="s">
        <v>400</v>
      </c>
      <c r="J386">
        <v>25</v>
      </c>
      <c r="K386">
        <v>25</v>
      </c>
      <c r="L386" t="s">
        <v>1288</v>
      </c>
      <c r="M386" s="15">
        <v>46253.320972222224</v>
      </c>
      <c r="N386" s="15">
        <v>46260.333333333336</v>
      </c>
      <c r="O386" s="15">
        <v>46253.515277777777</v>
      </c>
      <c r="P386" s="15">
        <v>46255.638888888891</v>
      </c>
      <c r="Q386" s="15"/>
      <c r="S386" t="s">
        <v>362</v>
      </c>
      <c r="U386" t="s">
        <v>1819</v>
      </c>
      <c r="V386" t="s">
        <v>362</v>
      </c>
      <c r="X386" t="s">
        <v>373</v>
      </c>
      <c r="Y386" t="s">
        <v>240</v>
      </c>
      <c r="Z386" t="s">
        <v>826</v>
      </c>
      <c r="AB386" t="s">
        <v>347</v>
      </c>
      <c r="AC386" t="s">
        <v>347</v>
      </c>
      <c r="AD386" t="s">
        <v>351</v>
      </c>
      <c r="AE386" t="s">
        <v>240</v>
      </c>
      <c r="AF386" t="s">
        <v>1820</v>
      </c>
      <c r="AG386" t="s">
        <v>249</v>
      </c>
      <c r="AH386">
        <v>1</v>
      </c>
      <c r="AI386" t="s">
        <v>250</v>
      </c>
      <c r="AJ386" t="s">
        <v>248</v>
      </c>
      <c r="AK386" t="s">
        <v>911</v>
      </c>
      <c r="AL386" t="s">
        <v>203</v>
      </c>
      <c r="AM386" t="s">
        <v>888</v>
      </c>
      <c r="AN386">
        <v>2</v>
      </c>
      <c r="AO386">
        <v>46253</v>
      </c>
      <c r="AP386">
        <v>0.51527777777777772</v>
      </c>
      <c r="AQ386">
        <v>46255</v>
      </c>
      <c r="AR386">
        <v>0.63888888888888884</v>
      </c>
      <c r="AS386" t="s">
        <v>201</v>
      </c>
      <c r="AT386" t="s">
        <v>1956</v>
      </c>
      <c r="AU386" t="s">
        <v>1955</v>
      </c>
      <c r="AV386" t="s">
        <v>829</v>
      </c>
      <c r="AX386">
        <v>2.5</v>
      </c>
      <c r="AY386" t="s">
        <v>89</v>
      </c>
      <c r="AZ386" t="s">
        <v>67</v>
      </c>
      <c r="BA386" t="s">
        <v>217</v>
      </c>
      <c r="BB386" t="s">
        <v>912</v>
      </c>
      <c r="BC386">
        <v>148</v>
      </c>
      <c r="BD386">
        <v>48</v>
      </c>
      <c r="BE386">
        <v>1</v>
      </c>
    </row>
    <row r="387" spans="1:57" x14ac:dyDescent="0.3">
      <c r="A387" s="204">
        <v>46235</v>
      </c>
      <c r="B387" t="s">
        <v>142</v>
      </c>
      <c r="C387" t="s">
        <v>345</v>
      </c>
      <c r="D387" t="s">
        <v>45</v>
      </c>
      <c r="E387" t="s">
        <v>68</v>
      </c>
      <c r="F387" t="s">
        <v>309</v>
      </c>
      <c r="G387" t="s">
        <v>1289</v>
      </c>
      <c r="H387" t="s">
        <v>1821</v>
      </c>
      <c r="I387" t="s">
        <v>1290</v>
      </c>
      <c r="J387">
        <v>50</v>
      </c>
      <c r="K387">
        <v>50</v>
      </c>
      <c r="L387" t="s">
        <v>1291</v>
      </c>
      <c r="M387" s="15">
        <v>46233.603067129632</v>
      </c>
      <c r="N387" s="15">
        <v>46240.602777777778</v>
      </c>
      <c r="O387" s="15">
        <v>46233.630254629628</v>
      </c>
      <c r="P387" s="15">
        <v>46237.586805555555</v>
      </c>
      <c r="Q387" s="15"/>
      <c r="S387" t="s">
        <v>362</v>
      </c>
      <c r="U387" t="s">
        <v>1822</v>
      </c>
      <c r="V387" t="s">
        <v>362</v>
      </c>
      <c r="X387" t="s">
        <v>373</v>
      </c>
      <c r="Y387" t="s">
        <v>240</v>
      </c>
      <c r="Z387" t="s">
        <v>826</v>
      </c>
      <c r="AB387" t="s">
        <v>347</v>
      </c>
      <c r="AC387" t="s">
        <v>347</v>
      </c>
      <c r="AD387" t="s">
        <v>351</v>
      </c>
      <c r="AE387" t="s">
        <v>240</v>
      </c>
      <c r="AF387" t="s">
        <v>1823</v>
      </c>
      <c r="AG387" t="s">
        <v>249</v>
      </c>
      <c r="AH387">
        <v>1</v>
      </c>
      <c r="AI387" t="s">
        <v>250</v>
      </c>
      <c r="AJ387" t="s">
        <v>248</v>
      </c>
      <c r="AK387" t="s">
        <v>911</v>
      </c>
      <c r="AL387" t="s">
        <v>203</v>
      </c>
      <c r="AM387" t="s">
        <v>888</v>
      </c>
      <c r="AN387">
        <v>2</v>
      </c>
      <c r="AO387">
        <v>46233</v>
      </c>
      <c r="AP387">
        <v>0.63025462962962964</v>
      </c>
      <c r="AQ387">
        <v>46237</v>
      </c>
      <c r="AR387">
        <v>0.58680555555555558</v>
      </c>
      <c r="AS387" t="s">
        <v>201</v>
      </c>
      <c r="AT387" t="s">
        <v>1954</v>
      </c>
      <c r="AU387" t="s">
        <v>1955</v>
      </c>
      <c r="AV387" t="s">
        <v>829</v>
      </c>
      <c r="AX387">
        <v>5</v>
      </c>
      <c r="AY387" t="s">
        <v>89</v>
      </c>
      <c r="AZ387" t="s">
        <v>67</v>
      </c>
      <c r="BA387" t="s">
        <v>217</v>
      </c>
      <c r="BB387" t="s">
        <v>912</v>
      </c>
      <c r="BC387">
        <v>148</v>
      </c>
      <c r="BD387">
        <v>48</v>
      </c>
      <c r="BE387">
        <v>1</v>
      </c>
    </row>
    <row r="388" spans="1:57" x14ac:dyDescent="0.3">
      <c r="A388" s="204">
        <v>46235</v>
      </c>
      <c r="B388" t="s">
        <v>142</v>
      </c>
      <c r="C388" t="s">
        <v>345</v>
      </c>
      <c r="D388" t="s">
        <v>48</v>
      </c>
      <c r="E388" t="s">
        <v>68</v>
      </c>
      <c r="F388" t="s">
        <v>309</v>
      </c>
      <c r="G388" t="s">
        <v>1292</v>
      </c>
      <c r="H388" t="s">
        <v>910</v>
      </c>
      <c r="I388" t="s">
        <v>400</v>
      </c>
      <c r="J388">
        <v>3</v>
      </c>
      <c r="K388">
        <v>3</v>
      </c>
      <c r="L388" t="s">
        <v>1293</v>
      </c>
      <c r="M388" s="15">
        <v>46238.544641203705</v>
      </c>
      <c r="N388" s="15">
        <v>46245.544444444444</v>
      </c>
      <c r="O388" s="15">
        <v>46238.632962962962</v>
      </c>
      <c r="P388" s="15">
        <v>46240.518055555556</v>
      </c>
      <c r="Q388" s="15"/>
      <c r="S388" t="s">
        <v>362</v>
      </c>
      <c r="V388" t="s">
        <v>362</v>
      </c>
      <c r="X388" t="s">
        <v>373</v>
      </c>
      <c r="Y388" t="s">
        <v>240</v>
      </c>
      <c r="Z388" t="s">
        <v>826</v>
      </c>
      <c r="AB388" t="s">
        <v>347</v>
      </c>
      <c r="AC388" t="s">
        <v>347</v>
      </c>
      <c r="AD388" t="s">
        <v>351</v>
      </c>
      <c r="AE388" t="s">
        <v>240</v>
      </c>
      <c r="AF388" t="s">
        <v>1824</v>
      </c>
      <c r="AG388" t="s">
        <v>249</v>
      </c>
      <c r="AH388">
        <v>1</v>
      </c>
      <c r="AI388" t="s">
        <v>250</v>
      </c>
      <c r="AJ388" t="s">
        <v>248</v>
      </c>
      <c r="AK388" t="s">
        <v>911</v>
      </c>
      <c r="AL388" t="s">
        <v>203</v>
      </c>
      <c r="AM388" t="s">
        <v>903</v>
      </c>
      <c r="AN388">
        <v>2</v>
      </c>
      <c r="AO388">
        <v>46238</v>
      </c>
      <c r="AP388">
        <v>0.63296296296296295</v>
      </c>
      <c r="AQ388">
        <v>46240</v>
      </c>
      <c r="AR388">
        <v>0.5180555555555556</v>
      </c>
      <c r="AS388" t="s">
        <v>201</v>
      </c>
      <c r="AT388" t="s">
        <v>1954</v>
      </c>
      <c r="AU388" t="s">
        <v>1955</v>
      </c>
      <c r="AV388" t="s">
        <v>833</v>
      </c>
      <c r="AX388">
        <v>1</v>
      </c>
      <c r="AY388" t="s">
        <v>89</v>
      </c>
      <c r="AZ388" t="s">
        <v>90</v>
      </c>
      <c r="BA388" t="s">
        <v>217</v>
      </c>
      <c r="BB388" t="s">
        <v>912</v>
      </c>
      <c r="BC388">
        <v>148</v>
      </c>
      <c r="BD388">
        <v>48</v>
      </c>
      <c r="BE388">
        <v>1</v>
      </c>
    </row>
    <row r="389" spans="1:57" x14ac:dyDescent="0.3">
      <c r="A389" s="204">
        <v>46235</v>
      </c>
      <c r="B389" t="s">
        <v>142</v>
      </c>
      <c r="C389" t="s">
        <v>345</v>
      </c>
      <c r="D389" t="s">
        <v>63</v>
      </c>
      <c r="E389" t="s">
        <v>95</v>
      </c>
      <c r="F389" t="s">
        <v>309</v>
      </c>
      <c r="G389" t="s">
        <v>1294</v>
      </c>
      <c r="H389" t="s">
        <v>890</v>
      </c>
      <c r="I389" t="s">
        <v>399</v>
      </c>
      <c r="J389">
        <v>1</v>
      </c>
      <c r="K389">
        <v>1</v>
      </c>
      <c r="L389" t="s">
        <v>1295</v>
      </c>
      <c r="M389" s="15">
        <v>46231.685798611114</v>
      </c>
      <c r="N389" s="15">
        <v>46238.685416666667</v>
      </c>
      <c r="O389" s="15">
        <v>46232.496759259258</v>
      </c>
      <c r="P389" s="15">
        <v>46237.791666666664</v>
      </c>
      <c r="Q389" s="15"/>
      <c r="S389" t="s">
        <v>1296</v>
      </c>
      <c r="T389" t="s">
        <v>1825</v>
      </c>
      <c r="U389" t="s">
        <v>1826</v>
      </c>
      <c r="V389" t="s">
        <v>1296</v>
      </c>
      <c r="W389">
        <v>200</v>
      </c>
      <c r="X389" t="s">
        <v>351</v>
      </c>
      <c r="Y389" t="s">
        <v>240</v>
      </c>
      <c r="Z389" t="s">
        <v>851</v>
      </c>
      <c r="AB389" t="s">
        <v>347</v>
      </c>
      <c r="AC389" t="s">
        <v>7</v>
      </c>
      <c r="AD389" t="s">
        <v>7</v>
      </c>
      <c r="AE389" t="s">
        <v>7</v>
      </c>
      <c r="AF389" t="s">
        <v>1827</v>
      </c>
      <c r="AG389" t="s">
        <v>249</v>
      </c>
      <c r="AH389">
        <v>2</v>
      </c>
      <c r="AI389" t="s">
        <v>250</v>
      </c>
      <c r="AJ389" t="s">
        <v>251</v>
      </c>
      <c r="AK389" t="s">
        <v>1828</v>
      </c>
      <c r="AL389" t="s">
        <v>203</v>
      </c>
      <c r="AM389" t="s">
        <v>1655</v>
      </c>
      <c r="AO389">
        <v>46232</v>
      </c>
      <c r="AP389">
        <v>0.49675925925925923</v>
      </c>
      <c r="AQ389">
        <v>46237</v>
      </c>
      <c r="AR389">
        <v>0.79166666666666663</v>
      </c>
      <c r="AS389" t="s">
        <v>201</v>
      </c>
      <c r="AT389" t="s">
        <v>1954</v>
      </c>
      <c r="AU389" t="s">
        <v>1955</v>
      </c>
      <c r="AV389" t="s">
        <v>937</v>
      </c>
      <c r="AX389">
        <v>1</v>
      </c>
      <c r="AY389" t="s">
        <v>111</v>
      </c>
      <c r="AZ389" t="s">
        <v>96</v>
      </c>
      <c r="BA389" t="s">
        <v>225</v>
      </c>
      <c r="BB389" t="s">
        <v>1829</v>
      </c>
      <c r="BE389">
        <v>1</v>
      </c>
    </row>
    <row r="390" spans="1:57" x14ac:dyDescent="0.3">
      <c r="A390" s="204">
        <v>46235</v>
      </c>
      <c r="B390" t="s">
        <v>142</v>
      </c>
      <c r="C390" t="s">
        <v>345</v>
      </c>
      <c r="D390" t="s">
        <v>57</v>
      </c>
      <c r="E390" t="s">
        <v>117</v>
      </c>
      <c r="F390" t="s">
        <v>309</v>
      </c>
      <c r="G390" t="s">
        <v>1294</v>
      </c>
      <c r="H390" t="s">
        <v>890</v>
      </c>
      <c r="I390" t="s">
        <v>399</v>
      </c>
      <c r="J390">
        <v>1</v>
      </c>
      <c r="K390">
        <v>1</v>
      </c>
      <c r="L390" t="s">
        <v>1295</v>
      </c>
      <c r="M390" s="15">
        <v>46231.685798611114</v>
      </c>
      <c r="N390" s="15">
        <v>46238.685416666667</v>
      </c>
      <c r="O390" s="15">
        <v>46232.496759259258</v>
      </c>
      <c r="P390" s="15">
        <v>46237.791666666664</v>
      </c>
      <c r="Q390" s="15"/>
      <c r="S390" t="s">
        <v>1296</v>
      </c>
      <c r="T390" t="s">
        <v>1825</v>
      </c>
      <c r="U390" t="s">
        <v>1826</v>
      </c>
      <c r="V390" t="s">
        <v>1296</v>
      </c>
      <c r="W390">
        <v>200</v>
      </c>
      <c r="X390" t="s">
        <v>351</v>
      </c>
      <c r="Y390" t="s">
        <v>240</v>
      </c>
      <c r="Z390" t="s">
        <v>851</v>
      </c>
      <c r="AB390" t="s">
        <v>347</v>
      </c>
      <c r="AC390" t="s">
        <v>7</v>
      </c>
      <c r="AD390" t="s">
        <v>7</v>
      </c>
      <c r="AE390" t="s">
        <v>7</v>
      </c>
      <c r="AF390" t="s">
        <v>1830</v>
      </c>
      <c r="AG390" t="s">
        <v>249</v>
      </c>
      <c r="AH390">
        <v>2</v>
      </c>
      <c r="AI390" t="s">
        <v>250</v>
      </c>
      <c r="AJ390" t="s">
        <v>251</v>
      </c>
      <c r="AK390" t="s">
        <v>1828</v>
      </c>
      <c r="AL390" t="s">
        <v>203</v>
      </c>
      <c r="AM390" t="s">
        <v>899</v>
      </c>
      <c r="AO390">
        <v>46232</v>
      </c>
      <c r="AP390">
        <v>0.49675925925925923</v>
      </c>
      <c r="AQ390">
        <v>46237</v>
      </c>
      <c r="AR390">
        <v>0.79166666666666663</v>
      </c>
      <c r="AS390" t="s">
        <v>201</v>
      </c>
      <c r="AT390" t="s">
        <v>1954</v>
      </c>
      <c r="AU390" t="s">
        <v>1955</v>
      </c>
      <c r="AV390" t="s">
        <v>862</v>
      </c>
      <c r="AX390">
        <v>1</v>
      </c>
      <c r="AY390" t="s">
        <v>126</v>
      </c>
      <c r="AZ390" t="s">
        <v>127</v>
      </c>
      <c r="BA390" t="s">
        <v>233</v>
      </c>
      <c r="BB390" t="s">
        <v>1829</v>
      </c>
      <c r="BE390">
        <v>1</v>
      </c>
    </row>
    <row r="391" spans="1:57" x14ac:dyDescent="0.3">
      <c r="A391" s="204">
        <v>46235</v>
      </c>
      <c r="B391" t="s">
        <v>142</v>
      </c>
      <c r="C391" t="s">
        <v>345</v>
      </c>
      <c r="D391" t="s">
        <v>279</v>
      </c>
      <c r="E391" t="s">
        <v>192</v>
      </c>
      <c r="F391" t="s">
        <v>309</v>
      </c>
      <c r="G391" t="s">
        <v>1294</v>
      </c>
      <c r="H391" t="s">
        <v>890</v>
      </c>
      <c r="I391" t="s">
        <v>399</v>
      </c>
      <c r="J391">
        <v>109</v>
      </c>
      <c r="K391">
        <v>109</v>
      </c>
      <c r="L391" t="s">
        <v>1295</v>
      </c>
      <c r="M391" s="15">
        <v>46231.685798611114</v>
      </c>
      <c r="N391" s="15">
        <v>46238.685416666667</v>
      </c>
      <c r="O391" s="15">
        <v>46232.496759259258</v>
      </c>
      <c r="P391" s="15">
        <v>46237.791666666664</v>
      </c>
      <c r="Q391" s="15"/>
      <c r="S391" t="s">
        <v>1296</v>
      </c>
      <c r="T391" t="s">
        <v>1825</v>
      </c>
      <c r="U391" t="s">
        <v>1826</v>
      </c>
      <c r="V391" t="s">
        <v>1296</v>
      </c>
      <c r="W391">
        <v>200</v>
      </c>
      <c r="X391" t="s">
        <v>351</v>
      </c>
      <c r="Y391" t="s">
        <v>240</v>
      </c>
      <c r="Z391" t="s">
        <v>851</v>
      </c>
      <c r="AB391" t="s">
        <v>347</v>
      </c>
      <c r="AC391" t="s">
        <v>7</v>
      </c>
      <c r="AD391" t="s">
        <v>7</v>
      </c>
      <c r="AE391" t="s">
        <v>7</v>
      </c>
      <c r="AF391" t="s">
        <v>1831</v>
      </c>
      <c r="AG391" t="s">
        <v>249</v>
      </c>
      <c r="AH391">
        <v>2</v>
      </c>
      <c r="AI391" t="s">
        <v>250</v>
      </c>
      <c r="AJ391" t="s">
        <v>248</v>
      </c>
      <c r="AK391" t="s">
        <v>1828</v>
      </c>
      <c r="AL391" t="s">
        <v>203</v>
      </c>
      <c r="AM391" t="s">
        <v>900</v>
      </c>
      <c r="AN391">
        <v>3</v>
      </c>
      <c r="AO391">
        <v>46232</v>
      </c>
      <c r="AP391">
        <v>0.49675925925925923</v>
      </c>
      <c r="AQ391">
        <v>46237</v>
      </c>
      <c r="AR391">
        <v>0.79166666666666663</v>
      </c>
      <c r="AS391" t="s">
        <v>201</v>
      </c>
      <c r="AT391" t="s">
        <v>1956</v>
      </c>
      <c r="AU391" t="s">
        <v>1955</v>
      </c>
      <c r="AV391" t="s">
        <v>856</v>
      </c>
      <c r="AW391">
        <v>1</v>
      </c>
      <c r="AX391">
        <v>109</v>
      </c>
      <c r="AY391" t="s">
        <v>125</v>
      </c>
      <c r="AZ391" t="s">
        <v>122</v>
      </c>
      <c r="BA391" t="s">
        <v>232</v>
      </c>
      <c r="BB391" t="s">
        <v>1829</v>
      </c>
      <c r="BE391">
        <v>10.9</v>
      </c>
    </row>
    <row r="392" spans="1:57" x14ac:dyDescent="0.3">
      <c r="A392" s="204">
        <v>46235</v>
      </c>
      <c r="B392" t="s">
        <v>142</v>
      </c>
      <c r="C392" t="s">
        <v>345</v>
      </c>
      <c r="D392" t="s">
        <v>57</v>
      </c>
      <c r="E392" t="s">
        <v>117</v>
      </c>
      <c r="F392" t="s">
        <v>309</v>
      </c>
      <c r="G392" t="s">
        <v>1297</v>
      </c>
      <c r="H392" t="s">
        <v>842</v>
      </c>
      <c r="I392" t="s">
        <v>401</v>
      </c>
      <c r="J392">
        <v>1</v>
      </c>
      <c r="K392">
        <v>1</v>
      </c>
      <c r="L392" t="s">
        <v>1298</v>
      </c>
      <c r="M392" s="15">
        <v>46227.492546296293</v>
      </c>
      <c r="N392" s="15">
        <v>46234.492361111108</v>
      </c>
      <c r="O392" s="15">
        <v>46227.612233796295</v>
      </c>
      <c r="P392" s="15">
        <v>46233.329861111109</v>
      </c>
      <c r="Q392" s="15"/>
      <c r="S392" t="s">
        <v>1296</v>
      </c>
      <c r="U392" t="s">
        <v>941</v>
      </c>
      <c r="V392" t="s">
        <v>1296</v>
      </c>
      <c r="W392">
        <v>200</v>
      </c>
      <c r="X392" t="s">
        <v>351</v>
      </c>
      <c r="Y392" t="s">
        <v>240</v>
      </c>
      <c r="Z392" t="s">
        <v>851</v>
      </c>
      <c r="AB392" t="s">
        <v>347</v>
      </c>
      <c r="AC392" t="s">
        <v>7</v>
      </c>
      <c r="AD392" t="s">
        <v>7</v>
      </c>
      <c r="AE392" t="s">
        <v>7</v>
      </c>
      <c r="AF392" t="s">
        <v>1832</v>
      </c>
      <c r="AG392" t="s">
        <v>249</v>
      </c>
      <c r="AH392">
        <v>2</v>
      </c>
      <c r="AI392" t="s">
        <v>250</v>
      </c>
      <c r="AJ392" t="s">
        <v>251</v>
      </c>
      <c r="AK392" t="s">
        <v>1828</v>
      </c>
      <c r="AL392" t="s">
        <v>203</v>
      </c>
      <c r="AM392" t="s">
        <v>899</v>
      </c>
      <c r="AO392">
        <v>46227</v>
      </c>
      <c r="AP392">
        <v>0.61223379629629626</v>
      </c>
      <c r="AQ392">
        <v>46233</v>
      </c>
      <c r="AR392">
        <v>0.3298611111111111</v>
      </c>
      <c r="AS392" t="s">
        <v>201</v>
      </c>
      <c r="AT392" t="s">
        <v>1954</v>
      </c>
      <c r="AU392" t="s">
        <v>1955</v>
      </c>
      <c r="AV392" t="s">
        <v>862</v>
      </c>
      <c r="AX392">
        <v>1</v>
      </c>
      <c r="AY392" t="s">
        <v>126</v>
      </c>
      <c r="AZ392" t="s">
        <v>127</v>
      </c>
      <c r="BA392" t="s">
        <v>233</v>
      </c>
      <c r="BB392" t="s">
        <v>1829</v>
      </c>
      <c r="BE392">
        <v>1</v>
      </c>
    </row>
    <row r="393" spans="1:57" x14ac:dyDescent="0.3">
      <c r="A393" s="204">
        <v>46235</v>
      </c>
      <c r="B393" t="s">
        <v>142</v>
      </c>
      <c r="C393" t="s">
        <v>345</v>
      </c>
      <c r="D393" t="s">
        <v>279</v>
      </c>
      <c r="E393" t="s">
        <v>192</v>
      </c>
      <c r="F393" t="s">
        <v>309</v>
      </c>
      <c r="G393" t="s">
        <v>1297</v>
      </c>
      <c r="H393" t="s">
        <v>842</v>
      </c>
      <c r="I393" t="s">
        <v>401</v>
      </c>
      <c r="J393">
        <v>1</v>
      </c>
      <c r="K393">
        <v>1</v>
      </c>
      <c r="L393" t="s">
        <v>1298</v>
      </c>
      <c r="M393" s="15">
        <v>46227.492546296293</v>
      </c>
      <c r="N393" s="15">
        <v>46234.492361111108</v>
      </c>
      <c r="O393" s="15">
        <v>46227.612233796295</v>
      </c>
      <c r="P393" s="15">
        <v>46233.329861111109</v>
      </c>
      <c r="Q393" s="15"/>
      <c r="S393" t="s">
        <v>1296</v>
      </c>
      <c r="U393" t="s">
        <v>941</v>
      </c>
      <c r="V393" t="s">
        <v>1296</v>
      </c>
      <c r="W393">
        <v>200</v>
      </c>
      <c r="X393" t="s">
        <v>351</v>
      </c>
      <c r="Y393" t="s">
        <v>240</v>
      </c>
      <c r="Z393" t="s">
        <v>851</v>
      </c>
      <c r="AB393" t="s">
        <v>347</v>
      </c>
      <c r="AC393" t="s">
        <v>7</v>
      </c>
      <c r="AD393" t="s">
        <v>7</v>
      </c>
      <c r="AE393" t="s">
        <v>7</v>
      </c>
      <c r="AF393" t="s">
        <v>1833</v>
      </c>
      <c r="AG393" t="s">
        <v>249</v>
      </c>
      <c r="AH393">
        <v>2</v>
      </c>
      <c r="AI393" t="s">
        <v>250</v>
      </c>
      <c r="AJ393" t="s">
        <v>248</v>
      </c>
      <c r="AK393" t="s">
        <v>1828</v>
      </c>
      <c r="AL393" t="s">
        <v>203</v>
      </c>
      <c r="AM393" t="s">
        <v>900</v>
      </c>
      <c r="AN393">
        <v>3</v>
      </c>
      <c r="AO393">
        <v>46227</v>
      </c>
      <c r="AP393">
        <v>0.61223379629629626</v>
      </c>
      <c r="AQ393">
        <v>46233</v>
      </c>
      <c r="AR393">
        <v>0.3298611111111111</v>
      </c>
      <c r="AS393" t="s">
        <v>201</v>
      </c>
      <c r="AT393" t="s">
        <v>1956</v>
      </c>
      <c r="AU393" t="s">
        <v>1955</v>
      </c>
      <c r="AV393" t="s">
        <v>856</v>
      </c>
      <c r="AW393">
        <v>1</v>
      </c>
      <c r="AX393">
        <v>1</v>
      </c>
      <c r="AY393" t="s">
        <v>125</v>
      </c>
      <c r="AZ393" t="s">
        <v>122</v>
      </c>
      <c r="BA393" t="s">
        <v>232</v>
      </c>
      <c r="BB393" t="s">
        <v>1829</v>
      </c>
      <c r="BE393">
        <v>1</v>
      </c>
    </row>
    <row r="394" spans="1:57" x14ac:dyDescent="0.3">
      <c r="A394" s="204">
        <v>46235</v>
      </c>
      <c r="B394" t="s">
        <v>142</v>
      </c>
      <c r="C394" t="s">
        <v>345</v>
      </c>
      <c r="D394" t="s">
        <v>63</v>
      </c>
      <c r="E394" t="s">
        <v>95</v>
      </c>
      <c r="F394" t="s">
        <v>309</v>
      </c>
      <c r="G394" t="s">
        <v>1297</v>
      </c>
      <c r="H394" t="s">
        <v>842</v>
      </c>
      <c r="I394" t="s">
        <v>401</v>
      </c>
      <c r="J394">
        <v>1</v>
      </c>
      <c r="K394">
        <v>1</v>
      </c>
      <c r="L394" t="s">
        <v>1298</v>
      </c>
      <c r="M394" s="15">
        <v>46227.492546296293</v>
      </c>
      <c r="N394" s="15">
        <v>46234.492361111108</v>
      </c>
      <c r="O394" s="15">
        <v>46227.612233796295</v>
      </c>
      <c r="P394" s="15">
        <v>46233.329861111109</v>
      </c>
      <c r="Q394" s="15"/>
      <c r="S394" t="s">
        <v>1296</v>
      </c>
      <c r="U394" t="s">
        <v>941</v>
      </c>
      <c r="V394" t="s">
        <v>1296</v>
      </c>
      <c r="W394">
        <v>200</v>
      </c>
      <c r="X394" t="s">
        <v>351</v>
      </c>
      <c r="Y394" t="s">
        <v>240</v>
      </c>
      <c r="Z394" t="s">
        <v>851</v>
      </c>
      <c r="AB394" t="s">
        <v>347</v>
      </c>
      <c r="AC394" t="s">
        <v>7</v>
      </c>
      <c r="AD394" t="s">
        <v>7</v>
      </c>
      <c r="AE394" t="s">
        <v>7</v>
      </c>
      <c r="AF394" t="s">
        <v>1834</v>
      </c>
      <c r="AG394" t="s">
        <v>249</v>
      </c>
      <c r="AH394">
        <v>2</v>
      </c>
      <c r="AI394" t="s">
        <v>250</v>
      </c>
      <c r="AJ394" t="s">
        <v>251</v>
      </c>
      <c r="AK394" t="s">
        <v>1828</v>
      </c>
      <c r="AL394" t="s">
        <v>203</v>
      </c>
      <c r="AM394" t="s">
        <v>1655</v>
      </c>
      <c r="AO394">
        <v>46227</v>
      </c>
      <c r="AP394">
        <v>0.61223379629629626</v>
      </c>
      <c r="AQ394">
        <v>46233</v>
      </c>
      <c r="AR394">
        <v>0.3298611111111111</v>
      </c>
      <c r="AS394" t="s">
        <v>201</v>
      </c>
      <c r="AT394" t="s">
        <v>1954</v>
      </c>
      <c r="AU394" t="s">
        <v>1955</v>
      </c>
      <c r="AV394" t="s">
        <v>937</v>
      </c>
      <c r="AX394">
        <v>1</v>
      </c>
      <c r="AY394" t="s">
        <v>111</v>
      </c>
      <c r="AZ394" t="s">
        <v>96</v>
      </c>
      <c r="BA394" t="s">
        <v>225</v>
      </c>
      <c r="BB394" t="s">
        <v>1829</v>
      </c>
      <c r="BE394">
        <v>1</v>
      </c>
    </row>
    <row r="395" spans="1:57" x14ac:dyDescent="0.3">
      <c r="A395" s="204">
        <v>46235</v>
      </c>
      <c r="B395" t="s">
        <v>142</v>
      </c>
      <c r="C395" t="s">
        <v>345</v>
      </c>
      <c r="D395" t="s">
        <v>45</v>
      </c>
      <c r="E395" t="s">
        <v>68</v>
      </c>
      <c r="F395" t="s">
        <v>309</v>
      </c>
      <c r="G395" t="s">
        <v>1299</v>
      </c>
      <c r="H395" t="s">
        <v>1835</v>
      </c>
      <c r="I395" t="s">
        <v>1300</v>
      </c>
      <c r="J395">
        <v>1</v>
      </c>
      <c r="K395">
        <v>1</v>
      </c>
      <c r="L395" t="s">
        <v>1301</v>
      </c>
      <c r="M395" s="15">
        <v>46224.647638888891</v>
      </c>
      <c r="N395" s="15">
        <v>46231.647222222222</v>
      </c>
      <c r="O395" s="15">
        <v>46225.434756944444</v>
      </c>
      <c r="P395" s="15">
        <v>46226.447916666664</v>
      </c>
      <c r="Q395" s="15"/>
      <c r="S395" t="s">
        <v>1302</v>
      </c>
      <c r="U395" t="s">
        <v>1836</v>
      </c>
      <c r="V395" t="s">
        <v>1302</v>
      </c>
      <c r="X395" t="s">
        <v>1303</v>
      </c>
      <c r="Y395" t="s">
        <v>287</v>
      </c>
      <c r="Z395" t="s">
        <v>826</v>
      </c>
      <c r="AB395" t="s">
        <v>348</v>
      </c>
      <c r="AC395" t="s">
        <v>348</v>
      </c>
      <c r="AD395" t="s">
        <v>369</v>
      </c>
      <c r="AE395" t="s">
        <v>239</v>
      </c>
      <c r="AF395" t="s">
        <v>1837</v>
      </c>
      <c r="AG395" t="s">
        <v>249</v>
      </c>
      <c r="AH395">
        <v>1</v>
      </c>
      <c r="AI395" t="s">
        <v>250</v>
      </c>
      <c r="AJ395" t="s">
        <v>248</v>
      </c>
      <c r="AK395" t="s">
        <v>1838</v>
      </c>
      <c r="AL395" t="s">
        <v>204</v>
      </c>
      <c r="AM395" t="s">
        <v>918</v>
      </c>
      <c r="AN395">
        <v>2</v>
      </c>
      <c r="AO395">
        <v>46225</v>
      </c>
      <c r="AP395">
        <v>0.43475694444444446</v>
      </c>
      <c r="AQ395">
        <v>46226</v>
      </c>
      <c r="AR395">
        <v>0.44791666666666669</v>
      </c>
      <c r="AS395" t="s">
        <v>201</v>
      </c>
      <c r="AT395" t="s">
        <v>1954</v>
      </c>
      <c r="AU395" t="s">
        <v>1955</v>
      </c>
      <c r="AV395" t="s">
        <v>829</v>
      </c>
      <c r="AX395">
        <v>1</v>
      </c>
      <c r="AY395" t="s">
        <v>89</v>
      </c>
      <c r="AZ395" t="s">
        <v>67</v>
      </c>
      <c r="BA395" t="s">
        <v>217</v>
      </c>
      <c r="BB395" t="s">
        <v>1839</v>
      </c>
      <c r="BC395">
        <v>176</v>
      </c>
      <c r="BD395">
        <v>76</v>
      </c>
      <c r="BE395">
        <v>1</v>
      </c>
    </row>
    <row r="396" spans="1:57" x14ac:dyDescent="0.3">
      <c r="A396" s="204">
        <v>46235</v>
      </c>
      <c r="B396" t="s">
        <v>142</v>
      </c>
      <c r="C396" t="s">
        <v>345</v>
      </c>
      <c r="D396" t="s">
        <v>63</v>
      </c>
      <c r="E396" t="s">
        <v>95</v>
      </c>
      <c r="F396" t="s">
        <v>309</v>
      </c>
      <c r="G396" t="s">
        <v>1304</v>
      </c>
      <c r="H396" t="s">
        <v>890</v>
      </c>
      <c r="I396" t="s">
        <v>399</v>
      </c>
      <c r="J396">
        <v>1</v>
      </c>
      <c r="K396">
        <v>1</v>
      </c>
      <c r="L396" t="s">
        <v>1305</v>
      </c>
      <c r="M396" s="15">
        <v>46241.647488425922</v>
      </c>
      <c r="N396" s="15">
        <v>46248.647222222222</v>
      </c>
      <c r="O396" s="15">
        <v>46244.369074074071</v>
      </c>
      <c r="P396" s="15">
        <v>46247.349988425929</v>
      </c>
      <c r="Q396" s="15"/>
      <c r="S396" t="s">
        <v>353</v>
      </c>
      <c r="T396" t="s">
        <v>1825</v>
      </c>
      <c r="U396" t="s">
        <v>1840</v>
      </c>
      <c r="V396" t="s">
        <v>353</v>
      </c>
      <c r="W396">
        <v>2100</v>
      </c>
      <c r="X396" t="s">
        <v>368</v>
      </c>
      <c r="Y396" t="s">
        <v>239</v>
      </c>
      <c r="Z396" t="s">
        <v>851</v>
      </c>
      <c r="AB396" t="s">
        <v>348</v>
      </c>
      <c r="AC396" t="s">
        <v>7</v>
      </c>
      <c r="AD396" t="s">
        <v>7</v>
      </c>
      <c r="AE396" t="s">
        <v>7</v>
      </c>
      <c r="AF396" t="s">
        <v>1841</v>
      </c>
      <c r="AG396" t="s">
        <v>249</v>
      </c>
      <c r="AH396">
        <v>2</v>
      </c>
      <c r="AI396" t="s">
        <v>250</v>
      </c>
      <c r="AJ396" t="s">
        <v>251</v>
      </c>
      <c r="AK396" t="s">
        <v>886</v>
      </c>
      <c r="AL396" t="s">
        <v>203</v>
      </c>
      <c r="AM396" t="s">
        <v>1655</v>
      </c>
      <c r="AO396">
        <v>46244</v>
      </c>
      <c r="AP396">
        <v>0.36907407407407405</v>
      </c>
      <c r="AQ396">
        <v>46247</v>
      </c>
      <c r="AR396">
        <v>0.34998842592592594</v>
      </c>
      <c r="AS396" t="s">
        <v>201</v>
      </c>
      <c r="AT396" t="s">
        <v>1954</v>
      </c>
      <c r="AU396" t="s">
        <v>1955</v>
      </c>
      <c r="AV396" t="s">
        <v>937</v>
      </c>
      <c r="AX396">
        <v>1</v>
      </c>
      <c r="AY396" t="s">
        <v>111</v>
      </c>
      <c r="AZ396" t="s">
        <v>96</v>
      </c>
      <c r="BA396" t="s">
        <v>225</v>
      </c>
      <c r="BB396" t="s">
        <v>891</v>
      </c>
      <c r="BE396">
        <v>1</v>
      </c>
    </row>
    <row r="397" spans="1:57" x14ac:dyDescent="0.3">
      <c r="A397" s="204">
        <v>46235</v>
      </c>
      <c r="B397" t="s">
        <v>142</v>
      </c>
      <c r="C397" t="s">
        <v>345</v>
      </c>
      <c r="D397" t="s">
        <v>57</v>
      </c>
      <c r="E397" t="s">
        <v>117</v>
      </c>
      <c r="F397" t="s">
        <v>309</v>
      </c>
      <c r="G397" t="s">
        <v>1304</v>
      </c>
      <c r="H397" t="s">
        <v>890</v>
      </c>
      <c r="I397" t="s">
        <v>399</v>
      </c>
      <c r="J397">
        <v>1</v>
      </c>
      <c r="K397">
        <v>1</v>
      </c>
      <c r="L397" t="s">
        <v>1305</v>
      </c>
      <c r="M397" s="15">
        <v>46241.647488425922</v>
      </c>
      <c r="N397" s="15">
        <v>46248.647222222222</v>
      </c>
      <c r="O397" s="15">
        <v>46244.369074074071</v>
      </c>
      <c r="P397" s="15">
        <v>46247.349988425929</v>
      </c>
      <c r="Q397" s="15"/>
      <c r="S397" t="s">
        <v>353</v>
      </c>
      <c r="T397" t="s">
        <v>1825</v>
      </c>
      <c r="U397" t="s">
        <v>1840</v>
      </c>
      <c r="V397" t="s">
        <v>353</v>
      </c>
      <c r="W397">
        <v>2100</v>
      </c>
      <c r="X397" t="s">
        <v>368</v>
      </c>
      <c r="Y397" t="s">
        <v>239</v>
      </c>
      <c r="Z397" t="s">
        <v>851</v>
      </c>
      <c r="AB397" t="s">
        <v>348</v>
      </c>
      <c r="AC397" t="s">
        <v>7</v>
      </c>
      <c r="AD397" t="s">
        <v>7</v>
      </c>
      <c r="AE397" t="s">
        <v>7</v>
      </c>
      <c r="AF397" t="s">
        <v>1842</v>
      </c>
      <c r="AG397" t="s">
        <v>249</v>
      </c>
      <c r="AH397">
        <v>2</v>
      </c>
      <c r="AI397" t="s">
        <v>250</v>
      </c>
      <c r="AJ397" t="s">
        <v>251</v>
      </c>
      <c r="AK397" t="s">
        <v>886</v>
      </c>
      <c r="AL397" t="s">
        <v>203</v>
      </c>
      <c r="AM397" t="s">
        <v>899</v>
      </c>
      <c r="AO397">
        <v>46244</v>
      </c>
      <c r="AP397">
        <v>0.36907407407407405</v>
      </c>
      <c r="AQ397">
        <v>46247</v>
      </c>
      <c r="AR397">
        <v>0.34998842592592594</v>
      </c>
      <c r="AS397" t="s">
        <v>201</v>
      </c>
      <c r="AT397" t="s">
        <v>1954</v>
      </c>
      <c r="AU397" t="s">
        <v>1955</v>
      </c>
      <c r="AV397" t="s">
        <v>862</v>
      </c>
      <c r="AX397">
        <v>1</v>
      </c>
      <c r="AY397" t="s">
        <v>126</v>
      </c>
      <c r="AZ397" t="s">
        <v>127</v>
      </c>
      <c r="BA397" t="s">
        <v>233</v>
      </c>
      <c r="BB397" t="s">
        <v>891</v>
      </c>
      <c r="BE397">
        <v>1</v>
      </c>
    </row>
    <row r="398" spans="1:57" x14ac:dyDescent="0.3">
      <c r="A398" s="204">
        <v>46230</v>
      </c>
      <c r="B398" t="s">
        <v>142</v>
      </c>
      <c r="C398" t="s">
        <v>345</v>
      </c>
      <c r="D398" t="s">
        <v>48</v>
      </c>
      <c r="E398" t="s">
        <v>68</v>
      </c>
      <c r="F398" t="s">
        <v>309</v>
      </c>
      <c r="G398" t="s">
        <v>1306</v>
      </c>
      <c r="H398" t="s">
        <v>857</v>
      </c>
      <c r="I398" t="s">
        <v>402</v>
      </c>
      <c r="J398">
        <v>1</v>
      </c>
      <c r="K398">
        <v>1</v>
      </c>
      <c r="L398" t="s">
        <v>1307</v>
      </c>
      <c r="M398" s="15">
        <v>46216.601365740738</v>
      </c>
      <c r="N398" s="15">
        <v>46223.600694444445</v>
      </c>
      <c r="O398" s="15">
        <v>46220.410416666666</v>
      </c>
      <c r="P398" s="15">
        <v>46223.497916666667</v>
      </c>
      <c r="Q398" s="15"/>
      <c r="S398" t="s">
        <v>354</v>
      </c>
      <c r="T398" t="s">
        <v>1843</v>
      </c>
      <c r="V398" t="s">
        <v>354</v>
      </c>
      <c r="W398">
        <v>50</v>
      </c>
      <c r="X398" t="s">
        <v>369</v>
      </c>
      <c r="Y398" t="s">
        <v>239</v>
      </c>
      <c r="Z398" t="s">
        <v>826</v>
      </c>
      <c r="AB398" t="s">
        <v>348</v>
      </c>
      <c r="AC398" t="s">
        <v>348</v>
      </c>
      <c r="AD398" t="s">
        <v>369</v>
      </c>
      <c r="AE398" t="s">
        <v>239</v>
      </c>
      <c r="AF398" t="s">
        <v>1844</v>
      </c>
      <c r="AG398" t="s">
        <v>249</v>
      </c>
      <c r="AH398">
        <v>1</v>
      </c>
      <c r="AI398" t="s">
        <v>250</v>
      </c>
      <c r="AJ398" t="s">
        <v>248</v>
      </c>
      <c r="AK398" t="s">
        <v>827</v>
      </c>
      <c r="AL398" t="s">
        <v>156</v>
      </c>
      <c r="AM398" t="s">
        <v>832</v>
      </c>
      <c r="AN398">
        <v>1</v>
      </c>
      <c r="AO398">
        <v>46220</v>
      </c>
      <c r="AP398">
        <v>0.41041666666666665</v>
      </c>
      <c r="AQ398">
        <v>46223</v>
      </c>
      <c r="AR398">
        <v>0.49791666666666667</v>
      </c>
      <c r="AS398" t="s">
        <v>201</v>
      </c>
      <c r="AT398" t="s">
        <v>1956</v>
      </c>
      <c r="AU398" t="s">
        <v>1955</v>
      </c>
      <c r="AV398" t="s">
        <v>833</v>
      </c>
      <c r="AX398">
        <v>1</v>
      </c>
      <c r="AY398" t="s">
        <v>89</v>
      </c>
      <c r="AZ398" t="s">
        <v>90</v>
      </c>
      <c r="BA398" t="s">
        <v>217</v>
      </c>
      <c r="BB398" t="s">
        <v>841</v>
      </c>
      <c r="BC398">
        <v>16.3</v>
      </c>
      <c r="BD398">
        <v>0</v>
      </c>
      <c r="BE398">
        <v>1</v>
      </c>
    </row>
    <row r="399" spans="1:57" x14ac:dyDescent="0.3">
      <c r="A399" s="204">
        <v>46230</v>
      </c>
      <c r="B399" t="s">
        <v>142</v>
      </c>
      <c r="C399" t="s">
        <v>345</v>
      </c>
      <c r="D399" t="s">
        <v>57</v>
      </c>
      <c r="E399" t="s">
        <v>117</v>
      </c>
      <c r="F399" t="s">
        <v>309</v>
      </c>
      <c r="G399" t="s">
        <v>1137</v>
      </c>
      <c r="H399" t="s">
        <v>1568</v>
      </c>
      <c r="I399" t="s">
        <v>420</v>
      </c>
      <c r="J399">
        <v>13</v>
      </c>
      <c r="K399">
        <v>13</v>
      </c>
      <c r="L399" t="s">
        <v>1145</v>
      </c>
      <c r="M399" s="15">
        <v>46217.60359953704</v>
      </c>
      <c r="N399" s="15">
        <v>46224.603472222225</v>
      </c>
      <c r="O399" s="15">
        <v>46237.518055555556</v>
      </c>
      <c r="P399" s="15">
        <v>46239.647916666669</v>
      </c>
      <c r="Q399" s="15"/>
      <c r="S399" t="s">
        <v>357</v>
      </c>
      <c r="T399" t="s">
        <v>1641</v>
      </c>
      <c r="U399" t="s">
        <v>1642</v>
      </c>
      <c r="V399" t="s">
        <v>357</v>
      </c>
      <c r="W399">
        <v>101</v>
      </c>
      <c r="X399" t="s">
        <v>369</v>
      </c>
      <c r="Y399" t="s">
        <v>239</v>
      </c>
      <c r="Z399" t="s">
        <v>851</v>
      </c>
      <c r="AB399" t="s">
        <v>348</v>
      </c>
      <c r="AC399" t="s">
        <v>7</v>
      </c>
      <c r="AD399" t="s">
        <v>7</v>
      </c>
      <c r="AE399" t="s">
        <v>7</v>
      </c>
      <c r="AF399" t="s">
        <v>1845</v>
      </c>
      <c r="AG399" t="s">
        <v>249</v>
      </c>
      <c r="AH399">
        <v>2</v>
      </c>
      <c r="AI399" t="s">
        <v>250</v>
      </c>
      <c r="AJ399" t="s">
        <v>251</v>
      </c>
      <c r="AK399" t="s">
        <v>827</v>
      </c>
      <c r="AL399" t="s">
        <v>156</v>
      </c>
      <c r="AM399" t="s">
        <v>861</v>
      </c>
      <c r="AO399">
        <v>46237</v>
      </c>
      <c r="AP399">
        <v>0.5180555555555556</v>
      </c>
      <c r="AQ399">
        <v>46239</v>
      </c>
      <c r="AR399">
        <v>0.6479166666666667</v>
      </c>
      <c r="AS399" t="s">
        <v>201</v>
      </c>
      <c r="AT399" t="s">
        <v>1954</v>
      </c>
      <c r="AU399" t="s">
        <v>1955</v>
      </c>
      <c r="AV399" t="s">
        <v>862</v>
      </c>
      <c r="AX399">
        <v>1.3</v>
      </c>
      <c r="AY399" t="s">
        <v>126</v>
      </c>
      <c r="AZ399" t="s">
        <v>127</v>
      </c>
      <c r="BA399" t="s">
        <v>233</v>
      </c>
      <c r="BB399" t="s">
        <v>863</v>
      </c>
    </row>
    <row r="400" spans="1:57" x14ac:dyDescent="0.3">
      <c r="A400" s="204">
        <v>46230</v>
      </c>
      <c r="B400" t="s">
        <v>142</v>
      </c>
      <c r="C400" t="s">
        <v>345</v>
      </c>
      <c r="D400" t="s">
        <v>281</v>
      </c>
      <c r="E400" t="s">
        <v>85</v>
      </c>
      <c r="F400" t="s">
        <v>309</v>
      </c>
      <c r="G400" t="s">
        <v>1137</v>
      </c>
      <c r="H400" t="s">
        <v>1568</v>
      </c>
      <c r="I400" t="s">
        <v>420</v>
      </c>
      <c r="J400">
        <v>1</v>
      </c>
      <c r="K400">
        <v>1</v>
      </c>
      <c r="L400" t="s">
        <v>1138</v>
      </c>
      <c r="M400" s="15">
        <v>46217.60359953704</v>
      </c>
      <c r="N400" s="15">
        <v>46224.603472222225</v>
      </c>
      <c r="O400" s="15">
        <v>46220.352083333331</v>
      </c>
      <c r="P400" s="15">
        <v>46227.702777777777</v>
      </c>
      <c r="Q400" s="15"/>
      <c r="S400" t="s">
        <v>357</v>
      </c>
      <c r="U400" t="s">
        <v>1572</v>
      </c>
      <c r="V400" t="s">
        <v>357</v>
      </c>
      <c r="W400">
        <v>101</v>
      </c>
      <c r="X400" t="s">
        <v>369</v>
      </c>
      <c r="Y400" t="s">
        <v>239</v>
      </c>
      <c r="Z400" t="s">
        <v>851</v>
      </c>
      <c r="AB400" t="s">
        <v>348</v>
      </c>
      <c r="AC400" t="s">
        <v>7</v>
      </c>
      <c r="AD400" t="s">
        <v>7</v>
      </c>
      <c r="AE400" t="s">
        <v>7</v>
      </c>
      <c r="AF400" t="s">
        <v>1618</v>
      </c>
      <c r="AG400" t="s">
        <v>250</v>
      </c>
      <c r="AH400">
        <v>2</v>
      </c>
      <c r="AI400" t="s">
        <v>250</v>
      </c>
      <c r="AJ400" t="s">
        <v>248</v>
      </c>
      <c r="AK400" t="s">
        <v>827</v>
      </c>
      <c r="AL400" t="s">
        <v>156</v>
      </c>
      <c r="AM400" t="s">
        <v>872</v>
      </c>
      <c r="AN400">
        <v>5</v>
      </c>
      <c r="AO400">
        <v>46220</v>
      </c>
      <c r="AP400">
        <v>0.35208333333333336</v>
      </c>
      <c r="AQ400">
        <v>46227</v>
      </c>
      <c r="AR400">
        <v>0.70277777777777772</v>
      </c>
      <c r="AS400" t="s">
        <v>1958</v>
      </c>
      <c r="AU400" t="s">
        <v>1955</v>
      </c>
      <c r="AV400" t="s">
        <v>873</v>
      </c>
      <c r="AW400">
        <v>1</v>
      </c>
      <c r="AX400">
        <v>1</v>
      </c>
      <c r="AY400" t="s">
        <v>124</v>
      </c>
      <c r="AZ400" t="s">
        <v>122</v>
      </c>
      <c r="BA400" t="s">
        <v>231</v>
      </c>
      <c r="BB400" t="s">
        <v>863</v>
      </c>
    </row>
    <row r="401" spans="1:57" x14ac:dyDescent="0.3">
      <c r="A401" s="204">
        <v>46235</v>
      </c>
      <c r="B401" t="s">
        <v>142</v>
      </c>
      <c r="C401" t="s">
        <v>345</v>
      </c>
      <c r="D401" t="s">
        <v>279</v>
      </c>
      <c r="E401" t="s">
        <v>192</v>
      </c>
      <c r="F401" t="s">
        <v>309</v>
      </c>
      <c r="G401" t="s">
        <v>1304</v>
      </c>
      <c r="H401" t="s">
        <v>890</v>
      </c>
      <c r="I401" t="s">
        <v>399</v>
      </c>
      <c r="J401">
        <v>340</v>
      </c>
      <c r="K401">
        <v>340</v>
      </c>
      <c r="L401" t="s">
        <v>1305</v>
      </c>
      <c r="M401" s="15">
        <v>46241.647488425922</v>
      </c>
      <c r="N401" s="15">
        <v>46248.647222222222</v>
      </c>
      <c r="O401" s="15">
        <v>46244.369074074071</v>
      </c>
      <c r="P401" s="15">
        <v>46247.349988425929</v>
      </c>
      <c r="Q401" s="15"/>
      <c r="S401" t="s">
        <v>353</v>
      </c>
      <c r="T401" t="s">
        <v>1825</v>
      </c>
      <c r="U401" t="s">
        <v>1840</v>
      </c>
      <c r="V401" t="s">
        <v>353</v>
      </c>
      <c r="W401">
        <v>2100</v>
      </c>
      <c r="X401" t="s">
        <v>368</v>
      </c>
      <c r="Y401" t="s">
        <v>239</v>
      </c>
      <c r="Z401" t="s">
        <v>851</v>
      </c>
      <c r="AB401" t="s">
        <v>348</v>
      </c>
      <c r="AC401" t="s">
        <v>7</v>
      </c>
      <c r="AD401" t="s">
        <v>7</v>
      </c>
      <c r="AE401" t="s">
        <v>7</v>
      </c>
      <c r="AF401" t="s">
        <v>1846</v>
      </c>
      <c r="AG401" t="s">
        <v>249</v>
      </c>
      <c r="AH401">
        <v>2</v>
      </c>
      <c r="AI401" t="s">
        <v>250</v>
      </c>
      <c r="AJ401" t="s">
        <v>248</v>
      </c>
      <c r="AK401" t="s">
        <v>886</v>
      </c>
      <c r="AL401" t="s">
        <v>203</v>
      </c>
      <c r="AM401" t="s">
        <v>900</v>
      </c>
      <c r="AN401">
        <v>3</v>
      </c>
      <c r="AO401">
        <v>46244</v>
      </c>
      <c r="AP401">
        <v>0.36907407407407405</v>
      </c>
      <c r="AQ401">
        <v>46247</v>
      </c>
      <c r="AR401">
        <v>0.34998842592592594</v>
      </c>
      <c r="AS401" t="s">
        <v>201</v>
      </c>
      <c r="AT401" t="s">
        <v>1954</v>
      </c>
      <c r="AU401" t="s">
        <v>1955</v>
      </c>
      <c r="AV401" t="s">
        <v>856</v>
      </c>
      <c r="AW401">
        <v>1</v>
      </c>
      <c r="AX401">
        <v>340</v>
      </c>
      <c r="AY401" t="s">
        <v>125</v>
      </c>
      <c r="AZ401" t="s">
        <v>122</v>
      </c>
      <c r="BA401" t="s">
        <v>232</v>
      </c>
      <c r="BB401" t="s">
        <v>891</v>
      </c>
      <c r="BE401">
        <v>34</v>
      </c>
    </row>
    <row r="402" spans="1:57" x14ac:dyDescent="0.3">
      <c r="A402" s="204">
        <v>46235</v>
      </c>
      <c r="B402" t="s">
        <v>142</v>
      </c>
      <c r="C402" t="s">
        <v>345</v>
      </c>
      <c r="D402" t="s">
        <v>48</v>
      </c>
      <c r="E402" t="s">
        <v>68</v>
      </c>
      <c r="F402" t="s">
        <v>309</v>
      </c>
      <c r="G402" t="s">
        <v>1308</v>
      </c>
      <c r="H402" t="s">
        <v>842</v>
      </c>
      <c r="I402" t="s">
        <v>401</v>
      </c>
      <c r="J402">
        <v>2</v>
      </c>
      <c r="K402">
        <v>2</v>
      </c>
      <c r="L402" t="s">
        <v>1309</v>
      </c>
      <c r="M402" s="15">
        <v>46241.31753472222</v>
      </c>
      <c r="N402" s="15">
        <v>46248.333333333336</v>
      </c>
      <c r="O402" s="15">
        <v>46241.34952546296</v>
      </c>
      <c r="P402" s="15">
        <v>46244.479166666664</v>
      </c>
      <c r="Q402" s="15"/>
      <c r="S402" t="s">
        <v>357</v>
      </c>
      <c r="V402" t="s">
        <v>357</v>
      </c>
      <c r="W402">
        <v>101</v>
      </c>
      <c r="X402" t="s">
        <v>369</v>
      </c>
      <c r="Y402" t="s">
        <v>239</v>
      </c>
      <c r="Z402" t="s">
        <v>826</v>
      </c>
      <c r="AB402" t="s">
        <v>348</v>
      </c>
      <c r="AC402" t="s">
        <v>348</v>
      </c>
      <c r="AD402" t="s">
        <v>369</v>
      </c>
      <c r="AE402" t="s">
        <v>239</v>
      </c>
      <c r="AF402" t="s">
        <v>1847</v>
      </c>
      <c r="AG402" t="s">
        <v>249</v>
      </c>
      <c r="AH402">
        <v>1</v>
      </c>
      <c r="AI402" t="s">
        <v>250</v>
      </c>
      <c r="AJ402" t="s">
        <v>248</v>
      </c>
      <c r="AK402" t="s">
        <v>827</v>
      </c>
      <c r="AL402" t="s">
        <v>156</v>
      </c>
      <c r="AM402" t="s">
        <v>832</v>
      </c>
      <c r="AN402">
        <v>1</v>
      </c>
      <c r="AO402">
        <v>46241</v>
      </c>
      <c r="AP402">
        <v>0.34952546296296294</v>
      </c>
      <c r="AQ402">
        <v>46244</v>
      </c>
      <c r="AR402">
        <v>0.47916666666666669</v>
      </c>
      <c r="AS402" t="s">
        <v>201</v>
      </c>
      <c r="AT402" t="s">
        <v>1956</v>
      </c>
      <c r="AU402" t="s">
        <v>1955</v>
      </c>
      <c r="AV402" t="s">
        <v>833</v>
      </c>
      <c r="AX402">
        <v>1</v>
      </c>
      <c r="AY402" t="s">
        <v>89</v>
      </c>
      <c r="AZ402" t="s">
        <v>90</v>
      </c>
      <c r="BA402" t="s">
        <v>217</v>
      </c>
      <c r="BB402" t="s">
        <v>847</v>
      </c>
      <c r="BC402">
        <v>23</v>
      </c>
    </row>
    <row r="403" spans="1:57" x14ac:dyDescent="0.3">
      <c r="A403" s="204">
        <v>46235</v>
      </c>
      <c r="B403" t="s">
        <v>142</v>
      </c>
      <c r="C403" t="s">
        <v>345</v>
      </c>
      <c r="D403" t="s">
        <v>63</v>
      </c>
      <c r="E403" t="s">
        <v>95</v>
      </c>
      <c r="F403" t="s">
        <v>309</v>
      </c>
      <c r="G403" t="s">
        <v>1310</v>
      </c>
      <c r="H403" t="s">
        <v>845</v>
      </c>
      <c r="I403" t="s">
        <v>402</v>
      </c>
      <c r="J403">
        <v>1</v>
      </c>
      <c r="K403">
        <v>1</v>
      </c>
      <c r="L403" t="s">
        <v>1311</v>
      </c>
      <c r="M403" s="15">
        <v>46239.716504629629</v>
      </c>
      <c r="N403" s="15">
        <v>46247.333333333336</v>
      </c>
      <c r="O403" s="15">
        <v>46240.376805555556</v>
      </c>
      <c r="P403" s="15">
        <v>46246.703472222223</v>
      </c>
      <c r="Q403" s="15"/>
      <c r="S403" t="s">
        <v>355</v>
      </c>
      <c r="T403" t="s">
        <v>1825</v>
      </c>
      <c r="U403" t="s">
        <v>1848</v>
      </c>
      <c r="V403" t="s">
        <v>355</v>
      </c>
      <c r="W403">
        <v>2200</v>
      </c>
      <c r="X403" t="s">
        <v>369</v>
      </c>
      <c r="Y403" t="s">
        <v>239</v>
      </c>
      <c r="Z403" t="s">
        <v>851</v>
      </c>
      <c r="AB403" t="s">
        <v>348</v>
      </c>
      <c r="AC403" t="s">
        <v>7</v>
      </c>
      <c r="AD403" t="s">
        <v>7</v>
      </c>
      <c r="AE403" t="s">
        <v>7</v>
      </c>
      <c r="AF403" t="s">
        <v>1849</v>
      </c>
      <c r="AG403" t="s">
        <v>249</v>
      </c>
      <c r="AH403">
        <v>2</v>
      </c>
      <c r="AI403" t="s">
        <v>250</v>
      </c>
      <c r="AJ403" t="s">
        <v>251</v>
      </c>
      <c r="AK403" t="s">
        <v>827</v>
      </c>
      <c r="AL403" t="s">
        <v>156</v>
      </c>
      <c r="AM403" t="s">
        <v>1594</v>
      </c>
      <c r="AO403">
        <v>46240</v>
      </c>
      <c r="AP403">
        <v>0.37680555555555556</v>
      </c>
      <c r="AQ403">
        <v>46246</v>
      </c>
      <c r="AR403">
        <v>0.70347222222222228</v>
      </c>
      <c r="AS403" t="s">
        <v>201</v>
      </c>
      <c r="AT403" t="s">
        <v>1954</v>
      </c>
      <c r="AU403" t="s">
        <v>1955</v>
      </c>
      <c r="AV403" t="s">
        <v>937</v>
      </c>
      <c r="AX403">
        <v>1</v>
      </c>
      <c r="AY403" t="s">
        <v>111</v>
      </c>
      <c r="AZ403" t="s">
        <v>96</v>
      </c>
      <c r="BA403" t="s">
        <v>225</v>
      </c>
      <c r="BB403" t="s">
        <v>859</v>
      </c>
    </row>
    <row r="404" spans="1:57" x14ac:dyDescent="0.3">
      <c r="A404" s="204">
        <v>46235</v>
      </c>
      <c r="B404" t="s">
        <v>142</v>
      </c>
      <c r="C404" t="s">
        <v>345</v>
      </c>
      <c r="D404" t="s">
        <v>57</v>
      </c>
      <c r="E404" t="s">
        <v>117</v>
      </c>
      <c r="F404" t="s">
        <v>309</v>
      </c>
      <c r="G404" t="s">
        <v>1310</v>
      </c>
      <c r="H404" t="s">
        <v>845</v>
      </c>
      <c r="I404" t="s">
        <v>402</v>
      </c>
      <c r="J404">
        <v>1</v>
      </c>
      <c r="K404">
        <v>1</v>
      </c>
      <c r="L404" t="s">
        <v>1311</v>
      </c>
      <c r="M404" s="15">
        <v>46239.716504629629</v>
      </c>
      <c r="N404" s="15">
        <v>46247.333333333336</v>
      </c>
      <c r="O404" s="15">
        <v>46240.376805555556</v>
      </c>
      <c r="P404" s="15">
        <v>46246.703472222223</v>
      </c>
      <c r="Q404" s="15"/>
      <c r="S404" t="s">
        <v>355</v>
      </c>
      <c r="T404" t="s">
        <v>1825</v>
      </c>
      <c r="U404" t="s">
        <v>1848</v>
      </c>
      <c r="V404" t="s">
        <v>355</v>
      </c>
      <c r="W404">
        <v>2200</v>
      </c>
      <c r="X404" t="s">
        <v>369</v>
      </c>
      <c r="Y404" t="s">
        <v>239</v>
      </c>
      <c r="Z404" t="s">
        <v>851</v>
      </c>
      <c r="AB404" t="s">
        <v>348</v>
      </c>
      <c r="AC404" t="s">
        <v>7</v>
      </c>
      <c r="AD404" t="s">
        <v>7</v>
      </c>
      <c r="AE404" t="s">
        <v>7</v>
      </c>
      <c r="AF404" t="s">
        <v>1850</v>
      </c>
      <c r="AG404" t="s">
        <v>249</v>
      </c>
      <c r="AH404">
        <v>2</v>
      </c>
      <c r="AI404" t="s">
        <v>250</v>
      </c>
      <c r="AJ404" t="s">
        <v>251</v>
      </c>
      <c r="AK404" t="s">
        <v>827</v>
      </c>
      <c r="AL404" t="s">
        <v>156</v>
      </c>
      <c r="AM404" t="s">
        <v>861</v>
      </c>
      <c r="AO404">
        <v>46240</v>
      </c>
      <c r="AP404">
        <v>0.37680555555555556</v>
      </c>
      <c r="AQ404">
        <v>46246</v>
      </c>
      <c r="AR404">
        <v>0.70347222222222228</v>
      </c>
      <c r="AS404" t="s">
        <v>201</v>
      </c>
      <c r="AT404" t="s">
        <v>1954</v>
      </c>
      <c r="AU404" t="s">
        <v>1955</v>
      </c>
      <c r="AV404" t="s">
        <v>862</v>
      </c>
      <c r="AX404">
        <v>1</v>
      </c>
      <c r="AY404" t="s">
        <v>126</v>
      </c>
      <c r="AZ404" t="s">
        <v>127</v>
      </c>
      <c r="BA404" t="s">
        <v>233</v>
      </c>
      <c r="BB404" t="s">
        <v>859</v>
      </c>
    </row>
    <row r="405" spans="1:57" x14ac:dyDescent="0.3">
      <c r="A405" s="204">
        <v>46235</v>
      </c>
      <c r="B405" t="s">
        <v>142</v>
      </c>
      <c r="C405" t="s">
        <v>345</v>
      </c>
      <c r="D405" t="s">
        <v>279</v>
      </c>
      <c r="E405" t="s">
        <v>192</v>
      </c>
      <c r="F405" t="s">
        <v>309</v>
      </c>
      <c r="G405" t="s">
        <v>1310</v>
      </c>
      <c r="H405" t="s">
        <v>845</v>
      </c>
      <c r="I405" t="s">
        <v>402</v>
      </c>
      <c r="J405">
        <v>1246</v>
      </c>
      <c r="K405">
        <v>1246</v>
      </c>
      <c r="L405" t="s">
        <v>1311</v>
      </c>
      <c r="M405" s="15">
        <v>46239.716504629629</v>
      </c>
      <c r="N405" s="15">
        <v>46247.333333333336</v>
      </c>
      <c r="O405" s="15">
        <v>46240.376805555556</v>
      </c>
      <c r="P405" s="15">
        <v>46246.703472222223</v>
      </c>
      <c r="Q405" s="15"/>
      <c r="S405" t="s">
        <v>355</v>
      </c>
      <c r="T405" t="s">
        <v>1825</v>
      </c>
      <c r="U405" t="s">
        <v>1848</v>
      </c>
      <c r="V405" t="s">
        <v>355</v>
      </c>
      <c r="W405">
        <v>2200</v>
      </c>
      <c r="X405" t="s">
        <v>369</v>
      </c>
      <c r="Y405" t="s">
        <v>239</v>
      </c>
      <c r="Z405" t="s">
        <v>851</v>
      </c>
      <c r="AB405" t="s">
        <v>348</v>
      </c>
      <c r="AC405" t="s">
        <v>7</v>
      </c>
      <c r="AD405" t="s">
        <v>7</v>
      </c>
      <c r="AE405" t="s">
        <v>7</v>
      </c>
      <c r="AF405" t="s">
        <v>1851</v>
      </c>
      <c r="AG405" t="s">
        <v>249</v>
      </c>
      <c r="AH405">
        <v>2</v>
      </c>
      <c r="AI405" t="s">
        <v>250</v>
      </c>
      <c r="AJ405" t="s">
        <v>248</v>
      </c>
      <c r="AK405" t="s">
        <v>827</v>
      </c>
      <c r="AL405" t="s">
        <v>156</v>
      </c>
      <c r="AM405" t="s">
        <v>855</v>
      </c>
      <c r="AN405">
        <v>3</v>
      </c>
      <c r="AO405">
        <v>46240</v>
      </c>
      <c r="AP405">
        <v>0.37680555555555556</v>
      </c>
      <c r="AQ405">
        <v>46246</v>
      </c>
      <c r="AR405">
        <v>0.70347222222222228</v>
      </c>
      <c r="AS405" t="s">
        <v>201</v>
      </c>
      <c r="AT405" t="s">
        <v>1956</v>
      </c>
      <c r="AU405" t="s">
        <v>1955</v>
      </c>
      <c r="AV405" t="s">
        <v>856</v>
      </c>
      <c r="AW405">
        <v>1</v>
      </c>
      <c r="AX405">
        <v>1246</v>
      </c>
      <c r="AY405" t="s">
        <v>125</v>
      </c>
      <c r="AZ405" t="s">
        <v>122</v>
      </c>
      <c r="BA405" t="s">
        <v>232</v>
      </c>
      <c r="BB405" t="s">
        <v>859</v>
      </c>
    </row>
    <row r="406" spans="1:57" x14ac:dyDescent="0.3">
      <c r="A406" s="204">
        <v>46230</v>
      </c>
      <c r="B406" t="s">
        <v>142</v>
      </c>
      <c r="C406" t="s">
        <v>345</v>
      </c>
      <c r="D406" t="s">
        <v>63</v>
      </c>
      <c r="E406" t="s">
        <v>95</v>
      </c>
      <c r="F406" t="s">
        <v>309</v>
      </c>
      <c r="G406" t="s">
        <v>1137</v>
      </c>
      <c r="H406" t="s">
        <v>1568</v>
      </c>
      <c r="I406" t="s">
        <v>420</v>
      </c>
      <c r="J406">
        <v>13</v>
      </c>
      <c r="K406">
        <v>13</v>
      </c>
      <c r="L406" t="s">
        <v>1145</v>
      </c>
      <c r="M406" s="15">
        <v>46217.60359953704</v>
      </c>
      <c r="N406" s="15">
        <v>46224.603472222225</v>
      </c>
      <c r="O406" s="15">
        <v>46237.518055555556</v>
      </c>
      <c r="P406" s="15">
        <v>46239.647916666669</v>
      </c>
      <c r="Q406" s="15"/>
      <c r="S406" t="s">
        <v>357</v>
      </c>
      <c r="T406" t="s">
        <v>1641</v>
      </c>
      <c r="U406" t="s">
        <v>1642</v>
      </c>
      <c r="V406" t="s">
        <v>357</v>
      </c>
      <c r="W406">
        <v>101</v>
      </c>
      <c r="X406" t="s">
        <v>369</v>
      </c>
      <c r="Y406" t="s">
        <v>239</v>
      </c>
      <c r="Z406" t="s">
        <v>851</v>
      </c>
      <c r="AB406" t="s">
        <v>348</v>
      </c>
      <c r="AC406" t="s">
        <v>7</v>
      </c>
      <c r="AD406" t="s">
        <v>7</v>
      </c>
      <c r="AE406" t="s">
        <v>7</v>
      </c>
      <c r="AF406" t="s">
        <v>1852</v>
      </c>
      <c r="AG406" t="s">
        <v>249</v>
      </c>
      <c r="AH406">
        <v>2</v>
      </c>
      <c r="AI406" t="s">
        <v>250</v>
      </c>
      <c r="AJ406" t="s">
        <v>251</v>
      </c>
      <c r="AK406" t="s">
        <v>827</v>
      </c>
      <c r="AL406" t="s">
        <v>156</v>
      </c>
      <c r="AM406" t="s">
        <v>1594</v>
      </c>
      <c r="AO406">
        <v>46237</v>
      </c>
      <c r="AP406">
        <v>0.5180555555555556</v>
      </c>
      <c r="AQ406">
        <v>46239</v>
      </c>
      <c r="AR406">
        <v>0.6479166666666667</v>
      </c>
      <c r="AS406" t="s">
        <v>201</v>
      </c>
      <c r="AT406" t="s">
        <v>1954</v>
      </c>
      <c r="AU406" t="s">
        <v>1955</v>
      </c>
      <c r="AV406" t="s">
        <v>937</v>
      </c>
      <c r="AX406">
        <v>13</v>
      </c>
      <c r="AY406" t="s">
        <v>111</v>
      </c>
      <c r="AZ406" t="s">
        <v>96</v>
      </c>
      <c r="BA406" t="s">
        <v>225</v>
      </c>
      <c r="BB406" t="s">
        <v>863</v>
      </c>
    </row>
    <row r="407" spans="1:57" x14ac:dyDescent="0.3">
      <c r="A407" s="204">
        <v>46237</v>
      </c>
      <c r="B407" t="s">
        <v>142</v>
      </c>
      <c r="C407" t="s">
        <v>345</v>
      </c>
      <c r="D407" t="s">
        <v>57</v>
      </c>
      <c r="E407" t="s">
        <v>117</v>
      </c>
      <c r="F407" t="s">
        <v>309</v>
      </c>
      <c r="G407" t="s">
        <v>755</v>
      </c>
      <c r="H407" t="s">
        <v>864</v>
      </c>
      <c r="I407" t="s">
        <v>420</v>
      </c>
      <c r="J407">
        <v>2</v>
      </c>
      <c r="K407">
        <v>2</v>
      </c>
      <c r="L407" t="s">
        <v>758</v>
      </c>
      <c r="M407" s="15">
        <v>46241.564421296294</v>
      </c>
      <c r="N407" s="15">
        <v>46248.563888888886</v>
      </c>
      <c r="O407" s="15">
        <v>46245.47152777778</v>
      </c>
      <c r="P407" s="15">
        <v>46253.505555555559</v>
      </c>
      <c r="Q407" s="15"/>
      <c r="S407" t="s">
        <v>397</v>
      </c>
      <c r="V407" t="s">
        <v>365</v>
      </c>
      <c r="W407">
        <v>2940</v>
      </c>
      <c r="X407" t="s">
        <v>377</v>
      </c>
      <c r="Y407" t="s">
        <v>293</v>
      </c>
      <c r="Z407" t="s">
        <v>851</v>
      </c>
      <c r="AB407" t="s">
        <v>350</v>
      </c>
      <c r="AC407" t="s">
        <v>7</v>
      </c>
      <c r="AD407" t="s">
        <v>7</v>
      </c>
      <c r="AE407" t="s">
        <v>7</v>
      </c>
      <c r="AF407" t="s">
        <v>869</v>
      </c>
      <c r="AG407" t="s">
        <v>250</v>
      </c>
      <c r="AH407">
        <v>2</v>
      </c>
      <c r="AI407" t="s">
        <v>250</v>
      </c>
      <c r="AJ407" t="s">
        <v>251</v>
      </c>
      <c r="AK407" t="s">
        <v>920</v>
      </c>
      <c r="AL407" t="s">
        <v>203</v>
      </c>
      <c r="AM407" t="s">
        <v>899</v>
      </c>
      <c r="AO407">
        <v>46245</v>
      </c>
      <c r="AP407">
        <v>0.47152777777777777</v>
      </c>
      <c r="AQ407">
        <v>46253</v>
      </c>
      <c r="AR407">
        <v>0.50555555555555554</v>
      </c>
      <c r="AS407" t="s">
        <v>1958</v>
      </c>
      <c r="AU407" t="s">
        <v>1955</v>
      </c>
      <c r="AV407" t="s">
        <v>862</v>
      </c>
      <c r="AX407">
        <v>1</v>
      </c>
      <c r="AY407" t="s">
        <v>126</v>
      </c>
      <c r="AZ407" t="s">
        <v>127</v>
      </c>
      <c r="BA407" t="s">
        <v>233</v>
      </c>
      <c r="BB407" t="s">
        <v>921</v>
      </c>
    </row>
    <row r="408" spans="1:57" x14ac:dyDescent="0.3">
      <c r="A408" s="204">
        <v>46237</v>
      </c>
      <c r="B408" t="s">
        <v>142</v>
      </c>
      <c r="C408" t="s">
        <v>346</v>
      </c>
      <c r="D408" t="s">
        <v>63</v>
      </c>
      <c r="E408" t="s">
        <v>95</v>
      </c>
      <c r="F408" t="s">
        <v>309</v>
      </c>
      <c r="G408" t="s">
        <v>1312</v>
      </c>
      <c r="H408" t="s">
        <v>842</v>
      </c>
      <c r="I408" t="s">
        <v>401</v>
      </c>
      <c r="J408">
        <v>1</v>
      </c>
      <c r="K408">
        <v>1</v>
      </c>
      <c r="L408" t="s">
        <v>1313</v>
      </c>
      <c r="M408" s="15">
        <v>46253.349317129629</v>
      </c>
      <c r="N408" s="15">
        <v>46260.349305555559</v>
      </c>
      <c r="O408" s="15">
        <v>46254.589212962965</v>
      </c>
      <c r="P408" s="15">
        <v>46254.65625</v>
      </c>
      <c r="Q408" s="15"/>
      <c r="S408" t="s">
        <v>396</v>
      </c>
      <c r="V408" t="s">
        <v>363</v>
      </c>
      <c r="W408">
        <v>2011</v>
      </c>
      <c r="X408" t="s">
        <v>352</v>
      </c>
      <c r="Y408" t="s">
        <v>262</v>
      </c>
      <c r="Z408" t="s">
        <v>851</v>
      </c>
      <c r="AB408" t="s">
        <v>350</v>
      </c>
      <c r="AC408" t="s">
        <v>7</v>
      </c>
      <c r="AD408" t="s">
        <v>7</v>
      </c>
      <c r="AE408" t="s">
        <v>7</v>
      </c>
      <c r="AF408" t="s">
        <v>1853</v>
      </c>
      <c r="AG408" t="s">
        <v>249</v>
      </c>
      <c r="AH408">
        <v>2</v>
      </c>
      <c r="AI408" t="s">
        <v>250</v>
      </c>
      <c r="AJ408" t="s">
        <v>251</v>
      </c>
      <c r="AK408" t="s">
        <v>922</v>
      </c>
      <c r="AL408" t="s">
        <v>156</v>
      </c>
      <c r="AM408" t="s">
        <v>936</v>
      </c>
      <c r="AO408">
        <v>46254</v>
      </c>
      <c r="AP408">
        <v>0.58921296296296299</v>
      </c>
      <c r="AQ408">
        <v>46254</v>
      </c>
      <c r="AR408">
        <v>0.65625</v>
      </c>
      <c r="AS408" t="s">
        <v>201</v>
      </c>
      <c r="AT408" t="s">
        <v>1954</v>
      </c>
      <c r="AU408" t="s">
        <v>1955</v>
      </c>
      <c r="AV408" t="s">
        <v>937</v>
      </c>
      <c r="AX408">
        <v>1</v>
      </c>
      <c r="AY408" t="s">
        <v>111</v>
      </c>
      <c r="AZ408" t="s">
        <v>96</v>
      </c>
      <c r="BA408" t="s">
        <v>225</v>
      </c>
      <c r="BB408" t="s">
        <v>924</v>
      </c>
      <c r="BE408">
        <v>1</v>
      </c>
    </row>
    <row r="409" spans="1:57" x14ac:dyDescent="0.3">
      <c r="A409" s="204">
        <v>46237</v>
      </c>
      <c r="B409" t="s">
        <v>142</v>
      </c>
      <c r="C409" t="s">
        <v>346</v>
      </c>
      <c r="D409" t="s">
        <v>279</v>
      </c>
      <c r="E409" t="s">
        <v>192</v>
      </c>
      <c r="F409" t="s">
        <v>309</v>
      </c>
      <c r="G409" t="s">
        <v>1314</v>
      </c>
      <c r="H409" t="s">
        <v>842</v>
      </c>
      <c r="I409" t="s">
        <v>401</v>
      </c>
      <c r="J409">
        <v>8</v>
      </c>
      <c r="K409">
        <v>8</v>
      </c>
      <c r="L409" t="s">
        <v>1315</v>
      </c>
      <c r="M409" s="15">
        <v>46253.579560185186</v>
      </c>
      <c r="N409" s="15">
        <v>46260.57916666667</v>
      </c>
      <c r="O409" s="15">
        <v>46258.391006944446</v>
      </c>
      <c r="P409" s="15">
        <v>46259.304861111108</v>
      </c>
      <c r="Q409" s="15"/>
      <c r="S409" t="s">
        <v>396</v>
      </c>
      <c r="V409" t="s">
        <v>363</v>
      </c>
      <c r="W409">
        <v>2011</v>
      </c>
      <c r="X409" t="s">
        <v>352</v>
      </c>
      <c r="Y409" t="s">
        <v>262</v>
      </c>
      <c r="Z409" t="s">
        <v>851</v>
      </c>
      <c r="AB409" t="s">
        <v>350</v>
      </c>
      <c r="AC409" t="s">
        <v>7</v>
      </c>
      <c r="AD409" t="s">
        <v>7</v>
      </c>
      <c r="AE409" t="s">
        <v>7</v>
      </c>
      <c r="AF409" t="s">
        <v>1854</v>
      </c>
      <c r="AG409" t="s">
        <v>249</v>
      </c>
      <c r="AH409">
        <v>2</v>
      </c>
      <c r="AI409" t="s">
        <v>250</v>
      </c>
      <c r="AJ409" t="s">
        <v>248</v>
      </c>
      <c r="AK409" t="s">
        <v>922</v>
      </c>
      <c r="AL409" t="s">
        <v>156</v>
      </c>
      <c r="AM409" t="s">
        <v>931</v>
      </c>
      <c r="AN409">
        <v>4</v>
      </c>
      <c r="AO409">
        <v>46258</v>
      </c>
      <c r="AP409">
        <v>0.39100694444444445</v>
      </c>
      <c r="AQ409">
        <v>46259</v>
      </c>
      <c r="AR409">
        <v>0.30486111111111114</v>
      </c>
      <c r="AS409" t="s">
        <v>201</v>
      </c>
      <c r="AT409" t="s">
        <v>1954</v>
      </c>
      <c r="AU409" t="s">
        <v>1955</v>
      </c>
      <c r="AV409" t="s">
        <v>856</v>
      </c>
      <c r="AW409">
        <v>1</v>
      </c>
      <c r="AX409">
        <v>8</v>
      </c>
      <c r="AY409" t="s">
        <v>125</v>
      </c>
      <c r="AZ409" t="s">
        <v>122</v>
      </c>
      <c r="BA409" t="s">
        <v>232</v>
      </c>
      <c r="BB409" t="s">
        <v>924</v>
      </c>
      <c r="BE409">
        <v>1</v>
      </c>
    </row>
    <row r="410" spans="1:57" x14ac:dyDescent="0.3">
      <c r="A410" s="204">
        <v>46237</v>
      </c>
      <c r="B410" t="s">
        <v>142</v>
      </c>
      <c r="C410" t="s">
        <v>346</v>
      </c>
      <c r="D410" t="s">
        <v>57</v>
      </c>
      <c r="E410" t="s">
        <v>117</v>
      </c>
      <c r="F410" t="s">
        <v>309</v>
      </c>
      <c r="G410" t="s">
        <v>1314</v>
      </c>
      <c r="H410" t="s">
        <v>842</v>
      </c>
      <c r="I410" t="s">
        <v>401</v>
      </c>
      <c r="J410">
        <v>1</v>
      </c>
      <c r="K410">
        <v>1</v>
      </c>
      <c r="L410" t="s">
        <v>1315</v>
      </c>
      <c r="M410" s="15">
        <v>46253.579560185186</v>
      </c>
      <c r="N410" s="15">
        <v>46260.57916666667</v>
      </c>
      <c r="O410" s="15">
        <v>46258.391006944446</v>
      </c>
      <c r="P410" s="15">
        <v>46259.304861111108</v>
      </c>
      <c r="Q410" s="15"/>
      <c r="S410" t="s">
        <v>396</v>
      </c>
      <c r="V410" t="s">
        <v>363</v>
      </c>
      <c r="W410">
        <v>2011</v>
      </c>
      <c r="X410" t="s">
        <v>352</v>
      </c>
      <c r="Y410" t="s">
        <v>262</v>
      </c>
      <c r="Z410" t="s">
        <v>851</v>
      </c>
      <c r="AB410" t="s">
        <v>350</v>
      </c>
      <c r="AC410" t="s">
        <v>7</v>
      </c>
      <c r="AD410" t="s">
        <v>7</v>
      </c>
      <c r="AE410" t="s">
        <v>7</v>
      </c>
      <c r="AF410" t="s">
        <v>1855</v>
      </c>
      <c r="AG410" t="s">
        <v>249</v>
      </c>
      <c r="AH410">
        <v>2</v>
      </c>
      <c r="AI410" t="s">
        <v>250</v>
      </c>
      <c r="AJ410" t="s">
        <v>251</v>
      </c>
      <c r="AK410" t="s">
        <v>922</v>
      </c>
      <c r="AL410" t="s">
        <v>156</v>
      </c>
      <c r="AM410" t="s">
        <v>923</v>
      </c>
      <c r="AO410">
        <v>46258</v>
      </c>
      <c r="AP410">
        <v>0.39100694444444445</v>
      </c>
      <c r="AQ410">
        <v>46259</v>
      </c>
      <c r="AR410">
        <v>0.30486111111111114</v>
      </c>
      <c r="AS410" t="s">
        <v>201</v>
      </c>
      <c r="AT410" t="s">
        <v>1954</v>
      </c>
      <c r="AU410" t="s">
        <v>1955</v>
      </c>
      <c r="AV410" t="s">
        <v>862</v>
      </c>
      <c r="AX410">
        <v>1</v>
      </c>
      <c r="AY410" t="s">
        <v>126</v>
      </c>
      <c r="AZ410" t="s">
        <v>127</v>
      </c>
      <c r="BA410" t="s">
        <v>233</v>
      </c>
      <c r="BB410" t="s">
        <v>924</v>
      </c>
      <c r="BE410">
        <v>1</v>
      </c>
    </row>
    <row r="411" spans="1:57" x14ac:dyDescent="0.3">
      <c r="A411" s="204">
        <v>46237</v>
      </c>
      <c r="B411" t="s">
        <v>142</v>
      </c>
      <c r="C411" t="s">
        <v>346</v>
      </c>
      <c r="D411" t="s">
        <v>63</v>
      </c>
      <c r="E411" t="s">
        <v>95</v>
      </c>
      <c r="F411" t="s">
        <v>309</v>
      </c>
      <c r="G411" t="s">
        <v>1314</v>
      </c>
      <c r="H411" t="s">
        <v>842</v>
      </c>
      <c r="I411" t="s">
        <v>401</v>
      </c>
      <c r="J411">
        <v>1</v>
      </c>
      <c r="K411">
        <v>1</v>
      </c>
      <c r="L411" t="s">
        <v>1315</v>
      </c>
      <c r="M411" s="15">
        <v>46253.579560185186</v>
      </c>
      <c r="N411" s="15">
        <v>46260.57916666667</v>
      </c>
      <c r="O411" s="15">
        <v>46258.391006944446</v>
      </c>
      <c r="P411" s="15">
        <v>46259.304861111108</v>
      </c>
      <c r="Q411" s="15"/>
      <c r="S411" t="s">
        <v>396</v>
      </c>
      <c r="V411" t="s">
        <v>363</v>
      </c>
      <c r="W411">
        <v>2011</v>
      </c>
      <c r="X411" t="s">
        <v>352</v>
      </c>
      <c r="Y411" t="s">
        <v>262</v>
      </c>
      <c r="Z411" t="s">
        <v>851</v>
      </c>
      <c r="AB411" t="s">
        <v>350</v>
      </c>
      <c r="AC411" t="s">
        <v>7</v>
      </c>
      <c r="AD411" t="s">
        <v>7</v>
      </c>
      <c r="AE411" t="s">
        <v>7</v>
      </c>
      <c r="AF411" t="s">
        <v>1856</v>
      </c>
      <c r="AG411" t="s">
        <v>249</v>
      </c>
      <c r="AH411">
        <v>2</v>
      </c>
      <c r="AI411" t="s">
        <v>250</v>
      </c>
      <c r="AJ411" t="s">
        <v>251</v>
      </c>
      <c r="AK411" t="s">
        <v>922</v>
      </c>
      <c r="AL411" t="s">
        <v>156</v>
      </c>
      <c r="AM411" t="s">
        <v>936</v>
      </c>
      <c r="AO411">
        <v>46258</v>
      </c>
      <c r="AP411">
        <v>0.39100694444444445</v>
      </c>
      <c r="AQ411">
        <v>46259</v>
      </c>
      <c r="AR411">
        <v>0.30486111111111114</v>
      </c>
      <c r="AS411" t="s">
        <v>201</v>
      </c>
      <c r="AT411" t="s">
        <v>1954</v>
      </c>
      <c r="AU411" t="s">
        <v>1955</v>
      </c>
      <c r="AV411" t="s">
        <v>937</v>
      </c>
      <c r="AX411">
        <v>1</v>
      </c>
      <c r="AY411" t="s">
        <v>111</v>
      </c>
      <c r="AZ411" t="s">
        <v>96</v>
      </c>
      <c r="BA411" t="s">
        <v>225</v>
      </c>
      <c r="BB411" t="s">
        <v>924</v>
      </c>
      <c r="BE411">
        <v>1</v>
      </c>
    </row>
    <row r="412" spans="1:57" x14ac:dyDescent="0.3">
      <c r="A412" s="204">
        <v>46237</v>
      </c>
      <c r="B412" t="s">
        <v>142</v>
      </c>
      <c r="C412" t="s">
        <v>346</v>
      </c>
      <c r="D412" t="s">
        <v>279</v>
      </c>
      <c r="E412" t="s">
        <v>192</v>
      </c>
      <c r="F412" t="s">
        <v>309</v>
      </c>
      <c r="G412" t="s">
        <v>1316</v>
      </c>
      <c r="H412" t="s">
        <v>1857</v>
      </c>
      <c r="I412" t="s">
        <v>1317</v>
      </c>
      <c r="J412">
        <v>1</v>
      </c>
      <c r="K412">
        <v>1</v>
      </c>
      <c r="L412" t="s">
        <v>1318</v>
      </c>
      <c r="M412" s="15">
        <v>46247.459618055553</v>
      </c>
      <c r="N412" s="15">
        <v>46254.459027777775</v>
      </c>
      <c r="O412" s="15">
        <v>46247.561030092591</v>
      </c>
      <c r="P412" s="15">
        <v>46254.421527777777</v>
      </c>
      <c r="Q412" s="15"/>
      <c r="S412" t="s">
        <v>396</v>
      </c>
      <c r="V412" t="s">
        <v>363</v>
      </c>
      <c r="W412">
        <v>2011</v>
      </c>
      <c r="X412" t="s">
        <v>352</v>
      </c>
      <c r="Y412" t="s">
        <v>262</v>
      </c>
      <c r="Z412" t="s">
        <v>851</v>
      </c>
      <c r="AB412" t="s">
        <v>350</v>
      </c>
      <c r="AC412" t="s">
        <v>7</v>
      </c>
      <c r="AD412" t="s">
        <v>7</v>
      </c>
      <c r="AE412" t="s">
        <v>7</v>
      </c>
      <c r="AF412" t="s">
        <v>1858</v>
      </c>
      <c r="AG412" t="s">
        <v>249</v>
      </c>
      <c r="AH412">
        <v>2</v>
      </c>
      <c r="AI412" t="s">
        <v>250</v>
      </c>
      <c r="AJ412" t="s">
        <v>248</v>
      </c>
      <c r="AK412" t="s">
        <v>922</v>
      </c>
      <c r="AL412" t="s">
        <v>156</v>
      </c>
      <c r="AM412" t="s">
        <v>931</v>
      </c>
      <c r="AN412">
        <v>4</v>
      </c>
      <c r="AO412">
        <v>46247</v>
      </c>
      <c r="AP412">
        <v>0.56103009259259262</v>
      </c>
      <c r="AQ412">
        <v>46254</v>
      </c>
      <c r="AR412">
        <v>0.42152777777777778</v>
      </c>
      <c r="AS412" t="s">
        <v>201</v>
      </c>
      <c r="AT412" t="s">
        <v>1956</v>
      </c>
      <c r="AU412" t="s">
        <v>1955</v>
      </c>
      <c r="AV412" t="s">
        <v>856</v>
      </c>
      <c r="AW412">
        <v>1</v>
      </c>
      <c r="AX412">
        <v>1</v>
      </c>
      <c r="AY412" t="s">
        <v>125</v>
      </c>
      <c r="AZ412" t="s">
        <v>122</v>
      </c>
      <c r="BA412" t="s">
        <v>232</v>
      </c>
      <c r="BB412" t="s">
        <v>924</v>
      </c>
      <c r="BE412">
        <v>7.9</v>
      </c>
    </row>
    <row r="413" spans="1:57" x14ac:dyDescent="0.3">
      <c r="A413" s="204">
        <v>46237</v>
      </c>
      <c r="B413" t="s">
        <v>142</v>
      </c>
      <c r="C413" t="s">
        <v>346</v>
      </c>
      <c r="D413" t="s">
        <v>57</v>
      </c>
      <c r="E413" t="s">
        <v>117</v>
      </c>
      <c r="F413" t="s">
        <v>309</v>
      </c>
      <c r="G413" t="s">
        <v>1319</v>
      </c>
      <c r="H413" t="s">
        <v>930</v>
      </c>
      <c r="I413" t="s">
        <v>405</v>
      </c>
      <c r="J413">
        <v>8</v>
      </c>
      <c r="K413">
        <v>8</v>
      </c>
      <c r="L413" t="s">
        <v>1320</v>
      </c>
      <c r="M413" s="15">
        <v>46251.30840277778</v>
      </c>
      <c r="N413" s="15">
        <v>46258.333333333336</v>
      </c>
      <c r="O413" s="15">
        <v>46251.581250000003</v>
      </c>
      <c r="P413" s="15">
        <v>46252.500694444447</v>
      </c>
      <c r="Q413" s="15"/>
      <c r="S413" t="s">
        <v>396</v>
      </c>
      <c r="V413" t="s">
        <v>363</v>
      </c>
      <c r="W413">
        <v>2011</v>
      </c>
      <c r="X413" t="s">
        <v>352</v>
      </c>
      <c r="Y413" t="s">
        <v>262</v>
      </c>
      <c r="Z413" t="s">
        <v>851</v>
      </c>
      <c r="AB413" t="s">
        <v>350</v>
      </c>
      <c r="AC413" t="s">
        <v>7</v>
      </c>
      <c r="AD413" t="s">
        <v>7</v>
      </c>
      <c r="AE413" t="s">
        <v>7</v>
      </c>
      <c r="AF413" t="s">
        <v>1859</v>
      </c>
      <c r="AG413" t="s">
        <v>249</v>
      </c>
      <c r="AH413">
        <v>2</v>
      </c>
      <c r="AI413" t="s">
        <v>250</v>
      </c>
      <c r="AJ413" t="s">
        <v>251</v>
      </c>
      <c r="AK413" t="s">
        <v>922</v>
      </c>
      <c r="AL413" t="s">
        <v>156</v>
      </c>
      <c r="AM413" t="s">
        <v>923</v>
      </c>
      <c r="AO413">
        <v>46251</v>
      </c>
      <c r="AP413">
        <v>0.58125000000000004</v>
      </c>
      <c r="AQ413">
        <v>46252</v>
      </c>
      <c r="AR413">
        <v>0.50069444444444444</v>
      </c>
      <c r="AS413" t="s">
        <v>201</v>
      </c>
      <c r="AT413" t="s">
        <v>1954</v>
      </c>
      <c r="AU413" t="s">
        <v>1955</v>
      </c>
      <c r="AV413" t="s">
        <v>862</v>
      </c>
      <c r="AX413">
        <v>1</v>
      </c>
      <c r="AY413" t="s">
        <v>126</v>
      </c>
      <c r="AZ413" t="s">
        <v>127</v>
      </c>
      <c r="BA413" t="s">
        <v>233</v>
      </c>
      <c r="BB413" t="s">
        <v>924</v>
      </c>
      <c r="BE413">
        <v>1</v>
      </c>
    </row>
    <row r="414" spans="1:57" x14ac:dyDescent="0.3">
      <c r="A414" s="204">
        <v>46237</v>
      </c>
      <c r="B414" t="s">
        <v>142</v>
      </c>
      <c r="C414" t="s">
        <v>346</v>
      </c>
      <c r="D414" t="s">
        <v>63</v>
      </c>
      <c r="E414" t="s">
        <v>95</v>
      </c>
      <c r="F414" t="s">
        <v>309</v>
      </c>
      <c r="G414" t="s">
        <v>1319</v>
      </c>
      <c r="H414" t="s">
        <v>930</v>
      </c>
      <c r="I414" t="s">
        <v>405</v>
      </c>
      <c r="J414">
        <v>8</v>
      </c>
      <c r="K414">
        <v>8</v>
      </c>
      <c r="L414" t="s">
        <v>1320</v>
      </c>
      <c r="M414" s="15">
        <v>46251.30840277778</v>
      </c>
      <c r="N414" s="15">
        <v>46258.333333333336</v>
      </c>
      <c r="O414" s="15">
        <v>46251.581250000003</v>
      </c>
      <c r="P414" s="15">
        <v>46252.500694444447</v>
      </c>
      <c r="Q414" s="15"/>
      <c r="S414" t="s">
        <v>396</v>
      </c>
      <c r="V414" t="s">
        <v>363</v>
      </c>
      <c r="W414">
        <v>2011</v>
      </c>
      <c r="X414" t="s">
        <v>352</v>
      </c>
      <c r="Y414" t="s">
        <v>262</v>
      </c>
      <c r="Z414" t="s">
        <v>851</v>
      </c>
      <c r="AB414" t="s">
        <v>350</v>
      </c>
      <c r="AC414" t="s">
        <v>7</v>
      </c>
      <c r="AD414" t="s">
        <v>7</v>
      </c>
      <c r="AE414" t="s">
        <v>7</v>
      </c>
      <c r="AF414" t="s">
        <v>1860</v>
      </c>
      <c r="AG414" t="s">
        <v>249</v>
      </c>
      <c r="AH414">
        <v>2</v>
      </c>
      <c r="AI414" t="s">
        <v>250</v>
      </c>
      <c r="AJ414" t="s">
        <v>251</v>
      </c>
      <c r="AK414" t="s">
        <v>922</v>
      </c>
      <c r="AL414" t="s">
        <v>156</v>
      </c>
      <c r="AM414" t="s">
        <v>936</v>
      </c>
      <c r="AO414">
        <v>46251</v>
      </c>
      <c r="AP414">
        <v>0.58125000000000004</v>
      </c>
      <c r="AQ414">
        <v>46252</v>
      </c>
      <c r="AR414">
        <v>0.50069444444444444</v>
      </c>
      <c r="AS414" t="s">
        <v>201</v>
      </c>
      <c r="AT414" t="s">
        <v>1954</v>
      </c>
      <c r="AU414" t="s">
        <v>1955</v>
      </c>
      <c r="AV414" t="s">
        <v>937</v>
      </c>
      <c r="AX414">
        <v>8</v>
      </c>
      <c r="AY414" t="s">
        <v>111</v>
      </c>
      <c r="AZ414" t="s">
        <v>96</v>
      </c>
      <c r="BA414" t="s">
        <v>225</v>
      </c>
      <c r="BB414" t="s">
        <v>924</v>
      </c>
      <c r="BE414">
        <v>1.9</v>
      </c>
    </row>
    <row r="415" spans="1:57" x14ac:dyDescent="0.3">
      <c r="A415" s="204">
        <v>46237</v>
      </c>
      <c r="B415" t="s">
        <v>142</v>
      </c>
      <c r="C415" t="s">
        <v>346</v>
      </c>
      <c r="D415" t="s">
        <v>279</v>
      </c>
      <c r="E415" t="s">
        <v>192</v>
      </c>
      <c r="F415" t="s">
        <v>309</v>
      </c>
      <c r="G415" t="s">
        <v>1321</v>
      </c>
      <c r="H415" t="s">
        <v>930</v>
      </c>
      <c r="I415" t="s">
        <v>405</v>
      </c>
      <c r="J415">
        <v>908</v>
      </c>
      <c r="K415">
        <v>908</v>
      </c>
      <c r="L415" t="s">
        <v>1322</v>
      </c>
      <c r="M415" s="15">
        <v>46251.36582175926</v>
      </c>
      <c r="N415" s="15">
        <v>46258.365277777775</v>
      </c>
      <c r="O415" s="15">
        <v>46251.588622685187</v>
      </c>
      <c r="P415" s="15">
        <v>46252.654166666667</v>
      </c>
      <c r="Q415" s="15"/>
      <c r="S415" t="s">
        <v>396</v>
      </c>
      <c r="V415" t="s">
        <v>363</v>
      </c>
      <c r="W415">
        <v>2011</v>
      </c>
      <c r="X415" t="s">
        <v>352</v>
      </c>
      <c r="Y415" t="s">
        <v>262</v>
      </c>
      <c r="Z415" t="s">
        <v>851</v>
      </c>
      <c r="AB415" t="s">
        <v>350</v>
      </c>
      <c r="AC415" t="s">
        <v>7</v>
      </c>
      <c r="AD415" t="s">
        <v>7</v>
      </c>
      <c r="AE415" t="s">
        <v>7</v>
      </c>
      <c r="AF415" t="s">
        <v>1861</v>
      </c>
      <c r="AG415" t="s">
        <v>249</v>
      </c>
      <c r="AH415">
        <v>2</v>
      </c>
      <c r="AI415" t="s">
        <v>250</v>
      </c>
      <c r="AJ415" t="s">
        <v>248</v>
      </c>
      <c r="AK415" t="s">
        <v>922</v>
      </c>
      <c r="AL415" t="s">
        <v>156</v>
      </c>
      <c r="AM415" t="s">
        <v>931</v>
      </c>
      <c r="AN415">
        <v>4</v>
      </c>
      <c r="AO415">
        <v>46251</v>
      </c>
      <c r="AP415">
        <v>0.58862268518518523</v>
      </c>
      <c r="AQ415">
        <v>46252</v>
      </c>
      <c r="AR415">
        <v>0.65416666666666667</v>
      </c>
      <c r="AS415" t="s">
        <v>201</v>
      </c>
      <c r="AT415" t="s">
        <v>1954</v>
      </c>
      <c r="AU415" t="s">
        <v>1955</v>
      </c>
      <c r="AV415" t="s">
        <v>856</v>
      </c>
      <c r="AW415">
        <v>1</v>
      </c>
      <c r="AX415">
        <v>908</v>
      </c>
      <c r="AY415" t="s">
        <v>125</v>
      </c>
      <c r="AZ415" t="s">
        <v>122</v>
      </c>
      <c r="BA415" t="s">
        <v>232</v>
      </c>
      <c r="BB415" t="s">
        <v>924</v>
      </c>
      <c r="BE415">
        <v>156.4</v>
      </c>
    </row>
    <row r="416" spans="1:57" x14ac:dyDescent="0.3">
      <c r="A416" s="204">
        <v>46237</v>
      </c>
      <c r="B416" t="s">
        <v>142</v>
      </c>
      <c r="C416" t="s">
        <v>346</v>
      </c>
      <c r="D416" t="s">
        <v>57</v>
      </c>
      <c r="E416" t="s">
        <v>117</v>
      </c>
      <c r="F416" t="s">
        <v>309</v>
      </c>
      <c r="G416" t="s">
        <v>1321</v>
      </c>
      <c r="H416" t="s">
        <v>930</v>
      </c>
      <c r="I416" t="s">
        <v>405</v>
      </c>
      <c r="J416">
        <v>11</v>
      </c>
      <c r="K416">
        <v>11</v>
      </c>
      <c r="L416" t="s">
        <v>1322</v>
      </c>
      <c r="M416" s="15">
        <v>46251.36582175926</v>
      </c>
      <c r="N416" s="15">
        <v>46258.365277777775</v>
      </c>
      <c r="O416" s="15">
        <v>46251.588622685187</v>
      </c>
      <c r="P416" s="15">
        <v>46252.654166666667</v>
      </c>
      <c r="Q416" s="15"/>
      <c r="S416" t="s">
        <v>396</v>
      </c>
      <c r="V416" t="s">
        <v>363</v>
      </c>
      <c r="W416">
        <v>2011</v>
      </c>
      <c r="X416" t="s">
        <v>352</v>
      </c>
      <c r="Y416" t="s">
        <v>262</v>
      </c>
      <c r="Z416" t="s">
        <v>851</v>
      </c>
      <c r="AB416" t="s">
        <v>350</v>
      </c>
      <c r="AC416" t="s">
        <v>7</v>
      </c>
      <c r="AD416" t="s">
        <v>7</v>
      </c>
      <c r="AE416" t="s">
        <v>7</v>
      </c>
      <c r="AF416" t="s">
        <v>1862</v>
      </c>
      <c r="AG416" t="s">
        <v>249</v>
      </c>
      <c r="AH416">
        <v>2</v>
      </c>
      <c r="AI416" t="s">
        <v>250</v>
      </c>
      <c r="AJ416" t="s">
        <v>251</v>
      </c>
      <c r="AK416" t="s">
        <v>922</v>
      </c>
      <c r="AL416" t="s">
        <v>156</v>
      </c>
      <c r="AM416" t="s">
        <v>923</v>
      </c>
      <c r="AO416">
        <v>46251</v>
      </c>
      <c r="AP416">
        <v>0.58862268518518523</v>
      </c>
      <c r="AQ416">
        <v>46252</v>
      </c>
      <c r="AR416">
        <v>0.65416666666666667</v>
      </c>
      <c r="AS416" t="s">
        <v>201</v>
      </c>
      <c r="AT416" t="s">
        <v>1954</v>
      </c>
      <c r="AU416" t="s">
        <v>1955</v>
      </c>
      <c r="AV416" t="s">
        <v>862</v>
      </c>
      <c r="AX416">
        <v>1.1000000000000001</v>
      </c>
      <c r="AY416" t="s">
        <v>126</v>
      </c>
      <c r="AZ416" t="s">
        <v>127</v>
      </c>
      <c r="BA416" t="s">
        <v>233</v>
      </c>
      <c r="BB416" t="s">
        <v>924</v>
      </c>
    </row>
    <row r="417" spans="1:57" x14ac:dyDescent="0.3">
      <c r="A417" s="204">
        <v>46237</v>
      </c>
      <c r="B417" t="s">
        <v>142</v>
      </c>
      <c r="C417" t="s">
        <v>346</v>
      </c>
      <c r="D417" t="s">
        <v>63</v>
      </c>
      <c r="E417" t="s">
        <v>95</v>
      </c>
      <c r="F417" t="s">
        <v>309</v>
      </c>
      <c r="G417" t="s">
        <v>1321</v>
      </c>
      <c r="H417" t="s">
        <v>930</v>
      </c>
      <c r="I417" t="s">
        <v>405</v>
      </c>
      <c r="J417">
        <v>11</v>
      </c>
      <c r="K417">
        <v>11</v>
      </c>
      <c r="L417" t="s">
        <v>1322</v>
      </c>
      <c r="M417" s="15">
        <v>46251.36582175926</v>
      </c>
      <c r="N417" s="15">
        <v>46258.365277777775</v>
      </c>
      <c r="O417" s="15">
        <v>46251.588622685187</v>
      </c>
      <c r="P417" s="15">
        <v>46252.654166666667</v>
      </c>
      <c r="Q417" s="15"/>
      <c r="S417" t="s">
        <v>396</v>
      </c>
      <c r="V417" t="s">
        <v>363</v>
      </c>
      <c r="W417">
        <v>2011</v>
      </c>
      <c r="X417" t="s">
        <v>352</v>
      </c>
      <c r="Y417" t="s">
        <v>262</v>
      </c>
      <c r="Z417" t="s">
        <v>851</v>
      </c>
      <c r="AB417" t="s">
        <v>350</v>
      </c>
      <c r="AC417" t="s">
        <v>7</v>
      </c>
      <c r="AD417" t="s">
        <v>7</v>
      </c>
      <c r="AE417" t="s">
        <v>7</v>
      </c>
      <c r="AF417" t="s">
        <v>1863</v>
      </c>
      <c r="AG417" t="s">
        <v>249</v>
      </c>
      <c r="AH417">
        <v>2</v>
      </c>
      <c r="AI417" t="s">
        <v>250</v>
      </c>
      <c r="AJ417" t="s">
        <v>251</v>
      </c>
      <c r="AK417" t="s">
        <v>922</v>
      </c>
      <c r="AL417" t="s">
        <v>156</v>
      </c>
      <c r="AM417" t="s">
        <v>936</v>
      </c>
      <c r="AO417">
        <v>46251</v>
      </c>
      <c r="AP417">
        <v>0.58862268518518523</v>
      </c>
      <c r="AQ417">
        <v>46252</v>
      </c>
      <c r="AR417">
        <v>0.65416666666666667</v>
      </c>
      <c r="AS417" t="s">
        <v>201</v>
      </c>
      <c r="AT417" t="s">
        <v>1954</v>
      </c>
      <c r="AU417" t="s">
        <v>1955</v>
      </c>
      <c r="AV417" t="s">
        <v>937</v>
      </c>
      <c r="AX417">
        <v>11</v>
      </c>
      <c r="AY417" t="s">
        <v>111</v>
      </c>
      <c r="AZ417" t="s">
        <v>96</v>
      </c>
      <c r="BA417" t="s">
        <v>225</v>
      </c>
      <c r="BB417" t="s">
        <v>924</v>
      </c>
    </row>
    <row r="418" spans="1:57" x14ac:dyDescent="0.3">
      <c r="A418" s="204">
        <v>46237</v>
      </c>
      <c r="B418" t="s">
        <v>142</v>
      </c>
      <c r="C418" t="s">
        <v>346</v>
      </c>
      <c r="D418" t="s">
        <v>279</v>
      </c>
      <c r="E418" t="s">
        <v>192</v>
      </c>
      <c r="F418" t="s">
        <v>309</v>
      </c>
      <c r="G418" t="s">
        <v>1323</v>
      </c>
      <c r="H418" t="s">
        <v>930</v>
      </c>
      <c r="I418" t="s">
        <v>405</v>
      </c>
      <c r="J418">
        <v>77</v>
      </c>
      <c r="K418">
        <v>77</v>
      </c>
      <c r="L418" t="s">
        <v>1324</v>
      </c>
      <c r="M418" s="15">
        <v>46253.33861111111</v>
      </c>
      <c r="N418" s="15">
        <v>46260.338194444441</v>
      </c>
      <c r="O418" s="15">
        <v>46254.578773148147</v>
      </c>
      <c r="P418" s="15">
        <v>46254.634722222225</v>
      </c>
      <c r="Q418" s="15"/>
      <c r="S418" t="s">
        <v>396</v>
      </c>
      <c r="V418" t="s">
        <v>363</v>
      </c>
      <c r="W418">
        <v>2011</v>
      </c>
      <c r="X418" t="s">
        <v>352</v>
      </c>
      <c r="Y418" t="s">
        <v>262</v>
      </c>
      <c r="Z418" t="s">
        <v>851</v>
      </c>
      <c r="AB418" t="s">
        <v>350</v>
      </c>
      <c r="AC418" t="s">
        <v>7</v>
      </c>
      <c r="AD418" t="s">
        <v>7</v>
      </c>
      <c r="AE418" t="s">
        <v>7</v>
      </c>
      <c r="AF418" t="s">
        <v>1864</v>
      </c>
      <c r="AG418" t="s">
        <v>249</v>
      </c>
      <c r="AH418">
        <v>2</v>
      </c>
      <c r="AI418" t="s">
        <v>250</v>
      </c>
      <c r="AJ418" t="s">
        <v>248</v>
      </c>
      <c r="AK418" t="s">
        <v>922</v>
      </c>
      <c r="AL418" t="s">
        <v>156</v>
      </c>
      <c r="AM418" t="s">
        <v>931</v>
      </c>
      <c r="AN418">
        <v>4</v>
      </c>
      <c r="AO418">
        <v>46254</v>
      </c>
      <c r="AP418">
        <v>0.57877314814814818</v>
      </c>
      <c r="AQ418">
        <v>46254</v>
      </c>
      <c r="AR418">
        <v>0.63472222222222219</v>
      </c>
      <c r="AS418" t="s">
        <v>201</v>
      </c>
      <c r="AT418" t="s">
        <v>1954</v>
      </c>
      <c r="AU418" t="s">
        <v>1955</v>
      </c>
      <c r="AV418" t="s">
        <v>856</v>
      </c>
      <c r="AW418">
        <v>1</v>
      </c>
      <c r="AX418">
        <v>77</v>
      </c>
      <c r="AY418" t="s">
        <v>125</v>
      </c>
      <c r="AZ418" t="s">
        <v>122</v>
      </c>
      <c r="BA418" t="s">
        <v>232</v>
      </c>
      <c r="BB418" t="s">
        <v>924</v>
      </c>
    </row>
    <row r="419" spans="1:57" x14ac:dyDescent="0.3">
      <c r="A419" s="204">
        <v>46237</v>
      </c>
      <c r="B419" t="s">
        <v>142</v>
      </c>
      <c r="C419" t="s">
        <v>346</v>
      </c>
      <c r="D419" t="s">
        <v>57</v>
      </c>
      <c r="E419" t="s">
        <v>117</v>
      </c>
      <c r="F419" t="s">
        <v>309</v>
      </c>
      <c r="G419" t="s">
        <v>1323</v>
      </c>
      <c r="H419" t="s">
        <v>930</v>
      </c>
      <c r="I419" t="s">
        <v>405</v>
      </c>
      <c r="J419">
        <v>2</v>
      </c>
      <c r="K419">
        <v>2</v>
      </c>
      <c r="L419" t="s">
        <v>1324</v>
      </c>
      <c r="M419" s="15">
        <v>46253.33861111111</v>
      </c>
      <c r="N419" s="15">
        <v>46260.338194444441</v>
      </c>
      <c r="O419" s="15">
        <v>46254.578773148147</v>
      </c>
      <c r="P419" s="15">
        <v>46254.634722222225</v>
      </c>
      <c r="Q419" s="15"/>
      <c r="S419" t="s">
        <v>396</v>
      </c>
      <c r="V419" t="s">
        <v>363</v>
      </c>
      <c r="W419">
        <v>2011</v>
      </c>
      <c r="X419" t="s">
        <v>352</v>
      </c>
      <c r="Y419" t="s">
        <v>262</v>
      </c>
      <c r="Z419" t="s">
        <v>851</v>
      </c>
      <c r="AB419" t="s">
        <v>350</v>
      </c>
      <c r="AC419" t="s">
        <v>7</v>
      </c>
      <c r="AD419" t="s">
        <v>7</v>
      </c>
      <c r="AE419" t="s">
        <v>7</v>
      </c>
      <c r="AF419" t="s">
        <v>1865</v>
      </c>
      <c r="AG419" t="s">
        <v>249</v>
      </c>
      <c r="AH419">
        <v>2</v>
      </c>
      <c r="AI419" t="s">
        <v>250</v>
      </c>
      <c r="AJ419" t="s">
        <v>251</v>
      </c>
      <c r="AK419" t="s">
        <v>922</v>
      </c>
      <c r="AL419" t="s">
        <v>156</v>
      </c>
      <c r="AM419" t="s">
        <v>923</v>
      </c>
      <c r="AO419">
        <v>46254</v>
      </c>
      <c r="AP419">
        <v>0.57877314814814818</v>
      </c>
      <c r="AQ419">
        <v>46254</v>
      </c>
      <c r="AR419">
        <v>0.63472222222222219</v>
      </c>
      <c r="AS419" t="s">
        <v>201</v>
      </c>
      <c r="AT419" t="s">
        <v>1954</v>
      </c>
      <c r="AU419" t="s">
        <v>1955</v>
      </c>
      <c r="AV419" t="s">
        <v>862</v>
      </c>
      <c r="AX419">
        <v>1</v>
      </c>
      <c r="AY419" t="s">
        <v>126</v>
      </c>
      <c r="AZ419" t="s">
        <v>127</v>
      </c>
      <c r="BA419" t="s">
        <v>233</v>
      </c>
      <c r="BB419" t="s">
        <v>924</v>
      </c>
      <c r="BE419">
        <v>1</v>
      </c>
    </row>
    <row r="420" spans="1:57" x14ac:dyDescent="0.3">
      <c r="A420" s="204">
        <v>46237</v>
      </c>
      <c r="B420" t="s">
        <v>142</v>
      </c>
      <c r="C420" t="s">
        <v>346</v>
      </c>
      <c r="D420" t="s">
        <v>279</v>
      </c>
      <c r="E420" t="s">
        <v>192</v>
      </c>
      <c r="F420" t="s">
        <v>309</v>
      </c>
      <c r="G420" t="s">
        <v>1312</v>
      </c>
      <c r="H420" t="s">
        <v>842</v>
      </c>
      <c r="I420" t="s">
        <v>401</v>
      </c>
      <c r="J420">
        <v>1</v>
      </c>
      <c r="K420">
        <v>1</v>
      </c>
      <c r="L420" t="s">
        <v>1313</v>
      </c>
      <c r="M420" s="15">
        <v>46253.349317129629</v>
      </c>
      <c r="N420" s="15">
        <v>46260.349305555559</v>
      </c>
      <c r="O420" s="15">
        <v>46254.589212962965</v>
      </c>
      <c r="P420" s="15">
        <v>46254.65625</v>
      </c>
      <c r="Q420" s="15"/>
      <c r="S420" t="s">
        <v>396</v>
      </c>
      <c r="V420" t="s">
        <v>363</v>
      </c>
      <c r="W420">
        <v>2011</v>
      </c>
      <c r="X420" t="s">
        <v>352</v>
      </c>
      <c r="Y420" t="s">
        <v>262</v>
      </c>
      <c r="Z420" t="s">
        <v>851</v>
      </c>
      <c r="AB420" t="s">
        <v>350</v>
      </c>
      <c r="AC420" t="s">
        <v>7</v>
      </c>
      <c r="AD420" t="s">
        <v>7</v>
      </c>
      <c r="AE420" t="s">
        <v>7</v>
      </c>
      <c r="AF420" t="s">
        <v>1866</v>
      </c>
      <c r="AG420" t="s">
        <v>249</v>
      </c>
      <c r="AH420">
        <v>2</v>
      </c>
      <c r="AI420" t="s">
        <v>250</v>
      </c>
      <c r="AJ420" t="s">
        <v>248</v>
      </c>
      <c r="AK420" t="s">
        <v>922</v>
      </c>
      <c r="AL420" t="s">
        <v>156</v>
      </c>
      <c r="AM420" t="s">
        <v>931</v>
      </c>
      <c r="AN420">
        <v>4</v>
      </c>
      <c r="AO420">
        <v>46254</v>
      </c>
      <c r="AP420">
        <v>0.58921296296296299</v>
      </c>
      <c r="AQ420">
        <v>46254</v>
      </c>
      <c r="AR420">
        <v>0.65625</v>
      </c>
      <c r="AS420" t="s">
        <v>201</v>
      </c>
      <c r="AT420" t="s">
        <v>1954</v>
      </c>
      <c r="AU420" t="s">
        <v>1955</v>
      </c>
      <c r="AV420" t="s">
        <v>856</v>
      </c>
      <c r="AW420">
        <v>1</v>
      </c>
      <c r="AX420">
        <v>1</v>
      </c>
      <c r="AY420" t="s">
        <v>125</v>
      </c>
      <c r="AZ420" t="s">
        <v>122</v>
      </c>
      <c r="BA420" t="s">
        <v>232</v>
      </c>
      <c r="BB420" t="s">
        <v>924</v>
      </c>
    </row>
    <row r="421" spans="1:57" x14ac:dyDescent="0.3">
      <c r="A421" s="204">
        <v>46237</v>
      </c>
      <c r="B421" t="s">
        <v>142</v>
      </c>
      <c r="C421" t="s">
        <v>346</v>
      </c>
      <c r="D421" t="s">
        <v>57</v>
      </c>
      <c r="E421" t="s">
        <v>117</v>
      </c>
      <c r="F421" t="s">
        <v>309</v>
      </c>
      <c r="G421" t="s">
        <v>1312</v>
      </c>
      <c r="H421" t="s">
        <v>842</v>
      </c>
      <c r="I421" t="s">
        <v>401</v>
      </c>
      <c r="J421">
        <v>1</v>
      </c>
      <c r="K421">
        <v>1</v>
      </c>
      <c r="L421" t="s">
        <v>1313</v>
      </c>
      <c r="M421" s="15">
        <v>46253.349317129629</v>
      </c>
      <c r="N421" s="15">
        <v>46260.349305555559</v>
      </c>
      <c r="O421" s="15">
        <v>46254.589212962965</v>
      </c>
      <c r="P421" s="15">
        <v>46254.65625</v>
      </c>
      <c r="Q421" s="15"/>
      <c r="S421" t="s">
        <v>396</v>
      </c>
      <c r="V421" t="s">
        <v>363</v>
      </c>
      <c r="W421">
        <v>2011</v>
      </c>
      <c r="X421" t="s">
        <v>352</v>
      </c>
      <c r="Y421" t="s">
        <v>262</v>
      </c>
      <c r="Z421" t="s">
        <v>851</v>
      </c>
      <c r="AB421" t="s">
        <v>350</v>
      </c>
      <c r="AC421" t="s">
        <v>7</v>
      </c>
      <c r="AD421" t="s">
        <v>7</v>
      </c>
      <c r="AE421" t="s">
        <v>7</v>
      </c>
      <c r="AF421" t="s">
        <v>1867</v>
      </c>
      <c r="AG421" t="s">
        <v>249</v>
      </c>
      <c r="AH421">
        <v>2</v>
      </c>
      <c r="AI421" t="s">
        <v>250</v>
      </c>
      <c r="AJ421" t="s">
        <v>251</v>
      </c>
      <c r="AK421" t="s">
        <v>922</v>
      </c>
      <c r="AL421" t="s">
        <v>156</v>
      </c>
      <c r="AM421" t="s">
        <v>923</v>
      </c>
      <c r="AO421">
        <v>46254</v>
      </c>
      <c r="AP421">
        <v>0.58921296296296299</v>
      </c>
      <c r="AQ421">
        <v>46254</v>
      </c>
      <c r="AR421">
        <v>0.65625</v>
      </c>
      <c r="AS421" t="s">
        <v>201</v>
      </c>
      <c r="AT421" t="s">
        <v>1954</v>
      </c>
      <c r="AU421" t="s">
        <v>1955</v>
      </c>
      <c r="AV421" t="s">
        <v>862</v>
      </c>
      <c r="AX421">
        <v>1</v>
      </c>
      <c r="AY421" t="s">
        <v>126</v>
      </c>
      <c r="AZ421" t="s">
        <v>127</v>
      </c>
      <c r="BA421" t="s">
        <v>233</v>
      </c>
      <c r="BB421" t="s">
        <v>924</v>
      </c>
    </row>
    <row r="422" spans="1:57" x14ac:dyDescent="0.3">
      <c r="A422" s="204">
        <v>46237</v>
      </c>
      <c r="B422" t="s">
        <v>142</v>
      </c>
      <c r="C422" t="s">
        <v>346</v>
      </c>
      <c r="D422" t="s">
        <v>279</v>
      </c>
      <c r="E422" t="s">
        <v>192</v>
      </c>
      <c r="F422" t="s">
        <v>309</v>
      </c>
      <c r="G422" t="s">
        <v>1319</v>
      </c>
      <c r="H422" t="s">
        <v>930</v>
      </c>
      <c r="I422" t="s">
        <v>405</v>
      </c>
      <c r="J422">
        <v>656</v>
      </c>
      <c r="K422">
        <v>656</v>
      </c>
      <c r="L422" t="s">
        <v>1320</v>
      </c>
      <c r="M422" s="15">
        <v>46251.30840277778</v>
      </c>
      <c r="N422" s="15">
        <v>46258.333333333336</v>
      </c>
      <c r="O422" s="15">
        <v>46251.581250000003</v>
      </c>
      <c r="P422" s="15">
        <v>46252.500694444447</v>
      </c>
      <c r="Q422" s="15"/>
      <c r="S422" t="s">
        <v>396</v>
      </c>
      <c r="V422" t="s">
        <v>363</v>
      </c>
      <c r="W422">
        <v>2011</v>
      </c>
      <c r="X422" t="s">
        <v>352</v>
      </c>
      <c r="Y422" t="s">
        <v>262</v>
      </c>
      <c r="Z422" t="s">
        <v>851</v>
      </c>
      <c r="AB422" t="s">
        <v>350</v>
      </c>
      <c r="AC422" t="s">
        <v>7</v>
      </c>
      <c r="AD422" t="s">
        <v>7</v>
      </c>
      <c r="AE422" t="s">
        <v>7</v>
      </c>
      <c r="AF422" t="s">
        <v>1868</v>
      </c>
      <c r="AG422" t="s">
        <v>249</v>
      </c>
      <c r="AH422">
        <v>2</v>
      </c>
      <c r="AI422" t="s">
        <v>250</v>
      </c>
      <c r="AJ422" t="s">
        <v>248</v>
      </c>
      <c r="AK422" t="s">
        <v>922</v>
      </c>
      <c r="AL422" t="s">
        <v>156</v>
      </c>
      <c r="AM422" t="s">
        <v>931</v>
      </c>
      <c r="AN422">
        <v>4</v>
      </c>
      <c r="AO422">
        <v>46251</v>
      </c>
      <c r="AP422">
        <v>0.58125000000000004</v>
      </c>
      <c r="AQ422">
        <v>46252</v>
      </c>
      <c r="AR422">
        <v>0.50069444444444444</v>
      </c>
      <c r="AS422" t="s">
        <v>201</v>
      </c>
      <c r="AT422" t="s">
        <v>1954</v>
      </c>
      <c r="AU422" t="s">
        <v>1955</v>
      </c>
      <c r="AV422" t="s">
        <v>856</v>
      </c>
      <c r="AW422">
        <v>1</v>
      </c>
      <c r="AX422">
        <v>656</v>
      </c>
      <c r="AY422" t="s">
        <v>125</v>
      </c>
      <c r="AZ422" t="s">
        <v>122</v>
      </c>
      <c r="BA422" t="s">
        <v>232</v>
      </c>
      <c r="BB422" t="s">
        <v>924</v>
      </c>
    </row>
    <row r="423" spans="1:57" x14ac:dyDescent="0.3">
      <c r="A423" s="204">
        <v>46237</v>
      </c>
      <c r="B423" t="s">
        <v>142</v>
      </c>
      <c r="C423" t="s">
        <v>346</v>
      </c>
      <c r="D423" t="s">
        <v>63</v>
      </c>
      <c r="E423" t="s">
        <v>95</v>
      </c>
      <c r="F423" t="s">
        <v>309</v>
      </c>
      <c r="G423" t="s">
        <v>1323</v>
      </c>
      <c r="H423" t="s">
        <v>930</v>
      </c>
      <c r="I423" t="s">
        <v>405</v>
      </c>
      <c r="J423">
        <v>2</v>
      </c>
      <c r="K423">
        <v>2</v>
      </c>
      <c r="L423" t="s">
        <v>1324</v>
      </c>
      <c r="M423" s="15">
        <v>46253.33861111111</v>
      </c>
      <c r="N423" s="15">
        <v>46260.338194444441</v>
      </c>
      <c r="O423" s="15">
        <v>46254.578773148147</v>
      </c>
      <c r="P423" s="15">
        <v>46254.634722222225</v>
      </c>
      <c r="Q423" s="15"/>
      <c r="S423" t="s">
        <v>396</v>
      </c>
      <c r="V423" t="s">
        <v>363</v>
      </c>
      <c r="W423">
        <v>2011</v>
      </c>
      <c r="X423" t="s">
        <v>352</v>
      </c>
      <c r="Y423" t="s">
        <v>262</v>
      </c>
      <c r="Z423" t="s">
        <v>851</v>
      </c>
      <c r="AB423" t="s">
        <v>350</v>
      </c>
      <c r="AC423" t="s">
        <v>7</v>
      </c>
      <c r="AD423" t="s">
        <v>7</v>
      </c>
      <c r="AE423" t="s">
        <v>7</v>
      </c>
      <c r="AF423" t="s">
        <v>1869</v>
      </c>
      <c r="AG423" t="s">
        <v>249</v>
      </c>
      <c r="AH423">
        <v>2</v>
      </c>
      <c r="AI423" t="s">
        <v>250</v>
      </c>
      <c r="AJ423" t="s">
        <v>251</v>
      </c>
      <c r="AK423" t="s">
        <v>922</v>
      </c>
      <c r="AL423" t="s">
        <v>156</v>
      </c>
      <c r="AM423" t="s">
        <v>936</v>
      </c>
      <c r="AO423">
        <v>46254</v>
      </c>
      <c r="AP423">
        <v>0.57877314814814818</v>
      </c>
      <c r="AQ423">
        <v>46254</v>
      </c>
      <c r="AR423">
        <v>0.63472222222222219</v>
      </c>
      <c r="AS423" t="s">
        <v>201</v>
      </c>
      <c r="AT423" t="s">
        <v>1954</v>
      </c>
      <c r="AU423" t="s">
        <v>1955</v>
      </c>
      <c r="AV423" t="s">
        <v>937</v>
      </c>
      <c r="AX423">
        <v>2</v>
      </c>
      <c r="AY423" t="s">
        <v>111</v>
      </c>
      <c r="AZ423" t="s">
        <v>96</v>
      </c>
      <c r="BA423" t="s">
        <v>225</v>
      </c>
      <c r="BB423" t="s">
        <v>924</v>
      </c>
    </row>
    <row r="424" spans="1:57" x14ac:dyDescent="0.3">
      <c r="A424" s="204">
        <v>46235</v>
      </c>
      <c r="B424" t="s">
        <v>142</v>
      </c>
      <c r="C424" t="s">
        <v>346</v>
      </c>
      <c r="D424" t="s">
        <v>279</v>
      </c>
      <c r="E424" t="s">
        <v>192</v>
      </c>
      <c r="F424" t="s">
        <v>309</v>
      </c>
      <c r="G424" t="s">
        <v>1325</v>
      </c>
      <c r="H424" t="s">
        <v>930</v>
      </c>
      <c r="I424" t="s">
        <v>405</v>
      </c>
      <c r="J424">
        <v>1289</v>
      </c>
      <c r="K424">
        <v>1289</v>
      </c>
      <c r="L424" t="s">
        <v>1326</v>
      </c>
      <c r="M424" s="15">
        <v>46176.3434837963</v>
      </c>
      <c r="N424" s="15">
        <v>46183.343055555553</v>
      </c>
      <c r="O424" s="15">
        <v>46176.640972222223</v>
      </c>
      <c r="P424" s="15">
        <v>46232.525000000001</v>
      </c>
      <c r="Q424" s="15"/>
      <c r="S424" t="s">
        <v>396</v>
      </c>
      <c r="T424" t="s">
        <v>932</v>
      </c>
      <c r="U424" t="s">
        <v>1870</v>
      </c>
      <c r="V424" t="s">
        <v>363</v>
      </c>
      <c r="W424">
        <v>2011</v>
      </c>
      <c r="X424" t="s">
        <v>352</v>
      </c>
      <c r="Y424" t="s">
        <v>262</v>
      </c>
      <c r="Z424" t="s">
        <v>851</v>
      </c>
      <c r="AB424" t="s">
        <v>350</v>
      </c>
      <c r="AC424" t="s">
        <v>7</v>
      </c>
      <c r="AD424" t="s">
        <v>7</v>
      </c>
      <c r="AE424" t="s">
        <v>7</v>
      </c>
      <c r="AF424" t="s">
        <v>1871</v>
      </c>
      <c r="AG424" t="s">
        <v>249</v>
      </c>
      <c r="AH424">
        <v>2</v>
      </c>
      <c r="AI424" t="s">
        <v>250</v>
      </c>
      <c r="AJ424" t="s">
        <v>248</v>
      </c>
      <c r="AK424" t="s">
        <v>922</v>
      </c>
      <c r="AL424" t="s">
        <v>156</v>
      </c>
      <c r="AM424" t="s">
        <v>931</v>
      </c>
      <c r="AN424">
        <v>4</v>
      </c>
      <c r="AO424">
        <v>46176</v>
      </c>
      <c r="AP424">
        <v>0.64097222222222228</v>
      </c>
      <c r="AQ424">
        <v>46232</v>
      </c>
      <c r="AR424">
        <v>0.52500000000000002</v>
      </c>
      <c r="AS424" t="s">
        <v>201</v>
      </c>
      <c r="AT424" t="s">
        <v>1956</v>
      </c>
      <c r="AU424" t="s">
        <v>1955</v>
      </c>
      <c r="AV424" t="s">
        <v>856</v>
      </c>
      <c r="AW424">
        <v>1</v>
      </c>
      <c r="AX424">
        <v>1289</v>
      </c>
      <c r="AY424" t="s">
        <v>125</v>
      </c>
      <c r="AZ424" t="s">
        <v>122</v>
      </c>
      <c r="BA424" t="s">
        <v>232</v>
      </c>
      <c r="BB424" t="s">
        <v>924</v>
      </c>
      <c r="BE424">
        <v>279.39999999999998</v>
      </c>
    </row>
    <row r="425" spans="1:57" x14ac:dyDescent="0.3">
      <c r="A425" s="204">
        <v>46235</v>
      </c>
      <c r="B425" t="s">
        <v>142</v>
      </c>
      <c r="C425" t="s">
        <v>346</v>
      </c>
      <c r="D425" t="s">
        <v>51</v>
      </c>
      <c r="E425" t="s">
        <v>258</v>
      </c>
      <c r="F425" t="s">
        <v>309</v>
      </c>
      <c r="G425" t="s">
        <v>1327</v>
      </c>
      <c r="H425" t="s">
        <v>925</v>
      </c>
      <c r="I425" t="s">
        <v>418</v>
      </c>
      <c r="J425">
        <v>40</v>
      </c>
      <c r="K425">
        <v>40</v>
      </c>
      <c r="L425" t="s">
        <v>1328</v>
      </c>
      <c r="M425" s="15">
        <v>46227.403078703705</v>
      </c>
      <c r="N425" s="15">
        <v>46234.402777777781</v>
      </c>
      <c r="O425" s="15">
        <v>46227.627268518518</v>
      </c>
      <c r="P425" s="15">
        <v>46234.486111111109</v>
      </c>
      <c r="Q425" s="15"/>
      <c r="S425" t="s">
        <v>396</v>
      </c>
      <c r="V425" t="s">
        <v>363</v>
      </c>
      <c r="W425">
        <v>2011</v>
      </c>
      <c r="X425" t="s">
        <v>352</v>
      </c>
      <c r="Y425" t="s">
        <v>262</v>
      </c>
      <c r="Z425" t="s">
        <v>851</v>
      </c>
      <c r="AB425" t="s">
        <v>350</v>
      </c>
      <c r="AC425" t="s">
        <v>7</v>
      </c>
      <c r="AD425" t="s">
        <v>7</v>
      </c>
      <c r="AE425" t="s">
        <v>7</v>
      </c>
      <c r="AF425" t="s">
        <v>1872</v>
      </c>
      <c r="AG425" t="s">
        <v>249</v>
      </c>
      <c r="AH425">
        <v>1</v>
      </c>
      <c r="AI425" t="s">
        <v>250</v>
      </c>
      <c r="AJ425" t="s">
        <v>248</v>
      </c>
      <c r="AK425" t="s">
        <v>922</v>
      </c>
      <c r="AL425" t="s">
        <v>156</v>
      </c>
      <c r="AM425" t="s">
        <v>926</v>
      </c>
      <c r="AN425">
        <v>2</v>
      </c>
      <c r="AO425">
        <v>46227</v>
      </c>
      <c r="AP425">
        <v>0.6272685185185185</v>
      </c>
      <c r="AQ425">
        <v>46234</v>
      </c>
      <c r="AR425">
        <v>0.4861111111111111</v>
      </c>
      <c r="AS425" t="s">
        <v>201</v>
      </c>
      <c r="AT425" t="s">
        <v>1956</v>
      </c>
      <c r="AU425" t="s">
        <v>1955</v>
      </c>
      <c r="AV425" t="s">
        <v>853</v>
      </c>
      <c r="AY425" t="s">
        <v>7</v>
      </c>
      <c r="AZ425" t="s">
        <v>238</v>
      </c>
      <c r="BA425" t="s">
        <v>7</v>
      </c>
      <c r="BB425" t="s">
        <v>924</v>
      </c>
      <c r="BE425">
        <v>0</v>
      </c>
    </row>
    <row r="426" spans="1:57" x14ac:dyDescent="0.3">
      <c r="A426" s="204">
        <v>46230</v>
      </c>
      <c r="B426" t="s">
        <v>142</v>
      </c>
      <c r="C426" t="s">
        <v>346</v>
      </c>
      <c r="D426" t="s">
        <v>45</v>
      </c>
      <c r="E426" t="s">
        <v>68</v>
      </c>
      <c r="F426" t="s">
        <v>309</v>
      </c>
      <c r="G426" t="s">
        <v>1329</v>
      </c>
      <c r="H426" t="s">
        <v>938</v>
      </c>
      <c r="I426" t="s">
        <v>421</v>
      </c>
      <c r="J426">
        <v>9</v>
      </c>
      <c r="K426">
        <v>9</v>
      </c>
      <c r="L426" t="s">
        <v>1330</v>
      </c>
      <c r="M426" s="15">
        <v>46223.312245370369</v>
      </c>
      <c r="N426" s="15">
        <v>46230.333333333336</v>
      </c>
      <c r="O426" s="15">
        <v>46223.463888888888</v>
      </c>
      <c r="P426" s="15">
        <v>46226.486805555556</v>
      </c>
      <c r="Q426" s="15"/>
      <c r="S426" t="s">
        <v>395</v>
      </c>
      <c r="T426" t="s">
        <v>837</v>
      </c>
      <c r="U426" t="s">
        <v>1873</v>
      </c>
      <c r="V426" t="s">
        <v>395</v>
      </c>
      <c r="X426" t="s">
        <v>376</v>
      </c>
      <c r="Y426" t="s">
        <v>295</v>
      </c>
      <c r="Z426" t="s">
        <v>826</v>
      </c>
      <c r="AB426" t="s">
        <v>350</v>
      </c>
      <c r="AC426" t="s">
        <v>350</v>
      </c>
      <c r="AD426" t="s">
        <v>374</v>
      </c>
      <c r="AE426" t="s">
        <v>262</v>
      </c>
      <c r="AF426" t="s">
        <v>1874</v>
      </c>
      <c r="AG426" t="s">
        <v>249</v>
      </c>
      <c r="AH426">
        <v>1</v>
      </c>
      <c r="AI426" t="s">
        <v>250</v>
      </c>
      <c r="AJ426" t="s">
        <v>248</v>
      </c>
      <c r="AK426" t="s">
        <v>933</v>
      </c>
      <c r="AL426" t="s">
        <v>204</v>
      </c>
      <c r="AM426" t="s">
        <v>934</v>
      </c>
      <c r="AN426">
        <v>3</v>
      </c>
      <c r="AO426">
        <v>46223</v>
      </c>
      <c r="AP426">
        <v>0.46388888888888891</v>
      </c>
      <c r="AQ426">
        <v>46226</v>
      </c>
      <c r="AR426">
        <v>0.48680555555555555</v>
      </c>
      <c r="AS426" t="s">
        <v>201</v>
      </c>
      <c r="AT426" t="s">
        <v>1956</v>
      </c>
      <c r="AU426" t="s">
        <v>1955</v>
      </c>
      <c r="AV426" t="s">
        <v>829</v>
      </c>
      <c r="AX426">
        <v>1</v>
      </c>
      <c r="AY426" t="s">
        <v>89</v>
      </c>
      <c r="AZ426" t="s">
        <v>67</v>
      </c>
      <c r="BA426" t="s">
        <v>217</v>
      </c>
      <c r="BB426" t="s">
        <v>935</v>
      </c>
      <c r="BE426">
        <v>1</v>
      </c>
    </row>
    <row r="427" spans="1:57" x14ac:dyDescent="0.3">
      <c r="A427" s="204">
        <v>46230</v>
      </c>
      <c r="B427" t="s">
        <v>142</v>
      </c>
      <c r="C427" t="s">
        <v>346</v>
      </c>
      <c r="D427" t="s">
        <v>45</v>
      </c>
      <c r="E427" t="s">
        <v>68</v>
      </c>
      <c r="F427" t="s">
        <v>309</v>
      </c>
      <c r="G427" t="s">
        <v>1331</v>
      </c>
      <c r="H427" t="s">
        <v>1875</v>
      </c>
      <c r="I427" t="s">
        <v>1332</v>
      </c>
      <c r="J427">
        <v>2</v>
      </c>
      <c r="K427">
        <v>2</v>
      </c>
      <c r="L427" t="s">
        <v>1333</v>
      </c>
      <c r="M427" s="15">
        <v>46217.387696759259</v>
      </c>
      <c r="N427" s="15">
        <v>46224.387499999997</v>
      </c>
      <c r="O427" s="15">
        <v>46217.475694444445</v>
      </c>
      <c r="P427" s="15">
        <v>46230.486111111109</v>
      </c>
      <c r="Q427" s="15"/>
      <c r="S427" t="s">
        <v>364</v>
      </c>
      <c r="T427" t="s">
        <v>837</v>
      </c>
      <c r="U427" t="s">
        <v>1876</v>
      </c>
      <c r="V427" t="s">
        <v>364</v>
      </c>
      <c r="W427">
        <v>1950</v>
      </c>
      <c r="X427" t="s">
        <v>375</v>
      </c>
      <c r="Y427" t="s">
        <v>265</v>
      </c>
      <c r="Z427" t="s">
        <v>826</v>
      </c>
      <c r="AB427" t="s">
        <v>350</v>
      </c>
      <c r="AC427" t="s">
        <v>350</v>
      </c>
      <c r="AD427" t="s">
        <v>374</v>
      </c>
      <c r="AE427" t="s">
        <v>262</v>
      </c>
      <c r="AF427" t="s">
        <v>1877</v>
      </c>
      <c r="AG427" t="s">
        <v>249</v>
      </c>
      <c r="AH427">
        <v>1</v>
      </c>
      <c r="AI427" t="s">
        <v>250</v>
      </c>
      <c r="AJ427" t="s">
        <v>248</v>
      </c>
      <c r="AK427" t="s">
        <v>927</v>
      </c>
      <c r="AL427" t="s">
        <v>203</v>
      </c>
      <c r="AM427" t="s">
        <v>928</v>
      </c>
      <c r="AN427">
        <v>2</v>
      </c>
      <c r="AO427">
        <v>46217</v>
      </c>
      <c r="AP427">
        <v>0.47569444444444442</v>
      </c>
      <c r="AQ427">
        <v>46230</v>
      </c>
      <c r="AR427">
        <v>0.4861111111111111</v>
      </c>
      <c r="AS427" t="s">
        <v>201</v>
      </c>
      <c r="AT427" t="s">
        <v>1956</v>
      </c>
      <c r="AU427" t="s">
        <v>1955</v>
      </c>
      <c r="AV427" t="s">
        <v>829</v>
      </c>
      <c r="AX427">
        <v>1</v>
      </c>
      <c r="AY427" t="s">
        <v>89</v>
      </c>
      <c r="AZ427" t="s">
        <v>67</v>
      </c>
      <c r="BA427" t="s">
        <v>217</v>
      </c>
      <c r="BB427" t="s">
        <v>929</v>
      </c>
      <c r="BC427">
        <v>778</v>
      </c>
      <c r="BD427">
        <v>678</v>
      </c>
      <c r="BE427">
        <v>1</v>
      </c>
    </row>
    <row r="428" spans="1:57" x14ac:dyDescent="0.3">
      <c r="A428" s="204">
        <v>46235</v>
      </c>
      <c r="B428" t="s">
        <v>142</v>
      </c>
      <c r="C428" t="s">
        <v>346</v>
      </c>
      <c r="D428" t="s">
        <v>63</v>
      </c>
      <c r="E428" t="s">
        <v>95</v>
      </c>
      <c r="F428" t="s">
        <v>309</v>
      </c>
      <c r="G428" t="s">
        <v>1334</v>
      </c>
      <c r="H428" t="s">
        <v>930</v>
      </c>
      <c r="I428" t="s">
        <v>405</v>
      </c>
      <c r="J428">
        <v>9</v>
      </c>
      <c r="K428">
        <v>9</v>
      </c>
      <c r="L428" t="s">
        <v>1335</v>
      </c>
      <c r="M428" s="15">
        <v>46244.363599537035</v>
      </c>
      <c r="N428" s="15">
        <v>46251.363194444442</v>
      </c>
      <c r="O428" s="15">
        <v>46244.70039351852</v>
      </c>
      <c r="P428" s="15">
        <v>46246.680555555555</v>
      </c>
      <c r="Q428" s="15"/>
      <c r="S428" t="s">
        <v>396</v>
      </c>
      <c r="U428" t="s">
        <v>1878</v>
      </c>
      <c r="V428" t="s">
        <v>363</v>
      </c>
      <c r="W428">
        <v>2011</v>
      </c>
      <c r="X428" t="s">
        <v>352</v>
      </c>
      <c r="Y428" t="s">
        <v>262</v>
      </c>
      <c r="Z428" t="s">
        <v>851</v>
      </c>
      <c r="AB428" t="s">
        <v>350</v>
      </c>
      <c r="AC428" t="s">
        <v>7</v>
      </c>
      <c r="AD428" t="s">
        <v>7</v>
      </c>
      <c r="AE428" t="s">
        <v>7</v>
      </c>
      <c r="AF428" t="s">
        <v>1879</v>
      </c>
      <c r="AG428" t="s">
        <v>249</v>
      </c>
      <c r="AH428">
        <v>2</v>
      </c>
      <c r="AI428" t="s">
        <v>250</v>
      </c>
      <c r="AJ428" t="s">
        <v>251</v>
      </c>
      <c r="AK428" t="s">
        <v>922</v>
      </c>
      <c r="AL428" t="s">
        <v>156</v>
      </c>
      <c r="AM428" t="s">
        <v>936</v>
      </c>
      <c r="AO428">
        <v>46244</v>
      </c>
      <c r="AP428">
        <v>0.7003935185185185</v>
      </c>
      <c r="AQ428">
        <v>46246</v>
      </c>
      <c r="AR428">
        <v>0.68055555555555558</v>
      </c>
      <c r="AS428" t="s">
        <v>201</v>
      </c>
      <c r="AT428" t="s">
        <v>1954</v>
      </c>
      <c r="AU428" t="s">
        <v>1955</v>
      </c>
      <c r="AV428" t="s">
        <v>937</v>
      </c>
      <c r="AX428">
        <v>9</v>
      </c>
      <c r="AY428" t="s">
        <v>111</v>
      </c>
      <c r="AZ428" t="s">
        <v>96</v>
      </c>
      <c r="BA428" t="s">
        <v>225</v>
      </c>
      <c r="BB428" t="s">
        <v>924</v>
      </c>
      <c r="BE428">
        <v>1</v>
      </c>
    </row>
    <row r="429" spans="1:57" x14ac:dyDescent="0.3">
      <c r="A429" s="204">
        <v>46235</v>
      </c>
      <c r="B429" t="s">
        <v>142</v>
      </c>
      <c r="C429" t="s">
        <v>346</v>
      </c>
      <c r="D429" t="s">
        <v>57</v>
      </c>
      <c r="E429" t="s">
        <v>117</v>
      </c>
      <c r="F429" t="s">
        <v>309</v>
      </c>
      <c r="G429" t="s">
        <v>1334</v>
      </c>
      <c r="H429" t="s">
        <v>930</v>
      </c>
      <c r="I429" t="s">
        <v>405</v>
      </c>
      <c r="J429">
        <v>9</v>
      </c>
      <c r="K429">
        <v>9</v>
      </c>
      <c r="L429" t="s">
        <v>1335</v>
      </c>
      <c r="M429" s="15">
        <v>46244.363599537035</v>
      </c>
      <c r="N429" s="15">
        <v>46251.363194444442</v>
      </c>
      <c r="O429" s="15">
        <v>46244.70039351852</v>
      </c>
      <c r="P429" s="15">
        <v>46246.680555555555</v>
      </c>
      <c r="Q429" s="15"/>
      <c r="S429" t="s">
        <v>396</v>
      </c>
      <c r="U429" t="s">
        <v>1878</v>
      </c>
      <c r="V429" t="s">
        <v>363</v>
      </c>
      <c r="W429">
        <v>2011</v>
      </c>
      <c r="X429" t="s">
        <v>352</v>
      </c>
      <c r="Y429" t="s">
        <v>262</v>
      </c>
      <c r="Z429" t="s">
        <v>851</v>
      </c>
      <c r="AB429" t="s">
        <v>350</v>
      </c>
      <c r="AC429" t="s">
        <v>7</v>
      </c>
      <c r="AD429" t="s">
        <v>7</v>
      </c>
      <c r="AE429" t="s">
        <v>7</v>
      </c>
      <c r="AF429" t="s">
        <v>1880</v>
      </c>
      <c r="AG429" t="s">
        <v>249</v>
      </c>
      <c r="AH429">
        <v>2</v>
      </c>
      <c r="AI429" t="s">
        <v>250</v>
      </c>
      <c r="AJ429" t="s">
        <v>251</v>
      </c>
      <c r="AK429" t="s">
        <v>922</v>
      </c>
      <c r="AL429" t="s">
        <v>156</v>
      </c>
      <c r="AM429" t="s">
        <v>923</v>
      </c>
      <c r="AO429">
        <v>46244</v>
      </c>
      <c r="AP429">
        <v>0.7003935185185185</v>
      </c>
      <c r="AQ429">
        <v>46246</v>
      </c>
      <c r="AR429">
        <v>0.68055555555555558</v>
      </c>
      <c r="AS429" t="s">
        <v>201</v>
      </c>
      <c r="AT429" t="s">
        <v>1954</v>
      </c>
      <c r="AU429" t="s">
        <v>1955</v>
      </c>
      <c r="AV429" t="s">
        <v>862</v>
      </c>
      <c r="AX429">
        <v>1</v>
      </c>
      <c r="AY429" t="s">
        <v>126</v>
      </c>
      <c r="AZ429" t="s">
        <v>127</v>
      </c>
      <c r="BA429" t="s">
        <v>233</v>
      </c>
      <c r="BB429" t="s">
        <v>924</v>
      </c>
      <c r="BE429">
        <v>1</v>
      </c>
    </row>
    <row r="430" spans="1:57" x14ac:dyDescent="0.3">
      <c r="A430" s="204">
        <v>46235</v>
      </c>
      <c r="B430" t="s">
        <v>142</v>
      </c>
      <c r="C430" t="s">
        <v>346</v>
      </c>
      <c r="D430" t="s">
        <v>279</v>
      </c>
      <c r="E430" t="s">
        <v>192</v>
      </c>
      <c r="F430" t="s">
        <v>309</v>
      </c>
      <c r="G430" t="s">
        <v>1334</v>
      </c>
      <c r="H430" t="s">
        <v>930</v>
      </c>
      <c r="I430" t="s">
        <v>405</v>
      </c>
      <c r="J430">
        <v>730</v>
      </c>
      <c r="K430">
        <v>730</v>
      </c>
      <c r="L430" t="s">
        <v>1335</v>
      </c>
      <c r="M430" s="15">
        <v>46244.363599537035</v>
      </c>
      <c r="N430" s="15">
        <v>46251.363194444442</v>
      </c>
      <c r="O430" s="15">
        <v>46244.70039351852</v>
      </c>
      <c r="P430" s="15">
        <v>46246.680555555555</v>
      </c>
      <c r="Q430" s="15"/>
      <c r="S430" t="s">
        <v>396</v>
      </c>
      <c r="U430" t="s">
        <v>1878</v>
      </c>
      <c r="V430" t="s">
        <v>363</v>
      </c>
      <c r="W430">
        <v>2011</v>
      </c>
      <c r="X430" t="s">
        <v>352</v>
      </c>
      <c r="Y430" t="s">
        <v>262</v>
      </c>
      <c r="Z430" t="s">
        <v>851</v>
      </c>
      <c r="AB430" t="s">
        <v>350</v>
      </c>
      <c r="AC430" t="s">
        <v>7</v>
      </c>
      <c r="AD430" t="s">
        <v>7</v>
      </c>
      <c r="AE430" t="s">
        <v>7</v>
      </c>
      <c r="AF430" t="s">
        <v>1881</v>
      </c>
      <c r="AG430" t="s">
        <v>249</v>
      </c>
      <c r="AH430">
        <v>2</v>
      </c>
      <c r="AI430" t="s">
        <v>250</v>
      </c>
      <c r="AJ430" t="s">
        <v>248</v>
      </c>
      <c r="AK430" t="s">
        <v>922</v>
      </c>
      <c r="AL430" t="s">
        <v>156</v>
      </c>
      <c r="AM430" t="s">
        <v>931</v>
      </c>
      <c r="AN430">
        <v>4</v>
      </c>
      <c r="AO430">
        <v>46244</v>
      </c>
      <c r="AP430">
        <v>0.7003935185185185</v>
      </c>
      <c r="AQ430">
        <v>46246</v>
      </c>
      <c r="AR430">
        <v>0.68055555555555558</v>
      </c>
      <c r="AS430" t="s">
        <v>201</v>
      </c>
      <c r="AT430" t="s">
        <v>1954</v>
      </c>
      <c r="AU430" t="s">
        <v>1955</v>
      </c>
      <c r="AV430" t="s">
        <v>856</v>
      </c>
      <c r="AW430">
        <v>1</v>
      </c>
      <c r="AX430">
        <v>730</v>
      </c>
      <c r="AY430" t="s">
        <v>125</v>
      </c>
      <c r="AZ430" t="s">
        <v>122</v>
      </c>
      <c r="BA430" t="s">
        <v>232</v>
      </c>
      <c r="BB430" t="s">
        <v>924</v>
      </c>
      <c r="BE430">
        <v>73</v>
      </c>
    </row>
    <row r="431" spans="1:57" x14ac:dyDescent="0.3">
      <c r="A431" s="204">
        <v>46235</v>
      </c>
      <c r="B431" t="s">
        <v>142</v>
      </c>
      <c r="C431" t="s">
        <v>346</v>
      </c>
      <c r="D431" t="s">
        <v>63</v>
      </c>
      <c r="E431" t="s">
        <v>95</v>
      </c>
      <c r="F431" t="s">
        <v>309</v>
      </c>
      <c r="G431" t="s">
        <v>1119</v>
      </c>
      <c r="H431" t="s">
        <v>842</v>
      </c>
      <c r="I431" t="s">
        <v>401</v>
      </c>
      <c r="J431">
        <v>1</v>
      </c>
      <c r="K431">
        <v>1</v>
      </c>
      <c r="L431" t="s">
        <v>1336</v>
      </c>
      <c r="M431" s="15">
        <v>46232.31826388889</v>
      </c>
      <c r="N431" s="15">
        <v>46239.333333333336</v>
      </c>
      <c r="O431" s="15">
        <v>46232.40520833333</v>
      </c>
      <c r="P431" s="15">
        <v>46239.288888888892</v>
      </c>
      <c r="Q431" s="15"/>
      <c r="S431" t="s">
        <v>396</v>
      </c>
      <c r="T431" t="s">
        <v>1882</v>
      </c>
      <c r="U431" t="s">
        <v>1883</v>
      </c>
      <c r="V431" t="s">
        <v>363</v>
      </c>
      <c r="W431">
        <v>2011</v>
      </c>
      <c r="X431" t="s">
        <v>352</v>
      </c>
      <c r="Y431" t="s">
        <v>262</v>
      </c>
      <c r="Z431" t="s">
        <v>851</v>
      </c>
      <c r="AB431" t="s">
        <v>350</v>
      </c>
      <c r="AC431" t="s">
        <v>7</v>
      </c>
      <c r="AD431" t="s">
        <v>7</v>
      </c>
      <c r="AE431" t="s">
        <v>7</v>
      </c>
      <c r="AF431" t="s">
        <v>1884</v>
      </c>
      <c r="AG431" t="s">
        <v>249</v>
      </c>
      <c r="AH431">
        <v>2</v>
      </c>
      <c r="AI431" t="s">
        <v>250</v>
      </c>
      <c r="AJ431" t="s">
        <v>251</v>
      </c>
      <c r="AK431" t="s">
        <v>922</v>
      </c>
      <c r="AL431" t="s">
        <v>156</v>
      </c>
      <c r="AM431" t="s">
        <v>936</v>
      </c>
      <c r="AO431">
        <v>46232</v>
      </c>
      <c r="AP431">
        <v>0.40520833333333334</v>
      </c>
      <c r="AQ431">
        <v>46239</v>
      </c>
      <c r="AR431">
        <v>0.28888888888888886</v>
      </c>
      <c r="AS431" t="s">
        <v>201</v>
      </c>
      <c r="AT431" t="s">
        <v>1954</v>
      </c>
      <c r="AU431" t="s">
        <v>1955</v>
      </c>
      <c r="AV431" t="s">
        <v>937</v>
      </c>
      <c r="AX431">
        <v>1</v>
      </c>
      <c r="AY431" t="s">
        <v>111</v>
      </c>
      <c r="AZ431" t="s">
        <v>96</v>
      </c>
      <c r="BA431" t="s">
        <v>225</v>
      </c>
      <c r="BB431" t="s">
        <v>924</v>
      </c>
      <c r="BE431">
        <v>1</v>
      </c>
    </row>
    <row r="432" spans="1:57" x14ac:dyDescent="0.3">
      <c r="A432" s="204">
        <v>46235</v>
      </c>
      <c r="B432" t="s">
        <v>142</v>
      </c>
      <c r="C432" t="s">
        <v>346</v>
      </c>
      <c r="D432" t="s">
        <v>57</v>
      </c>
      <c r="E432" t="s">
        <v>117</v>
      </c>
      <c r="F432" t="s">
        <v>309</v>
      </c>
      <c r="G432" t="s">
        <v>1119</v>
      </c>
      <c r="H432" t="s">
        <v>842</v>
      </c>
      <c r="I432" t="s">
        <v>401</v>
      </c>
      <c r="J432">
        <v>1</v>
      </c>
      <c r="K432">
        <v>1</v>
      </c>
      <c r="L432" t="s">
        <v>1336</v>
      </c>
      <c r="M432" s="15">
        <v>46232.31826388889</v>
      </c>
      <c r="N432" s="15">
        <v>46239.333333333336</v>
      </c>
      <c r="O432" s="15">
        <v>46232.40520833333</v>
      </c>
      <c r="P432" s="15">
        <v>46239.288888888892</v>
      </c>
      <c r="Q432" s="15"/>
      <c r="S432" t="s">
        <v>396</v>
      </c>
      <c r="T432" t="s">
        <v>1882</v>
      </c>
      <c r="U432" t="s">
        <v>1883</v>
      </c>
      <c r="V432" t="s">
        <v>363</v>
      </c>
      <c r="W432">
        <v>2011</v>
      </c>
      <c r="X432" t="s">
        <v>352</v>
      </c>
      <c r="Y432" t="s">
        <v>262</v>
      </c>
      <c r="Z432" t="s">
        <v>851</v>
      </c>
      <c r="AB432" t="s">
        <v>350</v>
      </c>
      <c r="AC432" t="s">
        <v>7</v>
      </c>
      <c r="AD432" t="s">
        <v>7</v>
      </c>
      <c r="AE432" t="s">
        <v>7</v>
      </c>
      <c r="AF432" t="s">
        <v>1885</v>
      </c>
      <c r="AG432" t="s">
        <v>249</v>
      </c>
      <c r="AH432">
        <v>2</v>
      </c>
      <c r="AI432" t="s">
        <v>250</v>
      </c>
      <c r="AJ432" t="s">
        <v>251</v>
      </c>
      <c r="AK432" t="s">
        <v>922</v>
      </c>
      <c r="AL432" t="s">
        <v>156</v>
      </c>
      <c r="AM432" t="s">
        <v>923</v>
      </c>
      <c r="AO432">
        <v>46232</v>
      </c>
      <c r="AP432">
        <v>0.40520833333333334</v>
      </c>
      <c r="AQ432">
        <v>46239</v>
      </c>
      <c r="AR432">
        <v>0.28888888888888886</v>
      </c>
      <c r="AS432" t="s">
        <v>201</v>
      </c>
      <c r="AT432" t="s">
        <v>1954</v>
      </c>
      <c r="AU432" t="s">
        <v>1955</v>
      </c>
      <c r="AV432" t="s">
        <v>862</v>
      </c>
      <c r="AX432">
        <v>1</v>
      </c>
      <c r="AY432" t="s">
        <v>126</v>
      </c>
      <c r="AZ432" t="s">
        <v>127</v>
      </c>
      <c r="BA432" t="s">
        <v>233</v>
      </c>
      <c r="BB432" t="s">
        <v>924</v>
      </c>
      <c r="BE432">
        <v>1</v>
      </c>
    </row>
    <row r="433" spans="1:57" x14ac:dyDescent="0.3">
      <c r="A433" s="204">
        <v>46235</v>
      </c>
      <c r="B433" t="s">
        <v>142</v>
      </c>
      <c r="C433" t="s">
        <v>346</v>
      </c>
      <c r="D433" t="s">
        <v>279</v>
      </c>
      <c r="E433" t="s">
        <v>192</v>
      </c>
      <c r="F433" t="s">
        <v>309</v>
      </c>
      <c r="G433" t="s">
        <v>1119</v>
      </c>
      <c r="H433" t="s">
        <v>842</v>
      </c>
      <c r="I433" t="s">
        <v>401</v>
      </c>
      <c r="J433">
        <v>8</v>
      </c>
      <c r="K433">
        <v>8</v>
      </c>
      <c r="L433" t="s">
        <v>1336</v>
      </c>
      <c r="M433" s="15">
        <v>46232.31826388889</v>
      </c>
      <c r="N433" s="15">
        <v>46239.333333333336</v>
      </c>
      <c r="O433" s="15">
        <v>46232.40520833333</v>
      </c>
      <c r="P433" s="15">
        <v>46239.288888888892</v>
      </c>
      <c r="Q433" s="15"/>
      <c r="S433" t="s">
        <v>396</v>
      </c>
      <c r="T433" t="s">
        <v>1882</v>
      </c>
      <c r="U433" t="s">
        <v>1883</v>
      </c>
      <c r="V433" t="s">
        <v>363</v>
      </c>
      <c r="W433">
        <v>2011</v>
      </c>
      <c r="X433" t="s">
        <v>352</v>
      </c>
      <c r="Y433" t="s">
        <v>262</v>
      </c>
      <c r="Z433" t="s">
        <v>851</v>
      </c>
      <c r="AB433" t="s">
        <v>350</v>
      </c>
      <c r="AC433" t="s">
        <v>7</v>
      </c>
      <c r="AD433" t="s">
        <v>7</v>
      </c>
      <c r="AE433" t="s">
        <v>7</v>
      </c>
      <c r="AF433" t="s">
        <v>1886</v>
      </c>
      <c r="AG433" t="s">
        <v>249</v>
      </c>
      <c r="AH433">
        <v>2</v>
      </c>
      <c r="AI433" t="s">
        <v>250</v>
      </c>
      <c r="AJ433" t="s">
        <v>248</v>
      </c>
      <c r="AK433" t="s">
        <v>922</v>
      </c>
      <c r="AL433" t="s">
        <v>156</v>
      </c>
      <c r="AM433" t="s">
        <v>931</v>
      </c>
      <c r="AN433">
        <v>4</v>
      </c>
      <c r="AO433">
        <v>46232</v>
      </c>
      <c r="AP433">
        <v>0.40520833333333334</v>
      </c>
      <c r="AQ433">
        <v>46239</v>
      </c>
      <c r="AR433">
        <v>0.28888888888888886</v>
      </c>
      <c r="AS433" t="s">
        <v>201</v>
      </c>
      <c r="AT433" t="s">
        <v>1956</v>
      </c>
      <c r="AU433" t="s">
        <v>1955</v>
      </c>
      <c r="AV433" t="s">
        <v>856</v>
      </c>
      <c r="AW433">
        <v>1</v>
      </c>
      <c r="AX433">
        <v>8</v>
      </c>
      <c r="AY433" t="s">
        <v>125</v>
      </c>
      <c r="AZ433" t="s">
        <v>122</v>
      </c>
      <c r="BA433" t="s">
        <v>232</v>
      </c>
      <c r="BB433" t="s">
        <v>924</v>
      </c>
      <c r="BE433">
        <v>1</v>
      </c>
    </row>
    <row r="434" spans="1:57" x14ac:dyDescent="0.3">
      <c r="A434" s="204">
        <v>46235</v>
      </c>
      <c r="B434" t="s">
        <v>142</v>
      </c>
      <c r="C434" t="s">
        <v>346</v>
      </c>
      <c r="D434" t="s">
        <v>63</v>
      </c>
      <c r="E434" t="s">
        <v>95</v>
      </c>
      <c r="F434" t="s">
        <v>309</v>
      </c>
      <c r="G434" t="s">
        <v>1337</v>
      </c>
      <c r="H434" t="s">
        <v>930</v>
      </c>
      <c r="I434" t="s">
        <v>405</v>
      </c>
      <c r="J434">
        <v>13</v>
      </c>
      <c r="K434">
        <v>13</v>
      </c>
      <c r="L434" t="s">
        <v>1338</v>
      </c>
      <c r="M434" s="15">
        <v>46231.310787037037</v>
      </c>
      <c r="N434" s="15">
        <v>46238.333333333336</v>
      </c>
      <c r="O434" s="15">
        <v>46231.40347222222</v>
      </c>
      <c r="P434" s="15">
        <v>46233.611805555556</v>
      </c>
      <c r="Q434" s="15"/>
      <c r="S434" t="s">
        <v>396</v>
      </c>
      <c r="T434" t="s">
        <v>1887</v>
      </c>
      <c r="U434" t="s">
        <v>1888</v>
      </c>
      <c r="V434" t="s">
        <v>363</v>
      </c>
      <c r="W434">
        <v>2011</v>
      </c>
      <c r="X434" t="s">
        <v>352</v>
      </c>
      <c r="Y434" t="s">
        <v>262</v>
      </c>
      <c r="Z434" t="s">
        <v>851</v>
      </c>
      <c r="AB434" t="s">
        <v>350</v>
      </c>
      <c r="AC434" t="s">
        <v>7</v>
      </c>
      <c r="AD434" t="s">
        <v>7</v>
      </c>
      <c r="AE434" t="s">
        <v>7</v>
      </c>
      <c r="AF434" t="s">
        <v>1889</v>
      </c>
      <c r="AG434" t="s">
        <v>249</v>
      </c>
      <c r="AH434">
        <v>2</v>
      </c>
      <c r="AI434" t="s">
        <v>250</v>
      </c>
      <c r="AJ434" t="s">
        <v>251</v>
      </c>
      <c r="AK434" t="s">
        <v>922</v>
      </c>
      <c r="AL434" t="s">
        <v>156</v>
      </c>
      <c r="AM434" t="s">
        <v>936</v>
      </c>
      <c r="AO434">
        <v>46231</v>
      </c>
      <c r="AP434">
        <v>0.40347222222222223</v>
      </c>
      <c r="AQ434">
        <v>46233</v>
      </c>
      <c r="AR434">
        <v>0.6118055555555556</v>
      </c>
      <c r="AS434" t="s">
        <v>201</v>
      </c>
      <c r="AT434" t="s">
        <v>1954</v>
      </c>
      <c r="AU434" t="s">
        <v>1955</v>
      </c>
      <c r="AV434" t="s">
        <v>937</v>
      </c>
      <c r="AX434">
        <v>13</v>
      </c>
      <c r="AY434" t="s">
        <v>111</v>
      </c>
      <c r="AZ434" t="s">
        <v>96</v>
      </c>
      <c r="BA434" t="s">
        <v>225</v>
      </c>
      <c r="BB434" t="s">
        <v>924</v>
      </c>
      <c r="BE434">
        <v>1.3</v>
      </c>
    </row>
    <row r="435" spans="1:57" x14ac:dyDescent="0.3">
      <c r="A435" s="204">
        <v>46235</v>
      </c>
      <c r="B435" t="s">
        <v>142</v>
      </c>
      <c r="C435" t="s">
        <v>346</v>
      </c>
      <c r="D435" t="s">
        <v>57</v>
      </c>
      <c r="E435" t="s">
        <v>117</v>
      </c>
      <c r="F435" t="s">
        <v>309</v>
      </c>
      <c r="G435" t="s">
        <v>1337</v>
      </c>
      <c r="H435" t="s">
        <v>930</v>
      </c>
      <c r="I435" t="s">
        <v>405</v>
      </c>
      <c r="J435">
        <v>13</v>
      </c>
      <c r="K435">
        <v>13</v>
      </c>
      <c r="L435" t="s">
        <v>1338</v>
      </c>
      <c r="M435" s="15">
        <v>46231.310787037037</v>
      </c>
      <c r="N435" s="15">
        <v>46238.333333333336</v>
      </c>
      <c r="O435" s="15">
        <v>46231.40347222222</v>
      </c>
      <c r="P435" s="15">
        <v>46233.611805555556</v>
      </c>
      <c r="Q435" s="15"/>
      <c r="S435" t="s">
        <v>396</v>
      </c>
      <c r="T435" t="s">
        <v>1887</v>
      </c>
      <c r="U435" t="s">
        <v>1888</v>
      </c>
      <c r="V435" t="s">
        <v>363</v>
      </c>
      <c r="W435">
        <v>2011</v>
      </c>
      <c r="X435" t="s">
        <v>352</v>
      </c>
      <c r="Y435" t="s">
        <v>262</v>
      </c>
      <c r="Z435" t="s">
        <v>851</v>
      </c>
      <c r="AB435" t="s">
        <v>350</v>
      </c>
      <c r="AC435" t="s">
        <v>7</v>
      </c>
      <c r="AD435" t="s">
        <v>7</v>
      </c>
      <c r="AE435" t="s">
        <v>7</v>
      </c>
      <c r="AF435" t="s">
        <v>1890</v>
      </c>
      <c r="AG435" t="s">
        <v>249</v>
      </c>
      <c r="AH435">
        <v>2</v>
      </c>
      <c r="AI435" t="s">
        <v>250</v>
      </c>
      <c r="AJ435" t="s">
        <v>251</v>
      </c>
      <c r="AK435" t="s">
        <v>922</v>
      </c>
      <c r="AL435" t="s">
        <v>156</v>
      </c>
      <c r="AM435" t="s">
        <v>923</v>
      </c>
      <c r="AO435">
        <v>46231</v>
      </c>
      <c r="AP435">
        <v>0.40347222222222223</v>
      </c>
      <c r="AQ435">
        <v>46233</v>
      </c>
      <c r="AR435">
        <v>0.6118055555555556</v>
      </c>
      <c r="AS435" t="s">
        <v>201</v>
      </c>
      <c r="AT435" t="s">
        <v>1954</v>
      </c>
      <c r="AU435" t="s">
        <v>1955</v>
      </c>
      <c r="AV435" t="s">
        <v>862</v>
      </c>
      <c r="AX435">
        <v>1.3</v>
      </c>
      <c r="AY435" t="s">
        <v>126</v>
      </c>
      <c r="AZ435" t="s">
        <v>127</v>
      </c>
      <c r="BA435" t="s">
        <v>233</v>
      </c>
      <c r="BB435" t="s">
        <v>924</v>
      </c>
      <c r="BE435">
        <v>1</v>
      </c>
    </row>
    <row r="436" spans="1:57" x14ac:dyDescent="0.3">
      <c r="A436" s="204">
        <v>46235</v>
      </c>
      <c r="B436" t="s">
        <v>142</v>
      </c>
      <c r="C436" t="s">
        <v>346</v>
      </c>
      <c r="D436" t="s">
        <v>279</v>
      </c>
      <c r="E436" t="s">
        <v>192</v>
      </c>
      <c r="F436" t="s">
        <v>309</v>
      </c>
      <c r="G436" t="s">
        <v>1337</v>
      </c>
      <c r="H436" t="s">
        <v>930</v>
      </c>
      <c r="I436" t="s">
        <v>405</v>
      </c>
      <c r="J436">
        <v>1092</v>
      </c>
      <c r="K436">
        <v>1092</v>
      </c>
      <c r="L436" t="s">
        <v>1338</v>
      </c>
      <c r="M436" s="15">
        <v>46231.310787037037</v>
      </c>
      <c r="N436" s="15">
        <v>46238.333333333336</v>
      </c>
      <c r="O436" s="15">
        <v>46231.40347222222</v>
      </c>
      <c r="P436" s="15">
        <v>46233.611805555556</v>
      </c>
      <c r="Q436" s="15"/>
      <c r="S436" t="s">
        <v>396</v>
      </c>
      <c r="T436" t="s">
        <v>1887</v>
      </c>
      <c r="U436" t="s">
        <v>1888</v>
      </c>
      <c r="V436" t="s">
        <v>363</v>
      </c>
      <c r="W436">
        <v>2011</v>
      </c>
      <c r="X436" t="s">
        <v>352</v>
      </c>
      <c r="Y436" t="s">
        <v>262</v>
      </c>
      <c r="Z436" t="s">
        <v>851</v>
      </c>
      <c r="AB436" t="s">
        <v>350</v>
      </c>
      <c r="AC436" t="s">
        <v>7</v>
      </c>
      <c r="AD436" t="s">
        <v>7</v>
      </c>
      <c r="AE436" t="s">
        <v>7</v>
      </c>
      <c r="AF436" t="s">
        <v>1891</v>
      </c>
      <c r="AG436" t="s">
        <v>249</v>
      </c>
      <c r="AH436">
        <v>2</v>
      </c>
      <c r="AI436" t="s">
        <v>250</v>
      </c>
      <c r="AJ436" t="s">
        <v>248</v>
      </c>
      <c r="AK436" t="s">
        <v>922</v>
      </c>
      <c r="AL436" t="s">
        <v>156</v>
      </c>
      <c r="AM436" t="s">
        <v>931</v>
      </c>
      <c r="AN436">
        <v>4</v>
      </c>
      <c r="AO436">
        <v>46231</v>
      </c>
      <c r="AP436">
        <v>0.40347222222222223</v>
      </c>
      <c r="AQ436">
        <v>46233</v>
      </c>
      <c r="AR436">
        <v>0.6118055555555556</v>
      </c>
      <c r="AS436" t="s">
        <v>201</v>
      </c>
      <c r="AT436" t="s">
        <v>1954</v>
      </c>
      <c r="AU436" t="s">
        <v>1955</v>
      </c>
      <c r="AV436" t="s">
        <v>856</v>
      </c>
      <c r="AW436">
        <v>1</v>
      </c>
      <c r="AX436">
        <v>1092</v>
      </c>
      <c r="AY436" t="s">
        <v>125</v>
      </c>
      <c r="AZ436" t="s">
        <v>122</v>
      </c>
      <c r="BA436" t="s">
        <v>232</v>
      </c>
      <c r="BB436" t="s">
        <v>924</v>
      </c>
      <c r="BE436">
        <v>109.2</v>
      </c>
    </row>
    <row r="437" spans="1:57" x14ac:dyDescent="0.3">
      <c r="A437" s="204">
        <v>46235</v>
      </c>
      <c r="B437" t="s">
        <v>142</v>
      </c>
      <c r="C437" t="s">
        <v>346</v>
      </c>
      <c r="D437" t="s">
        <v>63</v>
      </c>
      <c r="E437" t="s">
        <v>95</v>
      </c>
      <c r="F437" t="s">
        <v>309</v>
      </c>
      <c r="G437" t="s">
        <v>1339</v>
      </c>
      <c r="H437" t="s">
        <v>930</v>
      </c>
      <c r="I437" t="s">
        <v>405</v>
      </c>
      <c r="J437">
        <v>4</v>
      </c>
      <c r="K437">
        <v>4</v>
      </c>
      <c r="L437" t="s">
        <v>1340</v>
      </c>
      <c r="M437" s="15">
        <v>46230.596712962964</v>
      </c>
      <c r="N437" s="15">
        <v>46237.59652777778</v>
      </c>
      <c r="O437" s="15">
        <v>46230.690266203703</v>
      </c>
      <c r="P437" s="15">
        <v>46232.591666666667</v>
      </c>
      <c r="Q437" s="15"/>
      <c r="S437" t="s">
        <v>396</v>
      </c>
      <c r="U437" t="s">
        <v>1892</v>
      </c>
      <c r="V437" t="s">
        <v>363</v>
      </c>
      <c r="W437">
        <v>2011</v>
      </c>
      <c r="X437" t="s">
        <v>352</v>
      </c>
      <c r="Y437" t="s">
        <v>262</v>
      </c>
      <c r="Z437" t="s">
        <v>851</v>
      </c>
      <c r="AB437" t="s">
        <v>350</v>
      </c>
      <c r="AC437" t="s">
        <v>7</v>
      </c>
      <c r="AD437" t="s">
        <v>7</v>
      </c>
      <c r="AE437" t="s">
        <v>7</v>
      </c>
      <c r="AF437" t="s">
        <v>1893</v>
      </c>
      <c r="AG437" t="s">
        <v>249</v>
      </c>
      <c r="AH437">
        <v>2</v>
      </c>
      <c r="AI437" t="s">
        <v>250</v>
      </c>
      <c r="AJ437" t="s">
        <v>251</v>
      </c>
      <c r="AK437" t="s">
        <v>922</v>
      </c>
      <c r="AL437" t="s">
        <v>156</v>
      </c>
      <c r="AM437" t="s">
        <v>936</v>
      </c>
      <c r="AO437">
        <v>46230</v>
      </c>
      <c r="AP437">
        <v>0.69026620370370373</v>
      </c>
      <c r="AQ437">
        <v>46232</v>
      </c>
      <c r="AR437">
        <v>0.59166666666666667</v>
      </c>
      <c r="AS437" t="s">
        <v>201</v>
      </c>
      <c r="AT437" t="s">
        <v>1954</v>
      </c>
      <c r="AU437" t="s">
        <v>1955</v>
      </c>
      <c r="AV437" t="s">
        <v>937</v>
      </c>
      <c r="AX437">
        <v>4</v>
      </c>
      <c r="AY437" t="s">
        <v>111</v>
      </c>
      <c r="AZ437" t="s">
        <v>96</v>
      </c>
      <c r="BA437" t="s">
        <v>225</v>
      </c>
      <c r="BB437" t="s">
        <v>924</v>
      </c>
      <c r="BE437">
        <v>3.4</v>
      </c>
    </row>
    <row r="438" spans="1:57" x14ac:dyDescent="0.3">
      <c r="A438" s="204">
        <v>46235</v>
      </c>
      <c r="B438" t="s">
        <v>142</v>
      </c>
      <c r="C438" t="s">
        <v>346</v>
      </c>
      <c r="D438" t="s">
        <v>57</v>
      </c>
      <c r="E438" t="s">
        <v>117</v>
      </c>
      <c r="F438" t="s">
        <v>309</v>
      </c>
      <c r="G438" t="s">
        <v>1339</v>
      </c>
      <c r="H438" t="s">
        <v>930</v>
      </c>
      <c r="I438" t="s">
        <v>405</v>
      </c>
      <c r="J438">
        <v>4</v>
      </c>
      <c r="K438">
        <v>4</v>
      </c>
      <c r="L438" t="s">
        <v>1340</v>
      </c>
      <c r="M438" s="15">
        <v>46230.596712962964</v>
      </c>
      <c r="N438" s="15">
        <v>46237.59652777778</v>
      </c>
      <c r="O438" s="15">
        <v>46230.690266203703</v>
      </c>
      <c r="P438" s="15">
        <v>46232.591666666667</v>
      </c>
      <c r="Q438" s="15"/>
      <c r="S438" t="s">
        <v>396</v>
      </c>
      <c r="U438" t="s">
        <v>1892</v>
      </c>
      <c r="V438" t="s">
        <v>363</v>
      </c>
      <c r="W438">
        <v>2011</v>
      </c>
      <c r="X438" t="s">
        <v>352</v>
      </c>
      <c r="Y438" t="s">
        <v>262</v>
      </c>
      <c r="Z438" t="s">
        <v>851</v>
      </c>
      <c r="AB438" t="s">
        <v>350</v>
      </c>
      <c r="AC438" t="s">
        <v>7</v>
      </c>
      <c r="AD438" t="s">
        <v>7</v>
      </c>
      <c r="AE438" t="s">
        <v>7</v>
      </c>
      <c r="AF438" t="s">
        <v>1894</v>
      </c>
      <c r="AG438" t="s">
        <v>249</v>
      </c>
      <c r="AH438">
        <v>2</v>
      </c>
      <c r="AI438" t="s">
        <v>250</v>
      </c>
      <c r="AJ438" t="s">
        <v>251</v>
      </c>
      <c r="AK438" t="s">
        <v>922</v>
      </c>
      <c r="AL438" t="s">
        <v>156</v>
      </c>
      <c r="AM438" t="s">
        <v>923</v>
      </c>
      <c r="AO438">
        <v>46230</v>
      </c>
      <c r="AP438">
        <v>0.69026620370370373</v>
      </c>
      <c r="AQ438">
        <v>46232</v>
      </c>
      <c r="AR438">
        <v>0.59166666666666667</v>
      </c>
      <c r="AS438" t="s">
        <v>201</v>
      </c>
      <c r="AT438" t="s">
        <v>1954</v>
      </c>
      <c r="AU438" t="s">
        <v>1955</v>
      </c>
      <c r="AV438" t="s">
        <v>862</v>
      </c>
      <c r="AX438">
        <v>1</v>
      </c>
      <c r="AY438" t="s">
        <v>126</v>
      </c>
      <c r="AZ438" t="s">
        <v>127</v>
      </c>
      <c r="BA438" t="s">
        <v>233</v>
      </c>
      <c r="BB438" t="s">
        <v>924</v>
      </c>
      <c r="BE438">
        <v>1</v>
      </c>
    </row>
    <row r="439" spans="1:57" x14ac:dyDescent="0.3">
      <c r="A439" s="204">
        <v>46235</v>
      </c>
      <c r="B439" t="s">
        <v>142</v>
      </c>
      <c r="C439" t="s">
        <v>346</v>
      </c>
      <c r="D439" t="s">
        <v>279</v>
      </c>
      <c r="E439" t="s">
        <v>192</v>
      </c>
      <c r="F439" t="s">
        <v>309</v>
      </c>
      <c r="G439" t="s">
        <v>1339</v>
      </c>
      <c r="H439" t="s">
        <v>930</v>
      </c>
      <c r="I439" t="s">
        <v>405</v>
      </c>
      <c r="J439">
        <v>409</v>
      </c>
      <c r="K439">
        <v>409</v>
      </c>
      <c r="L439" t="s">
        <v>1340</v>
      </c>
      <c r="M439" s="15">
        <v>46230.596712962964</v>
      </c>
      <c r="N439" s="15">
        <v>46237.59652777778</v>
      </c>
      <c r="O439" s="15">
        <v>46230.690266203703</v>
      </c>
      <c r="P439" s="15">
        <v>46232.591666666667</v>
      </c>
      <c r="Q439" s="15"/>
      <c r="S439" t="s">
        <v>396</v>
      </c>
      <c r="U439" t="s">
        <v>1892</v>
      </c>
      <c r="V439" t="s">
        <v>363</v>
      </c>
      <c r="W439">
        <v>2011</v>
      </c>
      <c r="X439" t="s">
        <v>352</v>
      </c>
      <c r="Y439" t="s">
        <v>262</v>
      </c>
      <c r="Z439" t="s">
        <v>851</v>
      </c>
      <c r="AB439" t="s">
        <v>350</v>
      </c>
      <c r="AC439" t="s">
        <v>7</v>
      </c>
      <c r="AD439" t="s">
        <v>7</v>
      </c>
      <c r="AE439" t="s">
        <v>7</v>
      </c>
      <c r="AF439" t="s">
        <v>1895</v>
      </c>
      <c r="AG439" t="s">
        <v>249</v>
      </c>
      <c r="AH439">
        <v>2</v>
      </c>
      <c r="AI439" t="s">
        <v>250</v>
      </c>
      <c r="AJ439" t="s">
        <v>248</v>
      </c>
      <c r="AK439" t="s">
        <v>922</v>
      </c>
      <c r="AL439" t="s">
        <v>156</v>
      </c>
      <c r="AM439" t="s">
        <v>931</v>
      </c>
      <c r="AN439">
        <v>4</v>
      </c>
      <c r="AO439">
        <v>46230</v>
      </c>
      <c r="AP439">
        <v>0.69026620370370373</v>
      </c>
      <c r="AQ439">
        <v>46232</v>
      </c>
      <c r="AR439">
        <v>0.59166666666666667</v>
      </c>
      <c r="AS439" t="s">
        <v>201</v>
      </c>
      <c r="AT439" t="s">
        <v>1954</v>
      </c>
      <c r="AU439" t="s">
        <v>1955</v>
      </c>
      <c r="AV439" t="s">
        <v>856</v>
      </c>
      <c r="AW439">
        <v>1</v>
      </c>
      <c r="AX439">
        <v>409</v>
      </c>
      <c r="AY439" t="s">
        <v>125</v>
      </c>
      <c r="AZ439" t="s">
        <v>122</v>
      </c>
      <c r="BA439" t="s">
        <v>232</v>
      </c>
      <c r="BB439" t="s">
        <v>924</v>
      </c>
    </row>
    <row r="440" spans="1:57" x14ac:dyDescent="0.3">
      <c r="A440" s="204">
        <v>46235</v>
      </c>
      <c r="B440" t="s">
        <v>142</v>
      </c>
      <c r="C440" t="s">
        <v>346</v>
      </c>
      <c r="D440" t="s">
        <v>63</v>
      </c>
      <c r="E440" t="s">
        <v>95</v>
      </c>
      <c r="F440" t="s">
        <v>309</v>
      </c>
      <c r="G440" t="s">
        <v>1341</v>
      </c>
      <c r="H440" t="s">
        <v>930</v>
      </c>
      <c r="I440" t="s">
        <v>405</v>
      </c>
      <c r="J440">
        <v>14</v>
      </c>
      <c r="K440">
        <v>14</v>
      </c>
      <c r="L440" t="s">
        <v>1342</v>
      </c>
      <c r="M440" s="15">
        <v>46230.594074074077</v>
      </c>
      <c r="N440" s="15">
        <v>46237.59375</v>
      </c>
      <c r="O440" s="15">
        <v>46231.398611111108</v>
      </c>
      <c r="P440" s="15">
        <v>46232.455960648149</v>
      </c>
      <c r="Q440" s="15">
        <v>46232.682638888888</v>
      </c>
      <c r="S440" t="s">
        <v>396</v>
      </c>
      <c r="T440" t="s">
        <v>1896</v>
      </c>
      <c r="U440" t="s">
        <v>1897</v>
      </c>
      <c r="V440" t="s">
        <v>363</v>
      </c>
      <c r="W440">
        <v>2011</v>
      </c>
      <c r="X440" t="s">
        <v>352</v>
      </c>
      <c r="Y440" t="s">
        <v>262</v>
      </c>
      <c r="Z440" t="s">
        <v>851</v>
      </c>
      <c r="AB440" t="s">
        <v>350</v>
      </c>
      <c r="AC440" t="s">
        <v>7</v>
      </c>
      <c r="AD440" t="s">
        <v>7</v>
      </c>
      <c r="AE440" t="s">
        <v>7</v>
      </c>
      <c r="AF440" t="s">
        <v>1898</v>
      </c>
      <c r="AG440" t="s">
        <v>249</v>
      </c>
      <c r="AH440">
        <v>2</v>
      </c>
      <c r="AI440" t="s">
        <v>250</v>
      </c>
      <c r="AJ440" t="s">
        <v>251</v>
      </c>
      <c r="AK440" t="s">
        <v>922</v>
      </c>
      <c r="AL440" t="s">
        <v>156</v>
      </c>
      <c r="AM440" t="s">
        <v>936</v>
      </c>
      <c r="AO440">
        <v>46231</v>
      </c>
      <c r="AP440">
        <v>0.39861111111111114</v>
      </c>
      <c r="AQ440">
        <v>46232</v>
      </c>
      <c r="AR440">
        <v>0.45596064814814813</v>
      </c>
      <c r="AS440" t="s">
        <v>201</v>
      </c>
      <c r="AT440" t="s">
        <v>1954</v>
      </c>
      <c r="AU440" t="s">
        <v>1955</v>
      </c>
      <c r="AV440" t="s">
        <v>937</v>
      </c>
      <c r="AX440">
        <v>14</v>
      </c>
      <c r="AY440" t="s">
        <v>111</v>
      </c>
      <c r="AZ440" t="s">
        <v>96</v>
      </c>
      <c r="BA440" t="s">
        <v>225</v>
      </c>
      <c r="BB440" t="s">
        <v>924</v>
      </c>
    </row>
    <row r="441" spans="1:57" x14ac:dyDescent="0.3">
      <c r="A441" s="204">
        <v>46235</v>
      </c>
      <c r="B441" t="s">
        <v>142</v>
      </c>
      <c r="C441" t="s">
        <v>346</v>
      </c>
      <c r="D441" t="s">
        <v>57</v>
      </c>
      <c r="E441" t="s">
        <v>117</v>
      </c>
      <c r="F441" t="s">
        <v>309</v>
      </c>
      <c r="G441" t="s">
        <v>1341</v>
      </c>
      <c r="H441" t="s">
        <v>930</v>
      </c>
      <c r="I441" t="s">
        <v>405</v>
      </c>
      <c r="J441">
        <v>14</v>
      </c>
      <c r="K441">
        <v>14</v>
      </c>
      <c r="L441" t="s">
        <v>1342</v>
      </c>
      <c r="M441" s="15">
        <v>46230.594074074077</v>
      </c>
      <c r="N441" s="15">
        <v>46237.59375</v>
      </c>
      <c r="O441" s="15">
        <v>46231.398611111108</v>
      </c>
      <c r="P441" s="15">
        <v>46232.455960648149</v>
      </c>
      <c r="Q441" s="15">
        <v>46232.682638888888</v>
      </c>
      <c r="S441" t="s">
        <v>396</v>
      </c>
      <c r="T441" t="s">
        <v>1896</v>
      </c>
      <c r="U441" t="s">
        <v>1897</v>
      </c>
      <c r="V441" t="s">
        <v>363</v>
      </c>
      <c r="W441">
        <v>2011</v>
      </c>
      <c r="X441" t="s">
        <v>352</v>
      </c>
      <c r="Y441" t="s">
        <v>262</v>
      </c>
      <c r="Z441" t="s">
        <v>851</v>
      </c>
      <c r="AB441" t="s">
        <v>350</v>
      </c>
      <c r="AC441" t="s">
        <v>7</v>
      </c>
      <c r="AD441" t="s">
        <v>7</v>
      </c>
      <c r="AE441" t="s">
        <v>7</v>
      </c>
      <c r="AF441" t="s">
        <v>1899</v>
      </c>
      <c r="AG441" t="s">
        <v>249</v>
      </c>
      <c r="AH441">
        <v>2</v>
      </c>
      <c r="AI441" t="s">
        <v>250</v>
      </c>
      <c r="AJ441" t="s">
        <v>251</v>
      </c>
      <c r="AK441" t="s">
        <v>922</v>
      </c>
      <c r="AL441" t="s">
        <v>156</v>
      </c>
      <c r="AM441" t="s">
        <v>923</v>
      </c>
      <c r="AO441">
        <v>46231</v>
      </c>
      <c r="AP441">
        <v>0.39861111111111114</v>
      </c>
      <c r="AQ441">
        <v>46232</v>
      </c>
      <c r="AR441">
        <v>0.45596064814814813</v>
      </c>
      <c r="AS441" t="s">
        <v>201</v>
      </c>
      <c r="AT441" t="s">
        <v>1954</v>
      </c>
      <c r="AU441" t="s">
        <v>1955</v>
      </c>
      <c r="AV441" t="s">
        <v>862</v>
      </c>
      <c r="AX441">
        <v>1.4</v>
      </c>
      <c r="AY441" t="s">
        <v>126</v>
      </c>
      <c r="AZ441" t="s">
        <v>127</v>
      </c>
      <c r="BA441" t="s">
        <v>233</v>
      </c>
      <c r="BB441" t="s">
        <v>924</v>
      </c>
    </row>
    <row r="442" spans="1:57" x14ac:dyDescent="0.3">
      <c r="A442" s="204">
        <v>46235</v>
      </c>
      <c r="B442" t="s">
        <v>142</v>
      </c>
      <c r="C442" t="s">
        <v>346</v>
      </c>
      <c r="D442" t="s">
        <v>279</v>
      </c>
      <c r="E442" t="s">
        <v>192</v>
      </c>
      <c r="F442" t="s">
        <v>309</v>
      </c>
      <c r="G442" t="s">
        <v>1341</v>
      </c>
      <c r="H442" t="s">
        <v>930</v>
      </c>
      <c r="I442" t="s">
        <v>405</v>
      </c>
      <c r="J442">
        <v>1096</v>
      </c>
      <c r="K442">
        <v>1096</v>
      </c>
      <c r="L442" t="s">
        <v>1342</v>
      </c>
      <c r="M442" s="15">
        <v>46230.594074074077</v>
      </c>
      <c r="N442" s="15">
        <v>46237.59375</v>
      </c>
      <c r="O442" s="15">
        <v>46231.398611111108</v>
      </c>
      <c r="P442" s="15">
        <v>46232.455960648149</v>
      </c>
      <c r="Q442" s="15">
        <v>46232.682638888888</v>
      </c>
      <c r="S442" t="s">
        <v>396</v>
      </c>
      <c r="T442" t="s">
        <v>1896</v>
      </c>
      <c r="U442" t="s">
        <v>1897</v>
      </c>
      <c r="V442" t="s">
        <v>363</v>
      </c>
      <c r="W442">
        <v>2011</v>
      </c>
      <c r="X442" t="s">
        <v>352</v>
      </c>
      <c r="Y442" t="s">
        <v>262</v>
      </c>
      <c r="Z442" t="s">
        <v>851</v>
      </c>
      <c r="AB442" t="s">
        <v>350</v>
      </c>
      <c r="AC442" t="s">
        <v>7</v>
      </c>
      <c r="AD442" t="s">
        <v>7</v>
      </c>
      <c r="AE442" t="s">
        <v>7</v>
      </c>
      <c r="AF442" t="s">
        <v>1900</v>
      </c>
      <c r="AG442" t="s">
        <v>249</v>
      </c>
      <c r="AH442">
        <v>2</v>
      </c>
      <c r="AI442" t="s">
        <v>250</v>
      </c>
      <c r="AJ442" t="s">
        <v>248</v>
      </c>
      <c r="AK442" t="s">
        <v>922</v>
      </c>
      <c r="AL442" t="s">
        <v>156</v>
      </c>
      <c r="AM442" t="s">
        <v>931</v>
      </c>
      <c r="AN442">
        <v>4</v>
      </c>
      <c r="AO442">
        <v>46231</v>
      </c>
      <c r="AP442">
        <v>0.39861111111111114</v>
      </c>
      <c r="AQ442">
        <v>46232</v>
      </c>
      <c r="AR442">
        <v>0.45596064814814813</v>
      </c>
      <c r="AS442" t="s">
        <v>201</v>
      </c>
      <c r="AT442" t="s">
        <v>1954</v>
      </c>
      <c r="AU442" t="s">
        <v>1955</v>
      </c>
      <c r="AV442" t="s">
        <v>856</v>
      </c>
      <c r="AW442">
        <v>1</v>
      </c>
      <c r="AX442">
        <v>1096</v>
      </c>
      <c r="AY442" t="s">
        <v>125</v>
      </c>
      <c r="AZ442" t="s">
        <v>122</v>
      </c>
      <c r="BA442" t="s">
        <v>232</v>
      </c>
      <c r="BB442" t="s">
        <v>924</v>
      </c>
    </row>
    <row r="443" spans="1:57" x14ac:dyDescent="0.3">
      <c r="A443" s="204">
        <v>46235</v>
      </c>
      <c r="B443" t="s">
        <v>142</v>
      </c>
      <c r="C443" t="s">
        <v>346</v>
      </c>
      <c r="D443" t="s">
        <v>63</v>
      </c>
      <c r="E443" t="s">
        <v>95</v>
      </c>
      <c r="F443" t="s">
        <v>309</v>
      </c>
      <c r="G443" t="s">
        <v>1343</v>
      </c>
      <c r="H443" t="s">
        <v>842</v>
      </c>
      <c r="I443" t="s">
        <v>401</v>
      </c>
      <c r="J443">
        <v>1</v>
      </c>
      <c r="K443">
        <v>1</v>
      </c>
      <c r="L443" t="s">
        <v>1344</v>
      </c>
      <c r="M443" s="15">
        <v>46192.397974537038</v>
      </c>
      <c r="N443" s="15">
        <v>46199.397916666669</v>
      </c>
      <c r="O443" s="15">
        <v>46192.704861111109</v>
      </c>
      <c r="P443" s="15">
        <v>46219.397222222222</v>
      </c>
      <c r="Q443" s="15"/>
      <c r="S443" t="s">
        <v>396</v>
      </c>
      <c r="T443" t="s">
        <v>1901</v>
      </c>
      <c r="U443" t="s">
        <v>1902</v>
      </c>
      <c r="V443" t="s">
        <v>363</v>
      </c>
      <c r="W443">
        <v>2011</v>
      </c>
      <c r="X443" t="s">
        <v>352</v>
      </c>
      <c r="Y443" t="s">
        <v>262</v>
      </c>
      <c r="Z443" t="s">
        <v>851</v>
      </c>
      <c r="AB443" t="s">
        <v>350</v>
      </c>
      <c r="AC443" t="s">
        <v>7</v>
      </c>
      <c r="AD443" t="s">
        <v>7</v>
      </c>
      <c r="AE443" t="s">
        <v>7</v>
      </c>
      <c r="AF443" t="s">
        <v>1903</v>
      </c>
      <c r="AG443" t="s">
        <v>249</v>
      </c>
      <c r="AH443">
        <v>2</v>
      </c>
      <c r="AI443" t="s">
        <v>250</v>
      </c>
      <c r="AJ443" t="s">
        <v>251</v>
      </c>
      <c r="AK443" t="s">
        <v>922</v>
      </c>
      <c r="AL443" t="s">
        <v>156</v>
      </c>
      <c r="AM443" t="s">
        <v>936</v>
      </c>
      <c r="AO443">
        <v>46192</v>
      </c>
      <c r="AP443">
        <v>0.70486111111111116</v>
      </c>
      <c r="AQ443">
        <v>46219</v>
      </c>
      <c r="AR443">
        <v>0.3972222222222222</v>
      </c>
      <c r="AS443" t="s">
        <v>201</v>
      </c>
      <c r="AT443" t="s">
        <v>1954</v>
      </c>
      <c r="AU443" t="s">
        <v>1955</v>
      </c>
      <c r="AV443" t="s">
        <v>937</v>
      </c>
      <c r="AX443">
        <v>1</v>
      </c>
      <c r="AY443" t="s">
        <v>111</v>
      </c>
      <c r="AZ443" t="s">
        <v>96</v>
      </c>
      <c r="BA443" t="s">
        <v>225</v>
      </c>
      <c r="BB443" t="s">
        <v>924</v>
      </c>
      <c r="BE443">
        <v>1</v>
      </c>
    </row>
    <row r="444" spans="1:57" x14ac:dyDescent="0.3">
      <c r="A444" s="204">
        <v>46235</v>
      </c>
      <c r="B444" t="s">
        <v>142</v>
      </c>
      <c r="C444" t="s">
        <v>346</v>
      </c>
      <c r="D444" t="s">
        <v>57</v>
      </c>
      <c r="E444" t="s">
        <v>117</v>
      </c>
      <c r="F444" t="s">
        <v>309</v>
      </c>
      <c r="G444" t="s">
        <v>1343</v>
      </c>
      <c r="H444" t="s">
        <v>842</v>
      </c>
      <c r="I444" t="s">
        <v>401</v>
      </c>
      <c r="J444">
        <v>1</v>
      </c>
      <c r="K444">
        <v>1</v>
      </c>
      <c r="L444" t="s">
        <v>1344</v>
      </c>
      <c r="M444" s="15">
        <v>46192.397974537038</v>
      </c>
      <c r="N444" s="15">
        <v>46199.397916666669</v>
      </c>
      <c r="O444" s="15">
        <v>46192.704861111109</v>
      </c>
      <c r="P444" s="15">
        <v>46219.397222222222</v>
      </c>
      <c r="Q444" s="15"/>
      <c r="S444" t="s">
        <v>396</v>
      </c>
      <c r="T444" t="s">
        <v>1901</v>
      </c>
      <c r="U444" t="s">
        <v>1902</v>
      </c>
      <c r="V444" t="s">
        <v>363</v>
      </c>
      <c r="W444">
        <v>2011</v>
      </c>
      <c r="X444" t="s">
        <v>352</v>
      </c>
      <c r="Y444" t="s">
        <v>262</v>
      </c>
      <c r="Z444" t="s">
        <v>851</v>
      </c>
      <c r="AB444" t="s">
        <v>350</v>
      </c>
      <c r="AC444" t="s">
        <v>7</v>
      </c>
      <c r="AD444" t="s">
        <v>7</v>
      </c>
      <c r="AE444" t="s">
        <v>7</v>
      </c>
      <c r="AF444" t="s">
        <v>1904</v>
      </c>
      <c r="AG444" t="s">
        <v>249</v>
      </c>
      <c r="AH444">
        <v>2</v>
      </c>
      <c r="AI444" t="s">
        <v>250</v>
      </c>
      <c r="AJ444" t="s">
        <v>251</v>
      </c>
      <c r="AK444" t="s">
        <v>922</v>
      </c>
      <c r="AL444" t="s">
        <v>156</v>
      </c>
      <c r="AM444" t="s">
        <v>923</v>
      </c>
      <c r="AO444">
        <v>46192</v>
      </c>
      <c r="AP444">
        <v>0.70486111111111116</v>
      </c>
      <c r="AQ444">
        <v>46219</v>
      </c>
      <c r="AR444">
        <v>0.3972222222222222</v>
      </c>
      <c r="AS444" t="s">
        <v>201</v>
      </c>
      <c r="AT444" t="s">
        <v>1954</v>
      </c>
      <c r="AU444" t="s">
        <v>1955</v>
      </c>
      <c r="AV444" t="s">
        <v>862</v>
      </c>
      <c r="AX444">
        <v>1</v>
      </c>
      <c r="AY444" t="s">
        <v>126</v>
      </c>
      <c r="AZ444" t="s">
        <v>127</v>
      </c>
      <c r="BA444" t="s">
        <v>233</v>
      </c>
      <c r="BB444" t="s">
        <v>924</v>
      </c>
      <c r="BE444">
        <v>1</v>
      </c>
    </row>
    <row r="445" spans="1:57" x14ac:dyDescent="0.3">
      <c r="A445" s="204">
        <v>46235</v>
      </c>
      <c r="B445" t="s">
        <v>142</v>
      </c>
      <c r="C445" t="s">
        <v>346</v>
      </c>
      <c r="D445" t="s">
        <v>279</v>
      </c>
      <c r="E445" t="s">
        <v>192</v>
      </c>
      <c r="F445" t="s">
        <v>309</v>
      </c>
      <c r="G445" t="s">
        <v>1343</v>
      </c>
      <c r="H445" t="s">
        <v>842</v>
      </c>
      <c r="I445" t="s">
        <v>401</v>
      </c>
      <c r="J445">
        <v>1</v>
      </c>
      <c r="K445">
        <v>1</v>
      </c>
      <c r="L445" t="s">
        <v>1344</v>
      </c>
      <c r="M445" s="15">
        <v>46192.397974537038</v>
      </c>
      <c r="N445" s="15">
        <v>46199.397916666669</v>
      </c>
      <c r="O445" s="15">
        <v>46192.704861111109</v>
      </c>
      <c r="P445" s="15">
        <v>46219.397222222222</v>
      </c>
      <c r="Q445" s="15"/>
      <c r="S445" t="s">
        <v>396</v>
      </c>
      <c r="T445" t="s">
        <v>1901</v>
      </c>
      <c r="U445" t="s">
        <v>1902</v>
      </c>
      <c r="V445" t="s">
        <v>363</v>
      </c>
      <c r="W445">
        <v>2011</v>
      </c>
      <c r="X445" t="s">
        <v>352</v>
      </c>
      <c r="Y445" t="s">
        <v>262</v>
      </c>
      <c r="Z445" t="s">
        <v>851</v>
      </c>
      <c r="AB445" t="s">
        <v>350</v>
      </c>
      <c r="AC445" t="s">
        <v>7</v>
      </c>
      <c r="AD445" t="s">
        <v>7</v>
      </c>
      <c r="AE445" t="s">
        <v>7</v>
      </c>
      <c r="AF445" t="s">
        <v>1905</v>
      </c>
      <c r="AG445" t="s">
        <v>249</v>
      </c>
      <c r="AH445">
        <v>2</v>
      </c>
      <c r="AI445" t="s">
        <v>250</v>
      </c>
      <c r="AJ445" t="s">
        <v>248</v>
      </c>
      <c r="AK445" t="s">
        <v>922</v>
      </c>
      <c r="AL445" t="s">
        <v>156</v>
      </c>
      <c r="AM445" t="s">
        <v>931</v>
      </c>
      <c r="AN445">
        <v>4</v>
      </c>
      <c r="AO445">
        <v>46192</v>
      </c>
      <c r="AP445">
        <v>0.70486111111111116</v>
      </c>
      <c r="AQ445">
        <v>46219</v>
      </c>
      <c r="AR445">
        <v>0.3972222222222222</v>
      </c>
      <c r="AS445" t="s">
        <v>201</v>
      </c>
      <c r="AT445" t="s">
        <v>1956</v>
      </c>
      <c r="AU445" t="s">
        <v>1955</v>
      </c>
      <c r="AV445" t="s">
        <v>856</v>
      </c>
      <c r="AW445">
        <v>1</v>
      </c>
      <c r="AX445">
        <v>1</v>
      </c>
      <c r="AY445" t="s">
        <v>125</v>
      </c>
      <c r="AZ445" t="s">
        <v>122</v>
      </c>
      <c r="BA445" t="s">
        <v>232</v>
      </c>
      <c r="BB445" t="s">
        <v>924</v>
      </c>
      <c r="BE445">
        <v>1</v>
      </c>
    </row>
    <row r="446" spans="1:57" x14ac:dyDescent="0.3">
      <c r="A446" s="204">
        <v>46235</v>
      </c>
      <c r="B446" t="s">
        <v>142</v>
      </c>
      <c r="C446" t="s">
        <v>346</v>
      </c>
      <c r="D446" t="s">
        <v>63</v>
      </c>
      <c r="E446" t="s">
        <v>95</v>
      </c>
      <c r="F446" t="s">
        <v>309</v>
      </c>
      <c r="G446" t="s">
        <v>1343</v>
      </c>
      <c r="H446" t="s">
        <v>842</v>
      </c>
      <c r="I446" t="s">
        <v>401</v>
      </c>
      <c r="J446">
        <v>2</v>
      </c>
      <c r="K446">
        <v>1</v>
      </c>
      <c r="L446" t="s">
        <v>1344</v>
      </c>
      <c r="M446" s="15">
        <v>46192.397974537038</v>
      </c>
      <c r="N446" s="15">
        <v>46199.397916666669</v>
      </c>
      <c r="O446" s="15">
        <v>46192.704861111109</v>
      </c>
      <c r="P446" s="15">
        <v>46219.397222222222</v>
      </c>
      <c r="Q446" s="15"/>
      <c r="S446" t="s">
        <v>396</v>
      </c>
      <c r="T446" t="s">
        <v>1906</v>
      </c>
      <c r="U446" t="s">
        <v>1907</v>
      </c>
      <c r="V446" t="s">
        <v>363</v>
      </c>
      <c r="W446">
        <v>2011</v>
      </c>
      <c r="X446" t="s">
        <v>352</v>
      </c>
      <c r="Y446" t="s">
        <v>262</v>
      </c>
      <c r="Z446" t="s">
        <v>851</v>
      </c>
      <c r="AB446" t="s">
        <v>350</v>
      </c>
      <c r="AC446" t="s">
        <v>7</v>
      </c>
      <c r="AD446" t="s">
        <v>7</v>
      </c>
      <c r="AE446" t="s">
        <v>7</v>
      </c>
      <c r="AF446" t="s">
        <v>1903</v>
      </c>
      <c r="AG446" t="s">
        <v>250</v>
      </c>
      <c r="AH446">
        <v>2</v>
      </c>
      <c r="AI446" t="s">
        <v>250</v>
      </c>
      <c r="AJ446" t="s">
        <v>251</v>
      </c>
      <c r="AK446" t="s">
        <v>922</v>
      </c>
      <c r="AL446" t="s">
        <v>156</v>
      </c>
      <c r="AM446" t="s">
        <v>936</v>
      </c>
      <c r="AO446">
        <v>46192</v>
      </c>
      <c r="AP446">
        <v>0.70486111111111116</v>
      </c>
      <c r="AQ446">
        <v>46219</v>
      </c>
      <c r="AR446">
        <v>0.3972222222222222</v>
      </c>
      <c r="AS446" t="s">
        <v>1958</v>
      </c>
      <c r="AU446" t="s">
        <v>1955</v>
      </c>
      <c r="AV446" t="s">
        <v>937</v>
      </c>
      <c r="AX446">
        <v>1</v>
      </c>
      <c r="AY446" t="s">
        <v>111</v>
      </c>
      <c r="AZ446" t="s">
        <v>96</v>
      </c>
      <c r="BA446" t="s">
        <v>225</v>
      </c>
      <c r="BB446" t="s">
        <v>924</v>
      </c>
    </row>
    <row r="447" spans="1:57" x14ac:dyDescent="0.3">
      <c r="A447" s="204">
        <v>46235</v>
      </c>
      <c r="B447" t="s">
        <v>142</v>
      </c>
      <c r="C447" t="s">
        <v>346</v>
      </c>
      <c r="D447" t="s">
        <v>57</v>
      </c>
      <c r="E447" t="s">
        <v>117</v>
      </c>
      <c r="F447" t="s">
        <v>309</v>
      </c>
      <c r="G447" t="s">
        <v>1343</v>
      </c>
      <c r="H447" t="s">
        <v>842</v>
      </c>
      <c r="I447" t="s">
        <v>401</v>
      </c>
      <c r="J447">
        <v>2</v>
      </c>
      <c r="K447">
        <v>1</v>
      </c>
      <c r="L447" t="s">
        <v>1344</v>
      </c>
      <c r="M447" s="15">
        <v>46192.397974537038</v>
      </c>
      <c r="N447" s="15">
        <v>46199.397916666669</v>
      </c>
      <c r="O447" s="15">
        <v>46192.704861111109</v>
      </c>
      <c r="P447" s="15">
        <v>46219.397222222222</v>
      </c>
      <c r="Q447" s="15"/>
      <c r="S447" t="s">
        <v>396</v>
      </c>
      <c r="T447" t="s">
        <v>1906</v>
      </c>
      <c r="U447" t="s">
        <v>1907</v>
      </c>
      <c r="V447" t="s">
        <v>363</v>
      </c>
      <c r="W447">
        <v>2011</v>
      </c>
      <c r="X447" t="s">
        <v>352</v>
      </c>
      <c r="Y447" t="s">
        <v>262</v>
      </c>
      <c r="Z447" t="s">
        <v>851</v>
      </c>
      <c r="AB447" t="s">
        <v>350</v>
      </c>
      <c r="AC447" t="s">
        <v>7</v>
      </c>
      <c r="AD447" t="s">
        <v>7</v>
      </c>
      <c r="AE447" t="s">
        <v>7</v>
      </c>
      <c r="AF447" t="s">
        <v>1904</v>
      </c>
      <c r="AG447" t="s">
        <v>250</v>
      </c>
      <c r="AH447">
        <v>2</v>
      </c>
      <c r="AI447" t="s">
        <v>250</v>
      </c>
      <c r="AJ447" t="s">
        <v>251</v>
      </c>
      <c r="AK447" t="s">
        <v>922</v>
      </c>
      <c r="AL447" t="s">
        <v>156</v>
      </c>
      <c r="AM447" t="s">
        <v>923</v>
      </c>
      <c r="AO447">
        <v>46192</v>
      </c>
      <c r="AP447">
        <v>0.70486111111111116</v>
      </c>
      <c r="AQ447">
        <v>46219</v>
      </c>
      <c r="AR447">
        <v>0.3972222222222222</v>
      </c>
      <c r="AS447" t="s">
        <v>1958</v>
      </c>
      <c r="AU447" t="s">
        <v>1955</v>
      </c>
      <c r="AV447" t="s">
        <v>862</v>
      </c>
      <c r="AX447">
        <v>1</v>
      </c>
      <c r="AY447" t="s">
        <v>126</v>
      </c>
      <c r="AZ447" t="s">
        <v>127</v>
      </c>
      <c r="BA447" t="s">
        <v>233</v>
      </c>
      <c r="BB447" t="s">
        <v>924</v>
      </c>
    </row>
    <row r="448" spans="1:57" x14ac:dyDescent="0.3">
      <c r="A448" s="204">
        <v>46235</v>
      </c>
      <c r="B448" t="s">
        <v>142</v>
      </c>
      <c r="C448" t="s">
        <v>346</v>
      </c>
      <c r="D448" t="s">
        <v>279</v>
      </c>
      <c r="E448" t="s">
        <v>192</v>
      </c>
      <c r="F448" t="s">
        <v>309</v>
      </c>
      <c r="G448" t="s">
        <v>1343</v>
      </c>
      <c r="H448" t="s">
        <v>842</v>
      </c>
      <c r="I448" t="s">
        <v>401</v>
      </c>
      <c r="J448">
        <v>6</v>
      </c>
      <c r="K448">
        <v>5</v>
      </c>
      <c r="L448" t="s">
        <v>1344</v>
      </c>
      <c r="M448" s="15">
        <v>46192.397974537038</v>
      </c>
      <c r="N448" s="15">
        <v>46199.397916666669</v>
      </c>
      <c r="O448" s="15">
        <v>46192.704861111109</v>
      </c>
      <c r="P448" s="15">
        <v>46219.397222222222</v>
      </c>
      <c r="Q448" s="15"/>
      <c r="S448" t="s">
        <v>396</v>
      </c>
      <c r="T448" t="s">
        <v>1906</v>
      </c>
      <c r="U448" t="s">
        <v>1907</v>
      </c>
      <c r="V448" t="s">
        <v>363</v>
      </c>
      <c r="W448">
        <v>2011</v>
      </c>
      <c r="X448" t="s">
        <v>352</v>
      </c>
      <c r="Y448" t="s">
        <v>262</v>
      </c>
      <c r="Z448" t="s">
        <v>851</v>
      </c>
      <c r="AB448" t="s">
        <v>350</v>
      </c>
      <c r="AC448" t="s">
        <v>7</v>
      </c>
      <c r="AD448" t="s">
        <v>7</v>
      </c>
      <c r="AE448" t="s">
        <v>7</v>
      </c>
      <c r="AF448" t="s">
        <v>1905</v>
      </c>
      <c r="AG448" t="s">
        <v>250</v>
      </c>
      <c r="AH448">
        <v>2</v>
      </c>
      <c r="AI448" t="s">
        <v>250</v>
      </c>
      <c r="AJ448" t="s">
        <v>248</v>
      </c>
      <c r="AK448" t="s">
        <v>922</v>
      </c>
      <c r="AL448" t="s">
        <v>156</v>
      </c>
      <c r="AM448" t="s">
        <v>931</v>
      </c>
      <c r="AN448">
        <v>4</v>
      </c>
      <c r="AO448">
        <v>46192</v>
      </c>
      <c r="AP448">
        <v>0.70486111111111116</v>
      </c>
      <c r="AQ448">
        <v>46219</v>
      </c>
      <c r="AR448">
        <v>0.3972222222222222</v>
      </c>
      <c r="AS448" t="s">
        <v>1958</v>
      </c>
      <c r="AU448" t="s">
        <v>1955</v>
      </c>
      <c r="AV448" t="s">
        <v>856</v>
      </c>
      <c r="AW448">
        <v>1</v>
      </c>
      <c r="AX448">
        <v>5</v>
      </c>
      <c r="AY448" t="s">
        <v>125</v>
      </c>
      <c r="AZ448" t="s">
        <v>122</v>
      </c>
      <c r="BA448" t="s">
        <v>232</v>
      </c>
      <c r="BB448" t="s">
        <v>924</v>
      </c>
    </row>
    <row r="449" spans="1:57" x14ac:dyDescent="0.3">
      <c r="A449" s="204">
        <v>46235</v>
      </c>
      <c r="B449" t="s">
        <v>142</v>
      </c>
      <c r="C449" t="s">
        <v>346</v>
      </c>
      <c r="D449" t="s">
        <v>63</v>
      </c>
      <c r="E449" t="s">
        <v>95</v>
      </c>
      <c r="F449" t="s">
        <v>309</v>
      </c>
      <c r="G449" t="s">
        <v>1325</v>
      </c>
      <c r="H449" t="s">
        <v>930</v>
      </c>
      <c r="I449" t="s">
        <v>405</v>
      </c>
      <c r="J449">
        <v>16</v>
      </c>
      <c r="K449">
        <v>16</v>
      </c>
      <c r="L449" t="s">
        <v>1326</v>
      </c>
      <c r="M449" s="15">
        <v>46176.3434837963</v>
      </c>
      <c r="N449" s="15">
        <v>46183.343055555553</v>
      </c>
      <c r="O449" s="15">
        <v>46176.640972222223</v>
      </c>
      <c r="P449" s="15">
        <v>46232.525000000001</v>
      </c>
      <c r="Q449" s="15"/>
      <c r="S449" t="s">
        <v>396</v>
      </c>
      <c r="T449" t="s">
        <v>932</v>
      </c>
      <c r="U449" t="s">
        <v>1870</v>
      </c>
      <c r="V449" t="s">
        <v>363</v>
      </c>
      <c r="W449">
        <v>2011</v>
      </c>
      <c r="X449" t="s">
        <v>352</v>
      </c>
      <c r="Y449" t="s">
        <v>262</v>
      </c>
      <c r="Z449" t="s">
        <v>851</v>
      </c>
      <c r="AB449" t="s">
        <v>350</v>
      </c>
      <c r="AC449" t="s">
        <v>7</v>
      </c>
      <c r="AD449" t="s">
        <v>7</v>
      </c>
      <c r="AE449" t="s">
        <v>7</v>
      </c>
      <c r="AF449" t="s">
        <v>1908</v>
      </c>
      <c r="AG449" t="s">
        <v>249</v>
      </c>
      <c r="AH449">
        <v>2</v>
      </c>
      <c r="AI449" t="s">
        <v>250</v>
      </c>
      <c r="AJ449" t="s">
        <v>251</v>
      </c>
      <c r="AK449" t="s">
        <v>922</v>
      </c>
      <c r="AL449" t="s">
        <v>156</v>
      </c>
      <c r="AM449" t="s">
        <v>936</v>
      </c>
      <c r="AO449">
        <v>46176</v>
      </c>
      <c r="AP449">
        <v>0.64097222222222228</v>
      </c>
      <c r="AQ449">
        <v>46232</v>
      </c>
      <c r="AR449">
        <v>0.52500000000000002</v>
      </c>
      <c r="AS449" t="s">
        <v>201</v>
      </c>
      <c r="AT449" t="s">
        <v>1954</v>
      </c>
      <c r="AU449" t="s">
        <v>1955</v>
      </c>
      <c r="AV449" t="s">
        <v>937</v>
      </c>
      <c r="AX449">
        <v>16</v>
      </c>
      <c r="AY449" t="s">
        <v>111</v>
      </c>
      <c r="AZ449" t="s">
        <v>96</v>
      </c>
      <c r="BA449" t="s">
        <v>225</v>
      </c>
      <c r="BB449" t="s">
        <v>924</v>
      </c>
    </row>
    <row r="450" spans="1:57" x14ac:dyDescent="0.3">
      <c r="A450" s="204">
        <v>46235</v>
      </c>
      <c r="B450" t="s">
        <v>142</v>
      </c>
      <c r="C450" t="s">
        <v>346</v>
      </c>
      <c r="D450" t="s">
        <v>57</v>
      </c>
      <c r="E450" t="s">
        <v>117</v>
      </c>
      <c r="F450" t="s">
        <v>309</v>
      </c>
      <c r="G450" t="s">
        <v>1325</v>
      </c>
      <c r="H450" t="s">
        <v>930</v>
      </c>
      <c r="I450" t="s">
        <v>405</v>
      </c>
      <c r="J450">
        <v>16</v>
      </c>
      <c r="K450">
        <v>16</v>
      </c>
      <c r="L450" t="s">
        <v>1326</v>
      </c>
      <c r="M450" s="15">
        <v>46176.3434837963</v>
      </c>
      <c r="N450" s="15">
        <v>46183.343055555553</v>
      </c>
      <c r="O450" s="15">
        <v>46176.640972222223</v>
      </c>
      <c r="P450" s="15">
        <v>46232.525000000001</v>
      </c>
      <c r="Q450" s="15"/>
      <c r="S450" t="s">
        <v>396</v>
      </c>
      <c r="T450" t="s">
        <v>932</v>
      </c>
      <c r="U450" t="s">
        <v>1870</v>
      </c>
      <c r="V450" t="s">
        <v>363</v>
      </c>
      <c r="W450">
        <v>2011</v>
      </c>
      <c r="X450" t="s">
        <v>352</v>
      </c>
      <c r="Y450" t="s">
        <v>262</v>
      </c>
      <c r="Z450" t="s">
        <v>851</v>
      </c>
      <c r="AB450" t="s">
        <v>350</v>
      </c>
      <c r="AC450" t="s">
        <v>7</v>
      </c>
      <c r="AD450" t="s">
        <v>7</v>
      </c>
      <c r="AE450" t="s">
        <v>7</v>
      </c>
      <c r="AF450" t="s">
        <v>1909</v>
      </c>
      <c r="AG450" t="s">
        <v>249</v>
      </c>
      <c r="AH450">
        <v>2</v>
      </c>
      <c r="AI450" t="s">
        <v>250</v>
      </c>
      <c r="AJ450" t="s">
        <v>251</v>
      </c>
      <c r="AK450" t="s">
        <v>922</v>
      </c>
      <c r="AL450" t="s">
        <v>156</v>
      </c>
      <c r="AM450" t="s">
        <v>923</v>
      </c>
      <c r="AO450">
        <v>46176</v>
      </c>
      <c r="AP450">
        <v>0.64097222222222228</v>
      </c>
      <c r="AQ450">
        <v>46232</v>
      </c>
      <c r="AR450">
        <v>0.52500000000000002</v>
      </c>
      <c r="AS450" t="s">
        <v>201</v>
      </c>
      <c r="AT450" t="s">
        <v>1954</v>
      </c>
      <c r="AU450" t="s">
        <v>1955</v>
      </c>
      <c r="AV450" t="s">
        <v>862</v>
      </c>
      <c r="AX450">
        <v>1.6</v>
      </c>
      <c r="AY450" t="s">
        <v>126</v>
      </c>
      <c r="AZ450" t="s">
        <v>127</v>
      </c>
      <c r="BA450" t="s">
        <v>233</v>
      </c>
      <c r="BB450" t="s">
        <v>924</v>
      </c>
    </row>
    <row r="451" spans="1:57" x14ac:dyDescent="0.3">
      <c r="A451" s="204">
        <v>46230</v>
      </c>
      <c r="B451" t="s">
        <v>142</v>
      </c>
      <c r="C451" t="s">
        <v>346</v>
      </c>
      <c r="D451" t="s">
        <v>279</v>
      </c>
      <c r="E451" t="s">
        <v>192</v>
      </c>
      <c r="F451" t="s">
        <v>309</v>
      </c>
      <c r="G451" t="s">
        <v>1345</v>
      </c>
      <c r="H451" t="s">
        <v>1910</v>
      </c>
      <c r="I451" t="s">
        <v>1346</v>
      </c>
      <c r="J451">
        <v>2565</v>
      </c>
      <c r="K451">
        <v>2565</v>
      </c>
      <c r="L451" t="s">
        <v>1347</v>
      </c>
      <c r="M451" s="15">
        <v>46232.494386574072</v>
      </c>
      <c r="N451" s="15">
        <v>46239.493750000001</v>
      </c>
      <c r="O451" s="15">
        <v>46232.61041666667</v>
      </c>
      <c r="P451" s="15">
        <v>46237.611111111109</v>
      </c>
      <c r="Q451" s="15"/>
      <c r="S451" t="s">
        <v>396</v>
      </c>
      <c r="U451" t="s">
        <v>1911</v>
      </c>
      <c r="V451" t="s">
        <v>363</v>
      </c>
      <c r="W451">
        <v>2011</v>
      </c>
      <c r="X451" t="s">
        <v>352</v>
      </c>
      <c r="Y451" t="s">
        <v>262</v>
      </c>
      <c r="Z451" t="s">
        <v>851</v>
      </c>
      <c r="AB451" t="s">
        <v>350</v>
      </c>
      <c r="AC451" t="s">
        <v>7</v>
      </c>
      <c r="AD451" t="s">
        <v>7</v>
      </c>
      <c r="AE451" t="s">
        <v>7</v>
      </c>
      <c r="AF451" t="s">
        <v>1912</v>
      </c>
      <c r="AG451" t="s">
        <v>249</v>
      </c>
      <c r="AH451">
        <v>2</v>
      </c>
      <c r="AI451" t="s">
        <v>250</v>
      </c>
      <c r="AJ451" t="s">
        <v>248</v>
      </c>
      <c r="AK451" t="s">
        <v>922</v>
      </c>
      <c r="AL451" t="s">
        <v>156</v>
      </c>
      <c r="AM451" t="s">
        <v>931</v>
      </c>
      <c r="AN451">
        <v>4</v>
      </c>
      <c r="AO451">
        <v>46232</v>
      </c>
      <c r="AP451">
        <v>0.61041666666666672</v>
      </c>
      <c r="AQ451">
        <v>46237</v>
      </c>
      <c r="AR451">
        <v>0.61111111111111116</v>
      </c>
      <c r="AS451" t="s">
        <v>201</v>
      </c>
      <c r="AT451" t="s">
        <v>1954</v>
      </c>
      <c r="AU451" t="s">
        <v>1955</v>
      </c>
      <c r="AV451" t="s">
        <v>856</v>
      </c>
      <c r="AW451">
        <v>1</v>
      </c>
      <c r="AX451">
        <v>2565</v>
      </c>
      <c r="AY451" t="s">
        <v>125</v>
      </c>
      <c r="AZ451" t="s">
        <v>122</v>
      </c>
      <c r="BA451" t="s">
        <v>232</v>
      </c>
      <c r="BB451" t="s">
        <v>924</v>
      </c>
      <c r="BE451">
        <v>256.5</v>
      </c>
    </row>
    <row r="452" spans="1:57" x14ac:dyDescent="0.3">
      <c r="A452" s="204">
        <v>46235</v>
      </c>
      <c r="B452" t="s">
        <v>142</v>
      </c>
      <c r="C452" t="s">
        <v>346</v>
      </c>
      <c r="D452" t="s">
        <v>51</v>
      </c>
      <c r="E452" t="s">
        <v>258</v>
      </c>
      <c r="F452" t="s">
        <v>309</v>
      </c>
      <c r="G452" t="s">
        <v>1348</v>
      </c>
      <c r="H452" t="s">
        <v>939</v>
      </c>
      <c r="I452" t="s">
        <v>402</v>
      </c>
      <c r="J452">
        <v>80</v>
      </c>
      <c r="K452">
        <v>80</v>
      </c>
      <c r="L452" t="s">
        <v>1349</v>
      </c>
      <c r="M452" s="15">
        <v>46223.473726851851</v>
      </c>
      <c r="N452" s="15">
        <v>46230.473611111112</v>
      </c>
      <c r="O452" s="15">
        <v>46223.613449074073</v>
      </c>
      <c r="P452" s="15">
        <v>46223.613449074073</v>
      </c>
      <c r="Q452" s="15"/>
      <c r="R452" t="s">
        <v>314</v>
      </c>
      <c r="S452" t="s">
        <v>396</v>
      </c>
      <c r="U452" t="s">
        <v>1913</v>
      </c>
      <c r="V452" t="s">
        <v>363</v>
      </c>
      <c r="W452">
        <v>2011</v>
      </c>
      <c r="X452" t="s">
        <v>352</v>
      </c>
      <c r="Y452" t="s">
        <v>262</v>
      </c>
      <c r="Z452" t="s">
        <v>851</v>
      </c>
      <c r="AB452" t="s">
        <v>350</v>
      </c>
      <c r="AC452" t="s">
        <v>7</v>
      </c>
      <c r="AD452" t="s">
        <v>7</v>
      </c>
      <c r="AE452" t="s">
        <v>7</v>
      </c>
      <c r="AF452" t="s">
        <v>1914</v>
      </c>
      <c r="AG452" t="s">
        <v>249</v>
      </c>
      <c r="AH452">
        <v>1</v>
      </c>
      <c r="AI452" t="s">
        <v>250</v>
      </c>
      <c r="AJ452" t="s">
        <v>248</v>
      </c>
      <c r="AK452" t="s">
        <v>922</v>
      </c>
      <c r="AL452" t="s">
        <v>156</v>
      </c>
      <c r="AM452" t="s">
        <v>926</v>
      </c>
      <c r="AN452">
        <v>2</v>
      </c>
      <c r="AO452">
        <v>46223</v>
      </c>
      <c r="AP452">
        <v>0.61344907407407412</v>
      </c>
      <c r="AQ452">
        <v>46223</v>
      </c>
      <c r="AR452">
        <v>0.61344907407407412</v>
      </c>
      <c r="AS452" t="s">
        <v>201</v>
      </c>
      <c r="AT452" t="s">
        <v>1954</v>
      </c>
      <c r="AU452" t="s">
        <v>1955</v>
      </c>
      <c r="AV452" t="s">
        <v>853</v>
      </c>
      <c r="AY452" t="s">
        <v>7</v>
      </c>
      <c r="AZ452" t="s">
        <v>238</v>
      </c>
      <c r="BA452" t="s">
        <v>7</v>
      </c>
      <c r="BB452" t="s">
        <v>924</v>
      </c>
      <c r="BE452">
        <v>0</v>
      </c>
    </row>
    <row r="453" spans="1:57" x14ac:dyDescent="0.3">
      <c r="A453" s="204">
        <v>46230</v>
      </c>
      <c r="B453" t="s">
        <v>142</v>
      </c>
      <c r="C453" t="s">
        <v>346</v>
      </c>
      <c r="D453" t="s">
        <v>57</v>
      </c>
      <c r="E453" t="s">
        <v>117</v>
      </c>
      <c r="F453" t="s">
        <v>309</v>
      </c>
      <c r="G453" t="s">
        <v>1345</v>
      </c>
      <c r="H453" t="s">
        <v>1910</v>
      </c>
      <c r="I453" t="s">
        <v>1346</v>
      </c>
      <c r="J453">
        <v>33</v>
      </c>
      <c r="K453">
        <v>33</v>
      </c>
      <c r="L453" t="s">
        <v>1347</v>
      </c>
      <c r="M453" s="15">
        <v>46232.494386574072</v>
      </c>
      <c r="N453" s="15">
        <v>46239.493750000001</v>
      </c>
      <c r="O453" s="15">
        <v>46232.61041666667</v>
      </c>
      <c r="P453" s="15">
        <v>46237.611111111109</v>
      </c>
      <c r="Q453" s="15"/>
      <c r="S453" t="s">
        <v>396</v>
      </c>
      <c r="U453" t="s">
        <v>1911</v>
      </c>
      <c r="V453" t="s">
        <v>363</v>
      </c>
      <c r="W453">
        <v>2011</v>
      </c>
      <c r="X453" t="s">
        <v>352</v>
      </c>
      <c r="Y453" t="s">
        <v>262</v>
      </c>
      <c r="Z453" t="s">
        <v>851</v>
      </c>
      <c r="AB453" t="s">
        <v>350</v>
      </c>
      <c r="AC453" t="s">
        <v>7</v>
      </c>
      <c r="AD453" t="s">
        <v>7</v>
      </c>
      <c r="AE453" t="s">
        <v>7</v>
      </c>
      <c r="AF453" t="s">
        <v>1915</v>
      </c>
      <c r="AG453" t="s">
        <v>249</v>
      </c>
      <c r="AH453">
        <v>2</v>
      </c>
      <c r="AI453" t="s">
        <v>250</v>
      </c>
      <c r="AJ453" t="s">
        <v>251</v>
      </c>
      <c r="AK453" t="s">
        <v>922</v>
      </c>
      <c r="AL453" t="s">
        <v>156</v>
      </c>
      <c r="AM453" t="s">
        <v>923</v>
      </c>
      <c r="AO453">
        <v>46232</v>
      </c>
      <c r="AP453">
        <v>0.61041666666666672</v>
      </c>
      <c r="AQ453">
        <v>46237</v>
      </c>
      <c r="AR453">
        <v>0.61111111111111116</v>
      </c>
      <c r="AS453" t="s">
        <v>201</v>
      </c>
      <c r="AT453" t="s">
        <v>1954</v>
      </c>
      <c r="AU453" t="s">
        <v>1955</v>
      </c>
      <c r="AV453" t="s">
        <v>862</v>
      </c>
      <c r="AX453">
        <v>3.3</v>
      </c>
      <c r="AY453" t="s">
        <v>126</v>
      </c>
      <c r="AZ453" t="s">
        <v>127</v>
      </c>
      <c r="BA453" t="s">
        <v>233</v>
      </c>
      <c r="BB453" t="s">
        <v>924</v>
      </c>
      <c r="BE453">
        <v>1</v>
      </c>
    </row>
    <row r="454" spans="1:57" x14ac:dyDescent="0.3">
      <c r="A454" s="204">
        <v>46230</v>
      </c>
      <c r="B454" t="s">
        <v>142</v>
      </c>
      <c r="C454" t="s">
        <v>346</v>
      </c>
      <c r="D454" t="s">
        <v>279</v>
      </c>
      <c r="E454" t="s">
        <v>192</v>
      </c>
      <c r="F454" t="s">
        <v>309</v>
      </c>
      <c r="G454" t="s">
        <v>1345</v>
      </c>
      <c r="H454" t="s">
        <v>1910</v>
      </c>
      <c r="I454" t="s">
        <v>1346</v>
      </c>
      <c r="J454">
        <v>2425</v>
      </c>
      <c r="K454">
        <v>2425</v>
      </c>
      <c r="L454" t="s">
        <v>1347</v>
      </c>
      <c r="M454" s="15">
        <v>46232.494386574072</v>
      </c>
      <c r="N454" s="15">
        <v>46239.493750000001</v>
      </c>
      <c r="O454" s="15">
        <v>46232.61041666667</v>
      </c>
      <c r="P454" s="15">
        <v>46258.618750000001</v>
      </c>
      <c r="Q454" s="15"/>
      <c r="S454" t="s">
        <v>396</v>
      </c>
      <c r="U454" t="s">
        <v>1916</v>
      </c>
      <c r="V454" t="s">
        <v>363</v>
      </c>
      <c r="W454">
        <v>2011</v>
      </c>
      <c r="X454" t="s">
        <v>352</v>
      </c>
      <c r="Y454" t="s">
        <v>262</v>
      </c>
      <c r="Z454" t="s">
        <v>851</v>
      </c>
      <c r="AB454" t="s">
        <v>350</v>
      </c>
      <c r="AC454" t="s">
        <v>7</v>
      </c>
      <c r="AD454" t="s">
        <v>7</v>
      </c>
      <c r="AE454" t="s">
        <v>7</v>
      </c>
      <c r="AF454" t="s">
        <v>1912</v>
      </c>
      <c r="AG454" t="s">
        <v>250</v>
      </c>
      <c r="AH454">
        <v>2</v>
      </c>
      <c r="AI454" t="s">
        <v>250</v>
      </c>
      <c r="AJ454" t="s">
        <v>248</v>
      </c>
      <c r="AK454" t="s">
        <v>922</v>
      </c>
      <c r="AL454" t="s">
        <v>156</v>
      </c>
      <c r="AM454" t="s">
        <v>931</v>
      </c>
      <c r="AN454">
        <v>4</v>
      </c>
      <c r="AO454">
        <v>46232</v>
      </c>
      <c r="AP454">
        <v>0.61041666666666672</v>
      </c>
      <c r="AQ454">
        <v>46258</v>
      </c>
      <c r="AR454">
        <v>0.61875000000000002</v>
      </c>
      <c r="AS454" t="s">
        <v>1958</v>
      </c>
      <c r="AU454" t="s">
        <v>1955</v>
      </c>
      <c r="AV454" t="s">
        <v>856</v>
      </c>
      <c r="AW454">
        <v>1</v>
      </c>
      <c r="AX454">
        <v>2425</v>
      </c>
      <c r="AY454" t="s">
        <v>125</v>
      </c>
      <c r="AZ454" t="s">
        <v>122</v>
      </c>
      <c r="BA454" t="s">
        <v>232</v>
      </c>
      <c r="BB454" t="s">
        <v>924</v>
      </c>
      <c r="BE454">
        <v>243</v>
      </c>
    </row>
    <row r="455" spans="1:57" x14ac:dyDescent="0.3">
      <c r="A455" s="204">
        <v>46235</v>
      </c>
      <c r="B455" t="s">
        <v>142</v>
      </c>
      <c r="C455" t="s">
        <v>346</v>
      </c>
      <c r="D455" t="s">
        <v>51</v>
      </c>
      <c r="E455" t="s">
        <v>258</v>
      </c>
      <c r="F455" t="s">
        <v>309</v>
      </c>
      <c r="G455" t="s">
        <v>1350</v>
      </c>
      <c r="H455" t="s">
        <v>938</v>
      </c>
      <c r="I455" t="s">
        <v>421</v>
      </c>
      <c r="J455">
        <v>200</v>
      </c>
      <c r="K455">
        <v>200</v>
      </c>
      <c r="L455" t="s">
        <v>1351</v>
      </c>
      <c r="M455" s="15">
        <v>46220.3280787037</v>
      </c>
      <c r="N455" s="15">
        <v>46227.333333333336</v>
      </c>
      <c r="O455" s="15">
        <v>46220.679861111108</v>
      </c>
      <c r="P455" s="15">
        <v>46226.486805555556</v>
      </c>
      <c r="Q455" s="15"/>
      <c r="S455" t="s">
        <v>395</v>
      </c>
      <c r="V455" t="s">
        <v>395</v>
      </c>
      <c r="X455" t="s">
        <v>376</v>
      </c>
      <c r="Y455" t="s">
        <v>295</v>
      </c>
      <c r="Z455" t="s">
        <v>851</v>
      </c>
      <c r="AB455" t="s">
        <v>350</v>
      </c>
      <c r="AC455" t="s">
        <v>7</v>
      </c>
      <c r="AD455" t="s">
        <v>7</v>
      </c>
      <c r="AE455" t="s">
        <v>7</v>
      </c>
      <c r="AF455" t="s">
        <v>1917</v>
      </c>
      <c r="AG455" t="s">
        <v>249</v>
      </c>
      <c r="AH455">
        <v>1</v>
      </c>
      <c r="AI455" t="s">
        <v>250</v>
      </c>
      <c r="AJ455" t="s">
        <v>248</v>
      </c>
      <c r="AK455" t="s">
        <v>933</v>
      </c>
      <c r="AL455" t="s">
        <v>204</v>
      </c>
      <c r="AM455" t="s">
        <v>1918</v>
      </c>
      <c r="AN455">
        <v>3</v>
      </c>
      <c r="AO455">
        <v>46220</v>
      </c>
      <c r="AP455">
        <v>0.67986111111111114</v>
      </c>
      <c r="AQ455">
        <v>46226</v>
      </c>
      <c r="AR455">
        <v>0.48680555555555555</v>
      </c>
      <c r="AS455" t="s">
        <v>201</v>
      </c>
      <c r="AT455" t="s">
        <v>1956</v>
      </c>
      <c r="AU455" t="s">
        <v>1955</v>
      </c>
      <c r="AV455" t="s">
        <v>853</v>
      </c>
      <c r="AY455" t="s">
        <v>7</v>
      </c>
      <c r="AZ455" t="s">
        <v>238</v>
      </c>
      <c r="BA455" t="s">
        <v>7</v>
      </c>
      <c r="BB455" t="s">
        <v>940</v>
      </c>
      <c r="BE455">
        <v>0</v>
      </c>
    </row>
    <row r="456" spans="1:57" x14ac:dyDescent="0.3">
      <c r="A456" s="204">
        <v>46230</v>
      </c>
      <c r="B456" t="s">
        <v>142</v>
      </c>
      <c r="C456" t="s">
        <v>346</v>
      </c>
      <c r="D456" t="s">
        <v>63</v>
      </c>
      <c r="E456" t="s">
        <v>95</v>
      </c>
      <c r="F456" t="s">
        <v>309</v>
      </c>
      <c r="G456" t="s">
        <v>740</v>
      </c>
      <c r="H456" t="s">
        <v>842</v>
      </c>
      <c r="I456" t="s">
        <v>401</v>
      </c>
      <c r="J456">
        <v>1</v>
      </c>
      <c r="K456">
        <v>1</v>
      </c>
      <c r="L456" t="s">
        <v>1352</v>
      </c>
      <c r="M456" s="15">
        <v>46253.600624999999</v>
      </c>
      <c r="N456" s="15">
        <v>46260.6</v>
      </c>
      <c r="O456" s="15">
        <v>46254.588888888888</v>
      </c>
      <c r="P456" s="15">
        <v>46258.355555555558</v>
      </c>
      <c r="Q456" s="15"/>
      <c r="S456" t="s">
        <v>396</v>
      </c>
      <c r="U456" t="s">
        <v>1919</v>
      </c>
      <c r="V456" t="s">
        <v>363</v>
      </c>
      <c r="W456">
        <v>2011</v>
      </c>
      <c r="X456" t="s">
        <v>352</v>
      </c>
      <c r="Y456" t="s">
        <v>262</v>
      </c>
      <c r="Z456" t="s">
        <v>851</v>
      </c>
      <c r="AB456" t="s">
        <v>350</v>
      </c>
      <c r="AC456" t="s">
        <v>7</v>
      </c>
      <c r="AD456" t="s">
        <v>7</v>
      </c>
      <c r="AE456" t="s">
        <v>7</v>
      </c>
      <c r="AF456" t="s">
        <v>1920</v>
      </c>
      <c r="AG456" t="s">
        <v>249</v>
      </c>
      <c r="AH456">
        <v>2</v>
      </c>
      <c r="AI456" t="s">
        <v>250</v>
      </c>
      <c r="AJ456" t="s">
        <v>251</v>
      </c>
      <c r="AK456" t="s">
        <v>922</v>
      </c>
      <c r="AL456" t="s">
        <v>156</v>
      </c>
      <c r="AM456" t="s">
        <v>936</v>
      </c>
      <c r="AO456">
        <v>46254</v>
      </c>
      <c r="AP456">
        <v>0.58888888888888891</v>
      </c>
      <c r="AQ456">
        <v>46258</v>
      </c>
      <c r="AR456">
        <v>0.35555555555555557</v>
      </c>
      <c r="AS456" t="s">
        <v>201</v>
      </c>
      <c r="AT456" t="s">
        <v>1954</v>
      </c>
      <c r="AU456" t="s">
        <v>1955</v>
      </c>
      <c r="AV456" t="s">
        <v>937</v>
      </c>
      <c r="AX456">
        <v>1</v>
      </c>
      <c r="AY456" t="s">
        <v>111</v>
      </c>
      <c r="AZ456" t="s">
        <v>96</v>
      </c>
      <c r="BA456" t="s">
        <v>225</v>
      </c>
      <c r="BB456" t="s">
        <v>924</v>
      </c>
      <c r="BE456">
        <v>3.7</v>
      </c>
    </row>
    <row r="457" spans="1:57" x14ac:dyDescent="0.3">
      <c r="A457" s="204">
        <v>46230</v>
      </c>
      <c r="B457" t="s">
        <v>142</v>
      </c>
      <c r="C457" t="s">
        <v>346</v>
      </c>
      <c r="D457" t="s">
        <v>57</v>
      </c>
      <c r="E457" t="s">
        <v>117</v>
      </c>
      <c r="F457" t="s">
        <v>309</v>
      </c>
      <c r="G457" t="s">
        <v>740</v>
      </c>
      <c r="H457" t="s">
        <v>842</v>
      </c>
      <c r="I457" t="s">
        <v>401</v>
      </c>
      <c r="J457">
        <v>1</v>
      </c>
      <c r="K457">
        <v>1</v>
      </c>
      <c r="L457" t="s">
        <v>1352</v>
      </c>
      <c r="M457" s="15">
        <v>46253.600624999999</v>
      </c>
      <c r="N457" s="15">
        <v>46260.6</v>
      </c>
      <c r="O457" s="15">
        <v>46254.588888888888</v>
      </c>
      <c r="P457" s="15">
        <v>46258.355555555558</v>
      </c>
      <c r="Q457" s="15"/>
      <c r="S457" t="s">
        <v>396</v>
      </c>
      <c r="U457" t="s">
        <v>1919</v>
      </c>
      <c r="V457" t="s">
        <v>363</v>
      </c>
      <c r="W457">
        <v>2011</v>
      </c>
      <c r="X457" t="s">
        <v>352</v>
      </c>
      <c r="Y457" t="s">
        <v>262</v>
      </c>
      <c r="Z457" t="s">
        <v>851</v>
      </c>
      <c r="AB457" t="s">
        <v>350</v>
      </c>
      <c r="AC457" t="s">
        <v>7</v>
      </c>
      <c r="AD457" t="s">
        <v>7</v>
      </c>
      <c r="AE457" t="s">
        <v>7</v>
      </c>
      <c r="AF457" t="s">
        <v>1921</v>
      </c>
      <c r="AG457" t="s">
        <v>249</v>
      </c>
      <c r="AH457">
        <v>2</v>
      </c>
      <c r="AI457" t="s">
        <v>250</v>
      </c>
      <c r="AJ457" t="s">
        <v>251</v>
      </c>
      <c r="AK457" t="s">
        <v>922</v>
      </c>
      <c r="AL457" t="s">
        <v>156</v>
      </c>
      <c r="AM457" t="s">
        <v>923</v>
      </c>
      <c r="AO457">
        <v>46254</v>
      </c>
      <c r="AP457">
        <v>0.58888888888888891</v>
      </c>
      <c r="AQ457">
        <v>46258</v>
      </c>
      <c r="AR457">
        <v>0.35555555555555557</v>
      </c>
      <c r="AS457" t="s">
        <v>201</v>
      </c>
      <c r="AT457" t="s">
        <v>1954</v>
      </c>
      <c r="AU457" t="s">
        <v>1955</v>
      </c>
      <c r="AV457" t="s">
        <v>862</v>
      </c>
      <c r="AX457">
        <v>1</v>
      </c>
      <c r="AY457" t="s">
        <v>126</v>
      </c>
      <c r="AZ457" t="s">
        <v>127</v>
      </c>
      <c r="BA457" t="s">
        <v>233</v>
      </c>
      <c r="BB457" t="s">
        <v>924</v>
      </c>
      <c r="BE457">
        <v>1</v>
      </c>
    </row>
    <row r="458" spans="1:57" x14ac:dyDescent="0.3">
      <c r="A458" s="204">
        <v>46230</v>
      </c>
      <c r="B458" t="s">
        <v>142</v>
      </c>
      <c r="C458" t="s">
        <v>346</v>
      </c>
      <c r="D458" t="s">
        <v>279</v>
      </c>
      <c r="E458" t="s">
        <v>192</v>
      </c>
      <c r="F458" t="s">
        <v>309</v>
      </c>
      <c r="G458" t="s">
        <v>740</v>
      </c>
      <c r="H458" t="s">
        <v>842</v>
      </c>
      <c r="I458" t="s">
        <v>401</v>
      </c>
      <c r="J458">
        <v>5</v>
      </c>
      <c r="K458">
        <v>5</v>
      </c>
      <c r="L458" t="s">
        <v>1352</v>
      </c>
      <c r="M458" s="15">
        <v>46253.600624999999</v>
      </c>
      <c r="N458" s="15">
        <v>46260.6</v>
      </c>
      <c r="O458" s="15">
        <v>46254.588888888888</v>
      </c>
      <c r="P458" s="15">
        <v>46258.355555555558</v>
      </c>
      <c r="Q458" s="15"/>
      <c r="S458" t="s">
        <v>396</v>
      </c>
      <c r="U458" t="s">
        <v>1919</v>
      </c>
      <c r="V458" t="s">
        <v>363</v>
      </c>
      <c r="W458">
        <v>2011</v>
      </c>
      <c r="X458" t="s">
        <v>352</v>
      </c>
      <c r="Y458" t="s">
        <v>262</v>
      </c>
      <c r="Z458" t="s">
        <v>851</v>
      </c>
      <c r="AB458" t="s">
        <v>350</v>
      </c>
      <c r="AC458" t="s">
        <v>7</v>
      </c>
      <c r="AD458" t="s">
        <v>7</v>
      </c>
      <c r="AE458" t="s">
        <v>7</v>
      </c>
      <c r="AF458" t="s">
        <v>1922</v>
      </c>
      <c r="AG458" t="s">
        <v>249</v>
      </c>
      <c r="AH458">
        <v>2</v>
      </c>
      <c r="AI458" t="s">
        <v>250</v>
      </c>
      <c r="AJ458" t="s">
        <v>248</v>
      </c>
      <c r="AK458" t="s">
        <v>922</v>
      </c>
      <c r="AL458" t="s">
        <v>156</v>
      </c>
      <c r="AM458" t="s">
        <v>931</v>
      </c>
      <c r="AN458">
        <v>4</v>
      </c>
      <c r="AO458">
        <v>46254</v>
      </c>
      <c r="AP458">
        <v>0.58888888888888891</v>
      </c>
      <c r="AQ458">
        <v>46258</v>
      </c>
      <c r="AR458">
        <v>0.35555555555555557</v>
      </c>
      <c r="AS458" t="s">
        <v>201</v>
      </c>
      <c r="AT458" t="s">
        <v>1954</v>
      </c>
      <c r="AU458" t="s">
        <v>1955</v>
      </c>
      <c r="AV458" t="s">
        <v>856</v>
      </c>
      <c r="AW458">
        <v>1</v>
      </c>
      <c r="AX458">
        <v>5</v>
      </c>
      <c r="AY458" t="s">
        <v>125</v>
      </c>
      <c r="AZ458" t="s">
        <v>122</v>
      </c>
      <c r="BA458" t="s">
        <v>232</v>
      </c>
      <c r="BB458" t="s">
        <v>924</v>
      </c>
    </row>
    <row r="459" spans="1:57" x14ac:dyDescent="0.3">
      <c r="A459" s="204">
        <v>46230</v>
      </c>
      <c r="B459" t="s">
        <v>142</v>
      </c>
      <c r="C459" t="s">
        <v>346</v>
      </c>
      <c r="D459" t="s">
        <v>63</v>
      </c>
      <c r="E459" t="s">
        <v>95</v>
      </c>
      <c r="F459" t="s">
        <v>309</v>
      </c>
      <c r="G459" t="s">
        <v>1353</v>
      </c>
      <c r="H459" t="s">
        <v>930</v>
      </c>
      <c r="I459" t="s">
        <v>405</v>
      </c>
      <c r="J459">
        <v>9</v>
      </c>
      <c r="K459">
        <v>9</v>
      </c>
      <c r="L459" t="s">
        <v>1354</v>
      </c>
      <c r="M459" s="15">
        <v>46251.363252314812</v>
      </c>
      <c r="N459" s="15">
        <v>46258.363194444442</v>
      </c>
      <c r="O459" s="15">
        <v>46252.660416666666</v>
      </c>
      <c r="P459" s="15">
        <v>46253.341666666667</v>
      </c>
      <c r="Q459" s="15"/>
      <c r="S459" t="s">
        <v>396</v>
      </c>
      <c r="U459" t="s">
        <v>1923</v>
      </c>
      <c r="V459" t="s">
        <v>363</v>
      </c>
      <c r="W459">
        <v>2011</v>
      </c>
      <c r="X459" t="s">
        <v>352</v>
      </c>
      <c r="Y459" t="s">
        <v>262</v>
      </c>
      <c r="Z459" t="s">
        <v>851</v>
      </c>
      <c r="AB459" t="s">
        <v>350</v>
      </c>
      <c r="AC459" t="s">
        <v>7</v>
      </c>
      <c r="AD459" t="s">
        <v>7</v>
      </c>
      <c r="AE459" t="s">
        <v>7</v>
      </c>
      <c r="AF459" t="s">
        <v>1924</v>
      </c>
      <c r="AG459" t="s">
        <v>249</v>
      </c>
      <c r="AH459">
        <v>2</v>
      </c>
      <c r="AI459" t="s">
        <v>250</v>
      </c>
      <c r="AJ459" t="s">
        <v>251</v>
      </c>
      <c r="AK459" t="s">
        <v>922</v>
      </c>
      <c r="AL459" t="s">
        <v>156</v>
      </c>
      <c r="AM459" t="s">
        <v>936</v>
      </c>
      <c r="AO459">
        <v>46252</v>
      </c>
      <c r="AP459">
        <v>0.66041666666666665</v>
      </c>
      <c r="AQ459">
        <v>46253</v>
      </c>
      <c r="AR459">
        <v>0.34166666666666667</v>
      </c>
      <c r="AS459" t="s">
        <v>201</v>
      </c>
      <c r="AT459" t="s">
        <v>1954</v>
      </c>
      <c r="AU459" t="s">
        <v>1955</v>
      </c>
      <c r="AV459" t="s">
        <v>937</v>
      </c>
      <c r="AX459">
        <v>9</v>
      </c>
      <c r="AY459" t="s">
        <v>111</v>
      </c>
      <c r="AZ459" t="s">
        <v>96</v>
      </c>
      <c r="BA459" t="s">
        <v>225</v>
      </c>
      <c r="BB459" t="s">
        <v>924</v>
      </c>
      <c r="BE459">
        <v>1</v>
      </c>
    </row>
    <row r="460" spans="1:57" x14ac:dyDescent="0.3">
      <c r="A460" s="204">
        <v>46230</v>
      </c>
      <c r="B460" t="s">
        <v>142</v>
      </c>
      <c r="C460" t="s">
        <v>346</v>
      </c>
      <c r="D460" t="s">
        <v>57</v>
      </c>
      <c r="E460" t="s">
        <v>117</v>
      </c>
      <c r="F460" t="s">
        <v>309</v>
      </c>
      <c r="G460" t="s">
        <v>1353</v>
      </c>
      <c r="H460" t="s">
        <v>930</v>
      </c>
      <c r="I460" t="s">
        <v>405</v>
      </c>
      <c r="J460">
        <v>9</v>
      </c>
      <c r="K460">
        <v>9</v>
      </c>
      <c r="L460" t="s">
        <v>1354</v>
      </c>
      <c r="M460" s="15">
        <v>46251.363252314812</v>
      </c>
      <c r="N460" s="15">
        <v>46258.363194444442</v>
      </c>
      <c r="O460" s="15">
        <v>46252.660416666666</v>
      </c>
      <c r="P460" s="15">
        <v>46253.341666666667</v>
      </c>
      <c r="Q460" s="15"/>
      <c r="S460" t="s">
        <v>396</v>
      </c>
      <c r="U460" t="s">
        <v>1923</v>
      </c>
      <c r="V460" t="s">
        <v>363</v>
      </c>
      <c r="W460">
        <v>2011</v>
      </c>
      <c r="X460" t="s">
        <v>352</v>
      </c>
      <c r="Y460" t="s">
        <v>262</v>
      </c>
      <c r="Z460" t="s">
        <v>851</v>
      </c>
      <c r="AB460" t="s">
        <v>350</v>
      </c>
      <c r="AC460" t="s">
        <v>7</v>
      </c>
      <c r="AD460" t="s">
        <v>7</v>
      </c>
      <c r="AE460" t="s">
        <v>7</v>
      </c>
      <c r="AF460" t="s">
        <v>1925</v>
      </c>
      <c r="AG460" t="s">
        <v>249</v>
      </c>
      <c r="AH460">
        <v>2</v>
      </c>
      <c r="AI460" t="s">
        <v>250</v>
      </c>
      <c r="AJ460" t="s">
        <v>251</v>
      </c>
      <c r="AK460" t="s">
        <v>922</v>
      </c>
      <c r="AL460" t="s">
        <v>156</v>
      </c>
      <c r="AM460" t="s">
        <v>923</v>
      </c>
      <c r="AO460">
        <v>46252</v>
      </c>
      <c r="AP460">
        <v>0.66041666666666665</v>
      </c>
      <c r="AQ460">
        <v>46253</v>
      </c>
      <c r="AR460">
        <v>0.34166666666666667</v>
      </c>
      <c r="AS460" t="s">
        <v>201</v>
      </c>
      <c r="AT460" t="s">
        <v>1954</v>
      </c>
      <c r="AU460" t="s">
        <v>1955</v>
      </c>
      <c r="AV460" t="s">
        <v>862</v>
      </c>
      <c r="AX460">
        <v>1</v>
      </c>
      <c r="AY460" t="s">
        <v>126</v>
      </c>
      <c r="AZ460" t="s">
        <v>127</v>
      </c>
      <c r="BA460" t="s">
        <v>233</v>
      </c>
      <c r="BB460" t="s">
        <v>924</v>
      </c>
      <c r="BE460">
        <v>1</v>
      </c>
    </row>
    <row r="461" spans="1:57" x14ac:dyDescent="0.3">
      <c r="A461" s="204">
        <v>46230</v>
      </c>
      <c r="B461" t="s">
        <v>142</v>
      </c>
      <c r="C461" t="s">
        <v>346</v>
      </c>
      <c r="D461" t="s">
        <v>279</v>
      </c>
      <c r="E461" t="s">
        <v>192</v>
      </c>
      <c r="F461" t="s">
        <v>309</v>
      </c>
      <c r="G461" t="s">
        <v>1353</v>
      </c>
      <c r="H461" t="s">
        <v>930</v>
      </c>
      <c r="I461" t="s">
        <v>405</v>
      </c>
      <c r="J461">
        <v>754</v>
      </c>
      <c r="K461">
        <v>754</v>
      </c>
      <c r="L461" t="s">
        <v>1354</v>
      </c>
      <c r="M461" s="15">
        <v>46251.363252314812</v>
      </c>
      <c r="N461" s="15">
        <v>46258.363194444442</v>
      </c>
      <c r="O461" s="15">
        <v>46252.660416666666</v>
      </c>
      <c r="P461" s="15">
        <v>46253.341666666667</v>
      </c>
      <c r="Q461" s="15"/>
      <c r="S461" t="s">
        <v>396</v>
      </c>
      <c r="U461" t="s">
        <v>1923</v>
      </c>
      <c r="V461" t="s">
        <v>363</v>
      </c>
      <c r="W461">
        <v>2011</v>
      </c>
      <c r="X461" t="s">
        <v>352</v>
      </c>
      <c r="Y461" t="s">
        <v>262</v>
      </c>
      <c r="Z461" t="s">
        <v>851</v>
      </c>
      <c r="AB461" t="s">
        <v>350</v>
      </c>
      <c r="AC461" t="s">
        <v>7</v>
      </c>
      <c r="AD461" t="s">
        <v>7</v>
      </c>
      <c r="AE461" t="s">
        <v>7</v>
      </c>
      <c r="AF461" t="s">
        <v>1926</v>
      </c>
      <c r="AG461" t="s">
        <v>249</v>
      </c>
      <c r="AH461">
        <v>2</v>
      </c>
      <c r="AI461" t="s">
        <v>250</v>
      </c>
      <c r="AJ461" t="s">
        <v>248</v>
      </c>
      <c r="AK461" t="s">
        <v>922</v>
      </c>
      <c r="AL461" t="s">
        <v>156</v>
      </c>
      <c r="AM461" t="s">
        <v>931</v>
      </c>
      <c r="AN461">
        <v>4</v>
      </c>
      <c r="AO461">
        <v>46252</v>
      </c>
      <c r="AP461">
        <v>0.66041666666666665</v>
      </c>
      <c r="AQ461">
        <v>46253</v>
      </c>
      <c r="AR461">
        <v>0.34166666666666667</v>
      </c>
      <c r="AS461" t="s">
        <v>201</v>
      </c>
      <c r="AT461" t="s">
        <v>1954</v>
      </c>
      <c r="AU461" t="s">
        <v>1955</v>
      </c>
      <c r="AV461" t="s">
        <v>856</v>
      </c>
      <c r="AW461">
        <v>1</v>
      </c>
      <c r="AX461">
        <v>754</v>
      </c>
      <c r="AY461" t="s">
        <v>125</v>
      </c>
      <c r="AZ461" t="s">
        <v>122</v>
      </c>
      <c r="BA461" t="s">
        <v>232</v>
      </c>
      <c r="BB461" t="s">
        <v>924</v>
      </c>
      <c r="BE461">
        <v>75.400000000000006</v>
      </c>
    </row>
    <row r="462" spans="1:57" x14ac:dyDescent="0.3">
      <c r="A462" s="204">
        <v>46230</v>
      </c>
      <c r="B462" t="s">
        <v>142</v>
      </c>
      <c r="C462" t="s">
        <v>346</v>
      </c>
      <c r="D462" t="s">
        <v>63</v>
      </c>
      <c r="E462" t="s">
        <v>95</v>
      </c>
      <c r="F462" t="s">
        <v>309</v>
      </c>
      <c r="G462" t="s">
        <v>1355</v>
      </c>
      <c r="H462" t="s">
        <v>930</v>
      </c>
      <c r="I462" t="s">
        <v>405</v>
      </c>
      <c r="J462">
        <v>8</v>
      </c>
      <c r="K462">
        <v>8</v>
      </c>
      <c r="L462" t="s">
        <v>1356</v>
      </c>
      <c r="M462" s="15">
        <v>46251.313101851854</v>
      </c>
      <c r="N462" s="15">
        <v>46258.333333333336</v>
      </c>
      <c r="O462" s="15">
        <v>46251.351388888892</v>
      </c>
      <c r="P462" s="15">
        <v>46251.582638888889</v>
      </c>
      <c r="Q462" s="15"/>
      <c r="S462" t="s">
        <v>396</v>
      </c>
      <c r="U462" t="s">
        <v>1927</v>
      </c>
      <c r="V462" t="s">
        <v>363</v>
      </c>
      <c r="W462">
        <v>2011</v>
      </c>
      <c r="X462" t="s">
        <v>352</v>
      </c>
      <c r="Y462" t="s">
        <v>262</v>
      </c>
      <c r="Z462" t="s">
        <v>851</v>
      </c>
      <c r="AB462" t="s">
        <v>350</v>
      </c>
      <c r="AC462" t="s">
        <v>7</v>
      </c>
      <c r="AD462" t="s">
        <v>7</v>
      </c>
      <c r="AE462" t="s">
        <v>7</v>
      </c>
      <c r="AF462" t="s">
        <v>1928</v>
      </c>
      <c r="AG462" t="s">
        <v>249</v>
      </c>
      <c r="AH462">
        <v>2</v>
      </c>
      <c r="AI462" t="s">
        <v>250</v>
      </c>
      <c r="AJ462" t="s">
        <v>251</v>
      </c>
      <c r="AK462" t="s">
        <v>922</v>
      </c>
      <c r="AL462" t="s">
        <v>156</v>
      </c>
      <c r="AM462" t="s">
        <v>936</v>
      </c>
      <c r="AO462">
        <v>46251</v>
      </c>
      <c r="AP462">
        <v>0.35138888888888886</v>
      </c>
      <c r="AQ462">
        <v>46251</v>
      </c>
      <c r="AR462">
        <v>0.58263888888888893</v>
      </c>
      <c r="AS462" t="s">
        <v>201</v>
      </c>
      <c r="AT462" t="s">
        <v>1954</v>
      </c>
      <c r="AU462" t="s">
        <v>1955</v>
      </c>
      <c r="AV462" t="s">
        <v>937</v>
      </c>
      <c r="AX462">
        <v>8</v>
      </c>
      <c r="AY462" t="s">
        <v>111</v>
      </c>
      <c r="AZ462" t="s">
        <v>96</v>
      </c>
      <c r="BA462" t="s">
        <v>225</v>
      </c>
      <c r="BB462" t="s">
        <v>924</v>
      </c>
      <c r="BE462">
        <v>1</v>
      </c>
    </row>
    <row r="463" spans="1:57" x14ac:dyDescent="0.3">
      <c r="A463" s="204">
        <v>46230</v>
      </c>
      <c r="B463" t="s">
        <v>142</v>
      </c>
      <c r="C463" t="s">
        <v>346</v>
      </c>
      <c r="D463" t="s">
        <v>57</v>
      </c>
      <c r="E463" t="s">
        <v>117</v>
      </c>
      <c r="F463" t="s">
        <v>309</v>
      </c>
      <c r="G463" t="s">
        <v>1355</v>
      </c>
      <c r="H463" t="s">
        <v>930</v>
      </c>
      <c r="I463" t="s">
        <v>405</v>
      </c>
      <c r="J463">
        <v>8</v>
      </c>
      <c r="K463">
        <v>8</v>
      </c>
      <c r="L463" t="s">
        <v>1356</v>
      </c>
      <c r="M463" s="15">
        <v>46251.313101851854</v>
      </c>
      <c r="N463" s="15">
        <v>46258.333333333336</v>
      </c>
      <c r="O463" s="15">
        <v>46251.351388888892</v>
      </c>
      <c r="P463" s="15">
        <v>46251.582638888889</v>
      </c>
      <c r="Q463" s="15"/>
      <c r="S463" t="s">
        <v>396</v>
      </c>
      <c r="U463" t="s">
        <v>1927</v>
      </c>
      <c r="V463" t="s">
        <v>363</v>
      </c>
      <c r="W463">
        <v>2011</v>
      </c>
      <c r="X463" t="s">
        <v>352</v>
      </c>
      <c r="Y463" t="s">
        <v>262</v>
      </c>
      <c r="Z463" t="s">
        <v>851</v>
      </c>
      <c r="AB463" t="s">
        <v>350</v>
      </c>
      <c r="AC463" t="s">
        <v>7</v>
      </c>
      <c r="AD463" t="s">
        <v>7</v>
      </c>
      <c r="AE463" t="s">
        <v>7</v>
      </c>
      <c r="AF463" t="s">
        <v>1929</v>
      </c>
      <c r="AG463" t="s">
        <v>249</v>
      </c>
      <c r="AH463">
        <v>2</v>
      </c>
      <c r="AI463" t="s">
        <v>250</v>
      </c>
      <c r="AJ463" t="s">
        <v>251</v>
      </c>
      <c r="AK463" t="s">
        <v>922</v>
      </c>
      <c r="AL463" t="s">
        <v>156</v>
      </c>
      <c r="AM463" t="s">
        <v>923</v>
      </c>
      <c r="AO463">
        <v>46251</v>
      </c>
      <c r="AP463">
        <v>0.35138888888888886</v>
      </c>
      <c r="AQ463">
        <v>46251</v>
      </c>
      <c r="AR463">
        <v>0.58263888888888893</v>
      </c>
      <c r="AS463" t="s">
        <v>201</v>
      </c>
      <c r="AT463" t="s">
        <v>1954</v>
      </c>
      <c r="AU463" t="s">
        <v>1955</v>
      </c>
      <c r="AV463" t="s">
        <v>862</v>
      </c>
      <c r="AX463">
        <v>1</v>
      </c>
      <c r="AY463" t="s">
        <v>126</v>
      </c>
      <c r="AZ463" t="s">
        <v>127</v>
      </c>
      <c r="BA463" t="s">
        <v>233</v>
      </c>
      <c r="BB463" t="s">
        <v>924</v>
      </c>
      <c r="BE463">
        <v>1</v>
      </c>
    </row>
    <row r="464" spans="1:57" x14ac:dyDescent="0.3">
      <c r="A464" s="204">
        <v>46230</v>
      </c>
      <c r="B464" t="s">
        <v>142</v>
      </c>
      <c r="C464" t="s">
        <v>346</v>
      </c>
      <c r="D464" t="s">
        <v>279</v>
      </c>
      <c r="E464" t="s">
        <v>192</v>
      </c>
      <c r="F464" t="s">
        <v>309</v>
      </c>
      <c r="G464" t="s">
        <v>1355</v>
      </c>
      <c r="H464" t="s">
        <v>930</v>
      </c>
      <c r="I464" t="s">
        <v>405</v>
      </c>
      <c r="J464">
        <v>621</v>
      </c>
      <c r="K464">
        <v>621</v>
      </c>
      <c r="L464" t="s">
        <v>1356</v>
      </c>
      <c r="M464" s="15">
        <v>46251.313101851854</v>
      </c>
      <c r="N464" s="15">
        <v>46258.333333333336</v>
      </c>
      <c r="O464" s="15">
        <v>46251.351388888892</v>
      </c>
      <c r="P464" s="15">
        <v>46251.582638888889</v>
      </c>
      <c r="Q464" s="15"/>
      <c r="S464" t="s">
        <v>396</v>
      </c>
      <c r="U464" t="s">
        <v>1927</v>
      </c>
      <c r="V464" t="s">
        <v>363</v>
      </c>
      <c r="W464">
        <v>2011</v>
      </c>
      <c r="X464" t="s">
        <v>352</v>
      </c>
      <c r="Y464" t="s">
        <v>262</v>
      </c>
      <c r="Z464" t="s">
        <v>851</v>
      </c>
      <c r="AB464" t="s">
        <v>350</v>
      </c>
      <c r="AC464" t="s">
        <v>7</v>
      </c>
      <c r="AD464" t="s">
        <v>7</v>
      </c>
      <c r="AE464" t="s">
        <v>7</v>
      </c>
      <c r="AF464" t="s">
        <v>1930</v>
      </c>
      <c r="AG464" t="s">
        <v>249</v>
      </c>
      <c r="AH464">
        <v>2</v>
      </c>
      <c r="AI464" t="s">
        <v>250</v>
      </c>
      <c r="AJ464" t="s">
        <v>248</v>
      </c>
      <c r="AK464" t="s">
        <v>922</v>
      </c>
      <c r="AL464" t="s">
        <v>156</v>
      </c>
      <c r="AM464" t="s">
        <v>931</v>
      </c>
      <c r="AN464">
        <v>4</v>
      </c>
      <c r="AO464">
        <v>46251</v>
      </c>
      <c r="AP464">
        <v>0.35138888888888886</v>
      </c>
      <c r="AQ464">
        <v>46251</v>
      </c>
      <c r="AR464">
        <v>0.58263888888888893</v>
      </c>
      <c r="AS464" t="s">
        <v>201</v>
      </c>
      <c r="AT464" t="s">
        <v>1954</v>
      </c>
      <c r="AU464" t="s">
        <v>1955</v>
      </c>
      <c r="AV464" t="s">
        <v>856</v>
      </c>
      <c r="AW464">
        <v>1</v>
      </c>
      <c r="AX464">
        <v>621</v>
      </c>
      <c r="AY464" t="s">
        <v>125</v>
      </c>
      <c r="AZ464" t="s">
        <v>122</v>
      </c>
      <c r="BA464" t="s">
        <v>232</v>
      </c>
      <c r="BB464" t="s">
        <v>924</v>
      </c>
      <c r="BE464">
        <v>62.1</v>
      </c>
    </row>
    <row r="465" spans="1:57" x14ac:dyDescent="0.3">
      <c r="A465" s="204">
        <v>46237</v>
      </c>
      <c r="B465" t="s">
        <v>142</v>
      </c>
      <c r="C465" t="s">
        <v>346</v>
      </c>
      <c r="D465" t="s">
        <v>57</v>
      </c>
      <c r="E465" t="s">
        <v>117</v>
      </c>
      <c r="F465" t="s">
        <v>309</v>
      </c>
      <c r="G465" t="s">
        <v>1316</v>
      </c>
      <c r="H465" t="s">
        <v>1857</v>
      </c>
      <c r="I465" t="s">
        <v>1317</v>
      </c>
      <c r="J465">
        <v>1</v>
      </c>
      <c r="K465">
        <v>1</v>
      </c>
      <c r="L465" t="s">
        <v>1318</v>
      </c>
      <c r="M465" s="15">
        <v>46247.459618055553</v>
      </c>
      <c r="N465" s="15">
        <v>46254.459027777775</v>
      </c>
      <c r="O465" s="15">
        <v>46247.561030092591</v>
      </c>
      <c r="P465" s="15">
        <v>46254.421527777777</v>
      </c>
      <c r="Q465" s="15"/>
      <c r="S465" t="s">
        <v>396</v>
      </c>
      <c r="V465" t="s">
        <v>363</v>
      </c>
      <c r="W465">
        <v>2011</v>
      </c>
      <c r="X465" t="s">
        <v>352</v>
      </c>
      <c r="Y465" t="s">
        <v>262</v>
      </c>
      <c r="Z465" t="s">
        <v>851</v>
      </c>
      <c r="AB465" t="s">
        <v>350</v>
      </c>
      <c r="AC465" t="s">
        <v>7</v>
      </c>
      <c r="AD465" t="s">
        <v>7</v>
      </c>
      <c r="AE465" t="s">
        <v>7</v>
      </c>
      <c r="AF465" t="s">
        <v>1931</v>
      </c>
      <c r="AG465" t="s">
        <v>249</v>
      </c>
      <c r="AH465">
        <v>2</v>
      </c>
      <c r="AI465" t="s">
        <v>250</v>
      </c>
      <c r="AJ465" t="s">
        <v>251</v>
      </c>
      <c r="AK465" t="s">
        <v>922</v>
      </c>
      <c r="AL465" t="s">
        <v>156</v>
      </c>
      <c r="AM465" t="s">
        <v>923</v>
      </c>
      <c r="AO465">
        <v>46247</v>
      </c>
      <c r="AP465">
        <v>0.56103009259259262</v>
      </c>
      <c r="AQ465">
        <v>46254</v>
      </c>
      <c r="AR465">
        <v>0.42152777777777778</v>
      </c>
      <c r="AS465" t="s">
        <v>201</v>
      </c>
      <c r="AT465" t="s">
        <v>1954</v>
      </c>
      <c r="AU465" t="s">
        <v>1955</v>
      </c>
      <c r="AV465" t="s">
        <v>862</v>
      </c>
      <c r="AX465">
        <v>1</v>
      </c>
      <c r="AY465" t="s">
        <v>126</v>
      </c>
      <c r="AZ465" t="s">
        <v>127</v>
      </c>
      <c r="BA465" t="s">
        <v>233</v>
      </c>
      <c r="BB465" t="s">
        <v>924</v>
      </c>
    </row>
    <row r="466" spans="1:57" x14ac:dyDescent="0.3">
      <c r="A466" s="204">
        <v>46230</v>
      </c>
      <c r="B466" t="s">
        <v>142</v>
      </c>
      <c r="C466" t="s">
        <v>346</v>
      </c>
      <c r="D466" t="s">
        <v>63</v>
      </c>
      <c r="E466" t="s">
        <v>95</v>
      </c>
      <c r="F466" t="s">
        <v>309</v>
      </c>
      <c r="G466" t="s">
        <v>1357</v>
      </c>
      <c r="H466" t="s">
        <v>845</v>
      </c>
      <c r="I466" t="s">
        <v>402</v>
      </c>
      <c r="J466">
        <v>59</v>
      </c>
      <c r="K466">
        <v>59</v>
      </c>
      <c r="L466" t="s">
        <v>1358</v>
      </c>
      <c r="M466" s="15">
        <v>46233.7187037037</v>
      </c>
      <c r="N466" s="15">
        <v>46241.333333333336</v>
      </c>
      <c r="O466" s="15">
        <v>46234.474305555559</v>
      </c>
      <c r="P466" s="15">
        <v>46238.618750000001</v>
      </c>
      <c r="Q466" s="15"/>
      <c r="S466" t="s">
        <v>396</v>
      </c>
      <c r="U466" t="s">
        <v>1932</v>
      </c>
      <c r="V466" t="s">
        <v>363</v>
      </c>
      <c r="W466">
        <v>2011</v>
      </c>
      <c r="X466" t="s">
        <v>352</v>
      </c>
      <c r="Y466" t="s">
        <v>262</v>
      </c>
      <c r="Z466" t="s">
        <v>851</v>
      </c>
      <c r="AB466" t="s">
        <v>350</v>
      </c>
      <c r="AC466" t="s">
        <v>7</v>
      </c>
      <c r="AD466" t="s">
        <v>7</v>
      </c>
      <c r="AE466" t="s">
        <v>7</v>
      </c>
      <c r="AF466" t="s">
        <v>1933</v>
      </c>
      <c r="AG466" t="s">
        <v>249</v>
      </c>
      <c r="AH466">
        <v>2</v>
      </c>
      <c r="AI466" t="s">
        <v>250</v>
      </c>
      <c r="AJ466" t="s">
        <v>251</v>
      </c>
      <c r="AK466" t="s">
        <v>922</v>
      </c>
      <c r="AL466" t="s">
        <v>156</v>
      </c>
      <c r="AM466" t="s">
        <v>936</v>
      </c>
      <c r="AO466">
        <v>46234</v>
      </c>
      <c r="AP466">
        <v>0.47430555555555554</v>
      </c>
      <c r="AQ466">
        <v>46238</v>
      </c>
      <c r="AR466">
        <v>0.61875000000000002</v>
      </c>
      <c r="AS466" t="s">
        <v>201</v>
      </c>
      <c r="AT466" t="s">
        <v>1954</v>
      </c>
      <c r="AU466" t="s">
        <v>1955</v>
      </c>
      <c r="AV466" t="s">
        <v>937</v>
      </c>
      <c r="AX466">
        <v>59</v>
      </c>
      <c r="AY466" t="s">
        <v>111</v>
      </c>
      <c r="AZ466" t="s">
        <v>96</v>
      </c>
      <c r="BA466" t="s">
        <v>225</v>
      </c>
      <c r="BB466" t="s">
        <v>924</v>
      </c>
      <c r="BE466">
        <v>10.8</v>
      </c>
    </row>
    <row r="467" spans="1:57" x14ac:dyDescent="0.3">
      <c r="A467" s="204">
        <v>46230</v>
      </c>
      <c r="B467" t="s">
        <v>142</v>
      </c>
      <c r="C467" t="s">
        <v>346</v>
      </c>
      <c r="D467" t="s">
        <v>57</v>
      </c>
      <c r="E467" t="s">
        <v>117</v>
      </c>
      <c r="F467" t="s">
        <v>309</v>
      </c>
      <c r="G467" t="s">
        <v>1357</v>
      </c>
      <c r="H467" t="s">
        <v>845</v>
      </c>
      <c r="I467" t="s">
        <v>402</v>
      </c>
      <c r="J467">
        <v>59</v>
      </c>
      <c r="K467">
        <v>59</v>
      </c>
      <c r="L467" t="s">
        <v>1358</v>
      </c>
      <c r="M467" s="15">
        <v>46233.7187037037</v>
      </c>
      <c r="N467" s="15">
        <v>46241.333333333336</v>
      </c>
      <c r="O467" s="15">
        <v>46234.474305555559</v>
      </c>
      <c r="P467" s="15">
        <v>46238.618750000001</v>
      </c>
      <c r="Q467" s="15"/>
      <c r="S467" t="s">
        <v>396</v>
      </c>
      <c r="U467" t="s">
        <v>1932</v>
      </c>
      <c r="V467" t="s">
        <v>363</v>
      </c>
      <c r="W467">
        <v>2011</v>
      </c>
      <c r="X467" t="s">
        <v>352</v>
      </c>
      <c r="Y467" t="s">
        <v>262</v>
      </c>
      <c r="Z467" t="s">
        <v>851</v>
      </c>
      <c r="AB467" t="s">
        <v>350</v>
      </c>
      <c r="AC467" t="s">
        <v>7</v>
      </c>
      <c r="AD467" t="s">
        <v>7</v>
      </c>
      <c r="AE467" t="s">
        <v>7</v>
      </c>
      <c r="AF467" t="s">
        <v>1934</v>
      </c>
      <c r="AG467" t="s">
        <v>249</v>
      </c>
      <c r="AH467">
        <v>2</v>
      </c>
      <c r="AI467" t="s">
        <v>250</v>
      </c>
      <c r="AJ467" t="s">
        <v>251</v>
      </c>
      <c r="AK467" t="s">
        <v>922</v>
      </c>
      <c r="AL467" t="s">
        <v>156</v>
      </c>
      <c r="AM467" t="s">
        <v>923</v>
      </c>
      <c r="AO467">
        <v>46234</v>
      </c>
      <c r="AP467">
        <v>0.47430555555555554</v>
      </c>
      <c r="AQ467">
        <v>46238</v>
      </c>
      <c r="AR467">
        <v>0.61875000000000002</v>
      </c>
      <c r="AS467" t="s">
        <v>201</v>
      </c>
      <c r="AT467" t="s">
        <v>1954</v>
      </c>
      <c r="AU467" t="s">
        <v>1955</v>
      </c>
      <c r="AV467" t="s">
        <v>862</v>
      </c>
      <c r="AX467">
        <v>5.9</v>
      </c>
      <c r="AY467" t="s">
        <v>126</v>
      </c>
      <c r="AZ467" t="s">
        <v>127</v>
      </c>
      <c r="BA467" t="s">
        <v>233</v>
      </c>
      <c r="BB467" t="s">
        <v>924</v>
      </c>
      <c r="BE467">
        <v>1.08</v>
      </c>
    </row>
    <row r="468" spans="1:57" x14ac:dyDescent="0.3">
      <c r="A468" s="204">
        <v>46230</v>
      </c>
      <c r="B468" t="s">
        <v>142</v>
      </c>
      <c r="C468" t="s">
        <v>346</v>
      </c>
      <c r="D468" t="s">
        <v>279</v>
      </c>
      <c r="E468" t="s">
        <v>192</v>
      </c>
      <c r="F468" t="s">
        <v>309</v>
      </c>
      <c r="G468" t="s">
        <v>1357</v>
      </c>
      <c r="H468" t="s">
        <v>845</v>
      </c>
      <c r="I468" t="s">
        <v>402</v>
      </c>
      <c r="J468">
        <v>2601</v>
      </c>
      <c r="K468">
        <v>2601</v>
      </c>
      <c r="L468" t="s">
        <v>1358</v>
      </c>
      <c r="M468" s="15">
        <v>46233.7187037037</v>
      </c>
      <c r="N468" s="15">
        <v>46241.333333333336</v>
      </c>
      <c r="O468" s="15">
        <v>46234.474305555559</v>
      </c>
      <c r="P468" s="15">
        <v>46238.618750000001</v>
      </c>
      <c r="Q468" s="15"/>
      <c r="S468" t="s">
        <v>396</v>
      </c>
      <c r="U468" t="s">
        <v>1932</v>
      </c>
      <c r="V468" t="s">
        <v>363</v>
      </c>
      <c r="W468">
        <v>2011</v>
      </c>
      <c r="X468" t="s">
        <v>352</v>
      </c>
      <c r="Y468" t="s">
        <v>262</v>
      </c>
      <c r="Z468" t="s">
        <v>851</v>
      </c>
      <c r="AB468" t="s">
        <v>350</v>
      </c>
      <c r="AC468" t="s">
        <v>7</v>
      </c>
      <c r="AD468" t="s">
        <v>7</v>
      </c>
      <c r="AE468" t="s">
        <v>7</v>
      </c>
      <c r="AF468" t="s">
        <v>1935</v>
      </c>
      <c r="AG468" t="s">
        <v>249</v>
      </c>
      <c r="AH468">
        <v>2</v>
      </c>
      <c r="AI468" t="s">
        <v>250</v>
      </c>
      <c r="AJ468" t="s">
        <v>248</v>
      </c>
      <c r="AK468" t="s">
        <v>922</v>
      </c>
      <c r="AL468" t="s">
        <v>156</v>
      </c>
      <c r="AM468" t="s">
        <v>931</v>
      </c>
      <c r="AN468">
        <v>4</v>
      </c>
      <c r="AO468">
        <v>46234</v>
      </c>
      <c r="AP468">
        <v>0.47430555555555554</v>
      </c>
      <c r="AQ468">
        <v>46238</v>
      </c>
      <c r="AR468">
        <v>0.61875000000000002</v>
      </c>
      <c r="AS468" t="s">
        <v>201</v>
      </c>
      <c r="AT468" t="s">
        <v>1954</v>
      </c>
      <c r="AU468" t="s">
        <v>1955</v>
      </c>
      <c r="AV468" t="s">
        <v>856</v>
      </c>
      <c r="AW468">
        <v>1</v>
      </c>
      <c r="AX468">
        <v>2601</v>
      </c>
      <c r="AY468" t="s">
        <v>125</v>
      </c>
      <c r="AZ468" t="s">
        <v>122</v>
      </c>
      <c r="BA468" t="s">
        <v>232</v>
      </c>
      <c r="BB468" t="s">
        <v>924</v>
      </c>
      <c r="BE468">
        <v>445.9</v>
      </c>
    </row>
    <row r="469" spans="1:57" x14ac:dyDescent="0.3">
      <c r="A469" s="204">
        <v>46230</v>
      </c>
      <c r="B469" t="s">
        <v>142</v>
      </c>
      <c r="C469" t="s">
        <v>346</v>
      </c>
      <c r="D469" t="s">
        <v>63</v>
      </c>
      <c r="E469" t="s">
        <v>95</v>
      </c>
      <c r="F469" t="s">
        <v>309</v>
      </c>
      <c r="G469" t="s">
        <v>1359</v>
      </c>
      <c r="H469" t="s">
        <v>845</v>
      </c>
      <c r="I469" t="s">
        <v>402</v>
      </c>
      <c r="J469">
        <v>49</v>
      </c>
      <c r="K469">
        <v>49</v>
      </c>
      <c r="L469" t="s">
        <v>1360</v>
      </c>
      <c r="M469" s="15">
        <v>46233.717141203706</v>
      </c>
      <c r="N469" s="15">
        <v>46241.333333333336</v>
      </c>
      <c r="O469" s="15">
        <v>46234.470833333333</v>
      </c>
      <c r="P469" s="15">
        <v>46238.338888888888</v>
      </c>
      <c r="Q469" s="15"/>
      <c r="S469" t="s">
        <v>396</v>
      </c>
      <c r="U469" t="s">
        <v>1936</v>
      </c>
      <c r="V469" t="s">
        <v>363</v>
      </c>
      <c r="W469">
        <v>2011</v>
      </c>
      <c r="X469" t="s">
        <v>352</v>
      </c>
      <c r="Y469" t="s">
        <v>262</v>
      </c>
      <c r="Z469" t="s">
        <v>851</v>
      </c>
      <c r="AB469" t="s">
        <v>350</v>
      </c>
      <c r="AC469" t="s">
        <v>7</v>
      </c>
      <c r="AD469" t="s">
        <v>7</v>
      </c>
      <c r="AE469" t="s">
        <v>7</v>
      </c>
      <c r="AF469" t="s">
        <v>1937</v>
      </c>
      <c r="AG469" t="s">
        <v>249</v>
      </c>
      <c r="AH469">
        <v>2</v>
      </c>
      <c r="AI469" t="s">
        <v>250</v>
      </c>
      <c r="AJ469" t="s">
        <v>251</v>
      </c>
      <c r="AK469" t="s">
        <v>922</v>
      </c>
      <c r="AL469" t="s">
        <v>156</v>
      </c>
      <c r="AM469" t="s">
        <v>936</v>
      </c>
      <c r="AO469">
        <v>46234</v>
      </c>
      <c r="AP469">
        <v>0.47083333333333333</v>
      </c>
      <c r="AQ469">
        <v>46238</v>
      </c>
      <c r="AR469">
        <v>0.33888888888888891</v>
      </c>
      <c r="AS469" t="s">
        <v>201</v>
      </c>
      <c r="AT469" t="s">
        <v>1954</v>
      </c>
      <c r="AU469" t="s">
        <v>1955</v>
      </c>
      <c r="AV469" t="s">
        <v>937</v>
      </c>
      <c r="AX469">
        <v>49</v>
      </c>
      <c r="AY469" t="s">
        <v>111</v>
      </c>
      <c r="AZ469" t="s">
        <v>96</v>
      </c>
      <c r="BA469" t="s">
        <v>225</v>
      </c>
      <c r="BB469" t="s">
        <v>924</v>
      </c>
    </row>
    <row r="470" spans="1:57" x14ac:dyDescent="0.3">
      <c r="A470" s="204">
        <v>46230</v>
      </c>
      <c r="B470" t="s">
        <v>142</v>
      </c>
      <c r="C470" t="s">
        <v>346</v>
      </c>
      <c r="D470" t="s">
        <v>57</v>
      </c>
      <c r="E470" t="s">
        <v>117</v>
      </c>
      <c r="F470" t="s">
        <v>309</v>
      </c>
      <c r="G470" t="s">
        <v>1359</v>
      </c>
      <c r="H470" t="s">
        <v>845</v>
      </c>
      <c r="I470" t="s">
        <v>402</v>
      </c>
      <c r="J470">
        <v>49</v>
      </c>
      <c r="K470">
        <v>49</v>
      </c>
      <c r="L470" t="s">
        <v>1360</v>
      </c>
      <c r="M470" s="15">
        <v>46233.717141203706</v>
      </c>
      <c r="N470" s="15">
        <v>46241.333333333336</v>
      </c>
      <c r="O470" s="15">
        <v>46234.470833333333</v>
      </c>
      <c r="P470" s="15">
        <v>46238.338888888888</v>
      </c>
      <c r="Q470" s="15"/>
      <c r="S470" t="s">
        <v>396</v>
      </c>
      <c r="U470" t="s">
        <v>1936</v>
      </c>
      <c r="V470" t="s">
        <v>363</v>
      </c>
      <c r="W470">
        <v>2011</v>
      </c>
      <c r="X470" t="s">
        <v>352</v>
      </c>
      <c r="Y470" t="s">
        <v>262</v>
      </c>
      <c r="Z470" t="s">
        <v>851</v>
      </c>
      <c r="AB470" t="s">
        <v>350</v>
      </c>
      <c r="AC470" t="s">
        <v>7</v>
      </c>
      <c r="AD470" t="s">
        <v>7</v>
      </c>
      <c r="AE470" t="s">
        <v>7</v>
      </c>
      <c r="AF470" t="s">
        <v>1938</v>
      </c>
      <c r="AG470" t="s">
        <v>249</v>
      </c>
      <c r="AH470">
        <v>2</v>
      </c>
      <c r="AI470" t="s">
        <v>250</v>
      </c>
      <c r="AJ470" t="s">
        <v>251</v>
      </c>
      <c r="AK470" t="s">
        <v>922</v>
      </c>
      <c r="AL470" t="s">
        <v>156</v>
      </c>
      <c r="AM470" t="s">
        <v>923</v>
      </c>
      <c r="AO470">
        <v>46234</v>
      </c>
      <c r="AP470">
        <v>0.47083333333333333</v>
      </c>
      <c r="AQ470">
        <v>46238</v>
      </c>
      <c r="AR470">
        <v>0.33888888888888891</v>
      </c>
      <c r="AS470" t="s">
        <v>201</v>
      </c>
      <c r="AT470" t="s">
        <v>1954</v>
      </c>
      <c r="AU470" t="s">
        <v>1955</v>
      </c>
      <c r="AV470" t="s">
        <v>862</v>
      </c>
      <c r="AX470">
        <v>4.9000000000000004</v>
      </c>
      <c r="AY470" t="s">
        <v>126</v>
      </c>
      <c r="AZ470" t="s">
        <v>127</v>
      </c>
      <c r="BA470" t="s">
        <v>233</v>
      </c>
      <c r="BB470" t="s">
        <v>924</v>
      </c>
    </row>
    <row r="471" spans="1:57" x14ac:dyDescent="0.3">
      <c r="A471" s="204">
        <v>46230</v>
      </c>
      <c r="B471" t="s">
        <v>142</v>
      </c>
      <c r="C471" t="s">
        <v>346</v>
      </c>
      <c r="D471" t="s">
        <v>279</v>
      </c>
      <c r="E471" t="s">
        <v>192</v>
      </c>
      <c r="F471" t="s">
        <v>309</v>
      </c>
      <c r="G471" t="s">
        <v>1359</v>
      </c>
      <c r="H471" t="s">
        <v>845</v>
      </c>
      <c r="I471" t="s">
        <v>402</v>
      </c>
      <c r="J471">
        <v>1858</v>
      </c>
      <c r="K471">
        <v>1858</v>
      </c>
      <c r="L471" t="s">
        <v>1360</v>
      </c>
      <c r="M471" s="15">
        <v>46233.717141203706</v>
      </c>
      <c r="N471" s="15">
        <v>46241.333333333336</v>
      </c>
      <c r="O471" s="15">
        <v>46234.470833333333</v>
      </c>
      <c r="P471" s="15">
        <v>46238.338888888888</v>
      </c>
      <c r="Q471" s="15"/>
      <c r="S471" t="s">
        <v>396</v>
      </c>
      <c r="U471" t="s">
        <v>1936</v>
      </c>
      <c r="V471" t="s">
        <v>363</v>
      </c>
      <c r="W471">
        <v>2011</v>
      </c>
      <c r="X471" t="s">
        <v>352</v>
      </c>
      <c r="Y471" t="s">
        <v>262</v>
      </c>
      <c r="Z471" t="s">
        <v>851</v>
      </c>
      <c r="AB471" t="s">
        <v>350</v>
      </c>
      <c r="AC471" t="s">
        <v>7</v>
      </c>
      <c r="AD471" t="s">
        <v>7</v>
      </c>
      <c r="AE471" t="s">
        <v>7</v>
      </c>
      <c r="AF471" t="s">
        <v>1939</v>
      </c>
      <c r="AG471" t="s">
        <v>249</v>
      </c>
      <c r="AH471">
        <v>2</v>
      </c>
      <c r="AI471" t="s">
        <v>250</v>
      </c>
      <c r="AJ471" t="s">
        <v>248</v>
      </c>
      <c r="AK471" t="s">
        <v>922</v>
      </c>
      <c r="AL471" t="s">
        <v>156</v>
      </c>
      <c r="AM471" t="s">
        <v>931</v>
      </c>
      <c r="AN471">
        <v>4</v>
      </c>
      <c r="AO471">
        <v>46234</v>
      </c>
      <c r="AP471">
        <v>0.47083333333333333</v>
      </c>
      <c r="AQ471">
        <v>46238</v>
      </c>
      <c r="AR471">
        <v>0.33888888888888891</v>
      </c>
      <c r="AS471" t="s">
        <v>201</v>
      </c>
      <c r="AT471" t="s">
        <v>1954</v>
      </c>
      <c r="AU471" t="s">
        <v>1955</v>
      </c>
      <c r="AV471" t="s">
        <v>856</v>
      </c>
      <c r="AW471">
        <v>1</v>
      </c>
      <c r="AX471">
        <v>1858</v>
      </c>
      <c r="AY471" t="s">
        <v>125</v>
      </c>
      <c r="AZ471" t="s">
        <v>122</v>
      </c>
      <c r="BA471" t="s">
        <v>232</v>
      </c>
      <c r="BB471" t="s">
        <v>924</v>
      </c>
    </row>
    <row r="472" spans="1:57" x14ac:dyDescent="0.3">
      <c r="A472" s="204">
        <v>46230</v>
      </c>
      <c r="B472" t="s">
        <v>142</v>
      </c>
      <c r="C472" t="s">
        <v>346</v>
      </c>
      <c r="D472" t="s">
        <v>63</v>
      </c>
      <c r="E472" t="s">
        <v>95</v>
      </c>
      <c r="F472" t="s">
        <v>309</v>
      </c>
      <c r="G472" t="s">
        <v>1345</v>
      </c>
      <c r="H472" t="s">
        <v>1910</v>
      </c>
      <c r="I472" t="s">
        <v>1346</v>
      </c>
      <c r="J472">
        <v>24</v>
      </c>
      <c r="K472">
        <v>24</v>
      </c>
      <c r="L472" t="s">
        <v>1347</v>
      </c>
      <c r="M472" s="15">
        <v>46232.494386574072</v>
      </c>
      <c r="N472" s="15">
        <v>46239.493750000001</v>
      </c>
      <c r="O472" s="15">
        <v>46232.61041666667</v>
      </c>
      <c r="P472" s="15">
        <v>46234.609722222223</v>
      </c>
      <c r="Q472" s="15"/>
      <c r="S472" t="s">
        <v>396</v>
      </c>
      <c r="U472" t="s">
        <v>1940</v>
      </c>
      <c r="V472" t="s">
        <v>363</v>
      </c>
      <c r="W472">
        <v>2011</v>
      </c>
      <c r="X472" t="s">
        <v>352</v>
      </c>
      <c r="Y472" t="s">
        <v>262</v>
      </c>
      <c r="Z472" t="s">
        <v>851</v>
      </c>
      <c r="AB472" t="s">
        <v>350</v>
      </c>
      <c r="AC472" t="s">
        <v>7</v>
      </c>
      <c r="AD472" t="s">
        <v>7</v>
      </c>
      <c r="AE472" t="s">
        <v>7</v>
      </c>
      <c r="AF472" t="s">
        <v>1941</v>
      </c>
      <c r="AG472" t="s">
        <v>249</v>
      </c>
      <c r="AH472">
        <v>2</v>
      </c>
      <c r="AI472" t="s">
        <v>250</v>
      </c>
      <c r="AJ472" t="s">
        <v>251</v>
      </c>
      <c r="AK472" t="s">
        <v>922</v>
      </c>
      <c r="AL472" t="s">
        <v>156</v>
      </c>
      <c r="AM472" t="s">
        <v>936</v>
      </c>
      <c r="AO472">
        <v>46232</v>
      </c>
      <c r="AP472">
        <v>0.61041666666666672</v>
      </c>
      <c r="AQ472">
        <v>46234</v>
      </c>
      <c r="AR472">
        <v>0.60972222222222228</v>
      </c>
      <c r="AS472" t="s">
        <v>201</v>
      </c>
      <c r="AT472" t="s">
        <v>1954</v>
      </c>
      <c r="AU472" t="s">
        <v>1955</v>
      </c>
      <c r="AV472" t="s">
        <v>937</v>
      </c>
      <c r="AX472">
        <v>24</v>
      </c>
      <c r="AY472" t="s">
        <v>111</v>
      </c>
      <c r="AZ472" t="s">
        <v>96</v>
      </c>
      <c r="BA472" t="s">
        <v>225</v>
      </c>
      <c r="BB472" t="s">
        <v>924</v>
      </c>
      <c r="BE472">
        <v>4.8</v>
      </c>
    </row>
    <row r="473" spans="1:57" x14ac:dyDescent="0.3">
      <c r="A473" s="204">
        <v>46230</v>
      </c>
      <c r="B473" t="s">
        <v>142</v>
      </c>
      <c r="C473" t="s">
        <v>346</v>
      </c>
      <c r="D473" t="s">
        <v>57</v>
      </c>
      <c r="E473" t="s">
        <v>117</v>
      </c>
      <c r="F473" t="s">
        <v>309</v>
      </c>
      <c r="G473" t="s">
        <v>1345</v>
      </c>
      <c r="H473" t="s">
        <v>1910</v>
      </c>
      <c r="I473" t="s">
        <v>1346</v>
      </c>
      <c r="J473">
        <v>24</v>
      </c>
      <c r="K473">
        <v>24</v>
      </c>
      <c r="L473" t="s">
        <v>1347</v>
      </c>
      <c r="M473" s="15">
        <v>46232.494386574072</v>
      </c>
      <c r="N473" s="15">
        <v>46239.493750000001</v>
      </c>
      <c r="O473" s="15">
        <v>46232.61041666667</v>
      </c>
      <c r="P473" s="15">
        <v>46234.609722222223</v>
      </c>
      <c r="Q473" s="15"/>
      <c r="S473" t="s">
        <v>396</v>
      </c>
      <c r="U473" t="s">
        <v>1940</v>
      </c>
      <c r="V473" t="s">
        <v>363</v>
      </c>
      <c r="W473">
        <v>2011</v>
      </c>
      <c r="X473" t="s">
        <v>352</v>
      </c>
      <c r="Y473" t="s">
        <v>262</v>
      </c>
      <c r="Z473" t="s">
        <v>851</v>
      </c>
      <c r="AB473" t="s">
        <v>350</v>
      </c>
      <c r="AC473" t="s">
        <v>7</v>
      </c>
      <c r="AD473" t="s">
        <v>7</v>
      </c>
      <c r="AE473" t="s">
        <v>7</v>
      </c>
      <c r="AF473" t="s">
        <v>1915</v>
      </c>
      <c r="AG473" t="s">
        <v>250</v>
      </c>
      <c r="AH473">
        <v>2</v>
      </c>
      <c r="AI473" t="s">
        <v>250</v>
      </c>
      <c r="AJ473" t="s">
        <v>251</v>
      </c>
      <c r="AK473" t="s">
        <v>922</v>
      </c>
      <c r="AL473" t="s">
        <v>156</v>
      </c>
      <c r="AM473" t="s">
        <v>923</v>
      </c>
      <c r="AO473">
        <v>46232</v>
      </c>
      <c r="AP473">
        <v>0.61041666666666672</v>
      </c>
      <c r="AQ473">
        <v>46234</v>
      </c>
      <c r="AR473">
        <v>0.60972222222222228</v>
      </c>
      <c r="AS473" t="s">
        <v>1958</v>
      </c>
      <c r="AU473" t="s">
        <v>1955</v>
      </c>
      <c r="AV473" t="s">
        <v>862</v>
      </c>
      <c r="AX473">
        <v>2.4</v>
      </c>
      <c r="AY473" t="s">
        <v>126</v>
      </c>
      <c r="AZ473" t="s">
        <v>127</v>
      </c>
      <c r="BA473" t="s">
        <v>233</v>
      </c>
      <c r="BB473" t="s">
        <v>924</v>
      </c>
      <c r="BE473">
        <v>1</v>
      </c>
    </row>
    <row r="474" spans="1:57" x14ac:dyDescent="0.3">
      <c r="A474" s="204">
        <v>46230</v>
      </c>
      <c r="B474" t="s">
        <v>142</v>
      </c>
      <c r="C474" t="s">
        <v>346</v>
      </c>
      <c r="D474" t="s">
        <v>279</v>
      </c>
      <c r="E474" t="s">
        <v>192</v>
      </c>
      <c r="F474" t="s">
        <v>309</v>
      </c>
      <c r="G474" t="s">
        <v>1345</v>
      </c>
      <c r="H474" t="s">
        <v>1910</v>
      </c>
      <c r="I474" t="s">
        <v>1346</v>
      </c>
      <c r="J474">
        <v>1610</v>
      </c>
      <c r="K474">
        <v>1610</v>
      </c>
      <c r="L474" t="s">
        <v>1347</v>
      </c>
      <c r="M474" s="15">
        <v>46232.494386574072</v>
      </c>
      <c r="N474" s="15">
        <v>46239.493750000001</v>
      </c>
      <c r="O474" s="15">
        <v>46232.61041666667</v>
      </c>
      <c r="P474" s="15">
        <v>46234.609722222223</v>
      </c>
      <c r="Q474" s="15"/>
      <c r="S474" t="s">
        <v>396</v>
      </c>
      <c r="U474" t="s">
        <v>1940</v>
      </c>
      <c r="V474" t="s">
        <v>363</v>
      </c>
      <c r="W474">
        <v>2011</v>
      </c>
      <c r="X474" t="s">
        <v>352</v>
      </c>
      <c r="Y474" t="s">
        <v>262</v>
      </c>
      <c r="Z474" t="s">
        <v>851</v>
      </c>
      <c r="AB474" t="s">
        <v>350</v>
      </c>
      <c r="AC474" t="s">
        <v>7</v>
      </c>
      <c r="AD474" t="s">
        <v>7</v>
      </c>
      <c r="AE474" t="s">
        <v>7</v>
      </c>
      <c r="AF474" t="s">
        <v>1912</v>
      </c>
      <c r="AG474" t="s">
        <v>250</v>
      </c>
      <c r="AH474">
        <v>2</v>
      </c>
      <c r="AI474" t="s">
        <v>250</v>
      </c>
      <c r="AJ474" t="s">
        <v>248</v>
      </c>
      <c r="AK474" t="s">
        <v>922</v>
      </c>
      <c r="AL474" t="s">
        <v>156</v>
      </c>
      <c r="AM474" t="s">
        <v>931</v>
      </c>
      <c r="AN474">
        <v>4</v>
      </c>
      <c r="AO474">
        <v>46232</v>
      </c>
      <c r="AP474">
        <v>0.61041666666666672</v>
      </c>
      <c r="AQ474">
        <v>46234</v>
      </c>
      <c r="AR474">
        <v>0.60972222222222228</v>
      </c>
      <c r="AS474" t="s">
        <v>1958</v>
      </c>
      <c r="AU474" t="s">
        <v>1955</v>
      </c>
      <c r="AV474" t="s">
        <v>856</v>
      </c>
      <c r="AW474">
        <v>1</v>
      </c>
      <c r="AX474">
        <v>1610</v>
      </c>
      <c r="AY474" t="s">
        <v>125</v>
      </c>
      <c r="AZ474" t="s">
        <v>122</v>
      </c>
      <c r="BA474" t="s">
        <v>232</v>
      </c>
      <c r="BB474" t="s">
        <v>924</v>
      </c>
      <c r="BE474">
        <v>374</v>
      </c>
    </row>
    <row r="475" spans="1:57" x14ac:dyDescent="0.3">
      <c r="A475" s="204">
        <v>46230</v>
      </c>
      <c r="B475" t="s">
        <v>142</v>
      </c>
      <c r="C475" t="s">
        <v>346</v>
      </c>
      <c r="D475" t="s">
        <v>63</v>
      </c>
      <c r="E475" t="s">
        <v>95</v>
      </c>
      <c r="F475" t="s">
        <v>309</v>
      </c>
      <c r="G475" t="s">
        <v>1345</v>
      </c>
      <c r="H475" t="s">
        <v>1910</v>
      </c>
      <c r="I475" t="s">
        <v>1346</v>
      </c>
      <c r="J475">
        <v>24</v>
      </c>
      <c r="K475">
        <v>24</v>
      </c>
      <c r="L475" t="s">
        <v>1347</v>
      </c>
      <c r="M475" s="15">
        <v>46232.494386574072</v>
      </c>
      <c r="N475" s="15">
        <v>46239.493750000001</v>
      </c>
      <c r="O475" s="15">
        <v>46232.61041666667</v>
      </c>
      <c r="P475" s="15">
        <v>46234.683333333334</v>
      </c>
      <c r="Q475" s="15"/>
      <c r="S475" t="s">
        <v>396</v>
      </c>
      <c r="U475" t="s">
        <v>1942</v>
      </c>
      <c r="V475" t="s">
        <v>363</v>
      </c>
      <c r="W475">
        <v>2011</v>
      </c>
      <c r="X475" t="s">
        <v>352</v>
      </c>
      <c r="Y475" t="s">
        <v>262</v>
      </c>
      <c r="Z475" t="s">
        <v>851</v>
      </c>
      <c r="AB475" t="s">
        <v>350</v>
      </c>
      <c r="AC475" t="s">
        <v>7</v>
      </c>
      <c r="AD475" t="s">
        <v>7</v>
      </c>
      <c r="AE475" t="s">
        <v>7</v>
      </c>
      <c r="AF475" t="s">
        <v>1941</v>
      </c>
      <c r="AG475" t="s">
        <v>250</v>
      </c>
      <c r="AH475">
        <v>2</v>
      </c>
      <c r="AI475" t="s">
        <v>250</v>
      </c>
      <c r="AJ475" t="s">
        <v>251</v>
      </c>
      <c r="AK475" t="s">
        <v>922</v>
      </c>
      <c r="AL475" t="s">
        <v>156</v>
      </c>
      <c r="AM475" t="s">
        <v>936</v>
      </c>
      <c r="AO475">
        <v>46232</v>
      </c>
      <c r="AP475">
        <v>0.61041666666666672</v>
      </c>
      <c r="AQ475">
        <v>46234</v>
      </c>
      <c r="AR475">
        <v>0.68333333333333335</v>
      </c>
      <c r="AS475" t="s">
        <v>1958</v>
      </c>
      <c r="AU475" t="s">
        <v>1955</v>
      </c>
      <c r="AV475" t="s">
        <v>937</v>
      </c>
      <c r="AX475">
        <v>24</v>
      </c>
      <c r="AY475" t="s">
        <v>111</v>
      </c>
      <c r="AZ475" t="s">
        <v>96</v>
      </c>
      <c r="BA475" t="s">
        <v>225</v>
      </c>
      <c r="BB475" t="s">
        <v>924</v>
      </c>
    </row>
    <row r="476" spans="1:57" x14ac:dyDescent="0.3">
      <c r="A476" s="204">
        <v>46230</v>
      </c>
      <c r="B476" t="s">
        <v>142</v>
      </c>
      <c r="C476" t="s">
        <v>346</v>
      </c>
      <c r="D476" t="s">
        <v>57</v>
      </c>
      <c r="E476" t="s">
        <v>117</v>
      </c>
      <c r="F476" t="s">
        <v>309</v>
      </c>
      <c r="G476" t="s">
        <v>1345</v>
      </c>
      <c r="H476" t="s">
        <v>1910</v>
      </c>
      <c r="I476" t="s">
        <v>1346</v>
      </c>
      <c r="J476">
        <v>24</v>
      </c>
      <c r="K476">
        <v>24</v>
      </c>
      <c r="L476" t="s">
        <v>1347</v>
      </c>
      <c r="M476" s="15">
        <v>46232.494386574072</v>
      </c>
      <c r="N476" s="15">
        <v>46239.493750000001</v>
      </c>
      <c r="O476" s="15">
        <v>46232.61041666667</v>
      </c>
      <c r="P476" s="15">
        <v>46234.683333333334</v>
      </c>
      <c r="Q476" s="15"/>
      <c r="S476" t="s">
        <v>396</v>
      </c>
      <c r="U476" t="s">
        <v>1942</v>
      </c>
      <c r="V476" t="s">
        <v>363</v>
      </c>
      <c r="W476">
        <v>2011</v>
      </c>
      <c r="X476" t="s">
        <v>352</v>
      </c>
      <c r="Y476" t="s">
        <v>262</v>
      </c>
      <c r="Z476" t="s">
        <v>851</v>
      </c>
      <c r="AB476" t="s">
        <v>350</v>
      </c>
      <c r="AC476" t="s">
        <v>7</v>
      </c>
      <c r="AD476" t="s">
        <v>7</v>
      </c>
      <c r="AE476" t="s">
        <v>7</v>
      </c>
      <c r="AF476" t="s">
        <v>1915</v>
      </c>
      <c r="AG476" t="s">
        <v>250</v>
      </c>
      <c r="AH476">
        <v>2</v>
      </c>
      <c r="AI476" t="s">
        <v>250</v>
      </c>
      <c r="AJ476" t="s">
        <v>251</v>
      </c>
      <c r="AK476" t="s">
        <v>922</v>
      </c>
      <c r="AL476" t="s">
        <v>156</v>
      </c>
      <c r="AM476" t="s">
        <v>923</v>
      </c>
      <c r="AO476">
        <v>46232</v>
      </c>
      <c r="AP476">
        <v>0.61041666666666672</v>
      </c>
      <c r="AQ476">
        <v>46234</v>
      </c>
      <c r="AR476">
        <v>0.68333333333333335</v>
      </c>
      <c r="AS476" t="s">
        <v>1958</v>
      </c>
      <c r="AU476" t="s">
        <v>1955</v>
      </c>
      <c r="AV476" t="s">
        <v>862</v>
      </c>
      <c r="AX476">
        <v>2.4</v>
      </c>
      <c r="AY476" t="s">
        <v>126</v>
      </c>
      <c r="AZ476" t="s">
        <v>127</v>
      </c>
      <c r="BA476" t="s">
        <v>233</v>
      </c>
      <c r="BB476" t="s">
        <v>924</v>
      </c>
    </row>
    <row r="477" spans="1:57" x14ac:dyDescent="0.3">
      <c r="A477" s="204">
        <v>46230</v>
      </c>
      <c r="B477" t="s">
        <v>142</v>
      </c>
      <c r="C477" t="s">
        <v>346</v>
      </c>
      <c r="D477" t="s">
        <v>279</v>
      </c>
      <c r="E477" t="s">
        <v>192</v>
      </c>
      <c r="F477" t="s">
        <v>309</v>
      </c>
      <c r="G477" t="s">
        <v>1345</v>
      </c>
      <c r="H477" t="s">
        <v>1910</v>
      </c>
      <c r="I477" t="s">
        <v>1346</v>
      </c>
      <c r="J477">
        <v>2130</v>
      </c>
      <c r="K477">
        <v>2130</v>
      </c>
      <c r="L477" t="s">
        <v>1347</v>
      </c>
      <c r="M477" s="15">
        <v>46232.494386574072</v>
      </c>
      <c r="N477" s="15">
        <v>46239.493750000001</v>
      </c>
      <c r="O477" s="15">
        <v>46232.61041666667</v>
      </c>
      <c r="P477" s="15">
        <v>46234.683333333334</v>
      </c>
      <c r="Q477" s="15"/>
      <c r="S477" t="s">
        <v>396</v>
      </c>
      <c r="U477" t="s">
        <v>1942</v>
      </c>
      <c r="V477" t="s">
        <v>363</v>
      </c>
      <c r="W477">
        <v>2011</v>
      </c>
      <c r="X477" t="s">
        <v>352</v>
      </c>
      <c r="Y477" t="s">
        <v>262</v>
      </c>
      <c r="Z477" t="s">
        <v>851</v>
      </c>
      <c r="AB477" t="s">
        <v>350</v>
      </c>
      <c r="AC477" t="s">
        <v>7</v>
      </c>
      <c r="AD477" t="s">
        <v>7</v>
      </c>
      <c r="AE477" t="s">
        <v>7</v>
      </c>
      <c r="AF477" t="s">
        <v>1912</v>
      </c>
      <c r="AG477" t="s">
        <v>250</v>
      </c>
      <c r="AH477">
        <v>2</v>
      </c>
      <c r="AI477" t="s">
        <v>250</v>
      </c>
      <c r="AJ477" t="s">
        <v>248</v>
      </c>
      <c r="AK477" t="s">
        <v>922</v>
      </c>
      <c r="AL477" t="s">
        <v>156</v>
      </c>
      <c r="AM477" t="s">
        <v>931</v>
      </c>
      <c r="AN477">
        <v>4</v>
      </c>
      <c r="AO477">
        <v>46232</v>
      </c>
      <c r="AP477">
        <v>0.61041666666666672</v>
      </c>
      <c r="AQ477">
        <v>46234</v>
      </c>
      <c r="AR477">
        <v>0.68333333333333335</v>
      </c>
      <c r="AS477" t="s">
        <v>1958</v>
      </c>
      <c r="AU477" t="s">
        <v>1955</v>
      </c>
      <c r="AV477" t="s">
        <v>856</v>
      </c>
      <c r="AW477">
        <v>1</v>
      </c>
      <c r="AX477">
        <v>2130</v>
      </c>
      <c r="AY477" t="s">
        <v>125</v>
      </c>
      <c r="AZ477" t="s">
        <v>122</v>
      </c>
      <c r="BA477" t="s">
        <v>232</v>
      </c>
      <c r="BB477" t="s">
        <v>924</v>
      </c>
    </row>
    <row r="478" spans="1:57" x14ac:dyDescent="0.3">
      <c r="A478" s="204">
        <v>46230</v>
      </c>
      <c r="B478" t="s">
        <v>142</v>
      </c>
      <c r="C478" t="s">
        <v>346</v>
      </c>
      <c r="D478" t="s">
        <v>63</v>
      </c>
      <c r="E478" t="s">
        <v>95</v>
      </c>
      <c r="F478" t="s">
        <v>309</v>
      </c>
      <c r="G478" t="s">
        <v>1345</v>
      </c>
      <c r="H478" t="s">
        <v>1910</v>
      </c>
      <c r="I478" t="s">
        <v>1346</v>
      </c>
      <c r="J478">
        <v>36</v>
      </c>
      <c r="K478">
        <v>36</v>
      </c>
      <c r="L478" t="s">
        <v>1347</v>
      </c>
      <c r="M478" s="15">
        <v>46232.494386574072</v>
      </c>
      <c r="N478" s="15">
        <v>46239.493750000001</v>
      </c>
      <c r="O478" s="15">
        <v>46232.61041666667</v>
      </c>
      <c r="P478" s="15">
        <v>46258.618750000001</v>
      </c>
      <c r="Q478" s="15"/>
      <c r="S478" t="s">
        <v>396</v>
      </c>
      <c r="U478" t="s">
        <v>1916</v>
      </c>
      <c r="V478" t="s">
        <v>363</v>
      </c>
      <c r="W478">
        <v>2011</v>
      </c>
      <c r="X478" t="s">
        <v>352</v>
      </c>
      <c r="Y478" t="s">
        <v>262</v>
      </c>
      <c r="Z478" t="s">
        <v>851</v>
      </c>
      <c r="AB478" t="s">
        <v>350</v>
      </c>
      <c r="AC478" t="s">
        <v>7</v>
      </c>
      <c r="AD478" t="s">
        <v>7</v>
      </c>
      <c r="AE478" t="s">
        <v>7</v>
      </c>
      <c r="AF478" t="s">
        <v>1941</v>
      </c>
      <c r="AG478" t="s">
        <v>250</v>
      </c>
      <c r="AH478">
        <v>2</v>
      </c>
      <c r="AI478" t="s">
        <v>250</v>
      </c>
      <c r="AJ478" t="s">
        <v>251</v>
      </c>
      <c r="AK478" t="s">
        <v>922</v>
      </c>
      <c r="AL478" t="s">
        <v>156</v>
      </c>
      <c r="AM478" t="s">
        <v>936</v>
      </c>
      <c r="AO478">
        <v>46232</v>
      </c>
      <c r="AP478">
        <v>0.61041666666666672</v>
      </c>
      <c r="AQ478">
        <v>46258</v>
      </c>
      <c r="AR478">
        <v>0.61875000000000002</v>
      </c>
      <c r="AS478" t="s">
        <v>1958</v>
      </c>
      <c r="AU478" t="s">
        <v>1955</v>
      </c>
      <c r="AV478" t="s">
        <v>937</v>
      </c>
      <c r="AX478">
        <v>36</v>
      </c>
      <c r="AY478" t="s">
        <v>111</v>
      </c>
      <c r="AZ478" t="s">
        <v>96</v>
      </c>
      <c r="BA478" t="s">
        <v>225</v>
      </c>
      <c r="BB478" t="s">
        <v>924</v>
      </c>
    </row>
    <row r="479" spans="1:57" x14ac:dyDescent="0.3">
      <c r="A479" s="204">
        <v>46230</v>
      </c>
      <c r="B479" t="s">
        <v>142</v>
      </c>
      <c r="C479" t="s">
        <v>346</v>
      </c>
      <c r="D479" t="s">
        <v>57</v>
      </c>
      <c r="E479" t="s">
        <v>117</v>
      </c>
      <c r="F479" t="s">
        <v>309</v>
      </c>
      <c r="G479" t="s">
        <v>1345</v>
      </c>
      <c r="H479" t="s">
        <v>1910</v>
      </c>
      <c r="I479" t="s">
        <v>1346</v>
      </c>
      <c r="J479">
        <v>36</v>
      </c>
      <c r="K479">
        <v>36</v>
      </c>
      <c r="L479" t="s">
        <v>1347</v>
      </c>
      <c r="M479" s="15">
        <v>46232.494386574072</v>
      </c>
      <c r="N479" s="15">
        <v>46239.493750000001</v>
      </c>
      <c r="O479" s="15">
        <v>46232.61041666667</v>
      </c>
      <c r="P479" s="15">
        <v>46258.618750000001</v>
      </c>
      <c r="Q479" s="15"/>
      <c r="S479" t="s">
        <v>396</v>
      </c>
      <c r="U479" t="s">
        <v>1916</v>
      </c>
      <c r="V479" t="s">
        <v>363</v>
      </c>
      <c r="W479">
        <v>2011</v>
      </c>
      <c r="X479" t="s">
        <v>352</v>
      </c>
      <c r="Y479" t="s">
        <v>262</v>
      </c>
      <c r="Z479" t="s">
        <v>851</v>
      </c>
      <c r="AB479" t="s">
        <v>350</v>
      </c>
      <c r="AC479" t="s">
        <v>7</v>
      </c>
      <c r="AD479" t="s">
        <v>7</v>
      </c>
      <c r="AE479" t="s">
        <v>7</v>
      </c>
      <c r="AF479" t="s">
        <v>1915</v>
      </c>
      <c r="AG479" t="s">
        <v>250</v>
      </c>
      <c r="AH479">
        <v>2</v>
      </c>
      <c r="AI479" t="s">
        <v>250</v>
      </c>
      <c r="AJ479" t="s">
        <v>251</v>
      </c>
      <c r="AK479" t="s">
        <v>922</v>
      </c>
      <c r="AL479" t="s">
        <v>156</v>
      </c>
      <c r="AM479" t="s">
        <v>923</v>
      </c>
      <c r="AO479">
        <v>46232</v>
      </c>
      <c r="AP479">
        <v>0.61041666666666672</v>
      </c>
      <c r="AQ479">
        <v>46258</v>
      </c>
      <c r="AR479">
        <v>0.61875000000000002</v>
      </c>
      <c r="AS479" t="s">
        <v>1958</v>
      </c>
      <c r="AU479" t="s">
        <v>1955</v>
      </c>
      <c r="AV479" t="s">
        <v>862</v>
      </c>
      <c r="AX479">
        <v>3.6</v>
      </c>
      <c r="AY479" t="s">
        <v>126</v>
      </c>
      <c r="AZ479" t="s">
        <v>127</v>
      </c>
      <c r="BA479" t="s">
        <v>233</v>
      </c>
      <c r="BB479" t="s">
        <v>924</v>
      </c>
    </row>
    <row r="480" spans="1:57" x14ac:dyDescent="0.3">
      <c r="A480" s="204">
        <v>46230</v>
      </c>
      <c r="B480" t="s">
        <v>142</v>
      </c>
      <c r="C480" t="s">
        <v>346</v>
      </c>
      <c r="D480" t="s">
        <v>63</v>
      </c>
      <c r="E480" t="s">
        <v>95</v>
      </c>
      <c r="F480" t="s">
        <v>309</v>
      </c>
      <c r="G480" t="s">
        <v>1345</v>
      </c>
      <c r="H480" t="s">
        <v>1910</v>
      </c>
      <c r="I480" t="s">
        <v>1346</v>
      </c>
      <c r="J480">
        <v>33</v>
      </c>
      <c r="K480">
        <v>33</v>
      </c>
      <c r="L480" t="s">
        <v>1347</v>
      </c>
      <c r="M480" s="15">
        <v>46232.494386574072</v>
      </c>
      <c r="N480" s="15">
        <v>46239.493750000001</v>
      </c>
      <c r="O480" s="15">
        <v>46232.61041666667</v>
      </c>
      <c r="P480" s="15">
        <v>46237.611111111109</v>
      </c>
      <c r="Q480" s="15"/>
      <c r="S480" t="s">
        <v>396</v>
      </c>
      <c r="U480" t="s">
        <v>1911</v>
      </c>
      <c r="V480" t="s">
        <v>363</v>
      </c>
      <c r="W480">
        <v>2011</v>
      </c>
      <c r="X480" t="s">
        <v>352</v>
      </c>
      <c r="Y480" t="s">
        <v>262</v>
      </c>
      <c r="Z480" t="s">
        <v>851</v>
      </c>
      <c r="AB480" t="s">
        <v>350</v>
      </c>
      <c r="AC480" t="s">
        <v>7</v>
      </c>
      <c r="AD480" t="s">
        <v>7</v>
      </c>
      <c r="AE480" t="s">
        <v>7</v>
      </c>
      <c r="AF480" t="s">
        <v>1941</v>
      </c>
      <c r="AG480" t="s">
        <v>250</v>
      </c>
      <c r="AH480">
        <v>2</v>
      </c>
      <c r="AI480" t="s">
        <v>250</v>
      </c>
      <c r="AJ480" t="s">
        <v>251</v>
      </c>
      <c r="AK480" t="s">
        <v>922</v>
      </c>
      <c r="AL480" t="s">
        <v>156</v>
      </c>
      <c r="AM480" t="s">
        <v>936</v>
      </c>
      <c r="AO480">
        <v>46232</v>
      </c>
      <c r="AP480">
        <v>0.61041666666666672</v>
      </c>
      <c r="AQ480">
        <v>46237</v>
      </c>
      <c r="AR480">
        <v>0.61111111111111116</v>
      </c>
      <c r="AS480" t="s">
        <v>1958</v>
      </c>
      <c r="AU480" t="s">
        <v>1955</v>
      </c>
      <c r="AV480" t="s">
        <v>937</v>
      </c>
      <c r="AX480">
        <v>33</v>
      </c>
      <c r="AY480" t="s">
        <v>111</v>
      </c>
      <c r="AZ480" t="s">
        <v>96</v>
      </c>
      <c r="BA480" t="s">
        <v>225</v>
      </c>
      <c r="BB480" t="s">
        <v>924</v>
      </c>
      <c r="BE480">
        <v>3.3</v>
      </c>
    </row>
    <row r="481" spans="1:54" x14ac:dyDescent="0.3">
      <c r="A481" s="204">
        <v>46237</v>
      </c>
      <c r="B481" t="s">
        <v>142</v>
      </c>
      <c r="C481" t="s">
        <v>346</v>
      </c>
      <c r="D481" t="s">
        <v>63</v>
      </c>
      <c r="E481" t="s">
        <v>95</v>
      </c>
      <c r="F481" t="s">
        <v>309</v>
      </c>
      <c r="G481" t="s">
        <v>1316</v>
      </c>
      <c r="H481" t="s">
        <v>1857</v>
      </c>
      <c r="I481" t="s">
        <v>1317</v>
      </c>
      <c r="J481">
        <v>1</v>
      </c>
      <c r="K481">
        <v>1</v>
      </c>
      <c r="L481" t="s">
        <v>1318</v>
      </c>
      <c r="M481" s="15">
        <v>46247.459618055553</v>
      </c>
      <c r="N481" s="15">
        <v>46254.459027777775</v>
      </c>
      <c r="O481" s="15">
        <v>46247.561030092591</v>
      </c>
      <c r="P481" s="15">
        <v>46254.421527777777</v>
      </c>
      <c r="Q481" s="15"/>
      <c r="S481" t="s">
        <v>396</v>
      </c>
      <c r="V481" t="s">
        <v>363</v>
      </c>
      <c r="W481">
        <v>2011</v>
      </c>
      <c r="X481" t="s">
        <v>352</v>
      </c>
      <c r="Y481" t="s">
        <v>262</v>
      </c>
      <c r="Z481" t="s">
        <v>851</v>
      </c>
      <c r="AB481" t="s">
        <v>350</v>
      </c>
      <c r="AC481" t="s">
        <v>7</v>
      </c>
      <c r="AD481" t="s">
        <v>7</v>
      </c>
      <c r="AE481" t="s">
        <v>7</v>
      </c>
      <c r="AF481" t="s">
        <v>1943</v>
      </c>
      <c r="AG481" t="s">
        <v>249</v>
      </c>
      <c r="AH481">
        <v>2</v>
      </c>
      <c r="AI481" t="s">
        <v>250</v>
      </c>
      <c r="AJ481" t="s">
        <v>251</v>
      </c>
      <c r="AK481" t="s">
        <v>922</v>
      </c>
      <c r="AL481" t="s">
        <v>156</v>
      </c>
      <c r="AM481" t="s">
        <v>936</v>
      </c>
      <c r="AO481">
        <v>46247</v>
      </c>
      <c r="AP481">
        <v>0.56103009259259262</v>
      </c>
      <c r="AQ481">
        <v>46254</v>
      </c>
      <c r="AR481">
        <v>0.42152777777777778</v>
      </c>
      <c r="AS481" t="s">
        <v>201</v>
      </c>
      <c r="AT481" t="s">
        <v>1954</v>
      </c>
      <c r="AU481" t="s">
        <v>1955</v>
      </c>
      <c r="AV481" t="s">
        <v>937</v>
      </c>
      <c r="AX481">
        <v>1</v>
      </c>
      <c r="AY481" t="s">
        <v>111</v>
      </c>
      <c r="AZ481" t="s">
        <v>96</v>
      </c>
      <c r="BA481" t="s">
        <v>225</v>
      </c>
      <c r="BB481" t="s">
        <v>924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6520-585E-4FB5-9CED-FBD7A878B479}">
  <sheetPr codeName="Planilha32">
    <tabColor rgb="FF92D050"/>
  </sheetPr>
  <dimension ref="A1:I5"/>
  <sheetViews>
    <sheetView topLeftCell="B1" workbookViewId="0">
      <pane ySplit="4" topLeftCell="A5" activePane="bottomLeft" state="frozenSplit"/>
      <selection pane="bottomLeft" activeCell="D7" sqref="D7"/>
    </sheetView>
  </sheetViews>
  <sheetFormatPr defaultRowHeight="14.4" x14ac:dyDescent="0.3"/>
  <cols>
    <col min="1" max="1" width="53" bestFit="1" customWidth="1"/>
    <col min="2" max="2" width="8.88671875" bestFit="1" customWidth="1"/>
    <col min="3" max="3" width="10.5546875" bestFit="1" customWidth="1"/>
    <col min="4" max="4" width="15.33203125" bestFit="1" customWidth="1"/>
    <col min="5" max="5" width="9.6640625" bestFit="1" customWidth="1"/>
    <col min="6" max="6" width="5.109375" bestFit="1" customWidth="1"/>
    <col min="7" max="7" width="10.88671875" bestFit="1" customWidth="1"/>
    <col min="8" max="8" width="14.6640625" bestFit="1" customWidth="1"/>
    <col min="9" max="9" width="49.77734375" bestFit="1" customWidth="1"/>
  </cols>
  <sheetData>
    <row r="1" spans="1:9" ht="34.950000000000003" customHeight="1" x14ac:dyDescent="0.3">
      <c r="A1" s="230" t="s">
        <v>795</v>
      </c>
      <c r="B1" s="230"/>
      <c r="C1" s="230"/>
      <c r="D1" s="230"/>
      <c r="E1" s="230"/>
      <c r="F1" s="230"/>
      <c r="G1" s="230"/>
      <c r="H1" s="230"/>
      <c r="I1" s="230"/>
    </row>
    <row r="2" spans="1:9" ht="19.95" customHeight="1" x14ac:dyDescent="0.3">
      <c r="A2" s="198" t="s">
        <v>1945</v>
      </c>
      <c r="B2" s="198"/>
      <c r="C2" s="198"/>
      <c r="D2" s="198"/>
      <c r="E2" s="198"/>
      <c r="F2" s="198"/>
      <c r="G2" s="198"/>
      <c r="H2" s="198"/>
      <c r="I2" s="198"/>
    </row>
    <row r="4" spans="1:9" ht="25.05" customHeight="1" x14ac:dyDescent="0.3">
      <c r="A4" s="199" t="s">
        <v>791</v>
      </c>
      <c r="B4" s="199" t="s">
        <v>282</v>
      </c>
      <c r="C4" s="199" t="s">
        <v>796</v>
      </c>
      <c r="D4" s="199" t="s">
        <v>797</v>
      </c>
      <c r="E4" s="199" t="s">
        <v>792</v>
      </c>
      <c r="F4" s="199" t="s">
        <v>2</v>
      </c>
      <c r="G4" s="199" t="s">
        <v>793</v>
      </c>
      <c r="H4" s="199" t="s">
        <v>794</v>
      </c>
      <c r="I4" s="199" t="s">
        <v>798</v>
      </c>
    </row>
    <row r="5" spans="1:9" x14ac:dyDescent="0.3">
      <c r="A5" s="227" t="s">
        <v>1946</v>
      </c>
      <c r="B5" s="227"/>
      <c r="C5" s="227"/>
      <c r="D5" s="227"/>
      <c r="E5" s="227"/>
      <c r="F5" s="227"/>
      <c r="G5" s="227" t="s">
        <v>1947</v>
      </c>
      <c r="H5" s="227"/>
      <c r="I5" s="227" t="s">
        <v>1948</v>
      </c>
    </row>
  </sheetData>
  <sortState xmlns:xlrd2="http://schemas.microsoft.com/office/spreadsheetml/2017/richdata2" ref="A5:I138">
    <sortCondition ref="G4:G138"/>
  </sortState>
  <mergeCells count="1">
    <mergeCell ref="A1:I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1B22-230C-4D7B-990E-343002DEC2F8}">
  <sheetPr codeName="Planilha31"/>
  <dimension ref="A1:N40"/>
  <sheetViews>
    <sheetView showGridLines="0" workbookViewId="0">
      <selection activeCell="G21" sqref="G21"/>
    </sheetView>
  </sheetViews>
  <sheetFormatPr defaultColWidth="8.88671875" defaultRowHeight="15" x14ac:dyDescent="0.35"/>
  <cols>
    <col min="1" max="1" width="2.6640625" style="194" customWidth="1"/>
    <col min="2" max="2" width="18.6640625" style="194" customWidth="1"/>
    <col min="3" max="3" width="3.6640625" style="194" customWidth="1"/>
    <col min="4" max="4" width="18.6640625" style="194" customWidth="1"/>
    <col min="5" max="5" width="3.6640625" style="194" customWidth="1"/>
    <col min="6" max="6" width="18.6640625" style="194" customWidth="1"/>
    <col min="7" max="7" width="3.6640625" style="194" customWidth="1"/>
    <col min="8" max="8" width="18.6640625" style="194" customWidth="1"/>
    <col min="9" max="9" width="3.6640625" style="194" customWidth="1"/>
    <col min="10" max="10" width="18.6640625" style="194" customWidth="1"/>
    <col min="11" max="11" width="3.6640625" style="194" customWidth="1"/>
    <col min="12" max="12" width="18.6640625" style="194" customWidth="1"/>
    <col min="13" max="13" width="3.6640625" style="194" customWidth="1"/>
    <col min="14" max="14" width="20.6640625" style="194" customWidth="1"/>
    <col min="15" max="16384" width="8.88671875" style="194"/>
  </cols>
  <sheetData>
    <row r="1" spans="1:14" ht="24" customHeight="1" x14ac:dyDescent="0.35">
      <c r="A1" s="195"/>
      <c r="B1" s="231" t="s">
        <v>765</v>
      </c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</row>
    <row r="2" spans="1:14" ht="24" customHeight="1" x14ac:dyDescent="0.35">
      <c r="A2" s="195"/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</row>
    <row r="3" spans="1:14" ht="24" customHeight="1" x14ac:dyDescent="0.35">
      <c r="A3" s="195"/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</row>
    <row r="4" spans="1:14" ht="18" customHeight="1" x14ac:dyDescent="0.35">
      <c r="A4" s="195"/>
      <c r="B4" s="232" t="s">
        <v>799</v>
      </c>
      <c r="C4" s="233"/>
      <c r="D4" s="233"/>
      <c r="E4" s="233"/>
      <c r="F4" s="233"/>
      <c r="G4" s="233"/>
      <c r="H4" s="233"/>
      <c r="I4" s="233"/>
      <c r="J4" s="233"/>
      <c r="K4" s="233"/>
      <c r="L4" s="233"/>
      <c r="M4" s="233"/>
      <c r="N4" s="233"/>
    </row>
    <row r="5" spans="1:14" ht="18" customHeight="1" x14ac:dyDescent="0.35">
      <c r="A5" s="195"/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</row>
    <row r="6" spans="1:14" ht="18" customHeight="1" x14ac:dyDescent="0.35">
      <c r="A6" s="195"/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</row>
    <row r="7" spans="1:14" ht="18" customHeight="1" x14ac:dyDescent="0.35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</row>
    <row r="8" spans="1:14" ht="18" customHeight="1" x14ac:dyDescent="0.35">
      <c r="A8" s="195"/>
      <c r="B8" s="234" t="s">
        <v>766</v>
      </c>
      <c r="C8" s="234"/>
      <c r="D8" s="234"/>
      <c r="E8" s="234"/>
      <c r="F8" s="234"/>
      <c r="G8" s="234"/>
      <c r="H8" s="234"/>
      <c r="I8" s="234"/>
      <c r="J8" s="234"/>
      <c r="K8" s="234"/>
      <c r="L8" s="234"/>
      <c r="M8" s="234"/>
      <c r="N8" s="234"/>
    </row>
    <row r="9" spans="1:14" ht="18" customHeight="1" x14ac:dyDescent="0.35">
      <c r="A9" s="195"/>
      <c r="B9" s="196" t="s">
        <v>767</v>
      </c>
      <c r="C9" s="196"/>
      <c r="D9" s="196" t="s">
        <v>768</v>
      </c>
      <c r="E9" s="196"/>
      <c r="F9" s="196" t="s">
        <v>769</v>
      </c>
      <c r="G9" s="196"/>
      <c r="H9" s="196" t="s">
        <v>770</v>
      </c>
      <c r="I9" s="196"/>
      <c r="J9" s="196" t="s">
        <v>771</v>
      </c>
      <c r="K9" s="196"/>
      <c r="L9" s="196" t="s">
        <v>772</v>
      </c>
      <c r="M9" s="196"/>
      <c r="N9" s="196"/>
    </row>
    <row r="10" spans="1:14" ht="18" customHeight="1" x14ac:dyDescent="0.35">
      <c r="A10" s="195"/>
      <c r="B10" s="235">
        <v>583</v>
      </c>
      <c r="C10" s="195"/>
      <c r="D10" s="238">
        <v>0</v>
      </c>
      <c r="E10" s="195"/>
      <c r="F10" s="238">
        <v>0</v>
      </c>
      <c r="G10" s="195"/>
      <c r="H10" s="238">
        <v>0</v>
      </c>
      <c r="I10" s="195"/>
      <c r="J10" s="239" t="s">
        <v>788</v>
      </c>
      <c r="K10" s="195"/>
      <c r="L10" s="240">
        <v>0</v>
      </c>
      <c r="M10" s="195"/>
      <c r="N10" s="195"/>
    </row>
    <row r="11" spans="1:14" ht="18" customHeight="1" x14ac:dyDescent="0.35">
      <c r="A11" s="195"/>
      <c r="B11" s="236"/>
      <c r="C11" s="195"/>
      <c r="D11" s="236"/>
      <c r="E11" s="195"/>
      <c r="F11" s="236"/>
      <c r="G11" s="195"/>
      <c r="H11" s="236"/>
      <c r="I11" s="195"/>
      <c r="J11" s="236"/>
      <c r="K11" s="195"/>
      <c r="L11" s="241"/>
      <c r="M11" s="195"/>
      <c r="N11" s="195"/>
    </row>
    <row r="12" spans="1:14" ht="18" customHeight="1" x14ac:dyDescent="0.35">
      <c r="A12" s="195"/>
      <c r="B12" s="237"/>
      <c r="C12" s="195"/>
      <c r="D12" s="237"/>
      <c r="E12" s="195"/>
      <c r="F12" s="237"/>
      <c r="G12" s="195"/>
      <c r="H12" s="237"/>
      <c r="I12" s="195"/>
      <c r="J12" s="237"/>
      <c r="K12" s="195"/>
      <c r="L12" s="242"/>
      <c r="M12" s="195"/>
      <c r="N12" s="195"/>
    </row>
    <row r="13" spans="1:14" ht="18" customHeight="1" x14ac:dyDescent="0.35">
      <c r="A13" s="195"/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</row>
    <row r="14" spans="1:14" ht="18" customHeight="1" x14ac:dyDescent="0.35">
      <c r="A14" s="195"/>
      <c r="B14" s="234" t="s">
        <v>773</v>
      </c>
      <c r="C14" s="234"/>
      <c r="D14" s="234"/>
      <c r="E14" s="234"/>
      <c r="F14" s="234"/>
      <c r="G14" s="234"/>
      <c r="H14" s="234"/>
      <c r="I14" s="234"/>
      <c r="J14" s="234"/>
      <c r="K14" s="195"/>
      <c r="L14" s="234" t="s">
        <v>781</v>
      </c>
      <c r="M14" s="234"/>
      <c r="N14" s="234"/>
    </row>
    <row r="15" spans="1:14" ht="18" customHeight="1" x14ac:dyDescent="0.35">
      <c r="A15" s="195"/>
      <c r="B15" s="200" t="s">
        <v>282</v>
      </c>
      <c r="C15" s="200" t="s">
        <v>774</v>
      </c>
      <c r="D15" s="200" t="s">
        <v>775</v>
      </c>
      <c r="E15" s="200" t="s">
        <v>776</v>
      </c>
      <c r="F15" s="200" t="s">
        <v>521</v>
      </c>
      <c r="G15" s="200" t="s">
        <v>777</v>
      </c>
      <c r="H15" s="200" t="s">
        <v>778</v>
      </c>
      <c r="I15" s="200" t="s">
        <v>779</v>
      </c>
      <c r="J15" s="200"/>
      <c r="K15" s="195"/>
      <c r="L15" s="243" t="s">
        <v>800</v>
      </c>
      <c r="M15" s="243"/>
      <c r="N15" s="243"/>
    </row>
    <row r="16" spans="1:14" ht="18" customHeight="1" x14ac:dyDescent="0.35">
      <c r="A16" s="195"/>
      <c r="B16" s="201" t="s">
        <v>346</v>
      </c>
      <c r="C16" s="201">
        <v>0</v>
      </c>
      <c r="D16" s="201"/>
      <c r="E16" s="201"/>
      <c r="F16" s="201"/>
      <c r="G16" s="201"/>
      <c r="H16" s="201"/>
      <c r="I16" s="201" t="s">
        <v>789</v>
      </c>
      <c r="J16" s="201"/>
      <c r="K16" s="195"/>
      <c r="L16" s="243"/>
      <c r="M16" s="243"/>
      <c r="N16" s="243"/>
    </row>
    <row r="17" spans="1:14" ht="18" customHeight="1" x14ac:dyDescent="0.35">
      <c r="A17" s="195"/>
      <c r="B17" s="201" t="s">
        <v>348</v>
      </c>
      <c r="C17" s="201">
        <v>368</v>
      </c>
      <c r="D17" s="201"/>
      <c r="E17" s="201"/>
      <c r="F17" s="201"/>
      <c r="G17" s="201"/>
      <c r="H17" s="201"/>
      <c r="I17" s="201" t="s">
        <v>790</v>
      </c>
      <c r="J17" s="201"/>
      <c r="K17" s="195"/>
      <c r="L17" s="243"/>
      <c r="M17" s="243"/>
      <c r="N17" s="243"/>
    </row>
    <row r="18" spans="1:14" ht="18" customHeight="1" x14ac:dyDescent="0.35">
      <c r="A18" s="195"/>
      <c r="B18" s="201" t="s">
        <v>347</v>
      </c>
      <c r="C18" s="201">
        <v>31</v>
      </c>
      <c r="D18" s="201"/>
      <c r="E18" s="201"/>
      <c r="F18" s="201"/>
      <c r="G18" s="201"/>
      <c r="H18" s="201"/>
      <c r="I18" s="201" t="s">
        <v>790</v>
      </c>
      <c r="J18" s="201"/>
      <c r="K18" s="195"/>
      <c r="L18" s="243"/>
      <c r="M18" s="243"/>
      <c r="N18" s="243"/>
    </row>
    <row r="19" spans="1:14" ht="18" customHeight="1" x14ac:dyDescent="0.35">
      <c r="A19" s="195"/>
      <c r="B19" s="201" t="s">
        <v>349</v>
      </c>
      <c r="C19" s="201">
        <v>15</v>
      </c>
      <c r="D19" s="201"/>
      <c r="E19" s="201"/>
      <c r="F19" s="201"/>
      <c r="G19" s="201"/>
      <c r="H19" s="201"/>
      <c r="I19" s="201" t="s">
        <v>790</v>
      </c>
      <c r="J19" s="201"/>
      <c r="K19" s="195"/>
      <c r="L19" s="243"/>
      <c r="M19" s="243"/>
      <c r="N19" s="243"/>
    </row>
    <row r="20" spans="1:14" ht="18" customHeight="1" thickBot="1" x14ac:dyDescent="0.4">
      <c r="A20" s="195"/>
      <c r="B20" s="197" t="s">
        <v>780</v>
      </c>
      <c r="C20" s="197">
        <v>0</v>
      </c>
      <c r="D20" s="197">
        <v>0</v>
      </c>
      <c r="E20" s="197">
        <v>0</v>
      </c>
      <c r="F20" s="197">
        <v>0</v>
      </c>
      <c r="G20" s="197">
        <v>0</v>
      </c>
      <c r="H20" s="197">
        <v>0</v>
      </c>
      <c r="I20" s="197">
        <v>0</v>
      </c>
      <c r="J20" s="197"/>
      <c r="K20" s="195"/>
      <c r="L20" s="243"/>
      <c r="M20" s="243"/>
      <c r="N20" s="243"/>
    </row>
    <row r="21" spans="1:14" ht="18" customHeight="1" thickTop="1" x14ac:dyDescent="0.35">
      <c r="A21" s="195"/>
      <c r="B21" s="195"/>
      <c r="C21" s="195"/>
      <c r="D21" s="195"/>
      <c r="E21" s="195"/>
      <c r="F21" s="195"/>
      <c r="G21" s="195"/>
      <c r="H21" s="195"/>
      <c r="I21" s="195"/>
      <c r="J21" s="195"/>
      <c r="K21" s="195"/>
      <c r="L21" s="195"/>
      <c r="M21" s="195"/>
      <c r="N21" s="195"/>
    </row>
    <row r="22" spans="1:14" ht="18" customHeight="1" x14ac:dyDescent="0.35">
      <c r="A22" s="195"/>
      <c r="B22" s="195"/>
      <c r="C22" s="195"/>
      <c r="D22" s="195"/>
      <c r="E22" s="195"/>
      <c r="F22" s="195"/>
      <c r="G22" s="195"/>
      <c r="H22" s="195"/>
      <c r="I22" s="195"/>
      <c r="J22" s="195"/>
      <c r="K22" s="195"/>
      <c r="L22" s="195"/>
      <c r="M22" s="195"/>
      <c r="N22" s="195"/>
    </row>
    <row r="23" spans="1:14" ht="18" customHeight="1" x14ac:dyDescent="0.35">
      <c r="A23" s="195"/>
      <c r="B23" s="234" t="s">
        <v>782</v>
      </c>
      <c r="C23" s="234"/>
      <c r="D23" s="234"/>
      <c r="E23" s="234"/>
      <c r="F23" s="234"/>
      <c r="G23" s="234"/>
      <c r="H23" s="234"/>
      <c r="I23" s="234"/>
      <c r="J23" s="234"/>
      <c r="K23" s="234"/>
      <c r="L23" s="234"/>
      <c r="M23" s="234"/>
      <c r="N23" s="234"/>
    </row>
    <row r="24" spans="1:14" ht="18" customHeight="1" x14ac:dyDescent="0.35">
      <c r="A24" s="195"/>
      <c r="B24" s="200" t="s">
        <v>282</v>
      </c>
      <c r="C24" s="200" t="s">
        <v>783</v>
      </c>
      <c r="D24" s="200" t="s">
        <v>784</v>
      </c>
      <c r="E24" s="200" t="s">
        <v>779</v>
      </c>
      <c r="F24" s="200" t="s">
        <v>785</v>
      </c>
      <c r="G24" s="200"/>
      <c r="H24" s="200"/>
      <c r="I24" s="200"/>
      <c r="J24" s="200"/>
      <c r="K24" s="200"/>
      <c r="L24" s="200"/>
      <c r="M24" s="200"/>
      <c r="N24" s="200"/>
    </row>
    <row r="25" spans="1:14" ht="18" customHeight="1" x14ac:dyDescent="0.35">
      <c r="A25" s="195"/>
      <c r="B25" s="202" t="s">
        <v>346</v>
      </c>
      <c r="C25" s="203" t="str">
        <f>IFERROR(HYPERLINK(Painel!F14,Painel!F14),"Nao gerado")</f>
        <v>4600687006-PLA-MemoriaPetrobras-PA-LT2-BA_27102026_155237.xlsx</v>
      </c>
      <c r="D25" s="202"/>
      <c r="E25" s="202" t="s">
        <v>786</v>
      </c>
      <c r="F25" s="202"/>
      <c r="G25" s="202"/>
      <c r="H25" s="202"/>
      <c r="I25" s="202"/>
      <c r="J25" s="202"/>
      <c r="K25" s="202"/>
      <c r="L25" s="202"/>
      <c r="M25" s="202"/>
      <c r="N25" s="202"/>
    </row>
    <row r="26" spans="1:14" ht="18" customHeight="1" x14ac:dyDescent="0.35">
      <c r="A26" s="195"/>
      <c r="B26" s="202" t="s">
        <v>348</v>
      </c>
      <c r="C26" s="203" t="str">
        <f>IFERROR(HYPERLINK(Painel!F15,Painel!F15),"Nao gerado")</f>
        <v>4600686987-PLA-MemoriaPetrobras-IRON-LT1-RJ_27102026_155238.xlsx</v>
      </c>
      <c r="D26" s="202"/>
      <c r="E26" s="202" t="s">
        <v>786</v>
      </c>
      <c r="F26" s="202"/>
      <c r="G26" s="202"/>
      <c r="H26" s="202"/>
      <c r="I26" s="202"/>
      <c r="J26" s="202"/>
      <c r="K26" s="202"/>
      <c r="L26" s="202"/>
      <c r="M26" s="202"/>
      <c r="N26" s="202"/>
    </row>
    <row r="27" spans="1:14" ht="18" customHeight="1" x14ac:dyDescent="0.35">
      <c r="A27" s="195"/>
      <c r="B27" s="202" t="s">
        <v>347</v>
      </c>
      <c r="C27" s="203" t="str">
        <f>IFERROR(HYPERLINK(Painel!F16,Painel!F16),"Nao gerado")</f>
        <v>4600686987-PLA-MemoriaPetrobras-IRON-LT1-SP_27102026_155239.xlsx</v>
      </c>
      <c r="D27" s="202"/>
      <c r="E27" s="202" t="s">
        <v>786</v>
      </c>
      <c r="F27" s="202"/>
      <c r="G27" s="202"/>
      <c r="H27" s="202"/>
      <c r="I27" s="202"/>
      <c r="J27" s="202"/>
      <c r="K27" s="202"/>
      <c r="L27" s="202"/>
      <c r="M27" s="202"/>
      <c r="N27" s="202"/>
    </row>
    <row r="28" spans="1:14" ht="18" customHeight="1" x14ac:dyDescent="0.35">
      <c r="A28" s="195"/>
      <c r="B28" s="202" t="s">
        <v>349</v>
      </c>
      <c r="C28" s="203" t="str">
        <f>IFERROR(HYPERLINK(Painel!F17,Painel!F17),"Nao gerado")</f>
        <v>4600686987-PLA-MemoriaPetrobras-IRON-LT1-ES_27102026_155241.xlsx</v>
      </c>
      <c r="D28" s="202"/>
      <c r="E28" s="202" t="s">
        <v>786</v>
      </c>
      <c r="F28" s="202"/>
      <c r="G28" s="202"/>
      <c r="H28" s="202"/>
      <c r="I28" s="202"/>
      <c r="J28" s="202"/>
      <c r="K28" s="202"/>
      <c r="L28" s="202"/>
      <c r="M28" s="202"/>
      <c r="N28" s="202"/>
    </row>
    <row r="29" spans="1:14" ht="18" customHeight="1" x14ac:dyDescent="0.35">
      <c r="A29" s="195"/>
      <c r="B29" s="195"/>
      <c r="C29" s="195"/>
      <c r="D29" s="195"/>
      <c r="E29" s="195"/>
      <c r="F29" s="195"/>
      <c r="G29" s="195"/>
      <c r="H29" s="195"/>
      <c r="I29" s="195"/>
      <c r="J29" s="195"/>
      <c r="K29" s="195"/>
      <c r="L29" s="195"/>
      <c r="M29" s="195"/>
      <c r="N29" s="195"/>
    </row>
    <row r="30" spans="1:14" ht="18" customHeight="1" x14ac:dyDescent="0.35">
      <c r="A30" s="195"/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</row>
    <row r="31" spans="1:14" ht="18" customHeight="1" x14ac:dyDescent="0.35">
      <c r="A31" s="195"/>
      <c r="B31" s="244" t="s">
        <v>787</v>
      </c>
      <c r="C31" s="245"/>
      <c r="D31" s="245"/>
      <c r="E31" s="245"/>
      <c r="F31" s="245"/>
      <c r="G31" s="245"/>
      <c r="H31" s="245"/>
      <c r="I31" s="245"/>
      <c r="J31" s="245"/>
      <c r="K31" s="245"/>
      <c r="L31" s="245"/>
      <c r="M31" s="245"/>
      <c r="N31" s="245"/>
    </row>
    <row r="32" spans="1:14" ht="18" customHeight="1" x14ac:dyDescent="0.35">
      <c r="A32" s="195"/>
      <c r="B32" s="245"/>
      <c r="C32" s="245"/>
      <c r="D32" s="245"/>
      <c r="E32" s="245"/>
      <c r="F32" s="245"/>
      <c r="G32" s="245"/>
      <c r="H32" s="245"/>
      <c r="I32" s="245"/>
      <c r="J32" s="245"/>
      <c r="K32" s="245"/>
      <c r="L32" s="245"/>
      <c r="M32" s="245"/>
      <c r="N32" s="245"/>
    </row>
    <row r="33" spans="1:14" ht="18" customHeight="1" x14ac:dyDescent="0.35">
      <c r="A33" s="195"/>
      <c r="B33" s="195"/>
      <c r="C33" s="195"/>
      <c r="D33" s="195"/>
      <c r="E33" s="195"/>
      <c r="F33" s="195"/>
      <c r="G33" s="195"/>
      <c r="H33" s="195"/>
      <c r="I33" s="195"/>
      <c r="J33" s="195"/>
      <c r="K33" s="195"/>
      <c r="L33" s="195"/>
      <c r="M33" s="195"/>
      <c r="N33" s="195"/>
    </row>
    <row r="34" spans="1:14" ht="18" customHeight="1" x14ac:dyDescent="0.35">
      <c r="A34" s="195"/>
      <c r="B34" s="195"/>
      <c r="C34" s="195"/>
      <c r="D34" s="195"/>
      <c r="E34" s="195"/>
      <c r="F34" s="195"/>
      <c r="G34" s="195"/>
      <c r="H34" s="195"/>
      <c r="I34" s="195"/>
      <c r="J34" s="195"/>
      <c r="K34" s="195"/>
      <c r="L34" s="195"/>
      <c r="M34" s="195"/>
      <c r="N34" s="195"/>
    </row>
    <row r="35" spans="1:14" ht="18" customHeight="1" x14ac:dyDescent="0.35">
      <c r="A35" s="195"/>
      <c r="B35" s="195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</row>
    <row r="36" spans="1:14" ht="18" customHeight="1" x14ac:dyDescent="0.35">
      <c r="A36" s="195"/>
      <c r="B36" s="195"/>
      <c r="C36" s="195"/>
      <c r="D36" s="195"/>
      <c r="E36" s="195"/>
      <c r="F36" s="195"/>
      <c r="G36" s="195"/>
      <c r="H36" s="195"/>
      <c r="I36" s="195"/>
      <c r="J36" s="195"/>
      <c r="K36" s="195"/>
      <c r="L36" s="195"/>
      <c r="M36" s="195"/>
      <c r="N36" s="195"/>
    </row>
    <row r="37" spans="1:14" ht="18" customHeight="1" x14ac:dyDescent="0.35">
      <c r="A37" s="195"/>
      <c r="B37" s="195"/>
      <c r="C37" s="195"/>
      <c r="D37" s="195"/>
      <c r="E37" s="195"/>
      <c r="F37" s="195"/>
      <c r="G37" s="195"/>
      <c r="H37" s="195"/>
      <c r="I37" s="195"/>
      <c r="J37" s="195"/>
      <c r="K37" s="195"/>
      <c r="L37" s="195"/>
      <c r="M37" s="195"/>
      <c r="N37" s="195"/>
    </row>
    <row r="38" spans="1:14" ht="18" customHeight="1" x14ac:dyDescent="0.35">
      <c r="A38" s="195"/>
      <c r="B38" s="195"/>
      <c r="C38" s="195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</row>
    <row r="39" spans="1:14" ht="18" customHeight="1" x14ac:dyDescent="0.35">
      <c r="A39" s="195"/>
      <c r="B39" s="195"/>
      <c r="C39" s="195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</row>
    <row r="40" spans="1:14" ht="18" customHeight="1" x14ac:dyDescent="0.35">
      <c r="A40" s="195"/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</row>
  </sheetData>
  <mergeCells count="14">
    <mergeCell ref="B14:J14"/>
    <mergeCell ref="L14:N14"/>
    <mergeCell ref="L15:N20"/>
    <mergeCell ref="B23:N23"/>
    <mergeCell ref="B31:N32"/>
    <mergeCell ref="B1:N3"/>
    <mergeCell ref="B4:N4"/>
    <mergeCell ref="B8:N8"/>
    <mergeCell ref="B10:B12"/>
    <mergeCell ref="D10:D12"/>
    <mergeCell ref="F10:F12"/>
    <mergeCell ref="H10:H12"/>
    <mergeCell ref="J10:J12"/>
    <mergeCell ref="L10:L12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E25"/>
  <sheetViews>
    <sheetView workbookViewId="0">
      <selection activeCell="A26" sqref="A26:XFD29"/>
    </sheetView>
  </sheetViews>
  <sheetFormatPr defaultRowHeight="14.4" x14ac:dyDescent="0.3"/>
  <cols>
    <col min="1" max="1" width="4.109375" customWidth="1"/>
    <col min="2" max="2" width="45.44140625" style="17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5" x14ac:dyDescent="0.3">
      <c r="A1" s="6"/>
      <c r="B1" s="19"/>
      <c r="C1" s="6"/>
      <c r="D1" s="6"/>
      <c r="E1" s="6"/>
    </row>
    <row r="2" spans="1:5" x14ac:dyDescent="0.3">
      <c r="A2" s="6"/>
      <c r="B2" s="224" t="s">
        <v>523</v>
      </c>
      <c r="C2" s="6"/>
      <c r="D2" s="6"/>
      <c r="E2" s="6"/>
    </row>
    <row r="3" spans="1:5" x14ac:dyDescent="0.3">
      <c r="A3" s="6"/>
      <c r="B3" s="1">
        <v>100</v>
      </c>
      <c r="C3" s="6"/>
      <c r="D3" s="6"/>
      <c r="E3" s="6"/>
    </row>
    <row r="4" spans="1:5" x14ac:dyDescent="0.3">
      <c r="A4" s="6"/>
      <c r="B4" s="19"/>
      <c r="C4" s="6"/>
      <c r="D4" s="6"/>
      <c r="E4" s="6"/>
    </row>
    <row r="5" spans="1:5" ht="28.8" x14ac:dyDescent="0.3">
      <c r="A5" s="6"/>
      <c r="B5" s="20" t="s">
        <v>475</v>
      </c>
      <c r="C5" s="18" t="s">
        <v>474</v>
      </c>
      <c r="D5" s="26" t="str" cm="1">
        <f t="array" aca="1" ref="D5" ca="1">LEFT(CELL("nome.arquivo"),FIND("[",CELL("nome.arquivo"))-1)</f>
        <v>D:\PainelNovo-main\PainelAgosto\</v>
      </c>
      <c r="E5" s="6"/>
    </row>
    <row r="6" spans="1:5" x14ac:dyDescent="0.3">
      <c r="A6" s="6"/>
      <c r="B6" s="21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5" x14ac:dyDescent="0.3">
      <c r="A7" s="6"/>
      <c r="B7" s="246" t="s">
        <v>259</v>
      </c>
      <c r="C7" s="7" t="s">
        <v>313</v>
      </c>
      <c r="D7" s="24" t="s">
        <v>491</v>
      </c>
      <c r="E7" s="6"/>
    </row>
    <row r="8" spans="1:5" x14ac:dyDescent="0.3">
      <c r="A8" s="6"/>
      <c r="B8" s="246"/>
      <c r="C8" s="7" t="s">
        <v>312</v>
      </c>
      <c r="D8" s="25" t="s">
        <v>490</v>
      </c>
      <c r="E8" s="6"/>
    </row>
    <row r="9" spans="1:5" x14ac:dyDescent="0.3">
      <c r="A9" s="6"/>
      <c r="B9" s="246"/>
      <c r="C9" s="10" t="s">
        <v>244</v>
      </c>
      <c r="D9" s="23" t="str">
        <f ca="1">DIretorioRaiz&amp;D7&amp;TabelaB</f>
        <v>D:\PainelNovo-main\PainelAgosto\Tabelas Especificas\TabelaB-V2.xlsx</v>
      </c>
      <c r="E9" s="6"/>
    </row>
    <row r="10" spans="1:5" x14ac:dyDescent="0.3">
      <c r="A10" s="6"/>
      <c r="B10" s="19"/>
      <c r="C10" s="6"/>
      <c r="D10" s="6" t="s">
        <v>510</v>
      </c>
      <c r="E10" s="6"/>
    </row>
    <row r="11" spans="1:5" x14ac:dyDescent="0.3">
      <c r="A11" s="6"/>
      <c r="B11" s="246" t="s">
        <v>493</v>
      </c>
      <c r="C11" s="7" t="s">
        <v>313</v>
      </c>
      <c r="D11" t="s">
        <v>519</v>
      </c>
      <c r="E11" s="6"/>
    </row>
    <row r="12" spans="1:5" x14ac:dyDescent="0.3">
      <c r="A12" s="6"/>
      <c r="B12" s="246"/>
      <c r="C12" s="7" t="s">
        <v>511</v>
      </c>
      <c r="D12" t="s">
        <v>515</v>
      </c>
      <c r="E12" s="6"/>
    </row>
    <row r="13" spans="1:5" x14ac:dyDescent="0.3">
      <c r="A13" s="6"/>
      <c r="B13" s="246"/>
      <c r="C13" s="7" t="s">
        <v>512</v>
      </c>
      <c r="D13" t="s">
        <v>516</v>
      </c>
      <c r="E13" s="6"/>
    </row>
    <row r="14" spans="1:5" x14ac:dyDescent="0.3">
      <c r="A14" s="6"/>
      <c r="B14" s="246"/>
      <c r="C14" s="7" t="s">
        <v>513</v>
      </c>
      <c r="D14" t="s">
        <v>517</v>
      </c>
      <c r="E14" s="6"/>
    </row>
    <row r="15" spans="1:5" x14ac:dyDescent="0.3">
      <c r="A15" s="6"/>
      <c r="B15" s="246"/>
      <c r="C15" s="10" t="s">
        <v>244</v>
      </c>
      <c r="D15" s="32" t="str">
        <f ca="1">DIretorioRaiz&amp;D11</f>
        <v>D:\PainelNovo-main\PainelAgosto\Medição - Contratada\IRON\</v>
      </c>
      <c r="E15" s="6"/>
    </row>
    <row r="16" spans="1:5" x14ac:dyDescent="0.3">
      <c r="A16" s="6"/>
      <c r="B16" s="27"/>
      <c r="C16" s="10"/>
      <c r="D16" s="6"/>
      <c r="E16" s="6"/>
    </row>
    <row r="17" spans="1:5" x14ac:dyDescent="0.3">
      <c r="A17" s="6"/>
      <c r="B17" s="246" t="s">
        <v>494</v>
      </c>
      <c r="C17" s="7" t="s">
        <v>313</v>
      </c>
      <c r="D17" t="s">
        <v>520</v>
      </c>
      <c r="E17" s="6"/>
    </row>
    <row r="18" spans="1:5" x14ac:dyDescent="0.3">
      <c r="A18" s="6"/>
      <c r="B18" s="246"/>
      <c r="C18" s="7" t="s">
        <v>514</v>
      </c>
      <c r="D18" t="s">
        <v>518</v>
      </c>
      <c r="E18" s="6"/>
    </row>
    <row r="19" spans="1:5" x14ac:dyDescent="0.3">
      <c r="A19" s="6"/>
      <c r="B19" s="246"/>
      <c r="C19" s="10" t="s">
        <v>244</v>
      </c>
      <c r="D19" s="32" t="str">
        <f ca="1">DIretorioRaiz&amp;D17</f>
        <v>D:\PainelNovo-main\PainelAgosto\Medição - Contratada\PA\</v>
      </c>
      <c r="E19" s="6"/>
    </row>
    <row r="20" spans="1:5" x14ac:dyDescent="0.3">
      <c r="A20" s="6"/>
      <c r="B20" s="19"/>
      <c r="C20" s="6"/>
      <c r="D20" s="6"/>
      <c r="E20" s="6"/>
    </row>
    <row r="21" spans="1:5" x14ac:dyDescent="0.3">
      <c r="A21" s="6"/>
      <c r="B21" s="246" t="s">
        <v>495</v>
      </c>
      <c r="C21" s="7" t="s">
        <v>313</v>
      </c>
      <c r="D21" t="s">
        <v>492</v>
      </c>
      <c r="E21" s="6"/>
    </row>
    <row r="22" spans="1:5" x14ac:dyDescent="0.3">
      <c r="A22" s="6"/>
      <c r="B22" s="246"/>
      <c r="C22" s="7" t="s">
        <v>312</v>
      </c>
      <c r="D22" s="22" t="s">
        <v>300</v>
      </c>
      <c r="E22" s="6"/>
    </row>
    <row r="23" spans="1:5" x14ac:dyDescent="0.3">
      <c r="A23" s="6"/>
      <c r="B23" s="246"/>
      <c r="C23" s="10" t="s">
        <v>244</v>
      </c>
      <c r="D23" s="23" t="str">
        <f ca="1">DIretorioRaiz&amp;D21</f>
        <v>D:\PainelNovo-main\PainelAgosto\Monitoramento\</v>
      </c>
      <c r="E23" s="6"/>
    </row>
    <row r="24" spans="1:5" x14ac:dyDescent="0.3">
      <c r="A24" s="6"/>
      <c r="B24" s="19"/>
      <c r="C24" s="6"/>
      <c r="D24" s="6"/>
      <c r="E24" s="6"/>
    </row>
    <row r="25" spans="1:5" x14ac:dyDescent="0.3">
      <c r="A25" s="6"/>
      <c r="B25" s="21"/>
      <c r="C25" s="6"/>
      <c r="D25" s="6"/>
      <c r="E25" s="6"/>
    </row>
  </sheetData>
  <mergeCells count="4">
    <mergeCell ref="B21:B23"/>
    <mergeCell ref="B7:B9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topLeftCell="A12" workbookViewId="0">
      <selection activeCell="M43" sqref="M43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55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172"/>
      <c r="K1" s="172"/>
      <c r="L1" s="46"/>
      <c r="M1" s="46"/>
      <c r="N1" s="47"/>
      <c r="Q1" s="48"/>
    </row>
    <row r="2" spans="1:26" ht="24" customHeight="1" thickTop="1" thickBot="1" x14ac:dyDescent="0.35">
      <c r="A2" s="45"/>
      <c r="B2" s="269" t="s">
        <v>635</v>
      </c>
      <c r="C2" s="270"/>
      <c r="D2" s="270"/>
      <c r="E2" s="270"/>
      <c r="F2" s="270"/>
      <c r="G2" s="270"/>
      <c r="H2" s="270"/>
      <c r="I2" s="270"/>
      <c r="J2" s="270"/>
      <c r="K2" s="270"/>
      <c r="L2" s="270"/>
      <c r="M2" s="270"/>
      <c r="N2" s="270"/>
      <c r="O2" s="271"/>
      <c r="Q2" s="48"/>
    </row>
    <row r="3" spans="1:26" ht="14.25" customHeight="1" thickTop="1" thickBot="1" x14ac:dyDescent="0.35">
      <c r="B3" s="272" t="s">
        <v>636</v>
      </c>
      <c r="C3" s="270"/>
      <c r="D3" s="270"/>
      <c r="E3" s="270"/>
      <c r="F3" s="270"/>
      <c r="G3" s="270"/>
      <c r="H3" s="270"/>
      <c r="I3" s="270"/>
      <c r="J3" s="270"/>
      <c r="K3" s="270"/>
      <c r="L3" s="270"/>
      <c r="M3" s="270"/>
      <c r="N3" s="270"/>
      <c r="O3" s="271"/>
      <c r="Q3" s="49"/>
      <c r="R3" s="48"/>
    </row>
    <row r="4" spans="1:26" ht="14.25" customHeight="1" thickTop="1" x14ac:dyDescent="0.3">
      <c r="B4" s="273" t="s">
        <v>703</v>
      </c>
      <c r="C4" s="274"/>
      <c r="D4" s="50" t="s">
        <v>637</v>
      </c>
      <c r="E4" s="50"/>
      <c r="F4" s="47"/>
      <c r="G4" s="47"/>
      <c r="H4" s="46"/>
      <c r="I4" s="47" t="s">
        <v>704</v>
      </c>
      <c r="J4" s="173" t="s">
        <v>676</v>
      </c>
      <c r="K4" s="176"/>
      <c r="L4" s="275" t="s">
        <v>638</v>
      </c>
      <c r="M4" s="52" t="s">
        <v>639</v>
      </c>
      <c r="N4" s="169">
        <f>VLOOKUP("IRON-LT1", TabelaFDMPorContrato[[Contrato]:[IAPFARQ1]],4,0)</f>
        <v>51.52</v>
      </c>
      <c r="O4" s="53"/>
      <c r="Q4" s="49"/>
      <c r="R4" s="48"/>
    </row>
    <row r="5" spans="1:26" ht="14.25" customHeight="1" x14ac:dyDescent="0.3">
      <c r="B5" s="277" t="s">
        <v>705</v>
      </c>
      <c r="C5" s="276"/>
      <c r="D5" s="54">
        <v>4600686987</v>
      </c>
      <c r="E5" s="54"/>
      <c r="F5" s="47"/>
      <c r="G5" s="47"/>
      <c r="H5" s="46"/>
      <c r="I5" s="55" t="s">
        <v>640</v>
      </c>
      <c r="J5" s="174" t="s">
        <v>761</v>
      </c>
      <c r="K5" s="185"/>
      <c r="L5" s="276"/>
      <c r="M5" s="57" t="s">
        <v>641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77" t="s">
        <v>706</v>
      </c>
      <c r="C6" s="276"/>
      <c r="D6" s="278" t="s">
        <v>680</v>
      </c>
      <c r="E6" s="276"/>
      <c r="F6" s="276"/>
      <c r="G6" s="276"/>
      <c r="H6" s="276"/>
      <c r="I6" s="55" t="s">
        <v>642</v>
      </c>
      <c r="J6" s="174" t="s">
        <v>681</v>
      </c>
      <c r="K6" s="174"/>
      <c r="L6" s="280" t="s">
        <v>643</v>
      </c>
      <c r="M6" s="57" t="s">
        <v>639</v>
      </c>
      <c r="N6" s="168">
        <f>VLOOKUP("IRON-LT1", TabelaFDMPorContrato[[Contrato]:[IAPFARQ2]],9,0)</f>
        <v>78.569999999999993</v>
      </c>
      <c r="O6" s="59"/>
      <c r="Q6" s="49"/>
      <c r="R6" s="48"/>
    </row>
    <row r="7" spans="1:26" ht="14.25" customHeight="1" thickBot="1" x14ac:dyDescent="0.35">
      <c r="B7" s="281"/>
      <c r="C7" s="279"/>
      <c r="D7" s="279"/>
      <c r="E7" s="279"/>
      <c r="F7" s="279"/>
      <c r="G7" s="279"/>
      <c r="H7" s="279"/>
      <c r="I7" s="60" t="s">
        <v>644</v>
      </c>
      <c r="J7" s="175" t="s">
        <v>764</v>
      </c>
      <c r="K7" s="186"/>
      <c r="L7" s="279"/>
      <c r="M7" s="62" t="s">
        <v>641</v>
      </c>
      <c r="N7" s="63">
        <f>VLOOKUP("IRON-LT1", TabelaFDMPorContrato[[Contrato]:[FDM2]],11,0)</f>
        <v>0.96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176"/>
      <c r="K8" s="176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176"/>
      <c r="K9" s="176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47" t="s">
        <v>0</v>
      </c>
      <c r="E10" s="252"/>
      <c r="F10" s="252"/>
      <c r="G10" s="252"/>
      <c r="H10" s="248"/>
      <c r="I10" s="68" t="s">
        <v>40</v>
      </c>
      <c r="J10" s="177" t="s">
        <v>521</v>
      </c>
      <c r="K10" s="177" t="s">
        <v>645</v>
      </c>
      <c r="L10" s="69" t="s">
        <v>646</v>
      </c>
      <c r="M10" s="70" t="s">
        <v>647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648</v>
      </c>
      <c r="E11" s="74"/>
      <c r="F11" s="74"/>
      <c r="G11" s="74"/>
      <c r="H11" s="75"/>
      <c r="I11" s="76"/>
      <c r="J11" s="178"/>
      <c r="K11" s="178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63" t="s">
        <v>683</v>
      </c>
      <c r="F12" s="256"/>
      <c r="G12" s="256"/>
      <c r="H12" s="256"/>
      <c r="I12" s="81"/>
      <c r="J12" s="179"/>
      <c r="K12" s="187"/>
      <c r="L12" s="84"/>
      <c r="M12" s="85"/>
      <c r="N12" s="264"/>
      <c r="Q12" s="48"/>
    </row>
    <row r="13" spans="1:26" ht="14.25" customHeight="1" x14ac:dyDescent="0.3">
      <c r="A13" s="45"/>
      <c r="B13" s="45"/>
      <c r="C13" s="86" t="s">
        <v>66</v>
      </c>
      <c r="D13" s="87" t="s">
        <v>504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80">
        <f>SUMIF(ARM_IRON_LT1_ES[Linha de serviço PPU], D12, ARM_IRON_LT1_ES[QUA])</f>
        <v>15167</v>
      </c>
      <c r="K13" s="188">
        <f>J13*$N$5</f>
        <v>14408.65</v>
      </c>
      <c r="L13" s="92">
        <f>VLOOKUP(D12,PPU_IRON_LT1[[Linha de Serviço]:[P. Unitário (R$)]],4,0)</f>
        <v>0.6</v>
      </c>
      <c r="M13" s="93">
        <f>K13*L13</f>
        <v>8645.1899999999987</v>
      </c>
      <c r="N13" s="265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ARM_IRON_LT1_ES[Linha de serviço PPU], D12, ARM_IRON_LT1_ES[QUAm-1])</f>
        <v>15142</v>
      </c>
      <c r="E14" s="96">
        <f>SUMIF(  ARM_IRON_LT1_ES[Linha de serviço PPU], D12, ARM_IRON_LT1_ES[QBm])</f>
        <v>0</v>
      </c>
      <c r="F14" s="96">
        <f>SUMIF(  ARM_IRON_LT1_ES[Linha de serviço PPU], D12, ARM_IRON_LT1_ES[QDm])</f>
        <v>0</v>
      </c>
      <c r="G14" s="97">
        <f>SUMIF(  ARM_IRON_LT1_ES[Linha de serviço PPU], D12, ARM_IRON_LT1_ES[QNm])</f>
        <v>25</v>
      </c>
      <c r="H14" s="98">
        <f>(D14-E14-F14)+G14</f>
        <v>15167</v>
      </c>
      <c r="I14" s="99"/>
      <c r="J14" s="181"/>
      <c r="K14" s="189"/>
      <c r="L14" s="102"/>
      <c r="M14" s="103"/>
      <c r="N14" s="266"/>
      <c r="Q14" s="48"/>
    </row>
    <row r="15" spans="1:26" ht="15" customHeight="1" x14ac:dyDescent="0.3">
      <c r="A15" s="45"/>
      <c r="B15" s="45"/>
      <c r="C15" s="79"/>
      <c r="D15" s="80" t="s">
        <v>212</v>
      </c>
      <c r="E15" s="263" t="s">
        <v>684</v>
      </c>
      <c r="F15" s="256"/>
      <c r="G15" s="256"/>
      <c r="H15" s="256"/>
      <c r="I15" s="104"/>
      <c r="J15" s="179"/>
      <c r="K15" s="187"/>
      <c r="L15" s="106"/>
      <c r="M15" s="107"/>
      <c r="N15" s="264"/>
      <c r="Q15" s="48"/>
    </row>
    <row r="16" spans="1:26" ht="14.25" customHeight="1" x14ac:dyDescent="0.3">
      <c r="A16" s="45"/>
      <c r="B16" s="45"/>
      <c r="C16" s="86" t="s">
        <v>72</v>
      </c>
      <c r="D16" s="87" t="s">
        <v>504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80">
        <f>SUMIF(ARM_IRON_LT1_ES[Linha de serviço PPU], D15, ARM_IRON_LT1_ES[QUA])</f>
        <v>0</v>
      </c>
      <c r="K16" s="188">
        <f>J16*N5</f>
        <v>0</v>
      </c>
      <c r="L16" s="92">
        <f>VLOOKUP(D15,PPU_IRON_LT1[[Linha de Serviço]:[P. Unitário (R$)]],4,0)</f>
        <v>3.55</v>
      </c>
      <c r="M16" s="93">
        <f>K16*L16</f>
        <v>0</v>
      </c>
      <c r="N16" s="265"/>
      <c r="Q16" s="48"/>
    </row>
    <row r="17" spans="1:17" ht="14.25" customHeight="1" x14ac:dyDescent="0.3">
      <c r="A17" s="45"/>
      <c r="B17" s="45"/>
      <c r="C17" s="87"/>
      <c r="D17" s="95">
        <f>SUMIF(  ARM_IRON_LT1_ES[Linha de serviço PPU], D15, ARM_IRON_LT1_ES[QUAm-1])</f>
        <v>0</v>
      </c>
      <c r="E17" s="96">
        <f>SUMIF(  ARM_IRON_LT1_ES[Linha de serviço PPU], D15, ARM_IRON_LT1_ES[QBm])</f>
        <v>0</v>
      </c>
      <c r="F17" s="96">
        <f>SUMIF(  ARM_IRON_LT1_ES[Linha de serviço PPU], D15, ARM_IRON_LT1_ES[QDm])</f>
        <v>0</v>
      </c>
      <c r="G17" s="97">
        <f>SUMIF(  ARM_IRON_LT1_ES[Linha de serviço PPU], D15, ARM_IRON_LT1_ES[QNm])</f>
        <v>0</v>
      </c>
      <c r="H17" s="98">
        <f>(D17-E17-F17)+G17</f>
        <v>0</v>
      </c>
      <c r="I17" s="99"/>
      <c r="J17" s="181"/>
      <c r="K17" s="189"/>
      <c r="L17" s="102"/>
      <c r="M17" s="103"/>
      <c r="N17" s="266"/>
      <c r="Q17" s="48"/>
    </row>
    <row r="18" spans="1:17" ht="15" customHeight="1" x14ac:dyDescent="0.3">
      <c r="A18" s="45"/>
      <c r="B18" s="45"/>
      <c r="C18" s="79"/>
      <c r="D18" s="80" t="s">
        <v>213</v>
      </c>
      <c r="E18" s="263" t="s">
        <v>685</v>
      </c>
      <c r="F18" s="256"/>
      <c r="G18" s="256"/>
      <c r="H18" s="256"/>
      <c r="I18" s="104"/>
      <c r="J18" s="179"/>
      <c r="K18" s="187"/>
      <c r="M18" s="107"/>
      <c r="N18" s="264"/>
      <c r="Q18" s="48"/>
    </row>
    <row r="19" spans="1:17" ht="14.25" customHeight="1" x14ac:dyDescent="0.3">
      <c r="A19" s="45"/>
      <c r="B19" s="45"/>
      <c r="C19" s="86" t="s">
        <v>75</v>
      </c>
      <c r="D19" s="87" t="s">
        <v>504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80">
        <f>SUMIF(ARM_IRON_LT1_ES[Linha de serviço PPU], D18, ARM_IRON_LT1_ES[QUA])</f>
        <v>0</v>
      </c>
      <c r="K19" s="188">
        <f>J19*N5</f>
        <v>0</v>
      </c>
      <c r="L19" s="92">
        <f>VLOOKUP(D18,PPU_IRON_LT1[[Linha de Serviço]:[P. Unitário (R$)]],4,0)</f>
        <v>0.74</v>
      </c>
      <c r="M19" s="93">
        <f>K19*L19</f>
        <v>0</v>
      </c>
      <c r="N19" s="265"/>
      <c r="Q19" s="48"/>
    </row>
    <row r="20" spans="1:17" ht="14.25" customHeight="1" x14ac:dyDescent="0.3">
      <c r="A20" s="45"/>
      <c r="B20" s="45"/>
      <c r="C20" s="87"/>
      <c r="D20" s="95">
        <f>SUMIF(  ARM_IRON_LT1_ES[Linha de serviço PPU], D18, ARM_IRON_LT1_ES[QUAm-1])</f>
        <v>0</v>
      </c>
      <c r="E20" s="96">
        <f>SUMIF(  ARM_IRON_LT1_ES[Linha de serviço PPU], D18, ARM_IRON_LT1_ES[QBm])</f>
        <v>0</v>
      </c>
      <c r="F20" s="96">
        <f>SUMIF(  ARM_IRON_LT1_ES[Linha de serviço PPU], D18, ARM_IRON_LT1_ES[QDm])</f>
        <v>0</v>
      </c>
      <c r="G20" s="97">
        <f>SUMIF(  ARM_IRON_LT1_ES[Linha de serviço PPU], D18, ARM_IRON_LT1_ES[QNm])</f>
        <v>0</v>
      </c>
      <c r="H20" s="98">
        <f>(D20-E20-F20)+G20</f>
        <v>0</v>
      </c>
      <c r="I20" s="99"/>
      <c r="J20" s="181"/>
      <c r="K20" s="189"/>
      <c r="L20" s="102"/>
      <c r="M20" s="103"/>
      <c r="N20" s="266"/>
      <c r="Q20" s="48"/>
    </row>
    <row r="21" spans="1:17" ht="15" customHeight="1" x14ac:dyDescent="0.3">
      <c r="A21" s="45"/>
      <c r="B21" s="45"/>
      <c r="C21" s="79"/>
      <c r="D21" s="80" t="s">
        <v>214</v>
      </c>
      <c r="E21" s="263" t="s">
        <v>686</v>
      </c>
      <c r="F21" s="256"/>
      <c r="G21" s="256"/>
      <c r="H21" s="256"/>
      <c r="I21" s="104"/>
      <c r="J21" s="179"/>
      <c r="K21" s="187"/>
      <c r="L21" s="106"/>
      <c r="M21" s="107"/>
      <c r="N21" s="264"/>
      <c r="Q21" s="48"/>
    </row>
    <row r="22" spans="1:17" ht="14.25" customHeight="1" x14ac:dyDescent="0.3">
      <c r="A22" s="45"/>
      <c r="B22" s="45"/>
      <c r="C22" s="86" t="s">
        <v>77</v>
      </c>
      <c r="D22" s="87" t="s">
        <v>504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80">
        <f>SUMIF(ARM_IRON_LT1_ES[Linha de serviço PPU], D21, ARM_IRON_LT1_ES[QUA])</f>
        <v>0</v>
      </c>
      <c r="K22" s="188">
        <f>J22*N5</f>
        <v>0</v>
      </c>
      <c r="L22" s="92">
        <f>VLOOKUP(D21,PPU_IRON_LT1[[Linha de Serviço]:[P. Unitário (R$)]],4,0)</f>
        <v>56.11</v>
      </c>
      <c r="M22" s="93">
        <f>K22*L22</f>
        <v>0</v>
      </c>
      <c r="N22" s="265"/>
      <c r="Q22" s="48"/>
    </row>
    <row r="23" spans="1:17" ht="14.25" customHeight="1" x14ac:dyDescent="0.3">
      <c r="A23" s="45"/>
      <c r="B23" s="45"/>
      <c r="C23" s="87"/>
      <c r="D23" s="95">
        <f>SUMIF(  ARM_IRON_LT1_ES[Linha de serviço PPU], D21, ARM_IRON_LT1_ES[QUAm-1])</f>
        <v>0</v>
      </c>
      <c r="E23" s="96">
        <f>SUMIF(  ARM_IRON_LT1_ES[Linha de serviço PPU], D21, ARM_IRON_LT1_ES[QBm])</f>
        <v>0</v>
      </c>
      <c r="F23" s="96">
        <f>SUMIF(  ARM_IRON_LT1_ES[Linha de serviço PPU], D21, ARM_IRON_LT1_ES[QDm])</f>
        <v>0</v>
      </c>
      <c r="G23" s="97">
        <f>SUMIF(  ARM_IRON_LT1_ES[Linha de serviço PPU], D21, ARM_IRON_LT1_ES[QNm])</f>
        <v>0</v>
      </c>
      <c r="H23" s="98">
        <f>(D23-E23-F23)+G23</f>
        <v>0</v>
      </c>
      <c r="I23" s="99"/>
      <c r="J23" s="181"/>
      <c r="K23" s="189"/>
      <c r="L23" s="102"/>
      <c r="M23" s="103"/>
      <c r="N23" s="266"/>
      <c r="Q23" s="48"/>
    </row>
    <row r="24" spans="1:17" ht="15" customHeight="1" x14ac:dyDescent="0.3">
      <c r="A24" s="45"/>
      <c r="B24" s="45"/>
      <c r="C24" s="79"/>
      <c r="D24" s="80" t="s">
        <v>215</v>
      </c>
      <c r="E24" s="263" t="s">
        <v>687</v>
      </c>
      <c r="F24" s="256"/>
      <c r="G24" s="256"/>
      <c r="H24" s="256"/>
      <c r="I24" s="104"/>
      <c r="J24" s="179"/>
      <c r="K24" s="187"/>
      <c r="L24" s="106"/>
      <c r="M24" s="107"/>
      <c r="N24" s="264"/>
      <c r="Q24" s="48"/>
    </row>
    <row r="25" spans="1:17" ht="14.25" customHeight="1" x14ac:dyDescent="0.3">
      <c r="A25" s="45"/>
      <c r="B25" s="45"/>
      <c r="C25" s="86" t="s">
        <v>84</v>
      </c>
      <c r="D25" s="87" t="s">
        <v>504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80">
        <f>SUMIF(ARM_IRON_LT1_ES[Linha de serviço PPU], D24, ARM_IRON_LT1_ES[QUA])</f>
        <v>0</v>
      </c>
      <c r="K25" s="188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65"/>
      <c r="Q25" s="48"/>
    </row>
    <row r="26" spans="1:17" ht="14.25" customHeight="1" x14ac:dyDescent="0.3">
      <c r="A26" s="45"/>
      <c r="B26" s="45"/>
      <c r="C26" s="87"/>
      <c r="D26" s="95">
        <f>SUMIF(  ARM_IRON_LT1_ES[Linha de serviço PPU], D24, ARM_IRON_LT1_ES[QUAm-1])</f>
        <v>0</v>
      </c>
      <c r="E26" s="96">
        <f>SUMIF(  ARM_IRON_LT1_ES[Linha de serviço PPU], D24, ARM_IRON_LT1_ES[QBm])</f>
        <v>0</v>
      </c>
      <c r="F26" s="96">
        <f>SUMIF(  ARM_IRON_LT1_ES[Linha de serviço PPU], D24, ARM_IRON_LT1_ES[QDm])</f>
        <v>0</v>
      </c>
      <c r="G26" s="97">
        <f>SUMIF(  ARM_IRON_LT1_ES[Linha de serviço PPU], D24, ARM_IRON_LT1_ES[QNm])</f>
        <v>0</v>
      </c>
      <c r="H26" s="98">
        <f>(D26-E26-F26)+G26</f>
        <v>0</v>
      </c>
      <c r="I26" s="99"/>
      <c r="J26" s="181"/>
      <c r="K26" s="189"/>
      <c r="L26" s="102"/>
      <c r="M26" s="103"/>
      <c r="N26" s="266"/>
      <c r="Q26" s="48"/>
    </row>
    <row r="27" spans="1:17" ht="15" customHeight="1" x14ac:dyDescent="0.3">
      <c r="A27" s="45"/>
      <c r="B27" s="45"/>
      <c r="C27" s="79"/>
      <c r="D27" s="80" t="s">
        <v>216</v>
      </c>
      <c r="E27" s="263" t="s">
        <v>688</v>
      </c>
      <c r="F27" s="256"/>
      <c r="G27" s="256"/>
      <c r="H27" s="256"/>
      <c r="I27" s="110"/>
      <c r="J27" s="180"/>
      <c r="K27" s="188"/>
      <c r="L27" s="92"/>
      <c r="M27" s="93"/>
      <c r="N27" s="264"/>
      <c r="Q27" s="48"/>
    </row>
    <row r="28" spans="1:17" ht="14.25" customHeight="1" x14ac:dyDescent="0.3">
      <c r="A28" s="45"/>
      <c r="B28" s="45"/>
      <c r="C28" s="86" t="s">
        <v>87</v>
      </c>
      <c r="D28" s="87" t="s">
        <v>504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80">
        <f>SUMIF(ARM_IRON_LT1_ES[Linha de serviço PPU], D27, ARM_IRON_LT1_ES[QUA])</f>
        <v>0</v>
      </c>
      <c r="K28" s="188">
        <f>J28*N5</f>
        <v>0</v>
      </c>
      <c r="L28" s="92">
        <f>VLOOKUP(D27,PPU_IRON_LT1[[Linha de Serviço]:[P. Unitário (R$)]],4,0)</f>
        <v>0.08</v>
      </c>
      <c r="M28" s="93">
        <f>K28*L28</f>
        <v>0</v>
      </c>
      <c r="N28" s="265"/>
      <c r="Q28" s="48"/>
    </row>
    <row r="29" spans="1:17" ht="14.25" customHeight="1" x14ac:dyDescent="0.3">
      <c r="A29" s="45"/>
      <c r="B29" s="45"/>
      <c r="C29" s="87"/>
      <c r="D29" s="95">
        <f>SUMIF(  ARM_IRON_LT1_ES[Linha de serviço PPU], D27, ARM_IRON_LT1_ES[QUAm-1])</f>
        <v>0</v>
      </c>
      <c r="E29" s="96">
        <f>SUMIF(  ARM_IRON_LT1_ES[Linha de serviço PPU], D27, ARM_IRON_LT1_ES[QBm])</f>
        <v>0</v>
      </c>
      <c r="F29" s="96">
        <f>SUMIF(  ARM_IRON_LT1_ES[Linha de serviço PPU], D27, ARM_IRON_LT1_ES[QDm])</f>
        <v>0</v>
      </c>
      <c r="G29" s="97">
        <f>SUMIF(  ARM_IRON_LT1_ES[Linha de serviço PPU], D27, ARM_IRON_LT1_ES[QNm])</f>
        <v>0</v>
      </c>
      <c r="H29" s="98">
        <f>(D29-E29-F29)+G29</f>
        <v>0</v>
      </c>
      <c r="I29" s="99"/>
      <c r="J29" s="180"/>
      <c r="K29" s="189"/>
      <c r="L29" s="92"/>
      <c r="M29" s="93"/>
      <c r="N29" s="266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67" t="s">
        <v>689</v>
      </c>
      <c r="F30" s="267"/>
      <c r="G30" s="267"/>
      <c r="H30" s="268"/>
      <c r="I30" s="162" t="s">
        <v>90</v>
      </c>
      <c r="J30" s="182">
        <f>SUMIF( DADOS_IRON_LT1_ES[Linha de serviço PPU], D30, DADOS_IRON_LT1_ES[QExecAgrupado])</f>
        <v>2</v>
      </c>
      <c r="K30" s="181">
        <f>J30*N5</f>
        <v>1.9</v>
      </c>
      <c r="L30" s="160">
        <f>VLOOKUP(D30,PPU_IRON_LT1[[Linha de Serviço]:[P. Unitário (R$)]],4,0)</f>
        <v>125.89</v>
      </c>
      <c r="M30" s="225">
        <f>K30*L30</f>
        <v>239.191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6" t="s">
        <v>690</v>
      </c>
      <c r="F31" s="256"/>
      <c r="G31" s="256"/>
      <c r="H31" s="256"/>
      <c r="I31" s="163" t="s">
        <v>90</v>
      </c>
      <c r="J31" s="182">
        <f>SUMIF( DADOS_IRON_LT1_ES[Linha de serviço PPU], D31, DADOS_IRON_LT1_ES[QExecAgrupado])</f>
        <v>0</v>
      </c>
      <c r="K31" s="181">
        <f>J31*N5</f>
        <v>0</v>
      </c>
      <c r="L31" s="160">
        <f>VLOOKUP(D31,PPU_IRON_LT1[[Linha de Serviço]:[P. Unitário (R$)]],4,0)</f>
        <v>200</v>
      </c>
      <c r="M31" s="225">
        <f t="shared" ref="M31:M35" si="0">K31*L31</f>
        <v>0</v>
      </c>
      <c r="N31" s="115"/>
      <c r="Q31" s="48"/>
    </row>
    <row r="32" spans="1:17" ht="15" customHeight="1" x14ac:dyDescent="0.3">
      <c r="A32" s="45"/>
      <c r="B32" s="45"/>
      <c r="C32" s="116" t="s">
        <v>649</v>
      </c>
      <c r="D32" s="80" t="s">
        <v>691</v>
      </c>
      <c r="E32" s="256" t="s">
        <v>692</v>
      </c>
      <c r="F32" s="256"/>
      <c r="G32" s="256"/>
      <c r="H32" s="256"/>
      <c r="I32" s="163" t="s">
        <v>650</v>
      </c>
      <c r="J32" s="182">
        <f>SUM(DADOS_IRON_LT1_ES[KM Adicional])</f>
        <v>0</v>
      </c>
      <c r="K32" s="181">
        <f>J32*N5</f>
        <v>0</v>
      </c>
      <c r="L32" s="160">
        <f>VLOOKUP(D32,PPU_IRON_LT1[[Linha de Serviço]:[P. Unitário (R$)]],4,0)</f>
        <v>0.5</v>
      </c>
      <c r="M32" s="225">
        <f t="shared" si="0"/>
        <v>0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57" t="s">
        <v>13</v>
      </c>
      <c r="F33" s="258"/>
      <c r="G33" s="258"/>
      <c r="H33" s="259"/>
      <c r="I33" s="163" t="s">
        <v>651</v>
      </c>
      <c r="J33" s="182">
        <f>SUMIF( DADOS_IRON_LT1_ES[Linha de serviço PPU], D33, DADOS_IRON_LT1_ES[QExecAgrupado])</f>
        <v>0</v>
      </c>
      <c r="K33" s="181">
        <f>J33*N5</f>
        <v>0</v>
      </c>
      <c r="L33" s="160">
        <f>VLOOKUP(D33,PPU_IRON_LT1[[Linha de Serviço]:[P. Unitário (R$)]],4,0)</f>
        <v>1.96</v>
      </c>
      <c r="M33" s="225">
        <f t="shared" si="0"/>
        <v>0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57" t="s">
        <v>15</v>
      </c>
      <c r="F34" s="258"/>
      <c r="G34" s="258"/>
      <c r="H34" s="259"/>
      <c r="I34" s="163" t="s">
        <v>651</v>
      </c>
      <c r="J34" s="182">
        <f>SUMIF( DADOS_IRON_LT1_ES[Linha de serviço PPU], D34, DADOS_IRON_LT1_ES[QExecAgrupado])</f>
        <v>0</v>
      </c>
      <c r="K34" s="181">
        <f>J34*N5</f>
        <v>0</v>
      </c>
      <c r="L34" s="160">
        <f>VLOOKUP(D34,PPU_IRON_LT1[[Linha de Serviço]:[P. Unitário (R$)]],4,0)</f>
        <v>1.35</v>
      </c>
      <c r="M34" s="225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57" t="s">
        <v>693</v>
      </c>
      <c r="F35" s="258"/>
      <c r="G35" s="258"/>
      <c r="H35" s="259"/>
      <c r="I35" s="163" t="s">
        <v>108</v>
      </c>
      <c r="J35" s="182">
        <f>SUMIF( DADOS_IRON_LT1_ES[Linha de serviço PPU], D35, DADOS_IRON_LT1_ES[QExecAgrupado])</f>
        <v>0</v>
      </c>
      <c r="K35" s="181">
        <f>J35*N5</f>
        <v>0</v>
      </c>
      <c r="L35" s="160">
        <f>VLOOKUP(D35,PPU_IRON_LT1[[Linha de Serviço]:[P. Unitário (R$)]],4,0)</f>
        <v>594488.34</v>
      </c>
      <c r="M35" s="225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57" t="s">
        <v>694</v>
      </c>
      <c r="F36" s="258"/>
      <c r="G36" s="258"/>
      <c r="H36" s="259"/>
      <c r="I36" s="163" t="s">
        <v>67</v>
      </c>
      <c r="J36" s="182">
        <f>SUMIF( DADOS_IRON_LT1_ES[Linha de serviço PPU], D36, DADOS_IRON_LT1_ES[QExecAgrupado])</f>
        <v>0</v>
      </c>
      <c r="K36" s="181">
        <f>J36*N5</f>
        <v>0</v>
      </c>
      <c r="L36" s="160">
        <f>VLOOKUP(D36,PPU_IRON_LT1[[Linha de Serviço]:[P. Unitário (R$)]],4,0)</f>
        <v>1.01</v>
      </c>
      <c r="M36" s="225">
        <f>K36*L36</f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0" t="s">
        <v>652</v>
      </c>
      <c r="E37" s="261"/>
      <c r="F37" s="261"/>
      <c r="G37" s="261"/>
      <c r="H37" s="261"/>
      <c r="I37" s="119"/>
      <c r="J37" s="183"/>
      <c r="K37" s="183"/>
      <c r="L37" s="161"/>
      <c r="M37" s="226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6" t="s">
        <v>695</v>
      </c>
      <c r="F38" s="256"/>
      <c r="G38" s="256"/>
      <c r="H38" s="256"/>
      <c r="I38" s="163" t="s">
        <v>696</v>
      </c>
      <c r="J38" s="182">
        <f>SUMIF( DADOS_IRON_LT1_ES[Linha de serviço PPU], D38, DADOS_IRON_LT1_ES[QExec])</f>
        <v>18</v>
      </c>
      <c r="K38" s="190">
        <f>J38*N7</f>
        <v>17.28</v>
      </c>
      <c r="L38" s="160">
        <f>VLOOKUP(D38,PPU_IRON_LT1[[Linha de Serviço]:[P. Unitário (R$)]],4,0)</f>
        <v>0.44</v>
      </c>
      <c r="M38" s="225">
        <f>K38*L38</f>
        <v>7.6032000000000002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62" t="s">
        <v>697</v>
      </c>
      <c r="F39" s="262"/>
      <c r="G39" s="262"/>
      <c r="H39" s="262"/>
      <c r="I39" s="163" t="s">
        <v>67</v>
      </c>
      <c r="J39" s="182">
        <f>SUMIF( DADOS_IRON_LT1_ES[Linha de serviço PPU], D39, DADOS_IRON_LT1_ES[QExec])</f>
        <v>0</v>
      </c>
      <c r="K39" s="190">
        <f>J39*N7</f>
        <v>0</v>
      </c>
      <c r="L39" s="160">
        <f>VLOOKUP(D39,PPU_IRON_LT1[[Linha de Serviço]:[P. Unitário (R$)]],4,0)</f>
        <v>1.44</v>
      </c>
      <c r="M39" s="225">
        <f t="shared" ref="M39:M47" si="1">K39*L39</f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6" t="s">
        <v>698</v>
      </c>
      <c r="F40" s="256"/>
      <c r="G40" s="256"/>
      <c r="H40" s="256"/>
      <c r="I40" s="163" t="s">
        <v>122</v>
      </c>
      <c r="J40" s="182">
        <f>SUMIF( DADOS_IRON_LT1_ES[Linha de serviço PPU], D40, DADOS_IRON_LT1_ES[QExec])</f>
        <v>0</v>
      </c>
      <c r="K40" s="190">
        <f>J40*N7</f>
        <v>0</v>
      </c>
      <c r="L40" s="160">
        <f>VLOOKUP(D40,PPU_IRON_LT1[[Linha de Serviço]:[P. Unitário (R$)]],4,0)</f>
        <v>0.05</v>
      </c>
      <c r="M40" s="225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6" t="s">
        <v>699</v>
      </c>
      <c r="F41" s="256"/>
      <c r="G41" s="256"/>
      <c r="H41" s="256"/>
      <c r="I41" s="163" t="s">
        <v>122</v>
      </c>
      <c r="J41" s="182">
        <f>SUMIF( DADOS_IRON_LT1_ES[Linha de serviço PPU], D41, DADOS_IRON_LT1_ES[QExec])</f>
        <v>0</v>
      </c>
      <c r="K41" s="190">
        <f>J41*N7</f>
        <v>0</v>
      </c>
      <c r="L41" s="160">
        <f>VLOOKUP(D41,PPU_IRON_LT1[[Linha de Serviço]:[P. Unitário (R$)]],4,0)</f>
        <v>0.06</v>
      </c>
      <c r="M41" s="225">
        <f t="shared" si="1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6" t="s">
        <v>24</v>
      </c>
      <c r="F42" s="256"/>
      <c r="G42" s="256"/>
      <c r="H42" s="256"/>
      <c r="I42" s="163" t="s">
        <v>122</v>
      </c>
      <c r="J42" s="182">
        <f>SUMIF( DADOS_IRON_LT1_ES[Linha de serviço PPU], D42, DADOS_IRON_LT1_ES[QExec])</f>
        <v>288</v>
      </c>
      <c r="K42" s="190">
        <f>J42*N7</f>
        <v>276.48</v>
      </c>
      <c r="L42" s="160">
        <f>VLOOKUP(D42,PPU_IRON_LT1[[Linha de Serviço]:[P. Unitário (R$)]],4,0)</f>
        <v>0.1</v>
      </c>
      <c r="M42" s="225">
        <f t="shared" si="1"/>
        <v>27.648000000000003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6" t="s">
        <v>700</v>
      </c>
      <c r="F43" s="256"/>
      <c r="G43" s="256"/>
      <c r="H43" s="256"/>
      <c r="I43" s="163" t="s">
        <v>701</v>
      </c>
      <c r="J43" s="182">
        <f>SUMIF( DADOS_IRON_LT1_ES[Linha de serviço PPU], D43, DADOS_IRON_LT1_ES[QExec])</f>
        <v>1.8</v>
      </c>
      <c r="K43" s="190">
        <f>J43*N7</f>
        <v>1.728</v>
      </c>
      <c r="L43" s="160">
        <f>VLOOKUP(D43,PPU_IRON_LT1[[Linha de Serviço]:[P. Unitário (R$)]],4,0)</f>
        <v>0.23</v>
      </c>
      <c r="M43" s="225">
        <f t="shared" si="1"/>
        <v>0.39744000000000002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6" t="s">
        <v>28</v>
      </c>
      <c r="F44" s="256"/>
      <c r="G44" s="256"/>
      <c r="H44" s="256"/>
      <c r="I44" s="163" t="s">
        <v>92</v>
      </c>
      <c r="J44" s="182">
        <f>SUMIF( DADOS_IRON_LT1_ES[Linha de serviço PPU], D44, DADOS_IRON_LT1_ES[QExec])</f>
        <v>0</v>
      </c>
      <c r="K44" s="190">
        <f>J44*N7</f>
        <v>0</v>
      </c>
      <c r="L44" s="160">
        <f>VLOOKUP(D44,PPU_IRON_LT1[[Linha de Serviço]:[P. Unitário (R$)]],4,0)</f>
        <v>68.27</v>
      </c>
      <c r="M44" s="225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6" t="s">
        <v>30</v>
      </c>
      <c r="F45" s="256"/>
      <c r="G45" s="256"/>
      <c r="H45" s="256"/>
      <c r="I45" s="163" t="s">
        <v>92</v>
      </c>
      <c r="J45" s="182">
        <f>SUMIF( DADOS_IRON_LT1_ES[Linha de serviço PPU], D45, DADOS_IRON_LT1_ES[QExec])</f>
        <v>0</v>
      </c>
      <c r="K45" s="190">
        <f>J45*N7</f>
        <v>0</v>
      </c>
      <c r="L45" s="160">
        <f>VLOOKUP(D45,PPU_IRON_LT1[[Linha de Serviço]:[P. Unitário (R$)]],4,0)</f>
        <v>39</v>
      </c>
      <c r="M45" s="225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6" t="s">
        <v>32</v>
      </c>
      <c r="F46" s="256"/>
      <c r="G46" s="256"/>
      <c r="H46" s="256"/>
      <c r="I46" s="163" t="s">
        <v>92</v>
      </c>
      <c r="J46" s="182">
        <f>SUMIF( DADOS_IRON_LT1_ES[Linha de serviço PPU], D46, DADOS_IRON_LT1_ES[QExec])</f>
        <v>0</v>
      </c>
      <c r="K46" s="190">
        <f>J46*N7</f>
        <v>0</v>
      </c>
      <c r="L46" s="160">
        <f>VLOOKUP(D46,PPU_IRON_LT1[[Linha de Serviço]:[P. Unitário (R$)]],4,0)</f>
        <v>11.72</v>
      </c>
      <c r="M46" s="225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6" t="s">
        <v>34</v>
      </c>
      <c r="F47" s="256"/>
      <c r="G47" s="256"/>
      <c r="H47" s="256"/>
      <c r="I47" s="163" t="s">
        <v>92</v>
      </c>
      <c r="J47" s="182">
        <f>SUMIF( DADOS_IRON_LT1_ES[Linha de serviço PPU], D47, DADOS_IRON_LT1_ES[QExec])</f>
        <v>0</v>
      </c>
      <c r="K47" s="190">
        <f>J47*N7</f>
        <v>0</v>
      </c>
      <c r="L47" s="160">
        <f>VLOOKUP(D47,PPU_IRON_LT1[[Linha de Serviço]:[P. Unitário (R$)]],4,0)</f>
        <v>2.44</v>
      </c>
      <c r="M47" s="225">
        <f t="shared" si="1"/>
        <v>0</v>
      </c>
      <c r="N47" s="115"/>
      <c r="Q47" s="48"/>
    </row>
    <row r="48" spans="1:17" ht="30" customHeight="1" x14ac:dyDescent="0.3">
      <c r="A48" s="45"/>
      <c r="B48" s="45"/>
      <c r="C48" s="249" t="s">
        <v>653</v>
      </c>
      <c r="D48" s="250"/>
      <c r="E48" s="250"/>
      <c r="F48" s="250"/>
      <c r="G48" s="250"/>
      <c r="H48" s="250"/>
      <c r="I48" s="248"/>
      <c r="J48" s="184"/>
      <c r="K48" s="184"/>
      <c r="L48" s="123"/>
      <c r="M48" s="124">
        <f>SUM(M12:M47)</f>
        <v>8920.0296399999988</v>
      </c>
      <c r="N48" s="115"/>
      <c r="Q48" s="48"/>
    </row>
    <row r="49" spans="1:17" ht="14.25" customHeight="1" x14ac:dyDescent="0.3">
      <c r="A49" s="45"/>
      <c r="B49" s="45"/>
      <c r="C49" s="251" t="s">
        <v>654</v>
      </c>
      <c r="D49" s="252"/>
      <c r="E49" s="252"/>
      <c r="F49" s="252"/>
      <c r="G49" s="252"/>
      <c r="H49" s="252"/>
      <c r="I49" s="248"/>
      <c r="J49" s="253" t="s">
        <v>655</v>
      </c>
      <c r="K49" s="252"/>
      <c r="L49" s="252"/>
      <c r="M49" s="252"/>
      <c r="N49" s="248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53" t="s">
        <v>702</v>
      </c>
      <c r="K50" s="252"/>
      <c r="L50" s="252"/>
      <c r="M50" s="252"/>
      <c r="N50" s="248"/>
      <c r="Q50" s="48"/>
    </row>
    <row r="51" spans="1:17" ht="16.5" customHeight="1" x14ac:dyDescent="0.3">
      <c r="A51" s="45"/>
      <c r="B51" s="45"/>
      <c r="C51" s="254" t="s">
        <v>656</v>
      </c>
      <c r="D51" s="252"/>
      <c r="E51" s="252"/>
      <c r="F51" s="252"/>
      <c r="G51" s="252"/>
      <c r="H51" s="252"/>
      <c r="I51" s="252"/>
      <c r="J51" s="252"/>
      <c r="K51" s="252"/>
      <c r="L51" s="252"/>
      <c r="M51" s="252"/>
      <c r="N51" s="248"/>
      <c r="Q51" s="48"/>
    </row>
    <row r="52" spans="1:17" ht="60" customHeight="1" x14ac:dyDescent="0.3">
      <c r="A52" s="45"/>
      <c r="B52" s="45"/>
      <c r="C52" s="255"/>
      <c r="D52" s="252"/>
      <c r="E52" s="252"/>
      <c r="F52" s="252"/>
      <c r="G52" s="252"/>
      <c r="H52" s="252"/>
      <c r="I52" s="252"/>
      <c r="J52" s="252"/>
      <c r="K52" s="252"/>
      <c r="L52" s="252"/>
      <c r="M52" s="252"/>
      <c r="N52" s="248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172"/>
      <c r="K53" s="172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657</v>
      </c>
      <c r="E54" s="67" t="s">
        <v>658</v>
      </c>
      <c r="F54" s="67" t="s">
        <v>659</v>
      </c>
      <c r="G54" s="67" t="s">
        <v>660</v>
      </c>
      <c r="H54" s="67"/>
      <c r="I54" s="67" t="s">
        <v>661</v>
      </c>
      <c r="J54" s="247" t="s">
        <v>662</v>
      </c>
      <c r="K54" s="248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172"/>
      <c r="K55" s="172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172"/>
      <c r="K56" s="172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172"/>
      <c r="K57" s="172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172"/>
      <c r="K58" s="172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172"/>
      <c r="K59" s="172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172"/>
      <c r="K60" s="172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172"/>
      <c r="K61" s="172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172"/>
      <c r="K62" s="172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172"/>
      <c r="K63" s="172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172"/>
      <c r="K64" s="172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172"/>
      <c r="K65" s="172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172"/>
      <c r="K66" s="172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172"/>
      <c r="K67" s="172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172"/>
      <c r="K68" s="172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172"/>
      <c r="K69" s="172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172"/>
      <c r="K70" s="172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172"/>
      <c r="K71" s="172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172"/>
      <c r="K72" s="172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172"/>
      <c r="K73" s="172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172"/>
      <c r="K74" s="172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172"/>
      <c r="K75" s="172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172"/>
      <c r="K76" s="172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172"/>
      <c r="K77" s="172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172"/>
      <c r="K78" s="172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172"/>
      <c r="K79" s="172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172"/>
      <c r="K80" s="172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172"/>
      <c r="K81" s="172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172"/>
      <c r="K82" s="172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172"/>
      <c r="K83" s="172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172"/>
      <c r="K84" s="172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172"/>
      <c r="K85" s="172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172"/>
      <c r="K86" s="172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172"/>
      <c r="K87" s="172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172"/>
      <c r="K88" s="172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172"/>
      <c r="K89" s="172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172"/>
      <c r="K90" s="172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172"/>
      <c r="K91" s="172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172"/>
      <c r="K92" s="172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172"/>
      <c r="K93" s="172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172"/>
      <c r="K94" s="172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172"/>
      <c r="K95" s="172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172"/>
      <c r="K96" s="172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172"/>
      <c r="K97" s="172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172"/>
      <c r="K98" s="172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172"/>
      <c r="K99" s="172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172"/>
      <c r="K100" s="172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172"/>
      <c r="K101" s="172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172"/>
      <c r="K102" s="172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172"/>
      <c r="K103" s="172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172"/>
      <c r="K104" s="172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172"/>
      <c r="K105" s="172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172"/>
      <c r="K106" s="172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172"/>
      <c r="K107" s="172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172"/>
      <c r="K108" s="172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172"/>
      <c r="K109" s="172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172"/>
      <c r="K110" s="172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172"/>
      <c r="K111" s="172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172"/>
      <c r="K112" s="172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172"/>
      <c r="K113" s="172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172"/>
      <c r="K114" s="172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172"/>
      <c r="K115" s="172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172"/>
      <c r="K116" s="172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172"/>
      <c r="K117" s="172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172"/>
      <c r="K118" s="172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172"/>
      <c r="K119" s="172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172"/>
      <c r="K120" s="172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172"/>
      <c r="K121" s="172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172"/>
      <c r="K122" s="172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172"/>
      <c r="K123" s="172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172"/>
      <c r="K124" s="172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172"/>
      <c r="K125" s="172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172"/>
      <c r="K126" s="172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172"/>
      <c r="K127" s="172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172"/>
      <c r="K128" s="172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172"/>
      <c r="K129" s="172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172"/>
      <c r="K130" s="172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172"/>
      <c r="K131" s="172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172"/>
      <c r="K132" s="172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172"/>
      <c r="K133" s="172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172"/>
      <c r="K134" s="172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172"/>
      <c r="K135" s="172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172"/>
      <c r="K136" s="172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172"/>
      <c r="K137" s="172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172"/>
      <c r="K138" s="172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172"/>
      <c r="K139" s="172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172"/>
      <c r="K140" s="172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172"/>
      <c r="K141" s="172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172"/>
      <c r="K142" s="172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172"/>
      <c r="K143" s="172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172"/>
      <c r="K144" s="172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172"/>
      <c r="K145" s="172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172"/>
      <c r="K146" s="172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172"/>
      <c r="K147" s="172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172"/>
      <c r="K148" s="172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172"/>
      <c r="K149" s="172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172"/>
      <c r="K150" s="172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172"/>
      <c r="K151" s="172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172"/>
      <c r="K152" s="172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172"/>
      <c r="K153" s="172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172"/>
      <c r="K154" s="172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172"/>
      <c r="K155" s="172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172"/>
      <c r="K156" s="172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172"/>
      <c r="K157" s="172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172"/>
      <c r="K158" s="172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172"/>
      <c r="K159" s="172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172"/>
      <c r="K160" s="172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172"/>
      <c r="K161" s="172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172"/>
      <c r="K162" s="172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172"/>
      <c r="K163" s="172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172"/>
      <c r="K164" s="172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172"/>
      <c r="K165" s="172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172"/>
      <c r="K166" s="172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172"/>
      <c r="K167" s="172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172"/>
      <c r="K168" s="172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172"/>
      <c r="K169" s="172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172"/>
      <c r="K170" s="172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172"/>
      <c r="K171" s="172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172"/>
      <c r="K172" s="172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172"/>
      <c r="K173" s="172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172"/>
      <c r="K174" s="172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172"/>
      <c r="K175" s="172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172"/>
      <c r="K176" s="172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172"/>
      <c r="K177" s="172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172"/>
      <c r="K178" s="172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172"/>
      <c r="K179" s="172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172"/>
      <c r="K180" s="172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172"/>
      <c r="K181" s="172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172"/>
      <c r="K182" s="172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172"/>
      <c r="K183" s="172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172"/>
      <c r="K184" s="172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172"/>
      <c r="K185" s="172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172"/>
      <c r="K186" s="172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172"/>
      <c r="K187" s="172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172"/>
      <c r="K188" s="172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172"/>
      <c r="K189" s="172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172"/>
      <c r="K190" s="172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172"/>
      <c r="K191" s="172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172"/>
      <c r="K192" s="172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172"/>
      <c r="K193" s="172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172"/>
      <c r="K194" s="172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172"/>
      <c r="K195" s="172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172"/>
      <c r="K196" s="172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172"/>
      <c r="K197" s="172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172"/>
      <c r="K198" s="172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172"/>
      <c r="K199" s="172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172"/>
      <c r="K200" s="172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172"/>
      <c r="K201" s="172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172"/>
      <c r="K202" s="172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172"/>
      <c r="K203" s="172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172"/>
      <c r="K204" s="172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172"/>
      <c r="K205" s="172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172"/>
      <c r="K206" s="172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172"/>
      <c r="K207" s="172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172"/>
      <c r="K208" s="172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172"/>
      <c r="K209" s="172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172"/>
      <c r="K210" s="172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172"/>
      <c r="K211" s="172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172"/>
      <c r="K212" s="172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172"/>
      <c r="K213" s="172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172"/>
      <c r="K214" s="172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172"/>
      <c r="K215" s="172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172"/>
      <c r="K216" s="172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172"/>
      <c r="K217" s="172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172"/>
      <c r="K218" s="172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172"/>
      <c r="K219" s="172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172"/>
      <c r="K220" s="172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172"/>
      <c r="K221" s="172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172"/>
      <c r="K222" s="172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172"/>
      <c r="K223" s="172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172"/>
      <c r="K224" s="172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172"/>
      <c r="K225" s="172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172"/>
      <c r="K226" s="172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172"/>
      <c r="K227" s="172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172"/>
      <c r="K228" s="172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172"/>
      <c r="K229" s="172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172"/>
      <c r="K230" s="172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172"/>
      <c r="K231" s="172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172"/>
      <c r="K232" s="172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172"/>
      <c r="K233" s="172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172"/>
      <c r="K234" s="172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172"/>
      <c r="K235" s="172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172"/>
      <c r="K236" s="172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172"/>
      <c r="K237" s="172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172"/>
      <c r="K238" s="172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172"/>
      <c r="K239" s="172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172"/>
      <c r="K240" s="172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172"/>
      <c r="K241" s="172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172"/>
      <c r="K242" s="172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172"/>
      <c r="K243" s="172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172"/>
      <c r="K244" s="172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172"/>
      <c r="K245" s="172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172"/>
      <c r="K246" s="172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172"/>
      <c r="K247" s="172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172"/>
      <c r="K248" s="172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172"/>
      <c r="K249" s="172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172"/>
      <c r="K250" s="172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172"/>
      <c r="K251" s="172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172"/>
      <c r="K252" s="172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172"/>
      <c r="K253" s="172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172"/>
      <c r="K254" s="172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172"/>
      <c r="K255" s="172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172"/>
      <c r="K256" s="172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172"/>
      <c r="K257" s="172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172"/>
      <c r="K258" s="172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172"/>
      <c r="K259" s="172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172"/>
      <c r="K260" s="172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172"/>
      <c r="K261" s="172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172"/>
      <c r="K262" s="172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172"/>
      <c r="K263" s="172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172"/>
      <c r="K264" s="172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172"/>
      <c r="K265" s="172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172"/>
      <c r="K266" s="172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172"/>
      <c r="K267" s="172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172"/>
      <c r="K268" s="172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172"/>
      <c r="K269" s="172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172"/>
      <c r="K270" s="172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172"/>
      <c r="K271" s="172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172"/>
      <c r="K272" s="172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172"/>
      <c r="K273" s="172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172"/>
      <c r="K274" s="172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172"/>
      <c r="K275" s="172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172"/>
      <c r="K276" s="172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172"/>
      <c r="K277" s="172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172"/>
      <c r="K278" s="172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172"/>
      <c r="K279" s="172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172"/>
      <c r="K280" s="172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172"/>
      <c r="K281" s="172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172"/>
      <c r="K282" s="172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172"/>
      <c r="K283" s="172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172"/>
      <c r="K284" s="172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172"/>
      <c r="K285" s="172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172"/>
      <c r="K286" s="172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172"/>
      <c r="K287" s="172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172"/>
      <c r="K288" s="172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172"/>
      <c r="K289" s="172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172"/>
      <c r="K290" s="172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172"/>
      <c r="K291" s="172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172"/>
      <c r="K292" s="172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172"/>
      <c r="K293" s="172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172"/>
      <c r="K294" s="172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172"/>
      <c r="K295" s="172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172"/>
      <c r="K296" s="172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172"/>
      <c r="K297" s="172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172"/>
      <c r="K298" s="172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172"/>
      <c r="K299" s="172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172"/>
      <c r="K300" s="172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172"/>
      <c r="K301" s="172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172"/>
      <c r="K302" s="172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172"/>
      <c r="K303" s="172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172"/>
      <c r="K304" s="172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172"/>
      <c r="K305" s="172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172"/>
      <c r="K306" s="172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172"/>
      <c r="K307" s="172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172"/>
      <c r="K308" s="172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172"/>
      <c r="K309" s="172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172"/>
      <c r="K310" s="172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172"/>
      <c r="K311" s="172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172"/>
      <c r="K312" s="172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172"/>
      <c r="K313" s="172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172"/>
      <c r="K314" s="172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172"/>
      <c r="K315" s="172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172"/>
      <c r="K316" s="172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172"/>
      <c r="K317" s="172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172"/>
      <c r="K318" s="172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172"/>
      <c r="K319" s="172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172"/>
      <c r="K320" s="172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172"/>
      <c r="K321" s="172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172"/>
      <c r="K322" s="172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172"/>
      <c r="K323" s="172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172"/>
      <c r="K324" s="172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172"/>
      <c r="K325" s="172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172"/>
      <c r="K326" s="172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172"/>
      <c r="K327" s="172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172"/>
      <c r="K328" s="172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172"/>
      <c r="K329" s="172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172"/>
      <c r="K330" s="172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172"/>
      <c r="K331" s="172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172"/>
      <c r="K332" s="172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172"/>
      <c r="K333" s="172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172"/>
      <c r="K334" s="172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172"/>
      <c r="K335" s="172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172"/>
      <c r="K336" s="172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172"/>
      <c r="K337" s="172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172"/>
      <c r="K338" s="172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172"/>
      <c r="K339" s="172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172"/>
      <c r="K340" s="172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172"/>
      <c r="K341" s="172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172"/>
      <c r="K342" s="172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172"/>
      <c r="K343" s="172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172"/>
      <c r="K344" s="172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172"/>
      <c r="K345" s="172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172"/>
      <c r="K346" s="172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172"/>
      <c r="K347" s="172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172"/>
      <c r="K348" s="172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172"/>
      <c r="K349" s="172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172"/>
      <c r="K350" s="172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172"/>
      <c r="K351" s="172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172"/>
      <c r="K352" s="172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172"/>
      <c r="K353" s="172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172"/>
      <c r="K354" s="172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172"/>
      <c r="K355" s="172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172"/>
      <c r="K356" s="172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172"/>
      <c r="K357" s="172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172"/>
      <c r="K358" s="172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172"/>
      <c r="K359" s="172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172"/>
      <c r="K360" s="172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172"/>
      <c r="K361" s="172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172"/>
      <c r="K362" s="172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172"/>
      <c r="K363" s="172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172"/>
      <c r="K364" s="172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172"/>
      <c r="K365" s="172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172"/>
      <c r="K366" s="172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172"/>
      <c r="K367" s="172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172"/>
      <c r="K368" s="172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172"/>
      <c r="K369" s="172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172"/>
      <c r="K370" s="172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172"/>
      <c r="K371" s="172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172"/>
      <c r="K372" s="172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172"/>
      <c r="K373" s="172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172"/>
      <c r="K374" s="172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172"/>
      <c r="K375" s="172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172"/>
      <c r="K376" s="172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172"/>
      <c r="K377" s="172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172"/>
      <c r="K378" s="172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172"/>
      <c r="K379" s="172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172"/>
      <c r="K380" s="172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172"/>
      <c r="K381" s="172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172"/>
      <c r="K382" s="172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172"/>
      <c r="K383" s="172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172"/>
      <c r="K384" s="172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172"/>
      <c r="K385" s="172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172"/>
      <c r="K386" s="172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172"/>
      <c r="K387" s="172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172"/>
      <c r="K388" s="172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172"/>
      <c r="K389" s="172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172"/>
      <c r="K390" s="172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172"/>
      <c r="K391" s="172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172"/>
      <c r="K392" s="172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172"/>
      <c r="K393" s="172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172"/>
      <c r="K394" s="172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172"/>
      <c r="K395" s="172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172"/>
      <c r="K396" s="172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172"/>
      <c r="K397" s="172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172"/>
      <c r="K398" s="172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172"/>
      <c r="K399" s="172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172"/>
      <c r="K400" s="172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172"/>
      <c r="K401" s="172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172"/>
      <c r="K402" s="172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172"/>
      <c r="K403" s="172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172"/>
      <c r="K404" s="172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172"/>
      <c r="K405" s="172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172"/>
      <c r="K406" s="172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172"/>
      <c r="K407" s="172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172"/>
      <c r="K408" s="172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172"/>
      <c r="K409" s="172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172"/>
      <c r="K410" s="172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172"/>
      <c r="K411" s="172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172"/>
      <c r="K412" s="172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172"/>
      <c r="K413" s="172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172"/>
      <c r="K414" s="172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172"/>
      <c r="K415" s="172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172"/>
      <c r="K416" s="172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172"/>
      <c r="K417" s="172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172"/>
      <c r="K418" s="172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172"/>
      <c r="K419" s="172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172"/>
      <c r="K420" s="172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172"/>
      <c r="K421" s="172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172"/>
      <c r="K422" s="172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172"/>
      <c r="K423" s="172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172"/>
      <c r="K424" s="172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172"/>
      <c r="K425" s="172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172"/>
      <c r="K426" s="172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172"/>
      <c r="K427" s="172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172"/>
      <c r="K428" s="172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172"/>
      <c r="K429" s="172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172"/>
      <c r="K430" s="172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172"/>
      <c r="K431" s="172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172"/>
      <c r="K432" s="172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172"/>
      <c r="K433" s="172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172"/>
      <c r="K434" s="172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172"/>
      <c r="K435" s="172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172"/>
      <c r="K436" s="172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172"/>
      <c r="K437" s="172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172"/>
      <c r="K438" s="172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172"/>
      <c r="K439" s="172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172"/>
      <c r="K440" s="172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172"/>
      <c r="K441" s="172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172"/>
      <c r="K442" s="172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172"/>
      <c r="K443" s="172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172"/>
      <c r="K444" s="172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172"/>
      <c r="K445" s="172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172"/>
      <c r="K446" s="172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172"/>
      <c r="K447" s="172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172"/>
      <c r="K448" s="172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172"/>
      <c r="K449" s="172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172"/>
      <c r="K450" s="172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172"/>
      <c r="K451" s="172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172"/>
      <c r="K452" s="172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172"/>
      <c r="K453" s="172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172"/>
      <c r="K454" s="172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172"/>
      <c r="K455" s="172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172"/>
      <c r="K456" s="172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172"/>
      <c r="K457" s="172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172"/>
      <c r="K458" s="172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172"/>
      <c r="K459" s="172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172"/>
      <c r="K460" s="172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172"/>
      <c r="K461" s="172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172"/>
      <c r="K462" s="172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172"/>
      <c r="K463" s="172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172"/>
      <c r="K464" s="172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172"/>
      <c r="K465" s="172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172"/>
      <c r="K466" s="172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172"/>
      <c r="K467" s="172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172"/>
      <c r="K468" s="172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172"/>
      <c r="K469" s="172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172"/>
      <c r="K470" s="172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172"/>
      <c r="K471" s="172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172"/>
      <c r="K472" s="172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172"/>
      <c r="K473" s="172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172"/>
      <c r="K474" s="172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172"/>
      <c r="K475" s="172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172"/>
      <c r="K476" s="172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172"/>
      <c r="K477" s="172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172"/>
      <c r="K478" s="172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172"/>
      <c r="K479" s="172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172"/>
      <c r="K480" s="172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172"/>
      <c r="K481" s="172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172"/>
      <c r="K482" s="172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172"/>
      <c r="K483" s="172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172"/>
      <c r="K484" s="172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172"/>
      <c r="K485" s="172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172"/>
      <c r="K486" s="172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172"/>
      <c r="K487" s="172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172"/>
      <c r="K488" s="172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172"/>
      <c r="K489" s="172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172"/>
      <c r="K490" s="172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172"/>
      <c r="K491" s="172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172"/>
      <c r="K492" s="172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172"/>
      <c r="K493" s="172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172"/>
      <c r="K494" s="172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172"/>
      <c r="K495" s="172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172"/>
      <c r="K496" s="172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172"/>
      <c r="K497" s="172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172"/>
      <c r="K498" s="172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172"/>
      <c r="K499" s="172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172"/>
      <c r="K500" s="172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172"/>
      <c r="K501" s="172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172"/>
      <c r="K502" s="172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172"/>
      <c r="K503" s="172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172"/>
      <c r="K504" s="172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172"/>
      <c r="K505" s="172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172"/>
      <c r="K506" s="172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172"/>
      <c r="K507" s="172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172"/>
      <c r="K508" s="172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172"/>
      <c r="K509" s="172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172"/>
      <c r="K510" s="172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172"/>
      <c r="K511" s="172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172"/>
      <c r="K512" s="172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172"/>
      <c r="K513" s="172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172"/>
      <c r="K514" s="172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172"/>
      <c r="K515" s="172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172"/>
      <c r="K516" s="172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172"/>
      <c r="K517" s="172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172"/>
      <c r="K518" s="172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172"/>
      <c r="K519" s="172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172"/>
      <c r="K520" s="172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172"/>
      <c r="K521" s="172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172"/>
      <c r="K522" s="172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172"/>
      <c r="K523" s="172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172"/>
      <c r="K524" s="172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172"/>
      <c r="K525" s="172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172"/>
      <c r="K526" s="172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172"/>
      <c r="K527" s="172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172"/>
      <c r="K528" s="172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172"/>
      <c r="K529" s="172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172"/>
      <c r="K530" s="172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172"/>
      <c r="K531" s="172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172"/>
      <c r="K532" s="172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172"/>
      <c r="K533" s="172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172"/>
      <c r="K534" s="172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172"/>
      <c r="K535" s="172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172"/>
      <c r="K536" s="172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172"/>
      <c r="K537" s="172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172"/>
      <c r="K538" s="172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172"/>
      <c r="K539" s="172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172"/>
      <c r="K540" s="172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172"/>
      <c r="K541" s="172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172"/>
      <c r="K542" s="172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172"/>
      <c r="K543" s="172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172"/>
      <c r="K544" s="172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172"/>
      <c r="K545" s="172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172"/>
      <c r="K546" s="172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172"/>
      <c r="K547" s="172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172"/>
      <c r="K548" s="172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172"/>
      <c r="K549" s="172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172"/>
      <c r="K550" s="172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172"/>
      <c r="K551" s="172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172"/>
      <c r="K552" s="172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172"/>
      <c r="K553" s="172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172"/>
      <c r="K554" s="172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172"/>
      <c r="K555" s="172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172"/>
      <c r="K556" s="172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172"/>
      <c r="K557" s="172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172"/>
      <c r="K558" s="172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172"/>
      <c r="K559" s="172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172"/>
      <c r="K560" s="172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172"/>
      <c r="K561" s="172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172"/>
      <c r="K562" s="172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172"/>
      <c r="K563" s="172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172"/>
      <c r="K564" s="172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172"/>
      <c r="K565" s="172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172"/>
      <c r="K566" s="172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172"/>
      <c r="K567" s="172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172"/>
      <c r="K568" s="172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172"/>
      <c r="K569" s="172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172"/>
      <c r="K570" s="172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172"/>
      <c r="K571" s="172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172"/>
      <c r="K572" s="172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172"/>
      <c r="K573" s="172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172"/>
      <c r="K574" s="172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172"/>
      <c r="K575" s="172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172"/>
      <c r="K576" s="172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172"/>
      <c r="K577" s="172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172"/>
      <c r="K578" s="172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172"/>
      <c r="K579" s="172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172"/>
      <c r="K580" s="172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172"/>
      <c r="K581" s="172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172"/>
      <c r="K582" s="172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172"/>
      <c r="K583" s="172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172"/>
      <c r="K584" s="172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172"/>
      <c r="K585" s="172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172"/>
      <c r="K586" s="172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172"/>
      <c r="K587" s="172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172"/>
      <c r="K588" s="172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172"/>
      <c r="K589" s="172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172"/>
      <c r="K590" s="172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172"/>
      <c r="K591" s="172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172"/>
      <c r="K592" s="172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172"/>
      <c r="K593" s="172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172"/>
      <c r="K594" s="172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172"/>
      <c r="K595" s="172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172"/>
      <c r="K596" s="172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172"/>
      <c r="K597" s="172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172"/>
      <c r="K598" s="172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172"/>
      <c r="K599" s="172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172"/>
      <c r="K600" s="172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172"/>
      <c r="K601" s="172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172"/>
      <c r="K602" s="172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172"/>
      <c r="K603" s="172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172"/>
      <c r="K604" s="172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172"/>
      <c r="K605" s="172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172"/>
      <c r="K606" s="172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172"/>
      <c r="K607" s="172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172"/>
      <c r="K608" s="172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172"/>
      <c r="K609" s="172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172"/>
      <c r="K610" s="172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172"/>
      <c r="K611" s="172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172"/>
      <c r="K612" s="172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172"/>
      <c r="K613" s="172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172"/>
      <c r="K614" s="172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172"/>
      <c r="K615" s="172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172"/>
      <c r="K616" s="172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172"/>
      <c r="K617" s="172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172"/>
      <c r="K618" s="172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172"/>
      <c r="K619" s="172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172"/>
      <c r="K620" s="172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172"/>
      <c r="K621" s="172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172"/>
      <c r="K622" s="172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172"/>
      <c r="K623" s="172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172"/>
      <c r="K624" s="172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172"/>
      <c r="K625" s="172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172"/>
      <c r="K626" s="172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172"/>
      <c r="K627" s="172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172"/>
      <c r="K628" s="172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172"/>
      <c r="K629" s="172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172"/>
      <c r="K630" s="172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172"/>
      <c r="K631" s="172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172"/>
      <c r="K632" s="172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172"/>
      <c r="K633" s="172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172"/>
      <c r="K634" s="172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172"/>
      <c r="K635" s="172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172"/>
      <c r="K636" s="172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172"/>
      <c r="K637" s="172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172"/>
      <c r="K638" s="172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172"/>
      <c r="K639" s="172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172"/>
      <c r="K640" s="172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172"/>
      <c r="K641" s="172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172"/>
      <c r="K642" s="172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172"/>
      <c r="K643" s="172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172"/>
      <c r="K644" s="172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172"/>
      <c r="K645" s="172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172"/>
      <c r="K646" s="172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172"/>
      <c r="K647" s="172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172"/>
      <c r="K648" s="172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172"/>
      <c r="K649" s="172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172"/>
      <c r="K650" s="172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172"/>
      <c r="K651" s="172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172"/>
      <c r="K652" s="172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172"/>
      <c r="K653" s="172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172"/>
      <c r="K654" s="172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172"/>
      <c r="K655" s="172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172"/>
      <c r="K656" s="172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172"/>
      <c r="K657" s="172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172"/>
      <c r="K658" s="172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172"/>
      <c r="K659" s="172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172"/>
      <c r="K660" s="172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172"/>
      <c r="K661" s="172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172"/>
      <c r="K662" s="172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172"/>
      <c r="K663" s="172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172"/>
      <c r="K664" s="172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172"/>
      <c r="K665" s="172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172"/>
      <c r="K666" s="172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172"/>
      <c r="K667" s="172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172"/>
      <c r="K668" s="172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172"/>
      <c r="K669" s="172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172"/>
      <c r="K670" s="172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172"/>
      <c r="K671" s="172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172"/>
      <c r="K672" s="172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172"/>
      <c r="K673" s="172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172"/>
      <c r="K674" s="172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172"/>
      <c r="K675" s="172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172"/>
      <c r="K676" s="172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172"/>
      <c r="K677" s="172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172"/>
      <c r="K678" s="172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172"/>
      <c r="K679" s="172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172"/>
      <c r="K680" s="172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172"/>
      <c r="K681" s="172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172"/>
      <c r="K682" s="172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172"/>
      <c r="K683" s="172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172"/>
      <c r="K684" s="172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172"/>
      <c r="K685" s="172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172"/>
      <c r="K686" s="172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172"/>
      <c r="K687" s="172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172"/>
      <c r="K688" s="172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172"/>
      <c r="K689" s="172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172"/>
      <c r="K690" s="172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172"/>
      <c r="K691" s="172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172"/>
      <c r="K692" s="172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172"/>
      <c r="K693" s="172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172"/>
      <c r="K694" s="172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172"/>
      <c r="K695" s="172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172"/>
      <c r="K696" s="172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172"/>
      <c r="K697" s="172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172"/>
      <c r="K698" s="172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172"/>
      <c r="K699" s="172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172"/>
      <c r="K700" s="172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172"/>
      <c r="K701" s="172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172"/>
      <c r="K702" s="172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172"/>
      <c r="K703" s="172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172"/>
      <c r="K704" s="172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172"/>
      <c r="K705" s="172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172"/>
      <c r="K706" s="172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172"/>
      <c r="K707" s="172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172"/>
      <c r="K708" s="172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172"/>
      <c r="K709" s="172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172"/>
      <c r="K710" s="172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172"/>
      <c r="K711" s="172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172"/>
      <c r="K712" s="172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172"/>
      <c r="K713" s="172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172"/>
      <c r="K714" s="172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172"/>
      <c r="K715" s="172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172"/>
      <c r="K716" s="172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172"/>
      <c r="K717" s="172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172"/>
      <c r="K718" s="172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172"/>
      <c r="K719" s="172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172"/>
      <c r="K720" s="172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172"/>
      <c r="K721" s="172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172"/>
      <c r="K722" s="172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172"/>
      <c r="K723" s="172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172"/>
      <c r="K724" s="172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172"/>
      <c r="K725" s="172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172"/>
      <c r="K726" s="172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172"/>
      <c r="K727" s="172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172"/>
      <c r="K728" s="172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172"/>
      <c r="K729" s="172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172"/>
      <c r="K730" s="172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172"/>
      <c r="K731" s="172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172"/>
      <c r="K732" s="172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172"/>
      <c r="K733" s="172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172"/>
      <c r="K734" s="172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172"/>
      <c r="K735" s="172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172"/>
      <c r="K736" s="172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172"/>
      <c r="K737" s="172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172"/>
      <c r="K738" s="172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172"/>
      <c r="K739" s="172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172"/>
      <c r="K740" s="172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172"/>
      <c r="K741" s="172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172"/>
      <c r="K742" s="172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172"/>
      <c r="K743" s="172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172"/>
      <c r="K744" s="172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172"/>
      <c r="K745" s="172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172"/>
      <c r="K746" s="172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172"/>
      <c r="K747" s="172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172"/>
      <c r="K748" s="172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172"/>
      <c r="K749" s="172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172"/>
      <c r="K750" s="172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172"/>
      <c r="K751" s="172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172"/>
      <c r="K752" s="172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172"/>
      <c r="K753" s="172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172"/>
      <c r="K754" s="172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172"/>
      <c r="K755" s="172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172"/>
      <c r="K756" s="172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172"/>
      <c r="K757" s="172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172"/>
      <c r="K758" s="172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172"/>
      <c r="K759" s="172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172"/>
      <c r="K760" s="172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172"/>
      <c r="K761" s="172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172"/>
      <c r="K762" s="172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172"/>
      <c r="K763" s="172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172"/>
      <c r="K764" s="172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172"/>
      <c r="K765" s="172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172"/>
      <c r="K766" s="172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172"/>
      <c r="K767" s="172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172"/>
      <c r="K768" s="172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172"/>
      <c r="K769" s="172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172"/>
      <c r="K770" s="172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172"/>
      <c r="K771" s="172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172"/>
      <c r="K772" s="172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172"/>
      <c r="K773" s="172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172"/>
      <c r="K774" s="172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172"/>
      <c r="K775" s="172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172"/>
      <c r="K776" s="172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172"/>
      <c r="K777" s="172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172"/>
      <c r="K778" s="172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172"/>
      <c r="K779" s="172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172"/>
      <c r="K780" s="172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172"/>
      <c r="K781" s="172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172"/>
      <c r="K782" s="172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172"/>
      <c r="K783" s="172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172"/>
      <c r="K784" s="172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172"/>
      <c r="K785" s="172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172"/>
      <c r="K786" s="172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172"/>
      <c r="K787" s="172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172"/>
      <c r="K788" s="172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172"/>
      <c r="K789" s="172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172"/>
      <c r="K790" s="172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172"/>
      <c r="K791" s="172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172"/>
      <c r="K792" s="172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172"/>
      <c r="K793" s="172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172"/>
      <c r="K794" s="172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172"/>
      <c r="K795" s="172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172"/>
      <c r="K796" s="172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172"/>
      <c r="K797" s="172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172"/>
      <c r="K798" s="172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172"/>
      <c r="K799" s="172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172"/>
      <c r="K800" s="172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172"/>
      <c r="K801" s="172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172"/>
      <c r="K802" s="172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172"/>
      <c r="K803" s="172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172"/>
      <c r="K804" s="172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172"/>
      <c r="K805" s="172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172"/>
      <c r="K806" s="172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172"/>
      <c r="K807" s="172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172"/>
      <c r="K808" s="172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172"/>
      <c r="K809" s="172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172"/>
      <c r="K810" s="172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172"/>
      <c r="K811" s="172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172"/>
      <c r="K812" s="172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172"/>
      <c r="K813" s="172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172"/>
      <c r="K814" s="172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172"/>
      <c r="K815" s="172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172"/>
      <c r="K816" s="172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172"/>
      <c r="K817" s="172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172"/>
      <c r="K818" s="172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172"/>
      <c r="K819" s="172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172"/>
      <c r="K820" s="172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172"/>
      <c r="K821" s="172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172"/>
      <c r="K822" s="172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172"/>
      <c r="K823" s="172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172"/>
      <c r="K824" s="172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172"/>
      <c r="K825" s="172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172"/>
      <c r="K826" s="172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172"/>
      <c r="K827" s="172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172"/>
      <c r="K828" s="172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172"/>
      <c r="K829" s="172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172"/>
      <c r="K830" s="172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172"/>
      <c r="K831" s="172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172"/>
      <c r="K832" s="172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172"/>
      <c r="K833" s="172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172"/>
      <c r="K834" s="172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172"/>
      <c r="K835" s="172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172"/>
      <c r="K836" s="172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172"/>
      <c r="K837" s="172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172"/>
      <c r="K838" s="172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172"/>
      <c r="K839" s="172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172"/>
      <c r="K840" s="172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172"/>
      <c r="K841" s="172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172"/>
      <c r="K842" s="172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172"/>
      <c r="K843" s="172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172"/>
      <c r="K844" s="172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172"/>
      <c r="K845" s="172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172"/>
      <c r="K846" s="172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172"/>
      <c r="K847" s="172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172"/>
      <c r="K848" s="172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172"/>
      <c r="K849" s="172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172"/>
      <c r="K850" s="172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172"/>
      <c r="K851" s="172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172"/>
      <c r="K852" s="172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172"/>
      <c r="K853" s="172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172"/>
      <c r="K854" s="172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172"/>
      <c r="K855" s="172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172"/>
      <c r="K856" s="172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172"/>
      <c r="K857" s="172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172"/>
      <c r="K858" s="172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172"/>
      <c r="K859" s="172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172"/>
      <c r="K860" s="172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172"/>
      <c r="K861" s="172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172"/>
      <c r="K862" s="172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172"/>
      <c r="K863" s="172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172"/>
      <c r="K864" s="172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172"/>
      <c r="K865" s="172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172"/>
      <c r="K866" s="172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172"/>
      <c r="K867" s="172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172"/>
      <c r="K868" s="172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172"/>
      <c r="K869" s="172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172"/>
      <c r="K870" s="172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172"/>
      <c r="K871" s="172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172"/>
      <c r="K872" s="172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172"/>
      <c r="K873" s="172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172"/>
      <c r="K874" s="172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172"/>
      <c r="K875" s="172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172"/>
      <c r="K876" s="172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172"/>
      <c r="K877" s="172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172"/>
      <c r="K878" s="172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172"/>
      <c r="K879" s="172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172"/>
      <c r="K880" s="172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172"/>
      <c r="K881" s="172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172"/>
      <c r="K882" s="172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172"/>
      <c r="K883" s="172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172"/>
      <c r="K884" s="172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172"/>
      <c r="K885" s="172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172"/>
      <c r="K886" s="172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172"/>
      <c r="K887" s="172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172"/>
      <c r="K888" s="172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172"/>
      <c r="K889" s="172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172"/>
      <c r="K890" s="172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172"/>
      <c r="K891" s="172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172"/>
      <c r="K892" s="172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172"/>
      <c r="K893" s="172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172"/>
      <c r="K894" s="172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172"/>
      <c r="K895" s="172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172"/>
      <c r="K896" s="172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172"/>
      <c r="K897" s="172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172"/>
      <c r="K898" s="172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172"/>
      <c r="K899" s="172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172"/>
      <c r="K900" s="172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172"/>
      <c r="K901" s="172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172"/>
      <c r="K902" s="172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172"/>
      <c r="K903" s="172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172"/>
      <c r="K904" s="172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172"/>
      <c r="K905" s="172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172"/>
      <c r="K906" s="172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172"/>
      <c r="K907" s="172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172"/>
      <c r="K908" s="172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172"/>
      <c r="K909" s="172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172"/>
      <c r="K910" s="172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172"/>
      <c r="K911" s="172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172"/>
      <c r="K912" s="172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172"/>
      <c r="K913" s="172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172"/>
      <c r="K914" s="172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172"/>
      <c r="K915" s="172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172"/>
      <c r="K916" s="172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172"/>
      <c r="K917" s="172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172"/>
      <c r="K918" s="172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172"/>
      <c r="K919" s="172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172"/>
      <c r="K920" s="172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172"/>
      <c r="K921" s="172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172"/>
      <c r="K922" s="172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172"/>
      <c r="K923" s="172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172"/>
      <c r="K924" s="172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172"/>
      <c r="K925" s="172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172"/>
      <c r="K926" s="172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172"/>
      <c r="K927" s="172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172"/>
      <c r="K928" s="172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172"/>
      <c r="K929" s="172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172"/>
      <c r="K930" s="172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172"/>
      <c r="K931" s="172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172"/>
      <c r="K932" s="172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172"/>
      <c r="K933" s="172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172"/>
      <c r="K934" s="172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172"/>
      <c r="K935" s="172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172"/>
      <c r="K936" s="172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172"/>
      <c r="K937" s="172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172"/>
      <c r="K938" s="172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172"/>
      <c r="K939" s="172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172"/>
      <c r="K940" s="172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172"/>
      <c r="K941" s="172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172"/>
      <c r="K942" s="172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172"/>
      <c r="K943" s="172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172"/>
      <c r="K944" s="172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172"/>
      <c r="K945" s="172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172"/>
      <c r="K946" s="172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172"/>
      <c r="K947" s="172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172"/>
      <c r="K948" s="172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172"/>
      <c r="K949" s="172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172"/>
      <c r="K950" s="172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172"/>
      <c r="K951" s="172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172"/>
      <c r="K952" s="172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172"/>
      <c r="K953" s="172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172"/>
      <c r="K954" s="172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172"/>
      <c r="K955" s="172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172"/>
      <c r="K956" s="172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172"/>
      <c r="K957" s="172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172"/>
      <c r="K958" s="172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172"/>
      <c r="K959" s="172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172"/>
      <c r="K960" s="172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172"/>
      <c r="K961" s="172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172"/>
      <c r="K962" s="172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172"/>
      <c r="K963" s="172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172"/>
      <c r="K964" s="172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172"/>
      <c r="K965" s="172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172"/>
      <c r="K966" s="172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172"/>
      <c r="K967" s="172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172"/>
      <c r="K968" s="172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172"/>
      <c r="K969" s="172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172"/>
      <c r="K970" s="172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172"/>
      <c r="K971" s="172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172"/>
      <c r="K972" s="172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172"/>
      <c r="K973" s="172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172"/>
      <c r="K974" s="172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172"/>
      <c r="K975" s="172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172"/>
      <c r="K976" s="172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172"/>
      <c r="K977" s="172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172"/>
      <c r="K978" s="172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172"/>
      <c r="K979" s="172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172"/>
      <c r="K980" s="172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172"/>
      <c r="K981" s="172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172"/>
      <c r="K982" s="172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172"/>
      <c r="K983" s="172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172"/>
      <c r="K984" s="172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172"/>
      <c r="K985" s="172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172"/>
      <c r="K986" s="172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172"/>
      <c r="K987" s="172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172"/>
      <c r="K988" s="172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172"/>
      <c r="K989" s="172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172"/>
      <c r="K990" s="172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172"/>
      <c r="K991" s="172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172"/>
      <c r="K992" s="172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172"/>
      <c r="K993" s="172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172"/>
      <c r="K994" s="172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172"/>
      <c r="K995" s="172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172"/>
      <c r="K996" s="172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172"/>
      <c r="K997" s="172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172"/>
      <c r="K998" s="172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172"/>
      <c r="K999" s="172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172"/>
      <c r="K1000" s="172"/>
      <c r="L1000" s="46"/>
      <c r="M1000" s="46"/>
      <c r="N1000" s="47"/>
      <c r="Q1000" s="48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503</v>
      </c>
      <c r="C1" t="s">
        <v>2</v>
      </c>
      <c r="D1" t="s">
        <v>504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626</v>
      </c>
      <c r="K1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15142</v>
      </c>
      <c r="E2">
        <v>0</v>
      </c>
      <c r="F2">
        <v>0</v>
      </c>
      <c r="G2">
        <v>25</v>
      </c>
      <c r="H2">
        <v>15167</v>
      </c>
      <c r="I2">
        <v>1</v>
      </c>
      <c r="J2">
        <v>15167</v>
      </c>
      <c r="K2" t="s">
        <v>211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10"/>
  <sheetViews>
    <sheetView workbookViewId="0">
      <selection sqref="A1:AF10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22.218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634</v>
      </c>
      <c r="R1" t="s">
        <v>141</v>
      </c>
      <c r="S1" t="s">
        <v>628</v>
      </c>
      <c r="T1" t="s">
        <v>629</v>
      </c>
      <c r="U1" t="s">
        <v>630</v>
      </c>
      <c r="V1" t="s">
        <v>631</v>
      </c>
      <c r="W1" t="s">
        <v>632</v>
      </c>
      <c r="X1" t="s">
        <v>633</v>
      </c>
      <c r="Y1" t="s">
        <v>524</v>
      </c>
      <c r="Z1" t="s">
        <v>160</v>
      </c>
      <c r="AA1" t="s">
        <v>40</v>
      </c>
      <c r="AB1" t="s">
        <v>367</v>
      </c>
      <c r="AC1" t="s">
        <v>522</v>
      </c>
      <c r="AD1" t="s">
        <v>210</v>
      </c>
      <c r="AE1" t="s">
        <v>521</v>
      </c>
      <c r="AF1" t="s">
        <v>525</v>
      </c>
    </row>
    <row r="2" spans="1:32" x14ac:dyDescent="0.3">
      <c r="A2" t="s">
        <v>349</v>
      </c>
      <c r="B2" t="s">
        <v>43</v>
      </c>
      <c r="C2" t="s">
        <v>105</v>
      </c>
      <c r="D2" t="s">
        <v>309</v>
      </c>
      <c r="E2" t="s">
        <v>1244</v>
      </c>
      <c r="F2" s="15">
        <v>46251.397696759261</v>
      </c>
      <c r="G2" t="s">
        <v>402</v>
      </c>
      <c r="H2">
        <v>1</v>
      </c>
      <c r="I2" t="s">
        <v>1245</v>
      </c>
      <c r="J2" s="15">
        <v>46252.372916666667</v>
      </c>
      <c r="K2" s="15">
        <v>46255.615277777775</v>
      </c>
      <c r="L2" s="15">
        <v>46255</v>
      </c>
      <c r="M2">
        <v>1</v>
      </c>
      <c r="O2" t="s">
        <v>201</v>
      </c>
      <c r="P2" t="s">
        <v>1956</v>
      </c>
      <c r="S2" t="s">
        <v>750</v>
      </c>
      <c r="T2" t="s">
        <v>751</v>
      </c>
      <c r="U2" t="s">
        <v>261</v>
      </c>
      <c r="V2" t="s">
        <v>349</v>
      </c>
      <c r="W2" t="s">
        <v>393</v>
      </c>
      <c r="X2" t="s">
        <v>261</v>
      </c>
      <c r="Y2">
        <v>0</v>
      </c>
      <c r="AA2" t="s">
        <v>67</v>
      </c>
      <c r="AB2" t="s">
        <v>750</v>
      </c>
      <c r="AC2">
        <v>2300</v>
      </c>
      <c r="AD2" t="s">
        <v>217</v>
      </c>
      <c r="AE2">
        <v>1</v>
      </c>
      <c r="AF2">
        <v>1</v>
      </c>
    </row>
    <row r="3" spans="1:32" x14ac:dyDescent="0.3">
      <c r="A3" t="s">
        <v>349</v>
      </c>
      <c r="B3" t="s">
        <v>63</v>
      </c>
      <c r="C3" t="s">
        <v>95</v>
      </c>
      <c r="D3" t="s">
        <v>309</v>
      </c>
      <c r="E3" t="s">
        <v>1158</v>
      </c>
      <c r="F3" s="15">
        <v>46239.427071759259</v>
      </c>
      <c r="G3" t="s">
        <v>402</v>
      </c>
      <c r="H3">
        <v>18</v>
      </c>
      <c r="I3" t="s">
        <v>1246</v>
      </c>
      <c r="J3" s="15">
        <v>46240.370833333334</v>
      </c>
      <c r="K3" s="15">
        <v>46253.495833333334</v>
      </c>
      <c r="L3" s="15"/>
      <c r="M3">
        <v>18</v>
      </c>
      <c r="O3" t="s">
        <v>201</v>
      </c>
      <c r="P3" t="s">
        <v>1954</v>
      </c>
      <c r="S3" t="s">
        <v>750</v>
      </c>
      <c r="T3" t="s">
        <v>751</v>
      </c>
      <c r="U3" t="s">
        <v>261</v>
      </c>
      <c r="V3" t="s">
        <v>7</v>
      </c>
      <c r="W3" t="s">
        <v>7</v>
      </c>
      <c r="X3" t="s">
        <v>7</v>
      </c>
      <c r="AA3" t="s">
        <v>96</v>
      </c>
      <c r="AB3" t="s">
        <v>750</v>
      </c>
      <c r="AC3">
        <v>2300</v>
      </c>
      <c r="AD3" t="s">
        <v>225</v>
      </c>
      <c r="AE3">
        <v>18</v>
      </c>
      <c r="AF3">
        <v>1.8</v>
      </c>
    </row>
    <row r="4" spans="1:32" x14ac:dyDescent="0.3">
      <c r="A4" t="s">
        <v>349</v>
      </c>
      <c r="B4" t="s">
        <v>57</v>
      </c>
      <c r="C4" t="s">
        <v>117</v>
      </c>
      <c r="D4" t="s">
        <v>309</v>
      </c>
      <c r="E4" t="s">
        <v>1158</v>
      </c>
      <c r="F4" s="15">
        <v>46239.427071759259</v>
      </c>
      <c r="G4" t="s">
        <v>402</v>
      </c>
      <c r="H4">
        <v>18</v>
      </c>
      <c r="I4" t="s">
        <v>1246</v>
      </c>
      <c r="J4" s="15">
        <v>46240.370833333334</v>
      </c>
      <c r="K4" s="15">
        <v>46253.495833333334</v>
      </c>
      <c r="L4" s="15"/>
      <c r="M4">
        <v>18</v>
      </c>
      <c r="O4" t="s">
        <v>201</v>
      </c>
      <c r="P4" t="s">
        <v>1954</v>
      </c>
      <c r="S4" t="s">
        <v>750</v>
      </c>
      <c r="T4" t="s">
        <v>751</v>
      </c>
      <c r="U4" t="s">
        <v>261</v>
      </c>
      <c r="V4" t="s">
        <v>7</v>
      </c>
      <c r="W4" t="s">
        <v>7</v>
      </c>
      <c r="X4" t="s">
        <v>7</v>
      </c>
      <c r="AA4" t="s">
        <v>127</v>
      </c>
      <c r="AB4" t="s">
        <v>750</v>
      </c>
      <c r="AC4">
        <v>2300</v>
      </c>
      <c r="AD4" t="s">
        <v>233</v>
      </c>
      <c r="AE4">
        <v>1.8</v>
      </c>
      <c r="AF4">
        <v>1</v>
      </c>
    </row>
    <row r="5" spans="1:32" x14ac:dyDescent="0.3">
      <c r="A5" t="s">
        <v>349</v>
      </c>
      <c r="B5" t="s">
        <v>279</v>
      </c>
      <c r="C5" t="s">
        <v>197</v>
      </c>
      <c r="D5" t="s">
        <v>309</v>
      </c>
      <c r="E5" t="s">
        <v>1158</v>
      </c>
      <c r="F5" s="15">
        <v>46239.427071759259</v>
      </c>
      <c r="G5" t="s">
        <v>402</v>
      </c>
      <c r="H5">
        <v>18</v>
      </c>
      <c r="I5" t="s">
        <v>1246</v>
      </c>
      <c r="J5" s="15">
        <v>46240.370833333334</v>
      </c>
      <c r="K5" s="15">
        <v>46253.495833333334</v>
      </c>
      <c r="L5" s="15"/>
      <c r="M5">
        <v>18</v>
      </c>
      <c r="O5" t="s">
        <v>201</v>
      </c>
      <c r="P5" t="s">
        <v>1956</v>
      </c>
      <c r="S5" t="s">
        <v>750</v>
      </c>
      <c r="T5" t="s">
        <v>751</v>
      </c>
      <c r="U5" t="s">
        <v>261</v>
      </c>
      <c r="V5" t="s">
        <v>7</v>
      </c>
      <c r="W5" t="s">
        <v>7</v>
      </c>
      <c r="X5" t="s">
        <v>7</v>
      </c>
      <c r="Z5">
        <v>16</v>
      </c>
      <c r="AA5" t="s">
        <v>122</v>
      </c>
      <c r="AB5" t="s">
        <v>750</v>
      </c>
      <c r="AC5">
        <v>2300</v>
      </c>
      <c r="AD5" t="s">
        <v>232</v>
      </c>
      <c r="AE5">
        <v>288</v>
      </c>
      <c r="AF5">
        <v>28.8</v>
      </c>
    </row>
    <row r="6" spans="1:32" x14ac:dyDescent="0.3">
      <c r="A6" t="s">
        <v>349</v>
      </c>
      <c r="B6" t="s">
        <v>45</v>
      </c>
      <c r="C6" t="s">
        <v>68</v>
      </c>
      <c r="D6" t="s">
        <v>309</v>
      </c>
      <c r="E6" t="s">
        <v>1247</v>
      </c>
      <c r="F6" s="15">
        <v>46251.388148148151</v>
      </c>
      <c r="G6" t="s">
        <v>752</v>
      </c>
      <c r="H6">
        <v>10</v>
      </c>
      <c r="I6" t="s">
        <v>1248</v>
      </c>
      <c r="J6" s="15">
        <v>46251.484722222223</v>
      </c>
      <c r="K6" s="15">
        <v>46255.618055555555</v>
      </c>
      <c r="L6" s="15">
        <v>46255.486111111109</v>
      </c>
      <c r="M6">
        <v>10</v>
      </c>
      <c r="O6" t="s">
        <v>201</v>
      </c>
      <c r="P6" t="s">
        <v>1956</v>
      </c>
      <c r="S6" t="s">
        <v>750</v>
      </c>
      <c r="T6" t="s">
        <v>751</v>
      </c>
      <c r="U6" t="s">
        <v>261</v>
      </c>
      <c r="V6" t="s">
        <v>349</v>
      </c>
      <c r="W6" t="s">
        <v>393</v>
      </c>
      <c r="X6" t="s">
        <v>261</v>
      </c>
      <c r="Y6">
        <v>0</v>
      </c>
      <c r="AA6" t="s">
        <v>67</v>
      </c>
      <c r="AB6" t="s">
        <v>750</v>
      </c>
      <c r="AC6">
        <v>2300</v>
      </c>
      <c r="AD6" t="s">
        <v>217</v>
      </c>
      <c r="AE6">
        <v>1</v>
      </c>
    </row>
    <row r="7" spans="1:32" x14ac:dyDescent="0.3">
      <c r="A7" t="s">
        <v>349</v>
      </c>
      <c r="B7" t="s">
        <v>51</v>
      </c>
      <c r="C7" t="s">
        <v>258</v>
      </c>
      <c r="D7" t="s">
        <v>309</v>
      </c>
      <c r="E7" t="s">
        <v>753</v>
      </c>
      <c r="F7" s="15">
        <v>46252.367824074077</v>
      </c>
      <c r="G7" t="s">
        <v>752</v>
      </c>
      <c r="H7">
        <v>150</v>
      </c>
      <c r="I7" t="s">
        <v>754</v>
      </c>
      <c r="J7" s="15">
        <v>46253.532638888886</v>
      </c>
      <c r="K7" s="15">
        <v>46255.618055555555</v>
      </c>
      <c r="L7" s="15"/>
      <c r="M7">
        <v>150</v>
      </c>
      <c r="O7" t="s">
        <v>201</v>
      </c>
      <c r="P7" t="s">
        <v>1956</v>
      </c>
      <c r="S7" t="s">
        <v>750</v>
      </c>
      <c r="T7" t="s">
        <v>751</v>
      </c>
      <c r="U7" t="s">
        <v>261</v>
      </c>
      <c r="V7" t="s">
        <v>7</v>
      </c>
      <c r="W7" t="s">
        <v>7</v>
      </c>
      <c r="X7" t="s">
        <v>7</v>
      </c>
      <c r="AA7" t="s">
        <v>238</v>
      </c>
      <c r="AB7" t="s">
        <v>750</v>
      </c>
      <c r="AC7">
        <v>2300</v>
      </c>
      <c r="AD7" t="s">
        <v>7</v>
      </c>
      <c r="AF7">
        <v>0</v>
      </c>
    </row>
    <row r="8" spans="1:32" x14ac:dyDescent="0.3">
      <c r="A8" t="s">
        <v>349</v>
      </c>
      <c r="B8" t="s">
        <v>45</v>
      </c>
      <c r="C8" t="s">
        <v>68</v>
      </c>
      <c r="D8" t="s">
        <v>309</v>
      </c>
      <c r="E8" t="s">
        <v>1249</v>
      </c>
      <c r="F8" s="15">
        <v>46251.394097222219</v>
      </c>
      <c r="G8" t="s">
        <v>752</v>
      </c>
      <c r="H8">
        <v>5</v>
      </c>
      <c r="I8" t="s">
        <v>1250</v>
      </c>
      <c r="J8" s="15">
        <v>46251.520138888889</v>
      </c>
      <c r="K8" s="15">
        <v>46255.615277777775</v>
      </c>
      <c r="L8" s="15">
        <v>46255.520138888889</v>
      </c>
      <c r="M8">
        <v>5</v>
      </c>
      <c r="O8" t="s">
        <v>201</v>
      </c>
      <c r="P8" t="s">
        <v>1956</v>
      </c>
      <c r="S8" t="s">
        <v>750</v>
      </c>
      <c r="T8" t="s">
        <v>751</v>
      </c>
      <c r="U8" t="s">
        <v>261</v>
      </c>
      <c r="V8" t="s">
        <v>349</v>
      </c>
      <c r="W8" t="s">
        <v>393</v>
      </c>
      <c r="X8" t="s">
        <v>261</v>
      </c>
      <c r="AA8" t="s">
        <v>67</v>
      </c>
      <c r="AB8" t="s">
        <v>750</v>
      </c>
      <c r="AC8">
        <v>2300</v>
      </c>
      <c r="AD8" t="s">
        <v>217</v>
      </c>
      <c r="AE8">
        <v>1</v>
      </c>
    </row>
    <row r="9" spans="1:32" x14ac:dyDescent="0.3">
      <c r="A9" t="s">
        <v>349</v>
      </c>
      <c r="B9" t="s">
        <v>48</v>
      </c>
      <c r="C9" t="s">
        <v>68</v>
      </c>
      <c r="D9" t="s">
        <v>309</v>
      </c>
      <c r="E9" t="s">
        <v>1251</v>
      </c>
      <c r="F9" s="15">
        <v>46226.72587962963</v>
      </c>
      <c r="G9" t="s">
        <v>402</v>
      </c>
      <c r="H9">
        <v>1</v>
      </c>
      <c r="I9" t="s">
        <v>1252</v>
      </c>
      <c r="J9" s="15">
        <v>46227.348449074074</v>
      </c>
      <c r="K9" s="15">
        <v>46232.441666666666</v>
      </c>
      <c r="L9" s="15">
        <v>46232.441666666666</v>
      </c>
      <c r="M9">
        <v>1</v>
      </c>
      <c r="O9" t="s">
        <v>201</v>
      </c>
      <c r="P9" t="s">
        <v>1956</v>
      </c>
      <c r="S9" t="s">
        <v>750</v>
      </c>
      <c r="T9" t="s">
        <v>751</v>
      </c>
      <c r="U9" t="s">
        <v>261</v>
      </c>
      <c r="V9" t="s">
        <v>349</v>
      </c>
      <c r="W9" t="s">
        <v>393</v>
      </c>
      <c r="X9" t="s">
        <v>261</v>
      </c>
      <c r="Y9">
        <v>0</v>
      </c>
      <c r="AA9" t="s">
        <v>90</v>
      </c>
      <c r="AB9" t="s">
        <v>750</v>
      </c>
      <c r="AC9">
        <v>2300</v>
      </c>
      <c r="AD9" t="s">
        <v>217</v>
      </c>
      <c r="AE9">
        <v>1</v>
      </c>
      <c r="AF9">
        <v>1</v>
      </c>
    </row>
    <row r="10" spans="1:32" x14ac:dyDescent="0.3">
      <c r="A10" t="s">
        <v>349</v>
      </c>
      <c r="B10" t="s">
        <v>45</v>
      </c>
      <c r="C10" t="s">
        <v>68</v>
      </c>
      <c r="D10" t="s">
        <v>309</v>
      </c>
      <c r="E10" t="s">
        <v>1253</v>
      </c>
      <c r="F10" s="15">
        <v>46219.31449074074</v>
      </c>
      <c r="G10" t="s">
        <v>752</v>
      </c>
      <c r="H10">
        <v>9</v>
      </c>
      <c r="I10" t="s">
        <v>1254</v>
      </c>
      <c r="J10" s="15">
        <v>46219.41547453704</v>
      </c>
      <c r="K10" s="15">
        <v>46232.447916666664</v>
      </c>
      <c r="L10" s="15">
        <v>46224.708333333336</v>
      </c>
      <c r="M10">
        <v>9</v>
      </c>
      <c r="O10" t="s">
        <v>201</v>
      </c>
      <c r="P10" t="s">
        <v>1956</v>
      </c>
      <c r="S10" t="s">
        <v>750</v>
      </c>
      <c r="T10" t="s">
        <v>751</v>
      </c>
      <c r="U10" t="s">
        <v>261</v>
      </c>
      <c r="V10" t="s">
        <v>349</v>
      </c>
      <c r="W10" t="s">
        <v>393</v>
      </c>
      <c r="X10" t="s">
        <v>261</v>
      </c>
      <c r="Y10">
        <v>0</v>
      </c>
      <c r="AA10" t="s">
        <v>67</v>
      </c>
      <c r="AB10" t="s">
        <v>750</v>
      </c>
      <c r="AC10">
        <v>2300</v>
      </c>
      <c r="AD10" t="s">
        <v>217</v>
      </c>
      <c r="AE1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6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22.2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628</v>
      </c>
      <c r="I1" t="s">
        <v>629</v>
      </c>
      <c r="J1" t="s">
        <v>630</v>
      </c>
      <c r="K1" t="s">
        <v>631</v>
      </c>
      <c r="L1" t="s">
        <v>632</v>
      </c>
      <c r="M1" t="s">
        <v>633</v>
      </c>
      <c r="N1" t="s">
        <v>524</v>
      </c>
      <c r="O1" t="s">
        <v>40</v>
      </c>
      <c r="P1" t="s">
        <v>367</v>
      </c>
      <c r="Q1" t="s">
        <v>210</v>
      </c>
      <c r="R1" t="s">
        <v>525</v>
      </c>
    </row>
    <row r="2" spans="1:18" x14ac:dyDescent="0.3">
      <c r="A2" t="s">
        <v>349</v>
      </c>
      <c r="B2" t="s">
        <v>43</v>
      </c>
      <c r="C2" t="s">
        <v>105</v>
      </c>
      <c r="D2" s="15">
        <v>46251.397696759261</v>
      </c>
      <c r="E2" t="s">
        <v>402</v>
      </c>
      <c r="F2">
        <v>1</v>
      </c>
      <c r="G2" s="15">
        <v>46255.615277777775</v>
      </c>
      <c r="H2" t="s">
        <v>750</v>
      </c>
      <c r="I2" t="s">
        <v>751</v>
      </c>
      <c r="J2" t="s">
        <v>261</v>
      </c>
      <c r="K2" t="s">
        <v>349</v>
      </c>
      <c r="L2" t="s">
        <v>393</v>
      </c>
      <c r="M2" t="s">
        <v>261</v>
      </c>
      <c r="N2">
        <v>0</v>
      </c>
      <c r="O2" t="s">
        <v>67</v>
      </c>
      <c r="P2" t="s">
        <v>750</v>
      </c>
      <c r="Q2" t="s">
        <v>217</v>
      </c>
      <c r="R2">
        <v>1</v>
      </c>
    </row>
    <row r="3" spans="1:18" x14ac:dyDescent="0.3">
      <c r="A3" t="s">
        <v>349</v>
      </c>
      <c r="B3" t="s">
        <v>45</v>
      </c>
      <c r="C3" t="s">
        <v>68</v>
      </c>
      <c r="D3" s="15">
        <v>46251.388148148151</v>
      </c>
      <c r="E3" t="s">
        <v>752</v>
      </c>
      <c r="F3">
        <v>10</v>
      </c>
      <c r="G3" s="15">
        <v>46255.618055555555</v>
      </c>
      <c r="H3" t="s">
        <v>750</v>
      </c>
      <c r="I3" t="s">
        <v>751</v>
      </c>
      <c r="J3" t="s">
        <v>261</v>
      </c>
      <c r="K3" t="s">
        <v>349</v>
      </c>
      <c r="L3" t="s">
        <v>393</v>
      </c>
      <c r="M3" t="s">
        <v>261</v>
      </c>
      <c r="N3">
        <v>0</v>
      </c>
      <c r="O3" t="s">
        <v>67</v>
      </c>
      <c r="P3" t="s">
        <v>750</v>
      </c>
      <c r="Q3" t="s">
        <v>217</v>
      </c>
    </row>
    <row r="4" spans="1:18" x14ac:dyDescent="0.3">
      <c r="A4" t="s">
        <v>349</v>
      </c>
      <c r="B4" t="s">
        <v>45</v>
      </c>
      <c r="C4" t="s">
        <v>68</v>
      </c>
      <c r="D4" s="15">
        <v>46251.394097222219</v>
      </c>
      <c r="E4" t="s">
        <v>752</v>
      </c>
      <c r="F4">
        <v>5</v>
      </c>
      <c r="G4" s="15">
        <v>46255.615277777775</v>
      </c>
      <c r="H4" t="s">
        <v>750</v>
      </c>
      <c r="I4" t="s">
        <v>751</v>
      </c>
      <c r="J4" t="s">
        <v>261</v>
      </c>
      <c r="K4" t="s">
        <v>349</v>
      </c>
      <c r="L4" t="s">
        <v>393</v>
      </c>
      <c r="M4" t="s">
        <v>261</v>
      </c>
      <c r="O4" t="s">
        <v>67</v>
      </c>
      <c r="P4" t="s">
        <v>750</v>
      </c>
      <c r="Q4" t="s">
        <v>217</v>
      </c>
    </row>
    <row r="5" spans="1:18" x14ac:dyDescent="0.3">
      <c r="A5" t="s">
        <v>349</v>
      </c>
      <c r="B5" t="s">
        <v>48</v>
      </c>
      <c r="C5" t="s">
        <v>68</v>
      </c>
      <c r="D5" s="15">
        <v>46226.72587962963</v>
      </c>
      <c r="E5" t="s">
        <v>402</v>
      </c>
      <c r="F5">
        <v>1</v>
      </c>
      <c r="G5" s="15">
        <v>46232.441666666666</v>
      </c>
      <c r="H5" t="s">
        <v>750</v>
      </c>
      <c r="I5" t="s">
        <v>751</v>
      </c>
      <c r="J5" t="s">
        <v>261</v>
      </c>
      <c r="K5" t="s">
        <v>349</v>
      </c>
      <c r="L5" t="s">
        <v>393</v>
      </c>
      <c r="M5" t="s">
        <v>261</v>
      </c>
      <c r="N5">
        <v>0</v>
      </c>
      <c r="O5" t="s">
        <v>90</v>
      </c>
      <c r="P5" t="s">
        <v>750</v>
      </c>
      <c r="Q5" t="s">
        <v>217</v>
      </c>
      <c r="R5">
        <v>1</v>
      </c>
    </row>
    <row r="6" spans="1:18" x14ac:dyDescent="0.3">
      <c r="A6" t="s">
        <v>349</v>
      </c>
      <c r="B6" t="s">
        <v>45</v>
      </c>
      <c r="C6" t="s">
        <v>68</v>
      </c>
      <c r="D6" s="15">
        <v>46219.31449074074</v>
      </c>
      <c r="E6" t="s">
        <v>752</v>
      </c>
      <c r="F6">
        <v>9</v>
      </c>
      <c r="G6" s="15">
        <v>46232.447916666664</v>
      </c>
      <c r="H6" t="s">
        <v>750</v>
      </c>
      <c r="I6" t="s">
        <v>751</v>
      </c>
      <c r="J6" t="s">
        <v>261</v>
      </c>
      <c r="K6" t="s">
        <v>349</v>
      </c>
      <c r="L6" t="s">
        <v>393</v>
      </c>
      <c r="M6" t="s">
        <v>261</v>
      </c>
      <c r="N6">
        <v>0</v>
      </c>
      <c r="O6" t="s">
        <v>67</v>
      </c>
      <c r="P6" t="s">
        <v>750</v>
      </c>
      <c r="Q6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8" workbookViewId="0">
      <selection activeCell="N42" sqref="N4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69" t="s">
        <v>635</v>
      </c>
      <c r="C2" s="270"/>
      <c r="D2" s="270"/>
      <c r="E2" s="270"/>
      <c r="F2" s="270"/>
      <c r="G2" s="270"/>
      <c r="H2" s="270"/>
      <c r="I2" s="270"/>
      <c r="J2" s="270"/>
      <c r="K2" s="270"/>
      <c r="L2" s="270"/>
      <c r="M2" s="270"/>
      <c r="N2" s="270"/>
      <c r="O2" s="271"/>
      <c r="Q2" s="48"/>
    </row>
    <row r="3" spans="1:26" ht="14.25" customHeight="1" thickTop="1" thickBot="1" x14ac:dyDescent="0.35">
      <c r="B3" s="272" t="s">
        <v>636</v>
      </c>
      <c r="C3" s="270"/>
      <c r="D3" s="270"/>
      <c r="E3" s="270"/>
      <c r="F3" s="270"/>
      <c r="G3" s="270"/>
      <c r="H3" s="270"/>
      <c r="I3" s="270"/>
      <c r="J3" s="270"/>
      <c r="K3" s="270"/>
      <c r="L3" s="270"/>
      <c r="M3" s="270"/>
      <c r="N3" s="270"/>
      <c r="O3" s="271"/>
      <c r="Q3" s="49"/>
      <c r="R3" s="48"/>
    </row>
    <row r="4" spans="1:26" ht="14.25" customHeight="1" thickTop="1" x14ac:dyDescent="0.3">
      <c r="B4" s="273" t="s">
        <v>703</v>
      </c>
      <c r="C4" s="274"/>
      <c r="D4" s="50" t="s">
        <v>637</v>
      </c>
      <c r="E4" s="50"/>
      <c r="F4" s="47"/>
      <c r="G4" s="47"/>
      <c r="H4" s="46"/>
      <c r="I4" s="47" t="s">
        <v>704</v>
      </c>
      <c r="J4" s="51" t="s">
        <v>676</v>
      </c>
      <c r="K4" s="50"/>
      <c r="L4" s="275" t="s">
        <v>638</v>
      </c>
      <c r="M4" s="52" t="s">
        <v>639</v>
      </c>
      <c r="N4" s="169">
        <f>VLOOKUP("IRON-LT1", TabelaFDMPorContrato[[Contrato]:[IAPFARQ1]],4,0)</f>
        <v>51.52</v>
      </c>
      <c r="O4" s="53"/>
      <c r="Q4" s="49"/>
      <c r="R4" s="48"/>
    </row>
    <row r="5" spans="1:26" ht="14.25" customHeight="1" x14ac:dyDescent="0.3">
      <c r="B5" s="277" t="s">
        <v>705</v>
      </c>
      <c r="C5" s="276"/>
      <c r="D5" s="54">
        <v>4600686987</v>
      </c>
      <c r="E5" s="54"/>
      <c r="F5" s="47"/>
      <c r="G5" s="47"/>
      <c r="H5" s="46"/>
      <c r="I5" s="55" t="s">
        <v>640</v>
      </c>
      <c r="J5" s="54" t="s">
        <v>678</v>
      </c>
      <c r="K5" s="56"/>
      <c r="L5" s="276"/>
      <c r="M5" s="57" t="s">
        <v>641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77" t="s">
        <v>706</v>
      </c>
      <c r="C6" s="276"/>
      <c r="D6" s="278" t="s">
        <v>680</v>
      </c>
      <c r="E6" s="276"/>
      <c r="F6" s="276"/>
      <c r="G6" s="276"/>
      <c r="H6" s="276"/>
      <c r="I6" s="55" t="s">
        <v>642</v>
      </c>
      <c r="J6" s="54" t="s">
        <v>681</v>
      </c>
      <c r="K6" s="54"/>
      <c r="L6" s="280" t="s">
        <v>643</v>
      </c>
      <c r="M6" s="57" t="s">
        <v>639</v>
      </c>
      <c r="N6" s="168">
        <f>VLOOKUP("IRON-LT1", TabelaFDMPorContrato[[Contrato]:[IAPFARQ2]],9,0)</f>
        <v>78.569999999999993</v>
      </c>
      <c r="O6" s="59"/>
      <c r="Q6" s="49"/>
      <c r="R6" s="48"/>
    </row>
    <row r="7" spans="1:26" ht="14.25" customHeight="1" thickBot="1" x14ac:dyDescent="0.35">
      <c r="B7" s="281"/>
      <c r="C7" s="279"/>
      <c r="D7" s="279"/>
      <c r="E7" s="279"/>
      <c r="F7" s="279"/>
      <c r="G7" s="279"/>
      <c r="H7" s="279"/>
      <c r="I7" s="60" t="s">
        <v>644</v>
      </c>
      <c r="J7" s="170" t="s">
        <v>764</v>
      </c>
      <c r="K7" s="61"/>
      <c r="L7" s="279"/>
      <c r="M7" s="62" t="s">
        <v>641</v>
      </c>
      <c r="N7" s="63">
        <f>VLOOKUP("IRON-LT1", TabelaFDMPorContrato[[Contrato]:[FDM2]],11,0)</f>
        <v>0.96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47" t="s">
        <v>0</v>
      </c>
      <c r="E10" s="252"/>
      <c r="F10" s="252"/>
      <c r="G10" s="252"/>
      <c r="H10" s="248"/>
      <c r="I10" s="68" t="s">
        <v>40</v>
      </c>
      <c r="J10" s="69" t="s">
        <v>521</v>
      </c>
      <c r="K10" s="69" t="s">
        <v>645</v>
      </c>
      <c r="L10" s="69" t="s">
        <v>646</v>
      </c>
      <c r="M10" s="70" t="s">
        <v>647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648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63" t="s">
        <v>683</v>
      </c>
      <c r="F12" s="256"/>
      <c r="G12" s="256"/>
      <c r="H12" s="256"/>
      <c r="I12" s="81"/>
      <c r="J12" s="82"/>
      <c r="K12" s="83"/>
      <c r="L12" s="84"/>
      <c r="M12" s="85"/>
      <c r="N12" s="264"/>
      <c r="Q12" s="48"/>
    </row>
    <row r="13" spans="1:26" ht="14.25" customHeight="1" x14ac:dyDescent="0.3">
      <c r="A13" s="45"/>
      <c r="B13" s="45"/>
      <c r="C13" s="86" t="s">
        <v>66</v>
      </c>
      <c r="D13" s="87" t="s">
        <v>504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SUMIF(ARM_IRON_LT1_SP[Linha de serviço PPU], D12, ARM_IRON_LT1_SP[QUA])</f>
        <v>64495</v>
      </c>
      <c r="K13" s="91">
        <f>J13*$N$5</f>
        <v>61270.25</v>
      </c>
      <c r="L13" s="92">
        <f>VLOOKUP(D12,PPU_IRON_LT1[[Linha de Serviço]:[P. Unitário (R$)]],4,0)</f>
        <v>0.6</v>
      </c>
      <c r="M13" s="93">
        <f>K13*L13</f>
        <v>36762.15</v>
      </c>
      <c r="N13" s="265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ARM_IRON_LT1_SP[Linha de serviço PPU], D12, ARM_IRON_LT1_SP[QUAm-1])</f>
        <v>64179</v>
      </c>
      <c r="E14" s="96">
        <f>SUMIF(  ARM_IRON_LT1_SP[Linha de serviço PPU], D12, ARM_IRON_LT1_SP[QBm])</f>
        <v>0</v>
      </c>
      <c r="F14" s="96">
        <f>SUMIF(  ARM_IRON_LT1_SP[Linha de serviço PPU], D12, ARM_IRON_LT1_SP[QDm])</f>
        <v>0</v>
      </c>
      <c r="G14" s="97">
        <f>SUMIF(  ARM_IRON_LT1_SP[Linha de serviço PPU], D12, ARM_IRON_LT1_SP[QNm])</f>
        <v>316</v>
      </c>
      <c r="H14" s="98">
        <f>(D14-E14-F14)+G14</f>
        <v>64495</v>
      </c>
      <c r="I14" s="99"/>
      <c r="J14" s="100"/>
      <c r="K14" s="101"/>
      <c r="L14" s="102"/>
      <c r="M14" s="103"/>
      <c r="N14" s="266"/>
      <c r="Q14" s="48"/>
    </row>
    <row r="15" spans="1:26" ht="15" customHeight="1" x14ac:dyDescent="0.3">
      <c r="A15" s="45"/>
      <c r="B15" s="45"/>
      <c r="C15" s="79"/>
      <c r="D15" s="80" t="s">
        <v>212</v>
      </c>
      <c r="E15" s="263" t="s">
        <v>684</v>
      </c>
      <c r="F15" s="256"/>
      <c r="G15" s="256"/>
      <c r="H15" s="256"/>
      <c r="I15" s="104"/>
      <c r="J15" s="105"/>
      <c r="K15" s="83"/>
      <c r="L15" s="106"/>
      <c r="M15" s="107"/>
      <c r="N15" s="264"/>
      <c r="Q15" s="48"/>
    </row>
    <row r="16" spans="1:26" ht="14.25" customHeight="1" x14ac:dyDescent="0.3">
      <c r="A16" s="45"/>
      <c r="B16" s="45"/>
      <c r="C16" s="86" t="s">
        <v>72</v>
      </c>
      <c r="D16" s="87" t="s">
        <v>504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SUMIF(ARM_IRON_LT1_SP[Linha de serviço PPU], D15, ARM_IRON_LT1_SP[QUA])</f>
        <v>1870</v>
      </c>
      <c r="K16" s="91">
        <f>J16*N5</f>
        <v>1776.5</v>
      </c>
      <c r="L16" s="92">
        <f>VLOOKUP(D15,PPU_IRON_LT1[[Linha de Serviço]:[P. Unitário (R$)]],4,0)</f>
        <v>3.55</v>
      </c>
      <c r="M16" s="93">
        <f>K16*L16</f>
        <v>6306.5749999999998</v>
      </c>
      <c r="N16" s="265"/>
      <c r="Q16" s="48"/>
    </row>
    <row r="17" spans="1:17" ht="14.25" customHeight="1" x14ac:dyDescent="0.3">
      <c r="A17" s="45"/>
      <c r="B17" s="45"/>
      <c r="C17" s="87"/>
      <c r="D17" s="95">
        <f>SUMIF(  ARM_IRON_LT1_SP[Linha de serviço PPU], D15, ARM_IRON_LT1_SP[QUAm-1])</f>
        <v>1870</v>
      </c>
      <c r="E17" s="96">
        <f>SUMIF(  ARM_IRON_LT1_SP[Linha de serviço PPU], D15, ARM_IRON_LT1_SP[QBm])</f>
        <v>0</v>
      </c>
      <c r="F17" s="96">
        <f>SUMIF(  ARM_IRON_LT1_SP[Linha de serviço PPU], D15, ARM_IRON_LT1_SP[QDm])</f>
        <v>0</v>
      </c>
      <c r="G17" s="97">
        <f>SUMIF(  ARM_IRON_LT1_SP[Linha de serviço PPU], D15, ARM_IRON_LT1_SP[QNm])</f>
        <v>0</v>
      </c>
      <c r="H17" s="98">
        <f>(D17-E17-F17)+G17</f>
        <v>1870</v>
      </c>
      <c r="I17" s="99"/>
      <c r="J17" s="100"/>
      <c r="K17" s="101"/>
      <c r="L17" s="102"/>
      <c r="M17" s="103"/>
      <c r="N17" s="266"/>
      <c r="Q17" s="48"/>
    </row>
    <row r="18" spans="1:17" ht="15" customHeight="1" x14ac:dyDescent="0.3">
      <c r="A18" s="45"/>
      <c r="B18" s="45"/>
      <c r="C18" s="79"/>
      <c r="D18" s="80" t="s">
        <v>213</v>
      </c>
      <c r="E18" s="263" t="s">
        <v>685</v>
      </c>
      <c r="F18" s="256"/>
      <c r="G18" s="256"/>
      <c r="H18" s="256"/>
      <c r="I18" s="104"/>
      <c r="J18" s="105"/>
      <c r="K18" s="83"/>
      <c r="M18" s="107"/>
      <c r="N18" s="264"/>
      <c r="Q18" s="48"/>
    </row>
    <row r="19" spans="1:17" ht="14.25" customHeight="1" x14ac:dyDescent="0.3">
      <c r="A19" s="45"/>
      <c r="B19" s="45"/>
      <c r="C19" s="86" t="s">
        <v>75</v>
      </c>
      <c r="D19" s="87" t="s">
        <v>504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SUMIF(ARM_IRON_LT1_SP[Linha de serviço PPU], D18, ARM_IRON_LT1_SP[QUA])</f>
        <v>4951</v>
      </c>
      <c r="K19" s="91">
        <f>J19*N5</f>
        <v>4703.45</v>
      </c>
      <c r="L19" s="92">
        <f>VLOOKUP(D18,PPU_IRON_LT1[[Linha de Serviço]:[P. Unitário (R$)]],4,0)</f>
        <v>0.74</v>
      </c>
      <c r="M19" s="93">
        <f>K19*L19</f>
        <v>3480.5529999999999</v>
      </c>
      <c r="N19" s="265"/>
      <c r="Q19" s="48"/>
    </row>
    <row r="20" spans="1:17" ht="14.25" customHeight="1" x14ac:dyDescent="0.3">
      <c r="A20" s="45"/>
      <c r="B20" s="45"/>
      <c r="C20" s="87"/>
      <c r="D20" s="95">
        <f>SUMIF(  ARM_IRON_LT1_SP[Linha de serviço PPU], D18, ARM_IRON_LT1_SP[QUAm-1])</f>
        <v>4822</v>
      </c>
      <c r="E20" s="96">
        <f>SUMIF(  ARM_IRON_LT1_SP[Linha de serviço PPU], D18, ARM_IRON_LT1_SP[QBm])</f>
        <v>0</v>
      </c>
      <c r="F20" s="96">
        <f>SUMIF(  ARM_IRON_LT1_SP[Linha de serviço PPU], D18, ARM_IRON_LT1_SP[QDm])</f>
        <v>0</v>
      </c>
      <c r="G20" s="97">
        <f>SUMIF(  ARM_IRON_LT1_SP[Linha de serviço PPU], D18, ARM_IRON_LT1_SP[QNm])</f>
        <v>129</v>
      </c>
      <c r="H20" s="98">
        <f>(D20-E20-F20)+G20</f>
        <v>4951</v>
      </c>
      <c r="I20" s="99"/>
      <c r="J20" s="100"/>
      <c r="K20" s="101"/>
      <c r="L20" s="102"/>
      <c r="M20" s="103"/>
      <c r="N20" s="266"/>
      <c r="Q20" s="48"/>
    </row>
    <row r="21" spans="1:17" ht="15" customHeight="1" x14ac:dyDescent="0.3">
      <c r="A21" s="45"/>
      <c r="B21" s="45"/>
      <c r="C21" s="79"/>
      <c r="D21" s="80" t="s">
        <v>214</v>
      </c>
      <c r="E21" s="263" t="s">
        <v>686</v>
      </c>
      <c r="F21" s="256"/>
      <c r="G21" s="256"/>
      <c r="H21" s="256"/>
      <c r="I21" s="104"/>
      <c r="J21" s="105"/>
      <c r="K21" s="83"/>
      <c r="L21" s="106"/>
      <c r="M21" s="107"/>
      <c r="N21" s="264"/>
      <c r="Q21" s="48"/>
    </row>
    <row r="22" spans="1:17" ht="14.25" customHeight="1" x14ac:dyDescent="0.3">
      <c r="A22" s="45"/>
      <c r="B22" s="45"/>
      <c r="C22" s="86" t="s">
        <v>77</v>
      </c>
      <c r="D22" s="87" t="s">
        <v>504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SUMIF(ARM_IRON_LT1_SP[Linha de serviço PPU], D21, ARM_IRON_LT1_SP[QUA])</f>
        <v>0</v>
      </c>
      <c r="K22" s="91">
        <f>J22*N5</f>
        <v>0</v>
      </c>
      <c r="L22" s="92">
        <f>VLOOKUP(D21,PPU_IRON_LT1[[Linha de Serviço]:[P. Unitário (R$)]],4,0)</f>
        <v>56.11</v>
      </c>
      <c r="M22" s="93">
        <f>K22*L22</f>
        <v>0</v>
      </c>
      <c r="N22" s="265"/>
      <c r="Q22" s="48"/>
    </row>
    <row r="23" spans="1:17" ht="14.25" customHeight="1" x14ac:dyDescent="0.3">
      <c r="A23" s="45"/>
      <c r="B23" s="45"/>
      <c r="C23" s="87"/>
      <c r="D23" s="95">
        <f>SUMIF(  ARM_IRON_LT1_SP[Linha de serviço PPU], D21, ARM_IRON_LT1_SP[QUAm-1])</f>
        <v>0</v>
      </c>
      <c r="E23" s="96">
        <f>SUMIF(  ARM_IRON_LT1_SP[Linha de serviço PPU], D21, ARM_IRON_LT1_SP[QBm])</f>
        <v>0</v>
      </c>
      <c r="F23" s="96">
        <f>SUMIF(  ARM_IRON_LT1_SP[Linha de serviço PPU], D21, ARM_IRON_LT1_SP[QDm])</f>
        <v>0</v>
      </c>
      <c r="G23" s="97">
        <f>SUMIF(  ARM_IRON_LT1_SP[Linha de serviço PPU], D21, ARM_IRON_LT1_SP[QNm])</f>
        <v>0</v>
      </c>
      <c r="H23" s="98">
        <f>(D23-E23-F23)+G23</f>
        <v>0</v>
      </c>
      <c r="I23" s="99"/>
      <c r="J23" s="100"/>
      <c r="K23" s="101"/>
      <c r="L23" s="102"/>
      <c r="M23" s="103"/>
      <c r="N23" s="266"/>
      <c r="Q23" s="48"/>
    </row>
    <row r="24" spans="1:17" ht="15" customHeight="1" x14ac:dyDescent="0.3">
      <c r="A24" s="45"/>
      <c r="B24" s="45"/>
      <c r="C24" s="79"/>
      <c r="D24" s="80" t="s">
        <v>215</v>
      </c>
      <c r="E24" s="263" t="s">
        <v>687</v>
      </c>
      <c r="F24" s="256"/>
      <c r="G24" s="256"/>
      <c r="H24" s="256"/>
      <c r="I24" s="104"/>
      <c r="J24" s="105"/>
      <c r="K24" s="83"/>
      <c r="L24" s="106"/>
      <c r="M24" s="107"/>
      <c r="N24" s="264"/>
      <c r="Q24" s="48"/>
    </row>
    <row r="25" spans="1:17" ht="14.25" customHeight="1" x14ac:dyDescent="0.3">
      <c r="A25" s="45"/>
      <c r="B25" s="45"/>
      <c r="C25" s="86" t="s">
        <v>84</v>
      </c>
      <c r="D25" s="87" t="s">
        <v>504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SUMIF(ARM_IRON_LT1_SP[Linha de serviço PPU], D24, ARM_IRON_LT1_SP[QUA])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65"/>
      <c r="Q25" s="48"/>
    </row>
    <row r="26" spans="1:17" ht="14.25" customHeight="1" x14ac:dyDescent="0.3">
      <c r="A26" s="45"/>
      <c r="B26" s="45"/>
      <c r="C26" s="87"/>
      <c r="D26" s="95">
        <f>SUMIF(  ARM_IRON_LT1_SP[Linha de serviço PPU], D24, ARM_IRON_LT1_SP[QUAm-1])</f>
        <v>0</v>
      </c>
      <c r="E26" s="96">
        <f>SUMIF(  ARM_IRON_LT1_SP[Linha de serviço PPU], D24, ARM_IRON_LT1_SP[QBm])</f>
        <v>0</v>
      </c>
      <c r="F26" s="96">
        <f>SUMIF(  ARM_IRON_LT1_SP[Linha de serviço PPU], D24, ARM_IRON_LT1_SP[QDm])</f>
        <v>0</v>
      </c>
      <c r="G26" s="97">
        <f>SUMIF(  ARM_IRON_LT1_SP[Linha de serviço PPU], D24, ARM_IRON_LT1_SP[QNm])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66"/>
      <c r="Q26" s="48"/>
    </row>
    <row r="27" spans="1:17" ht="15" customHeight="1" x14ac:dyDescent="0.3">
      <c r="A27" s="45"/>
      <c r="B27" s="45"/>
      <c r="C27" s="79"/>
      <c r="D27" s="80" t="s">
        <v>216</v>
      </c>
      <c r="E27" s="263" t="s">
        <v>688</v>
      </c>
      <c r="F27" s="256"/>
      <c r="G27" s="256"/>
      <c r="H27" s="256"/>
      <c r="I27" s="110"/>
      <c r="J27" s="111"/>
      <c r="K27" s="91"/>
      <c r="L27" s="92"/>
      <c r="M27" s="93"/>
      <c r="N27" s="264"/>
      <c r="Q27" s="48"/>
    </row>
    <row r="28" spans="1:17" ht="14.25" customHeight="1" x14ac:dyDescent="0.3">
      <c r="A28" s="45"/>
      <c r="B28" s="45"/>
      <c r="C28" s="86" t="s">
        <v>87</v>
      </c>
      <c r="D28" s="87" t="s">
        <v>504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SUMIF(ARM_IRON_LT1_SP[Linha de serviço PPU], D27, ARM_IRON_LT1_SP[QUA])</f>
        <v>0</v>
      </c>
      <c r="K28" s="91">
        <f>J28*N5</f>
        <v>0</v>
      </c>
      <c r="L28" s="92">
        <f>VLOOKUP(D27,PPU_IRON_LT1[[Linha de Serviço]:[P. Unitário (R$)]],4,0)</f>
        <v>0.08</v>
      </c>
      <c r="M28" s="93">
        <f>K28*L28</f>
        <v>0</v>
      </c>
      <c r="N28" s="265"/>
      <c r="Q28" s="48"/>
    </row>
    <row r="29" spans="1:17" ht="14.25" customHeight="1" x14ac:dyDescent="0.3">
      <c r="A29" s="45"/>
      <c r="B29" s="45"/>
      <c r="C29" s="87"/>
      <c r="D29" s="95">
        <f>SUMIF(  ARM_IRON_LT1_SP[Linha de serviço PPU], D27, ARM_IRON_LT1_SP[QUAm-1])</f>
        <v>0</v>
      </c>
      <c r="E29" s="96">
        <f>SUMIF(  ARM_IRON_LT1_SP[Linha de serviço PPU], D27, ARM_IRON_LT1_SP[QBm])</f>
        <v>0</v>
      </c>
      <c r="F29" s="96">
        <f>SUMIF(  ARM_IRON_LT1_SP[Linha de serviço PPU], D27, ARM_IRON_LT1_SP[QDm])</f>
        <v>0</v>
      </c>
      <c r="G29" s="97">
        <f>SUMIF(  ARM_IRON_LT1_SP[Linha de serviço PPU], D27, ARM_IRON_LT1_SP[QNm])</f>
        <v>0</v>
      </c>
      <c r="H29" s="98">
        <f>(D29-E29-F29)+G29</f>
        <v>0</v>
      </c>
      <c r="I29" s="99"/>
      <c r="J29" s="111"/>
      <c r="K29" s="101"/>
      <c r="L29" s="92"/>
      <c r="M29" s="93"/>
      <c r="N29" s="266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67" t="s">
        <v>689</v>
      </c>
      <c r="F30" s="267"/>
      <c r="G30" s="267"/>
      <c r="H30" s="268"/>
      <c r="I30" s="162" t="s">
        <v>90</v>
      </c>
      <c r="J30" s="166">
        <f>SUMIF( DADOS_IRON_LT1_SP[Linha de serviço PPU], D30, DADOS_IRON_LT1_SP[QExecAgrupado])</f>
        <v>11</v>
      </c>
      <c r="K30" s="164">
        <f>J30*N5</f>
        <v>10.45</v>
      </c>
      <c r="L30" s="160">
        <f>VLOOKUP(D30,PPU_IRON_LT1[[Linha de Serviço]:[P. Unitário (R$)]],4,0)</f>
        <v>125.89</v>
      </c>
      <c r="M30" s="225">
        <f>K30*L30</f>
        <v>1315.5504999999998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6" t="s">
        <v>690</v>
      </c>
      <c r="F31" s="256"/>
      <c r="G31" s="256"/>
      <c r="H31" s="256"/>
      <c r="I31" s="163" t="s">
        <v>90</v>
      </c>
      <c r="J31" s="166">
        <f>SUMIF( DADOS_IRON_LT1_SP[Linha de serviço PPU], D31, DADOS_IRON_LT1_SP[QExecAgrupado])</f>
        <v>1</v>
      </c>
      <c r="K31" s="164">
        <f>J31*N5</f>
        <v>0.95</v>
      </c>
      <c r="L31" s="160">
        <f>VLOOKUP(D31,PPU_IRON_LT1[[Linha de Serviço]:[P. Unitário (R$)]],4,0)</f>
        <v>200</v>
      </c>
      <c r="M31" s="225">
        <f t="shared" ref="M31:M47" si="0">K31*L31</f>
        <v>190</v>
      </c>
      <c r="N31" s="115"/>
      <c r="Q31" s="48"/>
    </row>
    <row r="32" spans="1:17" ht="15" customHeight="1" x14ac:dyDescent="0.3">
      <c r="A32" s="45"/>
      <c r="B32" s="45"/>
      <c r="C32" s="116" t="s">
        <v>649</v>
      </c>
      <c r="D32" s="80" t="s">
        <v>691</v>
      </c>
      <c r="E32" s="256" t="s">
        <v>692</v>
      </c>
      <c r="F32" s="256"/>
      <c r="G32" s="256"/>
      <c r="H32" s="256"/>
      <c r="I32" s="163" t="s">
        <v>650</v>
      </c>
      <c r="J32" s="166">
        <f>SUM(DADOS_IRON_LT1_SP[KM Adicional])</f>
        <v>301</v>
      </c>
      <c r="K32" s="164">
        <f>J32*N5</f>
        <v>285.95</v>
      </c>
      <c r="L32" s="160">
        <f>VLOOKUP(D32,PPU_IRON_LT1[[Linha de Serviço]:[P. Unitário (R$)]],4,0)</f>
        <v>0.5</v>
      </c>
      <c r="M32" s="225">
        <f t="shared" si="0"/>
        <v>142.97499999999999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57" t="s">
        <v>13</v>
      </c>
      <c r="F33" s="258"/>
      <c r="G33" s="258"/>
      <c r="H33" s="259"/>
      <c r="I33" s="163" t="s">
        <v>651</v>
      </c>
      <c r="J33" s="166">
        <f>SUMIF( DADOS_IRON_LT1_SP[Linha de serviço PPU], D33, DADOS_IRON_LT1_SP[QExecAgrupado])</f>
        <v>0</v>
      </c>
      <c r="K33" s="164">
        <f>J33*N5</f>
        <v>0</v>
      </c>
      <c r="L33" s="160">
        <f>VLOOKUP(D33,PPU_IRON_LT1[[Linha de Serviço]:[P. Unitário (R$)]],4,0)</f>
        <v>1.96</v>
      </c>
      <c r="M33" s="225">
        <f t="shared" si="0"/>
        <v>0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57" t="s">
        <v>15</v>
      </c>
      <c r="F34" s="258"/>
      <c r="G34" s="258"/>
      <c r="H34" s="259"/>
      <c r="I34" s="163" t="s">
        <v>651</v>
      </c>
      <c r="J34" s="166">
        <f>SUMIF( DADOS_IRON_LT1_SP[Linha de serviço PPU], D34, DADOS_IRON_LT1_SP[QExecAgrupado])</f>
        <v>0</v>
      </c>
      <c r="K34" s="164">
        <f>J34*N5</f>
        <v>0</v>
      </c>
      <c r="L34" s="160">
        <f>VLOOKUP(D34,PPU_IRON_LT1[[Linha de Serviço]:[P. Unitário (R$)]],4,0)</f>
        <v>1.35</v>
      </c>
      <c r="M34" s="225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57" t="s">
        <v>693</v>
      </c>
      <c r="F35" s="258"/>
      <c r="G35" s="258"/>
      <c r="H35" s="259"/>
      <c r="I35" s="163" t="s">
        <v>108</v>
      </c>
      <c r="J35" s="166">
        <f>SUMIF( DADOS_IRON_LT1_SP[Linha de serviço PPU], D35, DADOS_IRON_LT1_SP[QExecAgrupado])</f>
        <v>0</v>
      </c>
      <c r="K35" s="164">
        <f>J35*N5</f>
        <v>0</v>
      </c>
      <c r="L35" s="160">
        <f>VLOOKUP(D35,PPU_IRON_LT1[[Linha de Serviço]:[P. Unitário (R$)]],4,0)</f>
        <v>594488.34</v>
      </c>
      <c r="M35" s="225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57" t="s">
        <v>694</v>
      </c>
      <c r="F36" s="258"/>
      <c r="G36" s="258"/>
      <c r="H36" s="259"/>
      <c r="I36" s="163" t="s">
        <v>67</v>
      </c>
      <c r="J36" s="166">
        <f>SUMIF( DADOS_IRON_LT1_SP[Linha de serviço PPU], D36, DADOS_IRON_LT1_SP[QExecAgrupado])</f>
        <v>0</v>
      </c>
      <c r="K36" s="164">
        <f>J36*N5</f>
        <v>0</v>
      </c>
      <c r="L36" s="160">
        <f>VLOOKUP(D36,PPU_IRON_LT1[[Linha de Serviço]:[P. Unitário (R$)]],4,0)</f>
        <v>1.01</v>
      </c>
      <c r="M36" s="225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0" t="s">
        <v>652</v>
      </c>
      <c r="E37" s="261"/>
      <c r="F37" s="261"/>
      <c r="G37" s="261"/>
      <c r="H37" s="261"/>
      <c r="I37" s="119"/>
      <c r="J37" s="119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6" t="s">
        <v>695</v>
      </c>
      <c r="F38" s="256"/>
      <c r="G38" s="256"/>
      <c r="H38" s="256"/>
      <c r="I38" s="163" t="s">
        <v>696</v>
      </c>
      <c r="J38" s="166">
        <f>SUMIF( DADOS_IRON_LT1_SP[Linha de serviço PPU], D38, DADOS_IRON_LT1_SP[QExec])</f>
        <v>28</v>
      </c>
      <c r="K38" s="165">
        <f>J38*N7</f>
        <v>26.88</v>
      </c>
      <c r="L38" s="160">
        <f>VLOOKUP(D38,PPU_IRON_LT1[[Linha de Serviço]:[P. Unitário (R$)]],4,0)</f>
        <v>0.44</v>
      </c>
      <c r="M38" s="225">
        <f t="shared" si="0"/>
        <v>11.827199999999999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62" t="s">
        <v>697</v>
      </c>
      <c r="F39" s="262"/>
      <c r="G39" s="262"/>
      <c r="H39" s="262"/>
      <c r="I39" s="163" t="s">
        <v>67</v>
      </c>
      <c r="J39" s="166">
        <f>SUMIF( DADOS_IRON_LT1_SP[Linha de serviço PPU], D39, DADOS_IRON_LT1_SP[QExec])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225">
        <f t="shared" si="0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6" t="s">
        <v>698</v>
      </c>
      <c r="F40" s="256"/>
      <c r="G40" s="256"/>
      <c r="H40" s="256"/>
      <c r="I40" s="163" t="s">
        <v>122</v>
      </c>
      <c r="J40" s="166">
        <f>SUMIF( DADOS_IRON_LT1_SP[Linha de serviço PPU], D40, DADOS_IRON_LT1_SP[QExec])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225">
        <f t="shared" si="0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6" t="s">
        <v>699</v>
      </c>
      <c r="F41" s="256"/>
      <c r="G41" s="256"/>
      <c r="H41" s="256"/>
      <c r="I41" s="163" t="s">
        <v>122</v>
      </c>
      <c r="J41" s="166">
        <f>SUMIF( DADOS_IRON_LT1_SP[Linha de serviço PPU], D41, DADOS_IRON_LT1_SP[QExec])</f>
        <v>0</v>
      </c>
      <c r="K41" s="165">
        <f>J41*N7</f>
        <v>0</v>
      </c>
      <c r="L41" s="160">
        <f>VLOOKUP(D41,PPU_IRON_LT1[[Linha de Serviço]:[P. Unitário (R$)]],4,0)</f>
        <v>0.06</v>
      </c>
      <c r="M41" s="225">
        <f t="shared" si="0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6" t="s">
        <v>24</v>
      </c>
      <c r="F42" s="256"/>
      <c r="G42" s="256"/>
      <c r="H42" s="256"/>
      <c r="I42" s="163" t="s">
        <v>122</v>
      </c>
      <c r="J42" s="166">
        <f>SUMIF( DADOS_IRON_LT1_SP[Linha de serviço PPU], D42, DADOS_IRON_LT1_SP[QExec])</f>
        <v>526</v>
      </c>
      <c r="K42" s="165">
        <f>J42*N7</f>
        <v>504.96</v>
      </c>
      <c r="L42" s="160">
        <f>VLOOKUP(D42,PPU_IRON_LT1[[Linha de Serviço]:[P. Unitário (R$)]],4,0)</f>
        <v>0.1</v>
      </c>
      <c r="M42" s="225">
        <f t="shared" si="0"/>
        <v>50.496000000000002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6" t="s">
        <v>700</v>
      </c>
      <c r="F43" s="256"/>
      <c r="G43" s="256"/>
      <c r="H43" s="256"/>
      <c r="I43" s="163" t="s">
        <v>701</v>
      </c>
      <c r="J43" s="166">
        <f>SUMIF( DADOS_IRON_LT1_SP[Linha de serviço PPU], D43, DADOS_IRON_LT1_SP[QExec])</f>
        <v>4.5999999999999996</v>
      </c>
      <c r="K43" s="165">
        <f>J43*N7</f>
        <v>4.4159999999999995</v>
      </c>
      <c r="L43" s="160">
        <f>VLOOKUP(D43,PPU_IRON_LT1[[Linha de Serviço]:[P. Unitário (R$)]],4,0)</f>
        <v>0.23</v>
      </c>
      <c r="M43" s="225">
        <f t="shared" si="0"/>
        <v>1.0156799999999999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6" t="s">
        <v>28</v>
      </c>
      <c r="F44" s="256"/>
      <c r="G44" s="256"/>
      <c r="H44" s="256"/>
      <c r="I44" s="163" t="s">
        <v>92</v>
      </c>
      <c r="J44" s="166">
        <f>SUMIF( DADOS_IRON_LT1_SP[Linha de serviço PPU], D44, DADOS_IRON_LT1_SP[QExec])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225">
        <f t="shared" si="0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6" t="s">
        <v>30</v>
      </c>
      <c r="F45" s="256"/>
      <c r="G45" s="256"/>
      <c r="H45" s="256"/>
      <c r="I45" s="163" t="s">
        <v>92</v>
      </c>
      <c r="J45" s="166">
        <f>SUMIF( DADOS_IRON_LT1_SP[Linha de serviço PPU], D45, DADOS_IRON_LT1_SP[QExec])</f>
        <v>0</v>
      </c>
      <c r="K45" s="165">
        <f>J45*N7</f>
        <v>0</v>
      </c>
      <c r="L45" s="160">
        <f>VLOOKUP(D45,PPU_IRON_LT1[[Linha de Serviço]:[P. Unitário (R$)]],4,0)</f>
        <v>39</v>
      </c>
      <c r="M45" s="225">
        <f t="shared" si="0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6" t="s">
        <v>32</v>
      </c>
      <c r="F46" s="256"/>
      <c r="G46" s="256"/>
      <c r="H46" s="256"/>
      <c r="I46" s="163" t="s">
        <v>92</v>
      </c>
      <c r="J46" s="166">
        <f>SUMIF( DADOS_IRON_LT1_SP[Linha de serviço PPU], D46, DADOS_IRON_LT1_SP[QExec])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225">
        <f t="shared" si="0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6" t="s">
        <v>34</v>
      </c>
      <c r="F47" s="256"/>
      <c r="G47" s="256"/>
      <c r="H47" s="256"/>
      <c r="I47" s="163" t="s">
        <v>92</v>
      </c>
      <c r="J47" s="166">
        <f>SUMIF( DADOS_IRON_LT1_SP[Linha de serviço PPU], D47, DADOS_IRON_LT1_SP[QExec])</f>
        <v>0</v>
      </c>
      <c r="K47" s="165">
        <f>J47*N7</f>
        <v>0</v>
      </c>
      <c r="L47" s="160">
        <f>VLOOKUP(D47,PPU_IRON_LT1[[Linha de Serviço]:[P. Unitário (R$)]],4,0)</f>
        <v>2.44</v>
      </c>
      <c r="M47" s="225">
        <f t="shared" si="0"/>
        <v>0</v>
      </c>
      <c r="N47" s="115"/>
      <c r="Q47" s="48"/>
    </row>
    <row r="48" spans="1:17" ht="30" customHeight="1" x14ac:dyDescent="0.3">
      <c r="A48" s="45"/>
      <c r="B48" s="45"/>
      <c r="C48" s="249" t="s">
        <v>653</v>
      </c>
      <c r="D48" s="250"/>
      <c r="E48" s="250"/>
      <c r="F48" s="250"/>
      <c r="G48" s="250"/>
      <c r="H48" s="250"/>
      <c r="I48" s="248"/>
      <c r="J48" s="123"/>
      <c r="K48" s="123"/>
      <c r="L48" s="123"/>
      <c r="M48" s="124">
        <f>SUM(M12:M47)</f>
        <v>48261.14237999999</v>
      </c>
      <c r="N48" s="115"/>
      <c r="Q48" s="48"/>
    </row>
    <row r="49" spans="1:17" ht="14.25" customHeight="1" x14ac:dyDescent="0.3">
      <c r="A49" s="45"/>
      <c r="B49" s="45"/>
      <c r="C49" s="251" t="s">
        <v>654</v>
      </c>
      <c r="D49" s="252"/>
      <c r="E49" s="252"/>
      <c r="F49" s="252"/>
      <c r="G49" s="252"/>
      <c r="H49" s="252"/>
      <c r="I49" s="248"/>
      <c r="J49" s="253" t="s">
        <v>655</v>
      </c>
      <c r="K49" s="252"/>
      <c r="L49" s="252"/>
      <c r="M49" s="252"/>
      <c r="N49" s="248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53" t="s">
        <v>702</v>
      </c>
      <c r="K50" s="252"/>
      <c r="L50" s="252"/>
      <c r="M50" s="252"/>
      <c r="N50" s="248"/>
      <c r="Q50" s="48"/>
    </row>
    <row r="51" spans="1:17" ht="16.5" customHeight="1" x14ac:dyDescent="0.3">
      <c r="A51" s="45"/>
      <c r="B51" s="45"/>
      <c r="C51" s="254" t="s">
        <v>656</v>
      </c>
      <c r="D51" s="252"/>
      <c r="E51" s="252"/>
      <c r="F51" s="252"/>
      <c r="G51" s="252"/>
      <c r="H51" s="252"/>
      <c r="I51" s="252"/>
      <c r="J51" s="252"/>
      <c r="K51" s="252"/>
      <c r="L51" s="252"/>
      <c r="M51" s="252"/>
      <c r="N51" s="248"/>
      <c r="Q51" s="48"/>
    </row>
    <row r="52" spans="1:17" ht="60" customHeight="1" x14ac:dyDescent="0.3">
      <c r="A52" s="45"/>
      <c r="B52" s="45"/>
      <c r="C52" s="255"/>
      <c r="D52" s="252"/>
      <c r="E52" s="252"/>
      <c r="F52" s="252"/>
      <c r="G52" s="252"/>
      <c r="H52" s="252"/>
      <c r="I52" s="252"/>
      <c r="J52" s="252"/>
      <c r="K52" s="252"/>
      <c r="L52" s="252"/>
      <c r="M52" s="252"/>
      <c r="N52" s="248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657</v>
      </c>
      <c r="E54" s="67" t="s">
        <v>658</v>
      </c>
      <c r="F54" s="67" t="s">
        <v>659</v>
      </c>
      <c r="G54" s="67" t="s">
        <v>660</v>
      </c>
      <c r="H54" s="67"/>
      <c r="I54" s="67" t="s">
        <v>661</v>
      </c>
      <c r="J54" s="247" t="s">
        <v>662</v>
      </c>
      <c r="K54" s="248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503</v>
      </c>
      <c r="C1" t="s">
        <v>2</v>
      </c>
      <c r="D1" t="s">
        <v>504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626</v>
      </c>
      <c r="K1" t="s">
        <v>210</v>
      </c>
    </row>
    <row r="2" spans="1:11" x14ac:dyDescent="0.3">
      <c r="A2" t="s">
        <v>347</v>
      </c>
      <c r="B2" t="s">
        <v>431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211</v>
      </c>
    </row>
    <row r="3" spans="1:11" x14ac:dyDescent="0.3">
      <c r="A3" t="s">
        <v>347</v>
      </c>
      <c r="B3" t="s">
        <v>507</v>
      </c>
      <c r="C3" t="s">
        <v>71</v>
      </c>
      <c r="D3">
        <v>17224</v>
      </c>
      <c r="E3">
        <v>0</v>
      </c>
      <c r="F3">
        <v>0</v>
      </c>
      <c r="G3">
        <v>95</v>
      </c>
      <c r="H3">
        <v>17319</v>
      </c>
      <c r="I3">
        <v>0.48599999999999999</v>
      </c>
      <c r="J3">
        <v>17319</v>
      </c>
      <c r="K3" t="s">
        <v>211</v>
      </c>
    </row>
    <row r="4" spans="1:11" x14ac:dyDescent="0.3">
      <c r="A4" t="s">
        <v>347</v>
      </c>
      <c r="B4" t="s">
        <v>425</v>
      </c>
      <c r="C4" t="s">
        <v>154</v>
      </c>
      <c r="D4">
        <v>5883</v>
      </c>
      <c r="E4">
        <v>0</v>
      </c>
      <c r="F4">
        <v>0</v>
      </c>
      <c r="G4">
        <v>35</v>
      </c>
      <c r="H4">
        <v>5918</v>
      </c>
      <c r="I4">
        <v>0.505</v>
      </c>
      <c r="J4">
        <v>5918</v>
      </c>
      <c r="K4" t="s">
        <v>211</v>
      </c>
    </row>
    <row r="5" spans="1:11" x14ac:dyDescent="0.3">
      <c r="A5" t="s">
        <v>347</v>
      </c>
      <c r="B5" t="s">
        <v>432</v>
      </c>
      <c r="C5" t="s">
        <v>68</v>
      </c>
      <c r="D5">
        <v>41072</v>
      </c>
      <c r="E5">
        <v>0</v>
      </c>
      <c r="F5">
        <v>0</v>
      </c>
      <c r="G5">
        <v>186</v>
      </c>
      <c r="H5">
        <v>41258</v>
      </c>
      <c r="I5">
        <v>1</v>
      </c>
      <c r="J5">
        <v>41258</v>
      </c>
      <c r="K5" t="s">
        <v>211</v>
      </c>
    </row>
    <row r="6" spans="1:11" x14ac:dyDescent="0.3">
      <c r="A6" t="s">
        <v>347</v>
      </c>
      <c r="B6" t="s">
        <v>433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211</v>
      </c>
    </row>
    <row r="7" spans="1:11" x14ac:dyDescent="0.3">
      <c r="A7" t="s">
        <v>347</v>
      </c>
      <c r="B7" t="s">
        <v>432</v>
      </c>
      <c r="C7" t="s">
        <v>508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212</v>
      </c>
    </row>
    <row r="8" spans="1:11" x14ac:dyDescent="0.3">
      <c r="A8" t="s">
        <v>347</v>
      </c>
      <c r="B8" t="s">
        <v>426</v>
      </c>
      <c r="C8" t="s">
        <v>762</v>
      </c>
      <c r="D8">
        <v>4822</v>
      </c>
      <c r="E8">
        <v>0</v>
      </c>
      <c r="F8">
        <v>0</v>
      </c>
      <c r="G8">
        <v>129</v>
      </c>
      <c r="H8">
        <v>4951</v>
      </c>
      <c r="I8">
        <v>1</v>
      </c>
      <c r="J8">
        <v>4951</v>
      </c>
      <c r="K8" t="s">
        <v>213</v>
      </c>
    </row>
    <row r="9" spans="1:11" x14ac:dyDescent="0.3">
      <c r="A9" t="s">
        <v>347</v>
      </c>
      <c r="B9" t="s">
        <v>423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212</v>
      </c>
    </row>
    <row r="10" spans="1:11" x14ac:dyDescent="0.3">
      <c r="A10" t="s">
        <v>347</v>
      </c>
      <c r="B10" t="s">
        <v>428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215</v>
      </c>
    </row>
    <row r="11" spans="1:11" x14ac:dyDescent="0.3">
      <c r="A11" t="s">
        <v>347</v>
      </c>
      <c r="B11" t="s">
        <v>509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215</v>
      </c>
    </row>
    <row r="12" spans="1:11" x14ac:dyDescent="0.3">
      <c r="A12" t="s">
        <v>347</v>
      </c>
      <c r="B12" t="s">
        <v>429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216</v>
      </c>
    </row>
    <row r="13" spans="1:11" x14ac:dyDescent="0.3">
      <c r="A13" t="s">
        <v>347</v>
      </c>
      <c r="B13" t="s">
        <v>428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215</v>
      </c>
    </row>
    <row r="14" spans="1:11" x14ac:dyDescent="0.3">
      <c r="A14" t="s">
        <v>347</v>
      </c>
      <c r="B14" t="s">
        <v>509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35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29.332031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634</v>
      </c>
      <c r="R1" t="s">
        <v>141</v>
      </c>
      <c r="S1" t="s">
        <v>628</v>
      </c>
      <c r="T1" t="s">
        <v>629</v>
      </c>
      <c r="U1" t="s">
        <v>630</v>
      </c>
      <c r="V1" t="s">
        <v>631</v>
      </c>
      <c r="W1" t="s">
        <v>632</v>
      </c>
      <c r="X1" t="s">
        <v>633</v>
      </c>
      <c r="Y1" t="s">
        <v>524</v>
      </c>
      <c r="Z1" t="s">
        <v>160</v>
      </c>
      <c r="AA1" t="s">
        <v>40</v>
      </c>
      <c r="AB1" t="s">
        <v>367</v>
      </c>
      <c r="AC1" t="s">
        <v>522</v>
      </c>
      <c r="AD1" t="s">
        <v>210</v>
      </c>
      <c r="AE1" t="s">
        <v>521</v>
      </c>
      <c r="AF1" t="s">
        <v>525</v>
      </c>
    </row>
    <row r="2" spans="1:32" x14ac:dyDescent="0.3">
      <c r="A2" t="s">
        <v>347</v>
      </c>
      <c r="B2" t="s">
        <v>43</v>
      </c>
      <c r="C2" t="s">
        <v>105</v>
      </c>
      <c r="D2" t="s">
        <v>309</v>
      </c>
      <c r="E2" t="s">
        <v>942</v>
      </c>
      <c r="F2" s="15">
        <v>46240.387291666666</v>
      </c>
      <c r="G2" t="s">
        <v>402</v>
      </c>
      <c r="H2">
        <v>2</v>
      </c>
      <c r="I2" t="s">
        <v>943</v>
      </c>
      <c r="J2" s="15">
        <v>46240.632638888892</v>
      </c>
      <c r="K2" s="15">
        <v>46241.395138888889</v>
      </c>
      <c r="L2" s="15"/>
      <c r="M2">
        <v>2</v>
      </c>
      <c r="O2" t="s">
        <v>201</v>
      </c>
      <c r="P2" t="s">
        <v>1954</v>
      </c>
      <c r="S2" t="s">
        <v>360</v>
      </c>
      <c r="T2" t="s">
        <v>371</v>
      </c>
      <c r="U2" t="s">
        <v>240</v>
      </c>
      <c r="V2" t="s">
        <v>347</v>
      </c>
      <c r="W2" t="s">
        <v>351</v>
      </c>
      <c r="X2" t="s">
        <v>240</v>
      </c>
      <c r="Y2">
        <v>13</v>
      </c>
      <c r="AA2" t="s">
        <v>67</v>
      </c>
      <c r="AB2" t="s">
        <v>360</v>
      </c>
      <c r="AC2">
        <v>2480</v>
      </c>
      <c r="AD2" t="s">
        <v>217</v>
      </c>
      <c r="AE2">
        <v>1</v>
      </c>
      <c r="AF2">
        <v>1</v>
      </c>
    </row>
    <row r="3" spans="1:32" x14ac:dyDescent="0.3">
      <c r="A3" t="s">
        <v>347</v>
      </c>
      <c r="B3" t="s">
        <v>47</v>
      </c>
      <c r="C3" t="s">
        <v>68</v>
      </c>
      <c r="D3" t="s">
        <v>309</v>
      </c>
      <c r="E3" t="s">
        <v>944</v>
      </c>
      <c r="F3" s="15">
        <v>46233.496469907404</v>
      </c>
      <c r="G3" t="s">
        <v>401</v>
      </c>
      <c r="H3">
        <v>2</v>
      </c>
      <c r="I3" t="s">
        <v>945</v>
      </c>
      <c r="J3" s="15">
        <v>46233.658877314818</v>
      </c>
      <c r="K3" s="15">
        <v>46234.427083333336</v>
      </c>
      <c r="L3" s="15"/>
      <c r="M3">
        <v>2</v>
      </c>
      <c r="O3" t="s">
        <v>146</v>
      </c>
      <c r="P3" t="s">
        <v>1954</v>
      </c>
      <c r="S3" t="s">
        <v>360</v>
      </c>
      <c r="T3" t="s">
        <v>371</v>
      </c>
      <c r="U3" t="s">
        <v>240</v>
      </c>
      <c r="V3" t="s">
        <v>347</v>
      </c>
      <c r="W3" t="s">
        <v>351</v>
      </c>
      <c r="X3" t="s">
        <v>240</v>
      </c>
      <c r="Y3">
        <v>13</v>
      </c>
      <c r="AA3" t="s">
        <v>90</v>
      </c>
      <c r="AB3" t="s">
        <v>360</v>
      </c>
      <c r="AC3">
        <v>2480</v>
      </c>
      <c r="AD3" t="s">
        <v>218</v>
      </c>
      <c r="AE3">
        <v>1</v>
      </c>
      <c r="AF3">
        <v>1</v>
      </c>
    </row>
    <row r="4" spans="1:32" x14ac:dyDescent="0.3">
      <c r="A4" t="s">
        <v>347</v>
      </c>
      <c r="B4" t="s">
        <v>45</v>
      </c>
      <c r="C4" t="s">
        <v>68</v>
      </c>
      <c r="D4" t="s">
        <v>309</v>
      </c>
      <c r="E4" t="s">
        <v>946</v>
      </c>
      <c r="F4" s="15">
        <v>46218.662442129629</v>
      </c>
      <c r="G4" t="s">
        <v>947</v>
      </c>
      <c r="H4">
        <v>50</v>
      </c>
      <c r="I4" t="s">
        <v>948</v>
      </c>
      <c r="J4" s="15">
        <v>46219.407569444447</v>
      </c>
      <c r="K4" s="15">
        <v>46224.486111111109</v>
      </c>
      <c r="L4" s="15">
        <v>46224.486111111109</v>
      </c>
      <c r="M4">
        <v>50</v>
      </c>
      <c r="O4" t="s">
        <v>201</v>
      </c>
      <c r="P4" t="s">
        <v>1956</v>
      </c>
      <c r="S4" t="s">
        <v>360</v>
      </c>
      <c r="T4" t="s">
        <v>371</v>
      </c>
      <c r="U4" t="s">
        <v>240</v>
      </c>
      <c r="V4" t="s">
        <v>347</v>
      </c>
      <c r="W4" t="s">
        <v>351</v>
      </c>
      <c r="X4" t="s">
        <v>240</v>
      </c>
      <c r="Y4">
        <v>13</v>
      </c>
      <c r="AA4" t="s">
        <v>67</v>
      </c>
      <c r="AB4" t="s">
        <v>360</v>
      </c>
      <c r="AC4">
        <v>2480</v>
      </c>
      <c r="AD4" t="s">
        <v>217</v>
      </c>
      <c r="AE4">
        <v>5</v>
      </c>
      <c r="AF4">
        <v>1</v>
      </c>
    </row>
    <row r="5" spans="1:32" x14ac:dyDescent="0.3">
      <c r="A5" t="s">
        <v>347</v>
      </c>
      <c r="B5" t="s">
        <v>45</v>
      </c>
      <c r="C5" t="s">
        <v>68</v>
      </c>
      <c r="D5" t="s">
        <v>309</v>
      </c>
      <c r="E5" t="s">
        <v>949</v>
      </c>
      <c r="F5" s="15">
        <v>46218.662719907406</v>
      </c>
      <c r="G5" t="s">
        <v>947</v>
      </c>
      <c r="H5">
        <v>50</v>
      </c>
      <c r="I5" t="s">
        <v>950</v>
      </c>
      <c r="J5" s="15">
        <v>46219.408703703702</v>
      </c>
      <c r="K5" s="15">
        <v>46224.486111111109</v>
      </c>
      <c r="L5" s="15">
        <v>46224.486111111109</v>
      </c>
      <c r="M5">
        <v>50</v>
      </c>
      <c r="O5" t="s">
        <v>201</v>
      </c>
      <c r="P5" t="s">
        <v>1956</v>
      </c>
      <c r="S5" t="s">
        <v>360</v>
      </c>
      <c r="T5" t="s">
        <v>371</v>
      </c>
      <c r="U5" t="s">
        <v>240</v>
      </c>
      <c r="V5" t="s">
        <v>347</v>
      </c>
      <c r="W5" t="s">
        <v>351</v>
      </c>
      <c r="X5" t="s">
        <v>240</v>
      </c>
      <c r="AA5" t="s">
        <v>67</v>
      </c>
      <c r="AB5" t="s">
        <v>360</v>
      </c>
      <c r="AC5">
        <v>2480</v>
      </c>
      <c r="AD5" t="s">
        <v>217</v>
      </c>
      <c r="AE5">
        <v>5</v>
      </c>
    </row>
    <row r="6" spans="1:32" x14ac:dyDescent="0.3">
      <c r="A6" t="s">
        <v>347</v>
      </c>
      <c r="B6" t="s">
        <v>48</v>
      </c>
      <c r="C6" t="s">
        <v>68</v>
      </c>
      <c r="D6" t="s">
        <v>309</v>
      </c>
      <c r="E6" t="s">
        <v>951</v>
      </c>
      <c r="F6" s="15">
        <v>46156.383645833332</v>
      </c>
      <c r="G6" t="s">
        <v>402</v>
      </c>
      <c r="H6">
        <v>1</v>
      </c>
      <c r="I6" t="s">
        <v>952</v>
      </c>
      <c r="J6" s="15">
        <v>46226.400000000001</v>
      </c>
      <c r="K6" s="15">
        <v>46230.438194444447</v>
      </c>
      <c r="L6" s="15"/>
      <c r="M6">
        <v>1</v>
      </c>
      <c r="O6" t="s">
        <v>201</v>
      </c>
      <c r="P6" t="s">
        <v>1956</v>
      </c>
      <c r="S6" t="s">
        <v>360</v>
      </c>
      <c r="T6" t="s">
        <v>371</v>
      </c>
      <c r="U6" t="s">
        <v>240</v>
      </c>
      <c r="V6" t="s">
        <v>347</v>
      </c>
      <c r="W6" t="s">
        <v>351</v>
      </c>
      <c r="X6" t="s">
        <v>240</v>
      </c>
      <c r="Y6">
        <v>13</v>
      </c>
      <c r="AA6" t="s">
        <v>90</v>
      </c>
      <c r="AB6" t="s">
        <v>360</v>
      </c>
      <c r="AC6">
        <v>2480</v>
      </c>
      <c r="AD6" t="s">
        <v>217</v>
      </c>
      <c r="AE6">
        <v>1</v>
      </c>
      <c r="AF6">
        <v>1</v>
      </c>
    </row>
    <row r="7" spans="1:32" x14ac:dyDescent="0.3">
      <c r="A7" t="s">
        <v>347</v>
      </c>
      <c r="B7" t="s">
        <v>51</v>
      </c>
      <c r="C7" t="s">
        <v>258</v>
      </c>
      <c r="D7" t="s">
        <v>309</v>
      </c>
      <c r="E7" t="s">
        <v>1046</v>
      </c>
      <c r="F7" s="15">
        <v>46232.64707175926</v>
      </c>
      <c r="G7" t="s">
        <v>1047</v>
      </c>
      <c r="H7">
        <v>150</v>
      </c>
      <c r="I7" t="s">
        <v>1048</v>
      </c>
      <c r="J7" s="15">
        <v>46233.367361111108</v>
      </c>
      <c r="K7" s="15">
        <v>46234.420138888891</v>
      </c>
      <c r="L7" s="15"/>
      <c r="M7">
        <v>150</v>
      </c>
      <c r="O7" t="s">
        <v>201</v>
      </c>
      <c r="P7" t="s">
        <v>1954</v>
      </c>
      <c r="S7" t="s">
        <v>360</v>
      </c>
      <c r="T7" t="s">
        <v>371</v>
      </c>
      <c r="U7" t="s">
        <v>240</v>
      </c>
      <c r="V7" t="s">
        <v>7</v>
      </c>
      <c r="W7" t="s">
        <v>7</v>
      </c>
      <c r="X7" t="s">
        <v>7</v>
      </c>
      <c r="AA7" t="s">
        <v>238</v>
      </c>
      <c r="AB7" t="s">
        <v>360</v>
      </c>
      <c r="AC7">
        <v>2480</v>
      </c>
      <c r="AD7" t="s">
        <v>7</v>
      </c>
      <c r="AF7">
        <v>0</v>
      </c>
    </row>
    <row r="8" spans="1:32" x14ac:dyDescent="0.3">
      <c r="A8" t="s">
        <v>347</v>
      </c>
      <c r="B8" t="s">
        <v>51</v>
      </c>
      <c r="C8" t="s">
        <v>258</v>
      </c>
      <c r="D8" t="s">
        <v>309</v>
      </c>
      <c r="E8" t="s">
        <v>1049</v>
      </c>
      <c r="F8" s="15">
        <v>46232.645833333336</v>
      </c>
      <c r="G8" t="s">
        <v>1047</v>
      </c>
      <c r="H8">
        <v>150</v>
      </c>
      <c r="I8" t="s">
        <v>1050</v>
      </c>
      <c r="J8" s="15">
        <v>46232.686111111114</v>
      </c>
      <c r="K8" s="15">
        <v>46234.420138888891</v>
      </c>
      <c r="L8" s="15"/>
      <c r="M8">
        <v>150</v>
      </c>
      <c r="O8" t="s">
        <v>201</v>
      </c>
      <c r="P8" t="s">
        <v>1954</v>
      </c>
      <c r="S8" t="s">
        <v>360</v>
      </c>
      <c r="T8" t="s">
        <v>371</v>
      </c>
      <c r="U8" t="s">
        <v>240</v>
      </c>
      <c r="V8" t="s">
        <v>7</v>
      </c>
      <c r="W8" t="s">
        <v>7</v>
      </c>
      <c r="X8" t="s">
        <v>7</v>
      </c>
      <c r="AA8" t="s">
        <v>238</v>
      </c>
      <c r="AB8" t="s">
        <v>360</v>
      </c>
      <c r="AC8">
        <v>2480</v>
      </c>
      <c r="AD8" t="s">
        <v>7</v>
      </c>
    </row>
    <row r="9" spans="1:32" x14ac:dyDescent="0.3">
      <c r="A9" t="s">
        <v>347</v>
      </c>
      <c r="B9" t="s">
        <v>51</v>
      </c>
      <c r="C9" t="s">
        <v>258</v>
      </c>
      <c r="D9" t="s">
        <v>309</v>
      </c>
      <c r="E9" t="s">
        <v>1255</v>
      </c>
      <c r="F9" s="15">
        <v>46253.364374999997</v>
      </c>
      <c r="G9" t="s">
        <v>759</v>
      </c>
      <c r="H9">
        <v>105</v>
      </c>
      <c r="I9" t="s">
        <v>1256</v>
      </c>
      <c r="J9" s="15">
        <v>46253.631249999999</v>
      </c>
      <c r="K9" s="15">
        <v>46254.472222222219</v>
      </c>
      <c r="L9" s="15"/>
      <c r="M9">
        <v>105</v>
      </c>
      <c r="O9" t="s">
        <v>201</v>
      </c>
      <c r="P9" t="s">
        <v>1954</v>
      </c>
      <c r="S9" t="s">
        <v>1257</v>
      </c>
      <c r="T9" t="s">
        <v>1258</v>
      </c>
      <c r="U9" t="s">
        <v>240</v>
      </c>
      <c r="V9" t="s">
        <v>7</v>
      </c>
      <c r="W9" t="s">
        <v>7</v>
      </c>
      <c r="X9" t="s">
        <v>7</v>
      </c>
      <c r="AA9" t="s">
        <v>238</v>
      </c>
      <c r="AB9" t="s">
        <v>1257</v>
      </c>
      <c r="AD9" t="s">
        <v>7</v>
      </c>
      <c r="AF9">
        <v>0</v>
      </c>
    </row>
    <row r="10" spans="1:32" x14ac:dyDescent="0.3">
      <c r="A10" t="s">
        <v>347</v>
      </c>
      <c r="B10" t="s">
        <v>51</v>
      </c>
      <c r="C10" t="s">
        <v>258</v>
      </c>
      <c r="D10" t="s">
        <v>309</v>
      </c>
      <c r="E10" t="s">
        <v>1259</v>
      </c>
      <c r="F10" s="15">
        <v>46252.495659722219</v>
      </c>
      <c r="G10" t="s">
        <v>1260</v>
      </c>
      <c r="H10">
        <v>220</v>
      </c>
      <c r="I10" t="s">
        <v>1261</v>
      </c>
      <c r="J10" s="15">
        <v>46253.654861111114</v>
      </c>
      <c r="K10" s="15">
        <v>46255.357638888891</v>
      </c>
      <c r="L10" s="15"/>
      <c r="M10">
        <v>220</v>
      </c>
      <c r="O10" t="s">
        <v>201</v>
      </c>
      <c r="P10" t="s">
        <v>1954</v>
      </c>
      <c r="S10" t="s">
        <v>1257</v>
      </c>
      <c r="T10" t="s">
        <v>1258</v>
      </c>
      <c r="U10" t="s">
        <v>240</v>
      </c>
      <c r="V10" t="s">
        <v>7</v>
      </c>
      <c r="W10" t="s">
        <v>7</v>
      </c>
      <c r="X10" t="s">
        <v>7</v>
      </c>
      <c r="AA10" t="s">
        <v>238</v>
      </c>
      <c r="AB10" t="s">
        <v>1257</v>
      </c>
      <c r="AD10" t="s">
        <v>7</v>
      </c>
      <c r="AF10">
        <v>0</v>
      </c>
    </row>
    <row r="11" spans="1:32" x14ac:dyDescent="0.3">
      <c r="A11" t="s">
        <v>347</v>
      </c>
      <c r="B11" t="s">
        <v>45</v>
      </c>
      <c r="C11" t="s">
        <v>68</v>
      </c>
      <c r="D11" t="s">
        <v>309</v>
      </c>
      <c r="E11" t="s">
        <v>1262</v>
      </c>
      <c r="F11" s="15">
        <v>46244.678773148145</v>
      </c>
      <c r="G11" t="s">
        <v>1260</v>
      </c>
      <c r="H11">
        <v>25</v>
      </c>
      <c r="I11" t="s">
        <v>1263</v>
      </c>
      <c r="J11" s="15">
        <v>46245.410416666666</v>
      </c>
      <c r="K11" s="15">
        <v>46246.395833333336</v>
      </c>
      <c r="L11" s="15"/>
      <c r="M11">
        <v>25</v>
      </c>
      <c r="O11" t="s">
        <v>201</v>
      </c>
      <c r="P11" t="s">
        <v>1954</v>
      </c>
      <c r="S11" t="s">
        <v>1257</v>
      </c>
      <c r="T11" t="s">
        <v>1258</v>
      </c>
      <c r="U11" t="s">
        <v>240</v>
      </c>
      <c r="V11" t="s">
        <v>347</v>
      </c>
      <c r="W11" t="s">
        <v>351</v>
      </c>
      <c r="X11" t="s">
        <v>240</v>
      </c>
      <c r="Y11">
        <v>3</v>
      </c>
      <c r="AA11" t="s">
        <v>67</v>
      </c>
      <c r="AB11" t="s">
        <v>1257</v>
      </c>
      <c r="AD11" t="s">
        <v>217</v>
      </c>
      <c r="AE11">
        <v>2.5</v>
      </c>
      <c r="AF11">
        <v>1</v>
      </c>
    </row>
    <row r="12" spans="1:32" x14ac:dyDescent="0.3">
      <c r="A12" t="s">
        <v>347</v>
      </c>
      <c r="B12" t="s">
        <v>45</v>
      </c>
      <c r="C12" t="s">
        <v>68</v>
      </c>
      <c r="D12" t="s">
        <v>309</v>
      </c>
      <c r="E12" t="s">
        <v>1264</v>
      </c>
      <c r="F12" s="15">
        <v>46252.494293981479</v>
      </c>
      <c r="G12" t="s">
        <v>1260</v>
      </c>
      <c r="H12">
        <v>25</v>
      </c>
      <c r="I12" t="s">
        <v>1265</v>
      </c>
      <c r="J12" s="15">
        <v>46252.644444444442</v>
      </c>
      <c r="K12" s="15">
        <v>46253.423611111109</v>
      </c>
      <c r="L12" s="15"/>
      <c r="M12">
        <v>25</v>
      </c>
      <c r="O12" t="s">
        <v>201</v>
      </c>
      <c r="P12" t="s">
        <v>1954</v>
      </c>
      <c r="S12" t="s">
        <v>1257</v>
      </c>
      <c r="T12" t="s">
        <v>1258</v>
      </c>
      <c r="U12" t="s">
        <v>240</v>
      </c>
      <c r="V12" t="s">
        <v>347</v>
      </c>
      <c r="W12" t="s">
        <v>351</v>
      </c>
      <c r="X12" t="s">
        <v>240</v>
      </c>
      <c r="Y12">
        <v>3</v>
      </c>
      <c r="AA12" t="s">
        <v>67</v>
      </c>
      <c r="AB12" t="s">
        <v>1257</v>
      </c>
      <c r="AD12" t="s">
        <v>217</v>
      </c>
      <c r="AE12">
        <v>2.5</v>
      </c>
      <c r="AF12">
        <v>1</v>
      </c>
    </row>
    <row r="13" spans="1:32" x14ac:dyDescent="0.3">
      <c r="A13" t="s">
        <v>347</v>
      </c>
      <c r="B13" t="s">
        <v>45</v>
      </c>
      <c r="C13" t="s">
        <v>68</v>
      </c>
      <c r="D13" t="s">
        <v>309</v>
      </c>
      <c r="E13" t="s">
        <v>1266</v>
      </c>
      <c r="F13" s="15">
        <v>46237.299120370371</v>
      </c>
      <c r="G13" t="s">
        <v>1260</v>
      </c>
      <c r="H13">
        <v>20</v>
      </c>
      <c r="I13" t="s">
        <v>1267</v>
      </c>
      <c r="J13" s="15">
        <v>46237.356944444444</v>
      </c>
      <c r="K13" s="15">
        <v>46239.371527777781</v>
      </c>
      <c r="L13" s="15"/>
      <c r="M13">
        <v>20</v>
      </c>
      <c r="O13" t="s">
        <v>201</v>
      </c>
      <c r="P13" t="s">
        <v>1956</v>
      </c>
      <c r="S13" t="s">
        <v>1257</v>
      </c>
      <c r="T13" t="s">
        <v>1258</v>
      </c>
      <c r="U13" t="s">
        <v>240</v>
      </c>
      <c r="V13" t="s">
        <v>347</v>
      </c>
      <c r="W13" t="s">
        <v>351</v>
      </c>
      <c r="X13" t="s">
        <v>240</v>
      </c>
      <c r="Y13">
        <v>3</v>
      </c>
      <c r="AA13" t="s">
        <v>67</v>
      </c>
      <c r="AB13" t="s">
        <v>1257</v>
      </c>
      <c r="AD13" t="s">
        <v>217</v>
      </c>
      <c r="AE13">
        <v>2</v>
      </c>
      <c r="AF13">
        <v>1</v>
      </c>
    </row>
    <row r="14" spans="1:32" x14ac:dyDescent="0.3">
      <c r="A14" t="s">
        <v>347</v>
      </c>
      <c r="B14" t="s">
        <v>51</v>
      </c>
      <c r="C14" t="s">
        <v>258</v>
      </c>
      <c r="D14" t="s">
        <v>309</v>
      </c>
      <c r="E14" t="s">
        <v>1268</v>
      </c>
      <c r="F14" s="15">
        <v>46218.456944444442</v>
      </c>
      <c r="G14" t="s">
        <v>1269</v>
      </c>
      <c r="H14">
        <v>6</v>
      </c>
      <c r="I14" t="s">
        <v>1270</v>
      </c>
      <c r="J14" s="15">
        <v>46218.598611111112</v>
      </c>
      <c r="K14" s="15">
        <v>46220.557638888888</v>
      </c>
      <c r="L14" s="15"/>
      <c r="M14">
        <v>6</v>
      </c>
      <c r="O14" t="s">
        <v>201</v>
      </c>
      <c r="P14" t="s">
        <v>1954</v>
      </c>
      <c r="S14" t="s">
        <v>361</v>
      </c>
      <c r="T14" t="s">
        <v>372</v>
      </c>
      <c r="U14" t="s">
        <v>240</v>
      </c>
      <c r="V14" t="s">
        <v>7</v>
      </c>
      <c r="W14" t="s">
        <v>7</v>
      </c>
      <c r="X14" t="s">
        <v>7</v>
      </c>
      <c r="AA14" t="s">
        <v>238</v>
      </c>
      <c r="AB14" t="s">
        <v>361</v>
      </c>
      <c r="AC14">
        <v>1100</v>
      </c>
      <c r="AD14" t="s">
        <v>7</v>
      </c>
      <c r="AF14">
        <v>0</v>
      </c>
    </row>
    <row r="15" spans="1:32" x14ac:dyDescent="0.3">
      <c r="A15" t="s">
        <v>347</v>
      </c>
      <c r="B15" t="s">
        <v>51</v>
      </c>
      <c r="C15" t="s">
        <v>258</v>
      </c>
      <c r="D15" t="s">
        <v>309</v>
      </c>
      <c r="E15" t="s">
        <v>1271</v>
      </c>
      <c r="F15" s="15">
        <v>46230.652881944443</v>
      </c>
      <c r="G15" t="s">
        <v>1269</v>
      </c>
      <c r="H15">
        <v>20</v>
      </c>
      <c r="I15" t="s">
        <v>1272</v>
      </c>
      <c r="J15" s="15">
        <v>46230.70208333333</v>
      </c>
      <c r="K15" s="15">
        <v>46232.451388888891</v>
      </c>
      <c r="L15" s="15"/>
      <c r="M15">
        <v>20</v>
      </c>
      <c r="O15" t="s">
        <v>201</v>
      </c>
      <c r="P15" t="s">
        <v>1954</v>
      </c>
      <c r="S15" t="s">
        <v>361</v>
      </c>
      <c r="T15" t="s">
        <v>372</v>
      </c>
      <c r="U15" t="s">
        <v>240</v>
      </c>
      <c r="V15" t="s">
        <v>7</v>
      </c>
      <c r="W15" t="s">
        <v>7</v>
      </c>
      <c r="X15" t="s">
        <v>7</v>
      </c>
      <c r="AA15" t="s">
        <v>238</v>
      </c>
      <c r="AB15" t="s">
        <v>361</v>
      </c>
      <c r="AC15">
        <v>1100</v>
      </c>
      <c r="AD15" t="s">
        <v>7</v>
      </c>
      <c r="AF15">
        <v>0</v>
      </c>
    </row>
    <row r="16" spans="1:32" x14ac:dyDescent="0.3">
      <c r="A16" t="s">
        <v>347</v>
      </c>
      <c r="B16" t="s">
        <v>63</v>
      </c>
      <c r="C16" t="s">
        <v>95</v>
      </c>
      <c r="D16" t="s">
        <v>309</v>
      </c>
      <c r="E16" t="s">
        <v>1273</v>
      </c>
      <c r="F16" s="15">
        <v>46248.469560185185</v>
      </c>
      <c r="G16" t="s">
        <v>411</v>
      </c>
      <c r="H16">
        <v>26</v>
      </c>
      <c r="I16" t="s">
        <v>1274</v>
      </c>
      <c r="J16" s="15">
        <v>46251.56527777778</v>
      </c>
      <c r="K16" s="15">
        <v>46254.506944444445</v>
      </c>
      <c r="L16" s="15"/>
      <c r="M16">
        <v>26</v>
      </c>
      <c r="O16" t="s">
        <v>201</v>
      </c>
      <c r="P16" t="s">
        <v>1954</v>
      </c>
      <c r="S16" t="s">
        <v>361</v>
      </c>
      <c r="T16" t="s">
        <v>372</v>
      </c>
      <c r="U16" t="s">
        <v>240</v>
      </c>
      <c r="V16" t="s">
        <v>7</v>
      </c>
      <c r="W16" t="s">
        <v>7</v>
      </c>
      <c r="X16" t="s">
        <v>7</v>
      </c>
      <c r="AA16" t="s">
        <v>96</v>
      </c>
      <c r="AB16" t="s">
        <v>361</v>
      </c>
      <c r="AC16">
        <v>1100</v>
      </c>
      <c r="AD16" t="s">
        <v>225</v>
      </c>
      <c r="AE16">
        <v>26</v>
      </c>
      <c r="AF16">
        <v>2.6</v>
      </c>
    </row>
    <row r="17" spans="1:32" x14ac:dyDescent="0.3">
      <c r="A17" t="s">
        <v>347</v>
      </c>
      <c r="B17" t="s">
        <v>279</v>
      </c>
      <c r="C17" t="s">
        <v>197</v>
      </c>
      <c r="D17" t="s">
        <v>309</v>
      </c>
      <c r="E17" t="s">
        <v>1273</v>
      </c>
      <c r="F17" s="15">
        <v>46248.469560185185</v>
      </c>
      <c r="G17" t="s">
        <v>411</v>
      </c>
      <c r="H17">
        <v>26</v>
      </c>
      <c r="I17" t="s">
        <v>1274</v>
      </c>
      <c r="J17" s="15">
        <v>46251.56527777778</v>
      </c>
      <c r="K17" s="15">
        <v>46254.506944444445</v>
      </c>
      <c r="L17" s="15"/>
      <c r="M17">
        <v>26</v>
      </c>
      <c r="O17" t="s">
        <v>201</v>
      </c>
      <c r="P17" t="s">
        <v>1954</v>
      </c>
      <c r="S17" t="s">
        <v>361</v>
      </c>
      <c r="T17" t="s">
        <v>372</v>
      </c>
      <c r="U17" t="s">
        <v>240</v>
      </c>
      <c r="V17" t="s">
        <v>7</v>
      </c>
      <c r="W17" t="s">
        <v>7</v>
      </c>
      <c r="X17" t="s">
        <v>7</v>
      </c>
      <c r="Z17">
        <v>16</v>
      </c>
      <c r="AA17" t="s">
        <v>122</v>
      </c>
      <c r="AB17" t="s">
        <v>361</v>
      </c>
      <c r="AC17">
        <v>1100</v>
      </c>
      <c r="AD17" t="s">
        <v>232</v>
      </c>
      <c r="AE17">
        <v>416</v>
      </c>
      <c r="AF17">
        <v>41.6</v>
      </c>
    </row>
    <row r="18" spans="1:32" x14ac:dyDescent="0.3">
      <c r="A18" t="s">
        <v>347</v>
      </c>
      <c r="B18" t="s">
        <v>57</v>
      </c>
      <c r="C18" t="s">
        <v>117</v>
      </c>
      <c r="D18" t="s">
        <v>309</v>
      </c>
      <c r="E18" t="s">
        <v>1273</v>
      </c>
      <c r="F18" s="15">
        <v>46248.469560185185</v>
      </c>
      <c r="G18" t="s">
        <v>411</v>
      </c>
      <c r="H18">
        <v>26</v>
      </c>
      <c r="I18" t="s">
        <v>1274</v>
      </c>
      <c r="J18" s="15">
        <v>46251.56527777778</v>
      </c>
      <c r="K18" s="15">
        <v>46254.506944444445</v>
      </c>
      <c r="L18" s="15"/>
      <c r="M18">
        <v>26</v>
      </c>
      <c r="O18" t="s">
        <v>201</v>
      </c>
      <c r="P18" t="s">
        <v>1954</v>
      </c>
      <c r="S18" t="s">
        <v>361</v>
      </c>
      <c r="T18" t="s">
        <v>372</v>
      </c>
      <c r="U18" t="s">
        <v>240</v>
      </c>
      <c r="V18" t="s">
        <v>7</v>
      </c>
      <c r="W18" t="s">
        <v>7</v>
      </c>
      <c r="X18" t="s">
        <v>7</v>
      </c>
      <c r="AA18" t="s">
        <v>127</v>
      </c>
      <c r="AB18" t="s">
        <v>361</v>
      </c>
      <c r="AC18">
        <v>1100</v>
      </c>
      <c r="AD18" t="s">
        <v>233</v>
      </c>
      <c r="AE18">
        <v>2.6</v>
      </c>
      <c r="AF18">
        <v>1</v>
      </c>
    </row>
    <row r="19" spans="1:32" x14ac:dyDescent="0.3">
      <c r="A19" t="s">
        <v>347</v>
      </c>
      <c r="B19" t="s">
        <v>51</v>
      </c>
      <c r="C19" t="s">
        <v>258</v>
      </c>
      <c r="D19" t="s">
        <v>309</v>
      </c>
      <c r="E19" t="s">
        <v>1275</v>
      </c>
      <c r="F19" s="15">
        <v>46253.319224537037</v>
      </c>
      <c r="G19" t="s">
        <v>400</v>
      </c>
      <c r="H19">
        <v>32</v>
      </c>
      <c r="I19" t="s">
        <v>1276</v>
      </c>
      <c r="J19" s="15">
        <v>46253.518750000003</v>
      </c>
      <c r="K19" s="15">
        <v>46254.46875</v>
      </c>
      <c r="L19" s="15"/>
      <c r="M19">
        <v>32</v>
      </c>
      <c r="O19" t="s">
        <v>201</v>
      </c>
      <c r="P19" t="s">
        <v>1954</v>
      </c>
      <c r="S19" t="s">
        <v>362</v>
      </c>
      <c r="T19" t="s">
        <v>373</v>
      </c>
      <c r="U19" t="s">
        <v>240</v>
      </c>
      <c r="V19" t="s">
        <v>7</v>
      </c>
      <c r="W19" t="s">
        <v>7</v>
      </c>
      <c r="X19" t="s">
        <v>7</v>
      </c>
      <c r="AA19" t="s">
        <v>238</v>
      </c>
      <c r="AB19" t="s">
        <v>362</v>
      </c>
      <c r="AD19" t="s">
        <v>7</v>
      </c>
      <c r="AF19">
        <v>0</v>
      </c>
    </row>
    <row r="20" spans="1:32" x14ac:dyDescent="0.3">
      <c r="A20" t="s">
        <v>347</v>
      </c>
      <c r="B20" t="s">
        <v>51</v>
      </c>
      <c r="C20" t="s">
        <v>258</v>
      </c>
      <c r="D20" t="s">
        <v>309</v>
      </c>
      <c r="E20" t="s">
        <v>1277</v>
      </c>
      <c r="F20" s="15">
        <v>46253.318599537037</v>
      </c>
      <c r="G20" t="s">
        <v>400</v>
      </c>
      <c r="H20">
        <v>32</v>
      </c>
      <c r="I20" t="s">
        <v>1276</v>
      </c>
      <c r="J20" s="15">
        <v>46253.518750000003</v>
      </c>
      <c r="K20" s="15">
        <v>46254.46875</v>
      </c>
      <c r="L20" s="15"/>
      <c r="M20">
        <v>32</v>
      </c>
      <c r="O20" t="s">
        <v>201</v>
      </c>
      <c r="P20" t="s">
        <v>1954</v>
      </c>
      <c r="S20" t="s">
        <v>362</v>
      </c>
      <c r="T20" t="s">
        <v>373</v>
      </c>
      <c r="U20" t="s">
        <v>240</v>
      </c>
      <c r="V20" t="s">
        <v>7</v>
      </c>
      <c r="W20" t="s">
        <v>7</v>
      </c>
      <c r="X20" t="s">
        <v>7</v>
      </c>
      <c r="AA20" t="s">
        <v>238</v>
      </c>
      <c r="AB20" t="s">
        <v>362</v>
      </c>
      <c r="AD20" t="s">
        <v>7</v>
      </c>
    </row>
    <row r="21" spans="1:32" x14ac:dyDescent="0.3">
      <c r="A21" t="s">
        <v>347</v>
      </c>
      <c r="B21" t="s">
        <v>51</v>
      </c>
      <c r="C21" t="s">
        <v>258</v>
      </c>
      <c r="D21" t="s">
        <v>309</v>
      </c>
      <c r="E21" t="s">
        <v>1278</v>
      </c>
      <c r="F21" s="15">
        <v>46253.319699074076</v>
      </c>
      <c r="G21" t="s">
        <v>400</v>
      </c>
      <c r="H21">
        <v>32</v>
      </c>
      <c r="I21" t="s">
        <v>1276</v>
      </c>
      <c r="J21" s="15">
        <v>46253.518750000003</v>
      </c>
      <c r="K21" s="15">
        <v>46254.46875</v>
      </c>
      <c r="L21" s="15"/>
      <c r="M21">
        <v>32</v>
      </c>
      <c r="O21" t="s">
        <v>201</v>
      </c>
      <c r="P21" t="s">
        <v>1954</v>
      </c>
      <c r="S21" t="s">
        <v>362</v>
      </c>
      <c r="T21" t="s">
        <v>373</v>
      </c>
      <c r="U21" t="s">
        <v>240</v>
      </c>
      <c r="V21" t="s">
        <v>7</v>
      </c>
      <c r="W21" t="s">
        <v>7</v>
      </c>
      <c r="X21" t="s">
        <v>7</v>
      </c>
      <c r="AA21" t="s">
        <v>238</v>
      </c>
      <c r="AB21" t="s">
        <v>362</v>
      </c>
      <c r="AD21" t="s">
        <v>7</v>
      </c>
    </row>
    <row r="22" spans="1:32" x14ac:dyDescent="0.3">
      <c r="A22" t="s">
        <v>347</v>
      </c>
      <c r="B22" t="s">
        <v>43</v>
      </c>
      <c r="C22" t="s">
        <v>105</v>
      </c>
      <c r="D22" t="s">
        <v>309</v>
      </c>
      <c r="E22" t="s">
        <v>1279</v>
      </c>
      <c r="F22" s="15">
        <v>46244.665532407409</v>
      </c>
      <c r="G22" t="s">
        <v>400</v>
      </c>
      <c r="H22">
        <v>3</v>
      </c>
      <c r="I22" t="s">
        <v>1280</v>
      </c>
      <c r="J22" s="15">
        <v>46246.388194444444</v>
      </c>
      <c r="K22" s="15">
        <v>46247.479166666664</v>
      </c>
      <c r="L22" s="15"/>
      <c r="M22">
        <v>3</v>
      </c>
      <c r="O22" t="s">
        <v>201</v>
      </c>
      <c r="P22" t="s">
        <v>1954</v>
      </c>
      <c r="S22" t="s">
        <v>362</v>
      </c>
      <c r="T22" t="s">
        <v>373</v>
      </c>
      <c r="U22" t="s">
        <v>240</v>
      </c>
      <c r="V22" t="s">
        <v>347</v>
      </c>
      <c r="W22" t="s">
        <v>351</v>
      </c>
      <c r="X22" t="s">
        <v>240</v>
      </c>
      <c r="Y22">
        <v>48</v>
      </c>
      <c r="AA22" t="s">
        <v>67</v>
      </c>
      <c r="AB22" t="s">
        <v>362</v>
      </c>
      <c r="AD22" t="s">
        <v>217</v>
      </c>
      <c r="AE22">
        <v>1</v>
      </c>
      <c r="AF22">
        <v>1</v>
      </c>
    </row>
    <row r="23" spans="1:32" x14ac:dyDescent="0.3">
      <c r="A23" t="s">
        <v>347</v>
      </c>
      <c r="B23" t="s">
        <v>45</v>
      </c>
      <c r="C23" t="s">
        <v>68</v>
      </c>
      <c r="D23" t="s">
        <v>309</v>
      </c>
      <c r="E23" t="s">
        <v>1281</v>
      </c>
      <c r="F23" s="15">
        <v>46244.660208333335</v>
      </c>
      <c r="G23" t="s">
        <v>400</v>
      </c>
      <c r="H23">
        <v>25</v>
      </c>
      <c r="I23" t="s">
        <v>1282</v>
      </c>
      <c r="J23" s="15">
        <v>46245.366666666669</v>
      </c>
      <c r="K23" s="15">
        <v>46246.611111111109</v>
      </c>
      <c r="L23" s="15"/>
      <c r="M23">
        <v>25</v>
      </c>
      <c r="O23" t="s">
        <v>201</v>
      </c>
      <c r="P23" t="s">
        <v>1954</v>
      </c>
      <c r="S23" t="s">
        <v>362</v>
      </c>
      <c r="T23" t="s">
        <v>373</v>
      </c>
      <c r="U23" t="s">
        <v>240</v>
      </c>
      <c r="V23" t="s">
        <v>347</v>
      </c>
      <c r="W23" t="s">
        <v>351</v>
      </c>
      <c r="X23" t="s">
        <v>240</v>
      </c>
      <c r="Y23">
        <v>48</v>
      </c>
      <c r="AA23" t="s">
        <v>67</v>
      </c>
      <c r="AB23" t="s">
        <v>362</v>
      </c>
      <c r="AD23" t="s">
        <v>217</v>
      </c>
      <c r="AE23">
        <v>2.5</v>
      </c>
      <c r="AF23">
        <v>1</v>
      </c>
    </row>
    <row r="24" spans="1:32" x14ac:dyDescent="0.3">
      <c r="A24" t="s">
        <v>347</v>
      </c>
      <c r="B24" t="s">
        <v>51</v>
      </c>
      <c r="C24" t="s">
        <v>258</v>
      </c>
      <c r="D24" t="s">
        <v>309</v>
      </c>
      <c r="E24" t="s">
        <v>1283</v>
      </c>
      <c r="F24" s="15">
        <v>46244.662893518522</v>
      </c>
      <c r="G24" t="s">
        <v>400</v>
      </c>
      <c r="H24">
        <v>25</v>
      </c>
      <c r="I24" t="s">
        <v>1284</v>
      </c>
      <c r="J24" s="15">
        <v>46245.432638888888</v>
      </c>
      <c r="K24" s="15">
        <v>46246.611111111109</v>
      </c>
      <c r="L24" s="15"/>
      <c r="M24">
        <v>25</v>
      </c>
      <c r="O24" t="s">
        <v>201</v>
      </c>
      <c r="P24" t="s">
        <v>1954</v>
      </c>
      <c r="S24" t="s">
        <v>362</v>
      </c>
      <c r="T24" t="s">
        <v>373</v>
      </c>
      <c r="U24" t="s">
        <v>240</v>
      </c>
      <c r="V24" t="s">
        <v>7</v>
      </c>
      <c r="W24" t="s">
        <v>7</v>
      </c>
      <c r="X24" t="s">
        <v>7</v>
      </c>
      <c r="AA24" t="s">
        <v>238</v>
      </c>
      <c r="AB24" t="s">
        <v>362</v>
      </c>
      <c r="AD24" t="s">
        <v>7</v>
      </c>
      <c r="AF24">
        <v>0</v>
      </c>
    </row>
    <row r="25" spans="1:32" x14ac:dyDescent="0.3">
      <c r="A25" t="s">
        <v>347</v>
      </c>
      <c r="B25" t="s">
        <v>51</v>
      </c>
      <c r="C25" t="s">
        <v>258</v>
      </c>
      <c r="D25" t="s">
        <v>309</v>
      </c>
      <c r="E25" t="s">
        <v>1285</v>
      </c>
      <c r="F25" s="15">
        <v>46244.662442129629</v>
      </c>
      <c r="G25" t="s">
        <v>400</v>
      </c>
      <c r="H25">
        <v>25</v>
      </c>
      <c r="I25" t="s">
        <v>1284</v>
      </c>
      <c r="J25" s="15">
        <v>46245.432638888888</v>
      </c>
      <c r="K25" s="15">
        <v>46246.611111111109</v>
      </c>
      <c r="L25" s="15"/>
      <c r="M25">
        <v>25</v>
      </c>
      <c r="O25" t="s">
        <v>201</v>
      </c>
      <c r="P25" t="s">
        <v>1954</v>
      </c>
      <c r="S25" t="s">
        <v>362</v>
      </c>
      <c r="T25" t="s">
        <v>373</v>
      </c>
      <c r="U25" t="s">
        <v>240</v>
      </c>
      <c r="V25" t="s">
        <v>7</v>
      </c>
      <c r="W25" t="s">
        <v>7</v>
      </c>
      <c r="X25" t="s">
        <v>7</v>
      </c>
      <c r="AA25" t="s">
        <v>238</v>
      </c>
      <c r="AB25" t="s">
        <v>362</v>
      </c>
      <c r="AD25" t="s">
        <v>7</v>
      </c>
    </row>
    <row r="26" spans="1:32" x14ac:dyDescent="0.3">
      <c r="A26" t="s">
        <v>347</v>
      </c>
      <c r="B26" t="s">
        <v>51</v>
      </c>
      <c r="C26" t="s">
        <v>258</v>
      </c>
      <c r="D26" t="s">
        <v>309</v>
      </c>
      <c r="E26" t="s">
        <v>1286</v>
      </c>
      <c r="F26" s="15">
        <v>46244.661898148152</v>
      </c>
      <c r="G26" t="s">
        <v>400</v>
      </c>
      <c r="H26">
        <v>25</v>
      </c>
      <c r="I26" t="s">
        <v>1284</v>
      </c>
      <c r="J26" s="15">
        <v>46245.432638888888</v>
      </c>
      <c r="K26" s="15">
        <v>46246.611111111109</v>
      </c>
      <c r="L26" s="15"/>
      <c r="M26">
        <v>25</v>
      </c>
      <c r="O26" t="s">
        <v>201</v>
      </c>
      <c r="P26" t="s">
        <v>1954</v>
      </c>
      <c r="S26" t="s">
        <v>362</v>
      </c>
      <c r="T26" t="s">
        <v>373</v>
      </c>
      <c r="U26" t="s">
        <v>240</v>
      </c>
      <c r="V26" t="s">
        <v>7</v>
      </c>
      <c r="W26" t="s">
        <v>7</v>
      </c>
      <c r="X26" t="s">
        <v>7</v>
      </c>
      <c r="AA26" t="s">
        <v>238</v>
      </c>
      <c r="AB26" t="s">
        <v>362</v>
      </c>
      <c r="AD26" t="s">
        <v>7</v>
      </c>
    </row>
    <row r="27" spans="1:32" x14ac:dyDescent="0.3">
      <c r="A27" t="s">
        <v>347</v>
      </c>
      <c r="B27" t="s">
        <v>45</v>
      </c>
      <c r="C27" t="s">
        <v>68</v>
      </c>
      <c r="D27" t="s">
        <v>309</v>
      </c>
      <c r="E27" t="s">
        <v>1287</v>
      </c>
      <c r="F27" s="15">
        <v>46253.320972222224</v>
      </c>
      <c r="G27" t="s">
        <v>400</v>
      </c>
      <c r="H27">
        <v>25</v>
      </c>
      <c r="I27" t="s">
        <v>1288</v>
      </c>
      <c r="J27" s="15">
        <v>46253.515277777777</v>
      </c>
      <c r="K27" s="15">
        <v>46255.638888888891</v>
      </c>
      <c r="L27" s="15"/>
      <c r="M27">
        <v>25</v>
      </c>
      <c r="O27" t="s">
        <v>201</v>
      </c>
      <c r="P27" t="s">
        <v>1956</v>
      </c>
      <c r="S27" t="s">
        <v>362</v>
      </c>
      <c r="T27" t="s">
        <v>373</v>
      </c>
      <c r="U27" t="s">
        <v>240</v>
      </c>
      <c r="V27" t="s">
        <v>347</v>
      </c>
      <c r="W27" t="s">
        <v>351</v>
      </c>
      <c r="X27" t="s">
        <v>240</v>
      </c>
      <c r="Y27">
        <v>48</v>
      </c>
      <c r="AA27" t="s">
        <v>67</v>
      </c>
      <c r="AB27" t="s">
        <v>362</v>
      </c>
      <c r="AD27" t="s">
        <v>217</v>
      </c>
      <c r="AE27">
        <v>2.5</v>
      </c>
      <c r="AF27">
        <v>1</v>
      </c>
    </row>
    <row r="28" spans="1:32" x14ac:dyDescent="0.3">
      <c r="A28" t="s">
        <v>347</v>
      </c>
      <c r="B28" t="s">
        <v>45</v>
      </c>
      <c r="C28" t="s">
        <v>68</v>
      </c>
      <c r="D28" t="s">
        <v>309</v>
      </c>
      <c r="E28" t="s">
        <v>1289</v>
      </c>
      <c r="F28" s="15">
        <v>46233.603067129632</v>
      </c>
      <c r="G28" t="s">
        <v>1290</v>
      </c>
      <c r="H28">
        <v>50</v>
      </c>
      <c r="I28" t="s">
        <v>1291</v>
      </c>
      <c r="J28" s="15">
        <v>46233.630254629628</v>
      </c>
      <c r="K28" s="15">
        <v>46237.586805555555</v>
      </c>
      <c r="L28" s="15"/>
      <c r="M28">
        <v>50</v>
      </c>
      <c r="O28" t="s">
        <v>201</v>
      </c>
      <c r="P28" t="s">
        <v>1954</v>
      </c>
      <c r="S28" t="s">
        <v>362</v>
      </c>
      <c r="T28" t="s">
        <v>373</v>
      </c>
      <c r="U28" t="s">
        <v>240</v>
      </c>
      <c r="V28" t="s">
        <v>347</v>
      </c>
      <c r="W28" t="s">
        <v>351</v>
      </c>
      <c r="X28" t="s">
        <v>240</v>
      </c>
      <c r="Y28">
        <v>48</v>
      </c>
      <c r="AA28" t="s">
        <v>67</v>
      </c>
      <c r="AB28" t="s">
        <v>362</v>
      </c>
      <c r="AD28" t="s">
        <v>217</v>
      </c>
      <c r="AE28">
        <v>5</v>
      </c>
      <c r="AF28">
        <v>1</v>
      </c>
    </row>
    <row r="29" spans="1:32" x14ac:dyDescent="0.3">
      <c r="A29" t="s">
        <v>347</v>
      </c>
      <c r="B29" t="s">
        <v>48</v>
      </c>
      <c r="C29" t="s">
        <v>68</v>
      </c>
      <c r="D29" t="s">
        <v>309</v>
      </c>
      <c r="E29" t="s">
        <v>1292</v>
      </c>
      <c r="F29" s="15">
        <v>46238.544641203705</v>
      </c>
      <c r="G29" t="s">
        <v>400</v>
      </c>
      <c r="H29">
        <v>3</v>
      </c>
      <c r="I29" t="s">
        <v>1293</v>
      </c>
      <c r="J29" s="15">
        <v>46238.632962962962</v>
      </c>
      <c r="K29" s="15">
        <v>46240.518055555556</v>
      </c>
      <c r="L29" s="15"/>
      <c r="M29">
        <v>3</v>
      </c>
      <c r="O29" t="s">
        <v>201</v>
      </c>
      <c r="P29" t="s">
        <v>1954</v>
      </c>
      <c r="S29" t="s">
        <v>362</v>
      </c>
      <c r="T29" t="s">
        <v>373</v>
      </c>
      <c r="U29" t="s">
        <v>240</v>
      </c>
      <c r="V29" t="s">
        <v>347</v>
      </c>
      <c r="W29" t="s">
        <v>351</v>
      </c>
      <c r="X29" t="s">
        <v>240</v>
      </c>
      <c r="Y29">
        <v>48</v>
      </c>
      <c r="AA29" t="s">
        <v>90</v>
      </c>
      <c r="AB29" t="s">
        <v>362</v>
      </c>
      <c r="AD29" t="s">
        <v>217</v>
      </c>
      <c r="AE29">
        <v>1</v>
      </c>
      <c r="AF29">
        <v>1</v>
      </c>
    </row>
    <row r="30" spans="1:32" x14ac:dyDescent="0.3">
      <c r="A30" t="s">
        <v>347</v>
      </c>
      <c r="B30" t="s">
        <v>63</v>
      </c>
      <c r="C30" t="s">
        <v>95</v>
      </c>
      <c r="D30" t="s">
        <v>309</v>
      </c>
      <c r="E30" t="s">
        <v>1294</v>
      </c>
      <c r="F30" s="15">
        <v>46231.685798611114</v>
      </c>
      <c r="G30" t="s">
        <v>399</v>
      </c>
      <c r="H30">
        <v>1</v>
      </c>
      <c r="I30" t="s">
        <v>1295</v>
      </c>
      <c r="J30" s="15">
        <v>46232.496759259258</v>
      </c>
      <c r="K30" s="15">
        <v>46237.791666666664</v>
      </c>
      <c r="L30" s="15"/>
      <c r="M30">
        <v>1</v>
      </c>
      <c r="O30" t="s">
        <v>201</v>
      </c>
      <c r="P30" t="s">
        <v>1954</v>
      </c>
      <c r="S30" t="s">
        <v>1296</v>
      </c>
      <c r="T30" t="s">
        <v>351</v>
      </c>
      <c r="U30" t="s">
        <v>240</v>
      </c>
      <c r="V30" t="s">
        <v>7</v>
      </c>
      <c r="W30" t="s">
        <v>7</v>
      </c>
      <c r="X30" t="s">
        <v>7</v>
      </c>
      <c r="AA30" t="s">
        <v>96</v>
      </c>
      <c r="AB30" t="s">
        <v>1296</v>
      </c>
      <c r="AC30">
        <v>200</v>
      </c>
      <c r="AD30" t="s">
        <v>225</v>
      </c>
      <c r="AE30">
        <v>1</v>
      </c>
      <c r="AF30">
        <v>1</v>
      </c>
    </row>
    <row r="31" spans="1:32" x14ac:dyDescent="0.3">
      <c r="A31" t="s">
        <v>347</v>
      </c>
      <c r="B31" t="s">
        <v>57</v>
      </c>
      <c r="C31" t="s">
        <v>117</v>
      </c>
      <c r="D31" t="s">
        <v>309</v>
      </c>
      <c r="E31" t="s">
        <v>1294</v>
      </c>
      <c r="F31" s="15">
        <v>46231.685798611114</v>
      </c>
      <c r="G31" t="s">
        <v>399</v>
      </c>
      <c r="H31">
        <v>1</v>
      </c>
      <c r="I31" t="s">
        <v>1295</v>
      </c>
      <c r="J31" s="15">
        <v>46232.496759259258</v>
      </c>
      <c r="K31" s="15">
        <v>46237.791666666664</v>
      </c>
      <c r="L31" s="15"/>
      <c r="M31">
        <v>1</v>
      </c>
      <c r="O31" t="s">
        <v>201</v>
      </c>
      <c r="P31" t="s">
        <v>1954</v>
      </c>
      <c r="S31" t="s">
        <v>1296</v>
      </c>
      <c r="T31" t="s">
        <v>351</v>
      </c>
      <c r="U31" t="s">
        <v>240</v>
      </c>
      <c r="V31" t="s">
        <v>7</v>
      </c>
      <c r="W31" t="s">
        <v>7</v>
      </c>
      <c r="X31" t="s">
        <v>7</v>
      </c>
      <c r="AA31" t="s">
        <v>127</v>
      </c>
      <c r="AB31" t="s">
        <v>1296</v>
      </c>
      <c r="AC31">
        <v>200</v>
      </c>
      <c r="AD31" t="s">
        <v>233</v>
      </c>
      <c r="AE31">
        <v>1</v>
      </c>
      <c r="AF31">
        <v>1</v>
      </c>
    </row>
    <row r="32" spans="1:32" x14ac:dyDescent="0.3">
      <c r="A32" t="s">
        <v>347</v>
      </c>
      <c r="B32" t="s">
        <v>279</v>
      </c>
      <c r="C32" t="s">
        <v>192</v>
      </c>
      <c r="D32" t="s">
        <v>309</v>
      </c>
      <c r="E32" t="s">
        <v>1294</v>
      </c>
      <c r="F32" s="15">
        <v>46231.685798611114</v>
      </c>
      <c r="G32" t="s">
        <v>399</v>
      </c>
      <c r="H32">
        <v>109</v>
      </c>
      <c r="I32" t="s">
        <v>1295</v>
      </c>
      <c r="J32" s="15">
        <v>46232.496759259258</v>
      </c>
      <c r="K32" s="15">
        <v>46237.791666666664</v>
      </c>
      <c r="L32" s="15"/>
      <c r="M32">
        <v>109</v>
      </c>
      <c r="O32" t="s">
        <v>201</v>
      </c>
      <c r="P32" t="s">
        <v>1956</v>
      </c>
      <c r="S32" t="s">
        <v>1296</v>
      </c>
      <c r="T32" t="s">
        <v>351</v>
      </c>
      <c r="U32" t="s">
        <v>240</v>
      </c>
      <c r="V32" t="s">
        <v>7</v>
      </c>
      <c r="W32" t="s">
        <v>7</v>
      </c>
      <c r="X32" t="s">
        <v>7</v>
      </c>
      <c r="Z32">
        <v>1</v>
      </c>
      <c r="AA32" t="s">
        <v>122</v>
      </c>
      <c r="AB32" t="s">
        <v>1296</v>
      </c>
      <c r="AC32">
        <v>200</v>
      </c>
      <c r="AD32" t="s">
        <v>232</v>
      </c>
      <c r="AE32">
        <v>109</v>
      </c>
      <c r="AF32">
        <v>10.9</v>
      </c>
    </row>
    <row r="33" spans="1:32" x14ac:dyDescent="0.3">
      <c r="A33" t="s">
        <v>347</v>
      </c>
      <c r="B33" t="s">
        <v>57</v>
      </c>
      <c r="C33" t="s">
        <v>117</v>
      </c>
      <c r="D33" t="s">
        <v>309</v>
      </c>
      <c r="E33" t="s">
        <v>1297</v>
      </c>
      <c r="F33" s="15">
        <v>46227.492546296293</v>
      </c>
      <c r="G33" t="s">
        <v>401</v>
      </c>
      <c r="H33">
        <v>1</v>
      </c>
      <c r="I33" t="s">
        <v>1298</v>
      </c>
      <c r="J33" s="15">
        <v>46227.612233796295</v>
      </c>
      <c r="K33" s="15">
        <v>46233.329861111109</v>
      </c>
      <c r="L33" s="15"/>
      <c r="M33">
        <v>1</v>
      </c>
      <c r="O33" t="s">
        <v>201</v>
      </c>
      <c r="P33" t="s">
        <v>1954</v>
      </c>
      <c r="S33" t="s">
        <v>1296</v>
      </c>
      <c r="T33" t="s">
        <v>351</v>
      </c>
      <c r="U33" t="s">
        <v>240</v>
      </c>
      <c r="V33" t="s">
        <v>7</v>
      </c>
      <c r="W33" t="s">
        <v>7</v>
      </c>
      <c r="X33" t="s">
        <v>7</v>
      </c>
      <c r="AA33" t="s">
        <v>127</v>
      </c>
      <c r="AB33" t="s">
        <v>1296</v>
      </c>
      <c r="AC33">
        <v>200</v>
      </c>
      <c r="AD33" t="s">
        <v>233</v>
      </c>
      <c r="AE33">
        <v>1</v>
      </c>
      <c r="AF33">
        <v>1</v>
      </c>
    </row>
    <row r="34" spans="1:32" x14ac:dyDescent="0.3">
      <c r="A34" t="s">
        <v>347</v>
      </c>
      <c r="B34" t="s">
        <v>279</v>
      </c>
      <c r="C34" t="s">
        <v>192</v>
      </c>
      <c r="D34" t="s">
        <v>309</v>
      </c>
      <c r="E34" t="s">
        <v>1297</v>
      </c>
      <c r="F34" s="15">
        <v>46227.492546296293</v>
      </c>
      <c r="G34" t="s">
        <v>401</v>
      </c>
      <c r="H34">
        <v>1</v>
      </c>
      <c r="I34" t="s">
        <v>1298</v>
      </c>
      <c r="J34" s="15">
        <v>46227.612233796295</v>
      </c>
      <c r="K34" s="15">
        <v>46233.329861111109</v>
      </c>
      <c r="L34" s="15"/>
      <c r="M34">
        <v>1</v>
      </c>
      <c r="O34" t="s">
        <v>201</v>
      </c>
      <c r="P34" t="s">
        <v>1956</v>
      </c>
      <c r="S34" t="s">
        <v>1296</v>
      </c>
      <c r="T34" t="s">
        <v>351</v>
      </c>
      <c r="U34" t="s">
        <v>240</v>
      </c>
      <c r="V34" t="s">
        <v>7</v>
      </c>
      <c r="W34" t="s">
        <v>7</v>
      </c>
      <c r="X34" t="s">
        <v>7</v>
      </c>
      <c r="Z34">
        <v>1</v>
      </c>
      <c r="AA34" t="s">
        <v>122</v>
      </c>
      <c r="AB34" t="s">
        <v>1296</v>
      </c>
      <c r="AC34">
        <v>200</v>
      </c>
      <c r="AD34" t="s">
        <v>232</v>
      </c>
      <c r="AE34">
        <v>1</v>
      </c>
      <c r="AF34">
        <v>1</v>
      </c>
    </row>
    <row r="35" spans="1:32" x14ac:dyDescent="0.3">
      <c r="A35" t="s">
        <v>347</v>
      </c>
      <c r="B35" t="s">
        <v>63</v>
      </c>
      <c r="C35" t="s">
        <v>95</v>
      </c>
      <c r="D35" t="s">
        <v>309</v>
      </c>
      <c r="E35" t="s">
        <v>1297</v>
      </c>
      <c r="F35" s="15">
        <v>46227.492546296293</v>
      </c>
      <c r="G35" t="s">
        <v>401</v>
      </c>
      <c r="H35">
        <v>1</v>
      </c>
      <c r="I35" t="s">
        <v>1298</v>
      </c>
      <c r="J35" s="15">
        <v>46227.612233796295</v>
      </c>
      <c r="K35" s="15">
        <v>46233.329861111109</v>
      </c>
      <c r="L35" s="15"/>
      <c r="M35">
        <v>1</v>
      </c>
      <c r="O35" t="s">
        <v>201</v>
      </c>
      <c r="P35" t="s">
        <v>1954</v>
      </c>
      <c r="S35" t="s">
        <v>1296</v>
      </c>
      <c r="T35" t="s">
        <v>351</v>
      </c>
      <c r="U35" t="s">
        <v>240</v>
      </c>
      <c r="V35" t="s">
        <v>7</v>
      </c>
      <c r="W35" t="s">
        <v>7</v>
      </c>
      <c r="X35" t="s">
        <v>7</v>
      </c>
      <c r="AA35" t="s">
        <v>96</v>
      </c>
      <c r="AB35" t="s">
        <v>1296</v>
      </c>
      <c r="AC35">
        <v>200</v>
      </c>
      <c r="AD35" t="s">
        <v>225</v>
      </c>
      <c r="AE35">
        <v>1</v>
      </c>
      <c r="AF35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4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2.2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628</v>
      </c>
      <c r="I1" t="s">
        <v>629</v>
      </c>
      <c r="J1" t="s">
        <v>630</v>
      </c>
      <c r="K1" t="s">
        <v>631</v>
      </c>
      <c r="L1" t="s">
        <v>632</v>
      </c>
      <c r="M1" t="s">
        <v>633</v>
      </c>
      <c r="N1" t="s">
        <v>524</v>
      </c>
      <c r="O1" t="s">
        <v>40</v>
      </c>
      <c r="P1" t="s">
        <v>367</v>
      </c>
      <c r="Q1" t="s">
        <v>210</v>
      </c>
      <c r="R1" t="s">
        <v>525</v>
      </c>
    </row>
    <row r="2" spans="1:18" x14ac:dyDescent="0.3">
      <c r="A2" t="s">
        <v>347</v>
      </c>
      <c r="B2" t="s">
        <v>43</v>
      </c>
      <c r="C2" t="s">
        <v>105</v>
      </c>
      <c r="D2" s="15">
        <v>46240.387291666666</v>
      </c>
      <c r="E2" t="s">
        <v>402</v>
      </c>
      <c r="F2">
        <v>2</v>
      </c>
      <c r="G2" s="15">
        <v>46241.395138888889</v>
      </c>
      <c r="H2" t="s">
        <v>360</v>
      </c>
      <c r="I2" t="s">
        <v>371</v>
      </c>
      <c r="J2" t="s">
        <v>240</v>
      </c>
      <c r="K2" t="s">
        <v>347</v>
      </c>
      <c r="L2" t="s">
        <v>351</v>
      </c>
      <c r="M2" t="s">
        <v>240</v>
      </c>
      <c r="N2">
        <v>13</v>
      </c>
      <c r="O2" t="s">
        <v>67</v>
      </c>
      <c r="P2" t="s">
        <v>360</v>
      </c>
      <c r="Q2" t="s">
        <v>217</v>
      </c>
      <c r="R2">
        <v>1</v>
      </c>
    </row>
    <row r="3" spans="1:18" x14ac:dyDescent="0.3">
      <c r="A3" t="s">
        <v>347</v>
      </c>
      <c r="B3" t="s">
        <v>47</v>
      </c>
      <c r="C3" t="s">
        <v>68</v>
      </c>
      <c r="D3" s="15">
        <v>46233.496469907404</v>
      </c>
      <c r="E3" t="s">
        <v>401</v>
      </c>
      <c r="F3">
        <v>2</v>
      </c>
      <c r="G3" s="15">
        <v>46234.427083333336</v>
      </c>
      <c r="H3" t="s">
        <v>360</v>
      </c>
      <c r="I3" t="s">
        <v>371</v>
      </c>
      <c r="J3" t="s">
        <v>240</v>
      </c>
      <c r="K3" t="s">
        <v>347</v>
      </c>
      <c r="L3" t="s">
        <v>351</v>
      </c>
      <c r="M3" t="s">
        <v>240</v>
      </c>
      <c r="N3">
        <v>13</v>
      </c>
      <c r="O3" t="s">
        <v>90</v>
      </c>
      <c r="P3" t="s">
        <v>360</v>
      </c>
      <c r="Q3" t="s">
        <v>218</v>
      </c>
      <c r="R3">
        <v>1</v>
      </c>
    </row>
    <row r="4" spans="1:18" x14ac:dyDescent="0.3">
      <c r="A4" t="s">
        <v>347</v>
      </c>
      <c r="B4" t="s">
        <v>45</v>
      </c>
      <c r="C4" t="s">
        <v>68</v>
      </c>
      <c r="D4" s="15">
        <v>46218.662442129629</v>
      </c>
      <c r="E4" t="s">
        <v>947</v>
      </c>
      <c r="F4">
        <v>50</v>
      </c>
      <c r="G4" s="15">
        <v>46224.486111111109</v>
      </c>
      <c r="H4" t="s">
        <v>360</v>
      </c>
      <c r="I4" t="s">
        <v>371</v>
      </c>
      <c r="J4" t="s">
        <v>240</v>
      </c>
      <c r="K4" t="s">
        <v>347</v>
      </c>
      <c r="L4" t="s">
        <v>351</v>
      </c>
      <c r="M4" t="s">
        <v>240</v>
      </c>
      <c r="N4">
        <v>13</v>
      </c>
      <c r="O4" t="s">
        <v>67</v>
      </c>
      <c r="P4" t="s">
        <v>360</v>
      </c>
      <c r="Q4" t="s">
        <v>217</v>
      </c>
      <c r="R4">
        <v>1</v>
      </c>
    </row>
    <row r="5" spans="1:18" x14ac:dyDescent="0.3">
      <c r="A5" t="s">
        <v>347</v>
      </c>
      <c r="B5" t="s">
        <v>45</v>
      </c>
      <c r="C5" t="s">
        <v>68</v>
      </c>
      <c r="D5" s="15">
        <v>46218.662719907406</v>
      </c>
      <c r="E5" t="s">
        <v>947</v>
      </c>
      <c r="F5">
        <v>50</v>
      </c>
      <c r="G5" s="15">
        <v>46224.486111111109</v>
      </c>
      <c r="H5" t="s">
        <v>360</v>
      </c>
      <c r="I5" t="s">
        <v>371</v>
      </c>
      <c r="J5" t="s">
        <v>240</v>
      </c>
      <c r="K5" t="s">
        <v>347</v>
      </c>
      <c r="L5" t="s">
        <v>351</v>
      </c>
      <c r="M5" t="s">
        <v>240</v>
      </c>
      <c r="O5" t="s">
        <v>67</v>
      </c>
      <c r="P5" t="s">
        <v>360</v>
      </c>
      <c r="Q5" t="s">
        <v>217</v>
      </c>
    </row>
    <row r="6" spans="1:18" x14ac:dyDescent="0.3">
      <c r="A6" t="s">
        <v>347</v>
      </c>
      <c r="B6" t="s">
        <v>48</v>
      </c>
      <c r="C6" t="s">
        <v>68</v>
      </c>
      <c r="D6" s="15">
        <v>46156.383645833332</v>
      </c>
      <c r="E6" t="s">
        <v>402</v>
      </c>
      <c r="F6">
        <v>1</v>
      </c>
      <c r="G6" s="15">
        <v>46230.438194444447</v>
      </c>
      <c r="H6" t="s">
        <v>360</v>
      </c>
      <c r="I6" t="s">
        <v>371</v>
      </c>
      <c r="J6" t="s">
        <v>240</v>
      </c>
      <c r="K6" t="s">
        <v>347</v>
      </c>
      <c r="L6" t="s">
        <v>351</v>
      </c>
      <c r="M6" t="s">
        <v>240</v>
      </c>
      <c r="N6">
        <v>13</v>
      </c>
      <c r="O6" t="s">
        <v>90</v>
      </c>
      <c r="P6" t="s">
        <v>360</v>
      </c>
      <c r="Q6" t="s">
        <v>217</v>
      </c>
      <c r="R6">
        <v>1</v>
      </c>
    </row>
    <row r="7" spans="1:18" x14ac:dyDescent="0.3">
      <c r="A7" t="s">
        <v>347</v>
      </c>
      <c r="B7" t="s">
        <v>45</v>
      </c>
      <c r="C7" t="s">
        <v>68</v>
      </c>
      <c r="D7" s="15">
        <v>46244.678773148145</v>
      </c>
      <c r="E7" t="s">
        <v>1260</v>
      </c>
      <c r="F7">
        <v>25</v>
      </c>
      <c r="G7" s="15">
        <v>46246.395833333336</v>
      </c>
      <c r="H7" t="s">
        <v>1257</v>
      </c>
      <c r="I7" t="s">
        <v>1258</v>
      </c>
      <c r="J7" t="s">
        <v>240</v>
      </c>
      <c r="K7" t="s">
        <v>347</v>
      </c>
      <c r="L7" t="s">
        <v>351</v>
      </c>
      <c r="M7" t="s">
        <v>240</v>
      </c>
      <c r="N7">
        <v>3</v>
      </c>
      <c r="O7" t="s">
        <v>67</v>
      </c>
      <c r="P7" t="s">
        <v>1257</v>
      </c>
      <c r="Q7" t="s">
        <v>217</v>
      </c>
      <c r="R7">
        <v>1</v>
      </c>
    </row>
    <row r="8" spans="1:18" x14ac:dyDescent="0.3">
      <c r="A8" t="s">
        <v>347</v>
      </c>
      <c r="B8" t="s">
        <v>45</v>
      </c>
      <c r="C8" t="s">
        <v>68</v>
      </c>
      <c r="D8" s="15">
        <v>46252.494293981479</v>
      </c>
      <c r="E8" t="s">
        <v>1260</v>
      </c>
      <c r="F8">
        <v>25</v>
      </c>
      <c r="G8" s="15">
        <v>46253.423611111109</v>
      </c>
      <c r="H8" t="s">
        <v>1257</v>
      </c>
      <c r="I8" t="s">
        <v>1258</v>
      </c>
      <c r="J8" t="s">
        <v>240</v>
      </c>
      <c r="K8" t="s">
        <v>347</v>
      </c>
      <c r="L8" t="s">
        <v>351</v>
      </c>
      <c r="M8" t="s">
        <v>240</v>
      </c>
      <c r="N8">
        <v>3</v>
      </c>
      <c r="O8" t="s">
        <v>67</v>
      </c>
      <c r="P8" t="s">
        <v>1257</v>
      </c>
      <c r="Q8" t="s">
        <v>217</v>
      </c>
      <c r="R8">
        <v>1</v>
      </c>
    </row>
    <row r="9" spans="1:18" x14ac:dyDescent="0.3">
      <c r="A9" t="s">
        <v>347</v>
      </c>
      <c r="B9" t="s">
        <v>45</v>
      </c>
      <c r="C9" t="s">
        <v>68</v>
      </c>
      <c r="D9" s="15">
        <v>46237.299120370371</v>
      </c>
      <c r="E9" t="s">
        <v>1260</v>
      </c>
      <c r="F9">
        <v>20</v>
      </c>
      <c r="G9" s="15">
        <v>46239.371527777781</v>
      </c>
      <c r="H9" t="s">
        <v>1257</v>
      </c>
      <c r="I9" t="s">
        <v>1258</v>
      </c>
      <c r="J9" t="s">
        <v>240</v>
      </c>
      <c r="K9" t="s">
        <v>347</v>
      </c>
      <c r="L9" t="s">
        <v>351</v>
      </c>
      <c r="M9" t="s">
        <v>240</v>
      </c>
      <c r="N9">
        <v>3</v>
      </c>
      <c r="O9" t="s">
        <v>67</v>
      </c>
      <c r="P9" t="s">
        <v>1257</v>
      </c>
      <c r="Q9" t="s">
        <v>217</v>
      </c>
      <c r="R9">
        <v>1</v>
      </c>
    </row>
    <row r="10" spans="1:18" x14ac:dyDescent="0.3">
      <c r="A10" t="s">
        <v>347</v>
      </c>
      <c r="B10" t="s">
        <v>43</v>
      </c>
      <c r="C10" t="s">
        <v>105</v>
      </c>
      <c r="D10" s="15">
        <v>46244.665532407409</v>
      </c>
      <c r="E10" t="s">
        <v>400</v>
      </c>
      <c r="F10">
        <v>3</v>
      </c>
      <c r="G10" s="15">
        <v>46247.479166666664</v>
      </c>
      <c r="H10" t="s">
        <v>362</v>
      </c>
      <c r="I10" t="s">
        <v>373</v>
      </c>
      <c r="J10" t="s">
        <v>240</v>
      </c>
      <c r="K10" t="s">
        <v>347</v>
      </c>
      <c r="L10" t="s">
        <v>351</v>
      </c>
      <c r="M10" t="s">
        <v>240</v>
      </c>
      <c r="N10">
        <v>48</v>
      </c>
      <c r="O10" t="s">
        <v>67</v>
      </c>
      <c r="P10" t="s">
        <v>362</v>
      </c>
      <c r="Q10" t="s">
        <v>217</v>
      </c>
      <c r="R10">
        <v>1</v>
      </c>
    </row>
    <row r="11" spans="1:18" x14ac:dyDescent="0.3">
      <c r="A11" t="s">
        <v>347</v>
      </c>
      <c r="B11" t="s">
        <v>45</v>
      </c>
      <c r="C11" t="s">
        <v>68</v>
      </c>
      <c r="D11" s="15">
        <v>46244.660208333335</v>
      </c>
      <c r="E11" t="s">
        <v>400</v>
      </c>
      <c r="F11">
        <v>25</v>
      </c>
      <c r="G11" s="15">
        <v>46246.611111111109</v>
      </c>
      <c r="H11" t="s">
        <v>362</v>
      </c>
      <c r="I11" t="s">
        <v>373</v>
      </c>
      <c r="J11" t="s">
        <v>240</v>
      </c>
      <c r="K11" t="s">
        <v>347</v>
      </c>
      <c r="L11" t="s">
        <v>351</v>
      </c>
      <c r="M11" t="s">
        <v>240</v>
      </c>
      <c r="N11">
        <v>48</v>
      </c>
      <c r="O11" t="s">
        <v>67</v>
      </c>
      <c r="P11" t="s">
        <v>362</v>
      </c>
      <c r="Q11" t="s">
        <v>217</v>
      </c>
      <c r="R11">
        <v>1</v>
      </c>
    </row>
    <row r="12" spans="1:18" x14ac:dyDescent="0.3">
      <c r="A12" t="s">
        <v>347</v>
      </c>
      <c r="B12" t="s">
        <v>45</v>
      </c>
      <c r="C12" t="s">
        <v>68</v>
      </c>
      <c r="D12" s="15">
        <v>46253.320972222224</v>
      </c>
      <c r="E12" t="s">
        <v>400</v>
      </c>
      <c r="F12">
        <v>25</v>
      </c>
      <c r="G12" s="15">
        <v>46255.638888888891</v>
      </c>
      <c r="H12" t="s">
        <v>362</v>
      </c>
      <c r="I12" t="s">
        <v>373</v>
      </c>
      <c r="J12" t="s">
        <v>240</v>
      </c>
      <c r="K12" t="s">
        <v>347</v>
      </c>
      <c r="L12" t="s">
        <v>351</v>
      </c>
      <c r="M12" t="s">
        <v>240</v>
      </c>
      <c r="N12">
        <v>48</v>
      </c>
      <c r="O12" t="s">
        <v>67</v>
      </c>
      <c r="P12" t="s">
        <v>362</v>
      </c>
      <c r="Q12" t="s">
        <v>217</v>
      </c>
      <c r="R12">
        <v>1</v>
      </c>
    </row>
    <row r="13" spans="1:18" x14ac:dyDescent="0.3">
      <c r="A13" t="s">
        <v>347</v>
      </c>
      <c r="B13" t="s">
        <v>45</v>
      </c>
      <c r="C13" t="s">
        <v>68</v>
      </c>
      <c r="D13" s="15">
        <v>46233.603067129632</v>
      </c>
      <c r="E13" t="s">
        <v>1290</v>
      </c>
      <c r="F13">
        <v>50</v>
      </c>
      <c r="G13" s="15">
        <v>46237.586805555555</v>
      </c>
      <c r="H13" t="s">
        <v>362</v>
      </c>
      <c r="I13" t="s">
        <v>373</v>
      </c>
      <c r="J13" t="s">
        <v>240</v>
      </c>
      <c r="K13" t="s">
        <v>347</v>
      </c>
      <c r="L13" t="s">
        <v>351</v>
      </c>
      <c r="M13" t="s">
        <v>240</v>
      </c>
      <c r="N13">
        <v>48</v>
      </c>
      <c r="O13" t="s">
        <v>67</v>
      </c>
      <c r="P13" t="s">
        <v>362</v>
      </c>
      <c r="Q13" t="s">
        <v>217</v>
      </c>
      <c r="R13">
        <v>1</v>
      </c>
    </row>
    <row r="14" spans="1:18" x14ac:dyDescent="0.3">
      <c r="A14" t="s">
        <v>347</v>
      </c>
      <c r="B14" t="s">
        <v>48</v>
      </c>
      <c r="C14" t="s">
        <v>68</v>
      </c>
      <c r="D14" s="15">
        <v>46238.544641203705</v>
      </c>
      <c r="E14" t="s">
        <v>400</v>
      </c>
      <c r="F14">
        <v>3</v>
      </c>
      <c r="G14" s="15">
        <v>46240.518055555556</v>
      </c>
      <c r="H14" t="s">
        <v>362</v>
      </c>
      <c r="I14" t="s">
        <v>373</v>
      </c>
      <c r="J14" t="s">
        <v>240</v>
      </c>
      <c r="K14" t="s">
        <v>347</v>
      </c>
      <c r="L14" t="s">
        <v>351</v>
      </c>
      <c r="M14" t="s">
        <v>240</v>
      </c>
      <c r="N14">
        <v>48</v>
      </c>
      <c r="O14" t="s">
        <v>90</v>
      </c>
      <c r="P14" t="s">
        <v>362</v>
      </c>
      <c r="Q14" t="s">
        <v>217</v>
      </c>
      <c r="R14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topLeftCell="A10" workbookViewId="0">
      <selection activeCell="N35" sqref="N35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69" t="s">
        <v>635</v>
      </c>
      <c r="C2" s="270"/>
      <c r="D2" s="270"/>
      <c r="E2" s="270"/>
      <c r="F2" s="270"/>
      <c r="G2" s="270"/>
      <c r="H2" s="270"/>
      <c r="I2" s="270"/>
      <c r="J2" s="270"/>
      <c r="K2" s="270"/>
      <c r="L2" s="270"/>
      <c r="M2" s="270"/>
      <c r="N2" s="270"/>
      <c r="O2" s="271"/>
      <c r="Q2" s="48"/>
    </row>
    <row r="3" spans="1:26" ht="14.25" customHeight="1" thickTop="1" thickBot="1" x14ac:dyDescent="0.35">
      <c r="B3" s="272" t="s">
        <v>636</v>
      </c>
      <c r="C3" s="270"/>
      <c r="D3" s="270"/>
      <c r="E3" s="270"/>
      <c r="F3" s="270"/>
      <c r="G3" s="270"/>
      <c r="H3" s="270"/>
      <c r="I3" s="270"/>
      <c r="J3" s="270"/>
      <c r="K3" s="270"/>
      <c r="L3" s="270"/>
      <c r="M3" s="270"/>
      <c r="N3" s="270"/>
      <c r="O3" s="271"/>
      <c r="Q3" s="49"/>
      <c r="R3" s="48"/>
    </row>
    <row r="4" spans="1:26" ht="14.25" customHeight="1" thickTop="1" x14ac:dyDescent="0.3">
      <c r="B4" s="273" t="s">
        <v>703</v>
      </c>
      <c r="C4" s="274"/>
      <c r="D4" s="50" t="s">
        <v>637</v>
      </c>
      <c r="E4" s="50"/>
      <c r="F4" s="47"/>
      <c r="G4" s="47"/>
      <c r="H4" s="46"/>
      <c r="I4" s="47" t="s">
        <v>704</v>
      </c>
      <c r="J4" s="51" t="s">
        <v>676</v>
      </c>
      <c r="K4" s="50"/>
      <c r="L4" s="275" t="s">
        <v>638</v>
      </c>
      <c r="M4" s="52" t="s">
        <v>639</v>
      </c>
      <c r="N4" s="169">
        <f>VLOOKUP("IRON-LT1", TabelaFDMPorContrato[[Contrato]:[IAPFARQ1]],4,0)</f>
        <v>51.52</v>
      </c>
      <c r="O4" s="53"/>
      <c r="Q4" s="49"/>
      <c r="R4" s="48"/>
    </row>
    <row r="5" spans="1:26" ht="14.25" customHeight="1" x14ac:dyDescent="0.3">
      <c r="B5" s="277" t="s">
        <v>705</v>
      </c>
      <c r="C5" s="276"/>
      <c r="D5" s="54">
        <v>4600686987</v>
      </c>
      <c r="E5" s="54"/>
      <c r="F5" s="47"/>
      <c r="G5" s="47"/>
      <c r="H5" s="46"/>
      <c r="I5" s="55" t="s">
        <v>640</v>
      </c>
      <c r="J5" s="54" t="s">
        <v>678</v>
      </c>
      <c r="K5" s="56"/>
      <c r="L5" s="276"/>
      <c r="M5" s="57" t="s">
        <v>641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77" t="s">
        <v>706</v>
      </c>
      <c r="C6" s="276"/>
      <c r="D6" s="278" t="s">
        <v>680</v>
      </c>
      <c r="E6" s="276"/>
      <c r="F6" s="276"/>
      <c r="G6" s="276"/>
      <c r="H6" s="276"/>
      <c r="I6" s="55" t="s">
        <v>642</v>
      </c>
      <c r="J6" s="54" t="s">
        <v>681</v>
      </c>
      <c r="K6" s="54"/>
      <c r="L6" s="280" t="s">
        <v>643</v>
      </c>
      <c r="M6" s="57" t="s">
        <v>639</v>
      </c>
      <c r="N6" s="168">
        <f>VLOOKUP("IRON-LT1", TabelaFDMPorContrato[[Contrato]:[IAPFARQ2]],9,0)</f>
        <v>78.569999999999993</v>
      </c>
      <c r="O6" s="59"/>
      <c r="Q6" s="49"/>
      <c r="R6" s="48"/>
    </row>
    <row r="7" spans="1:26" ht="14.25" customHeight="1" thickBot="1" x14ac:dyDescent="0.35">
      <c r="B7" s="281"/>
      <c r="C7" s="279"/>
      <c r="D7" s="279"/>
      <c r="E7" s="279"/>
      <c r="F7" s="279"/>
      <c r="G7" s="279"/>
      <c r="H7" s="279"/>
      <c r="I7" s="60" t="s">
        <v>644</v>
      </c>
      <c r="J7" s="170" t="s">
        <v>764</v>
      </c>
      <c r="K7" s="61"/>
      <c r="L7" s="279"/>
      <c r="M7" s="62" t="s">
        <v>641</v>
      </c>
      <c r="N7" s="63">
        <f>VLOOKUP("IRON-LT1", TabelaFDMPorContrato[[Contrato]:[FDM2]],11,0)</f>
        <v>0.96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47" t="s">
        <v>0</v>
      </c>
      <c r="E10" s="252"/>
      <c r="F10" s="252"/>
      <c r="G10" s="252"/>
      <c r="H10" s="248"/>
      <c r="I10" s="68" t="s">
        <v>40</v>
      </c>
      <c r="J10" s="69" t="s">
        <v>521</v>
      </c>
      <c r="K10" s="69" t="s">
        <v>645</v>
      </c>
      <c r="L10" s="69" t="s">
        <v>646</v>
      </c>
      <c r="M10" s="70" t="s">
        <v>647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648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63" t="s">
        <v>683</v>
      </c>
      <c r="F12" s="256"/>
      <c r="G12" s="256"/>
      <c r="H12" s="256"/>
      <c r="I12" s="81"/>
      <c r="J12" s="82"/>
      <c r="K12" s="83"/>
      <c r="L12" s="84"/>
      <c r="M12" s="85"/>
      <c r="N12" s="264"/>
      <c r="Q12" s="48"/>
    </row>
    <row r="13" spans="1:26" ht="14.25" customHeight="1" x14ac:dyDescent="0.3">
      <c r="A13" s="45"/>
      <c r="B13" s="45"/>
      <c r="C13" s="86" t="s">
        <v>66</v>
      </c>
      <c r="D13" s="87" t="s">
        <v>504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SUMIF(ARM_IRON_LT1_RJ[Linha de serviço PPU], D12, ARM_IRON_LT1_RJ[QUA])</f>
        <v>184924</v>
      </c>
      <c r="K13" s="91">
        <f>J13*$N$5</f>
        <v>175677.8</v>
      </c>
      <c r="L13" s="92">
        <f>VLOOKUP(D12,PPU_IRON_LT1[[Linha de Serviço]:[P. Unitário (R$)]],4,0)</f>
        <v>0.6</v>
      </c>
      <c r="M13" s="93">
        <f>K13*L13</f>
        <v>105406.68</v>
      </c>
      <c r="N13" s="265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ARM_IRON_LT1_RJ[Linha de serviço PPU], D12, ARM_IRON_LT1_RJ[QUAm-1])</f>
        <v>142523</v>
      </c>
      <c r="E14" s="96">
        <f>SUMIF(  ARM_IRON_LT1_RJ[Linha de serviço PPU], D12, ARM_IRON_LT1_RJ[QBm])</f>
        <v>0</v>
      </c>
      <c r="F14" s="96">
        <f>SUMIF(  ARM_IRON_LT1_RJ[Linha de serviço PPU], D12, ARM_IRON_LT1_RJ[QDm])</f>
        <v>0</v>
      </c>
      <c r="G14" s="97">
        <f>SUMIF(  ARM_IRON_LT1_RJ[Linha de serviço PPU], D12, ARM_IRON_LT1_RJ[QNm])</f>
        <v>42401</v>
      </c>
      <c r="H14" s="98">
        <f>(D14-E14-F14)+G14</f>
        <v>184924</v>
      </c>
      <c r="I14" s="99"/>
      <c r="J14" s="100"/>
      <c r="K14" s="101"/>
      <c r="L14" s="102"/>
      <c r="M14" s="103"/>
      <c r="N14" s="266"/>
      <c r="Q14" s="48"/>
    </row>
    <row r="15" spans="1:26" ht="15" customHeight="1" x14ac:dyDescent="0.3">
      <c r="A15" s="45"/>
      <c r="B15" s="45"/>
      <c r="C15" s="79"/>
      <c r="D15" s="80" t="s">
        <v>212</v>
      </c>
      <c r="E15" s="263" t="s">
        <v>684</v>
      </c>
      <c r="F15" s="256"/>
      <c r="G15" s="256"/>
      <c r="H15" s="256"/>
      <c r="I15" s="104"/>
      <c r="J15" s="105"/>
      <c r="K15" s="83"/>
      <c r="L15" s="106"/>
      <c r="M15" s="107"/>
      <c r="N15" s="264"/>
      <c r="Q15" s="48"/>
    </row>
    <row r="16" spans="1:26" ht="14.25" customHeight="1" x14ac:dyDescent="0.3">
      <c r="A16" s="45"/>
      <c r="B16" s="45"/>
      <c r="C16" s="86" t="s">
        <v>72</v>
      </c>
      <c r="D16" s="87" t="s">
        <v>504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SUMIF(ARM_IRON_LT1_RJ[Linha de serviço PPU], D15, ARM_IRON_LT1_RJ[QUA])</f>
        <v>110</v>
      </c>
      <c r="K16" s="91">
        <f>J16*N5</f>
        <v>104.5</v>
      </c>
      <c r="L16" s="92">
        <f>VLOOKUP(D15,PPU_IRON_LT1[[Linha de Serviço]:[P. Unitário (R$)]],4,0)</f>
        <v>3.55</v>
      </c>
      <c r="M16" s="93">
        <f>K16*L16</f>
        <v>370.97499999999997</v>
      </c>
      <c r="N16" s="265"/>
      <c r="Q16" s="48"/>
    </row>
    <row r="17" spans="1:17" ht="14.25" customHeight="1" x14ac:dyDescent="0.3">
      <c r="A17" s="45"/>
      <c r="B17" s="45"/>
      <c r="C17" s="87"/>
      <c r="D17" s="95">
        <f>SUMIF(  ARM_IRON_LT1_RJ[Linha de serviço PPU], D15, ARM_IRON_LT1_RJ[QUAm-1])</f>
        <v>9</v>
      </c>
      <c r="E17" s="96">
        <f>SUMIF(  ARM_IRON_LT1_RJ[Linha de serviço PPU], D15, ARM_IRON_LT1_RJ[QBm])</f>
        <v>0</v>
      </c>
      <c r="F17" s="96">
        <f>SUMIF(  ARM_IRON_LT1_RJ[Linha de serviço PPU], D15, ARM_IRON_LT1_RJ[QDm])</f>
        <v>0</v>
      </c>
      <c r="G17" s="97">
        <f>SUMIF(  ARM_IRON_LT1_RJ[Linha de serviço PPU], D15, ARM_IRON_LT1_RJ[QNm])</f>
        <v>101</v>
      </c>
      <c r="H17" s="98">
        <f>(D17-E17-F17)+G17</f>
        <v>110</v>
      </c>
      <c r="I17" s="99"/>
      <c r="J17" s="100"/>
      <c r="K17" s="101"/>
      <c r="L17" s="102"/>
      <c r="M17" s="103"/>
      <c r="N17" s="266"/>
      <c r="Q17" s="48"/>
    </row>
    <row r="18" spans="1:17" ht="15" customHeight="1" x14ac:dyDescent="0.3">
      <c r="A18" s="45"/>
      <c r="B18" s="45"/>
      <c r="C18" s="79"/>
      <c r="D18" s="80" t="s">
        <v>213</v>
      </c>
      <c r="E18" s="263" t="s">
        <v>685</v>
      </c>
      <c r="F18" s="256"/>
      <c r="G18" s="256"/>
      <c r="H18" s="256"/>
      <c r="I18" s="104"/>
      <c r="J18" s="105"/>
      <c r="K18" s="83"/>
      <c r="M18" s="107"/>
      <c r="N18" s="264"/>
      <c r="Q18" s="48"/>
    </row>
    <row r="19" spans="1:17" ht="14.25" customHeight="1" x14ac:dyDescent="0.3">
      <c r="A19" s="45"/>
      <c r="B19" s="45"/>
      <c r="C19" s="86" t="s">
        <v>75</v>
      </c>
      <c r="D19" s="87" t="s">
        <v>504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SUMIF(ARM_IRON_LT1_RJ[Linha de serviço PPU], D18, ARM_IRON_LT1_RJ[QUA])</f>
        <v>14647</v>
      </c>
      <c r="K19" s="91">
        <f>J19*N5</f>
        <v>13914.65</v>
      </c>
      <c r="L19" s="92">
        <f>VLOOKUP(D18,PPU_IRON_LT1[[Linha de Serviço]:[P. Unitário (R$)]],4,0)</f>
        <v>0.74</v>
      </c>
      <c r="M19" s="93">
        <f>K19*L19</f>
        <v>10296.841</v>
      </c>
      <c r="N19" s="265"/>
      <c r="Q19" s="48"/>
    </row>
    <row r="20" spans="1:17" ht="14.25" customHeight="1" x14ac:dyDescent="0.3">
      <c r="A20" s="45"/>
      <c r="B20" s="45"/>
      <c r="C20" s="87"/>
      <c r="D20" s="95">
        <f>SUMIF(  ARM_IRON_LT1_RJ[Linha de serviço PPU], D18, ARM_IRON_LT1_RJ[QUAm-1])</f>
        <v>14647</v>
      </c>
      <c r="E20" s="96">
        <f>SUMIF(  ARM_IRON_LT1_RJ[Linha de serviço PPU], D18, ARM_IRON_LT1_RJ[QBm])</f>
        <v>0</v>
      </c>
      <c r="F20" s="96">
        <f>SUMIF(  ARM_IRON_LT1_RJ[Linha de serviço PPU], D18, ARM_IRON_LT1_RJ[QDm])</f>
        <v>0</v>
      </c>
      <c r="G20" s="97">
        <f>SUMIF(  ARM_IRON_LT1_RJ[Linha de serviço PPU], D18, ARM_IRON_LT1_RJ[QNm])</f>
        <v>0</v>
      </c>
      <c r="H20" s="98">
        <f>(D20-E20-F20)+G20</f>
        <v>14647</v>
      </c>
      <c r="I20" s="99"/>
      <c r="J20" s="100"/>
      <c r="K20" s="101"/>
      <c r="L20" s="102"/>
      <c r="M20" s="103"/>
      <c r="N20" s="266"/>
      <c r="Q20" s="48"/>
    </row>
    <row r="21" spans="1:17" ht="15" customHeight="1" x14ac:dyDescent="0.3">
      <c r="A21" s="45"/>
      <c r="B21" s="45"/>
      <c r="C21" s="79"/>
      <c r="D21" s="80" t="s">
        <v>214</v>
      </c>
      <c r="E21" s="263" t="s">
        <v>686</v>
      </c>
      <c r="F21" s="256"/>
      <c r="G21" s="256"/>
      <c r="H21" s="256"/>
      <c r="I21" s="104"/>
      <c r="J21" s="105"/>
      <c r="K21" s="83"/>
      <c r="L21" s="106"/>
      <c r="M21" s="107"/>
      <c r="N21" s="264"/>
      <c r="Q21" s="48"/>
    </row>
    <row r="22" spans="1:17" ht="14.25" customHeight="1" x14ac:dyDescent="0.3">
      <c r="A22" s="45"/>
      <c r="B22" s="45"/>
      <c r="C22" s="86" t="s">
        <v>77</v>
      </c>
      <c r="D22" s="87" t="s">
        <v>504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SUMIF(ARM_IRON_LT1_RJ[Linha de serviço PPU], D21, ARM_IRON_LT1_RJ[QUA])</f>
        <v>17</v>
      </c>
      <c r="K22" s="91">
        <f>J22*N5</f>
        <v>16.149999999999999</v>
      </c>
      <c r="L22" s="92">
        <f>VLOOKUP(D21,PPU_IRON_LT1[[Linha de Serviço]:[P. Unitário (R$)]],4,0)</f>
        <v>56.11</v>
      </c>
      <c r="M22" s="93">
        <f>K22*L22</f>
        <v>906.17649999999992</v>
      </c>
      <c r="N22" s="265"/>
      <c r="Q22" s="48"/>
    </row>
    <row r="23" spans="1:17" ht="14.25" customHeight="1" x14ac:dyDescent="0.3">
      <c r="A23" s="45"/>
      <c r="B23" s="45"/>
      <c r="C23" s="87"/>
      <c r="D23" s="95">
        <f>SUMIF(  ARM_IRON_LT1_RJ[Linha de serviço PPU], D21, ARM_IRON_LT1_RJ[QUAm-1])</f>
        <v>17</v>
      </c>
      <c r="E23" s="96">
        <f>SUMIF(  ARM_IRON_LT1_RJ[Linha de serviço PPU], D21, ARM_IRON_LT1_RJ[QBm])</f>
        <v>0</v>
      </c>
      <c r="F23" s="96">
        <f>SUMIF(  ARM_IRON_LT1_RJ[Linha de serviço PPU], D21, ARM_IRON_LT1_RJ[QDm])</f>
        <v>0</v>
      </c>
      <c r="G23" s="97">
        <f>SUMIF(  ARM_IRON_LT1_RJ[Linha de serviço PPU], D21, ARM_IRON_LT1_RJ[QNm])</f>
        <v>0</v>
      </c>
      <c r="H23" s="98">
        <f>(D23-E23-F23)+G23</f>
        <v>17</v>
      </c>
      <c r="I23" s="99"/>
      <c r="J23" s="100"/>
      <c r="K23" s="101"/>
      <c r="L23" s="102"/>
      <c r="M23" s="103"/>
      <c r="N23" s="266"/>
      <c r="Q23" s="48"/>
    </row>
    <row r="24" spans="1:17" ht="15" customHeight="1" x14ac:dyDescent="0.3">
      <c r="A24" s="45"/>
      <c r="B24" s="45"/>
      <c r="C24" s="79"/>
      <c r="D24" s="80" t="s">
        <v>215</v>
      </c>
      <c r="E24" s="263" t="s">
        <v>687</v>
      </c>
      <c r="F24" s="256"/>
      <c r="G24" s="256"/>
      <c r="H24" s="256"/>
      <c r="I24" s="104"/>
      <c r="J24" s="105"/>
      <c r="K24" s="83"/>
      <c r="L24" s="106"/>
      <c r="M24" s="107"/>
      <c r="N24" s="264"/>
      <c r="Q24" s="48"/>
    </row>
    <row r="25" spans="1:17" ht="14.25" customHeight="1" x14ac:dyDescent="0.3">
      <c r="A25" s="45"/>
      <c r="B25" s="45"/>
      <c r="C25" s="86" t="s">
        <v>84</v>
      </c>
      <c r="D25" s="87" t="s">
        <v>504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SUMIF(ARM_IRON_LT1_RJ[Linha de serviço PPU], D24, ARM_IRON_LT1_RJ[QUA])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65"/>
      <c r="Q25" s="48"/>
    </row>
    <row r="26" spans="1:17" ht="14.25" customHeight="1" x14ac:dyDescent="0.3">
      <c r="A26" s="45"/>
      <c r="B26" s="45"/>
      <c r="C26" s="87"/>
      <c r="D26" s="95">
        <f>SUMIF(  ARM_IRON_LT1_RJ[Linha de serviço PPU], D24, ARM_IRON_LT1_RJ[QUAm-1])</f>
        <v>0</v>
      </c>
      <c r="E26" s="96">
        <f>SUMIF(  ARM_IRON_LT1_RJ[Linha de serviço PPU], D24, ARM_IRON_LT1_RJ[QBm])</f>
        <v>0</v>
      </c>
      <c r="F26" s="96">
        <f>SUMIF(  ARM_IRON_LT1_RJ[Linha de serviço PPU], D24, ARM_IRON_LT1_RJ[QDm])</f>
        <v>0</v>
      </c>
      <c r="G26" s="97">
        <f>SUMIF(  ARM_IRON_LT1_RJ[Linha de serviço PPU], D24, ARM_IRON_LT1_RJ[QNm])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66"/>
      <c r="Q26" s="48"/>
    </row>
    <row r="27" spans="1:17" ht="15" customHeight="1" x14ac:dyDescent="0.3">
      <c r="A27" s="45"/>
      <c r="B27" s="45"/>
      <c r="C27" s="79"/>
      <c r="D27" s="80" t="s">
        <v>216</v>
      </c>
      <c r="E27" s="263" t="s">
        <v>688</v>
      </c>
      <c r="F27" s="256"/>
      <c r="G27" s="256"/>
      <c r="H27" s="256"/>
      <c r="I27" s="110"/>
      <c r="J27" s="111"/>
      <c r="K27" s="91"/>
      <c r="L27" s="92"/>
      <c r="M27" s="93"/>
      <c r="N27" s="264"/>
      <c r="Q27" s="48"/>
    </row>
    <row r="28" spans="1:17" ht="14.25" customHeight="1" x14ac:dyDescent="0.3">
      <c r="A28" s="45"/>
      <c r="B28" s="45"/>
      <c r="C28" s="86" t="s">
        <v>87</v>
      </c>
      <c r="D28" s="87" t="s">
        <v>504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SUMIF(ARM_IRON_LT1_RJ[Linha de serviço PPU], D27, ARM_IRON_LT1_RJ[QUA])</f>
        <v>5193</v>
      </c>
      <c r="K28" s="91">
        <f>J28*N5</f>
        <v>4933.3499999999995</v>
      </c>
      <c r="L28" s="92">
        <f>VLOOKUP(D27,PPU_IRON_LT1[[Linha de Serviço]:[P. Unitário (R$)]],4,0)</f>
        <v>0.08</v>
      </c>
      <c r="M28" s="93">
        <f>K28*L28</f>
        <v>394.66799999999995</v>
      </c>
      <c r="N28" s="265"/>
      <c r="Q28" s="48"/>
    </row>
    <row r="29" spans="1:17" ht="14.25" customHeight="1" x14ac:dyDescent="0.3">
      <c r="A29" s="45"/>
      <c r="B29" s="45"/>
      <c r="C29" s="87"/>
      <c r="D29" s="95">
        <f>SUMIF(  ARM_IRON_LT1_RJ[Linha de serviço PPU], D27, ARM_IRON_LT1_RJ[QUAm-1])</f>
        <v>5193</v>
      </c>
      <c r="E29" s="96">
        <f>SUMIF(  ARM_IRON_LT1_RJ[Linha de serviço PPU], D27, ARM_IRON_LT1_RJ[QBm])</f>
        <v>0</v>
      </c>
      <c r="F29" s="96">
        <f>SUMIF(  ARM_IRON_LT1_RJ[Linha de serviço PPU], D27, ARM_IRON_LT1_RJ[QDm])</f>
        <v>0</v>
      </c>
      <c r="G29" s="97">
        <f>SUMIF(  ARM_IRON_LT1_RJ[Linha de serviço PPU], D27, ARM_IRON_LT1_RJ[QNm])</f>
        <v>0</v>
      </c>
      <c r="H29" s="98">
        <f>(D29-E29-F29)+G29</f>
        <v>5193</v>
      </c>
      <c r="I29" s="99"/>
      <c r="J29" s="111"/>
      <c r="K29" s="101"/>
      <c r="L29" s="92"/>
      <c r="M29" s="93"/>
      <c r="N29" s="266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67" t="s">
        <v>689</v>
      </c>
      <c r="F30" s="267"/>
      <c r="G30" s="267"/>
      <c r="H30" s="268"/>
      <c r="I30" s="162" t="s">
        <v>90</v>
      </c>
      <c r="J30" s="166">
        <f>SUMIF(DADOS_IRON_LT1_RJ[Linha de serviço PPU], D30, DADOS_IRON_LT1_RJ[QExecAgrupado])</f>
        <v>54.23</v>
      </c>
      <c r="K30" s="164">
        <f>J30*N5</f>
        <v>51.518499999999996</v>
      </c>
      <c r="L30" s="160">
        <f>VLOOKUP(D30,PPU_IRON_LT1[[Linha de Serviço]:[P. Unitário (R$)]],4,0)</f>
        <v>125.89</v>
      </c>
      <c r="M30" s="225">
        <f>K30*L30</f>
        <v>6485.6639649999997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6" t="s">
        <v>690</v>
      </c>
      <c r="F31" s="256"/>
      <c r="G31" s="256"/>
      <c r="H31" s="256"/>
      <c r="I31" s="163" t="s">
        <v>90</v>
      </c>
      <c r="J31" s="166">
        <f>SUMIF(DADOS_IRON_LT1_RJ[Linha de serviço PPU], D31, DADOS_IRON_LT1_RJ[QExecAgrupado])</f>
        <v>5</v>
      </c>
      <c r="K31" s="164">
        <f>J31*N5</f>
        <v>4.75</v>
      </c>
      <c r="L31" s="160">
        <f>VLOOKUP(D31,PPU_IRON_LT1[[Linha de Serviço]:[P. Unitário (R$)]],4,0)</f>
        <v>200</v>
      </c>
      <c r="M31" s="225">
        <f t="shared" ref="M31:M47" si="0">K31*L31</f>
        <v>950</v>
      </c>
      <c r="N31" s="115"/>
      <c r="Q31" s="48"/>
    </row>
    <row r="32" spans="1:17" ht="15" customHeight="1" x14ac:dyDescent="0.3">
      <c r="A32" s="45"/>
      <c r="B32" s="45"/>
      <c r="C32" s="116" t="s">
        <v>649</v>
      </c>
      <c r="D32" s="80" t="s">
        <v>691</v>
      </c>
      <c r="E32" s="256" t="s">
        <v>692</v>
      </c>
      <c r="F32" s="256"/>
      <c r="G32" s="256"/>
      <c r="H32" s="256"/>
      <c r="I32" s="163" t="s">
        <v>650</v>
      </c>
      <c r="J32" s="166">
        <f>SUM(DADOS_IRON_LT1_RJ[KM Adicional])</f>
        <v>1405</v>
      </c>
      <c r="K32" s="164">
        <f>J32*N5</f>
        <v>1334.75</v>
      </c>
      <c r="L32" s="160">
        <f>VLOOKUP(D32,PPU_IRON_LT1[[Linha de Serviço]:[P. Unitário (R$)]],4,0)</f>
        <v>0.5</v>
      </c>
      <c r="M32" s="225">
        <f t="shared" si="0"/>
        <v>667.375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57" t="s">
        <v>13</v>
      </c>
      <c r="F33" s="258"/>
      <c r="G33" s="258"/>
      <c r="H33" s="259"/>
      <c r="I33" s="163" t="s">
        <v>651</v>
      </c>
      <c r="J33" s="166">
        <f>SUMIF(DADOS_IRON_LT1_RJ[Linha de serviço PPU], D33, DADOS_IRON_LT1_RJ[QExecAgrupado])</f>
        <v>0</v>
      </c>
      <c r="K33" s="164">
        <f>J33*N5</f>
        <v>0</v>
      </c>
      <c r="L33" s="160">
        <f>VLOOKUP(D33,PPU_IRON_LT1[[Linha de Serviço]:[P. Unitário (R$)]],4,0)</f>
        <v>1.96</v>
      </c>
      <c r="M33" s="225">
        <f t="shared" si="0"/>
        <v>0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57" t="s">
        <v>15</v>
      </c>
      <c r="F34" s="258"/>
      <c r="G34" s="258"/>
      <c r="H34" s="259"/>
      <c r="I34" s="163" t="s">
        <v>651</v>
      </c>
      <c r="J34" s="166">
        <f>SUMIF(DADOS_IRON_LT1_RJ[Linha de serviço PPU], D34, DADOS_IRON_LT1_RJ[QExecAgrupado])</f>
        <v>0</v>
      </c>
      <c r="K34" s="164">
        <f>J34*N5</f>
        <v>0</v>
      </c>
      <c r="L34" s="160">
        <f>VLOOKUP(D34,PPU_IRON_LT1[[Linha de Serviço]:[P. Unitário (R$)]],4,0)</f>
        <v>1.35</v>
      </c>
      <c r="M34" s="225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57" t="s">
        <v>693</v>
      </c>
      <c r="F35" s="258"/>
      <c r="G35" s="258"/>
      <c r="H35" s="259"/>
      <c r="I35" s="163" t="s">
        <v>108</v>
      </c>
      <c r="J35" s="166">
        <f>SUMIF(DADOS_IRON_LT1_RJ[Linha de serviço PPU], D35, DADOS_IRON_LT1_RJ[QExecAgrupado])</f>
        <v>0</v>
      </c>
      <c r="K35" s="164">
        <f>J35*N5</f>
        <v>0</v>
      </c>
      <c r="L35" s="160">
        <f>VLOOKUP(D35,PPU_IRON_LT1[[Linha de Serviço]:[P. Unitário (R$)]],4,0)</f>
        <v>594488.34</v>
      </c>
      <c r="M35" s="225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57" t="s">
        <v>694</v>
      </c>
      <c r="F36" s="258"/>
      <c r="G36" s="258"/>
      <c r="H36" s="259"/>
      <c r="I36" s="163" t="s">
        <v>67</v>
      </c>
      <c r="J36" s="166">
        <f>SUMIF(DADOS_IRON_LT1_RJ[Linha de serviço PPU], D36, DADOS_IRON_LT1_RJ[QExecAgrupado])</f>
        <v>0</v>
      </c>
      <c r="K36" s="164">
        <f>J36*N5</f>
        <v>0</v>
      </c>
      <c r="L36" s="160">
        <f>VLOOKUP(D36,PPU_IRON_LT1[[Linha de Serviço]:[P. Unitário (R$)]],4,0)</f>
        <v>1.01</v>
      </c>
      <c r="M36" s="225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0" t="s">
        <v>652</v>
      </c>
      <c r="E37" s="261"/>
      <c r="F37" s="261"/>
      <c r="G37" s="261"/>
      <c r="H37" s="261"/>
      <c r="I37" s="119"/>
      <c r="J37" s="171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6" t="s">
        <v>695</v>
      </c>
      <c r="F38" s="256"/>
      <c r="G38" s="256"/>
      <c r="H38" s="256"/>
      <c r="I38" s="163" t="s">
        <v>696</v>
      </c>
      <c r="J38" s="166">
        <f>SUMIF(DADOS_IRON_LT1_RJ[Linha de serviço PPU], D38, DADOS_IRON_LT1_RJ[QExec])</f>
        <v>369</v>
      </c>
      <c r="K38" s="165">
        <f>J38*N7</f>
        <v>354.24</v>
      </c>
      <c r="L38" s="160">
        <f>VLOOKUP(D38,PPU_IRON_LT1[[Linha de Serviço]:[P. Unitário (R$)]],4,0)</f>
        <v>0.44</v>
      </c>
      <c r="M38" s="225">
        <f t="shared" si="0"/>
        <v>155.8656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62" t="s">
        <v>697</v>
      </c>
      <c r="F39" s="262"/>
      <c r="G39" s="262"/>
      <c r="H39" s="262"/>
      <c r="I39" s="163" t="s">
        <v>67</v>
      </c>
      <c r="J39" s="166">
        <f>SUMIF(DADOS_IRON_LT1_RJ[Linha de serviço PPU], D39, DADOS_IRON_LT1_RJ[QExec])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225">
        <f t="shared" si="0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6" t="s">
        <v>698</v>
      </c>
      <c r="F40" s="256"/>
      <c r="G40" s="256"/>
      <c r="H40" s="256"/>
      <c r="I40" s="163" t="s">
        <v>122</v>
      </c>
      <c r="J40" s="166">
        <f>SUMIF(DADOS_IRON_LT1_RJ[Linha de serviço PPU], D40, DADOS_IRON_LT1_RJ[QExec])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225">
        <f t="shared" si="0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6" t="s">
        <v>699</v>
      </c>
      <c r="F41" s="256"/>
      <c r="G41" s="256"/>
      <c r="H41" s="256"/>
      <c r="I41" s="163" t="s">
        <v>122</v>
      </c>
      <c r="J41" s="166">
        <f>SUMIF(DADOS_IRON_LT1_RJ[Linha de serviço PPU], D41, DADOS_IRON_LT1_RJ[QExec])</f>
        <v>28</v>
      </c>
      <c r="K41" s="165">
        <f>J41*N7</f>
        <v>26.88</v>
      </c>
      <c r="L41" s="160">
        <f>VLOOKUP(D41,PPU_IRON_LT1[[Linha de Serviço]:[P. Unitário (R$)]],4,0)</f>
        <v>0.06</v>
      </c>
      <c r="M41" s="225">
        <f t="shared" si="0"/>
        <v>1.6127999999999998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6" t="s">
        <v>24</v>
      </c>
      <c r="F42" s="256"/>
      <c r="G42" s="256"/>
      <c r="H42" s="256"/>
      <c r="I42" s="163" t="s">
        <v>122</v>
      </c>
      <c r="J42" s="166">
        <f>SUMIF(DADOS_IRON_LT1_RJ[Linha de serviço PPU], D42, DADOS_IRON_LT1_RJ[QExec])</f>
        <v>51643</v>
      </c>
      <c r="K42" s="165">
        <f>J42*N7</f>
        <v>49577.279999999999</v>
      </c>
      <c r="L42" s="160">
        <f>VLOOKUP(D42,PPU_IRON_LT1[[Linha de Serviço]:[P. Unitário (R$)]],4,0)</f>
        <v>0.1</v>
      </c>
      <c r="M42" s="225">
        <f t="shared" si="0"/>
        <v>4957.7280000000001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6" t="s">
        <v>700</v>
      </c>
      <c r="F43" s="256"/>
      <c r="G43" s="256"/>
      <c r="H43" s="256"/>
      <c r="I43" s="163" t="s">
        <v>701</v>
      </c>
      <c r="J43" s="166">
        <f>SUMIF(DADOS_IRON_LT1_RJ[Linha de serviço PPU], D43, DADOS_IRON_LT1_RJ[QExec])</f>
        <v>78.7</v>
      </c>
      <c r="K43" s="165">
        <f>J43*N7</f>
        <v>75.552000000000007</v>
      </c>
      <c r="L43" s="160">
        <f>VLOOKUP(D43,PPU_IRON_LT1[[Linha de Serviço]:[P. Unitário (R$)]],4,0)</f>
        <v>0.23</v>
      </c>
      <c r="M43" s="225">
        <f t="shared" si="0"/>
        <v>17.376960000000004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6" t="s">
        <v>28</v>
      </c>
      <c r="F44" s="256"/>
      <c r="G44" s="256"/>
      <c r="H44" s="256"/>
      <c r="I44" s="163" t="s">
        <v>92</v>
      </c>
      <c r="J44" s="166">
        <f>SUMIF(DADOS_IRON_LT1_RJ[Linha de serviço PPU], D44, DADOS_IRON_LT1_RJ[QExec])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225">
        <f t="shared" si="0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6" t="s">
        <v>30</v>
      </c>
      <c r="F45" s="256"/>
      <c r="G45" s="256"/>
      <c r="H45" s="256"/>
      <c r="I45" s="163" t="s">
        <v>92</v>
      </c>
      <c r="J45" s="166">
        <f>SUMIF(DADOS_IRON_LT1_RJ[Linha de serviço PPU], D45, DADOS_IRON_LT1_RJ[QExec])</f>
        <v>0</v>
      </c>
      <c r="K45" s="165">
        <f>J45*N7</f>
        <v>0</v>
      </c>
      <c r="L45" s="160">
        <f>VLOOKUP(D45,PPU_IRON_LT1[[Linha de Serviço]:[P. Unitário (R$)]],4,0)</f>
        <v>39</v>
      </c>
      <c r="M45" s="225">
        <f t="shared" si="0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6" t="s">
        <v>32</v>
      </c>
      <c r="F46" s="256"/>
      <c r="G46" s="256"/>
      <c r="H46" s="256"/>
      <c r="I46" s="163" t="s">
        <v>92</v>
      </c>
      <c r="J46" s="166">
        <f>SUMIF(DADOS_IRON_LT1_RJ[Linha de serviço PPU], D46, DADOS_IRON_LT1_RJ[QExec])</f>
        <v>796</v>
      </c>
      <c r="K46" s="165">
        <f>J46*N7</f>
        <v>764.16</v>
      </c>
      <c r="L46" s="160">
        <f>VLOOKUP(D46,PPU_IRON_LT1[[Linha de Serviço]:[P. Unitário (R$)]],4,0)</f>
        <v>11.72</v>
      </c>
      <c r="M46" s="225">
        <f t="shared" si="0"/>
        <v>8955.9552000000003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6" t="s">
        <v>34</v>
      </c>
      <c r="F47" s="256"/>
      <c r="G47" s="256"/>
      <c r="H47" s="256"/>
      <c r="I47" s="163" t="s">
        <v>92</v>
      </c>
      <c r="J47" s="166">
        <f>SUMIF(DADOS_IRON_LT1_RJ[Linha de serviço PPU], D47, DADOS_IRON_LT1_RJ[QExec])</f>
        <v>0</v>
      </c>
      <c r="K47" s="165">
        <f>J47*N7</f>
        <v>0</v>
      </c>
      <c r="L47" s="160">
        <f>VLOOKUP(D47,PPU_IRON_LT1[[Linha de Serviço]:[P. Unitário (R$)]],4,0)</f>
        <v>2.44</v>
      </c>
      <c r="M47" s="225">
        <f t="shared" si="0"/>
        <v>0</v>
      </c>
      <c r="N47" s="115"/>
      <c r="Q47" s="48"/>
    </row>
    <row r="48" spans="1:17" ht="30" customHeight="1" x14ac:dyDescent="0.3">
      <c r="A48" s="45"/>
      <c r="B48" s="45"/>
      <c r="C48" s="249" t="s">
        <v>653</v>
      </c>
      <c r="D48" s="250"/>
      <c r="E48" s="250"/>
      <c r="F48" s="250"/>
      <c r="G48" s="250"/>
      <c r="H48" s="250"/>
      <c r="I48" s="248"/>
      <c r="J48" s="123"/>
      <c r="K48" s="123"/>
      <c r="L48" s="123"/>
      <c r="M48" s="124">
        <f>SUM(M12:M47)</f>
        <v>139566.91802500002</v>
      </c>
      <c r="N48" s="115"/>
      <c r="Q48" s="48"/>
    </row>
    <row r="49" spans="1:17" ht="14.25" customHeight="1" x14ac:dyDescent="0.3">
      <c r="A49" s="45"/>
      <c r="B49" s="45"/>
      <c r="C49" s="251" t="s">
        <v>654</v>
      </c>
      <c r="D49" s="252"/>
      <c r="E49" s="252"/>
      <c r="F49" s="252"/>
      <c r="G49" s="252"/>
      <c r="H49" s="252"/>
      <c r="I49" s="248"/>
      <c r="J49" s="253" t="s">
        <v>655</v>
      </c>
      <c r="K49" s="252"/>
      <c r="L49" s="252"/>
      <c r="M49" s="252"/>
      <c r="N49" s="248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53" t="s">
        <v>702</v>
      </c>
      <c r="K50" s="252"/>
      <c r="L50" s="252"/>
      <c r="M50" s="252"/>
      <c r="N50" s="248"/>
      <c r="Q50" s="48"/>
    </row>
    <row r="51" spans="1:17" ht="16.5" customHeight="1" x14ac:dyDescent="0.3">
      <c r="A51" s="45"/>
      <c r="B51" s="45"/>
      <c r="C51" s="254" t="s">
        <v>656</v>
      </c>
      <c r="D51" s="252"/>
      <c r="E51" s="252"/>
      <c r="F51" s="252"/>
      <c r="G51" s="252"/>
      <c r="H51" s="252"/>
      <c r="I51" s="252"/>
      <c r="J51" s="252"/>
      <c r="K51" s="252"/>
      <c r="L51" s="252"/>
      <c r="M51" s="252"/>
      <c r="N51" s="248"/>
      <c r="Q51" s="48"/>
    </row>
    <row r="52" spans="1:17" ht="60" customHeight="1" x14ac:dyDescent="0.3">
      <c r="A52" s="45"/>
      <c r="B52" s="45"/>
      <c r="C52" s="255"/>
      <c r="D52" s="252"/>
      <c r="E52" s="252"/>
      <c r="F52" s="252"/>
      <c r="G52" s="252"/>
      <c r="H52" s="252"/>
      <c r="I52" s="252"/>
      <c r="J52" s="252"/>
      <c r="K52" s="252"/>
      <c r="L52" s="252"/>
      <c r="M52" s="252"/>
      <c r="N52" s="248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657</v>
      </c>
      <c r="E54" s="67" t="s">
        <v>658</v>
      </c>
      <c r="F54" s="67" t="s">
        <v>659</v>
      </c>
      <c r="G54" s="67" t="s">
        <v>660</v>
      </c>
      <c r="H54" s="67"/>
      <c r="I54" s="67" t="s">
        <v>661</v>
      </c>
      <c r="J54" s="247" t="s">
        <v>662</v>
      </c>
      <c r="K54" s="248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503</v>
      </c>
      <c r="B1" t="s">
        <v>2</v>
      </c>
      <c r="C1" t="s">
        <v>504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626</v>
      </c>
      <c r="J1" t="s">
        <v>210</v>
      </c>
    </row>
    <row r="2" spans="1:10" x14ac:dyDescent="0.3">
      <c r="A2" t="s">
        <v>434</v>
      </c>
      <c r="B2" t="s">
        <v>68</v>
      </c>
      <c r="C2">
        <v>141509</v>
      </c>
      <c r="D2">
        <v>0</v>
      </c>
      <c r="E2">
        <v>0</v>
      </c>
      <c r="F2">
        <v>42401</v>
      </c>
      <c r="G2">
        <v>183910</v>
      </c>
      <c r="H2">
        <v>1</v>
      </c>
      <c r="I2">
        <v>183910</v>
      </c>
      <c r="J2" t="s">
        <v>211</v>
      </c>
    </row>
    <row r="3" spans="1:10" x14ac:dyDescent="0.3">
      <c r="A3" t="s">
        <v>423</v>
      </c>
      <c r="B3" t="s">
        <v>73</v>
      </c>
      <c r="C3">
        <v>9</v>
      </c>
      <c r="D3">
        <v>0</v>
      </c>
      <c r="E3">
        <v>0</v>
      </c>
      <c r="F3">
        <v>101</v>
      </c>
      <c r="G3">
        <v>110</v>
      </c>
      <c r="H3">
        <v>1</v>
      </c>
      <c r="I3">
        <v>110</v>
      </c>
      <c r="J3" t="s">
        <v>212</v>
      </c>
    </row>
    <row r="4" spans="1:10" x14ac:dyDescent="0.3">
      <c r="A4" t="s">
        <v>424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212</v>
      </c>
    </row>
    <row r="5" spans="1:10" x14ac:dyDescent="0.3">
      <c r="A5" t="s">
        <v>425</v>
      </c>
      <c r="B5" t="s">
        <v>154</v>
      </c>
      <c r="C5">
        <v>1014</v>
      </c>
      <c r="D5">
        <v>0</v>
      </c>
      <c r="E5">
        <v>0</v>
      </c>
      <c r="F5">
        <v>0</v>
      </c>
      <c r="G5">
        <v>1014</v>
      </c>
      <c r="H5">
        <v>0.505</v>
      </c>
      <c r="I5">
        <v>1014</v>
      </c>
      <c r="J5" t="s">
        <v>211</v>
      </c>
    </row>
    <row r="6" spans="1:10" x14ac:dyDescent="0.3">
      <c r="A6" t="s">
        <v>426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213</v>
      </c>
    </row>
    <row r="7" spans="1:10" x14ac:dyDescent="0.3">
      <c r="A7" t="s">
        <v>427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214</v>
      </c>
    </row>
    <row r="8" spans="1:10" x14ac:dyDescent="0.3">
      <c r="A8" t="s">
        <v>428</v>
      </c>
      <c r="B8" t="s">
        <v>86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 t="s">
        <v>216</v>
      </c>
    </row>
    <row r="9" spans="1:10" x14ac:dyDescent="0.3">
      <c r="A9" t="s">
        <v>429</v>
      </c>
      <c r="B9" t="s">
        <v>88</v>
      </c>
      <c r="C9">
        <v>5193</v>
      </c>
      <c r="D9">
        <v>0</v>
      </c>
      <c r="E9">
        <v>0</v>
      </c>
      <c r="F9">
        <v>0</v>
      </c>
      <c r="G9">
        <v>5193</v>
      </c>
      <c r="H9">
        <v>1</v>
      </c>
      <c r="I9">
        <v>5193</v>
      </c>
      <c r="J9" t="s">
        <v>216</v>
      </c>
    </row>
    <row r="10" spans="1:10" x14ac:dyDescent="0.3">
      <c r="A10" t="s">
        <v>763</v>
      </c>
      <c r="B10" t="s">
        <v>166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4309</v>
      </c>
      <c r="J10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5868-8A90-46EF-8D5B-DBC90F471E26}">
  <sheetPr codeName="Planilha19">
    <tabColor theme="8"/>
  </sheetPr>
  <dimension ref="A1:AF325"/>
  <sheetViews>
    <sheetView topLeftCell="D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634</v>
      </c>
      <c r="R1" t="s">
        <v>141</v>
      </c>
      <c r="S1" t="s">
        <v>628</v>
      </c>
      <c r="T1" t="s">
        <v>629</v>
      </c>
      <c r="U1" t="s">
        <v>630</v>
      </c>
      <c r="V1" t="s">
        <v>631</v>
      </c>
      <c r="W1" t="s">
        <v>632</v>
      </c>
      <c r="X1" t="s">
        <v>633</v>
      </c>
      <c r="Y1" t="s">
        <v>524</v>
      </c>
      <c r="Z1" t="s">
        <v>160</v>
      </c>
      <c r="AA1" t="s">
        <v>40</v>
      </c>
      <c r="AB1" t="s">
        <v>367</v>
      </c>
      <c r="AC1" t="s">
        <v>522</v>
      </c>
      <c r="AD1" t="s">
        <v>210</v>
      </c>
      <c r="AE1" t="s">
        <v>521</v>
      </c>
      <c r="AF1" t="s">
        <v>525</v>
      </c>
    </row>
    <row r="2" spans="1:32" x14ac:dyDescent="0.3">
      <c r="A2" t="s">
        <v>348</v>
      </c>
      <c r="B2" t="s">
        <v>43</v>
      </c>
      <c r="C2" t="s">
        <v>105</v>
      </c>
      <c r="D2" t="s">
        <v>309</v>
      </c>
      <c r="E2" t="s">
        <v>953</v>
      </c>
      <c r="F2" s="15">
        <v>46246.307928240742</v>
      </c>
      <c r="G2" t="s">
        <v>401</v>
      </c>
      <c r="H2">
        <v>1</v>
      </c>
      <c r="I2" t="s">
        <v>954</v>
      </c>
      <c r="J2" s="15">
        <v>46246.375</v>
      </c>
      <c r="K2" s="15">
        <v>46247.461805555555</v>
      </c>
      <c r="L2" s="15"/>
      <c r="M2">
        <v>1</v>
      </c>
      <c r="O2" t="s">
        <v>201</v>
      </c>
      <c r="P2" t="s">
        <v>1954</v>
      </c>
      <c r="S2" t="s">
        <v>357</v>
      </c>
      <c r="T2" t="s">
        <v>369</v>
      </c>
      <c r="U2" t="s">
        <v>239</v>
      </c>
      <c r="V2" t="s">
        <v>348</v>
      </c>
      <c r="W2" t="s">
        <v>369</v>
      </c>
      <c r="X2" t="s">
        <v>239</v>
      </c>
      <c r="Y2">
        <v>0</v>
      </c>
      <c r="AA2" t="s">
        <v>67</v>
      </c>
      <c r="AB2" t="s">
        <v>357</v>
      </c>
      <c r="AC2">
        <v>101</v>
      </c>
      <c r="AD2" t="s">
        <v>217</v>
      </c>
      <c r="AE2">
        <v>1</v>
      </c>
      <c r="AF2">
        <v>1</v>
      </c>
    </row>
    <row r="3" spans="1:32" x14ac:dyDescent="0.3">
      <c r="A3" t="s">
        <v>348</v>
      </c>
      <c r="B3" t="s">
        <v>43</v>
      </c>
      <c r="C3" t="s">
        <v>105</v>
      </c>
      <c r="D3" t="s">
        <v>309</v>
      </c>
      <c r="E3" t="s">
        <v>955</v>
      </c>
      <c r="F3" s="15">
        <v>46244.651597222219</v>
      </c>
      <c r="G3" t="s">
        <v>401</v>
      </c>
      <c r="H3">
        <v>2</v>
      </c>
      <c r="I3" t="s">
        <v>956</v>
      </c>
      <c r="J3" s="15">
        <v>46245.385416666664</v>
      </c>
      <c r="K3" s="15">
        <v>46246.481944444444</v>
      </c>
      <c r="L3" s="15"/>
      <c r="M3">
        <v>2</v>
      </c>
      <c r="O3" t="s">
        <v>201</v>
      </c>
      <c r="P3" t="s">
        <v>1954</v>
      </c>
      <c r="S3" t="s">
        <v>357</v>
      </c>
      <c r="T3" t="s">
        <v>369</v>
      </c>
      <c r="U3" t="s">
        <v>239</v>
      </c>
      <c r="V3" t="s">
        <v>348</v>
      </c>
      <c r="W3" t="s">
        <v>369</v>
      </c>
      <c r="X3" t="s">
        <v>239</v>
      </c>
      <c r="Y3">
        <v>0</v>
      </c>
      <c r="AA3" t="s">
        <v>67</v>
      </c>
      <c r="AB3" t="s">
        <v>357</v>
      </c>
      <c r="AC3">
        <v>101</v>
      </c>
      <c r="AD3" t="s">
        <v>217</v>
      </c>
      <c r="AE3">
        <v>1</v>
      </c>
      <c r="AF3">
        <v>1</v>
      </c>
    </row>
    <row r="4" spans="1:32" x14ac:dyDescent="0.3">
      <c r="A4" t="s">
        <v>348</v>
      </c>
      <c r="B4" t="s">
        <v>43</v>
      </c>
      <c r="C4" t="s">
        <v>105</v>
      </c>
      <c r="D4" t="s">
        <v>309</v>
      </c>
      <c r="E4" t="s">
        <v>957</v>
      </c>
      <c r="F4" s="15">
        <v>46241.373356481483</v>
      </c>
      <c r="G4" t="s">
        <v>401</v>
      </c>
      <c r="H4">
        <v>2</v>
      </c>
      <c r="I4" t="s">
        <v>958</v>
      </c>
      <c r="J4" s="15">
        <v>46241.399305555555</v>
      </c>
      <c r="K4" s="15">
        <v>46244.479166666664</v>
      </c>
      <c r="L4" s="15"/>
      <c r="M4">
        <v>2</v>
      </c>
      <c r="O4" t="s">
        <v>201</v>
      </c>
      <c r="P4" t="s">
        <v>1954</v>
      </c>
      <c r="S4" t="s">
        <v>357</v>
      </c>
      <c r="T4" t="s">
        <v>369</v>
      </c>
      <c r="U4" t="s">
        <v>239</v>
      </c>
      <c r="V4" t="s">
        <v>348</v>
      </c>
      <c r="W4" t="s">
        <v>369</v>
      </c>
      <c r="X4" t="s">
        <v>239</v>
      </c>
      <c r="Y4">
        <v>0</v>
      </c>
      <c r="AA4" t="s">
        <v>67</v>
      </c>
      <c r="AB4" t="s">
        <v>357</v>
      </c>
      <c r="AC4">
        <v>101</v>
      </c>
      <c r="AD4" t="s">
        <v>217</v>
      </c>
      <c r="AE4">
        <v>1</v>
      </c>
      <c r="AF4">
        <v>1</v>
      </c>
    </row>
    <row r="5" spans="1:32" x14ac:dyDescent="0.3">
      <c r="A5" t="s">
        <v>348</v>
      </c>
      <c r="B5" t="s">
        <v>43</v>
      </c>
      <c r="C5" t="s">
        <v>105</v>
      </c>
      <c r="D5" t="s">
        <v>309</v>
      </c>
      <c r="E5" t="s">
        <v>959</v>
      </c>
      <c r="F5" s="15">
        <v>46239.511006944442</v>
      </c>
      <c r="G5" t="s">
        <v>401</v>
      </c>
      <c r="H5">
        <v>3</v>
      </c>
      <c r="I5" t="s">
        <v>960</v>
      </c>
      <c r="J5" s="15">
        <v>46239.690972222219</v>
      </c>
      <c r="K5" s="15">
        <v>46240.486805555556</v>
      </c>
      <c r="L5" s="15"/>
      <c r="M5">
        <v>3</v>
      </c>
      <c r="O5" t="s">
        <v>201</v>
      </c>
      <c r="P5" t="s">
        <v>1954</v>
      </c>
      <c r="S5" t="s">
        <v>357</v>
      </c>
      <c r="T5" t="s">
        <v>369</v>
      </c>
      <c r="U5" t="s">
        <v>239</v>
      </c>
      <c r="V5" t="s">
        <v>348</v>
      </c>
      <c r="W5" t="s">
        <v>369</v>
      </c>
      <c r="X5" t="s">
        <v>239</v>
      </c>
      <c r="Y5">
        <v>0</v>
      </c>
      <c r="AA5" t="s">
        <v>67</v>
      </c>
      <c r="AB5" t="s">
        <v>357</v>
      </c>
      <c r="AC5">
        <v>101</v>
      </c>
      <c r="AD5" t="s">
        <v>217</v>
      </c>
      <c r="AE5">
        <v>1</v>
      </c>
      <c r="AF5">
        <v>1</v>
      </c>
    </row>
    <row r="6" spans="1:32" x14ac:dyDescent="0.3">
      <c r="A6" t="s">
        <v>348</v>
      </c>
      <c r="B6" t="s">
        <v>45</v>
      </c>
      <c r="C6" t="s">
        <v>68</v>
      </c>
      <c r="D6" t="s">
        <v>309</v>
      </c>
      <c r="E6" t="s">
        <v>961</v>
      </c>
      <c r="F6" s="15">
        <v>46238.581493055557</v>
      </c>
      <c r="G6" t="s">
        <v>401</v>
      </c>
      <c r="H6">
        <v>9</v>
      </c>
      <c r="I6" t="s">
        <v>962</v>
      </c>
      <c r="J6" s="15">
        <v>46239.600694444445</v>
      </c>
      <c r="K6" s="15">
        <v>46240.479166666664</v>
      </c>
      <c r="L6" s="15"/>
      <c r="M6">
        <v>9</v>
      </c>
      <c r="O6" t="s">
        <v>201</v>
      </c>
      <c r="P6" t="s">
        <v>1954</v>
      </c>
      <c r="S6" t="s">
        <v>357</v>
      </c>
      <c r="T6" t="s">
        <v>369</v>
      </c>
      <c r="U6" t="s">
        <v>239</v>
      </c>
      <c r="V6" t="s">
        <v>348</v>
      </c>
      <c r="W6" t="s">
        <v>369</v>
      </c>
      <c r="X6" t="s">
        <v>239</v>
      </c>
      <c r="AA6" t="s">
        <v>67</v>
      </c>
      <c r="AB6" t="s">
        <v>357</v>
      </c>
      <c r="AC6">
        <v>101</v>
      </c>
      <c r="AD6" t="s">
        <v>217</v>
      </c>
      <c r="AE6">
        <v>1</v>
      </c>
    </row>
    <row r="7" spans="1:32" x14ac:dyDescent="0.3">
      <c r="A7" t="s">
        <v>348</v>
      </c>
      <c r="B7" t="s">
        <v>43</v>
      </c>
      <c r="C7" t="s">
        <v>105</v>
      </c>
      <c r="D7" t="s">
        <v>309</v>
      </c>
      <c r="E7" t="s">
        <v>963</v>
      </c>
      <c r="F7" s="15">
        <v>46232.641296296293</v>
      </c>
      <c r="G7" t="s">
        <v>401</v>
      </c>
      <c r="H7">
        <v>3</v>
      </c>
      <c r="I7" t="s">
        <v>964</v>
      </c>
      <c r="J7" s="15">
        <v>46232.691562499997</v>
      </c>
      <c r="K7" s="15">
        <v>46233.513888888891</v>
      </c>
      <c r="L7" s="15"/>
      <c r="M7">
        <v>3</v>
      </c>
      <c r="O7" t="s">
        <v>201</v>
      </c>
      <c r="P7" t="s">
        <v>1954</v>
      </c>
      <c r="S7" t="s">
        <v>357</v>
      </c>
      <c r="T7" t="s">
        <v>369</v>
      </c>
      <c r="U7" t="s">
        <v>239</v>
      </c>
      <c r="V7" t="s">
        <v>348</v>
      </c>
      <c r="W7" t="s">
        <v>369</v>
      </c>
      <c r="X7" t="s">
        <v>239</v>
      </c>
      <c r="Y7">
        <v>0</v>
      </c>
      <c r="AA7" t="s">
        <v>67</v>
      </c>
      <c r="AB7" t="s">
        <v>357</v>
      </c>
      <c r="AC7">
        <v>101</v>
      </c>
      <c r="AD7" t="s">
        <v>217</v>
      </c>
      <c r="AE7">
        <v>1</v>
      </c>
      <c r="AF7">
        <v>1</v>
      </c>
    </row>
    <row r="8" spans="1:32" x14ac:dyDescent="0.3">
      <c r="A8" t="s">
        <v>348</v>
      </c>
      <c r="B8" t="s">
        <v>43</v>
      </c>
      <c r="C8" t="s">
        <v>105</v>
      </c>
      <c r="D8" t="s">
        <v>309</v>
      </c>
      <c r="E8" t="s">
        <v>965</v>
      </c>
      <c r="F8" s="15">
        <v>46220.487835648149</v>
      </c>
      <c r="G8" t="s">
        <v>401</v>
      </c>
      <c r="H8">
        <v>3</v>
      </c>
      <c r="I8" t="s">
        <v>966</v>
      </c>
      <c r="J8" s="15">
        <v>46220.6875</v>
      </c>
      <c r="K8" s="15">
        <v>46224.423611111109</v>
      </c>
      <c r="L8" s="15"/>
      <c r="M8">
        <v>3</v>
      </c>
      <c r="O8" t="s">
        <v>201</v>
      </c>
      <c r="P8" t="s">
        <v>1954</v>
      </c>
      <c r="S8" t="s">
        <v>357</v>
      </c>
      <c r="T8" t="s">
        <v>369</v>
      </c>
      <c r="U8" t="s">
        <v>239</v>
      </c>
      <c r="V8" t="s">
        <v>348</v>
      </c>
      <c r="W8" t="s">
        <v>369</v>
      </c>
      <c r="X8" t="s">
        <v>239</v>
      </c>
      <c r="Y8">
        <v>0</v>
      </c>
      <c r="AA8" t="s">
        <v>67</v>
      </c>
      <c r="AB8" t="s">
        <v>357</v>
      </c>
      <c r="AC8">
        <v>101</v>
      </c>
      <c r="AD8" t="s">
        <v>217</v>
      </c>
      <c r="AE8">
        <v>1</v>
      </c>
      <c r="AF8">
        <v>1</v>
      </c>
    </row>
    <row r="9" spans="1:32" x14ac:dyDescent="0.3">
      <c r="A9" t="s">
        <v>348</v>
      </c>
      <c r="B9" t="s">
        <v>47</v>
      </c>
      <c r="C9" t="s">
        <v>68</v>
      </c>
      <c r="D9" t="s">
        <v>309</v>
      </c>
      <c r="E9" t="s">
        <v>967</v>
      </c>
      <c r="F9" s="15">
        <v>46239.471967592595</v>
      </c>
      <c r="G9" t="s">
        <v>401</v>
      </c>
      <c r="H9">
        <v>1</v>
      </c>
      <c r="I9" t="s">
        <v>968</v>
      </c>
      <c r="J9" s="15">
        <v>46239.673611111109</v>
      </c>
      <c r="K9" s="15">
        <v>46240.488194444442</v>
      </c>
      <c r="L9" s="15"/>
      <c r="M9">
        <v>1</v>
      </c>
      <c r="O9" t="s">
        <v>146</v>
      </c>
      <c r="P9" t="s">
        <v>1954</v>
      </c>
      <c r="S9" t="s">
        <v>357</v>
      </c>
      <c r="T9" t="s">
        <v>369</v>
      </c>
      <c r="U9" t="s">
        <v>239</v>
      </c>
      <c r="V9" t="s">
        <v>348</v>
      </c>
      <c r="W9" t="s">
        <v>369</v>
      </c>
      <c r="X9" t="s">
        <v>239</v>
      </c>
      <c r="Y9">
        <v>0</v>
      </c>
      <c r="AA9" t="s">
        <v>90</v>
      </c>
      <c r="AB9" t="s">
        <v>357</v>
      </c>
      <c r="AC9">
        <v>101</v>
      </c>
      <c r="AD9" t="s">
        <v>218</v>
      </c>
      <c r="AE9">
        <v>1</v>
      </c>
      <c r="AF9">
        <v>1</v>
      </c>
    </row>
    <row r="10" spans="1:32" x14ac:dyDescent="0.3">
      <c r="A10" t="s">
        <v>348</v>
      </c>
      <c r="B10" t="s">
        <v>47</v>
      </c>
      <c r="C10" t="s">
        <v>68</v>
      </c>
      <c r="D10" t="s">
        <v>309</v>
      </c>
      <c r="E10" t="s">
        <v>969</v>
      </c>
      <c r="F10" s="15">
        <v>46239.466099537036</v>
      </c>
      <c r="G10" t="s">
        <v>401</v>
      </c>
      <c r="H10">
        <v>1</v>
      </c>
      <c r="I10" t="s">
        <v>970</v>
      </c>
      <c r="J10" s="15">
        <v>46239.635162037041</v>
      </c>
      <c r="K10" s="15">
        <v>46240.467361111114</v>
      </c>
      <c r="L10" s="15"/>
      <c r="M10">
        <v>1</v>
      </c>
      <c r="O10" t="s">
        <v>146</v>
      </c>
      <c r="P10" t="s">
        <v>1954</v>
      </c>
      <c r="S10" t="s">
        <v>357</v>
      </c>
      <c r="T10" t="s">
        <v>369</v>
      </c>
      <c r="U10" t="s">
        <v>239</v>
      </c>
      <c r="V10" t="s">
        <v>348</v>
      </c>
      <c r="W10" t="s">
        <v>369</v>
      </c>
      <c r="X10" t="s">
        <v>239</v>
      </c>
      <c r="AA10" t="s">
        <v>90</v>
      </c>
      <c r="AB10" t="s">
        <v>357</v>
      </c>
      <c r="AC10">
        <v>101</v>
      </c>
      <c r="AD10" t="s">
        <v>218</v>
      </c>
      <c r="AE10">
        <v>1</v>
      </c>
    </row>
    <row r="11" spans="1:32" x14ac:dyDescent="0.3">
      <c r="A11" t="s">
        <v>348</v>
      </c>
      <c r="B11" t="s">
        <v>47</v>
      </c>
      <c r="C11" t="s">
        <v>68</v>
      </c>
      <c r="D11" t="s">
        <v>309</v>
      </c>
      <c r="E11" t="s">
        <v>971</v>
      </c>
      <c r="F11" s="15">
        <v>46233.500243055554</v>
      </c>
      <c r="G11" t="s">
        <v>401</v>
      </c>
      <c r="H11">
        <v>2</v>
      </c>
      <c r="I11" t="s">
        <v>972</v>
      </c>
      <c r="J11" s="15">
        <v>46233.712500000001</v>
      </c>
      <c r="K11" s="15">
        <v>46234.449305555558</v>
      </c>
      <c r="L11" s="15"/>
      <c r="M11">
        <v>2</v>
      </c>
      <c r="O11" t="s">
        <v>146</v>
      </c>
      <c r="P11" t="s">
        <v>1954</v>
      </c>
      <c r="S11" t="s">
        <v>357</v>
      </c>
      <c r="T11" t="s">
        <v>369</v>
      </c>
      <c r="U11" t="s">
        <v>239</v>
      </c>
      <c r="V11" t="s">
        <v>348</v>
      </c>
      <c r="W11" t="s">
        <v>369</v>
      </c>
      <c r="X11" t="s">
        <v>239</v>
      </c>
      <c r="Y11">
        <v>0</v>
      </c>
      <c r="AA11" t="s">
        <v>90</v>
      </c>
      <c r="AB11" t="s">
        <v>357</v>
      </c>
      <c r="AC11">
        <v>101</v>
      </c>
      <c r="AD11" t="s">
        <v>218</v>
      </c>
      <c r="AE11">
        <v>1</v>
      </c>
      <c r="AF11">
        <v>1</v>
      </c>
    </row>
    <row r="12" spans="1:32" x14ac:dyDescent="0.3">
      <c r="A12" t="s">
        <v>348</v>
      </c>
      <c r="B12" t="s">
        <v>47</v>
      </c>
      <c r="C12" t="s">
        <v>68</v>
      </c>
      <c r="D12" t="s">
        <v>309</v>
      </c>
      <c r="E12" t="s">
        <v>973</v>
      </c>
      <c r="F12" s="15">
        <v>46240.53496527778</v>
      </c>
      <c r="G12" t="s">
        <v>401</v>
      </c>
      <c r="H12">
        <v>1</v>
      </c>
      <c r="I12" t="s">
        <v>974</v>
      </c>
      <c r="J12" s="15">
        <v>46240.617361111108</v>
      </c>
      <c r="K12" s="15">
        <v>46241.430555555555</v>
      </c>
      <c r="L12" s="15"/>
      <c r="M12">
        <v>1</v>
      </c>
      <c r="O12" t="s">
        <v>146</v>
      </c>
      <c r="P12" t="s">
        <v>1954</v>
      </c>
      <c r="S12" t="s">
        <v>357</v>
      </c>
      <c r="T12" t="s">
        <v>369</v>
      </c>
      <c r="U12" t="s">
        <v>239</v>
      </c>
      <c r="V12" t="s">
        <v>348</v>
      </c>
      <c r="W12" t="s">
        <v>369</v>
      </c>
      <c r="X12" t="s">
        <v>239</v>
      </c>
      <c r="Y12">
        <v>0</v>
      </c>
      <c r="AA12" t="s">
        <v>90</v>
      </c>
      <c r="AB12" t="s">
        <v>357</v>
      </c>
      <c r="AC12">
        <v>101</v>
      </c>
      <c r="AD12" t="s">
        <v>218</v>
      </c>
      <c r="AE12">
        <v>1</v>
      </c>
      <c r="AF12">
        <v>1</v>
      </c>
    </row>
    <row r="13" spans="1:32" x14ac:dyDescent="0.3">
      <c r="A13" t="s">
        <v>348</v>
      </c>
      <c r="B13" t="s">
        <v>48</v>
      </c>
      <c r="C13" t="s">
        <v>68</v>
      </c>
      <c r="D13" t="s">
        <v>309</v>
      </c>
      <c r="E13" t="s">
        <v>975</v>
      </c>
      <c r="F13" s="15">
        <v>46246.518310185187</v>
      </c>
      <c r="G13" t="s">
        <v>401</v>
      </c>
      <c r="H13">
        <v>1</v>
      </c>
      <c r="I13" t="s">
        <v>976</v>
      </c>
      <c r="J13" s="15">
        <v>46252.508333333331</v>
      </c>
      <c r="K13" s="15">
        <v>46254.573611111111</v>
      </c>
      <c r="L13" s="15"/>
      <c r="M13">
        <v>1</v>
      </c>
      <c r="O13" t="s">
        <v>201</v>
      </c>
      <c r="P13" t="s">
        <v>1956</v>
      </c>
      <c r="S13" t="s">
        <v>357</v>
      </c>
      <c r="T13" t="s">
        <v>369</v>
      </c>
      <c r="U13" t="s">
        <v>239</v>
      </c>
      <c r="V13" t="s">
        <v>348</v>
      </c>
      <c r="W13" t="s">
        <v>369</v>
      </c>
      <c r="X13" t="s">
        <v>239</v>
      </c>
      <c r="Y13">
        <v>0</v>
      </c>
      <c r="AA13" t="s">
        <v>90</v>
      </c>
      <c r="AB13" t="s">
        <v>357</v>
      </c>
      <c r="AC13">
        <v>101</v>
      </c>
      <c r="AD13" t="s">
        <v>217</v>
      </c>
      <c r="AE13">
        <v>1</v>
      </c>
      <c r="AF13">
        <v>1</v>
      </c>
    </row>
    <row r="14" spans="1:32" x14ac:dyDescent="0.3">
      <c r="A14" t="s">
        <v>348</v>
      </c>
      <c r="B14" t="s">
        <v>48</v>
      </c>
      <c r="C14" t="s">
        <v>68</v>
      </c>
      <c r="D14" t="s">
        <v>309</v>
      </c>
      <c r="E14" t="s">
        <v>977</v>
      </c>
      <c r="F14" s="15">
        <v>46251.526550925926</v>
      </c>
      <c r="G14" t="s">
        <v>401</v>
      </c>
      <c r="H14">
        <v>1</v>
      </c>
      <c r="I14" t="s">
        <v>744</v>
      </c>
      <c r="J14" s="15">
        <v>46252.671527777777</v>
      </c>
      <c r="K14" s="15">
        <v>46254.573611111111</v>
      </c>
      <c r="L14" s="15"/>
      <c r="M14">
        <v>1</v>
      </c>
      <c r="O14" t="s">
        <v>201</v>
      </c>
      <c r="P14" t="s">
        <v>1956</v>
      </c>
      <c r="S14" t="s">
        <v>357</v>
      </c>
      <c r="T14" t="s">
        <v>369</v>
      </c>
      <c r="U14" t="s">
        <v>239</v>
      </c>
      <c r="V14" t="s">
        <v>348</v>
      </c>
      <c r="W14" t="s">
        <v>369</v>
      </c>
      <c r="X14" t="s">
        <v>239</v>
      </c>
      <c r="AA14" t="s">
        <v>90</v>
      </c>
      <c r="AB14" t="s">
        <v>357</v>
      </c>
      <c r="AC14">
        <v>101</v>
      </c>
      <c r="AD14" t="s">
        <v>217</v>
      </c>
      <c r="AE14">
        <v>1</v>
      </c>
    </row>
    <row r="15" spans="1:32" x14ac:dyDescent="0.3">
      <c r="A15" t="s">
        <v>348</v>
      </c>
      <c r="B15" t="s">
        <v>48</v>
      </c>
      <c r="C15" t="s">
        <v>68</v>
      </c>
      <c r="D15" t="s">
        <v>309</v>
      </c>
      <c r="E15" t="s">
        <v>977</v>
      </c>
      <c r="F15" s="15">
        <v>46251.620995370373</v>
      </c>
      <c r="G15" t="s">
        <v>401</v>
      </c>
      <c r="H15">
        <v>2</v>
      </c>
      <c r="I15" t="s">
        <v>978</v>
      </c>
      <c r="J15" s="15">
        <v>46252.650694444441</v>
      </c>
      <c r="K15" s="15">
        <v>46254.573611111111</v>
      </c>
      <c r="L15" s="15"/>
      <c r="M15">
        <v>2</v>
      </c>
      <c r="O15" t="s">
        <v>201</v>
      </c>
      <c r="P15" t="s">
        <v>1956</v>
      </c>
      <c r="S15" t="s">
        <v>357</v>
      </c>
      <c r="T15" t="s">
        <v>369</v>
      </c>
      <c r="U15" t="s">
        <v>239</v>
      </c>
      <c r="V15" t="s">
        <v>348</v>
      </c>
      <c r="W15" t="s">
        <v>369</v>
      </c>
      <c r="X15" t="s">
        <v>239</v>
      </c>
      <c r="AA15" t="s">
        <v>90</v>
      </c>
      <c r="AB15" t="s">
        <v>357</v>
      </c>
      <c r="AC15">
        <v>101</v>
      </c>
      <c r="AD15" t="s">
        <v>217</v>
      </c>
      <c r="AE15">
        <v>1</v>
      </c>
    </row>
    <row r="16" spans="1:32" x14ac:dyDescent="0.3">
      <c r="A16" t="s">
        <v>348</v>
      </c>
      <c r="B16" t="s">
        <v>48</v>
      </c>
      <c r="C16" t="s">
        <v>68</v>
      </c>
      <c r="D16" t="s">
        <v>309</v>
      </c>
      <c r="E16" t="s">
        <v>979</v>
      </c>
      <c r="F16" s="15">
        <v>46254.383645833332</v>
      </c>
      <c r="G16" t="s">
        <v>401</v>
      </c>
      <c r="H16">
        <v>1</v>
      </c>
      <c r="I16" t="s">
        <v>980</v>
      </c>
      <c r="J16" s="15">
        <v>46255.375694444447</v>
      </c>
      <c r="K16" s="15">
        <v>46258.484027777777</v>
      </c>
      <c r="L16" s="15"/>
      <c r="M16">
        <v>1</v>
      </c>
      <c r="O16" t="s">
        <v>201</v>
      </c>
      <c r="P16" t="s">
        <v>1956</v>
      </c>
      <c r="S16" t="s">
        <v>357</v>
      </c>
      <c r="T16" t="s">
        <v>369</v>
      </c>
      <c r="U16" t="s">
        <v>239</v>
      </c>
      <c r="V16" t="s">
        <v>348</v>
      </c>
      <c r="W16" t="s">
        <v>369</v>
      </c>
      <c r="X16" t="s">
        <v>239</v>
      </c>
      <c r="Y16">
        <v>0</v>
      </c>
      <c r="AA16" t="s">
        <v>90</v>
      </c>
      <c r="AB16" t="s">
        <v>357</v>
      </c>
      <c r="AC16">
        <v>101</v>
      </c>
      <c r="AD16" t="s">
        <v>217</v>
      </c>
      <c r="AE16">
        <v>1</v>
      </c>
      <c r="AF16">
        <v>1</v>
      </c>
    </row>
    <row r="17" spans="1:32" x14ac:dyDescent="0.3">
      <c r="A17" t="s">
        <v>348</v>
      </c>
      <c r="B17" t="s">
        <v>48</v>
      </c>
      <c r="C17" t="s">
        <v>68</v>
      </c>
      <c r="D17" t="s">
        <v>309</v>
      </c>
      <c r="E17" t="s">
        <v>981</v>
      </c>
      <c r="F17" s="15">
        <v>46246.459398148145</v>
      </c>
      <c r="G17" t="s">
        <v>401</v>
      </c>
      <c r="H17">
        <v>1</v>
      </c>
      <c r="I17" t="s">
        <v>982</v>
      </c>
      <c r="J17" s="15">
        <v>46255.427777777775</v>
      </c>
      <c r="K17" s="15">
        <v>46258.484027777777</v>
      </c>
      <c r="L17" s="15"/>
      <c r="M17">
        <v>1</v>
      </c>
      <c r="O17" t="s">
        <v>201</v>
      </c>
      <c r="P17" t="s">
        <v>1956</v>
      </c>
      <c r="S17" t="s">
        <v>357</v>
      </c>
      <c r="T17" t="s">
        <v>369</v>
      </c>
      <c r="U17" t="s">
        <v>239</v>
      </c>
      <c r="V17" t="s">
        <v>348</v>
      </c>
      <c r="W17" t="s">
        <v>369</v>
      </c>
      <c r="X17" t="s">
        <v>239</v>
      </c>
      <c r="AA17" t="s">
        <v>90</v>
      </c>
      <c r="AB17" t="s">
        <v>357</v>
      </c>
      <c r="AC17">
        <v>101</v>
      </c>
      <c r="AD17" t="s">
        <v>217</v>
      </c>
      <c r="AE17">
        <v>1</v>
      </c>
    </row>
    <row r="18" spans="1:32" x14ac:dyDescent="0.3">
      <c r="A18" t="s">
        <v>348</v>
      </c>
      <c r="B18" t="s">
        <v>48</v>
      </c>
      <c r="C18" t="s">
        <v>68</v>
      </c>
      <c r="D18" t="s">
        <v>309</v>
      </c>
      <c r="E18" t="s">
        <v>983</v>
      </c>
      <c r="F18" s="15">
        <v>46245.580497685187</v>
      </c>
      <c r="G18" t="s">
        <v>401</v>
      </c>
      <c r="H18">
        <v>1</v>
      </c>
      <c r="I18" t="s">
        <v>982</v>
      </c>
      <c r="J18" s="15">
        <v>46255.427777777775</v>
      </c>
      <c r="K18" s="15">
        <v>46258.484027777777</v>
      </c>
      <c r="L18" s="15"/>
      <c r="M18">
        <v>1</v>
      </c>
      <c r="O18" t="s">
        <v>201</v>
      </c>
      <c r="P18" t="s">
        <v>1956</v>
      </c>
      <c r="S18" t="s">
        <v>357</v>
      </c>
      <c r="T18" t="s">
        <v>369</v>
      </c>
      <c r="U18" t="s">
        <v>239</v>
      </c>
      <c r="V18" t="s">
        <v>348</v>
      </c>
      <c r="W18" t="s">
        <v>369</v>
      </c>
      <c r="X18" t="s">
        <v>239</v>
      </c>
      <c r="AA18" t="s">
        <v>90</v>
      </c>
      <c r="AB18" t="s">
        <v>357</v>
      </c>
      <c r="AC18">
        <v>101</v>
      </c>
      <c r="AD18" t="s">
        <v>217</v>
      </c>
      <c r="AE18">
        <v>1</v>
      </c>
    </row>
    <row r="19" spans="1:32" x14ac:dyDescent="0.3">
      <c r="A19" t="s">
        <v>348</v>
      </c>
      <c r="B19" t="s">
        <v>48</v>
      </c>
      <c r="C19" t="s">
        <v>68</v>
      </c>
      <c r="D19" t="s">
        <v>309</v>
      </c>
      <c r="E19" t="s">
        <v>984</v>
      </c>
      <c r="F19" s="15">
        <v>46253.381192129629</v>
      </c>
      <c r="G19" t="s">
        <v>401</v>
      </c>
      <c r="H19">
        <v>1</v>
      </c>
      <c r="I19" t="s">
        <v>985</v>
      </c>
      <c r="J19" s="15">
        <v>46254.517361111109</v>
      </c>
      <c r="K19" s="15">
        <v>46255.386805555558</v>
      </c>
      <c r="L19" s="15"/>
      <c r="M19">
        <v>1</v>
      </c>
      <c r="O19" t="s">
        <v>201</v>
      </c>
      <c r="P19" t="s">
        <v>1954</v>
      </c>
      <c r="S19" t="s">
        <v>357</v>
      </c>
      <c r="T19" t="s">
        <v>369</v>
      </c>
      <c r="U19" t="s">
        <v>239</v>
      </c>
      <c r="V19" t="s">
        <v>348</v>
      </c>
      <c r="W19" t="s">
        <v>369</v>
      </c>
      <c r="X19" t="s">
        <v>239</v>
      </c>
      <c r="Y19">
        <v>0</v>
      </c>
      <c r="AA19" t="s">
        <v>90</v>
      </c>
      <c r="AB19" t="s">
        <v>357</v>
      </c>
      <c r="AC19">
        <v>101</v>
      </c>
      <c r="AD19" t="s">
        <v>217</v>
      </c>
      <c r="AE19">
        <v>1</v>
      </c>
      <c r="AF19">
        <v>1</v>
      </c>
    </row>
    <row r="20" spans="1:32" x14ac:dyDescent="0.3">
      <c r="A20" t="s">
        <v>348</v>
      </c>
      <c r="B20" t="s">
        <v>48</v>
      </c>
      <c r="C20" t="s">
        <v>68</v>
      </c>
      <c r="D20" t="s">
        <v>309</v>
      </c>
      <c r="E20" t="s">
        <v>986</v>
      </c>
      <c r="F20" s="15">
        <v>46237.501354166663</v>
      </c>
      <c r="G20" t="s">
        <v>401</v>
      </c>
      <c r="H20">
        <v>1</v>
      </c>
      <c r="I20" t="s">
        <v>987</v>
      </c>
      <c r="J20" s="15">
        <v>46237.692361111112</v>
      </c>
      <c r="K20" s="15">
        <v>46239.477777777778</v>
      </c>
      <c r="L20" s="15"/>
      <c r="M20">
        <v>1</v>
      </c>
      <c r="O20" t="s">
        <v>201</v>
      </c>
      <c r="P20" t="s">
        <v>1956</v>
      </c>
      <c r="S20" t="s">
        <v>357</v>
      </c>
      <c r="T20" t="s">
        <v>369</v>
      </c>
      <c r="U20" t="s">
        <v>239</v>
      </c>
      <c r="V20" t="s">
        <v>348</v>
      </c>
      <c r="W20" t="s">
        <v>369</v>
      </c>
      <c r="X20" t="s">
        <v>239</v>
      </c>
      <c r="Y20">
        <v>0</v>
      </c>
      <c r="AA20" t="s">
        <v>90</v>
      </c>
      <c r="AB20" t="s">
        <v>357</v>
      </c>
      <c r="AC20">
        <v>101</v>
      </c>
      <c r="AD20" t="s">
        <v>217</v>
      </c>
      <c r="AE20">
        <v>1</v>
      </c>
      <c r="AF20">
        <v>1</v>
      </c>
    </row>
    <row r="21" spans="1:32" x14ac:dyDescent="0.3">
      <c r="A21" t="s">
        <v>348</v>
      </c>
      <c r="B21" t="s">
        <v>48</v>
      </c>
      <c r="C21" t="s">
        <v>68</v>
      </c>
      <c r="D21" t="s">
        <v>309</v>
      </c>
      <c r="E21" t="s">
        <v>988</v>
      </c>
      <c r="F21" s="15">
        <v>46237.522916666669</v>
      </c>
      <c r="G21" t="s">
        <v>401</v>
      </c>
      <c r="H21">
        <v>2</v>
      </c>
      <c r="I21" t="s">
        <v>989</v>
      </c>
      <c r="J21" s="15">
        <v>46237.661747685182</v>
      </c>
      <c r="K21" s="15">
        <v>46239.477777777778</v>
      </c>
      <c r="L21" s="15"/>
      <c r="M21">
        <v>2</v>
      </c>
      <c r="O21" t="s">
        <v>201</v>
      </c>
      <c r="P21" t="s">
        <v>1956</v>
      </c>
      <c r="S21" t="s">
        <v>357</v>
      </c>
      <c r="T21" t="s">
        <v>369</v>
      </c>
      <c r="U21" t="s">
        <v>239</v>
      </c>
      <c r="V21" t="s">
        <v>348</v>
      </c>
      <c r="W21" t="s">
        <v>369</v>
      </c>
      <c r="X21" t="s">
        <v>239</v>
      </c>
      <c r="AA21" t="s">
        <v>90</v>
      </c>
      <c r="AB21" t="s">
        <v>357</v>
      </c>
      <c r="AC21">
        <v>101</v>
      </c>
      <c r="AD21" t="s">
        <v>217</v>
      </c>
      <c r="AE21">
        <v>1</v>
      </c>
    </row>
    <row r="22" spans="1:32" x14ac:dyDescent="0.3">
      <c r="A22" t="s">
        <v>348</v>
      </c>
      <c r="B22" t="s">
        <v>48</v>
      </c>
      <c r="C22" t="s">
        <v>68</v>
      </c>
      <c r="D22" t="s">
        <v>309</v>
      </c>
      <c r="E22" t="s">
        <v>990</v>
      </c>
      <c r="F22" s="15">
        <v>46226.405069444445</v>
      </c>
      <c r="G22" t="s">
        <v>401</v>
      </c>
      <c r="H22">
        <v>2</v>
      </c>
      <c r="I22" t="s">
        <v>991</v>
      </c>
      <c r="J22" s="15">
        <v>46226.479988425926</v>
      </c>
      <c r="K22" s="15">
        <v>46230.652777777781</v>
      </c>
      <c r="L22" s="15"/>
      <c r="M22">
        <v>2</v>
      </c>
      <c r="O22" t="s">
        <v>201</v>
      </c>
      <c r="P22" t="s">
        <v>1956</v>
      </c>
      <c r="S22" t="s">
        <v>357</v>
      </c>
      <c r="T22" t="s">
        <v>369</v>
      </c>
      <c r="U22" t="s">
        <v>239</v>
      </c>
      <c r="V22" t="s">
        <v>348</v>
      </c>
      <c r="W22" t="s">
        <v>369</v>
      </c>
      <c r="X22" t="s">
        <v>239</v>
      </c>
      <c r="Y22">
        <v>0</v>
      </c>
      <c r="AA22" t="s">
        <v>90</v>
      </c>
      <c r="AB22" t="s">
        <v>357</v>
      </c>
      <c r="AC22">
        <v>101</v>
      </c>
      <c r="AD22" t="s">
        <v>217</v>
      </c>
      <c r="AE22">
        <v>1</v>
      </c>
      <c r="AF22">
        <v>1</v>
      </c>
    </row>
    <row r="23" spans="1:32" x14ac:dyDescent="0.3">
      <c r="A23" t="s">
        <v>348</v>
      </c>
      <c r="B23" t="s">
        <v>48</v>
      </c>
      <c r="C23" t="s">
        <v>68</v>
      </c>
      <c r="D23" t="s">
        <v>309</v>
      </c>
      <c r="E23" t="s">
        <v>992</v>
      </c>
      <c r="F23" s="15">
        <v>46224.393900462965</v>
      </c>
      <c r="G23" t="s">
        <v>401</v>
      </c>
      <c r="H23">
        <v>1</v>
      </c>
      <c r="I23" t="s">
        <v>993</v>
      </c>
      <c r="J23" s="15">
        <v>46233.604861111111</v>
      </c>
      <c r="K23" s="15">
        <v>46234.497916666667</v>
      </c>
      <c r="L23" s="15"/>
      <c r="M23">
        <v>1</v>
      </c>
      <c r="O23" t="s">
        <v>201</v>
      </c>
      <c r="P23" t="s">
        <v>1954</v>
      </c>
      <c r="S23" t="s">
        <v>357</v>
      </c>
      <c r="T23" t="s">
        <v>369</v>
      </c>
      <c r="U23" t="s">
        <v>239</v>
      </c>
      <c r="V23" t="s">
        <v>348</v>
      </c>
      <c r="W23" t="s">
        <v>369</v>
      </c>
      <c r="X23" t="s">
        <v>239</v>
      </c>
      <c r="Y23">
        <v>0</v>
      </c>
      <c r="AA23" t="s">
        <v>90</v>
      </c>
      <c r="AB23" t="s">
        <v>357</v>
      </c>
      <c r="AC23">
        <v>101</v>
      </c>
      <c r="AD23" t="s">
        <v>217</v>
      </c>
      <c r="AE23">
        <v>1</v>
      </c>
      <c r="AF23">
        <v>1</v>
      </c>
    </row>
    <row r="24" spans="1:32" x14ac:dyDescent="0.3">
      <c r="A24" t="s">
        <v>348</v>
      </c>
      <c r="B24" t="s">
        <v>43</v>
      </c>
      <c r="C24" t="s">
        <v>105</v>
      </c>
      <c r="D24" t="s">
        <v>309</v>
      </c>
      <c r="E24" t="s">
        <v>994</v>
      </c>
      <c r="F24" s="15">
        <v>46244.369768518518</v>
      </c>
      <c r="G24" t="s">
        <v>402</v>
      </c>
      <c r="H24">
        <v>4</v>
      </c>
      <c r="I24" t="s">
        <v>995</v>
      </c>
      <c r="J24" s="15">
        <v>46244.668749999997</v>
      </c>
      <c r="K24" s="15">
        <v>46246.443055555559</v>
      </c>
      <c r="L24" s="15"/>
      <c r="M24">
        <v>4</v>
      </c>
      <c r="O24" t="s">
        <v>201</v>
      </c>
      <c r="P24" t="s">
        <v>1954</v>
      </c>
      <c r="S24" t="s">
        <v>354</v>
      </c>
      <c r="T24" t="s">
        <v>369</v>
      </c>
      <c r="U24" t="s">
        <v>239</v>
      </c>
      <c r="V24" t="s">
        <v>348</v>
      </c>
      <c r="W24" t="s">
        <v>369</v>
      </c>
      <c r="X24" t="s">
        <v>239</v>
      </c>
      <c r="Y24">
        <v>0</v>
      </c>
      <c r="AA24" t="s">
        <v>67</v>
      </c>
      <c r="AB24" t="s">
        <v>354</v>
      </c>
      <c r="AC24">
        <v>50</v>
      </c>
      <c r="AD24" t="s">
        <v>217</v>
      </c>
      <c r="AE24">
        <v>1</v>
      </c>
      <c r="AF24">
        <v>1</v>
      </c>
    </row>
    <row r="25" spans="1:32" x14ac:dyDescent="0.3">
      <c r="A25" t="s">
        <v>348</v>
      </c>
      <c r="B25" t="s">
        <v>48</v>
      </c>
      <c r="C25" t="s">
        <v>68</v>
      </c>
      <c r="D25" t="s">
        <v>309</v>
      </c>
      <c r="E25" t="s">
        <v>996</v>
      </c>
      <c r="F25" s="15">
        <v>46244.381539351853</v>
      </c>
      <c r="G25" t="s">
        <v>402</v>
      </c>
      <c r="H25">
        <v>1</v>
      </c>
      <c r="I25" t="s">
        <v>997</v>
      </c>
      <c r="J25" s="15">
        <v>46244.708368055559</v>
      </c>
      <c r="K25" s="15">
        <v>46246.443055555559</v>
      </c>
      <c r="L25" s="15"/>
      <c r="M25">
        <v>1</v>
      </c>
      <c r="O25" t="s">
        <v>201</v>
      </c>
      <c r="P25" t="s">
        <v>1956</v>
      </c>
      <c r="S25" t="s">
        <v>354</v>
      </c>
      <c r="T25" t="s">
        <v>369</v>
      </c>
      <c r="U25" t="s">
        <v>239</v>
      </c>
      <c r="V25" t="s">
        <v>348</v>
      </c>
      <c r="W25" t="s">
        <v>369</v>
      </c>
      <c r="X25" t="s">
        <v>239</v>
      </c>
      <c r="AA25" t="s">
        <v>90</v>
      </c>
      <c r="AB25" t="s">
        <v>354</v>
      </c>
      <c r="AC25">
        <v>50</v>
      </c>
      <c r="AD25" t="s">
        <v>217</v>
      </c>
      <c r="AE25">
        <v>1</v>
      </c>
    </row>
    <row r="26" spans="1:32" x14ac:dyDescent="0.3">
      <c r="A26" t="s">
        <v>348</v>
      </c>
      <c r="B26" t="s">
        <v>43</v>
      </c>
      <c r="C26" t="s">
        <v>105</v>
      </c>
      <c r="D26" t="s">
        <v>309</v>
      </c>
      <c r="E26" t="s">
        <v>998</v>
      </c>
      <c r="F26" s="15">
        <v>46227.579050925924</v>
      </c>
      <c r="G26" t="s">
        <v>402</v>
      </c>
      <c r="H26">
        <v>2</v>
      </c>
      <c r="I26" t="s">
        <v>999</v>
      </c>
      <c r="J26" s="15">
        <v>46227.624965277777</v>
      </c>
      <c r="K26" s="15">
        <v>46231.416666666664</v>
      </c>
      <c r="L26" s="15"/>
      <c r="M26">
        <v>2</v>
      </c>
      <c r="O26" t="s">
        <v>201</v>
      </c>
      <c r="P26" t="s">
        <v>1954</v>
      </c>
      <c r="S26" t="s">
        <v>354</v>
      </c>
      <c r="T26" t="s">
        <v>369</v>
      </c>
      <c r="U26" t="s">
        <v>239</v>
      </c>
      <c r="V26" t="s">
        <v>348</v>
      </c>
      <c r="W26" t="s">
        <v>369</v>
      </c>
      <c r="X26" t="s">
        <v>239</v>
      </c>
      <c r="Y26">
        <v>0</v>
      </c>
      <c r="AA26" t="s">
        <v>67</v>
      </c>
      <c r="AB26" t="s">
        <v>354</v>
      </c>
      <c r="AC26">
        <v>50</v>
      </c>
      <c r="AD26" t="s">
        <v>217</v>
      </c>
      <c r="AE26">
        <v>1</v>
      </c>
      <c r="AF26">
        <v>1</v>
      </c>
    </row>
    <row r="27" spans="1:32" x14ac:dyDescent="0.3">
      <c r="A27" t="s">
        <v>348</v>
      </c>
      <c r="B27" t="s">
        <v>47</v>
      </c>
      <c r="C27" t="s">
        <v>68</v>
      </c>
      <c r="D27" t="s">
        <v>309</v>
      </c>
      <c r="E27" t="s">
        <v>1000</v>
      </c>
      <c r="F27" s="15">
        <v>46240.53496527778</v>
      </c>
      <c r="G27" t="s">
        <v>401</v>
      </c>
      <c r="H27">
        <v>2</v>
      </c>
      <c r="I27" t="s">
        <v>974</v>
      </c>
      <c r="J27" s="15">
        <v>46240.617361111108</v>
      </c>
      <c r="K27" s="15">
        <v>46241.430555555555</v>
      </c>
      <c r="L27" s="15"/>
      <c r="M27">
        <v>2</v>
      </c>
      <c r="O27" t="s">
        <v>146</v>
      </c>
      <c r="P27" t="s">
        <v>1954</v>
      </c>
      <c r="S27" t="s">
        <v>354</v>
      </c>
      <c r="T27" t="s">
        <v>369</v>
      </c>
      <c r="U27" t="s">
        <v>239</v>
      </c>
      <c r="V27" t="s">
        <v>348</v>
      </c>
      <c r="W27" t="s">
        <v>369</v>
      </c>
      <c r="X27" t="s">
        <v>239</v>
      </c>
      <c r="Y27">
        <v>0</v>
      </c>
      <c r="AA27" t="s">
        <v>90</v>
      </c>
      <c r="AB27" t="s">
        <v>354</v>
      </c>
      <c r="AC27">
        <v>50</v>
      </c>
      <c r="AD27" t="s">
        <v>218</v>
      </c>
      <c r="AE27">
        <v>1</v>
      </c>
      <c r="AF27">
        <v>1</v>
      </c>
    </row>
    <row r="28" spans="1:32" x14ac:dyDescent="0.3">
      <c r="A28" t="s">
        <v>348</v>
      </c>
      <c r="B28" t="s">
        <v>45</v>
      </c>
      <c r="C28" t="s">
        <v>68</v>
      </c>
      <c r="D28" t="s">
        <v>309</v>
      </c>
      <c r="E28" t="s">
        <v>1001</v>
      </c>
      <c r="F28" s="15">
        <v>46238.415856481479</v>
      </c>
      <c r="G28" t="s">
        <v>406</v>
      </c>
      <c r="H28">
        <v>3</v>
      </c>
      <c r="I28" t="s">
        <v>1002</v>
      </c>
      <c r="J28" s="15">
        <v>46238.662499999999</v>
      </c>
      <c r="K28" s="15">
        <v>46240.430555555555</v>
      </c>
      <c r="L28" s="15"/>
      <c r="M28">
        <v>3</v>
      </c>
      <c r="O28" t="s">
        <v>201</v>
      </c>
      <c r="P28" t="s">
        <v>1956</v>
      </c>
      <c r="S28" t="s">
        <v>354</v>
      </c>
      <c r="T28" t="s">
        <v>369</v>
      </c>
      <c r="U28" t="s">
        <v>239</v>
      </c>
      <c r="V28" t="s">
        <v>348</v>
      </c>
      <c r="W28" t="s">
        <v>369</v>
      </c>
      <c r="X28" t="s">
        <v>239</v>
      </c>
      <c r="Y28">
        <v>0</v>
      </c>
      <c r="AA28" t="s">
        <v>67</v>
      </c>
      <c r="AB28" t="s">
        <v>354</v>
      </c>
      <c r="AC28">
        <v>50</v>
      </c>
      <c r="AD28" t="s">
        <v>217</v>
      </c>
      <c r="AE28">
        <v>1</v>
      </c>
      <c r="AF28">
        <v>1</v>
      </c>
    </row>
    <row r="29" spans="1:32" x14ac:dyDescent="0.3">
      <c r="A29" t="s">
        <v>348</v>
      </c>
      <c r="B29" t="s">
        <v>45</v>
      </c>
      <c r="C29" t="s">
        <v>68</v>
      </c>
      <c r="D29" t="s">
        <v>309</v>
      </c>
      <c r="E29" t="s">
        <v>1003</v>
      </c>
      <c r="F29" s="15">
        <v>46238.416307870371</v>
      </c>
      <c r="G29" t="s">
        <v>406</v>
      </c>
      <c r="H29">
        <v>10</v>
      </c>
      <c r="I29" t="s">
        <v>1004</v>
      </c>
      <c r="J29" s="15">
        <v>46238.654166666667</v>
      </c>
      <c r="K29" s="15">
        <v>46240.430555555555</v>
      </c>
      <c r="L29" s="15"/>
      <c r="M29">
        <v>10</v>
      </c>
      <c r="O29" t="s">
        <v>201</v>
      </c>
      <c r="P29" t="s">
        <v>1956</v>
      </c>
      <c r="S29" t="s">
        <v>354</v>
      </c>
      <c r="T29" t="s">
        <v>369</v>
      </c>
      <c r="U29" t="s">
        <v>239</v>
      </c>
      <c r="V29" t="s">
        <v>348</v>
      </c>
      <c r="W29" t="s">
        <v>369</v>
      </c>
      <c r="X29" t="s">
        <v>239</v>
      </c>
      <c r="AA29" t="s">
        <v>67</v>
      </c>
      <c r="AB29" t="s">
        <v>354</v>
      </c>
      <c r="AC29">
        <v>50</v>
      </c>
      <c r="AD29" t="s">
        <v>217</v>
      </c>
      <c r="AE29">
        <v>1</v>
      </c>
    </row>
    <row r="30" spans="1:32" x14ac:dyDescent="0.3">
      <c r="A30" t="s">
        <v>348</v>
      </c>
      <c r="B30" t="s">
        <v>45</v>
      </c>
      <c r="C30" t="s">
        <v>68</v>
      </c>
      <c r="D30" t="s">
        <v>309</v>
      </c>
      <c r="E30" t="s">
        <v>1005</v>
      </c>
      <c r="F30" s="15">
        <v>46238.415497685186</v>
      </c>
      <c r="G30" t="s">
        <v>406</v>
      </c>
      <c r="H30">
        <v>9</v>
      </c>
      <c r="I30" t="s">
        <v>1006</v>
      </c>
      <c r="J30" s="15">
        <v>46238.628472222219</v>
      </c>
      <c r="K30" s="15">
        <v>46240.430555555555</v>
      </c>
      <c r="L30" s="15"/>
      <c r="M30">
        <v>9</v>
      </c>
      <c r="O30" t="s">
        <v>201</v>
      </c>
      <c r="P30" t="s">
        <v>1956</v>
      </c>
      <c r="S30" t="s">
        <v>354</v>
      </c>
      <c r="T30" t="s">
        <v>369</v>
      </c>
      <c r="U30" t="s">
        <v>239</v>
      </c>
      <c r="V30" t="s">
        <v>348</v>
      </c>
      <c r="W30" t="s">
        <v>369</v>
      </c>
      <c r="X30" t="s">
        <v>239</v>
      </c>
      <c r="AA30" t="s">
        <v>67</v>
      </c>
      <c r="AB30" t="s">
        <v>354</v>
      </c>
      <c r="AC30">
        <v>50</v>
      </c>
      <c r="AD30" t="s">
        <v>217</v>
      </c>
      <c r="AE30">
        <v>1</v>
      </c>
    </row>
    <row r="31" spans="1:32" x14ac:dyDescent="0.3">
      <c r="A31" t="s">
        <v>348</v>
      </c>
      <c r="B31" t="s">
        <v>45</v>
      </c>
      <c r="C31" t="s">
        <v>68</v>
      </c>
      <c r="D31" t="s">
        <v>309</v>
      </c>
      <c r="E31" t="s">
        <v>743</v>
      </c>
      <c r="F31" s="15">
        <v>46237.469942129632</v>
      </c>
      <c r="G31" t="s">
        <v>402</v>
      </c>
      <c r="H31">
        <v>1</v>
      </c>
      <c r="I31" t="s">
        <v>1007</v>
      </c>
      <c r="J31" s="15">
        <v>46240.430555555555</v>
      </c>
      <c r="K31" s="15">
        <v>46240.638888888891</v>
      </c>
      <c r="L31" s="15"/>
      <c r="M31">
        <v>1</v>
      </c>
      <c r="O31" t="s">
        <v>201</v>
      </c>
      <c r="P31" t="s">
        <v>1954</v>
      </c>
      <c r="S31" t="s">
        <v>354</v>
      </c>
      <c r="T31" t="s">
        <v>369</v>
      </c>
      <c r="U31" t="s">
        <v>239</v>
      </c>
      <c r="V31" t="s">
        <v>348</v>
      </c>
      <c r="W31" t="s">
        <v>369</v>
      </c>
      <c r="X31" t="s">
        <v>239</v>
      </c>
      <c r="Y31">
        <v>0</v>
      </c>
      <c r="AA31" t="s">
        <v>67</v>
      </c>
      <c r="AB31" t="s">
        <v>354</v>
      </c>
      <c r="AC31">
        <v>50</v>
      </c>
      <c r="AD31" t="s">
        <v>217</v>
      </c>
      <c r="AE31">
        <v>1</v>
      </c>
    </row>
    <row r="32" spans="1:32" x14ac:dyDescent="0.3">
      <c r="A32" t="s">
        <v>348</v>
      </c>
      <c r="B32" t="s">
        <v>48</v>
      </c>
      <c r="C32" t="s">
        <v>68</v>
      </c>
      <c r="D32" t="s">
        <v>309</v>
      </c>
      <c r="E32" t="s">
        <v>1008</v>
      </c>
      <c r="F32" s="15">
        <v>46233.385277777779</v>
      </c>
      <c r="G32" t="s">
        <v>402</v>
      </c>
      <c r="H32">
        <v>1</v>
      </c>
      <c r="I32" t="s">
        <v>1009</v>
      </c>
      <c r="J32" s="15">
        <v>46239.651388888888</v>
      </c>
      <c r="K32" s="15">
        <v>46240.420138888891</v>
      </c>
      <c r="L32" s="15"/>
      <c r="M32">
        <v>1</v>
      </c>
      <c r="O32" t="s">
        <v>201</v>
      </c>
      <c r="P32" t="s">
        <v>1954</v>
      </c>
      <c r="S32" t="s">
        <v>354</v>
      </c>
      <c r="T32" t="s">
        <v>369</v>
      </c>
      <c r="U32" t="s">
        <v>239</v>
      </c>
      <c r="V32" t="s">
        <v>348</v>
      </c>
      <c r="W32" t="s">
        <v>369</v>
      </c>
      <c r="X32" t="s">
        <v>239</v>
      </c>
      <c r="Y32">
        <v>0</v>
      </c>
      <c r="AA32" t="s">
        <v>90</v>
      </c>
      <c r="AB32" t="s">
        <v>354</v>
      </c>
      <c r="AC32">
        <v>50</v>
      </c>
      <c r="AD32" t="s">
        <v>217</v>
      </c>
      <c r="AE32">
        <v>1</v>
      </c>
    </row>
    <row r="33" spans="1:32" x14ac:dyDescent="0.3">
      <c r="A33" t="s">
        <v>348</v>
      </c>
      <c r="B33" t="s">
        <v>45</v>
      </c>
      <c r="C33" t="s">
        <v>68</v>
      </c>
      <c r="D33" t="s">
        <v>309</v>
      </c>
      <c r="E33" t="s">
        <v>1010</v>
      </c>
      <c r="F33" s="15">
        <v>46225.311331018522</v>
      </c>
      <c r="G33" t="s">
        <v>399</v>
      </c>
      <c r="H33">
        <v>3</v>
      </c>
      <c r="I33" t="s">
        <v>1011</v>
      </c>
      <c r="J33" s="15">
        <v>46225.67083333333</v>
      </c>
      <c r="K33" s="15">
        <v>46227.42291666667</v>
      </c>
      <c r="L33" s="15"/>
      <c r="M33">
        <v>3</v>
      </c>
      <c r="O33" t="s">
        <v>201</v>
      </c>
      <c r="P33" t="s">
        <v>1956</v>
      </c>
      <c r="S33" t="s">
        <v>354</v>
      </c>
      <c r="T33" t="s">
        <v>369</v>
      </c>
      <c r="U33" t="s">
        <v>239</v>
      </c>
      <c r="V33" t="s">
        <v>348</v>
      </c>
      <c r="W33" t="s">
        <v>369</v>
      </c>
      <c r="X33" t="s">
        <v>239</v>
      </c>
      <c r="Y33">
        <v>0</v>
      </c>
      <c r="AA33" t="s">
        <v>67</v>
      </c>
      <c r="AB33" t="s">
        <v>354</v>
      </c>
      <c r="AC33">
        <v>50</v>
      </c>
      <c r="AD33" t="s">
        <v>217</v>
      </c>
      <c r="AE33">
        <v>1</v>
      </c>
      <c r="AF33">
        <v>1</v>
      </c>
    </row>
    <row r="34" spans="1:32" x14ac:dyDescent="0.3">
      <c r="A34" t="s">
        <v>348</v>
      </c>
      <c r="B34" t="s">
        <v>45</v>
      </c>
      <c r="C34" t="s">
        <v>68</v>
      </c>
      <c r="D34" t="s">
        <v>309</v>
      </c>
      <c r="E34" t="s">
        <v>1012</v>
      </c>
      <c r="F34" s="15">
        <v>46225.310555555552</v>
      </c>
      <c r="G34" t="s">
        <v>399</v>
      </c>
      <c r="H34">
        <v>4</v>
      </c>
      <c r="I34" t="s">
        <v>1011</v>
      </c>
      <c r="J34" s="15">
        <v>46225.67083333333</v>
      </c>
      <c r="K34" s="15">
        <v>46227.42291666667</v>
      </c>
      <c r="L34" s="15"/>
      <c r="M34">
        <v>4</v>
      </c>
      <c r="O34" t="s">
        <v>201</v>
      </c>
      <c r="P34" t="s">
        <v>1956</v>
      </c>
      <c r="S34" t="s">
        <v>354</v>
      </c>
      <c r="T34" t="s">
        <v>369</v>
      </c>
      <c r="U34" t="s">
        <v>239</v>
      </c>
      <c r="V34" t="s">
        <v>348</v>
      </c>
      <c r="W34" t="s">
        <v>369</v>
      </c>
      <c r="X34" t="s">
        <v>239</v>
      </c>
      <c r="AA34" t="s">
        <v>67</v>
      </c>
      <c r="AB34" t="s">
        <v>354</v>
      </c>
      <c r="AC34">
        <v>50</v>
      </c>
      <c r="AD34" t="s">
        <v>217</v>
      </c>
      <c r="AE34">
        <v>1</v>
      </c>
    </row>
    <row r="35" spans="1:32" x14ac:dyDescent="0.3">
      <c r="A35" t="s">
        <v>348</v>
      </c>
      <c r="B35" t="s">
        <v>48</v>
      </c>
      <c r="C35" t="s">
        <v>68</v>
      </c>
      <c r="D35" t="s">
        <v>309</v>
      </c>
      <c r="E35" t="s">
        <v>1013</v>
      </c>
      <c r="F35" s="15">
        <v>46225.384560185186</v>
      </c>
      <c r="G35" t="s">
        <v>402</v>
      </c>
      <c r="H35">
        <v>1</v>
      </c>
      <c r="I35" t="s">
        <v>1014</v>
      </c>
      <c r="J35" s="15">
        <v>46225.698611111111</v>
      </c>
      <c r="K35" s="15">
        <v>46227.40347222222</v>
      </c>
      <c r="L35" s="15"/>
      <c r="M35">
        <v>1</v>
      </c>
      <c r="O35" t="s">
        <v>201</v>
      </c>
      <c r="P35" t="s">
        <v>1956</v>
      </c>
      <c r="S35" t="s">
        <v>354</v>
      </c>
      <c r="T35" t="s">
        <v>369</v>
      </c>
      <c r="U35" t="s">
        <v>239</v>
      </c>
      <c r="V35" t="s">
        <v>348</v>
      </c>
      <c r="W35" t="s">
        <v>369</v>
      </c>
      <c r="X35" t="s">
        <v>239</v>
      </c>
      <c r="AA35" t="s">
        <v>90</v>
      </c>
      <c r="AB35" t="s">
        <v>354</v>
      </c>
      <c r="AC35">
        <v>50</v>
      </c>
      <c r="AD35" t="s">
        <v>217</v>
      </c>
      <c r="AE35">
        <v>1</v>
      </c>
    </row>
    <row r="36" spans="1:32" x14ac:dyDescent="0.3">
      <c r="A36" t="s">
        <v>348</v>
      </c>
      <c r="B36" t="s">
        <v>48</v>
      </c>
      <c r="C36" t="s">
        <v>68</v>
      </c>
      <c r="D36" t="s">
        <v>309</v>
      </c>
      <c r="E36" t="s">
        <v>1015</v>
      </c>
      <c r="F36" s="15">
        <v>46225.554189814815</v>
      </c>
      <c r="G36" t="s">
        <v>402</v>
      </c>
      <c r="H36">
        <v>1</v>
      </c>
      <c r="I36" t="s">
        <v>1016</v>
      </c>
      <c r="J36" s="15">
        <v>46225.708333333336</v>
      </c>
      <c r="K36" s="15">
        <v>46227.40347222222</v>
      </c>
      <c r="L36" s="15"/>
      <c r="M36">
        <v>1</v>
      </c>
      <c r="O36" t="s">
        <v>201</v>
      </c>
      <c r="P36" t="s">
        <v>1956</v>
      </c>
      <c r="S36" t="s">
        <v>354</v>
      </c>
      <c r="T36" t="s">
        <v>369</v>
      </c>
      <c r="U36" t="s">
        <v>239</v>
      </c>
      <c r="V36" t="s">
        <v>348</v>
      </c>
      <c r="W36" t="s">
        <v>369</v>
      </c>
      <c r="X36" t="s">
        <v>239</v>
      </c>
      <c r="AA36" t="s">
        <v>90</v>
      </c>
      <c r="AB36" t="s">
        <v>354</v>
      </c>
      <c r="AC36">
        <v>50</v>
      </c>
      <c r="AD36" t="s">
        <v>217</v>
      </c>
      <c r="AE36">
        <v>1</v>
      </c>
    </row>
    <row r="37" spans="1:32" x14ac:dyDescent="0.3">
      <c r="A37" t="s">
        <v>348</v>
      </c>
      <c r="B37" t="s">
        <v>43</v>
      </c>
      <c r="C37" t="s">
        <v>105</v>
      </c>
      <c r="D37" t="s">
        <v>309</v>
      </c>
      <c r="E37" t="s">
        <v>1017</v>
      </c>
      <c r="F37" s="15">
        <v>46226.328611111108</v>
      </c>
      <c r="G37" t="s">
        <v>402</v>
      </c>
      <c r="H37">
        <v>6</v>
      </c>
      <c r="I37" t="s">
        <v>1018</v>
      </c>
      <c r="J37" s="15">
        <v>46226.431250000001</v>
      </c>
      <c r="K37" s="15">
        <v>46227.40347222222</v>
      </c>
      <c r="L37" s="15"/>
      <c r="M37">
        <v>6</v>
      </c>
      <c r="O37" t="s">
        <v>201</v>
      </c>
      <c r="P37" t="s">
        <v>1954</v>
      </c>
      <c r="S37" t="s">
        <v>354</v>
      </c>
      <c r="T37" t="s">
        <v>369</v>
      </c>
      <c r="U37" t="s">
        <v>239</v>
      </c>
      <c r="V37" t="s">
        <v>348</v>
      </c>
      <c r="W37" t="s">
        <v>369</v>
      </c>
      <c r="X37" t="s">
        <v>239</v>
      </c>
      <c r="AA37" t="s">
        <v>67</v>
      </c>
      <c r="AB37" t="s">
        <v>354</v>
      </c>
      <c r="AC37">
        <v>50</v>
      </c>
      <c r="AD37" t="s">
        <v>217</v>
      </c>
      <c r="AE37">
        <v>1</v>
      </c>
    </row>
    <row r="38" spans="1:32" x14ac:dyDescent="0.3">
      <c r="A38" t="s">
        <v>348</v>
      </c>
      <c r="B38" t="s">
        <v>48</v>
      </c>
      <c r="C38" t="s">
        <v>68</v>
      </c>
      <c r="D38" t="s">
        <v>309</v>
      </c>
      <c r="E38" t="s">
        <v>745</v>
      </c>
      <c r="F38" s="15">
        <v>46252.400995370372</v>
      </c>
      <c r="G38" t="s">
        <v>402</v>
      </c>
      <c r="H38">
        <v>1</v>
      </c>
      <c r="I38" t="s">
        <v>1019</v>
      </c>
      <c r="J38" s="15">
        <v>46253.65</v>
      </c>
      <c r="K38" s="15">
        <v>46254.420138888891</v>
      </c>
      <c r="L38" s="15"/>
      <c r="M38">
        <v>1</v>
      </c>
      <c r="O38" t="s">
        <v>201</v>
      </c>
      <c r="P38" t="s">
        <v>1954</v>
      </c>
      <c r="S38" t="s">
        <v>354</v>
      </c>
      <c r="T38" t="s">
        <v>369</v>
      </c>
      <c r="U38" t="s">
        <v>239</v>
      </c>
      <c r="V38" t="s">
        <v>348</v>
      </c>
      <c r="W38" t="s">
        <v>369</v>
      </c>
      <c r="X38" t="s">
        <v>239</v>
      </c>
      <c r="Y38">
        <v>0</v>
      </c>
      <c r="AA38" t="s">
        <v>90</v>
      </c>
      <c r="AB38" t="s">
        <v>354</v>
      </c>
      <c r="AC38">
        <v>50</v>
      </c>
      <c r="AD38" t="s">
        <v>217</v>
      </c>
      <c r="AE38">
        <v>1</v>
      </c>
      <c r="AF38">
        <v>1</v>
      </c>
    </row>
    <row r="39" spans="1:32" x14ac:dyDescent="0.3">
      <c r="A39" t="s">
        <v>348</v>
      </c>
      <c r="B39" t="s">
        <v>48</v>
      </c>
      <c r="C39" t="s">
        <v>68</v>
      </c>
      <c r="D39" t="s">
        <v>309</v>
      </c>
      <c r="E39" t="s">
        <v>745</v>
      </c>
      <c r="F39" s="15">
        <v>46252.400995370372</v>
      </c>
      <c r="G39" t="s">
        <v>402</v>
      </c>
      <c r="H39">
        <v>1</v>
      </c>
      <c r="I39" t="s">
        <v>1020</v>
      </c>
      <c r="J39" s="15">
        <v>46253.374305555553</v>
      </c>
      <c r="K39" s="15">
        <v>46254.420138888891</v>
      </c>
      <c r="L39" s="15"/>
      <c r="M39">
        <v>1</v>
      </c>
      <c r="O39" t="s">
        <v>201</v>
      </c>
      <c r="P39" t="s">
        <v>1956</v>
      </c>
      <c r="S39" t="s">
        <v>354</v>
      </c>
      <c r="T39" t="s">
        <v>369</v>
      </c>
      <c r="U39" t="s">
        <v>239</v>
      </c>
      <c r="V39" t="s">
        <v>348</v>
      </c>
      <c r="W39" t="s">
        <v>369</v>
      </c>
      <c r="X39" t="s">
        <v>239</v>
      </c>
      <c r="AA39" t="s">
        <v>90</v>
      </c>
      <c r="AB39" t="s">
        <v>354</v>
      </c>
      <c r="AC39">
        <v>50</v>
      </c>
      <c r="AD39" t="s">
        <v>217</v>
      </c>
      <c r="AE39">
        <v>1</v>
      </c>
    </row>
    <row r="40" spans="1:32" x14ac:dyDescent="0.3">
      <c r="A40" t="s">
        <v>348</v>
      </c>
      <c r="B40" t="s">
        <v>48</v>
      </c>
      <c r="C40" t="s">
        <v>68</v>
      </c>
      <c r="D40" t="s">
        <v>309</v>
      </c>
      <c r="E40" t="s">
        <v>746</v>
      </c>
      <c r="F40" s="15">
        <v>46251.60728009259</v>
      </c>
      <c r="G40" t="s">
        <v>402</v>
      </c>
      <c r="H40">
        <v>1</v>
      </c>
      <c r="I40" t="s">
        <v>1021</v>
      </c>
      <c r="J40" s="15">
        <v>46252.679166666669</v>
      </c>
      <c r="K40" s="15">
        <v>46254.420138888891</v>
      </c>
      <c r="L40" s="15"/>
      <c r="M40">
        <v>1</v>
      </c>
      <c r="O40" t="s">
        <v>201</v>
      </c>
      <c r="P40" t="s">
        <v>1956</v>
      </c>
      <c r="S40" t="s">
        <v>354</v>
      </c>
      <c r="T40" t="s">
        <v>369</v>
      </c>
      <c r="U40" t="s">
        <v>239</v>
      </c>
      <c r="V40" t="s">
        <v>348</v>
      </c>
      <c r="W40" t="s">
        <v>369</v>
      </c>
      <c r="X40" t="s">
        <v>239</v>
      </c>
      <c r="Y40">
        <v>0</v>
      </c>
      <c r="AA40" t="s">
        <v>90</v>
      </c>
      <c r="AB40" t="s">
        <v>354</v>
      </c>
      <c r="AC40">
        <v>50</v>
      </c>
      <c r="AD40" t="s">
        <v>217</v>
      </c>
      <c r="AE40">
        <v>1</v>
      </c>
    </row>
    <row r="41" spans="1:32" x14ac:dyDescent="0.3">
      <c r="A41" t="s">
        <v>348</v>
      </c>
      <c r="B41" t="s">
        <v>48</v>
      </c>
      <c r="C41" t="s">
        <v>68</v>
      </c>
      <c r="D41" t="s">
        <v>309</v>
      </c>
      <c r="E41" t="s">
        <v>1022</v>
      </c>
      <c r="F41" s="15">
        <v>46237.403981481482</v>
      </c>
      <c r="G41" t="s">
        <v>402</v>
      </c>
      <c r="H41">
        <v>1</v>
      </c>
      <c r="I41" t="s">
        <v>1023</v>
      </c>
      <c r="J41" s="15">
        <v>46237.502083333333</v>
      </c>
      <c r="K41" s="15">
        <v>46239.458333333336</v>
      </c>
      <c r="L41" s="15"/>
      <c r="M41">
        <v>1</v>
      </c>
      <c r="O41" t="s">
        <v>201</v>
      </c>
      <c r="P41" t="s">
        <v>1956</v>
      </c>
      <c r="S41" t="s">
        <v>354</v>
      </c>
      <c r="T41" t="s">
        <v>369</v>
      </c>
      <c r="U41" t="s">
        <v>239</v>
      </c>
      <c r="V41" t="s">
        <v>348</v>
      </c>
      <c r="W41" t="s">
        <v>369</v>
      </c>
      <c r="X41" t="s">
        <v>239</v>
      </c>
      <c r="Y41">
        <v>0</v>
      </c>
      <c r="AA41" t="s">
        <v>90</v>
      </c>
      <c r="AB41" t="s">
        <v>354</v>
      </c>
      <c r="AC41">
        <v>50</v>
      </c>
      <c r="AD41" t="s">
        <v>217</v>
      </c>
      <c r="AE41">
        <v>1</v>
      </c>
      <c r="AF41">
        <v>1</v>
      </c>
    </row>
    <row r="42" spans="1:32" x14ac:dyDescent="0.3">
      <c r="A42" t="s">
        <v>348</v>
      </c>
      <c r="B42" t="s">
        <v>48</v>
      </c>
      <c r="C42" t="s">
        <v>68</v>
      </c>
      <c r="D42" t="s">
        <v>309</v>
      </c>
      <c r="E42" t="s">
        <v>1024</v>
      </c>
      <c r="F42" s="15">
        <v>46245.504618055558</v>
      </c>
      <c r="G42" t="s">
        <v>402</v>
      </c>
      <c r="H42">
        <v>1</v>
      </c>
      <c r="I42" t="s">
        <v>1025</v>
      </c>
      <c r="J42" s="15">
        <v>46251.37777777778</v>
      </c>
      <c r="K42" s="15">
        <v>46252.390972222223</v>
      </c>
      <c r="L42" s="15"/>
      <c r="M42">
        <v>1</v>
      </c>
      <c r="O42" t="s">
        <v>201</v>
      </c>
      <c r="P42" t="s">
        <v>1956</v>
      </c>
      <c r="S42" t="s">
        <v>354</v>
      </c>
      <c r="T42" t="s">
        <v>369</v>
      </c>
      <c r="U42" t="s">
        <v>239</v>
      </c>
      <c r="V42" t="s">
        <v>348</v>
      </c>
      <c r="W42" t="s">
        <v>369</v>
      </c>
      <c r="X42" t="s">
        <v>239</v>
      </c>
      <c r="Y42">
        <v>0</v>
      </c>
      <c r="AA42" t="s">
        <v>90</v>
      </c>
      <c r="AB42" t="s">
        <v>354</v>
      </c>
      <c r="AC42">
        <v>50</v>
      </c>
      <c r="AD42" t="s">
        <v>217</v>
      </c>
      <c r="AE42">
        <v>1</v>
      </c>
      <c r="AF42">
        <v>1</v>
      </c>
    </row>
    <row r="43" spans="1:32" x14ac:dyDescent="0.3">
      <c r="A43" t="s">
        <v>348</v>
      </c>
      <c r="B43" t="s">
        <v>48</v>
      </c>
      <c r="C43" t="s">
        <v>68</v>
      </c>
      <c r="D43" t="s">
        <v>309</v>
      </c>
      <c r="E43" t="s">
        <v>1026</v>
      </c>
      <c r="F43" s="15">
        <v>46224.674085648148</v>
      </c>
      <c r="G43" t="s">
        <v>402</v>
      </c>
      <c r="H43">
        <v>1</v>
      </c>
      <c r="I43" t="s">
        <v>1027</v>
      </c>
      <c r="J43" s="15">
        <v>46226.561562499999</v>
      </c>
      <c r="K43" s="15">
        <v>46230.489583333336</v>
      </c>
      <c r="L43" s="15"/>
      <c r="M43">
        <v>1</v>
      </c>
      <c r="O43" t="s">
        <v>201</v>
      </c>
      <c r="P43" t="s">
        <v>1956</v>
      </c>
      <c r="S43" t="s">
        <v>354</v>
      </c>
      <c r="T43" t="s">
        <v>369</v>
      </c>
      <c r="U43" t="s">
        <v>239</v>
      </c>
      <c r="V43" t="s">
        <v>348</v>
      </c>
      <c r="W43" t="s">
        <v>369</v>
      </c>
      <c r="X43" t="s">
        <v>239</v>
      </c>
      <c r="Y43">
        <v>0</v>
      </c>
      <c r="AA43" t="s">
        <v>90</v>
      </c>
      <c r="AB43" t="s">
        <v>354</v>
      </c>
      <c r="AC43">
        <v>50</v>
      </c>
      <c r="AD43" t="s">
        <v>217</v>
      </c>
      <c r="AE43">
        <v>1</v>
      </c>
      <c r="AF43">
        <v>1</v>
      </c>
    </row>
    <row r="44" spans="1:32" x14ac:dyDescent="0.3">
      <c r="A44" t="s">
        <v>348</v>
      </c>
      <c r="B44" t="s">
        <v>48</v>
      </c>
      <c r="C44" t="s">
        <v>68</v>
      </c>
      <c r="D44" t="s">
        <v>309</v>
      </c>
      <c r="E44" t="s">
        <v>1028</v>
      </c>
      <c r="F44" s="15">
        <v>46220.546053240738</v>
      </c>
      <c r="G44" t="s">
        <v>402</v>
      </c>
      <c r="H44">
        <v>1</v>
      </c>
      <c r="I44" t="s">
        <v>1029</v>
      </c>
      <c r="J44" s="15">
        <v>46224.709398148145</v>
      </c>
      <c r="K44" s="15">
        <v>46226.411805555559</v>
      </c>
      <c r="L44" s="15"/>
      <c r="M44">
        <v>1</v>
      </c>
      <c r="O44" t="s">
        <v>201</v>
      </c>
      <c r="P44" t="s">
        <v>1956</v>
      </c>
      <c r="S44" t="s">
        <v>354</v>
      </c>
      <c r="T44" t="s">
        <v>369</v>
      </c>
      <c r="U44" t="s">
        <v>239</v>
      </c>
      <c r="V44" t="s">
        <v>348</v>
      </c>
      <c r="W44" t="s">
        <v>369</v>
      </c>
      <c r="X44" t="s">
        <v>239</v>
      </c>
      <c r="Y44">
        <v>0</v>
      </c>
      <c r="AA44" t="s">
        <v>90</v>
      </c>
      <c r="AB44" t="s">
        <v>354</v>
      </c>
      <c r="AC44">
        <v>50</v>
      </c>
      <c r="AD44" t="s">
        <v>217</v>
      </c>
      <c r="AE44">
        <v>1</v>
      </c>
      <c r="AF44">
        <v>1</v>
      </c>
    </row>
    <row r="45" spans="1:32" x14ac:dyDescent="0.3">
      <c r="A45" t="s">
        <v>348</v>
      </c>
      <c r="B45" t="s">
        <v>51</v>
      </c>
      <c r="C45" t="s">
        <v>258</v>
      </c>
      <c r="D45" t="s">
        <v>309</v>
      </c>
      <c r="E45" t="s">
        <v>1030</v>
      </c>
      <c r="F45" s="15">
        <v>46232.614351851851</v>
      </c>
      <c r="G45" t="s">
        <v>402</v>
      </c>
      <c r="H45">
        <v>50</v>
      </c>
      <c r="I45" t="s">
        <v>1031</v>
      </c>
      <c r="J45" s="15">
        <v>46232.63958333333</v>
      </c>
      <c r="K45" s="15">
        <v>46233.408333333333</v>
      </c>
      <c r="L45" s="15"/>
      <c r="M45">
        <v>50</v>
      </c>
      <c r="O45" t="s">
        <v>201</v>
      </c>
      <c r="P45" t="s">
        <v>1954</v>
      </c>
      <c r="S45" t="s">
        <v>355</v>
      </c>
      <c r="T45" t="s">
        <v>369</v>
      </c>
      <c r="U45" t="s">
        <v>239</v>
      </c>
      <c r="V45" t="s">
        <v>7</v>
      </c>
      <c r="W45" t="s">
        <v>7</v>
      </c>
      <c r="X45" t="s">
        <v>7</v>
      </c>
      <c r="AA45" t="s">
        <v>238</v>
      </c>
      <c r="AB45" t="s">
        <v>355</v>
      </c>
      <c r="AC45">
        <v>2200</v>
      </c>
      <c r="AD45" t="s">
        <v>7</v>
      </c>
      <c r="AF45">
        <v>0</v>
      </c>
    </row>
    <row r="46" spans="1:32" x14ac:dyDescent="0.3">
      <c r="A46" t="s">
        <v>348</v>
      </c>
      <c r="B46" t="s">
        <v>51</v>
      </c>
      <c r="C46" t="s">
        <v>258</v>
      </c>
      <c r="D46" t="s">
        <v>309</v>
      </c>
      <c r="E46" t="s">
        <v>1032</v>
      </c>
      <c r="F46" s="15">
        <v>46252.483842592592</v>
      </c>
      <c r="G46" t="s">
        <v>402</v>
      </c>
      <c r="H46">
        <v>50</v>
      </c>
      <c r="I46" t="s">
        <v>1033</v>
      </c>
      <c r="J46" s="15">
        <v>46253.598611111112</v>
      </c>
      <c r="K46" s="15">
        <v>46254.503472222219</v>
      </c>
      <c r="L46" s="15"/>
      <c r="M46">
        <v>50</v>
      </c>
      <c r="O46" t="s">
        <v>201</v>
      </c>
      <c r="P46" t="s">
        <v>1954</v>
      </c>
      <c r="S46" t="s">
        <v>355</v>
      </c>
      <c r="T46" t="s">
        <v>369</v>
      </c>
      <c r="U46" t="s">
        <v>239</v>
      </c>
      <c r="V46" t="s">
        <v>7</v>
      </c>
      <c r="W46" t="s">
        <v>7</v>
      </c>
      <c r="X46" t="s">
        <v>7</v>
      </c>
      <c r="AA46" t="s">
        <v>238</v>
      </c>
      <c r="AB46" t="s">
        <v>355</v>
      </c>
      <c r="AC46">
        <v>2200</v>
      </c>
      <c r="AD46" t="s">
        <v>7</v>
      </c>
      <c r="AF46">
        <v>0</v>
      </c>
    </row>
    <row r="47" spans="1:32" x14ac:dyDescent="0.3">
      <c r="A47" t="s">
        <v>348</v>
      </c>
      <c r="B47" t="s">
        <v>51</v>
      </c>
      <c r="C47" t="s">
        <v>258</v>
      </c>
      <c r="D47" t="s">
        <v>309</v>
      </c>
      <c r="E47" t="s">
        <v>1034</v>
      </c>
      <c r="F47" s="15">
        <v>46252.480428240742</v>
      </c>
      <c r="G47" t="s">
        <v>402</v>
      </c>
      <c r="H47">
        <v>50</v>
      </c>
      <c r="I47" t="s">
        <v>1033</v>
      </c>
      <c r="J47" s="15">
        <v>46253.598611111112</v>
      </c>
      <c r="K47" s="15">
        <v>46254.503472222219</v>
      </c>
      <c r="L47" s="15"/>
      <c r="M47">
        <v>50</v>
      </c>
      <c r="O47" t="s">
        <v>201</v>
      </c>
      <c r="P47" t="s">
        <v>1954</v>
      </c>
      <c r="S47" t="s">
        <v>355</v>
      </c>
      <c r="T47" t="s">
        <v>369</v>
      </c>
      <c r="U47" t="s">
        <v>239</v>
      </c>
      <c r="V47" t="s">
        <v>7</v>
      </c>
      <c r="W47" t="s">
        <v>7</v>
      </c>
      <c r="X47" t="s">
        <v>7</v>
      </c>
      <c r="AA47" t="s">
        <v>238</v>
      </c>
      <c r="AB47" t="s">
        <v>355</v>
      </c>
      <c r="AC47">
        <v>2200</v>
      </c>
      <c r="AD47" t="s">
        <v>7</v>
      </c>
    </row>
    <row r="48" spans="1:32" x14ac:dyDescent="0.3">
      <c r="A48" t="s">
        <v>348</v>
      </c>
      <c r="B48" t="s">
        <v>51</v>
      </c>
      <c r="C48" t="s">
        <v>258</v>
      </c>
      <c r="D48" t="s">
        <v>309</v>
      </c>
      <c r="E48" t="s">
        <v>1035</v>
      </c>
      <c r="F48" s="15">
        <v>46252.482303240744</v>
      </c>
      <c r="G48" t="s">
        <v>402</v>
      </c>
      <c r="H48">
        <v>50</v>
      </c>
      <c r="I48" t="s">
        <v>1033</v>
      </c>
      <c r="J48" s="15">
        <v>46253.598611111112</v>
      </c>
      <c r="K48" s="15">
        <v>46254.503472222219</v>
      </c>
      <c r="L48" s="15"/>
      <c r="M48">
        <v>50</v>
      </c>
      <c r="O48" t="s">
        <v>201</v>
      </c>
      <c r="P48" t="s">
        <v>1954</v>
      </c>
      <c r="S48" t="s">
        <v>355</v>
      </c>
      <c r="T48" t="s">
        <v>369</v>
      </c>
      <c r="U48" t="s">
        <v>239</v>
      </c>
      <c r="V48" t="s">
        <v>7</v>
      </c>
      <c r="W48" t="s">
        <v>7</v>
      </c>
      <c r="X48" t="s">
        <v>7</v>
      </c>
      <c r="AA48" t="s">
        <v>238</v>
      </c>
      <c r="AB48" t="s">
        <v>355</v>
      </c>
      <c r="AC48">
        <v>2200</v>
      </c>
      <c r="AD48" t="s">
        <v>7</v>
      </c>
    </row>
    <row r="49" spans="1:32" x14ac:dyDescent="0.3">
      <c r="A49" t="s">
        <v>348</v>
      </c>
      <c r="B49" t="s">
        <v>51</v>
      </c>
      <c r="C49" t="s">
        <v>258</v>
      </c>
      <c r="D49" t="s">
        <v>309</v>
      </c>
      <c r="E49" t="s">
        <v>1036</v>
      </c>
      <c r="F49" s="15">
        <v>46227.419386574074</v>
      </c>
      <c r="G49" t="s">
        <v>402</v>
      </c>
      <c r="H49">
        <v>100</v>
      </c>
      <c r="I49" t="s">
        <v>1037</v>
      </c>
      <c r="J49" s="15">
        <v>46227.607638888891</v>
      </c>
      <c r="K49" s="15">
        <v>46231.386805555558</v>
      </c>
      <c r="L49" s="15"/>
      <c r="M49">
        <v>100</v>
      </c>
      <c r="O49" t="s">
        <v>201</v>
      </c>
      <c r="P49" t="s">
        <v>1956</v>
      </c>
      <c r="S49" t="s">
        <v>354</v>
      </c>
      <c r="T49" t="s">
        <v>369</v>
      </c>
      <c r="U49" t="s">
        <v>239</v>
      </c>
      <c r="V49" t="s">
        <v>7</v>
      </c>
      <c r="W49" t="s">
        <v>7</v>
      </c>
      <c r="X49" t="s">
        <v>7</v>
      </c>
      <c r="AA49" t="s">
        <v>238</v>
      </c>
      <c r="AB49" t="s">
        <v>354</v>
      </c>
      <c r="AC49">
        <v>50</v>
      </c>
      <c r="AD49" t="s">
        <v>7</v>
      </c>
      <c r="AF49">
        <v>0</v>
      </c>
    </row>
    <row r="50" spans="1:32" x14ac:dyDescent="0.3">
      <c r="A50" t="s">
        <v>348</v>
      </c>
      <c r="B50" t="s">
        <v>42</v>
      </c>
      <c r="C50" t="s">
        <v>68</v>
      </c>
      <c r="D50" t="s">
        <v>309</v>
      </c>
      <c r="E50" t="s">
        <v>1038</v>
      </c>
      <c r="F50" s="15">
        <v>46227.417442129627</v>
      </c>
      <c r="G50" t="s">
        <v>402</v>
      </c>
      <c r="H50">
        <v>1</v>
      </c>
      <c r="I50" t="s">
        <v>1039</v>
      </c>
      <c r="J50" s="15">
        <v>46230.382638888892</v>
      </c>
      <c r="K50" s="15">
        <v>46231.361111111109</v>
      </c>
      <c r="L50" s="15"/>
      <c r="M50">
        <v>1</v>
      </c>
      <c r="O50" t="s">
        <v>1957</v>
      </c>
      <c r="S50" t="s">
        <v>354</v>
      </c>
      <c r="T50" t="s">
        <v>369</v>
      </c>
      <c r="U50" t="s">
        <v>239</v>
      </c>
      <c r="V50" t="s">
        <v>7</v>
      </c>
      <c r="W50" t="s">
        <v>7</v>
      </c>
      <c r="X50" t="s">
        <v>7</v>
      </c>
      <c r="AA50" t="s">
        <v>67</v>
      </c>
      <c r="AB50" t="s">
        <v>354</v>
      </c>
      <c r="AC50">
        <v>50</v>
      </c>
      <c r="AD50" t="s">
        <v>7</v>
      </c>
    </row>
    <row r="51" spans="1:32" x14ac:dyDescent="0.3">
      <c r="A51" t="s">
        <v>348</v>
      </c>
      <c r="B51" t="s">
        <v>51</v>
      </c>
      <c r="C51" t="s">
        <v>258</v>
      </c>
      <c r="D51" t="s">
        <v>309</v>
      </c>
      <c r="E51" t="s">
        <v>1040</v>
      </c>
      <c r="F51" s="15">
        <v>46225.586296296293</v>
      </c>
      <c r="G51" t="s">
        <v>1041</v>
      </c>
      <c r="H51">
        <v>5</v>
      </c>
      <c r="I51" t="s">
        <v>1042</v>
      </c>
      <c r="J51" s="15">
        <v>46225.654861111114</v>
      </c>
      <c r="K51" s="15">
        <v>46230.291666666664</v>
      </c>
      <c r="L51" s="15"/>
      <c r="M51">
        <v>5</v>
      </c>
      <c r="O51" t="s">
        <v>201</v>
      </c>
      <c r="P51" t="s">
        <v>1956</v>
      </c>
      <c r="S51" t="s">
        <v>354</v>
      </c>
      <c r="T51" t="s">
        <v>369</v>
      </c>
      <c r="U51" t="s">
        <v>239</v>
      </c>
      <c r="V51" t="s">
        <v>7</v>
      </c>
      <c r="W51" t="s">
        <v>7</v>
      </c>
      <c r="X51" t="s">
        <v>7</v>
      </c>
      <c r="AA51" t="s">
        <v>238</v>
      </c>
      <c r="AB51" t="s">
        <v>354</v>
      </c>
      <c r="AC51">
        <v>50</v>
      </c>
      <c r="AD51" t="s">
        <v>7</v>
      </c>
      <c r="AF51">
        <v>0</v>
      </c>
    </row>
    <row r="52" spans="1:32" x14ac:dyDescent="0.3">
      <c r="A52" t="s">
        <v>348</v>
      </c>
      <c r="B52" t="s">
        <v>51</v>
      </c>
      <c r="C52" t="s">
        <v>258</v>
      </c>
      <c r="D52" t="s">
        <v>309</v>
      </c>
      <c r="E52" t="s">
        <v>1043</v>
      </c>
      <c r="F52" s="15">
        <v>46225.464629629627</v>
      </c>
      <c r="G52" t="s">
        <v>1044</v>
      </c>
      <c r="H52">
        <v>18</v>
      </c>
      <c r="I52" t="s">
        <v>1045</v>
      </c>
      <c r="J52" s="15">
        <v>46225.601388888892</v>
      </c>
      <c r="K52" s="15">
        <v>46231.378472222219</v>
      </c>
      <c r="L52" s="15"/>
      <c r="M52">
        <v>18</v>
      </c>
      <c r="O52" t="s">
        <v>201</v>
      </c>
      <c r="P52" t="s">
        <v>1956</v>
      </c>
      <c r="S52" t="s">
        <v>356</v>
      </c>
      <c r="T52" t="s">
        <v>369</v>
      </c>
      <c r="U52" t="s">
        <v>239</v>
      </c>
      <c r="V52" t="s">
        <v>7</v>
      </c>
      <c r="W52" t="s">
        <v>7</v>
      </c>
      <c r="X52" t="s">
        <v>7</v>
      </c>
      <c r="AA52" t="s">
        <v>238</v>
      </c>
      <c r="AB52" t="s">
        <v>356</v>
      </c>
      <c r="AC52">
        <v>109</v>
      </c>
      <c r="AD52" t="s">
        <v>7</v>
      </c>
      <c r="AF52">
        <v>0</v>
      </c>
    </row>
    <row r="53" spans="1:32" x14ac:dyDescent="0.3">
      <c r="A53" t="s">
        <v>348</v>
      </c>
      <c r="B53" t="s">
        <v>45</v>
      </c>
      <c r="C53" t="s">
        <v>68</v>
      </c>
      <c r="D53" t="s">
        <v>309</v>
      </c>
      <c r="E53" t="s">
        <v>1051</v>
      </c>
      <c r="F53" s="15">
        <v>46255.309004629627</v>
      </c>
      <c r="G53" t="s">
        <v>402</v>
      </c>
      <c r="H53">
        <v>9</v>
      </c>
      <c r="I53" t="s">
        <v>1052</v>
      </c>
      <c r="J53" s="15">
        <v>46255.447222222225</v>
      </c>
      <c r="K53" s="15">
        <v>46258.458333333336</v>
      </c>
      <c r="L53" s="15"/>
      <c r="M53">
        <v>9</v>
      </c>
      <c r="O53" t="s">
        <v>201</v>
      </c>
      <c r="P53" t="s">
        <v>1956</v>
      </c>
      <c r="S53" t="s">
        <v>355</v>
      </c>
      <c r="T53" t="s">
        <v>369</v>
      </c>
      <c r="U53" t="s">
        <v>239</v>
      </c>
      <c r="V53" t="s">
        <v>348</v>
      </c>
      <c r="W53" t="s">
        <v>369</v>
      </c>
      <c r="X53" t="s">
        <v>239</v>
      </c>
      <c r="Y53">
        <v>0</v>
      </c>
      <c r="AA53" t="s">
        <v>67</v>
      </c>
      <c r="AB53" t="s">
        <v>355</v>
      </c>
      <c r="AC53">
        <v>2200</v>
      </c>
      <c r="AD53" t="s">
        <v>217</v>
      </c>
      <c r="AE53">
        <v>1</v>
      </c>
      <c r="AF53">
        <v>1</v>
      </c>
    </row>
    <row r="54" spans="1:32" x14ac:dyDescent="0.3">
      <c r="A54" t="s">
        <v>348</v>
      </c>
      <c r="B54" t="s">
        <v>45</v>
      </c>
      <c r="C54" t="s">
        <v>68</v>
      </c>
      <c r="D54" t="s">
        <v>309</v>
      </c>
      <c r="E54" t="s">
        <v>1053</v>
      </c>
      <c r="F54" s="15">
        <v>46254.394618055558</v>
      </c>
      <c r="G54" t="s">
        <v>402</v>
      </c>
      <c r="H54">
        <v>3</v>
      </c>
      <c r="I54" t="s">
        <v>1054</v>
      </c>
      <c r="J54" s="15">
        <v>46254.607638888891</v>
      </c>
      <c r="K54" s="15">
        <v>46255.493055555555</v>
      </c>
      <c r="L54" s="15"/>
      <c r="M54">
        <v>3</v>
      </c>
      <c r="O54" t="s">
        <v>201</v>
      </c>
      <c r="P54" t="s">
        <v>1954</v>
      </c>
      <c r="S54" t="s">
        <v>355</v>
      </c>
      <c r="T54" t="s">
        <v>369</v>
      </c>
      <c r="U54" t="s">
        <v>239</v>
      </c>
      <c r="V54" t="s">
        <v>348</v>
      </c>
      <c r="W54" t="s">
        <v>369</v>
      </c>
      <c r="X54" t="s">
        <v>239</v>
      </c>
      <c r="Y54">
        <v>0</v>
      </c>
      <c r="AA54" t="s">
        <v>67</v>
      </c>
      <c r="AB54" t="s">
        <v>355</v>
      </c>
      <c r="AC54">
        <v>2200</v>
      </c>
      <c r="AD54" t="s">
        <v>217</v>
      </c>
      <c r="AE54">
        <v>1</v>
      </c>
      <c r="AF54">
        <v>1</v>
      </c>
    </row>
    <row r="55" spans="1:32" x14ac:dyDescent="0.3">
      <c r="A55" t="s">
        <v>348</v>
      </c>
      <c r="B55" t="s">
        <v>45</v>
      </c>
      <c r="C55" t="s">
        <v>68</v>
      </c>
      <c r="D55" t="s">
        <v>309</v>
      </c>
      <c r="E55" t="s">
        <v>1055</v>
      </c>
      <c r="F55" s="15">
        <v>46254.395497685182</v>
      </c>
      <c r="G55" t="s">
        <v>402</v>
      </c>
      <c r="H55">
        <v>7</v>
      </c>
      <c r="I55" t="s">
        <v>1054</v>
      </c>
      <c r="J55" s="15">
        <v>46254.607638888891</v>
      </c>
      <c r="K55" s="15">
        <v>46255.493055555555</v>
      </c>
      <c r="L55" s="15"/>
      <c r="M55">
        <v>7</v>
      </c>
      <c r="O55" t="s">
        <v>201</v>
      </c>
      <c r="P55" t="s">
        <v>1954</v>
      </c>
      <c r="S55" t="s">
        <v>355</v>
      </c>
      <c r="T55" t="s">
        <v>369</v>
      </c>
      <c r="U55" t="s">
        <v>239</v>
      </c>
      <c r="V55" t="s">
        <v>348</v>
      </c>
      <c r="W55" t="s">
        <v>369</v>
      </c>
      <c r="X55" t="s">
        <v>239</v>
      </c>
      <c r="AA55" t="s">
        <v>67</v>
      </c>
      <c r="AB55" t="s">
        <v>355</v>
      </c>
      <c r="AC55">
        <v>2200</v>
      </c>
      <c r="AD55" t="s">
        <v>217</v>
      </c>
      <c r="AE55">
        <v>1</v>
      </c>
    </row>
    <row r="56" spans="1:32" x14ac:dyDescent="0.3">
      <c r="A56" t="s">
        <v>348</v>
      </c>
      <c r="B56" t="s">
        <v>45</v>
      </c>
      <c r="C56" t="s">
        <v>68</v>
      </c>
      <c r="D56" t="s">
        <v>309</v>
      </c>
      <c r="E56" t="s">
        <v>1056</v>
      </c>
      <c r="F56" s="15">
        <v>46254.396273148152</v>
      </c>
      <c r="G56" t="s">
        <v>402</v>
      </c>
      <c r="H56">
        <v>6</v>
      </c>
      <c r="I56" t="s">
        <v>1054</v>
      </c>
      <c r="J56" s="15">
        <v>46254.607638888891</v>
      </c>
      <c r="K56" s="15">
        <v>46255.493055555555</v>
      </c>
      <c r="L56" s="15"/>
      <c r="M56">
        <v>6</v>
      </c>
      <c r="O56" t="s">
        <v>201</v>
      </c>
      <c r="P56" t="s">
        <v>1954</v>
      </c>
      <c r="S56" t="s">
        <v>355</v>
      </c>
      <c r="T56" t="s">
        <v>369</v>
      </c>
      <c r="U56" t="s">
        <v>239</v>
      </c>
      <c r="V56" t="s">
        <v>348</v>
      </c>
      <c r="W56" t="s">
        <v>369</v>
      </c>
      <c r="X56" t="s">
        <v>239</v>
      </c>
      <c r="AA56" t="s">
        <v>67</v>
      </c>
      <c r="AB56" t="s">
        <v>355</v>
      </c>
      <c r="AC56">
        <v>2200</v>
      </c>
      <c r="AD56" t="s">
        <v>217</v>
      </c>
      <c r="AE56">
        <v>1</v>
      </c>
    </row>
    <row r="57" spans="1:32" x14ac:dyDescent="0.3">
      <c r="A57" t="s">
        <v>348</v>
      </c>
      <c r="B57" t="s">
        <v>45</v>
      </c>
      <c r="C57" t="s">
        <v>68</v>
      </c>
      <c r="D57" t="s">
        <v>309</v>
      </c>
      <c r="E57" t="s">
        <v>1057</v>
      </c>
      <c r="F57" s="15">
        <v>46231.659247685187</v>
      </c>
      <c r="G57" t="s">
        <v>1058</v>
      </c>
      <c r="H57">
        <v>13</v>
      </c>
      <c r="I57" t="s">
        <v>1059</v>
      </c>
      <c r="J57" s="15">
        <v>46231.713194444441</v>
      </c>
      <c r="K57" s="15">
        <v>46233.416666666664</v>
      </c>
      <c r="L57" s="15"/>
      <c r="M57">
        <v>13</v>
      </c>
      <c r="O57" t="s">
        <v>201</v>
      </c>
      <c r="P57" t="s">
        <v>1956</v>
      </c>
      <c r="S57" t="s">
        <v>355</v>
      </c>
      <c r="T57" t="s">
        <v>369</v>
      </c>
      <c r="U57" t="s">
        <v>239</v>
      </c>
      <c r="V57" t="s">
        <v>348</v>
      </c>
      <c r="W57" t="s">
        <v>369</v>
      </c>
      <c r="X57" t="s">
        <v>239</v>
      </c>
      <c r="Y57">
        <v>0</v>
      </c>
      <c r="AA57" t="s">
        <v>67</v>
      </c>
      <c r="AB57" t="s">
        <v>355</v>
      </c>
      <c r="AC57">
        <v>2200</v>
      </c>
      <c r="AD57" t="s">
        <v>217</v>
      </c>
      <c r="AE57">
        <v>1.3</v>
      </c>
      <c r="AF57">
        <v>1</v>
      </c>
    </row>
    <row r="58" spans="1:32" x14ac:dyDescent="0.3">
      <c r="A58" t="s">
        <v>348</v>
      </c>
      <c r="B58" t="s">
        <v>45</v>
      </c>
      <c r="C58" t="s">
        <v>68</v>
      </c>
      <c r="D58" t="s">
        <v>309</v>
      </c>
      <c r="E58" t="s">
        <v>1060</v>
      </c>
      <c r="F58" s="15">
        <v>46231.635254629633</v>
      </c>
      <c r="G58" t="s">
        <v>1058</v>
      </c>
      <c r="H58">
        <v>6</v>
      </c>
      <c r="I58" t="s">
        <v>1059</v>
      </c>
      <c r="J58" s="15">
        <v>46231.713194444441</v>
      </c>
      <c r="K58" s="15">
        <v>46233.416666666664</v>
      </c>
      <c r="L58" s="15"/>
      <c r="M58">
        <v>6</v>
      </c>
      <c r="O58" t="s">
        <v>201</v>
      </c>
      <c r="P58" t="s">
        <v>1956</v>
      </c>
      <c r="S58" t="s">
        <v>355</v>
      </c>
      <c r="T58" t="s">
        <v>369</v>
      </c>
      <c r="U58" t="s">
        <v>239</v>
      </c>
      <c r="V58" t="s">
        <v>348</v>
      </c>
      <c r="W58" t="s">
        <v>369</v>
      </c>
      <c r="X58" t="s">
        <v>239</v>
      </c>
      <c r="AA58" t="s">
        <v>67</v>
      </c>
      <c r="AB58" t="s">
        <v>355</v>
      </c>
      <c r="AC58">
        <v>2200</v>
      </c>
      <c r="AD58" t="s">
        <v>217</v>
      </c>
      <c r="AE58">
        <v>1</v>
      </c>
    </row>
    <row r="59" spans="1:32" x14ac:dyDescent="0.3">
      <c r="A59" t="s">
        <v>348</v>
      </c>
      <c r="B59" t="s">
        <v>45</v>
      </c>
      <c r="C59" t="s">
        <v>68</v>
      </c>
      <c r="D59" t="s">
        <v>309</v>
      </c>
      <c r="E59" t="s">
        <v>1061</v>
      </c>
      <c r="F59" s="15">
        <v>46231.634583333333</v>
      </c>
      <c r="G59" t="s">
        <v>1058</v>
      </c>
      <c r="H59">
        <v>4</v>
      </c>
      <c r="I59" t="s">
        <v>1059</v>
      </c>
      <c r="J59" s="15">
        <v>46231.713194444441</v>
      </c>
      <c r="K59" s="15">
        <v>46233.416666666664</v>
      </c>
      <c r="L59" s="15"/>
      <c r="M59">
        <v>4</v>
      </c>
      <c r="O59" t="s">
        <v>201</v>
      </c>
      <c r="P59" t="s">
        <v>1956</v>
      </c>
      <c r="S59" t="s">
        <v>355</v>
      </c>
      <c r="T59" t="s">
        <v>369</v>
      </c>
      <c r="U59" t="s">
        <v>239</v>
      </c>
      <c r="V59" t="s">
        <v>348</v>
      </c>
      <c r="W59" t="s">
        <v>369</v>
      </c>
      <c r="X59" t="s">
        <v>239</v>
      </c>
      <c r="AA59" t="s">
        <v>67</v>
      </c>
      <c r="AB59" t="s">
        <v>355</v>
      </c>
      <c r="AC59">
        <v>2200</v>
      </c>
      <c r="AD59" t="s">
        <v>217</v>
      </c>
      <c r="AE59">
        <v>1</v>
      </c>
    </row>
    <row r="60" spans="1:32" x14ac:dyDescent="0.3">
      <c r="A60" t="s">
        <v>348</v>
      </c>
      <c r="B60" t="s">
        <v>45</v>
      </c>
      <c r="C60" t="s">
        <v>68</v>
      </c>
      <c r="D60" t="s">
        <v>309</v>
      </c>
      <c r="E60" t="s">
        <v>1062</v>
      </c>
      <c r="F60" s="15">
        <v>46231.633784722224</v>
      </c>
      <c r="G60" t="s">
        <v>1058</v>
      </c>
      <c r="H60">
        <v>4</v>
      </c>
      <c r="I60" t="s">
        <v>1059</v>
      </c>
      <c r="J60" s="15">
        <v>46231.713194444441</v>
      </c>
      <c r="K60" s="15">
        <v>46233.416666666664</v>
      </c>
      <c r="L60" s="15"/>
      <c r="M60">
        <v>4</v>
      </c>
      <c r="O60" t="s">
        <v>201</v>
      </c>
      <c r="P60" t="s">
        <v>1956</v>
      </c>
      <c r="S60" t="s">
        <v>355</v>
      </c>
      <c r="T60" t="s">
        <v>369</v>
      </c>
      <c r="U60" t="s">
        <v>239</v>
      </c>
      <c r="V60" t="s">
        <v>348</v>
      </c>
      <c r="W60" t="s">
        <v>369</v>
      </c>
      <c r="X60" t="s">
        <v>239</v>
      </c>
      <c r="AA60" t="s">
        <v>67</v>
      </c>
      <c r="AB60" t="s">
        <v>355</v>
      </c>
      <c r="AC60">
        <v>2200</v>
      </c>
      <c r="AD60" t="s">
        <v>217</v>
      </c>
      <c r="AE60">
        <v>1</v>
      </c>
    </row>
    <row r="61" spans="1:32" x14ac:dyDescent="0.3">
      <c r="A61" t="s">
        <v>348</v>
      </c>
      <c r="B61" t="s">
        <v>45</v>
      </c>
      <c r="C61" t="s">
        <v>68</v>
      </c>
      <c r="D61" t="s">
        <v>309</v>
      </c>
      <c r="E61" t="s">
        <v>1063</v>
      </c>
      <c r="F61" s="15">
        <v>46231.632465277777</v>
      </c>
      <c r="G61" t="s">
        <v>1058</v>
      </c>
      <c r="H61">
        <v>1</v>
      </c>
      <c r="I61" t="s">
        <v>1059</v>
      </c>
      <c r="J61" s="15">
        <v>46231.713194444441</v>
      </c>
      <c r="K61" s="15">
        <v>46233.416666666664</v>
      </c>
      <c r="L61" s="15"/>
      <c r="M61">
        <v>1</v>
      </c>
      <c r="O61" t="s">
        <v>201</v>
      </c>
      <c r="P61" t="s">
        <v>1956</v>
      </c>
      <c r="S61" t="s">
        <v>355</v>
      </c>
      <c r="T61" t="s">
        <v>369</v>
      </c>
      <c r="U61" t="s">
        <v>239</v>
      </c>
      <c r="V61" t="s">
        <v>348</v>
      </c>
      <c r="W61" t="s">
        <v>369</v>
      </c>
      <c r="X61" t="s">
        <v>239</v>
      </c>
      <c r="AA61" t="s">
        <v>67</v>
      </c>
      <c r="AB61" t="s">
        <v>355</v>
      </c>
      <c r="AC61">
        <v>2200</v>
      </c>
      <c r="AD61" t="s">
        <v>217</v>
      </c>
      <c r="AE61">
        <v>1</v>
      </c>
    </row>
    <row r="62" spans="1:32" x14ac:dyDescent="0.3">
      <c r="A62" t="s">
        <v>348</v>
      </c>
      <c r="B62" t="s">
        <v>45</v>
      </c>
      <c r="C62" t="s">
        <v>68</v>
      </c>
      <c r="D62" t="s">
        <v>309</v>
      </c>
      <c r="E62" t="s">
        <v>1064</v>
      </c>
      <c r="F62" s="15">
        <v>46231.631620370368</v>
      </c>
      <c r="G62" t="s">
        <v>402</v>
      </c>
      <c r="H62">
        <v>1</v>
      </c>
      <c r="I62" t="s">
        <v>1065</v>
      </c>
      <c r="J62" s="15">
        <v>46231.706250000003</v>
      </c>
      <c r="K62" s="15">
        <v>46233.416666666664</v>
      </c>
      <c r="L62" s="15"/>
      <c r="M62">
        <v>1</v>
      </c>
      <c r="O62" t="s">
        <v>201</v>
      </c>
      <c r="P62" t="s">
        <v>1956</v>
      </c>
      <c r="S62" t="s">
        <v>355</v>
      </c>
      <c r="T62" t="s">
        <v>369</v>
      </c>
      <c r="U62" t="s">
        <v>239</v>
      </c>
      <c r="V62" t="s">
        <v>348</v>
      </c>
      <c r="W62" t="s">
        <v>369</v>
      </c>
      <c r="X62" t="s">
        <v>239</v>
      </c>
      <c r="AA62" t="s">
        <v>67</v>
      </c>
      <c r="AB62" t="s">
        <v>355</v>
      </c>
      <c r="AC62">
        <v>2200</v>
      </c>
      <c r="AD62" t="s">
        <v>217</v>
      </c>
      <c r="AE62">
        <v>1</v>
      </c>
    </row>
    <row r="63" spans="1:32" x14ac:dyDescent="0.3">
      <c r="A63" t="s">
        <v>348</v>
      </c>
      <c r="B63" t="s">
        <v>48</v>
      </c>
      <c r="C63" t="s">
        <v>68</v>
      </c>
      <c r="D63" t="s">
        <v>309</v>
      </c>
      <c r="E63" t="s">
        <v>1066</v>
      </c>
      <c r="F63" s="15">
        <v>46245.434259259258</v>
      </c>
      <c r="G63" t="s">
        <v>402</v>
      </c>
      <c r="H63">
        <v>3</v>
      </c>
      <c r="I63" t="s">
        <v>1067</v>
      </c>
      <c r="J63" s="15">
        <v>46246.470138888886</v>
      </c>
      <c r="K63" s="15">
        <v>46247.425694444442</v>
      </c>
      <c r="L63" s="15"/>
      <c r="M63">
        <v>3</v>
      </c>
      <c r="O63" t="s">
        <v>201</v>
      </c>
      <c r="P63" t="s">
        <v>1954</v>
      </c>
      <c r="S63" t="s">
        <v>355</v>
      </c>
      <c r="T63" t="s">
        <v>369</v>
      </c>
      <c r="U63" t="s">
        <v>239</v>
      </c>
      <c r="V63" t="s">
        <v>348</v>
      </c>
      <c r="W63" t="s">
        <v>369</v>
      </c>
      <c r="X63" t="s">
        <v>239</v>
      </c>
      <c r="Y63">
        <v>0</v>
      </c>
      <c r="AA63" t="s">
        <v>90</v>
      </c>
      <c r="AB63" t="s">
        <v>355</v>
      </c>
      <c r="AC63">
        <v>2200</v>
      </c>
      <c r="AD63" t="s">
        <v>217</v>
      </c>
      <c r="AE63">
        <v>1</v>
      </c>
      <c r="AF63">
        <v>1</v>
      </c>
    </row>
    <row r="64" spans="1:32" x14ac:dyDescent="0.3">
      <c r="A64" t="s">
        <v>348</v>
      </c>
      <c r="B64" t="s">
        <v>48</v>
      </c>
      <c r="C64" t="s">
        <v>68</v>
      </c>
      <c r="D64" t="s">
        <v>309</v>
      </c>
      <c r="E64" t="s">
        <v>1066</v>
      </c>
      <c r="F64" s="15">
        <v>46245.434259259258</v>
      </c>
      <c r="G64" t="s">
        <v>402</v>
      </c>
      <c r="H64">
        <v>1</v>
      </c>
      <c r="I64" t="s">
        <v>1068</v>
      </c>
      <c r="J64" s="15">
        <v>46252.685416666667</v>
      </c>
      <c r="K64" s="15">
        <v>46254.503472222219</v>
      </c>
      <c r="L64" s="15"/>
      <c r="M64">
        <v>1</v>
      </c>
      <c r="O64" t="s">
        <v>201</v>
      </c>
      <c r="P64" t="s">
        <v>1956</v>
      </c>
      <c r="S64" t="s">
        <v>355</v>
      </c>
      <c r="T64" t="s">
        <v>369</v>
      </c>
      <c r="U64" t="s">
        <v>239</v>
      </c>
      <c r="V64" t="s">
        <v>348</v>
      </c>
      <c r="W64" t="s">
        <v>369</v>
      </c>
      <c r="X64" t="s">
        <v>239</v>
      </c>
      <c r="Y64">
        <v>0</v>
      </c>
      <c r="AA64" t="s">
        <v>90</v>
      </c>
      <c r="AB64" t="s">
        <v>355</v>
      </c>
      <c r="AC64">
        <v>2200</v>
      </c>
      <c r="AD64" t="s">
        <v>217</v>
      </c>
      <c r="AE64">
        <v>1</v>
      </c>
      <c r="AF64">
        <v>1</v>
      </c>
    </row>
    <row r="65" spans="1:32" x14ac:dyDescent="0.3">
      <c r="A65" t="s">
        <v>348</v>
      </c>
      <c r="B65" t="s">
        <v>48</v>
      </c>
      <c r="C65" t="s">
        <v>68</v>
      </c>
      <c r="D65" t="s">
        <v>309</v>
      </c>
      <c r="E65" t="s">
        <v>1069</v>
      </c>
      <c r="F65" s="15">
        <v>46213.750648148147</v>
      </c>
      <c r="G65" t="s">
        <v>402</v>
      </c>
      <c r="H65">
        <v>5</v>
      </c>
      <c r="I65" t="s">
        <v>1070</v>
      </c>
      <c r="J65" s="15">
        <v>46230.428946759261</v>
      </c>
      <c r="K65" s="15">
        <v>46231.397222222222</v>
      </c>
      <c r="L65" s="15"/>
      <c r="M65">
        <v>5</v>
      </c>
      <c r="O65" t="s">
        <v>201</v>
      </c>
      <c r="P65" t="s">
        <v>1954</v>
      </c>
      <c r="S65" t="s">
        <v>355</v>
      </c>
      <c r="T65" t="s">
        <v>369</v>
      </c>
      <c r="U65" t="s">
        <v>239</v>
      </c>
      <c r="V65" t="s">
        <v>348</v>
      </c>
      <c r="W65" t="s">
        <v>369</v>
      </c>
      <c r="X65" t="s">
        <v>239</v>
      </c>
      <c r="Y65">
        <v>0</v>
      </c>
      <c r="AA65" t="s">
        <v>90</v>
      </c>
      <c r="AB65" t="s">
        <v>355</v>
      </c>
      <c r="AC65">
        <v>2200</v>
      </c>
      <c r="AD65" t="s">
        <v>217</v>
      </c>
      <c r="AE65">
        <v>1</v>
      </c>
      <c r="AF65">
        <v>1</v>
      </c>
    </row>
    <row r="66" spans="1:32" x14ac:dyDescent="0.3">
      <c r="A66" t="s">
        <v>348</v>
      </c>
      <c r="B66" t="s">
        <v>45</v>
      </c>
      <c r="C66" t="s">
        <v>68</v>
      </c>
      <c r="D66" t="s">
        <v>309</v>
      </c>
      <c r="E66" t="s">
        <v>1071</v>
      </c>
      <c r="F66" s="15">
        <v>46251.387743055559</v>
      </c>
      <c r="G66" t="s">
        <v>403</v>
      </c>
      <c r="H66">
        <v>15</v>
      </c>
      <c r="I66" t="s">
        <v>1072</v>
      </c>
      <c r="J66" s="15">
        <v>46251.49722222222</v>
      </c>
      <c r="K66" s="15">
        <v>46252.638888888891</v>
      </c>
      <c r="L66" s="15"/>
      <c r="M66">
        <v>15</v>
      </c>
      <c r="O66" t="s">
        <v>201</v>
      </c>
      <c r="P66" t="s">
        <v>1956</v>
      </c>
      <c r="S66" t="s">
        <v>356</v>
      </c>
      <c r="T66" t="s">
        <v>369</v>
      </c>
      <c r="U66" t="s">
        <v>239</v>
      </c>
      <c r="V66" t="s">
        <v>348</v>
      </c>
      <c r="W66" t="s">
        <v>369</v>
      </c>
      <c r="X66" t="s">
        <v>239</v>
      </c>
      <c r="Y66">
        <v>0</v>
      </c>
      <c r="AA66" t="s">
        <v>67</v>
      </c>
      <c r="AB66" t="s">
        <v>356</v>
      </c>
      <c r="AC66">
        <v>109</v>
      </c>
      <c r="AD66" t="s">
        <v>217</v>
      </c>
      <c r="AE66">
        <v>1.5</v>
      </c>
      <c r="AF66">
        <v>1</v>
      </c>
    </row>
    <row r="67" spans="1:32" x14ac:dyDescent="0.3">
      <c r="A67" t="s">
        <v>348</v>
      </c>
      <c r="B67" t="s">
        <v>45</v>
      </c>
      <c r="C67" t="s">
        <v>68</v>
      </c>
      <c r="D67" t="s">
        <v>309</v>
      </c>
      <c r="E67" t="s">
        <v>1073</v>
      </c>
      <c r="F67" s="15">
        <v>46230.391215277778</v>
      </c>
      <c r="G67" t="s">
        <v>403</v>
      </c>
      <c r="H67">
        <v>15</v>
      </c>
      <c r="I67" t="s">
        <v>1074</v>
      </c>
      <c r="J67" s="15">
        <v>46230.46465277778</v>
      </c>
      <c r="K67" s="15">
        <v>46231.458333333336</v>
      </c>
      <c r="L67" s="15"/>
      <c r="M67">
        <v>15</v>
      </c>
      <c r="O67" t="s">
        <v>201</v>
      </c>
      <c r="P67" t="s">
        <v>1954</v>
      </c>
      <c r="S67" t="s">
        <v>356</v>
      </c>
      <c r="T67" t="s">
        <v>369</v>
      </c>
      <c r="U67" t="s">
        <v>239</v>
      </c>
      <c r="V67" t="s">
        <v>348</v>
      </c>
      <c r="W67" t="s">
        <v>369</v>
      </c>
      <c r="X67" t="s">
        <v>239</v>
      </c>
      <c r="Y67">
        <v>0</v>
      </c>
      <c r="AA67" t="s">
        <v>67</v>
      </c>
      <c r="AB67" t="s">
        <v>356</v>
      </c>
      <c r="AC67">
        <v>109</v>
      </c>
      <c r="AD67" t="s">
        <v>217</v>
      </c>
      <c r="AE67">
        <v>1.5</v>
      </c>
      <c r="AF67">
        <v>1</v>
      </c>
    </row>
    <row r="68" spans="1:32" x14ac:dyDescent="0.3">
      <c r="A68" t="s">
        <v>348</v>
      </c>
      <c r="B68" t="s">
        <v>45</v>
      </c>
      <c r="C68" t="s">
        <v>68</v>
      </c>
      <c r="D68" t="s">
        <v>309</v>
      </c>
      <c r="E68" t="s">
        <v>1075</v>
      </c>
      <c r="F68" s="15">
        <v>46230.398877314816</v>
      </c>
      <c r="G68" t="s">
        <v>403</v>
      </c>
      <c r="H68">
        <v>10</v>
      </c>
      <c r="I68" t="s">
        <v>1076</v>
      </c>
      <c r="J68" s="15">
        <v>46230.632638888892</v>
      </c>
      <c r="K68" s="15">
        <v>46232.696527777778</v>
      </c>
      <c r="L68" s="15"/>
      <c r="M68">
        <v>10</v>
      </c>
      <c r="O68" t="s">
        <v>201</v>
      </c>
      <c r="P68" t="s">
        <v>1956</v>
      </c>
      <c r="S68" t="s">
        <v>356</v>
      </c>
      <c r="T68" t="s">
        <v>369</v>
      </c>
      <c r="U68" t="s">
        <v>239</v>
      </c>
      <c r="V68" t="s">
        <v>348</v>
      </c>
      <c r="W68" t="s">
        <v>369</v>
      </c>
      <c r="X68" t="s">
        <v>239</v>
      </c>
      <c r="AA68" t="s">
        <v>67</v>
      </c>
      <c r="AB68" t="s">
        <v>356</v>
      </c>
      <c r="AC68">
        <v>109</v>
      </c>
      <c r="AD68" t="s">
        <v>217</v>
      </c>
      <c r="AE68">
        <v>1</v>
      </c>
      <c r="AF68">
        <v>1</v>
      </c>
    </row>
    <row r="69" spans="1:32" x14ac:dyDescent="0.3">
      <c r="A69" t="s">
        <v>348</v>
      </c>
      <c r="B69" t="s">
        <v>48</v>
      </c>
      <c r="C69" t="s">
        <v>68</v>
      </c>
      <c r="D69" t="s">
        <v>309</v>
      </c>
      <c r="E69" t="s">
        <v>747</v>
      </c>
      <c r="F69" s="15">
        <v>46252.576365740744</v>
      </c>
      <c r="G69" t="s">
        <v>742</v>
      </c>
      <c r="H69">
        <v>25</v>
      </c>
      <c r="I69" t="s">
        <v>1077</v>
      </c>
      <c r="J69" s="15">
        <v>46253.647222222222</v>
      </c>
      <c r="K69" s="15">
        <v>46255.477083333331</v>
      </c>
      <c r="L69" s="15"/>
      <c r="M69">
        <v>25</v>
      </c>
      <c r="O69" t="s">
        <v>201</v>
      </c>
      <c r="P69" t="s">
        <v>1956</v>
      </c>
      <c r="S69" t="s">
        <v>356</v>
      </c>
      <c r="T69" t="s">
        <v>369</v>
      </c>
      <c r="U69" t="s">
        <v>239</v>
      </c>
      <c r="V69" t="s">
        <v>348</v>
      </c>
      <c r="W69" t="s">
        <v>369</v>
      </c>
      <c r="X69" t="s">
        <v>239</v>
      </c>
      <c r="Y69">
        <v>0</v>
      </c>
      <c r="AA69" t="s">
        <v>90</v>
      </c>
      <c r="AB69" t="s">
        <v>356</v>
      </c>
      <c r="AC69">
        <v>109</v>
      </c>
      <c r="AD69" t="s">
        <v>217</v>
      </c>
      <c r="AE69">
        <v>2.5</v>
      </c>
      <c r="AF69">
        <v>1</v>
      </c>
    </row>
    <row r="70" spans="1:32" x14ac:dyDescent="0.3">
      <c r="A70" t="s">
        <v>348</v>
      </c>
      <c r="B70" t="s">
        <v>48</v>
      </c>
      <c r="C70" t="s">
        <v>68</v>
      </c>
      <c r="D70" t="s">
        <v>309</v>
      </c>
      <c r="E70" t="s">
        <v>748</v>
      </c>
      <c r="F70" s="15">
        <v>46252.581203703703</v>
      </c>
      <c r="G70" t="s">
        <v>742</v>
      </c>
      <c r="H70">
        <v>15</v>
      </c>
      <c r="I70" t="s">
        <v>1078</v>
      </c>
      <c r="J70" s="15">
        <v>46254.392361111109</v>
      </c>
      <c r="K70" s="15">
        <v>46255.477083333331</v>
      </c>
      <c r="L70" s="15"/>
      <c r="M70">
        <v>15</v>
      </c>
      <c r="O70" t="s">
        <v>201</v>
      </c>
      <c r="P70" t="s">
        <v>1956</v>
      </c>
      <c r="S70" t="s">
        <v>356</v>
      </c>
      <c r="T70" t="s">
        <v>369</v>
      </c>
      <c r="U70" t="s">
        <v>239</v>
      </c>
      <c r="V70" t="s">
        <v>348</v>
      </c>
      <c r="W70" t="s">
        <v>369</v>
      </c>
      <c r="X70" t="s">
        <v>239</v>
      </c>
      <c r="Y70">
        <v>0</v>
      </c>
      <c r="AA70" t="s">
        <v>90</v>
      </c>
      <c r="AB70" t="s">
        <v>356</v>
      </c>
      <c r="AC70">
        <v>109</v>
      </c>
      <c r="AD70" t="s">
        <v>217</v>
      </c>
      <c r="AE70">
        <v>1.5</v>
      </c>
    </row>
    <row r="71" spans="1:32" x14ac:dyDescent="0.3">
      <c r="A71" t="s">
        <v>348</v>
      </c>
      <c r="B71" t="s">
        <v>48</v>
      </c>
      <c r="C71" t="s">
        <v>68</v>
      </c>
      <c r="D71" t="s">
        <v>309</v>
      </c>
      <c r="E71" t="s">
        <v>1079</v>
      </c>
      <c r="F71" s="15">
        <v>46231.625231481485</v>
      </c>
      <c r="G71" t="s">
        <v>749</v>
      </c>
      <c r="H71">
        <v>10</v>
      </c>
      <c r="I71" t="s">
        <v>1080</v>
      </c>
      <c r="J71" s="15">
        <v>46234.652581018519</v>
      </c>
      <c r="K71" s="15">
        <v>46238.509722222225</v>
      </c>
      <c r="L71" s="15"/>
      <c r="M71">
        <v>10</v>
      </c>
      <c r="O71" t="s">
        <v>201</v>
      </c>
      <c r="P71" t="s">
        <v>1956</v>
      </c>
      <c r="S71" t="s">
        <v>356</v>
      </c>
      <c r="T71" t="s">
        <v>369</v>
      </c>
      <c r="U71" t="s">
        <v>239</v>
      </c>
      <c r="V71" t="s">
        <v>348</v>
      </c>
      <c r="W71" t="s">
        <v>369</v>
      </c>
      <c r="X71" t="s">
        <v>239</v>
      </c>
      <c r="Y71">
        <v>0</v>
      </c>
      <c r="AA71" t="s">
        <v>90</v>
      </c>
      <c r="AB71" t="s">
        <v>356</v>
      </c>
      <c r="AC71">
        <v>109</v>
      </c>
      <c r="AD71" t="s">
        <v>217</v>
      </c>
      <c r="AE71">
        <v>1</v>
      </c>
      <c r="AF71">
        <v>1</v>
      </c>
    </row>
    <row r="72" spans="1:32" x14ac:dyDescent="0.3">
      <c r="A72" t="s">
        <v>348</v>
      </c>
      <c r="B72" t="s">
        <v>48</v>
      </c>
      <c r="C72" t="s">
        <v>68</v>
      </c>
      <c r="D72" t="s">
        <v>309</v>
      </c>
      <c r="E72" t="s">
        <v>1081</v>
      </c>
      <c r="F72" s="15">
        <v>46227.725787037038</v>
      </c>
      <c r="G72" t="s">
        <v>403</v>
      </c>
      <c r="H72">
        <v>16</v>
      </c>
      <c r="I72" t="s">
        <v>1082</v>
      </c>
      <c r="J72" s="15">
        <v>46232.603437500002</v>
      </c>
      <c r="K72" s="15">
        <v>46234.413194444445</v>
      </c>
      <c r="L72" s="15"/>
      <c r="M72">
        <v>16</v>
      </c>
      <c r="O72" t="s">
        <v>201</v>
      </c>
      <c r="P72" t="s">
        <v>1956</v>
      </c>
      <c r="S72" t="s">
        <v>356</v>
      </c>
      <c r="T72" t="s">
        <v>369</v>
      </c>
      <c r="U72" t="s">
        <v>239</v>
      </c>
      <c r="V72" t="s">
        <v>348</v>
      </c>
      <c r="W72" t="s">
        <v>369</v>
      </c>
      <c r="X72" t="s">
        <v>239</v>
      </c>
      <c r="Y72">
        <v>0</v>
      </c>
      <c r="AA72" t="s">
        <v>90</v>
      </c>
      <c r="AB72" t="s">
        <v>356</v>
      </c>
      <c r="AC72">
        <v>109</v>
      </c>
      <c r="AD72" t="s">
        <v>217</v>
      </c>
      <c r="AE72">
        <v>1.6</v>
      </c>
      <c r="AF72">
        <v>1</v>
      </c>
    </row>
    <row r="73" spans="1:32" x14ac:dyDescent="0.3">
      <c r="A73" t="s">
        <v>348</v>
      </c>
      <c r="B73" t="s">
        <v>45</v>
      </c>
      <c r="C73" t="s">
        <v>68</v>
      </c>
      <c r="D73" t="s">
        <v>309</v>
      </c>
      <c r="E73" t="s">
        <v>1083</v>
      </c>
      <c r="F73" s="15">
        <v>46245.50304398148</v>
      </c>
      <c r="G73" t="s">
        <v>407</v>
      </c>
      <c r="H73">
        <v>5</v>
      </c>
      <c r="I73" t="s">
        <v>1084</v>
      </c>
      <c r="J73" s="15">
        <v>46245.540277777778</v>
      </c>
      <c r="K73" s="15">
        <v>46247.46875</v>
      </c>
      <c r="L73" s="15"/>
      <c r="M73">
        <v>5</v>
      </c>
      <c r="O73" t="s">
        <v>201</v>
      </c>
      <c r="P73" t="s">
        <v>1956</v>
      </c>
      <c r="S73" t="s">
        <v>464</v>
      </c>
      <c r="T73" t="s">
        <v>369</v>
      </c>
      <c r="U73" t="s">
        <v>239</v>
      </c>
      <c r="V73" t="s">
        <v>348</v>
      </c>
      <c r="W73" t="s">
        <v>369</v>
      </c>
      <c r="X73" t="s">
        <v>239</v>
      </c>
      <c r="AA73" t="s">
        <v>67</v>
      </c>
      <c r="AB73" t="s">
        <v>464</v>
      </c>
      <c r="AC73">
        <v>288</v>
      </c>
      <c r="AD73" t="s">
        <v>217</v>
      </c>
      <c r="AE73">
        <v>1</v>
      </c>
      <c r="AF73">
        <v>1</v>
      </c>
    </row>
    <row r="74" spans="1:32" x14ac:dyDescent="0.3">
      <c r="A74" t="s">
        <v>348</v>
      </c>
      <c r="B74" t="s">
        <v>45</v>
      </c>
      <c r="C74" t="s">
        <v>68</v>
      </c>
      <c r="D74" t="s">
        <v>309</v>
      </c>
      <c r="E74" t="s">
        <v>1085</v>
      </c>
      <c r="F74" s="15">
        <v>46245.502650462964</v>
      </c>
      <c r="G74" t="s">
        <v>407</v>
      </c>
      <c r="H74">
        <v>11</v>
      </c>
      <c r="I74" t="s">
        <v>1086</v>
      </c>
      <c r="J74" s="15">
        <v>46245.53125</v>
      </c>
      <c r="K74" s="15">
        <v>46247.46875</v>
      </c>
      <c r="L74" s="15"/>
      <c r="M74">
        <v>11</v>
      </c>
      <c r="O74" t="s">
        <v>201</v>
      </c>
      <c r="P74" t="s">
        <v>1956</v>
      </c>
      <c r="S74" t="s">
        <v>464</v>
      </c>
      <c r="T74" t="s">
        <v>369</v>
      </c>
      <c r="U74" t="s">
        <v>239</v>
      </c>
      <c r="V74" t="s">
        <v>348</v>
      </c>
      <c r="W74" t="s">
        <v>369</v>
      </c>
      <c r="X74" t="s">
        <v>239</v>
      </c>
      <c r="AA74" t="s">
        <v>67</v>
      </c>
      <c r="AB74" t="s">
        <v>464</v>
      </c>
      <c r="AC74">
        <v>288</v>
      </c>
      <c r="AD74" t="s">
        <v>217</v>
      </c>
      <c r="AE74">
        <v>1.1000000000000001</v>
      </c>
    </row>
    <row r="75" spans="1:32" x14ac:dyDescent="0.3">
      <c r="A75" t="s">
        <v>348</v>
      </c>
      <c r="B75" t="s">
        <v>48</v>
      </c>
      <c r="C75" t="s">
        <v>68</v>
      </c>
      <c r="D75" t="s">
        <v>309</v>
      </c>
      <c r="E75" t="s">
        <v>1087</v>
      </c>
      <c r="F75" s="15">
        <v>46252.486481481479</v>
      </c>
      <c r="G75" t="s">
        <v>407</v>
      </c>
      <c r="H75">
        <v>5</v>
      </c>
      <c r="I75" t="s">
        <v>1088</v>
      </c>
      <c r="J75" s="15">
        <v>46253.540277777778</v>
      </c>
      <c r="K75" s="15">
        <v>46254.458333333336</v>
      </c>
      <c r="L75" s="15"/>
      <c r="M75">
        <v>5</v>
      </c>
      <c r="O75" t="s">
        <v>201</v>
      </c>
      <c r="P75" t="s">
        <v>1954</v>
      </c>
      <c r="S75" t="s">
        <v>464</v>
      </c>
      <c r="T75" t="s">
        <v>369</v>
      </c>
      <c r="U75" t="s">
        <v>239</v>
      </c>
      <c r="V75" t="s">
        <v>348</v>
      </c>
      <c r="W75" t="s">
        <v>369</v>
      </c>
      <c r="X75" t="s">
        <v>239</v>
      </c>
      <c r="AA75" t="s">
        <v>90</v>
      </c>
      <c r="AB75" t="s">
        <v>464</v>
      </c>
      <c r="AC75">
        <v>288</v>
      </c>
      <c r="AD75" t="s">
        <v>217</v>
      </c>
      <c r="AE75">
        <v>1</v>
      </c>
      <c r="AF75">
        <v>1</v>
      </c>
    </row>
    <row r="76" spans="1:32" x14ac:dyDescent="0.3">
      <c r="A76" t="s">
        <v>348</v>
      </c>
      <c r="B76" t="s">
        <v>48</v>
      </c>
      <c r="C76" t="s">
        <v>68</v>
      </c>
      <c r="D76" t="s">
        <v>309</v>
      </c>
      <c r="E76" t="s">
        <v>1089</v>
      </c>
      <c r="F76" s="15">
        <v>46231.743472222224</v>
      </c>
      <c r="G76" t="s">
        <v>402</v>
      </c>
      <c r="H76">
        <v>1</v>
      </c>
      <c r="I76" t="s">
        <v>1090</v>
      </c>
      <c r="J76" s="15">
        <v>46239.520138888889</v>
      </c>
      <c r="K76" s="15">
        <v>46240.513194444444</v>
      </c>
      <c r="L76" s="15"/>
      <c r="M76">
        <v>1</v>
      </c>
      <c r="O76" t="s">
        <v>201</v>
      </c>
      <c r="P76" t="s">
        <v>1956</v>
      </c>
      <c r="S76" t="s">
        <v>355</v>
      </c>
      <c r="T76" t="s">
        <v>369</v>
      </c>
      <c r="U76" t="s">
        <v>239</v>
      </c>
      <c r="V76" t="s">
        <v>348</v>
      </c>
      <c r="W76" t="s">
        <v>369</v>
      </c>
      <c r="X76" t="s">
        <v>239</v>
      </c>
      <c r="Y76">
        <v>0</v>
      </c>
      <c r="AA76" t="s">
        <v>90</v>
      </c>
      <c r="AB76" t="s">
        <v>355</v>
      </c>
      <c r="AC76">
        <v>2200</v>
      </c>
      <c r="AD76" t="s">
        <v>217</v>
      </c>
      <c r="AE76">
        <v>1</v>
      </c>
      <c r="AF76">
        <v>1</v>
      </c>
    </row>
    <row r="77" spans="1:32" x14ac:dyDescent="0.3">
      <c r="A77" t="s">
        <v>348</v>
      </c>
      <c r="B77" t="s">
        <v>48</v>
      </c>
      <c r="C77" t="s">
        <v>68</v>
      </c>
      <c r="D77" t="s">
        <v>309</v>
      </c>
      <c r="E77" t="s">
        <v>1091</v>
      </c>
      <c r="F77" s="15">
        <v>46231.307928240742</v>
      </c>
      <c r="G77" t="s">
        <v>401</v>
      </c>
      <c r="H77">
        <v>1</v>
      </c>
      <c r="I77" t="s">
        <v>1092</v>
      </c>
      <c r="J77" s="15">
        <v>46231.367361111108</v>
      </c>
      <c r="K77" s="15">
        <v>46232.486111111109</v>
      </c>
      <c r="L77" s="15"/>
      <c r="M77">
        <v>1</v>
      </c>
      <c r="O77" t="s">
        <v>201</v>
      </c>
      <c r="P77" t="s">
        <v>1956</v>
      </c>
      <c r="S77" t="s">
        <v>357</v>
      </c>
      <c r="T77" t="s">
        <v>369</v>
      </c>
      <c r="U77" t="s">
        <v>239</v>
      </c>
      <c r="V77" t="s">
        <v>348</v>
      </c>
      <c r="W77" t="s">
        <v>369</v>
      </c>
      <c r="X77" t="s">
        <v>239</v>
      </c>
      <c r="Y77">
        <v>0</v>
      </c>
      <c r="AA77" t="s">
        <v>90</v>
      </c>
      <c r="AB77" t="s">
        <v>357</v>
      </c>
      <c r="AC77">
        <v>101</v>
      </c>
      <c r="AD77" t="s">
        <v>217</v>
      </c>
      <c r="AE77">
        <v>1</v>
      </c>
      <c r="AF77">
        <v>1</v>
      </c>
    </row>
    <row r="78" spans="1:32" x14ac:dyDescent="0.3">
      <c r="A78" t="s">
        <v>348</v>
      </c>
      <c r="B78" t="s">
        <v>48</v>
      </c>
      <c r="C78" t="s">
        <v>68</v>
      </c>
      <c r="D78" t="s">
        <v>309</v>
      </c>
      <c r="E78" t="s">
        <v>1093</v>
      </c>
      <c r="F78" s="15">
        <v>46227.576932870368</v>
      </c>
      <c r="G78" t="s">
        <v>402</v>
      </c>
      <c r="H78">
        <v>1</v>
      </c>
      <c r="I78" t="s">
        <v>1094</v>
      </c>
      <c r="J78" s="15">
        <v>46233.393819444442</v>
      </c>
      <c r="K78" s="15">
        <v>46234.439583333333</v>
      </c>
      <c r="L78" s="15"/>
      <c r="M78">
        <v>1</v>
      </c>
      <c r="O78" t="s">
        <v>201</v>
      </c>
      <c r="P78" t="s">
        <v>1956</v>
      </c>
      <c r="S78" t="s">
        <v>354</v>
      </c>
      <c r="T78" t="s">
        <v>369</v>
      </c>
      <c r="U78" t="s">
        <v>239</v>
      </c>
      <c r="V78" t="s">
        <v>348</v>
      </c>
      <c r="W78" t="s">
        <v>369</v>
      </c>
      <c r="X78" t="s">
        <v>239</v>
      </c>
      <c r="Y78">
        <v>0</v>
      </c>
      <c r="AA78" t="s">
        <v>90</v>
      </c>
      <c r="AB78" t="s">
        <v>354</v>
      </c>
      <c r="AC78">
        <v>50</v>
      </c>
      <c r="AD78" t="s">
        <v>217</v>
      </c>
      <c r="AE78">
        <v>1</v>
      </c>
      <c r="AF78">
        <v>1</v>
      </c>
    </row>
    <row r="79" spans="1:32" x14ac:dyDescent="0.3">
      <c r="A79" t="s">
        <v>348</v>
      </c>
      <c r="B79" t="s">
        <v>57</v>
      </c>
      <c r="C79" t="s">
        <v>117</v>
      </c>
      <c r="D79" t="s">
        <v>309</v>
      </c>
      <c r="E79" t="s">
        <v>741</v>
      </c>
      <c r="F79" s="15">
        <v>46248.437847222223</v>
      </c>
      <c r="G79" t="s">
        <v>401</v>
      </c>
      <c r="H79">
        <v>1</v>
      </c>
      <c r="I79" t="s">
        <v>1095</v>
      </c>
      <c r="J79" s="15">
        <v>46248.662499999999</v>
      </c>
      <c r="K79" s="15">
        <v>46253.628472222219</v>
      </c>
      <c r="L79" s="15"/>
      <c r="M79">
        <v>1</v>
      </c>
      <c r="O79" t="s">
        <v>201</v>
      </c>
      <c r="P79" t="s">
        <v>1954</v>
      </c>
      <c r="S79" t="s">
        <v>357</v>
      </c>
      <c r="T79" t="s">
        <v>369</v>
      </c>
      <c r="U79" t="s">
        <v>239</v>
      </c>
      <c r="V79" t="s">
        <v>7</v>
      </c>
      <c r="W79" t="s">
        <v>7</v>
      </c>
      <c r="X79" t="s">
        <v>7</v>
      </c>
      <c r="AA79" t="s">
        <v>127</v>
      </c>
      <c r="AB79" t="s">
        <v>357</v>
      </c>
      <c r="AC79">
        <v>101</v>
      </c>
      <c r="AD79" t="s">
        <v>233</v>
      </c>
      <c r="AE79">
        <v>1</v>
      </c>
      <c r="AF79">
        <v>1</v>
      </c>
    </row>
    <row r="80" spans="1:32" x14ac:dyDescent="0.3">
      <c r="A80" t="s">
        <v>348</v>
      </c>
      <c r="B80" t="s">
        <v>57</v>
      </c>
      <c r="C80" t="s">
        <v>117</v>
      </c>
      <c r="D80" t="s">
        <v>309</v>
      </c>
      <c r="E80" t="s">
        <v>1096</v>
      </c>
      <c r="F80" s="15">
        <v>46239.634884259256</v>
      </c>
      <c r="G80" t="s">
        <v>401</v>
      </c>
      <c r="H80">
        <v>1</v>
      </c>
      <c r="I80" t="s">
        <v>1097</v>
      </c>
      <c r="J80" s="15">
        <v>46240.408333333333</v>
      </c>
      <c r="K80" s="15">
        <v>46246.645833333336</v>
      </c>
      <c r="L80" s="15"/>
      <c r="M80">
        <v>1</v>
      </c>
      <c r="O80" t="s">
        <v>201</v>
      </c>
      <c r="P80" t="s">
        <v>1954</v>
      </c>
      <c r="S80" t="s">
        <v>357</v>
      </c>
      <c r="T80" t="s">
        <v>369</v>
      </c>
      <c r="U80" t="s">
        <v>239</v>
      </c>
      <c r="V80" t="s">
        <v>7</v>
      </c>
      <c r="W80" t="s">
        <v>7</v>
      </c>
      <c r="X80" t="s">
        <v>7</v>
      </c>
      <c r="AA80" t="s">
        <v>127</v>
      </c>
      <c r="AB80" t="s">
        <v>357</v>
      </c>
      <c r="AC80">
        <v>101</v>
      </c>
      <c r="AD80" t="s">
        <v>233</v>
      </c>
      <c r="AE80">
        <v>1</v>
      </c>
      <c r="AF80">
        <v>1</v>
      </c>
    </row>
    <row r="81" spans="1:32" x14ac:dyDescent="0.3">
      <c r="A81" t="s">
        <v>348</v>
      </c>
      <c r="B81" t="s">
        <v>57</v>
      </c>
      <c r="C81" t="s">
        <v>117</v>
      </c>
      <c r="D81" t="s">
        <v>309</v>
      </c>
      <c r="E81" t="s">
        <v>1098</v>
      </c>
      <c r="F81" s="15">
        <v>46245.601261574076</v>
      </c>
      <c r="G81" t="s">
        <v>405</v>
      </c>
      <c r="H81">
        <v>1</v>
      </c>
      <c r="I81" t="s">
        <v>1099</v>
      </c>
      <c r="J81" s="15">
        <v>46246.638194444444</v>
      </c>
      <c r="K81" s="15">
        <v>46252.386805555558</v>
      </c>
      <c r="L81" s="15"/>
      <c r="M81">
        <v>1</v>
      </c>
      <c r="O81" t="s">
        <v>201</v>
      </c>
      <c r="P81" t="s">
        <v>1954</v>
      </c>
      <c r="S81" t="s">
        <v>355</v>
      </c>
      <c r="T81" t="s">
        <v>369</v>
      </c>
      <c r="U81" t="s">
        <v>239</v>
      </c>
      <c r="V81" t="s">
        <v>7</v>
      </c>
      <c r="W81" t="s">
        <v>7</v>
      </c>
      <c r="X81" t="s">
        <v>7</v>
      </c>
      <c r="AA81" t="s">
        <v>127</v>
      </c>
      <c r="AB81" t="s">
        <v>355</v>
      </c>
      <c r="AC81">
        <v>2200</v>
      </c>
      <c r="AD81" t="s">
        <v>233</v>
      </c>
      <c r="AE81">
        <v>1</v>
      </c>
      <c r="AF81">
        <v>1</v>
      </c>
    </row>
    <row r="82" spans="1:32" x14ac:dyDescent="0.3">
      <c r="A82" t="s">
        <v>348</v>
      </c>
      <c r="B82" t="s">
        <v>57</v>
      </c>
      <c r="C82" t="s">
        <v>117</v>
      </c>
      <c r="D82" t="s">
        <v>309</v>
      </c>
      <c r="E82" t="s">
        <v>1100</v>
      </c>
      <c r="F82" s="15">
        <v>46245.375648148147</v>
      </c>
      <c r="G82" t="s">
        <v>402</v>
      </c>
      <c r="H82">
        <v>5</v>
      </c>
      <c r="I82" t="s">
        <v>1101</v>
      </c>
      <c r="J82" s="15">
        <v>46246.395138888889</v>
      </c>
      <c r="K82" s="15">
        <v>46248.681250000001</v>
      </c>
      <c r="L82" s="15"/>
      <c r="M82">
        <v>5</v>
      </c>
      <c r="O82" t="s">
        <v>201</v>
      </c>
      <c r="P82" t="s">
        <v>1954</v>
      </c>
      <c r="S82" t="s">
        <v>355</v>
      </c>
      <c r="T82" t="s">
        <v>369</v>
      </c>
      <c r="U82" t="s">
        <v>239</v>
      </c>
      <c r="V82" t="s">
        <v>7</v>
      </c>
      <c r="W82" t="s">
        <v>7</v>
      </c>
      <c r="X82" t="s">
        <v>7</v>
      </c>
      <c r="AA82" t="s">
        <v>127</v>
      </c>
      <c r="AB82" t="s">
        <v>355</v>
      </c>
      <c r="AC82">
        <v>2200</v>
      </c>
      <c r="AD82" t="s">
        <v>233</v>
      </c>
      <c r="AE82">
        <v>1</v>
      </c>
      <c r="AF82">
        <v>1</v>
      </c>
    </row>
    <row r="83" spans="1:32" x14ac:dyDescent="0.3">
      <c r="A83" t="s">
        <v>348</v>
      </c>
      <c r="B83" t="s">
        <v>57</v>
      </c>
      <c r="C83" t="s">
        <v>117</v>
      </c>
      <c r="D83" t="s">
        <v>309</v>
      </c>
      <c r="E83" t="s">
        <v>1102</v>
      </c>
      <c r="F83" s="15">
        <v>46239.715613425928</v>
      </c>
      <c r="G83" t="s">
        <v>402</v>
      </c>
      <c r="H83">
        <v>3</v>
      </c>
      <c r="I83" t="s">
        <v>1103</v>
      </c>
      <c r="J83" s="15">
        <v>46241.71597222222</v>
      </c>
      <c r="K83" s="15">
        <v>46246.671527777777</v>
      </c>
      <c r="L83" s="15"/>
      <c r="M83">
        <v>3</v>
      </c>
      <c r="O83" t="s">
        <v>201</v>
      </c>
      <c r="P83" t="s">
        <v>1954</v>
      </c>
      <c r="S83" t="s">
        <v>355</v>
      </c>
      <c r="T83" t="s">
        <v>369</v>
      </c>
      <c r="U83" t="s">
        <v>239</v>
      </c>
      <c r="V83" t="s">
        <v>7</v>
      </c>
      <c r="W83" t="s">
        <v>7</v>
      </c>
      <c r="X83" t="s">
        <v>7</v>
      </c>
      <c r="AA83" t="s">
        <v>127</v>
      </c>
      <c r="AB83" t="s">
        <v>355</v>
      </c>
      <c r="AC83">
        <v>2200</v>
      </c>
      <c r="AD83" t="s">
        <v>233</v>
      </c>
      <c r="AE83">
        <v>1</v>
      </c>
      <c r="AF83">
        <v>1</v>
      </c>
    </row>
    <row r="84" spans="1:32" x14ac:dyDescent="0.3">
      <c r="A84" t="s">
        <v>348</v>
      </c>
      <c r="B84" t="s">
        <v>57</v>
      </c>
      <c r="C84" t="s">
        <v>117</v>
      </c>
      <c r="D84" t="s">
        <v>309</v>
      </c>
      <c r="E84" t="s">
        <v>1104</v>
      </c>
      <c r="F84" s="15">
        <v>46238.474398148152</v>
      </c>
      <c r="G84" t="s">
        <v>402</v>
      </c>
      <c r="H84">
        <v>1</v>
      </c>
      <c r="I84" t="s">
        <v>1105</v>
      </c>
      <c r="J84" s="15">
        <v>46238.659722222219</v>
      </c>
      <c r="K84" s="15">
        <v>46241.456944444442</v>
      </c>
      <c r="L84" s="15"/>
      <c r="M84">
        <v>1</v>
      </c>
      <c r="O84" t="s">
        <v>201</v>
      </c>
      <c r="P84" t="s">
        <v>1954</v>
      </c>
      <c r="S84" t="s">
        <v>355</v>
      </c>
      <c r="T84" t="s">
        <v>369</v>
      </c>
      <c r="U84" t="s">
        <v>239</v>
      </c>
      <c r="V84" t="s">
        <v>7</v>
      </c>
      <c r="W84" t="s">
        <v>7</v>
      </c>
      <c r="X84" t="s">
        <v>7</v>
      </c>
      <c r="AA84" t="s">
        <v>127</v>
      </c>
      <c r="AB84" t="s">
        <v>355</v>
      </c>
      <c r="AC84">
        <v>2200</v>
      </c>
      <c r="AD84" t="s">
        <v>233</v>
      </c>
      <c r="AE84">
        <v>1</v>
      </c>
      <c r="AF84">
        <v>1</v>
      </c>
    </row>
    <row r="85" spans="1:32" x14ac:dyDescent="0.3">
      <c r="A85" t="s">
        <v>348</v>
      </c>
      <c r="B85" t="s">
        <v>57</v>
      </c>
      <c r="C85" t="s">
        <v>117</v>
      </c>
      <c r="D85" t="s">
        <v>309</v>
      </c>
      <c r="E85" t="s">
        <v>1106</v>
      </c>
      <c r="F85" s="15">
        <v>46244.43917824074</v>
      </c>
      <c r="G85" t="s">
        <v>406</v>
      </c>
      <c r="H85">
        <v>1</v>
      </c>
      <c r="I85" t="s">
        <v>1107</v>
      </c>
      <c r="J85" s="15">
        <v>46245.671527777777</v>
      </c>
      <c r="K85" s="15">
        <v>46251.602083333331</v>
      </c>
      <c r="L85" s="15"/>
      <c r="M85">
        <v>1</v>
      </c>
      <c r="O85" t="s">
        <v>201</v>
      </c>
      <c r="P85" t="s">
        <v>1954</v>
      </c>
      <c r="S85" t="s">
        <v>354</v>
      </c>
      <c r="T85" t="s">
        <v>369</v>
      </c>
      <c r="U85" t="s">
        <v>239</v>
      </c>
      <c r="V85" t="s">
        <v>7</v>
      </c>
      <c r="W85" t="s">
        <v>7</v>
      </c>
      <c r="X85" t="s">
        <v>7</v>
      </c>
      <c r="AA85" t="s">
        <v>127</v>
      </c>
      <c r="AB85" t="s">
        <v>354</v>
      </c>
      <c r="AC85">
        <v>50</v>
      </c>
      <c r="AD85" t="s">
        <v>233</v>
      </c>
      <c r="AE85">
        <v>1</v>
      </c>
      <c r="AF85">
        <v>1</v>
      </c>
    </row>
    <row r="86" spans="1:32" x14ac:dyDescent="0.3">
      <c r="A86" t="s">
        <v>348</v>
      </c>
      <c r="B86" t="s">
        <v>57</v>
      </c>
      <c r="C86" t="s">
        <v>117</v>
      </c>
      <c r="D86" t="s">
        <v>309</v>
      </c>
      <c r="E86" t="s">
        <v>1106</v>
      </c>
      <c r="F86" s="15">
        <v>46244.43917824074</v>
      </c>
      <c r="G86" t="s">
        <v>406</v>
      </c>
      <c r="H86">
        <v>2</v>
      </c>
      <c r="I86" t="s">
        <v>1107</v>
      </c>
      <c r="J86" s="15">
        <v>46245.671527777777</v>
      </c>
      <c r="K86" s="15">
        <v>46251.602083333331</v>
      </c>
      <c r="L86" s="15"/>
      <c r="M86">
        <v>2</v>
      </c>
      <c r="O86" t="s">
        <v>1958</v>
      </c>
      <c r="S86" t="s">
        <v>354</v>
      </c>
      <c r="T86" t="s">
        <v>369</v>
      </c>
      <c r="U86" t="s">
        <v>239</v>
      </c>
      <c r="V86" t="s">
        <v>7</v>
      </c>
      <c r="W86" t="s">
        <v>7</v>
      </c>
      <c r="X86" t="s">
        <v>7</v>
      </c>
      <c r="AA86" t="s">
        <v>127</v>
      </c>
      <c r="AB86" t="s">
        <v>354</v>
      </c>
      <c r="AC86">
        <v>50</v>
      </c>
      <c r="AD86" t="s">
        <v>233</v>
      </c>
      <c r="AE86">
        <v>1</v>
      </c>
    </row>
    <row r="87" spans="1:32" x14ac:dyDescent="0.3">
      <c r="A87" t="s">
        <v>348</v>
      </c>
      <c r="B87" t="s">
        <v>57</v>
      </c>
      <c r="C87" t="s">
        <v>117</v>
      </c>
      <c r="D87" t="s">
        <v>309</v>
      </c>
      <c r="E87" t="s">
        <v>1106</v>
      </c>
      <c r="F87" s="15">
        <v>46244.43917824074</v>
      </c>
      <c r="G87" t="s">
        <v>406</v>
      </c>
      <c r="H87">
        <v>4</v>
      </c>
      <c r="I87" t="s">
        <v>1107</v>
      </c>
      <c r="J87" s="15">
        <v>46245.671527777777</v>
      </c>
      <c r="K87" s="15">
        <v>46251.602083333331</v>
      </c>
      <c r="L87" s="15"/>
      <c r="M87">
        <v>4</v>
      </c>
      <c r="O87" t="s">
        <v>1958</v>
      </c>
      <c r="S87" t="s">
        <v>354</v>
      </c>
      <c r="T87" t="s">
        <v>369</v>
      </c>
      <c r="U87" t="s">
        <v>239</v>
      </c>
      <c r="V87" t="s">
        <v>7</v>
      </c>
      <c r="W87" t="s">
        <v>7</v>
      </c>
      <c r="X87" t="s">
        <v>7</v>
      </c>
      <c r="AA87" t="s">
        <v>127</v>
      </c>
      <c r="AB87" t="s">
        <v>354</v>
      </c>
      <c r="AC87">
        <v>50</v>
      </c>
      <c r="AD87" t="s">
        <v>233</v>
      </c>
      <c r="AE87">
        <v>1</v>
      </c>
    </row>
    <row r="88" spans="1:32" x14ac:dyDescent="0.3">
      <c r="A88" t="s">
        <v>348</v>
      </c>
      <c r="B88" t="s">
        <v>57</v>
      </c>
      <c r="C88" t="s">
        <v>117</v>
      </c>
      <c r="D88" t="s">
        <v>309</v>
      </c>
      <c r="E88" t="s">
        <v>1106</v>
      </c>
      <c r="F88" s="15">
        <v>46244.43917824074</v>
      </c>
      <c r="G88" t="s">
        <v>406</v>
      </c>
      <c r="H88">
        <v>1</v>
      </c>
      <c r="I88" t="s">
        <v>1107</v>
      </c>
      <c r="J88" s="15">
        <v>46245.671527777777</v>
      </c>
      <c r="K88" s="15">
        <v>46251.602083333331</v>
      </c>
      <c r="L88" s="15"/>
      <c r="M88">
        <v>1</v>
      </c>
      <c r="O88" t="s">
        <v>1958</v>
      </c>
      <c r="S88" t="s">
        <v>354</v>
      </c>
      <c r="T88" t="s">
        <v>369</v>
      </c>
      <c r="U88" t="s">
        <v>239</v>
      </c>
      <c r="V88" t="s">
        <v>7</v>
      </c>
      <c r="W88" t="s">
        <v>7</v>
      </c>
      <c r="X88" t="s">
        <v>7</v>
      </c>
      <c r="AA88" t="s">
        <v>127</v>
      </c>
      <c r="AB88" t="s">
        <v>354</v>
      </c>
      <c r="AC88">
        <v>50</v>
      </c>
      <c r="AD88" t="s">
        <v>233</v>
      </c>
      <c r="AE88">
        <v>1</v>
      </c>
    </row>
    <row r="89" spans="1:32" x14ac:dyDescent="0.3">
      <c r="A89" t="s">
        <v>348</v>
      </c>
      <c r="B89" t="s">
        <v>57</v>
      </c>
      <c r="C89" t="s">
        <v>117</v>
      </c>
      <c r="D89" t="s">
        <v>309</v>
      </c>
      <c r="E89" t="s">
        <v>1106</v>
      </c>
      <c r="F89" s="15">
        <v>46244.43917824074</v>
      </c>
      <c r="G89" t="s">
        <v>406</v>
      </c>
      <c r="H89">
        <v>3</v>
      </c>
      <c r="I89" t="s">
        <v>1107</v>
      </c>
      <c r="J89" s="15">
        <v>46245.671527777777</v>
      </c>
      <c r="K89" s="15">
        <v>46251.602083333331</v>
      </c>
      <c r="L89" s="15"/>
      <c r="M89">
        <v>3</v>
      </c>
      <c r="O89" t="s">
        <v>1958</v>
      </c>
      <c r="S89" t="s">
        <v>354</v>
      </c>
      <c r="T89" t="s">
        <v>369</v>
      </c>
      <c r="U89" t="s">
        <v>239</v>
      </c>
      <c r="V89" t="s">
        <v>7</v>
      </c>
      <c r="W89" t="s">
        <v>7</v>
      </c>
      <c r="X89" t="s">
        <v>7</v>
      </c>
      <c r="AA89" t="s">
        <v>127</v>
      </c>
      <c r="AB89" t="s">
        <v>354</v>
      </c>
      <c r="AC89">
        <v>50</v>
      </c>
      <c r="AD89" t="s">
        <v>233</v>
      </c>
      <c r="AE89">
        <v>1</v>
      </c>
    </row>
    <row r="90" spans="1:32" x14ac:dyDescent="0.3">
      <c r="A90" t="s">
        <v>348</v>
      </c>
      <c r="B90" t="s">
        <v>57</v>
      </c>
      <c r="C90" t="s">
        <v>117</v>
      </c>
      <c r="D90" t="s">
        <v>309</v>
      </c>
      <c r="E90" t="s">
        <v>1106</v>
      </c>
      <c r="F90" s="15">
        <v>46244.43917824074</v>
      </c>
      <c r="G90" t="s">
        <v>406</v>
      </c>
      <c r="H90">
        <v>4</v>
      </c>
      <c r="I90" t="s">
        <v>1107</v>
      </c>
      <c r="J90" s="15">
        <v>46245.671527777777</v>
      </c>
      <c r="K90" s="15">
        <v>46251.602083333331</v>
      </c>
      <c r="L90" s="15"/>
      <c r="M90">
        <v>4</v>
      </c>
      <c r="O90" t="s">
        <v>1958</v>
      </c>
      <c r="S90" t="s">
        <v>354</v>
      </c>
      <c r="T90" t="s">
        <v>369</v>
      </c>
      <c r="U90" t="s">
        <v>239</v>
      </c>
      <c r="V90" t="s">
        <v>7</v>
      </c>
      <c r="W90" t="s">
        <v>7</v>
      </c>
      <c r="X90" t="s">
        <v>7</v>
      </c>
      <c r="AA90" t="s">
        <v>127</v>
      </c>
      <c r="AB90" t="s">
        <v>354</v>
      </c>
      <c r="AC90">
        <v>50</v>
      </c>
      <c r="AD90" t="s">
        <v>233</v>
      </c>
      <c r="AE90">
        <v>1</v>
      </c>
    </row>
    <row r="91" spans="1:32" x14ac:dyDescent="0.3">
      <c r="A91" t="s">
        <v>348</v>
      </c>
      <c r="B91" t="s">
        <v>57</v>
      </c>
      <c r="C91" t="s">
        <v>117</v>
      </c>
      <c r="D91" t="s">
        <v>309</v>
      </c>
      <c r="E91" t="s">
        <v>1106</v>
      </c>
      <c r="F91" s="15">
        <v>46244.43917824074</v>
      </c>
      <c r="G91" t="s">
        <v>406</v>
      </c>
      <c r="H91">
        <v>2</v>
      </c>
      <c r="I91" t="s">
        <v>1107</v>
      </c>
      <c r="J91" s="15">
        <v>46245.671527777777</v>
      </c>
      <c r="K91" s="15">
        <v>46251.602083333331</v>
      </c>
      <c r="L91" s="15"/>
      <c r="M91">
        <v>2</v>
      </c>
      <c r="O91" t="s">
        <v>1958</v>
      </c>
      <c r="S91" t="s">
        <v>354</v>
      </c>
      <c r="T91" t="s">
        <v>369</v>
      </c>
      <c r="U91" t="s">
        <v>239</v>
      </c>
      <c r="V91" t="s">
        <v>7</v>
      </c>
      <c r="W91" t="s">
        <v>7</v>
      </c>
      <c r="X91" t="s">
        <v>7</v>
      </c>
      <c r="AA91" t="s">
        <v>127</v>
      </c>
      <c r="AB91" t="s">
        <v>354</v>
      </c>
      <c r="AC91">
        <v>50</v>
      </c>
      <c r="AD91" t="s">
        <v>233</v>
      </c>
      <c r="AE91">
        <v>1</v>
      </c>
    </row>
    <row r="92" spans="1:32" x14ac:dyDescent="0.3">
      <c r="A92" t="s">
        <v>348</v>
      </c>
      <c r="B92" t="s">
        <v>57</v>
      </c>
      <c r="C92" t="s">
        <v>117</v>
      </c>
      <c r="D92" t="s">
        <v>309</v>
      </c>
      <c r="E92" t="s">
        <v>1106</v>
      </c>
      <c r="F92" s="15">
        <v>46244.43917824074</v>
      </c>
      <c r="G92" t="s">
        <v>406</v>
      </c>
      <c r="H92">
        <v>2</v>
      </c>
      <c r="I92" t="s">
        <v>1107</v>
      </c>
      <c r="J92" s="15">
        <v>46245.671527777777</v>
      </c>
      <c r="K92" s="15">
        <v>46251.602083333331</v>
      </c>
      <c r="L92" s="15"/>
      <c r="M92">
        <v>2</v>
      </c>
      <c r="O92" t="s">
        <v>1958</v>
      </c>
      <c r="S92" t="s">
        <v>354</v>
      </c>
      <c r="T92" t="s">
        <v>369</v>
      </c>
      <c r="U92" t="s">
        <v>239</v>
      </c>
      <c r="V92" t="s">
        <v>7</v>
      </c>
      <c r="W92" t="s">
        <v>7</v>
      </c>
      <c r="X92" t="s">
        <v>7</v>
      </c>
      <c r="AA92" t="s">
        <v>127</v>
      </c>
      <c r="AB92" t="s">
        <v>354</v>
      </c>
      <c r="AC92">
        <v>50</v>
      </c>
      <c r="AD92" t="s">
        <v>233</v>
      </c>
      <c r="AE92">
        <v>1</v>
      </c>
    </row>
    <row r="93" spans="1:32" x14ac:dyDescent="0.3">
      <c r="A93" t="s">
        <v>348</v>
      </c>
      <c r="B93" t="s">
        <v>57</v>
      </c>
      <c r="C93" t="s">
        <v>117</v>
      </c>
      <c r="D93" t="s">
        <v>309</v>
      </c>
      <c r="E93" t="s">
        <v>1106</v>
      </c>
      <c r="F93" s="15">
        <v>46244.43917824074</v>
      </c>
      <c r="G93" t="s">
        <v>406</v>
      </c>
      <c r="H93">
        <v>2</v>
      </c>
      <c r="I93" t="s">
        <v>1107</v>
      </c>
      <c r="J93" s="15">
        <v>46245.671527777777</v>
      </c>
      <c r="K93" s="15">
        <v>46251.602083333331</v>
      </c>
      <c r="L93" s="15"/>
      <c r="M93">
        <v>2</v>
      </c>
      <c r="O93" t="s">
        <v>1958</v>
      </c>
      <c r="S93" t="s">
        <v>354</v>
      </c>
      <c r="T93" t="s">
        <v>369</v>
      </c>
      <c r="U93" t="s">
        <v>239</v>
      </c>
      <c r="V93" t="s">
        <v>7</v>
      </c>
      <c r="W93" t="s">
        <v>7</v>
      </c>
      <c r="X93" t="s">
        <v>7</v>
      </c>
      <c r="AA93" t="s">
        <v>127</v>
      </c>
      <c r="AB93" t="s">
        <v>354</v>
      </c>
      <c r="AC93">
        <v>50</v>
      </c>
      <c r="AD93" t="s">
        <v>233</v>
      </c>
      <c r="AE93">
        <v>1</v>
      </c>
    </row>
    <row r="94" spans="1:32" x14ac:dyDescent="0.3">
      <c r="A94" t="s">
        <v>348</v>
      </c>
      <c r="B94" t="s">
        <v>57</v>
      </c>
      <c r="C94" t="s">
        <v>117</v>
      </c>
      <c r="D94" t="s">
        <v>309</v>
      </c>
      <c r="E94" t="s">
        <v>1108</v>
      </c>
      <c r="F94" s="15">
        <v>46244.468541666669</v>
      </c>
      <c r="G94" t="s">
        <v>399</v>
      </c>
      <c r="H94">
        <v>1</v>
      </c>
      <c r="I94" t="s">
        <v>1109</v>
      </c>
      <c r="J94" s="15">
        <v>46244.694444444445</v>
      </c>
      <c r="K94" s="15">
        <v>46248.702777777777</v>
      </c>
      <c r="L94" s="15"/>
      <c r="M94">
        <v>1</v>
      </c>
      <c r="O94" t="s">
        <v>201</v>
      </c>
      <c r="P94" t="s">
        <v>1954</v>
      </c>
      <c r="S94" t="s">
        <v>354</v>
      </c>
      <c r="T94" t="s">
        <v>369</v>
      </c>
      <c r="U94" t="s">
        <v>239</v>
      </c>
      <c r="V94" t="s">
        <v>7</v>
      </c>
      <c r="W94" t="s">
        <v>7</v>
      </c>
      <c r="X94" t="s">
        <v>7</v>
      </c>
      <c r="AA94" t="s">
        <v>127</v>
      </c>
      <c r="AB94" t="s">
        <v>354</v>
      </c>
      <c r="AC94">
        <v>50</v>
      </c>
      <c r="AD94" t="s">
        <v>233</v>
      </c>
      <c r="AE94">
        <v>1</v>
      </c>
      <c r="AF94">
        <v>1</v>
      </c>
    </row>
    <row r="95" spans="1:32" x14ac:dyDescent="0.3">
      <c r="A95" t="s">
        <v>348</v>
      </c>
      <c r="B95" t="s">
        <v>57</v>
      </c>
      <c r="C95" t="s">
        <v>117</v>
      </c>
      <c r="D95" t="s">
        <v>309</v>
      </c>
      <c r="E95" t="s">
        <v>1110</v>
      </c>
      <c r="F95" s="15">
        <v>46244.466851851852</v>
      </c>
      <c r="G95" t="s">
        <v>399</v>
      </c>
      <c r="H95">
        <v>1</v>
      </c>
      <c r="I95" t="s">
        <v>1111</v>
      </c>
      <c r="J95" s="15">
        <v>46247.593055555553</v>
      </c>
      <c r="K95" s="15">
        <v>46252.873611111114</v>
      </c>
      <c r="L95" s="15"/>
      <c r="M95">
        <v>1</v>
      </c>
      <c r="O95" t="s">
        <v>201</v>
      </c>
      <c r="P95" t="s">
        <v>1954</v>
      </c>
      <c r="S95" t="s">
        <v>354</v>
      </c>
      <c r="T95" t="s">
        <v>369</v>
      </c>
      <c r="U95" t="s">
        <v>239</v>
      </c>
      <c r="V95" t="s">
        <v>7</v>
      </c>
      <c r="W95" t="s">
        <v>7</v>
      </c>
      <c r="X95" t="s">
        <v>7</v>
      </c>
      <c r="AA95" t="s">
        <v>127</v>
      </c>
      <c r="AB95" t="s">
        <v>354</v>
      </c>
      <c r="AC95">
        <v>50</v>
      </c>
      <c r="AD95" t="s">
        <v>233</v>
      </c>
      <c r="AE95">
        <v>1</v>
      </c>
      <c r="AF95">
        <v>1</v>
      </c>
    </row>
    <row r="96" spans="1:32" x14ac:dyDescent="0.3">
      <c r="A96" t="s">
        <v>348</v>
      </c>
      <c r="B96" t="s">
        <v>57</v>
      </c>
      <c r="C96" t="s">
        <v>117</v>
      </c>
      <c r="D96" t="s">
        <v>309</v>
      </c>
      <c r="E96" t="s">
        <v>1112</v>
      </c>
      <c r="F96" s="15">
        <v>46241.40283564815</v>
      </c>
      <c r="G96" t="s">
        <v>742</v>
      </c>
      <c r="H96">
        <v>1</v>
      </c>
      <c r="I96" t="s">
        <v>1113</v>
      </c>
      <c r="J96" s="15">
        <v>46241.429861111108</v>
      </c>
      <c r="K96" s="15">
        <v>46246.593055555553</v>
      </c>
      <c r="L96" s="15"/>
      <c r="M96">
        <v>1</v>
      </c>
      <c r="O96" t="s">
        <v>201</v>
      </c>
      <c r="P96" t="s">
        <v>1954</v>
      </c>
      <c r="S96" t="s">
        <v>356</v>
      </c>
      <c r="T96" t="s">
        <v>369</v>
      </c>
      <c r="U96" t="s">
        <v>239</v>
      </c>
      <c r="V96" t="s">
        <v>7</v>
      </c>
      <c r="W96" t="s">
        <v>7</v>
      </c>
      <c r="X96" t="s">
        <v>7</v>
      </c>
      <c r="AA96" t="s">
        <v>127</v>
      </c>
      <c r="AB96" t="s">
        <v>356</v>
      </c>
      <c r="AC96">
        <v>109</v>
      </c>
      <c r="AD96" t="s">
        <v>233</v>
      </c>
      <c r="AE96">
        <v>1</v>
      </c>
      <c r="AF96">
        <v>1</v>
      </c>
    </row>
    <row r="97" spans="1:32" x14ac:dyDescent="0.3">
      <c r="A97" t="s">
        <v>348</v>
      </c>
      <c r="B97" t="s">
        <v>57</v>
      </c>
      <c r="C97" t="s">
        <v>117</v>
      </c>
      <c r="D97" t="s">
        <v>309</v>
      </c>
      <c r="E97" t="s">
        <v>1114</v>
      </c>
      <c r="F97" s="15">
        <v>46202.512337962966</v>
      </c>
      <c r="G97" t="s">
        <v>419</v>
      </c>
      <c r="H97">
        <v>2</v>
      </c>
      <c r="I97" t="s">
        <v>1115</v>
      </c>
      <c r="J97" s="15">
        <v>46241.424259259256</v>
      </c>
      <c r="K97" s="15">
        <v>46248.483460648145</v>
      </c>
      <c r="L97" s="15"/>
      <c r="M97">
        <v>2</v>
      </c>
      <c r="O97" t="s">
        <v>201</v>
      </c>
      <c r="P97" t="s">
        <v>1954</v>
      </c>
      <c r="S97" t="s">
        <v>356</v>
      </c>
      <c r="T97" t="s">
        <v>369</v>
      </c>
      <c r="U97" t="s">
        <v>239</v>
      </c>
      <c r="V97" t="s">
        <v>7</v>
      </c>
      <c r="W97" t="s">
        <v>7</v>
      </c>
      <c r="X97" t="s">
        <v>7</v>
      </c>
      <c r="AA97" t="s">
        <v>127</v>
      </c>
      <c r="AB97" t="s">
        <v>356</v>
      </c>
      <c r="AC97">
        <v>109</v>
      </c>
      <c r="AD97" t="s">
        <v>233</v>
      </c>
      <c r="AE97">
        <v>1</v>
      </c>
      <c r="AF97">
        <v>1</v>
      </c>
    </row>
    <row r="98" spans="1:32" x14ac:dyDescent="0.3">
      <c r="A98" t="s">
        <v>348</v>
      </c>
      <c r="B98" t="s">
        <v>57</v>
      </c>
      <c r="C98" t="s">
        <v>117</v>
      </c>
      <c r="D98" t="s">
        <v>309</v>
      </c>
      <c r="E98" t="s">
        <v>1116</v>
      </c>
      <c r="F98" s="15">
        <v>46230.40084490741</v>
      </c>
      <c r="G98" t="s">
        <v>1117</v>
      </c>
      <c r="H98">
        <v>6</v>
      </c>
      <c r="I98" t="s">
        <v>1118</v>
      </c>
      <c r="J98" s="15">
        <v>46233.454386574071</v>
      </c>
      <c r="K98" s="15">
        <v>46238.481249999997</v>
      </c>
      <c r="L98" s="15"/>
      <c r="M98">
        <v>6</v>
      </c>
      <c r="O98" t="s">
        <v>201</v>
      </c>
      <c r="P98" t="s">
        <v>1954</v>
      </c>
      <c r="S98" t="s">
        <v>356</v>
      </c>
      <c r="T98" t="s">
        <v>369</v>
      </c>
      <c r="U98" t="s">
        <v>239</v>
      </c>
      <c r="V98" t="s">
        <v>7</v>
      </c>
      <c r="W98" t="s">
        <v>7</v>
      </c>
      <c r="X98" t="s">
        <v>7</v>
      </c>
      <c r="AA98" t="s">
        <v>127</v>
      </c>
      <c r="AB98" t="s">
        <v>356</v>
      </c>
      <c r="AC98">
        <v>109</v>
      </c>
      <c r="AD98" t="s">
        <v>233</v>
      </c>
      <c r="AE98">
        <v>1</v>
      </c>
      <c r="AF98">
        <v>1</v>
      </c>
    </row>
    <row r="99" spans="1:32" x14ac:dyDescent="0.3">
      <c r="A99" t="s">
        <v>348</v>
      </c>
      <c r="B99" t="s">
        <v>57</v>
      </c>
      <c r="C99" t="s">
        <v>117</v>
      </c>
      <c r="D99" t="s">
        <v>309</v>
      </c>
      <c r="E99" t="s">
        <v>1116</v>
      </c>
      <c r="F99" s="15">
        <v>46230.40084490741</v>
      </c>
      <c r="G99" t="s">
        <v>1117</v>
      </c>
      <c r="H99">
        <v>4</v>
      </c>
      <c r="I99" t="s">
        <v>1118</v>
      </c>
      <c r="J99" s="15">
        <v>46233.454386574071</v>
      </c>
      <c r="K99" s="15">
        <v>46238.481249999997</v>
      </c>
      <c r="L99" s="15"/>
      <c r="M99">
        <v>4</v>
      </c>
      <c r="O99" t="s">
        <v>1958</v>
      </c>
      <c r="S99" t="s">
        <v>356</v>
      </c>
      <c r="T99" t="s">
        <v>369</v>
      </c>
      <c r="U99" t="s">
        <v>239</v>
      </c>
      <c r="V99" t="s">
        <v>7</v>
      </c>
      <c r="W99" t="s">
        <v>7</v>
      </c>
      <c r="X99" t="s">
        <v>7</v>
      </c>
      <c r="AA99" t="s">
        <v>127</v>
      </c>
      <c r="AB99" t="s">
        <v>356</v>
      </c>
      <c r="AC99">
        <v>109</v>
      </c>
      <c r="AD99" t="s">
        <v>233</v>
      </c>
      <c r="AE99">
        <v>1</v>
      </c>
    </row>
    <row r="100" spans="1:32" x14ac:dyDescent="0.3">
      <c r="A100" t="s">
        <v>348</v>
      </c>
      <c r="B100" t="s">
        <v>57</v>
      </c>
      <c r="C100" t="s">
        <v>117</v>
      </c>
      <c r="D100" t="s">
        <v>309</v>
      </c>
      <c r="E100" t="s">
        <v>1116</v>
      </c>
      <c r="F100" s="15">
        <v>46230.40084490741</v>
      </c>
      <c r="G100" t="s">
        <v>1117</v>
      </c>
      <c r="H100">
        <v>5</v>
      </c>
      <c r="I100" t="s">
        <v>1118</v>
      </c>
      <c r="J100" s="15">
        <v>46233.454386574071</v>
      </c>
      <c r="K100" s="15">
        <v>46238.481249999997</v>
      </c>
      <c r="L100" s="15"/>
      <c r="M100">
        <v>5</v>
      </c>
      <c r="O100" t="s">
        <v>1958</v>
      </c>
      <c r="S100" t="s">
        <v>356</v>
      </c>
      <c r="T100" t="s">
        <v>369</v>
      </c>
      <c r="U100" t="s">
        <v>239</v>
      </c>
      <c r="V100" t="s">
        <v>7</v>
      </c>
      <c r="W100" t="s">
        <v>7</v>
      </c>
      <c r="X100" t="s">
        <v>7</v>
      </c>
      <c r="AA100" t="s">
        <v>127</v>
      </c>
      <c r="AB100" t="s">
        <v>356</v>
      </c>
      <c r="AC100">
        <v>109</v>
      </c>
      <c r="AD100" t="s">
        <v>233</v>
      </c>
      <c r="AE100">
        <v>1</v>
      </c>
    </row>
    <row r="101" spans="1:32" x14ac:dyDescent="0.3">
      <c r="A101" t="s">
        <v>348</v>
      </c>
      <c r="B101" t="s">
        <v>57</v>
      </c>
      <c r="C101" t="s">
        <v>117</v>
      </c>
      <c r="D101" t="s">
        <v>309</v>
      </c>
      <c r="E101" t="s">
        <v>1116</v>
      </c>
      <c r="F101" s="15">
        <v>46230.40084490741</v>
      </c>
      <c r="G101" t="s">
        <v>1117</v>
      </c>
      <c r="H101">
        <v>6</v>
      </c>
      <c r="I101" t="s">
        <v>1118</v>
      </c>
      <c r="J101" s="15">
        <v>46233.454386574071</v>
      </c>
      <c r="K101" s="15">
        <v>46238.481249999997</v>
      </c>
      <c r="L101" s="15"/>
      <c r="M101">
        <v>6</v>
      </c>
      <c r="O101" t="s">
        <v>1958</v>
      </c>
      <c r="S101" t="s">
        <v>356</v>
      </c>
      <c r="T101" t="s">
        <v>369</v>
      </c>
      <c r="U101" t="s">
        <v>239</v>
      </c>
      <c r="V101" t="s">
        <v>7</v>
      </c>
      <c r="W101" t="s">
        <v>7</v>
      </c>
      <c r="X101" t="s">
        <v>7</v>
      </c>
      <c r="AA101" t="s">
        <v>127</v>
      </c>
      <c r="AB101" t="s">
        <v>356</v>
      </c>
      <c r="AC101">
        <v>109</v>
      </c>
      <c r="AD101" t="s">
        <v>233</v>
      </c>
      <c r="AE101">
        <v>1</v>
      </c>
    </row>
    <row r="102" spans="1:32" x14ac:dyDescent="0.3">
      <c r="A102" t="s">
        <v>348</v>
      </c>
      <c r="B102" t="s">
        <v>57</v>
      </c>
      <c r="C102" t="s">
        <v>117</v>
      </c>
      <c r="D102" t="s">
        <v>309</v>
      </c>
      <c r="E102" t="s">
        <v>1116</v>
      </c>
      <c r="F102" s="15">
        <v>46230.40084490741</v>
      </c>
      <c r="G102" t="s">
        <v>1117</v>
      </c>
      <c r="H102">
        <v>4</v>
      </c>
      <c r="I102" t="s">
        <v>1118</v>
      </c>
      <c r="J102" s="15">
        <v>46233.454386574071</v>
      </c>
      <c r="K102" s="15">
        <v>46238.481249999997</v>
      </c>
      <c r="L102" s="15"/>
      <c r="M102">
        <v>4</v>
      </c>
      <c r="O102" t="s">
        <v>1958</v>
      </c>
      <c r="S102" t="s">
        <v>356</v>
      </c>
      <c r="T102" t="s">
        <v>369</v>
      </c>
      <c r="U102" t="s">
        <v>239</v>
      </c>
      <c r="V102" t="s">
        <v>7</v>
      </c>
      <c r="W102" t="s">
        <v>7</v>
      </c>
      <c r="X102" t="s">
        <v>7</v>
      </c>
      <c r="AA102" t="s">
        <v>127</v>
      </c>
      <c r="AB102" t="s">
        <v>356</v>
      </c>
      <c r="AC102">
        <v>109</v>
      </c>
      <c r="AD102" t="s">
        <v>233</v>
      </c>
      <c r="AE102">
        <v>1</v>
      </c>
    </row>
    <row r="103" spans="1:32" x14ac:dyDescent="0.3">
      <c r="A103" t="s">
        <v>348</v>
      </c>
      <c r="B103" t="s">
        <v>57</v>
      </c>
      <c r="C103" t="s">
        <v>117</v>
      </c>
      <c r="D103" t="s">
        <v>309</v>
      </c>
      <c r="E103" t="s">
        <v>1116</v>
      </c>
      <c r="F103" s="15">
        <v>46230.40084490741</v>
      </c>
      <c r="G103" t="s">
        <v>1117</v>
      </c>
      <c r="H103">
        <v>5</v>
      </c>
      <c r="I103" t="s">
        <v>1118</v>
      </c>
      <c r="J103" s="15">
        <v>46233.454386574071</v>
      </c>
      <c r="K103" s="15">
        <v>46238.481249999997</v>
      </c>
      <c r="L103" s="15"/>
      <c r="M103">
        <v>5</v>
      </c>
      <c r="O103" t="s">
        <v>1958</v>
      </c>
      <c r="S103" t="s">
        <v>356</v>
      </c>
      <c r="T103" t="s">
        <v>369</v>
      </c>
      <c r="U103" t="s">
        <v>239</v>
      </c>
      <c r="V103" t="s">
        <v>7</v>
      </c>
      <c r="W103" t="s">
        <v>7</v>
      </c>
      <c r="X103" t="s">
        <v>7</v>
      </c>
      <c r="AA103" t="s">
        <v>127</v>
      </c>
      <c r="AB103" t="s">
        <v>356</v>
      </c>
      <c r="AC103">
        <v>109</v>
      </c>
      <c r="AD103" t="s">
        <v>233</v>
      </c>
      <c r="AE103">
        <v>1</v>
      </c>
    </row>
    <row r="104" spans="1:32" x14ac:dyDescent="0.3">
      <c r="A104" t="s">
        <v>348</v>
      </c>
      <c r="B104" t="s">
        <v>57</v>
      </c>
      <c r="C104" t="s">
        <v>117</v>
      </c>
      <c r="D104" t="s">
        <v>309</v>
      </c>
      <c r="E104" t="s">
        <v>1116</v>
      </c>
      <c r="F104" s="15">
        <v>46230.40084490741</v>
      </c>
      <c r="G104" t="s">
        <v>1117</v>
      </c>
      <c r="H104">
        <v>6</v>
      </c>
      <c r="I104" t="s">
        <v>1118</v>
      </c>
      <c r="J104" s="15">
        <v>46233.454386574071</v>
      </c>
      <c r="K104" s="15">
        <v>46238.481249999997</v>
      </c>
      <c r="L104" s="15"/>
      <c r="M104">
        <v>6</v>
      </c>
      <c r="O104" t="s">
        <v>1958</v>
      </c>
      <c r="S104" t="s">
        <v>356</v>
      </c>
      <c r="T104" t="s">
        <v>369</v>
      </c>
      <c r="U104" t="s">
        <v>239</v>
      </c>
      <c r="V104" t="s">
        <v>7</v>
      </c>
      <c r="W104" t="s">
        <v>7</v>
      </c>
      <c r="X104" t="s">
        <v>7</v>
      </c>
      <c r="AA104" t="s">
        <v>127</v>
      </c>
      <c r="AB104" t="s">
        <v>356</v>
      </c>
      <c r="AC104">
        <v>109</v>
      </c>
      <c r="AD104" t="s">
        <v>233</v>
      </c>
      <c r="AE104">
        <v>1</v>
      </c>
    </row>
    <row r="105" spans="1:32" x14ac:dyDescent="0.3">
      <c r="A105" t="s">
        <v>348</v>
      </c>
      <c r="B105" t="s">
        <v>57</v>
      </c>
      <c r="C105" t="s">
        <v>117</v>
      </c>
      <c r="D105" t="s">
        <v>309</v>
      </c>
      <c r="E105" t="s">
        <v>1116</v>
      </c>
      <c r="F105" s="15">
        <v>46230.40084490741</v>
      </c>
      <c r="G105" t="s">
        <v>1117</v>
      </c>
      <c r="H105">
        <v>6</v>
      </c>
      <c r="I105" t="s">
        <v>1118</v>
      </c>
      <c r="J105" s="15">
        <v>46233.454386574071</v>
      </c>
      <c r="K105" s="15">
        <v>46238.481249999997</v>
      </c>
      <c r="L105" s="15"/>
      <c r="M105">
        <v>6</v>
      </c>
      <c r="O105" t="s">
        <v>1958</v>
      </c>
      <c r="S105" t="s">
        <v>356</v>
      </c>
      <c r="T105" t="s">
        <v>369</v>
      </c>
      <c r="U105" t="s">
        <v>239</v>
      </c>
      <c r="V105" t="s">
        <v>7</v>
      </c>
      <c r="W105" t="s">
        <v>7</v>
      </c>
      <c r="X105" t="s">
        <v>7</v>
      </c>
      <c r="AA105" t="s">
        <v>127</v>
      </c>
      <c r="AB105" t="s">
        <v>356</v>
      </c>
      <c r="AC105">
        <v>109</v>
      </c>
      <c r="AD105" t="s">
        <v>233</v>
      </c>
      <c r="AE105">
        <v>1</v>
      </c>
    </row>
    <row r="106" spans="1:32" x14ac:dyDescent="0.3">
      <c r="A106" t="s">
        <v>348</v>
      </c>
      <c r="B106" t="s">
        <v>57</v>
      </c>
      <c r="C106" t="s">
        <v>117</v>
      </c>
      <c r="D106" t="s">
        <v>309</v>
      </c>
      <c r="E106" t="s">
        <v>1116</v>
      </c>
      <c r="F106" s="15">
        <v>46230.40084490741</v>
      </c>
      <c r="G106" t="s">
        <v>1117</v>
      </c>
      <c r="H106">
        <v>3</v>
      </c>
      <c r="I106" t="s">
        <v>1118</v>
      </c>
      <c r="J106" s="15">
        <v>46233.454386574071</v>
      </c>
      <c r="K106" s="15">
        <v>46238.481249999997</v>
      </c>
      <c r="L106" s="15"/>
      <c r="M106">
        <v>3</v>
      </c>
      <c r="O106" t="s">
        <v>1958</v>
      </c>
      <c r="S106" t="s">
        <v>356</v>
      </c>
      <c r="T106" t="s">
        <v>369</v>
      </c>
      <c r="U106" t="s">
        <v>239</v>
      </c>
      <c r="V106" t="s">
        <v>7</v>
      </c>
      <c r="W106" t="s">
        <v>7</v>
      </c>
      <c r="X106" t="s">
        <v>7</v>
      </c>
      <c r="AA106" t="s">
        <v>127</v>
      </c>
      <c r="AB106" t="s">
        <v>356</v>
      </c>
      <c r="AC106">
        <v>109</v>
      </c>
      <c r="AD106" t="s">
        <v>233</v>
      </c>
      <c r="AE106">
        <v>1</v>
      </c>
    </row>
    <row r="107" spans="1:32" x14ac:dyDescent="0.3">
      <c r="A107" t="s">
        <v>348</v>
      </c>
      <c r="B107" t="s">
        <v>57</v>
      </c>
      <c r="C107" t="s">
        <v>117</v>
      </c>
      <c r="D107" t="s">
        <v>309</v>
      </c>
      <c r="E107" t="s">
        <v>1116</v>
      </c>
      <c r="F107" s="15">
        <v>46230.40084490741</v>
      </c>
      <c r="G107" t="s">
        <v>1117</v>
      </c>
      <c r="H107">
        <v>5</v>
      </c>
      <c r="I107" t="s">
        <v>1118</v>
      </c>
      <c r="J107" s="15">
        <v>46233.454386574071</v>
      </c>
      <c r="K107" s="15">
        <v>46238.481249999997</v>
      </c>
      <c r="L107" s="15"/>
      <c r="M107">
        <v>5</v>
      </c>
      <c r="O107" t="s">
        <v>1958</v>
      </c>
      <c r="S107" t="s">
        <v>356</v>
      </c>
      <c r="T107" t="s">
        <v>369</v>
      </c>
      <c r="U107" t="s">
        <v>239</v>
      </c>
      <c r="V107" t="s">
        <v>7</v>
      </c>
      <c r="W107" t="s">
        <v>7</v>
      </c>
      <c r="X107" t="s">
        <v>7</v>
      </c>
      <c r="AA107" t="s">
        <v>127</v>
      </c>
      <c r="AB107" t="s">
        <v>356</v>
      </c>
      <c r="AC107">
        <v>109</v>
      </c>
      <c r="AD107" t="s">
        <v>233</v>
      </c>
      <c r="AE107">
        <v>1</v>
      </c>
    </row>
    <row r="108" spans="1:32" x14ac:dyDescent="0.3">
      <c r="A108" t="s">
        <v>348</v>
      </c>
      <c r="B108" t="s">
        <v>57</v>
      </c>
      <c r="C108" t="s">
        <v>117</v>
      </c>
      <c r="D108" t="s">
        <v>309</v>
      </c>
      <c r="E108" t="s">
        <v>1119</v>
      </c>
      <c r="F108" s="15">
        <v>46232.31826388889</v>
      </c>
      <c r="G108" t="s">
        <v>401</v>
      </c>
      <c r="H108">
        <v>1</v>
      </c>
      <c r="I108" t="s">
        <v>1120</v>
      </c>
      <c r="J108" s="15">
        <v>46232.407094907408</v>
      </c>
      <c r="K108" s="15">
        <v>46238.423611111109</v>
      </c>
      <c r="L108" s="15"/>
      <c r="M108">
        <v>1</v>
      </c>
      <c r="O108" t="s">
        <v>201</v>
      </c>
      <c r="P108" t="s">
        <v>1954</v>
      </c>
      <c r="S108" t="s">
        <v>357</v>
      </c>
      <c r="T108" t="s">
        <v>369</v>
      </c>
      <c r="U108" t="s">
        <v>239</v>
      </c>
      <c r="V108" t="s">
        <v>7</v>
      </c>
      <c r="W108" t="s">
        <v>7</v>
      </c>
      <c r="X108" t="s">
        <v>7</v>
      </c>
      <c r="AA108" t="s">
        <v>127</v>
      </c>
      <c r="AB108" t="s">
        <v>357</v>
      </c>
      <c r="AC108">
        <v>101</v>
      </c>
      <c r="AD108" t="s">
        <v>233</v>
      </c>
      <c r="AE108">
        <v>1</v>
      </c>
      <c r="AF108">
        <v>1</v>
      </c>
    </row>
    <row r="109" spans="1:32" x14ac:dyDescent="0.3">
      <c r="A109" t="s">
        <v>348</v>
      </c>
      <c r="B109" t="s">
        <v>57</v>
      </c>
      <c r="C109" t="s">
        <v>117</v>
      </c>
      <c r="D109" t="s">
        <v>309</v>
      </c>
      <c r="E109" t="s">
        <v>1121</v>
      </c>
      <c r="F109" s="15">
        <v>46212.717303240737</v>
      </c>
      <c r="G109" t="s">
        <v>402</v>
      </c>
      <c r="H109">
        <v>2</v>
      </c>
      <c r="I109" t="s">
        <v>1122</v>
      </c>
      <c r="J109" s="15">
        <v>46231.477627314816</v>
      </c>
      <c r="K109" s="15">
        <v>46238.444444444445</v>
      </c>
      <c r="L109" s="15"/>
      <c r="M109">
        <v>2</v>
      </c>
      <c r="O109" t="s">
        <v>201</v>
      </c>
      <c r="P109" t="s">
        <v>1954</v>
      </c>
      <c r="S109" t="s">
        <v>355</v>
      </c>
      <c r="T109" t="s">
        <v>369</v>
      </c>
      <c r="U109" t="s">
        <v>239</v>
      </c>
      <c r="V109" t="s">
        <v>7</v>
      </c>
      <c r="W109" t="s">
        <v>7</v>
      </c>
      <c r="X109" t="s">
        <v>7</v>
      </c>
      <c r="AA109" t="s">
        <v>127</v>
      </c>
      <c r="AB109" t="s">
        <v>355</v>
      </c>
      <c r="AC109">
        <v>2200</v>
      </c>
      <c r="AD109" t="s">
        <v>233</v>
      </c>
      <c r="AE109">
        <v>1</v>
      </c>
      <c r="AF109">
        <v>1</v>
      </c>
    </row>
    <row r="110" spans="1:32" x14ac:dyDescent="0.3">
      <c r="A110" t="s">
        <v>348</v>
      </c>
      <c r="B110" t="s">
        <v>57</v>
      </c>
      <c r="C110" t="s">
        <v>117</v>
      </c>
      <c r="D110" t="s">
        <v>309</v>
      </c>
      <c r="E110" t="s">
        <v>1121</v>
      </c>
      <c r="F110" s="15">
        <v>46212.717303240737</v>
      </c>
      <c r="G110" t="s">
        <v>402</v>
      </c>
      <c r="H110">
        <v>2</v>
      </c>
      <c r="I110" t="s">
        <v>1122</v>
      </c>
      <c r="J110" s="15">
        <v>46231.477627314816</v>
      </c>
      <c r="K110" s="15">
        <v>46238.444444444445</v>
      </c>
      <c r="L110" s="15"/>
      <c r="M110">
        <v>2</v>
      </c>
      <c r="O110" t="s">
        <v>1958</v>
      </c>
      <c r="S110" t="s">
        <v>355</v>
      </c>
      <c r="T110" t="s">
        <v>369</v>
      </c>
      <c r="U110" t="s">
        <v>239</v>
      </c>
      <c r="V110" t="s">
        <v>7</v>
      </c>
      <c r="W110" t="s">
        <v>7</v>
      </c>
      <c r="X110" t="s">
        <v>7</v>
      </c>
      <c r="AA110" t="s">
        <v>127</v>
      </c>
      <c r="AB110" t="s">
        <v>355</v>
      </c>
      <c r="AC110">
        <v>2200</v>
      </c>
      <c r="AD110" t="s">
        <v>233</v>
      </c>
      <c r="AE110">
        <v>1</v>
      </c>
    </row>
    <row r="111" spans="1:32" x14ac:dyDescent="0.3">
      <c r="A111" t="s">
        <v>348</v>
      </c>
      <c r="B111" t="s">
        <v>57</v>
      </c>
      <c r="C111" t="s">
        <v>117</v>
      </c>
      <c r="D111" t="s">
        <v>309</v>
      </c>
      <c r="E111" t="s">
        <v>1123</v>
      </c>
      <c r="F111" s="15">
        <v>46223.754212962966</v>
      </c>
      <c r="G111" t="s">
        <v>402</v>
      </c>
      <c r="H111">
        <v>1</v>
      </c>
      <c r="I111" t="s">
        <v>1124</v>
      </c>
      <c r="J111" s="15">
        <v>46232.484236111108</v>
      </c>
      <c r="K111" s="15">
        <v>46238.427083333336</v>
      </c>
      <c r="L111" s="15"/>
      <c r="M111">
        <v>1</v>
      </c>
      <c r="O111" t="s">
        <v>201</v>
      </c>
      <c r="P111" t="s">
        <v>1954</v>
      </c>
      <c r="S111" t="s">
        <v>355</v>
      </c>
      <c r="T111" t="s">
        <v>369</v>
      </c>
      <c r="U111" t="s">
        <v>239</v>
      </c>
      <c r="V111" t="s">
        <v>7</v>
      </c>
      <c r="W111" t="s">
        <v>7</v>
      </c>
      <c r="X111" t="s">
        <v>7</v>
      </c>
      <c r="AA111" t="s">
        <v>127</v>
      </c>
      <c r="AB111" t="s">
        <v>355</v>
      </c>
      <c r="AC111">
        <v>2200</v>
      </c>
      <c r="AD111" t="s">
        <v>233</v>
      </c>
      <c r="AE111">
        <v>1</v>
      </c>
    </row>
    <row r="112" spans="1:32" x14ac:dyDescent="0.3">
      <c r="A112" t="s">
        <v>348</v>
      </c>
      <c r="B112" t="s">
        <v>57</v>
      </c>
      <c r="C112" t="s">
        <v>117</v>
      </c>
      <c r="D112" t="s">
        <v>309</v>
      </c>
      <c r="E112" t="s">
        <v>1125</v>
      </c>
      <c r="F112" s="15">
        <v>46233.719895833332</v>
      </c>
      <c r="G112" t="s">
        <v>420</v>
      </c>
      <c r="H112">
        <v>6</v>
      </c>
      <c r="I112" t="s">
        <v>1126</v>
      </c>
      <c r="J112" s="15">
        <v>46234.410682870373</v>
      </c>
      <c r="K112" s="15">
        <v>46238.434027777781</v>
      </c>
      <c r="L112" s="15"/>
      <c r="M112">
        <v>6</v>
      </c>
      <c r="O112" t="s">
        <v>201</v>
      </c>
      <c r="P112" t="s">
        <v>1954</v>
      </c>
      <c r="S112" t="s">
        <v>355</v>
      </c>
      <c r="T112" t="s">
        <v>369</v>
      </c>
      <c r="U112" t="s">
        <v>239</v>
      </c>
      <c r="V112" t="s">
        <v>7</v>
      </c>
      <c r="W112" t="s">
        <v>7</v>
      </c>
      <c r="X112" t="s">
        <v>7</v>
      </c>
      <c r="AA112" t="s">
        <v>127</v>
      </c>
      <c r="AB112" t="s">
        <v>355</v>
      </c>
      <c r="AC112">
        <v>2200</v>
      </c>
      <c r="AD112" t="s">
        <v>233</v>
      </c>
      <c r="AE112">
        <v>1</v>
      </c>
    </row>
    <row r="113" spans="1:32" x14ac:dyDescent="0.3">
      <c r="A113" t="s">
        <v>348</v>
      </c>
      <c r="B113" t="s">
        <v>57</v>
      </c>
      <c r="C113" t="s">
        <v>117</v>
      </c>
      <c r="D113" t="s">
        <v>309</v>
      </c>
      <c r="E113" t="s">
        <v>1125</v>
      </c>
      <c r="F113" s="15">
        <v>46233.719895833332</v>
      </c>
      <c r="G113" t="s">
        <v>420</v>
      </c>
      <c r="H113">
        <v>2</v>
      </c>
      <c r="I113" t="s">
        <v>1127</v>
      </c>
      <c r="J113" s="15">
        <v>46234.408483796295</v>
      </c>
      <c r="K113" s="15">
        <v>46238.436805555553</v>
      </c>
      <c r="L113" s="15"/>
      <c r="M113">
        <v>2</v>
      </c>
      <c r="O113" t="s">
        <v>201</v>
      </c>
      <c r="P113" t="s">
        <v>1954</v>
      </c>
      <c r="S113" t="s">
        <v>355</v>
      </c>
      <c r="T113" t="s">
        <v>369</v>
      </c>
      <c r="U113" t="s">
        <v>239</v>
      </c>
      <c r="V113" t="s">
        <v>7</v>
      </c>
      <c r="W113" t="s">
        <v>7</v>
      </c>
      <c r="X113" t="s">
        <v>7</v>
      </c>
      <c r="AA113" t="s">
        <v>127</v>
      </c>
      <c r="AB113" t="s">
        <v>355</v>
      </c>
      <c r="AC113">
        <v>2200</v>
      </c>
      <c r="AD113" t="s">
        <v>233</v>
      </c>
      <c r="AE113">
        <v>1</v>
      </c>
    </row>
    <row r="114" spans="1:32" x14ac:dyDescent="0.3">
      <c r="A114" t="s">
        <v>348</v>
      </c>
      <c r="B114" t="s">
        <v>57</v>
      </c>
      <c r="C114" t="s">
        <v>117</v>
      </c>
      <c r="D114" t="s">
        <v>309</v>
      </c>
      <c r="E114" t="s">
        <v>1125</v>
      </c>
      <c r="F114" s="15">
        <v>46233.719895833332</v>
      </c>
      <c r="G114" t="s">
        <v>420</v>
      </c>
      <c r="H114">
        <v>6</v>
      </c>
      <c r="I114" t="s">
        <v>1126</v>
      </c>
      <c r="J114" s="15">
        <v>46234.410682870373</v>
      </c>
      <c r="K114" s="15">
        <v>46238.434027777781</v>
      </c>
      <c r="L114" s="15"/>
      <c r="M114">
        <v>6</v>
      </c>
      <c r="O114" t="s">
        <v>1958</v>
      </c>
      <c r="S114" t="s">
        <v>355</v>
      </c>
      <c r="T114" t="s">
        <v>369</v>
      </c>
      <c r="U114" t="s">
        <v>239</v>
      </c>
      <c r="V114" t="s">
        <v>7</v>
      </c>
      <c r="W114" t="s">
        <v>7</v>
      </c>
      <c r="X114" t="s">
        <v>7</v>
      </c>
      <c r="AA114" t="s">
        <v>127</v>
      </c>
      <c r="AB114" t="s">
        <v>355</v>
      </c>
      <c r="AC114">
        <v>2200</v>
      </c>
      <c r="AD114" t="s">
        <v>233</v>
      </c>
      <c r="AE114">
        <v>1</v>
      </c>
    </row>
    <row r="115" spans="1:32" x14ac:dyDescent="0.3">
      <c r="A115" t="s">
        <v>348</v>
      </c>
      <c r="B115" t="s">
        <v>57</v>
      </c>
      <c r="C115" t="s">
        <v>117</v>
      </c>
      <c r="D115" t="s">
        <v>309</v>
      </c>
      <c r="E115" t="s">
        <v>1114</v>
      </c>
      <c r="F115" s="15">
        <v>46202.512337962966</v>
      </c>
      <c r="G115" t="s">
        <v>419</v>
      </c>
      <c r="H115">
        <v>26</v>
      </c>
      <c r="I115" t="s">
        <v>1128</v>
      </c>
      <c r="J115" s="15">
        <v>46203.361828703702</v>
      </c>
      <c r="K115" s="15">
        <v>46212.739201388889</v>
      </c>
      <c r="L115" s="15"/>
      <c r="M115">
        <v>26</v>
      </c>
      <c r="O115" t="s">
        <v>201</v>
      </c>
      <c r="P115" t="s">
        <v>1954</v>
      </c>
      <c r="S115" t="s">
        <v>356</v>
      </c>
      <c r="T115" t="s">
        <v>369</v>
      </c>
      <c r="U115" t="s">
        <v>239</v>
      </c>
      <c r="V115" t="s">
        <v>7</v>
      </c>
      <c r="W115" t="s">
        <v>7</v>
      </c>
      <c r="X115" t="s">
        <v>7</v>
      </c>
      <c r="AA115" t="s">
        <v>127</v>
      </c>
      <c r="AB115" t="s">
        <v>356</v>
      </c>
      <c r="AC115">
        <v>109</v>
      </c>
      <c r="AD115" t="s">
        <v>233</v>
      </c>
      <c r="AE115">
        <v>2.6</v>
      </c>
      <c r="AF115">
        <v>1</v>
      </c>
    </row>
    <row r="116" spans="1:32" x14ac:dyDescent="0.3">
      <c r="A116" t="s">
        <v>348</v>
      </c>
      <c r="B116" t="s">
        <v>57</v>
      </c>
      <c r="C116" t="s">
        <v>117</v>
      </c>
      <c r="D116" t="s">
        <v>309</v>
      </c>
      <c r="E116" t="s">
        <v>1114</v>
      </c>
      <c r="F116" s="15">
        <v>46202.512337962966</v>
      </c>
      <c r="G116" t="s">
        <v>419</v>
      </c>
      <c r="H116">
        <v>13</v>
      </c>
      <c r="I116" t="s">
        <v>1128</v>
      </c>
      <c r="J116" s="15">
        <v>46203.361828703702</v>
      </c>
      <c r="K116" s="15">
        <v>46212.739201388889</v>
      </c>
      <c r="L116" s="15"/>
      <c r="M116">
        <v>13</v>
      </c>
      <c r="O116" t="s">
        <v>1958</v>
      </c>
      <c r="S116" t="s">
        <v>356</v>
      </c>
      <c r="T116" t="s">
        <v>369</v>
      </c>
      <c r="U116" t="s">
        <v>239</v>
      </c>
      <c r="V116" t="s">
        <v>7</v>
      </c>
      <c r="W116" t="s">
        <v>7</v>
      </c>
      <c r="X116" t="s">
        <v>7</v>
      </c>
      <c r="AA116" t="s">
        <v>127</v>
      </c>
      <c r="AB116" t="s">
        <v>356</v>
      </c>
      <c r="AC116">
        <v>109</v>
      </c>
      <c r="AD116" t="s">
        <v>233</v>
      </c>
      <c r="AE116">
        <v>1.3</v>
      </c>
    </row>
    <row r="117" spans="1:32" x14ac:dyDescent="0.3">
      <c r="A117" t="s">
        <v>348</v>
      </c>
      <c r="B117" t="s">
        <v>57</v>
      </c>
      <c r="C117" t="s">
        <v>117</v>
      </c>
      <c r="D117" t="s">
        <v>309</v>
      </c>
      <c r="E117" t="s">
        <v>1114</v>
      </c>
      <c r="F117" s="15">
        <v>46202.512337962966</v>
      </c>
      <c r="G117" t="s">
        <v>419</v>
      </c>
      <c r="H117">
        <v>30</v>
      </c>
      <c r="I117" t="s">
        <v>1129</v>
      </c>
      <c r="J117" s="15">
        <v>46239.591469907406</v>
      </c>
      <c r="K117" s="15">
        <v>46241.497916666667</v>
      </c>
      <c r="L117" s="15"/>
      <c r="M117">
        <v>30</v>
      </c>
      <c r="O117" t="s">
        <v>201</v>
      </c>
      <c r="P117" t="s">
        <v>1954</v>
      </c>
      <c r="S117" t="s">
        <v>356</v>
      </c>
      <c r="T117" t="s">
        <v>369</v>
      </c>
      <c r="U117" t="s">
        <v>239</v>
      </c>
      <c r="V117" t="s">
        <v>7</v>
      </c>
      <c r="W117" t="s">
        <v>7</v>
      </c>
      <c r="X117" t="s">
        <v>7</v>
      </c>
      <c r="AA117" t="s">
        <v>127</v>
      </c>
      <c r="AB117" t="s">
        <v>356</v>
      </c>
      <c r="AC117">
        <v>109</v>
      </c>
      <c r="AD117" t="s">
        <v>233</v>
      </c>
      <c r="AE117">
        <v>3</v>
      </c>
      <c r="AF117">
        <v>1</v>
      </c>
    </row>
    <row r="118" spans="1:32" x14ac:dyDescent="0.3">
      <c r="A118" t="s">
        <v>348</v>
      </c>
      <c r="B118" t="s">
        <v>57</v>
      </c>
      <c r="C118" t="s">
        <v>117</v>
      </c>
      <c r="D118" t="s">
        <v>309</v>
      </c>
      <c r="E118" t="s">
        <v>1130</v>
      </c>
      <c r="F118" s="15">
        <v>46253.45040509259</v>
      </c>
      <c r="G118" t="s">
        <v>402</v>
      </c>
      <c r="H118">
        <v>1</v>
      </c>
      <c r="I118" t="s">
        <v>1131</v>
      </c>
      <c r="J118" s="15">
        <v>46255.393750000003</v>
      </c>
      <c r="K118" s="15">
        <v>46258.414583333331</v>
      </c>
      <c r="L118" s="15"/>
      <c r="M118">
        <v>1</v>
      </c>
      <c r="O118" t="s">
        <v>201</v>
      </c>
      <c r="P118" t="s">
        <v>1954</v>
      </c>
      <c r="S118" t="s">
        <v>355</v>
      </c>
      <c r="T118" t="s">
        <v>369</v>
      </c>
      <c r="U118" t="s">
        <v>239</v>
      </c>
      <c r="V118" t="s">
        <v>7</v>
      </c>
      <c r="W118" t="s">
        <v>7</v>
      </c>
      <c r="X118" t="s">
        <v>7</v>
      </c>
      <c r="AA118" t="s">
        <v>127</v>
      </c>
      <c r="AB118" t="s">
        <v>355</v>
      </c>
      <c r="AC118">
        <v>2200</v>
      </c>
      <c r="AD118" t="s">
        <v>233</v>
      </c>
      <c r="AE118">
        <v>1</v>
      </c>
      <c r="AF118">
        <v>1</v>
      </c>
    </row>
    <row r="119" spans="1:32" x14ac:dyDescent="0.3">
      <c r="A119" t="s">
        <v>348</v>
      </c>
      <c r="B119" t="s">
        <v>57</v>
      </c>
      <c r="C119" t="s">
        <v>117</v>
      </c>
      <c r="D119" t="s">
        <v>309</v>
      </c>
      <c r="E119" t="s">
        <v>1132</v>
      </c>
      <c r="F119" s="15">
        <v>46225.356817129628</v>
      </c>
      <c r="G119" t="s">
        <v>399</v>
      </c>
      <c r="H119">
        <v>1</v>
      </c>
      <c r="I119" t="s">
        <v>1133</v>
      </c>
      <c r="J119" s="15">
        <v>46233.380069444444</v>
      </c>
      <c r="K119" s="15">
        <v>46238.463194444441</v>
      </c>
      <c r="L119" s="15"/>
      <c r="M119">
        <v>1</v>
      </c>
      <c r="O119" t="s">
        <v>201</v>
      </c>
      <c r="P119" t="s">
        <v>1954</v>
      </c>
      <c r="S119" t="s">
        <v>354</v>
      </c>
      <c r="T119" t="s">
        <v>369</v>
      </c>
      <c r="U119" t="s">
        <v>239</v>
      </c>
      <c r="V119" t="s">
        <v>7</v>
      </c>
      <c r="W119" t="s">
        <v>7</v>
      </c>
      <c r="X119" t="s">
        <v>7</v>
      </c>
      <c r="AA119" t="s">
        <v>127</v>
      </c>
      <c r="AB119" t="s">
        <v>354</v>
      </c>
      <c r="AC119">
        <v>50</v>
      </c>
      <c r="AD119" t="s">
        <v>233</v>
      </c>
      <c r="AE119">
        <v>1</v>
      </c>
      <c r="AF119">
        <v>1</v>
      </c>
    </row>
    <row r="120" spans="1:32" x14ac:dyDescent="0.3">
      <c r="A120" t="s">
        <v>348</v>
      </c>
      <c r="B120" t="s">
        <v>57</v>
      </c>
      <c r="C120" t="s">
        <v>117</v>
      </c>
      <c r="D120" t="s">
        <v>309</v>
      </c>
      <c r="E120" t="s">
        <v>1134</v>
      </c>
      <c r="F120" s="15">
        <v>46223.623645833337</v>
      </c>
      <c r="G120" t="s">
        <v>402</v>
      </c>
      <c r="H120">
        <v>1</v>
      </c>
      <c r="I120" t="s">
        <v>1135</v>
      </c>
      <c r="J120" s="15">
        <v>46224.351388888892</v>
      </c>
      <c r="K120" s="15">
        <v>46227.68472222222</v>
      </c>
      <c r="L120" s="15">
        <v>46234.655555555553</v>
      </c>
      <c r="M120">
        <v>1</v>
      </c>
      <c r="O120" t="s">
        <v>201</v>
      </c>
      <c r="P120" t="s">
        <v>1954</v>
      </c>
      <c r="S120" t="s">
        <v>355</v>
      </c>
      <c r="T120" t="s">
        <v>369</v>
      </c>
      <c r="U120" t="s">
        <v>239</v>
      </c>
      <c r="V120" t="s">
        <v>7</v>
      </c>
      <c r="W120" t="s">
        <v>7</v>
      </c>
      <c r="X120" t="s">
        <v>7</v>
      </c>
      <c r="AA120" t="s">
        <v>127</v>
      </c>
      <c r="AB120" t="s">
        <v>355</v>
      </c>
      <c r="AC120">
        <v>2200</v>
      </c>
      <c r="AD120" t="s">
        <v>233</v>
      </c>
      <c r="AE120">
        <v>1</v>
      </c>
      <c r="AF120">
        <v>1</v>
      </c>
    </row>
    <row r="121" spans="1:32" x14ac:dyDescent="0.3">
      <c r="A121" t="s">
        <v>348</v>
      </c>
      <c r="B121" t="s">
        <v>57</v>
      </c>
      <c r="C121" t="s">
        <v>117</v>
      </c>
      <c r="D121" t="s">
        <v>309</v>
      </c>
      <c r="E121" t="s">
        <v>1134</v>
      </c>
      <c r="F121" s="15">
        <v>46223.623645833337</v>
      </c>
      <c r="G121" t="s">
        <v>402</v>
      </c>
      <c r="H121">
        <v>1</v>
      </c>
      <c r="I121" t="s">
        <v>1135</v>
      </c>
      <c r="J121" s="15">
        <v>46224.351388888892</v>
      </c>
      <c r="K121" s="15">
        <v>46227.68472222222</v>
      </c>
      <c r="L121" s="15">
        <v>46234.655555555553</v>
      </c>
      <c r="M121">
        <v>1</v>
      </c>
      <c r="O121" t="s">
        <v>1958</v>
      </c>
      <c r="S121" t="s">
        <v>355</v>
      </c>
      <c r="T121" t="s">
        <v>369</v>
      </c>
      <c r="U121" t="s">
        <v>239</v>
      </c>
      <c r="V121" t="s">
        <v>7</v>
      </c>
      <c r="W121" t="s">
        <v>7</v>
      </c>
      <c r="X121" t="s">
        <v>7</v>
      </c>
      <c r="AA121" t="s">
        <v>127</v>
      </c>
      <c r="AB121" t="s">
        <v>355</v>
      </c>
      <c r="AC121">
        <v>2200</v>
      </c>
      <c r="AD121" t="s">
        <v>233</v>
      </c>
      <c r="AE121">
        <v>1</v>
      </c>
    </row>
    <row r="122" spans="1:32" x14ac:dyDescent="0.3">
      <c r="A122" t="s">
        <v>348</v>
      </c>
      <c r="B122" t="s">
        <v>57</v>
      </c>
      <c r="C122" t="s">
        <v>117</v>
      </c>
      <c r="D122" t="s">
        <v>309</v>
      </c>
      <c r="E122" t="s">
        <v>1134</v>
      </c>
      <c r="F122" s="15">
        <v>46223.623645833337</v>
      </c>
      <c r="G122" t="s">
        <v>402</v>
      </c>
      <c r="H122">
        <v>3</v>
      </c>
      <c r="I122" t="s">
        <v>1136</v>
      </c>
      <c r="J122" s="15">
        <v>46224.351388888892</v>
      </c>
      <c r="K122" s="15">
        <v>46227.68472222222</v>
      </c>
      <c r="L122" s="15"/>
      <c r="M122">
        <v>3</v>
      </c>
      <c r="O122" t="s">
        <v>201</v>
      </c>
      <c r="P122" t="s">
        <v>1954</v>
      </c>
      <c r="S122" t="s">
        <v>355</v>
      </c>
      <c r="T122" t="s">
        <v>369</v>
      </c>
      <c r="U122" t="s">
        <v>239</v>
      </c>
      <c r="V122" t="s">
        <v>7</v>
      </c>
      <c r="W122" t="s">
        <v>7</v>
      </c>
      <c r="X122" t="s">
        <v>7</v>
      </c>
      <c r="AA122" t="s">
        <v>127</v>
      </c>
      <c r="AB122" t="s">
        <v>355</v>
      </c>
      <c r="AC122">
        <v>2200</v>
      </c>
      <c r="AD122" t="s">
        <v>233</v>
      </c>
      <c r="AE122">
        <v>1</v>
      </c>
    </row>
    <row r="123" spans="1:32" x14ac:dyDescent="0.3">
      <c r="A123" t="s">
        <v>348</v>
      </c>
      <c r="B123" t="s">
        <v>57</v>
      </c>
      <c r="C123" t="s">
        <v>117</v>
      </c>
      <c r="D123" t="s">
        <v>309</v>
      </c>
      <c r="E123" t="s">
        <v>1137</v>
      </c>
      <c r="F123" s="15">
        <v>46217.60359953704</v>
      </c>
      <c r="G123" t="s">
        <v>420</v>
      </c>
      <c r="H123">
        <v>1</v>
      </c>
      <c r="I123" t="s">
        <v>1138</v>
      </c>
      <c r="J123" s="15">
        <v>46220.352083333331</v>
      </c>
      <c r="K123" s="15">
        <v>46227.702777777777</v>
      </c>
      <c r="L123" s="15"/>
      <c r="M123">
        <v>1</v>
      </c>
      <c r="O123" t="s">
        <v>201</v>
      </c>
      <c r="P123" t="s">
        <v>1954</v>
      </c>
      <c r="S123" t="s">
        <v>357</v>
      </c>
      <c r="T123" t="s">
        <v>369</v>
      </c>
      <c r="U123" t="s">
        <v>239</v>
      </c>
      <c r="V123" t="s">
        <v>7</v>
      </c>
      <c r="W123" t="s">
        <v>7</v>
      </c>
      <c r="X123" t="s">
        <v>7</v>
      </c>
      <c r="AA123" t="s">
        <v>127</v>
      </c>
      <c r="AB123" t="s">
        <v>357</v>
      </c>
      <c r="AC123">
        <v>101</v>
      </c>
      <c r="AD123" t="s">
        <v>233</v>
      </c>
      <c r="AE123">
        <v>1</v>
      </c>
      <c r="AF123">
        <v>1</v>
      </c>
    </row>
    <row r="124" spans="1:32" x14ac:dyDescent="0.3">
      <c r="A124" t="s">
        <v>348</v>
      </c>
      <c r="B124" t="s">
        <v>57</v>
      </c>
      <c r="C124" t="s">
        <v>117</v>
      </c>
      <c r="D124" t="s">
        <v>309</v>
      </c>
      <c r="E124" t="s">
        <v>1137</v>
      </c>
      <c r="F124" s="15">
        <v>46217.60359953704</v>
      </c>
      <c r="G124" t="s">
        <v>420</v>
      </c>
      <c r="H124">
        <v>4</v>
      </c>
      <c r="I124" t="s">
        <v>1138</v>
      </c>
      <c r="J124" s="15">
        <v>46220.352083333331</v>
      </c>
      <c r="K124" s="15">
        <v>46227.702777777777</v>
      </c>
      <c r="L124" s="15"/>
      <c r="M124">
        <v>4</v>
      </c>
      <c r="O124" t="s">
        <v>1958</v>
      </c>
      <c r="S124" t="s">
        <v>357</v>
      </c>
      <c r="T124" t="s">
        <v>369</v>
      </c>
      <c r="U124" t="s">
        <v>239</v>
      </c>
      <c r="V124" t="s">
        <v>7</v>
      </c>
      <c r="W124" t="s">
        <v>7</v>
      </c>
      <c r="X124" t="s">
        <v>7</v>
      </c>
      <c r="AA124" t="s">
        <v>127</v>
      </c>
      <c r="AB124" t="s">
        <v>357</v>
      </c>
      <c r="AC124">
        <v>101</v>
      </c>
      <c r="AD124" t="s">
        <v>233</v>
      </c>
      <c r="AE124">
        <v>1</v>
      </c>
    </row>
    <row r="125" spans="1:32" x14ac:dyDescent="0.3">
      <c r="A125" t="s">
        <v>348</v>
      </c>
      <c r="B125" t="s">
        <v>57</v>
      </c>
      <c r="C125" t="s">
        <v>117</v>
      </c>
      <c r="D125" t="s">
        <v>309</v>
      </c>
      <c r="E125" t="s">
        <v>1137</v>
      </c>
      <c r="F125" s="15">
        <v>46217.60359953704</v>
      </c>
      <c r="G125" t="s">
        <v>420</v>
      </c>
      <c r="H125">
        <v>1</v>
      </c>
      <c r="I125" t="s">
        <v>1138</v>
      </c>
      <c r="J125" s="15">
        <v>46220.352083333331</v>
      </c>
      <c r="K125" s="15">
        <v>46227.702777777777</v>
      </c>
      <c r="L125" s="15"/>
      <c r="M125">
        <v>1</v>
      </c>
      <c r="O125" t="s">
        <v>1958</v>
      </c>
      <c r="S125" t="s">
        <v>357</v>
      </c>
      <c r="T125" t="s">
        <v>369</v>
      </c>
      <c r="U125" t="s">
        <v>239</v>
      </c>
      <c r="V125" t="s">
        <v>7</v>
      </c>
      <c r="W125" t="s">
        <v>7</v>
      </c>
      <c r="X125" t="s">
        <v>7</v>
      </c>
      <c r="AA125" t="s">
        <v>127</v>
      </c>
      <c r="AB125" t="s">
        <v>357</v>
      </c>
      <c r="AC125">
        <v>101</v>
      </c>
      <c r="AD125" t="s">
        <v>233</v>
      </c>
      <c r="AE125">
        <v>1</v>
      </c>
    </row>
    <row r="126" spans="1:32" x14ac:dyDescent="0.3">
      <c r="A126" t="s">
        <v>348</v>
      </c>
      <c r="B126" t="s">
        <v>279</v>
      </c>
      <c r="C126" t="s">
        <v>192</v>
      </c>
      <c r="D126" t="s">
        <v>309</v>
      </c>
      <c r="E126" t="s">
        <v>741</v>
      </c>
      <c r="F126" s="15">
        <v>46248.437847222223</v>
      </c>
      <c r="G126" t="s">
        <v>401</v>
      </c>
      <c r="H126">
        <v>8</v>
      </c>
      <c r="I126" t="s">
        <v>1095</v>
      </c>
      <c r="J126" s="15">
        <v>46248.662499999999</v>
      </c>
      <c r="K126" s="15">
        <v>46253.628472222219</v>
      </c>
      <c r="L126" s="15"/>
      <c r="M126">
        <v>8</v>
      </c>
      <c r="O126" t="s">
        <v>201</v>
      </c>
      <c r="P126" t="s">
        <v>1954</v>
      </c>
      <c r="S126" t="s">
        <v>357</v>
      </c>
      <c r="T126" t="s">
        <v>369</v>
      </c>
      <c r="U126" t="s">
        <v>239</v>
      </c>
      <c r="V126" t="s">
        <v>7</v>
      </c>
      <c r="W126" t="s">
        <v>7</v>
      </c>
      <c r="X126" t="s">
        <v>7</v>
      </c>
      <c r="Z126">
        <v>1</v>
      </c>
      <c r="AA126" t="s">
        <v>122</v>
      </c>
      <c r="AB126" t="s">
        <v>357</v>
      </c>
      <c r="AC126">
        <v>101</v>
      </c>
      <c r="AD126" t="s">
        <v>232</v>
      </c>
      <c r="AE126">
        <v>8</v>
      </c>
      <c r="AF126">
        <v>1</v>
      </c>
    </row>
    <row r="127" spans="1:32" x14ac:dyDescent="0.3">
      <c r="A127" t="s">
        <v>348</v>
      </c>
      <c r="B127" t="s">
        <v>279</v>
      </c>
      <c r="C127" t="s">
        <v>192</v>
      </c>
      <c r="D127" t="s">
        <v>309</v>
      </c>
      <c r="E127" t="s">
        <v>1096</v>
      </c>
      <c r="F127" s="15">
        <v>46239.634884259256</v>
      </c>
      <c r="G127" t="s">
        <v>401</v>
      </c>
      <c r="H127">
        <v>350</v>
      </c>
      <c r="I127" t="s">
        <v>1097</v>
      </c>
      <c r="J127" s="15">
        <v>46240.408333333333</v>
      </c>
      <c r="K127" s="15">
        <v>46246.645833333336</v>
      </c>
      <c r="L127" s="15"/>
      <c r="M127">
        <v>350</v>
      </c>
      <c r="O127" t="s">
        <v>201</v>
      </c>
      <c r="P127" t="s">
        <v>1956</v>
      </c>
      <c r="S127" t="s">
        <v>357</v>
      </c>
      <c r="T127" t="s">
        <v>369</v>
      </c>
      <c r="U127" t="s">
        <v>239</v>
      </c>
      <c r="V127" t="s">
        <v>7</v>
      </c>
      <c r="W127" t="s">
        <v>7</v>
      </c>
      <c r="X127" t="s">
        <v>7</v>
      </c>
      <c r="Z127">
        <v>1</v>
      </c>
      <c r="AA127" t="s">
        <v>122</v>
      </c>
      <c r="AB127" t="s">
        <v>357</v>
      </c>
      <c r="AC127">
        <v>101</v>
      </c>
      <c r="AD127" t="s">
        <v>232</v>
      </c>
      <c r="AE127">
        <v>350</v>
      </c>
      <c r="AF127">
        <v>35</v>
      </c>
    </row>
    <row r="128" spans="1:32" x14ac:dyDescent="0.3">
      <c r="A128" t="s">
        <v>348</v>
      </c>
      <c r="B128" t="s">
        <v>279</v>
      </c>
      <c r="C128" t="s">
        <v>192</v>
      </c>
      <c r="D128" t="s">
        <v>309</v>
      </c>
      <c r="E128" t="s">
        <v>1098</v>
      </c>
      <c r="F128" s="15">
        <v>46245.601261574076</v>
      </c>
      <c r="G128" t="s">
        <v>405</v>
      </c>
      <c r="H128">
        <v>471</v>
      </c>
      <c r="I128" t="s">
        <v>1099</v>
      </c>
      <c r="J128" s="15">
        <v>46246.638194444444</v>
      </c>
      <c r="K128" s="15">
        <v>46252.386805555558</v>
      </c>
      <c r="L128" s="15"/>
      <c r="M128">
        <v>471</v>
      </c>
      <c r="O128" t="s">
        <v>201</v>
      </c>
      <c r="P128" t="s">
        <v>1956</v>
      </c>
      <c r="S128" t="s">
        <v>355</v>
      </c>
      <c r="T128" t="s">
        <v>369</v>
      </c>
      <c r="U128" t="s">
        <v>239</v>
      </c>
      <c r="V128" t="s">
        <v>7</v>
      </c>
      <c r="W128" t="s">
        <v>7</v>
      </c>
      <c r="X128" t="s">
        <v>7</v>
      </c>
      <c r="Z128">
        <v>1</v>
      </c>
      <c r="AA128" t="s">
        <v>122</v>
      </c>
      <c r="AB128" t="s">
        <v>355</v>
      </c>
      <c r="AC128">
        <v>2200</v>
      </c>
      <c r="AD128" t="s">
        <v>232</v>
      </c>
      <c r="AE128">
        <v>471</v>
      </c>
      <c r="AF128">
        <v>47.1</v>
      </c>
    </row>
    <row r="129" spans="1:32" x14ac:dyDescent="0.3">
      <c r="A129" t="s">
        <v>348</v>
      </c>
      <c r="B129" t="s">
        <v>279</v>
      </c>
      <c r="C129" t="s">
        <v>192</v>
      </c>
      <c r="D129" t="s">
        <v>309</v>
      </c>
      <c r="E129" t="s">
        <v>1100</v>
      </c>
      <c r="F129" s="15">
        <v>46245.375648148147</v>
      </c>
      <c r="G129" t="s">
        <v>402</v>
      </c>
      <c r="H129">
        <v>1805</v>
      </c>
      <c r="I129" t="s">
        <v>1101</v>
      </c>
      <c r="J129" s="15">
        <v>46246.395138888889</v>
      </c>
      <c r="K129" s="15">
        <v>46248.681250000001</v>
      </c>
      <c r="L129" s="15"/>
      <c r="M129">
        <v>1805</v>
      </c>
      <c r="O129" t="s">
        <v>201</v>
      </c>
      <c r="P129" t="s">
        <v>1954</v>
      </c>
      <c r="S129" t="s">
        <v>355</v>
      </c>
      <c r="T129" t="s">
        <v>369</v>
      </c>
      <c r="U129" t="s">
        <v>239</v>
      </c>
      <c r="V129" t="s">
        <v>7</v>
      </c>
      <c r="W129" t="s">
        <v>7</v>
      </c>
      <c r="X129" t="s">
        <v>7</v>
      </c>
      <c r="Z129">
        <v>1</v>
      </c>
      <c r="AA129" t="s">
        <v>122</v>
      </c>
      <c r="AB129" t="s">
        <v>355</v>
      </c>
      <c r="AC129">
        <v>2200</v>
      </c>
      <c r="AD129" t="s">
        <v>232</v>
      </c>
      <c r="AE129">
        <v>1805</v>
      </c>
      <c r="AF129">
        <v>180.5</v>
      </c>
    </row>
    <row r="130" spans="1:32" x14ac:dyDescent="0.3">
      <c r="A130" t="s">
        <v>348</v>
      </c>
      <c r="B130" t="s">
        <v>279</v>
      </c>
      <c r="C130" t="s">
        <v>192</v>
      </c>
      <c r="D130" t="s">
        <v>309</v>
      </c>
      <c r="E130" t="s">
        <v>1102</v>
      </c>
      <c r="F130" s="15">
        <v>46239.715613425928</v>
      </c>
      <c r="G130" t="s">
        <v>402</v>
      </c>
      <c r="H130">
        <v>1580</v>
      </c>
      <c r="I130" t="s">
        <v>1103</v>
      </c>
      <c r="J130" s="15">
        <v>46241.71597222222</v>
      </c>
      <c r="K130" s="15">
        <v>46246.671527777777</v>
      </c>
      <c r="L130" s="15"/>
      <c r="M130">
        <v>1580</v>
      </c>
      <c r="O130" t="s">
        <v>201</v>
      </c>
      <c r="P130" t="s">
        <v>1954</v>
      </c>
      <c r="S130" t="s">
        <v>355</v>
      </c>
      <c r="T130" t="s">
        <v>369</v>
      </c>
      <c r="U130" t="s">
        <v>239</v>
      </c>
      <c r="V130" t="s">
        <v>7</v>
      </c>
      <c r="W130" t="s">
        <v>7</v>
      </c>
      <c r="X130" t="s">
        <v>7</v>
      </c>
      <c r="Z130">
        <v>1</v>
      </c>
      <c r="AA130" t="s">
        <v>122</v>
      </c>
      <c r="AB130" t="s">
        <v>355</v>
      </c>
      <c r="AC130">
        <v>2200</v>
      </c>
      <c r="AD130" t="s">
        <v>232</v>
      </c>
      <c r="AE130">
        <v>1580</v>
      </c>
      <c r="AF130">
        <v>282.60000000000002</v>
      </c>
    </row>
    <row r="131" spans="1:32" x14ac:dyDescent="0.3">
      <c r="A131" t="s">
        <v>348</v>
      </c>
      <c r="B131" t="s">
        <v>279</v>
      </c>
      <c r="C131" t="s">
        <v>192</v>
      </c>
      <c r="D131" t="s">
        <v>309</v>
      </c>
      <c r="E131" t="s">
        <v>1104</v>
      </c>
      <c r="F131" s="15">
        <v>46238.474398148152</v>
      </c>
      <c r="G131" t="s">
        <v>402</v>
      </c>
      <c r="H131">
        <v>13</v>
      </c>
      <c r="I131" t="s">
        <v>1105</v>
      </c>
      <c r="J131" s="15">
        <v>46238.659722222219</v>
      </c>
      <c r="K131" s="15">
        <v>46241.456944444442</v>
      </c>
      <c r="L131" s="15"/>
      <c r="M131">
        <v>13</v>
      </c>
      <c r="O131" t="s">
        <v>201</v>
      </c>
      <c r="P131" t="s">
        <v>1954</v>
      </c>
      <c r="S131" t="s">
        <v>355</v>
      </c>
      <c r="T131" t="s">
        <v>369</v>
      </c>
      <c r="U131" t="s">
        <v>239</v>
      </c>
      <c r="V131" t="s">
        <v>7</v>
      </c>
      <c r="W131" t="s">
        <v>7</v>
      </c>
      <c r="X131" t="s">
        <v>7</v>
      </c>
      <c r="Z131">
        <v>1</v>
      </c>
      <c r="AA131" t="s">
        <v>122</v>
      </c>
      <c r="AB131" t="s">
        <v>355</v>
      </c>
      <c r="AC131">
        <v>2200</v>
      </c>
      <c r="AD131" t="s">
        <v>232</v>
      </c>
      <c r="AE131">
        <v>13</v>
      </c>
      <c r="AF131">
        <v>1.3</v>
      </c>
    </row>
    <row r="132" spans="1:32" x14ac:dyDescent="0.3">
      <c r="A132" t="s">
        <v>348</v>
      </c>
      <c r="B132" t="s">
        <v>279</v>
      </c>
      <c r="C132" t="s">
        <v>192</v>
      </c>
      <c r="D132" t="s">
        <v>309</v>
      </c>
      <c r="E132" t="s">
        <v>1106</v>
      </c>
      <c r="F132" s="15">
        <v>46244.43917824074</v>
      </c>
      <c r="G132" t="s">
        <v>406</v>
      </c>
      <c r="H132">
        <v>1096</v>
      </c>
      <c r="I132" t="s">
        <v>1107</v>
      </c>
      <c r="J132" s="15">
        <v>46245.671527777777</v>
      </c>
      <c r="K132" s="15">
        <v>46251.602083333331</v>
      </c>
      <c r="L132" s="15"/>
      <c r="M132">
        <v>1096</v>
      </c>
      <c r="O132" t="s">
        <v>201</v>
      </c>
      <c r="P132" t="s">
        <v>1956</v>
      </c>
      <c r="S132" t="s">
        <v>354</v>
      </c>
      <c r="T132" t="s">
        <v>369</v>
      </c>
      <c r="U132" t="s">
        <v>239</v>
      </c>
      <c r="V132" t="s">
        <v>7</v>
      </c>
      <c r="W132" t="s">
        <v>7</v>
      </c>
      <c r="X132" t="s">
        <v>7</v>
      </c>
      <c r="Z132">
        <v>1</v>
      </c>
      <c r="AA132" t="s">
        <v>122</v>
      </c>
      <c r="AB132" t="s">
        <v>354</v>
      </c>
      <c r="AC132">
        <v>50</v>
      </c>
      <c r="AD132" t="s">
        <v>232</v>
      </c>
      <c r="AE132">
        <v>1096</v>
      </c>
      <c r="AF132">
        <v>1745.2</v>
      </c>
    </row>
    <row r="133" spans="1:32" x14ac:dyDescent="0.3">
      <c r="A133" t="s">
        <v>348</v>
      </c>
      <c r="B133" t="s">
        <v>279</v>
      </c>
      <c r="C133" t="s">
        <v>192</v>
      </c>
      <c r="D133" t="s">
        <v>309</v>
      </c>
      <c r="E133" t="s">
        <v>1106</v>
      </c>
      <c r="F133" s="15">
        <v>46244.43917824074</v>
      </c>
      <c r="G133" t="s">
        <v>406</v>
      </c>
      <c r="H133">
        <v>2343</v>
      </c>
      <c r="I133" t="s">
        <v>1107</v>
      </c>
      <c r="J133" s="15">
        <v>46245.671527777777</v>
      </c>
      <c r="K133" s="15">
        <v>46251.602083333331</v>
      </c>
      <c r="L133" s="15"/>
      <c r="M133">
        <v>2343</v>
      </c>
      <c r="O133" t="s">
        <v>1958</v>
      </c>
      <c r="S133" t="s">
        <v>354</v>
      </c>
      <c r="T133" t="s">
        <v>369</v>
      </c>
      <c r="U133" t="s">
        <v>239</v>
      </c>
      <c r="V133" t="s">
        <v>7</v>
      </c>
      <c r="W133" t="s">
        <v>7</v>
      </c>
      <c r="X133" t="s">
        <v>7</v>
      </c>
      <c r="Z133">
        <v>1</v>
      </c>
      <c r="AA133" t="s">
        <v>122</v>
      </c>
      <c r="AB133" t="s">
        <v>354</v>
      </c>
      <c r="AC133">
        <v>50</v>
      </c>
      <c r="AD133" t="s">
        <v>232</v>
      </c>
      <c r="AE133">
        <v>2343</v>
      </c>
    </row>
    <row r="134" spans="1:32" x14ac:dyDescent="0.3">
      <c r="A134" t="s">
        <v>348</v>
      </c>
      <c r="B134" t="s">
        <v>279</v>
      </c>
      <c r="C134" t="s">
        <v>192</v>
      </c>
      <c r="D134" t="s">
        <v>309</v>
      </c>
      <c r="E134" t="s">
        <v>1106</v>
      </c>
      <c r="F134" s="15">
        <v>46244.43917824074</v>
      </c>
      <c r="G134" t="s">
        <v>406</v>
      </c>
      <c r="H134">
        <v>2913</v>
      </c>
      <c r="I134" t="s">
        <v>1107</v>
      </c>
      <c r="J134" s="15">
        <v>46245.671527777777</v>
      </c>
      <c r="K134" s="15">
        <v>46251.602083333331</v>
      </c>
      <c r="L134" s="15"/>
      <c r="M134">
        <v>2913</v>
      </c>
      <c r="O134" t="s">
        <v>1958</v>
      </c>
      <c r="S134" t="s">
        <v>354</v>
      </c>
      <c r="T134" t="s">
        <v>369</v>
      </c>
      <c r="U134" t="s">
        <v>239</v>
      </c>
      <c r="V134" t="s">
        <v>7</v>
      </c>
      <c r="W134" t="s">
        <v>7</v>
      </c>
      <c r="X134" t="s">
        <v>7</v>
      </c>
      <c r="Z134">
        <v>1</v>
      </c>
      <c r="AA134" t="s">
        <v>122</v>
      </c>
      <c r="AB134" t="s">
        <v>354</v>
      </c>
      <c r="AC134">
        <v>50</v>
      </c>
      <c r="AD134" t="s">
        <v>232</v>
      </c>
      <c r="AE134">
        <v>2913</v>
      </c>
    </row>
    <row r="135" spans="1:32" x14ac:dyDescent="0.3">
      <c r="A135" t="s">
        <v>348</v>
      </c>
      <c r="B135" t="s">
        <v>279</v>
      </c>
      <c r="C135" t="s">
        <v>192</v>
      </c>
      <c r="D135" t="s">
        <v>309</v>
      </c>
      <c r="E135" t="s">
        <v>1106</v>
      </c>
      <c r="F135" s="15">
        <v>46244.43917824074</v>
      </c>
      <c r="G135" t="s">
        <v>406</v>
      </c>
      <c r="H135">
        <v>1562</v>
      </c>
      <c r="I135" t="s">
        <v>1107</v>
      </c>
      <c r="J135" s="15">
        <v>46245.671527777777</v>
      </c>
      <c r="K135" s="15">
        <v>46251.602083333331</v>
      </c>
      <c r="L135" s="15"/>
      <c r="M135">
        <v>1562</v>
      </c>
      <c r="O135" t="s">
        <v>1958</v>
      </c>
      <c r="S135" t="s">
        <v>354</v>
      </c>
      <c r="T135" t="s">
        <v>369</v>
      </c>
      <c r="U135" t="s">
        <v>239</v>
      </c>
      <c r="V135" t="s">
        <v>7</v>
      </c>
      <c r="W135" t="s">
        <v>7</v>
      </c>
      <c r="X135" t="s">
        <v>7</v>
      </c>
      <c r="Z135">
        <v>1</v>
      </c>
      <c r="AA135" t="s">
        <v>122</v>
      </c>
      <c r="AB135" t="s">
        <v>354</v>
      </c>
      <c r="AC135">
        <v>50</v>
      </c>
      <c r="AD135" t="s">
        <v>232</v>
      </c>
      <c r="AE135">
        <v>1562</v>
      </c>
    </row>
    <row r="136" spans="1:32" x14ac:dyDescent="0.3">
      <c r="A136" t="s">
        <v>348</v>
      </c>
      <c r="B136" t="s">
        <v>279</v>
      </c>
      <c r="C136" t="s">
        <v>192</v>
      </c>
      <c r="D136" t="s">
        <v>309</v>
      </c>
      <c r="E136" t="s">
        <v>1106</v>
      </c>
      <c r="F136" s="15">
        <v>46244.43917824074</v>
      </c>
      <c r="G136" t="s">
        <v>406</v>
      </c>
      <c r="H136">
        <v>1816</v>
      </c>
      <c r="I136" t="s">
        <v>1107</v>
      </c>
      <c r="J136" s="15">
        <v>46245.671527777777</v>
      </c>
      <c r="K136" s="15">
        <v>46251.602083333331</v>
      </c>
      <c r="L136" s="15"/>
      <c r="M136">
        <v>1816</v>
      </c>
      <c r="O136" t="s">
        <v>1958</v>
      </c>
      <c r="S136" t="s">
        <v>354</v>
      </c>
      <c r="T136" t="s">
        <v>369</v>
      </c>
      <c r="U136" t="s">
        <v>239</v>
      </c>
      <c r="V136" t="s">
        <v>7</v>
      </c>
      <c r="W136" t="s">
        <v>7</v>
      </c>
      <c r="X136" t="s">
        <v>7</v>
      </c>
      <c r="Z136">
        <v>1</v>
      </c>
      <c r="AA136" t="s">
        <v>122</v>
      </c>
      <c r="AB136" t="s">
        <v>354</v>
      </c>
      <c r="AC136">
        <v>50</v>
      </c>
      <c r="AD136" t="s">
        <v>232</v>
      </c>
      <c r="AE136">
        <v>1816</v>
      </c>
    </row>
    <row r="137" spans="1:32" x14ac:dyDescent="0.3">
      <c r="A137" t="s">
        <v>348</v>
      </c>
      <c r="B137" t="s">
        <v>279</v>
      </c>
      <c r="C137" t="s">
        <v>192</v>
      </c>
      <c r="D137" t="s">
        <v>309</v>
      </c>
      <c r="E137" t="s">
        <v>1106</v>
      </c>
      <c r="F137" s="15">
        <v>46244.43917824074</v>
      </c>
      <c r="G137" t="s">
        <v>406</v>
      </c>
      <c r="H137">
        <v>1842</v>
      </c>
      <c r="I137" t="s">
        <v>1107</v>
      </c>
      <c r="J137" s="15">
        <v>46245.671527777777</v>
      </c>
      <c r="K137" s="15">
        <v>46251.602083333331</v>
      </c>
      <c r="L137" s="15"/>
      <c r="M137">
        <v>1842</v>
      </c>
      <c r="O137" t="s">
        <v>1958</v>
      </c>
      <c r="S137" t="s">
        <v>354</v>
      </c>
      <c r="T137" t="s">
        <v>369</v>
      </c>
      <c r="U137" t="s">
        <v>239</v>
      </c>
      <c r="V137" t="s">
        <v>7</v>
      </c>
      <c r="W137" t="s">
        <v>7</v>
      </c>
      <c r="X137" t="s">
        <v>7</v>
      </c>
      <c r="Z137">
        <v>1</v>
      </c>
      <c r="AA137" t="s">
        <v>122</v>
      </c>
      <c r="AB137" t="s">
        <v>354</v>
      </c>
      <c r="AC137">
        <v>50</v>
      </c>
      <c r="AD137" t="s">
        <v>232</v>
      </c>
      <c r="AE137">
        <v>1842</v>
      </c>
    </row>
    <row r="138" spans="1:32" x14ac:dyDescent="0.3">
      <c r="A138" t="s">
        <v>348</v>
      </c>
      <c r="B138" t="s">
        <v>279</v>
      </c>
      <c r="C138" t="s">
        <v>192</v>
      </c>
      <c r="D138" t="s">
        <v>309</v>
      </c>
      <c r="E138" t="s">
        <v>1106</v>
      </c>
      <c r="F138" s="15">
        <v>46244.43917824074</v>
      </c>
      <c r="G138" t="s">
        <v>406</v>
      </c>
      <c r="H138">
        <v>2221</v>
      </c>
      <c r="I138" t="s">
        <v>1107</v>
      </c>
      <c r="J138" s="15">
        <v>46245.671527777777</v>
      </c>
      <c r="K138" s="15">
        <v>46251.602083333331</v>
      </c>
      <c r="L138" s="15"/>
      <c r="M138">
        <v>2221</v>
      </c>
      <c r="O138" t="s">
        <v>1958</v>
      </c>
      <c r="S138" t="s">
        <v>354</v>
      </c>
      <c r="T138" t="s">
        <v>369</v>
      </c>
      <c r="U138" t="s">
        <v>239</v>
      </c>
      <c r="V138" t="s">
        <v>7</v>
      </c>
      <c r="W138" t="s">
        <v>7</v>
      </c>
      <c r="X138" t="s">
        <v>7</v>
      </c>
      <c r="Z138">
        <v>1</v>
      </c>
      <c r="AA138" t="s">
        <v>122</v>
      </c>
      <c r="AB138" t="s">
        <v>354</v>
      </c>
      <c r="AC138">
        <v>50</v>
      </c>
      <c r="AD138" t="s">
        <v>232</v>
      </c>
      <c r="AE138">
        <v>2221</v>
      </c>
    </row>
    <row r="139" spans="1:32" x14ac:dyDescent="0.3">
      <c r="A139" t="s">
        <v>348</v>
      </c>
      <c r="B139" t="s">
        <v>279</v>
      </c>
      <c r="C139" t="s">
        <v>192</v>
      </c>
      <c r="D139" t="s">
        <v>309</v>
      </c>
      <c r="E139" t="s">
        <v>1106</v>
      </c>
      <c r="F139" s="15">
        <v>46244.43917824074</v>
      </c>
      <c r="G139" t="s">
        <v>406</v>
      </c>
      <c r="H139">
        <v>1702</v>
      </c>
      <c r="I139" t="s">
        <v>1107</v>
      </c>
      <c r="J139" s="15">
        <v>46245.671527777777</v>
      </c>
      <c r="K139" s="15">
        <v>46251.602083333331</v>
      </c>
      <c r="L139" s="15"/>
      <c r="M139">
        <v>1702</v>
      </c>
      <c r="O139" t="s">
        <v>1958</v>
      </c>
      <c r="S139" t="s">
        <v>354</v>
      </c>
      <c r="T139" t="s">
        <v>369</v>
      </c>
      <c r="U139" t="s">
        <v>239</v>
      </c>
      <c r="V139" t="s">
        <v>7</v>
      </c>
      <c r="W139" t="s">
        <v>7</v>
      </c>
      <c r="X139" t="s">
        <v>7</v>
      </c>
      <c r="Z139">
        <v>1</v>
      </c>
      <c r="AA139" t="s">
        <v>122</v>
      </c>
      <c r="AB139" t="s">
        <v>354</v>
      </c>
      <c r="AC139">
        <v>50</v>
      </c>
      <c r="AD139" t="s">
        <v>232</v>
      </c>
      <c r="AE139">
        <v>1702</v>
      </c>
    </row>
    <row r="140" spans="1:32" x14ac:dyDescent="0.3">
      <c r="A140" t="s">
        <v>348</v>
      </c>
      <c r="B140" t="s">
        <v>279</v>
      </c>
      <c r="C140" t="s">
        <v>192</v>
      </c>
      <c r="D140" t="s">
        <v>309</v>
      </c>
      <c r="E140" t="s">
        <v>1106</v>
      </c>
      <c r="F140" s="15">
        <v>46244.43917824074</v>
      </c>
      <c r="G140" t="s">
        <v>406</v>
      </c>
      <c r="H140">
        <v>1957</v>
      </c>
      <c r="I140" t="s">
        <v>1107</v>
      </c>
      <c r="J140" s="15">
        <v>46245.671527777777</v>
      </c>
      <c r="K140" s="15">
        <v>46251.602083333331</v>
      </c>
      <c r="L140" s="15"/>
      <c r="M140">
        <v>1957</v>
      </c>
      <c r="O140" t="s">
        <v>1958</v>
      </c>
      <c r="S140" t="s">
        <v>354</v>
      </c>
      <c r="T140" t="s">
        <v>369</v>
      </c>
      <c r="U140" t="s">
        <v>239</v>
      </c>
      <c r="V140" t="s">
        <v>7</v>
      </c>
      <c r="W140" t="s">
        <v>7</v>
      </c>
      <c r="X140" t="s">
        <v>7</v>
      </c>
      <c r="Z140">
        <v>1</v>
      </c>
      <c r="AA140" t="s">
        <v>122</v>
      </c>
      <c r="AB140" t="s">
        <v>354</v>
      </c>
      <c r="AC140">
        <v>50</v>
      </c>
      <c r="AD140" t="s">
        <v>232</v>
      </c>
      <c r="AE140">
        <v>1957</v>
      </c>
    </row>
    <row r="141" spans="1:32" x14ac:dyDescent="0.3">
      <c r="A141" t="s">
        <v>348</v>
      </c>
      <c r="B141" t="s">
        <v>279</v>
      </c>
      <c r="C141" t="s">
        <v>192</v>
      </c>
      <c r="D141" t="s">
        <v>309</v>
      </c>
      <c r="E141" t="s">
        <v>1108</v>
      </c>
      <c r="F141" s="15">
        <v>46244.468541666669</v>
      </c>
      <c r="G141" t="s">
        <v>399</v>
      </c>
      <c r="H141">
        <v>580</v>
      </c>
      <c r="I141" t="s">
        <v>1109</v>
      </c>
      <c r="J141" s="15">
        <v>46244.694444444445</v>
      </c>
      <c r="K141" s="15">
        <v>46248.702777777777</v>
      </c>
      <c r="L141" s="15"/>
      <c r="M141">
        <v>580</v>
      </c>
      <c r="O141" t="s">
        <v>201</v>
      </c>
      <c r="P141" t="s">
        <v>1956</v>
      </c>
      <c r="S141" t="s">
        <v>354</v>
      </c>
      <c r="T141" t="s">
        <v>369</v>
      </c>
      <c r="U141" t="s">
        <v>239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354</v>
      </c>
      <c r="AC141">
        <v>50</v>
      </c>
      <c r="AD141" t="s">
        <v>232</v>
      </c>
      <c r="AE141">
        <v>580</v>
      </c>
      <c r="AF141">
        <v>58</v>
      </c>
    </row>
    <row r="142" spans="1:32" x14ac:dyDescent="0.3">
      <c r="A142" t="s">
        <v>348</v>
      </c>
      <c r="B142" t="s">
        <v>279</v>
      </c>
      <c r="C142" t="s">
        <v>192</v>
      </c>
      <c r="D142" t="s">
        <v>309</v>
      </c>
      <c r="E142" t="s">
        <v>1110</v>
      </c>
      <c r="F142" s="15">
        <v>46244.466851851852</v>
      </c>
      <c r="G142" t="s">
        <v>399</v>
      </c>
      <c r="H142">
        <v>156</v>
      </c>
      <c r="I142" t="s">
        <v>1111</v>
      </c>
      <c r="J142" s="15">
        <v>46247.593055555553</v>
      </c>
      <c r="K142" s="15">
        <v>46252.873611111114</v>
      </c>
      <c r="L142" s="15"/>
      <c r="M142">
        <v>156</v>
      </c>
      <c r="O142" t="s">
        <v>201</v>
      </c>
      <c r="P142" t="s">
        <v>1956</v>
      </c>
      <c r="S142" t="s">
        <v>354</v>
      </c>
      <c r="T142" t="s">
        <v>369</v>
      </c>
      <c r="U142" t="s">
        <v>239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354</v>
      </c>
      <c r="AC142">
        <v>50</v>
      </c>
      <c r="AD142" t="s">
        <v>232</v>
      </c>
      <c r="AE142">
        <v>156</v>
      </c>
      <c r="AF142">
        <v>15.6</v>
      </c>
    </row>
    <row r="143" spans="1:32" x14ac:dyDescent="0.3">
      <c r="A143" t="s">
        <v>348</v>
      </c>
      <c r="B143" t="s">
        <v>279</v>
      </c>
      <c r="C143" t="s">
        <v>192</v>
      </c>
      <c r="D143" t="s">
        <v>309</v>
      </c>
      <c r="E143" t="s">
        <v>1112</v>
      </c>
      <c r="F143" s="15">
        <v>46241.40283564815</v>
      </c>
      <c r="G143" t="s">
        <v>742</v>
      </c>
      <c r="H143">
        <v>741</v>
      </c>
      <c r="I143" t="s">
        <v>1113</v>
      </c>
      <c r="J143" s="15">
        <v>46241.429861111108</v>
      </c>
      <c r="K143" s="15">
        <v>46246.593055555553</v>
      </c>
      <c r="L143" s="15"/>
      <c r="M143">
        <v>741</v>
      </c>
      <c r="O143" t="s">
        <v>201</v>
      </c>
      <c r="P143" t="s">
        <v>1956</v>
      </c>
      <c r="S143" t="s">
        <v>356</v>
      </c>
      <c r="T143" t="s">
        <v>369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356</v>
      </c>
      <c r="AC143">
        <v>109</v>
      </c>
      <c r="AD143" t="s">
        <v>232</v>
      </c>
      <c r="AE143">
        <v>741</v>
      </c>
      <c r="AF143">
        <v>74.099999999999994</v>
      </c>
    </row>
    <row r="144" spans="1:32" x14ac:dyDescent="0.3">
      <c r="A144" t="s">
        <v>348</v>
      </c>
      <c r="B144" t="s">
        <v>279</v>
      </c>
      <c r="C144" t="s">
        <v>192</v>
      </c>
      <c r="D144" t="s">
        <v>309</v>
      </c>
      <c r="E144" t="s">
        <v>1114</v>
      </c>
      <c r="F144" s="15">
        <v>46202.512337962966</v>
      </c>
      <c r="G144" t="s">
        <v>419</v>
      </c>
      <c r="H144">
        <v>641</v>
      </c>
      <c r="I144" t="s">
        <v>1115</v>
      </c>
      <c r="J144" s="15">
        <v>46241.424259259256</v>
      </c>
      <c r="K144" s="15">
        <v>46248.483460648145</v>
      </c>
      <c r="L144" s="15"/>
      <c r="M144">
        <v>641</v>
      </c>
      <c r="O144" t="s">
        <v>201</v>
      </c>
      <c r="P144" t="s">
        <v>1956</v>
      </c>
      <c r="S144" t="s">
        <v>356</v>
      </c>
      <c r="T144" t="s">
        <v>369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356</v>
      </c>
      <c r="AC144">
        <v>109</v>
      </c>
      <c r="AD144" t="s">
        <v>232</v>
      </c>
      <c r="AE144">
        <v>641</v>
      </c>
      <c r="AF144">
        <v>64.099999999999994</v>
      </c>
    </row>
    <row r="145" spans="1:32" x14ac:dyDescent="0.3">
      <c r="A145" t="s">
        <v>348</v>
      </c>
      <c r="B145" t="s">
        <v>279</v>
      </c>
      <c r="C145" t="s">
        <v>192</v>
      </c>
      <c r="D145" t="s">
        <v>309</v>
      </c>
      <c r="E145" t="s">
        <v>1116</v>
      </c>
      <c r="F145" s="15">
        <v>46230.40084490741</v>
      </c>
      <c r="G145" t="s">
        <v>1117</v>
      </c>
      <c r="H145">
        <v>3027</v>
      </c>
      <c r="I145" t="s">
        <v>1118</v>
      </c>
      <c r="J145" s="15">
        <v>46233.454386574071</v>
      </c>
      <c r="K145" s="15">
        <v>46238.481249999997</v>
      </c>
      <c r="L145" s="15"/>
      <c r="M145">
        <v>3027</v>
      </c>
      <c r="O145" t="s">
        <v>201</v>
      </c>
      <c r="P145" t="s">
        <v>1956</v>
      </c>
      <c r="S145" t="s">
        <v>356</v>
      </c>
      <c r="T145" t="s">
        <v>369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356</v>
      </c>
      <c r="AC145">
        <v>109</v>
      </c>
      <c r="AD145" t="s">
        <v>232</v>
      </c>
      <c r="AE145">
        <v>3027</v>
      </c>
      <c r="AF145">
        <v>1580.5</v>
      </c>
    </row>
    <row r="146" spans="1:32" x14ac:dyDescent="0.3">
      <c r="A146" t="s">
        <v>348</v>
      </c>
      <c r="B146" t="s">
        <v>279</v>
      </c>
      <c r="C146" t="s">
        <v>192</v>
      </c>
      <c r="D146" t="s">
        <v>309</v>
      </c>
      <c r="E146" t="s">
        <v>1116</v>
      </c>
      <c r="F146" s="15">
        <v>46230.40084490741</v>
      </c>
      <c r="G146" t="s">
        <v>1117</v>
      </c>
      <c r="H146">
        <v>687</v>
      </c>
      <c r="I146" t="s">
        <v>1118</v>
      </c>
      <c r="J146" s="15">
        <v>46233.454386574071</v>
      </c>
      <c r="K146" s="15">
        <v>46238.481249999997</v>
      </c>
      <c r="L146" s="15"/>
      <c r="M146">
        <v>687</v>
      </c>
      <c r="O146" t="s">
        <v>1958</v>
      </c>
      <c r="S146" t="s">
        <v>356</v>
      </c>
      <c r="T146" t="s">
        <v>369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356</v>
      </c>
      <c r="AC146">
        <v>109</v>
      </c>
      <c r="AD146" t="s">
        <v>232</v>
      </c>
      <c r="AE146">
        <v>687</v>
      </c>
    </row>
    <row r="147" spans="1:32" x14ac:dyDescent="0.3">
      <c r="A147" t="s">
        <v>348</v>
      </c>
      <c r="B147" t="s">
        <v>279</v>
      </c>
      <c r="C147" t="s">
        <v>192</v>
      </c>
      <c r="D147" t="s">
        <v>309</v>
      </c>
      <c r="E147" t="s">
        <v>1116</v>
      </c>
      <c r="F147" s="15">
        <v>46230.40084490741</v>
      </c>
      <c r="G147" t="s">
        <v>1117</v>
      </c>
      <c r="H147">
        <v>1378</v>
      </c>
      <c r="I147" t="s">
        <v>1118</v>
      </c>
      <c r="J147" s="15">
        <v>46233.454386574071</v>
      </c>
      <c r="K147" s="15">
        <v>46238.481249999997</v>
      </c>
      <c r="L147" s="15"/>
      <c r="M147">
        <v>1378</v>
      </c>
      <c r="O147" t="s">
        <v>1958</v>
      </c>
      <c r="S147" t="s">
        <v>356</v>
      </c>
      <c r="T147" t="s">
        <v>369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356</v>
      </c>
      <c r="AC147">
        <v>109</v>
      </c>
      <c r="AD147" t="s">
        <v>232</v>
      </c>
      <c r="AE147">
        <v>1378</v>
      </c>
    </row>
    <row r="148" spans="1:32" x14ac:dyDescent="0.3">
      <c r="A148" t="s">
        <v>348</v>
      </c>
      <c r="B148" t="s">
        <v>279</v>
      </c>
      <c r="C148" t="s">
        <v>192</v>
      </c>
      <c r="D148" t="s">
        <v>309</v>
      </c>
      <c r="E148" t="s">
        <v>1116</v>
      </c>
      <c r="F148" s="15">
        <v>46230.40084490741</v>
      </c>
      <c r="G148" t="s">
        <v>1117</v>
      </c>
      <c r="H148">
        <v>1789</v>
      </c>
      <c r="I148" t="s">
        <v>1118</v>
      </c>
      <c r="J148" s="15">
        <v>46233.454386574071</v>
      </c>
      <c r="K148" s="15">
        <v>46238.481249999997</v>
      </c>
      <c r="L148" s="15"/>
      <c r="M148">
        <v>1789</v>
      </c>
      <c r="O148" t="s">
        <v>1958</v>
      </c>
      <c r="S148" t="s">
        <v>356</v>
      </c>
      <c r="T148" t="s">
        <v>369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356</v>
      </c>
      <c r="AC148">
        <v>109</v>
      </c>
      <c r="AD148" t="s">
        <v>232</v>
      </c>
      <c r="AE148">
        <v>1789</v>
      </c>
    </row>
    <row r="149" spans="1:32" x14ac:dyDescent="0.3">
      <c r="A149" t="s">
        <v>348</v>
      </c>
      <c r="B149" t="s">
        <v>279</v>
      </c>
      <c r="C149" t="s">
        <v>192</v>
      </c>
      <c r="D149" t="s">
        <v>309</v>
      </c>
      <c r="E149" t="s">
        <v>1116</v>
      </c>
      <c r="F149" s="15">
        <v>46230.40084490741</v>
      </c>
      <c r="G149" t="s">
        <v>1117</v>
      </c>
      <c r="H149">
        <v>1710</v>
      </c>
      <c r="I149" t="s">
        <v>1118</v>
      </c>
      <c r="J149" s="15">
        <v>46233.454386574071</v>
      </c>
      <c r="K149" s="15">
        <v>46238.481249999997</v>
      </c>
      <c r="L149" s="15"/>
      <c r="M149">
        <v>1710</v>
      </c>
      <c r="O149" t="s">
        <v>1958</v>
      </c>
      <c r="S149" t="s">
        <v>356</v>
      </c>
      <c r="T149" t="s">
        <v>369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356</v>
      </c>
      <c r="AC149">
        <v>109</v>
      </c>
      <c r="AD149" t="s">
        <v>232</v>
      </c>
      <c r="AE149">
        <v>1710</v>
      </c>
    </row>
    <row r="150" spans="1:32" x14ac:dyDescent="0.3">
      <c r="A150" t="s">
        <v>348</v>
      </c>
      <c r="B150" t="s">
        <v>279</v>
      </c>
      <c r="C150" t="s">
        <v>192</v>
      </c>
      <c r="D150" t="s">
        <v>309</v>
      </c>
      <c r="E150" t="s">
        <v>1116</v>
      </c>
      <c r="F150" s="15">
        <v>46230.40084490741</v>
      </c>
      <c r="G150" t="s">
        <v>1117</v>
      </c>
      <c r="H150">
        <v>1421</v>
      </c>
      <c r="I150" t="s">
        <v>1118</v>
      </c>
      <c r="J150" s="15">
        <v>46233.454386574071</v>
      </c>
      <c r="K150" s="15">
        <v>46238.481249999997</v>
      </c>
      <c r="L150" s="15"/>
      <c r="M150">
        <v>1421</v>
      </c>
      <c r="O150" t="s">
        <v>1958</v>
      </c>
      <c r="S150" t="s">
        <v>356</v>
      </c>
      <c r="T150" t="s">
        <v>369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356</v>
      </c>
      <c r="AC150">
        <v>109</v>
      </c>
      <c r="AD150" t="s">
        <v>232</v>
      </c>
      <c r="AE150">
        <v>1421</v>
      </c>
    </row>
    <row r="151" spans="1:32" x14ac:dyDescent="0.3">
      <c r="A151" t="s">
        <v>348</v>
      </c>
      <c r="B151" t="s">
        <v>279</v>
      </c>
      <c r="C151" t="s">
        <v>192</v>
      </c>
      <c r="D151" t="s">
        <v>309</v>
      </c>
      <c r="E151" t="s">
        <v>1116</v>
      </c>
      <c r="F151" s="15">
        <v>46230.40084490741</v>
      </c>
      <c r="G151" t="s">
        <v>1117</v>
      </c>
      <c r="H151">
        <v>1299</v>
      </c>
      <c r="I151" t="s">
        <v>1118</v>
      </c>
      <c r="J151" s="15">
        <v>46233.454386574071</v>
      </c>
      <c r="K151" s="15">
        <v>46238.481249999997</v>
      </c>
      <c r="L151" s="15"/>
      <c r="M151">
        <v>1299</v>
      </c>
      <c r="O151" t="s">
        <v>1958</v>
      </c>
      <c r="S151" t="s">
        <v>356</v>
      </c>
      <c r="T151" t="s">
        <v>369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356</v>
      </c>
      <c r="AC151">
        <v>109</v>
      </c>
      <c r="AD151" t="s">
        <v>232</v>
      </c>
      <c r="AE151">
        <v>1299</v>
      </c>
    </row>
    <row r="152" spans="1:32" x14ac:dyDescent="0.3">
      <c r="A152" t="s">
        <v>348</v>
      </c>
      <c r="B152" t="s">
        <v>279</v>
      </c>
      <c r="C152" t="s">
        <v>192</v>
      </c>
      <c r="D152" t="s">
        <v>309</v>
      </c>
      <c r="E152" t="s">
        <v>1116</v>
      </c>
      <c r="F152" s="15">
        <v>46230.40084490741</v>
      </c>
      <c r="G152" t="s">
        <v>1117</v>
      </c>
      <c r="H152">
        <v>1459</v>
      </c>
      <c r="I152" t="s">
        <v>1118</v>
      </c>
      <c r="J152" s="15">
        <v>46233.454386574071</v>
      </c>
      <c r="K152" s="15">
        <v>46238.481249999997</v>
      </c>
      <c r="L152" s="15"/>
      <c r="M152">
        <v>1459</v>
      </c>
      <c r="O152" t="s">
        <v>1958</v>
      </c>
      <c r="S152" t="s">
        <v>356</v>
      </c>
      <c r="T152" t="s">
        <v>369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356</v>
      </c>
      <c r="AC152">
        <v>109</v>
      </c>
      <c r="AD152" t="s">
        <v>232</v>
      </c>
      <c r="AE152">
        <v>1459</v>
      </c>
    </row>
    <row r="153" spans="1:32" x14ac:dyDescent="0.3">
      <c r="A153" t="s">
        <v>348</v>
      </c>
      <c r="B153" t="s">
        <v>279</v>
      </c>
      <c r="C153" t="s">
        <v>192</v>
      </c>
      <c r="D153" t="s">
        <v>309</v>
      </c>
      <c r="E153" t="s">
        <v>1116</v>
      </c>
      <c r="F153" s="15">
        <v>46230.40084490741</v>
      </c>
      <c r="G153" t="s">
        <v>1117</v>
      </c>
      <c r="H153">
        <v>1476</v>
      </c>
      <c r="I153" t="s">
        <v>1118</v>
      </c>
      <c r="J153" s="15">
        <v>46233.454386574071</v>
      </c>
      <c r="K153" s="15">
        <v>46238.481249999997</v>
      </c>
      <c r="L153" s="15"/>
      <c r="M153">
        <v>1476</v>
      </c>
      <c r="O153" t="s">
        <v>1958</v>
      </c>
      <c r="S153" t="s">
        <v>356</v>
      </c>
      <c r="T153" t="s">
        <v>369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356</v>
      </c>
      <c r="AC153">
        <v>109</v>
      </c>
      <c r="AD153" t="s">
        <v>232</v>
      </c>
      <c r="AE153">
        <v>1476</v>
      </c>
    </row>
    <row r="154" spans="1:32" x14ac:dyDescent="0.3">
      <c r="A154" t="s">
        <v>348</v>
      </c>
      <c r="B154" t="s">
        <v>279</v>
      </c>
      <c r="C154" t="s">
        <v>192</v>
      </c>
      <c r="D154" t="s">
        <v>309</v>
      </c>
      <c r="E154" t="s">
        <v>1116</v>
      </c>
      <c r="F154" s="15">
        <v>46230.40084490741</v>
      </c>
      <c r="G154" t="s">
        <v>1117</v>
      </c>
      <c r="H154">
        <v>1559</v>
      </c>
      <c r="I154" t="s">
        <v>1118</v>
      </c>
      <c r="J154" s="15">
        <v>46233.454386574071</v>
      </c>
      <c r="K154" s="15">
        <v>46238.481249999997</v>
      </c>
      <c r="L154" s="15"/>
      <c r="M154">
        <v>1559</v>
      </c>
      <c r="O154" t="s">
        <v>1958</v>
      </c>
      <c r="S154" t="s">
        <v>356</v>
      </c>
      <c r="T154" t="s">
        <v>369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356</v>
      </c>
      <c r="AC154">
        <v>109</v>
      </c>
      <c r="AD154" t="s">
        <v>232</v>
      </c>
      <c r="AE154">
        <v>1559</v>
      </c>
    </row>
    <row r="155" spans="1:32" x14ac:dyDescent="0.3">
      <c r="A155" t="s">
        <v>348</v>
      </c>
      <c r="B155" t="s">
        <v>279</v>
      </c>
      <c r="C155" t="s">
        <v>192</v>
      </c>
      <c r="D155" t="s">
        <v>309</v>
      </c>
      <c r="E155" t="s">
        <v>1119</v>
      </c>
      <c r="F155" s="15">
        <v>46232.31826388889</v>
      </c>
      <c r="G155" t="s">
        <v>401</v>
      </c>
      <c r="H155">
        <v>6</v>
      </c>
      <c r="I155" t="s">
        <v>1120</v>
      </c>
      <c r="J155" s="15">
        <v>46232.407094907408</v>
      </c>
      <c r="K155" s="15">
        <v>46238.423611111109</v>
      </c>
      <c r="L155" s="15"/>
      <c r="M155">
        <v>6</v>
      </c>
      <c r="O155" t="s">
        <v>201</v>
      </c>
      <c r="P155" t="s">
        <v>1956</v>
      </c>
      <c r="S155" t="s">
        <v>357</v>
      </c>
      <c r="T155" t="s">
        <v>369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357</v>
      </c>
      <c r="AC155">
        <v>101</v>
      </c>
      <c r="AD155" t="s">
        <v>232</v>
      </c>
      <c r="AE155">
        <v>6</v>
      </c>
      <c r="AF155">
        <v>1</v>
      </c>
    </row>
    <row r="156" spans="1:32" x14ac:dyDescent="0.3">
      <c r="A156" t="s">
        <v>348</v>
      </c>
      <c r="B156" t="s">
        <v>279</v>
      </c>
      <c r="C156" t="s">
        <v>192</v>
      </c>
      <c r="D156" t="s">
        <v>309</v>
      </c>
      <c r="E156" t="s">
        <v>1130</v>
      </c>
      <c r="F156" s="15">
        <v>46253.45040509259</v>
      </c>
      <c r="G156" t="s">
        <v>402</v>
      </c>
      <c r="H156">
        <v>568</v>
      </c>
      <c r="I156" t="s">
        <v>1131</v>
      </c>
      <c r="J156" s="15">
        <v>46255.393750000003</v>
      </c>
      <c r="K156" s="15">
        <v>46258.414583333331</v>
      </c>
      <c r="L156" s="15"/>
      <c r="M156">
        <v>568</v>
      </c>
      <c r="O156" t="s">
        <v>201</v>
      </c>
      <c r="P156" t="s">
        <v>1954</v>
      </c>
      <c r="S156" t="s">
        <v>355</v>
      </c>
      <c r="T156" t="s">
        <v>369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355</v>
      </c>
      <c r="AC156">
        <v>2200</v>
      </c>
      <c r="AD156" t="s">
        <v>232</v>
      </c>
      <c r="AE156">
        <v>568</v>
      </c>
      <c r="AF156">
        <v>56.8</v>
      </c>
    </row>
    <row r="157" spans="1:32" x14ac:dyDescent="0.3">
      <c r="A157" t="s">
        <v>348</v>
      </c>
      <c r="B157" t="s">
        <v>279</v>
      </c>
      <c r="C157" t="s">
        <v>192</v>
      </c>
      <c r="D157" t="s">
        <v>309</v>
      </c>
      <c r="E157" t="s">
        <v>1132</v>
      </c>
      <c r="F157" s="15">
        <v>46225.356817129628</v>
      </c>
      <c r="G157" t="s">
        <v>399</v>
      </c>
      <c r="H157">
        <v>191</v>
      </c>
      <c r="I157" t="s">
        <v>1133</v>
      </c>
      <c r="J157" s="15">
        <v>46233.380069444444</v>
      </c>
      <c r="K157" s="15">
        <v>46238.463194444441</v>
      </c>
      <c r="L157" s="15"/>
      <c r="M157">
        <v>191</v>
      </c>
      <c r="O157" t="s">
        <v>201</v>
      </c>
      <c r="P157" t="s">
        <v>1956</v>
      </c>
      <c r="S157" t="s">
        <v>354</v>
      </c>
      <c r="T157" t="s">
        <v>369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354</v>
      </c>
      <c r="AC157">
        <v>50</v>
      </c>
      <c r="AD157" t="s">
        <v>232</v>
      </c>
      <c r="AE157">
        <v>191</v>
      </c>
      <c r="AF157">
        <v>19.100000000000001</v>
      </c>
    </row>
    <row r="158" spans="1:32" x14ac:dyDescent="0.3">
      <c r="A158" t="s">
        <v>348</v>
      </c>
      <c r="B158" t="s">
        <v>279</v>
      </c>
      <c r="C158" t="s">
        <v>192</v>
      </c>
      <c r="D158" t="s">
        <v>309</v>
      </c>
      <c r="E158" t="s">
        <v>1123</v>
      </c>
      <c r="F158" s="15">
        <v>46223.754212962966</v>
      </c>
      <c r="G158" t="s">
        <v>402</v>
      </c>
      <c r="H158">
        <v>42</v>
      </c>
      <c r="I158" t="s">
        <v>1124</v>
      </c>
      <c r="J158" s="15">
        <v>46232.484236111108</v>
      </c>
      <c r="K158" s="15">
        <v>46238.427083333336</v>
      </c>
      <c r="L158" s="15"/>
      <c r="M158">
        <v>42</v>
      </c>
      <c r="O158" t="s">
        <v>201</v>
      </c>
      <c r="P158" t="s">
        <v>1956</v>
      </c>
      <c r="S158" t="s">
        <v>355</v>
      </c>
      <c r="T158" t="s">
        <v>369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355</v>
      </c>
      <c r="AC158">
        <v>2200</v>
      </c>
      <c r="AD158" t="s">
        <v>232</v>
      </c>
      <c r="AE158">
        <v>42</v>
      </c>
      <c r="AF158">
        <v>132.19999999999999</v>
      </c>
    </row>
    <row r="159" spans="1:32" x14ac:dyDescent="0.3">
      <c r="A159" t="s">
        <v>348</v>
      </c>
      <c r="B159" t="s">
        <v>279</v>
      </c>
      <c r="C159" t="s">
        <v>197</v>
      </c>
      <c r="D159" t="s">
        <v>309</v>
      </c>
      <c r="E159" t="s">
        <v>1125</v>
      </c>
      <c r="F159" s="15">
        <v>46233.719895833332</v>
      </c>
      <c r="G159" t="s">
        <v>420</v>
      </c>
      <c r="H159">
        <v>31</v>
      </c>
      <c r="I159" t="s">
        <v>1126</v>
      </c>
      <c r="J159" s="15">
        <v>46234.410682870373</v>
      </c>
      <c r="K159" s="15">
        <v>46238.434027777781</v>
      </c>
      <c r="L159" s="15"/>
      <c r="M159">
        <v>31</v>
      </c>
      <c r="O159" t="s">
        <v>201</v>
      </c>
      <c r="P159" t="s">
        <v>1954</v>
      </c>
      <c r="S159" t="s">
        <v>355</v>
      </c>
      <c r="T159" t="s">
        <v>369</v>
      </c>
      <c r="U159" t="s">
        <v>239</v>
      </c>
      <c r="V159" t="s">
        <v>7</v>
      </c>
      <c r="W159" t="s">
        <v>7</v>
      </c>
      <c r="X159" t="s">
        <v>7</v>
      </c>
      <c r="Z159">
        <v>16</v>
      </c>
      <c r="AA159" t="s">
        <v>122</v>
      </c>
      <c r="AB159" t="s">
        <v>355</v>
      </c>
      <c r="AC159">
        <v>2200</v>
      </c>
      <c r="AD159" t="s">
        <v>232</v>
      </c>
      <c r="AE159">
        <v>496</v>
      </c>
    </row>
    <row r="160" spans="1:32" x14ac:dyDescent="0.3">
      <c r="A160" t="s">
        <v>348</v>
      </c>
      <c r="B160" t="s">
        <v>279</v>
      </c>
      <c r="C160" t="s">
        <v>197</v>
      </c>
      <c r="D160" t="s">
        <v>309</v>
      </c>
      <c r="E160" t="s">
        <v>1125</v>
      </c>
      <c r="F160" s="15">
        <v>46233.719895833332</v>
      </c>
      <c r="G160" t="s">
        <v>420</v>
      </c>
      <c r="H160">
        <v>11</v>
      </c>
      <c r="I160" t="s">
        <v>1126</v>
      </c>
      <c r="J160" s="15">
        <v>46234.410682870373</v>
      </c>
      <c r="K160" s="15">
        <v>46238.434027777781</v>
      </c>
      <c r="L160" s="15"/>
      <c r="M160">
        <v>11</v>
      </c>
      <c r="O160" t="s">
        <v>1958</v>
      </c>
      <c r="S160" t="s">
        <v>355</v>
      </c>
      <c r="T160" t="s">
        <v>369</v>
      </c>
      <c r="U160" t="s">
        <v>239</v>
      </c>
      <c r="V160" t="s">
        <v>7</v>
      </c>
      <c r="W160" t="s">
        <v>7</v>
      </c>
      <c r="X160" t="s">
        <v>7</v>
      </c>
      <c r="Z160">
        <v>16</v>
      </c>
      <c r="AA160" t="s">
        <v>122</v>
      </c>
      <c r="AB160" t="s">
        <v>355</v>
      </c>
      <c r="AC160">
        <v>2200</v>
      </c>
      <c r="AD160" t="s">
        <v>232</v>
      </c>
      <c r="AE160">
        <v>176</v>
      </c>
    </row>
    <row r="161" spans="1:32" x14ac:dyDescent="0.3">
      <c r="A161" t="s">
        <v>348</v>
      </c>
      <c r="B161" t="s">
        <v>279</v>
      </c>
      <c r="C161" t="s">
        <v>197</v>
      </c>
      <c r="D161" t="s">
        <v>309</v>
      </c>
      <c r="E161" t="s">
        <v>1121</v>
      </c>
      <c r="F161" s="15">
        <v>46212.717303240737</v>
      </c>
      <c r="G161" t="s">
        <v>402</v>
      </c>
      <c r="H161">
        <v>24</v>
      </c>
      <c r="I161" t="s">
        <v>1122</v>
      </c>
      <c r="J161" s="15">
        <v>46231.477627314816</v>
      </c>
      <c r="K161" s="15">
        <v>46238.444444444445</v>
      </c>
      <c r="L161" s="15"/>
      <c r="M161">
        <v>24</v>
      </c>
      <c r="O161" t="s">
        <v>201</v>
      </c>
      <c r="P161" t="s">
        <v>1956</v>
      </c>
      <c r="S161" t="s">
        <v>355</v>
      </c>
      <c r="T161" t="s">
        <v>369</v>
      </c>
      <c r="U161" t="s">
        <v>239</v>
      </c>
      <c r="V161" t="s">
        <v>7</v>
      </c>
      <c r="W161" t="s">
        <v>7</v>
      </c>
      <c r="X161" t="s">
        <v>7</v>
      </c>
      <c r="Z161">
        <v>16</v>
      </c>
      <c r="AA161" t="s">
        <v>122</v>
      </c>
      <c r="AB161" t="s">
        <v>355</v>
      </c>
      <c r="AC161">
        <v>2200</v>
      </c>
      <c r="AD161" t="s">
        <v>232</v>
      </c>
      <c r="AE161">
        <v>384</v>
      </c>
    </row>
    <row r="162" spans="1:32" x14ac:dyDescent="0.3">
      <c r="A162" t="s">
        <v>348</v>
      </c>
      <c r="B162" t="s">
        <v>279</v>
      </c>
      <c r="C162" t="s">
        <v>197</v>
      </c>
      <c r="D162" t="s">
        <v>309</v>
      </c>
      <c r="E162" t="s">
        <v>1121</v>
      </c>
      <c r="F162" s="15">
        <v>46212.717303240737</v>
      </c>
      <c r="G162" t="s">
        <v>402</v>
      </c>
      <c r="H162">
        <v>14</v>
      </c>
      <c r="I162" t="s">
        <v>1122</v>
      </c>
      <c r="J162" s="15">
        <v>46231.477627314816</v>
      </c>
      <c r="K162" s="15">
        <v>46238.444444444445</v>
      </c>
      <c r="L162" s="15"/>
      <c r="M162">
        <v>14</v>
      </c>
      <c r="O162" t="s">
        <v>1958</v>
      </c>
      <c r="S162" t="s">
        <v>355</v>
      </c>
      <c r="T162" t="s">
        <v>369</v>
      </c>
      <c r="U162" t="s">
        <v>239</v>
      </c>
      <c r="V162" t="s">
        <v>7</v>
      </c>
      <c r="W162" t="s">
        <v>7</v>
      </c>
      <c r="X162" t="s">
        <v>7</v>
      </c>
      <c r="Z162">
        <v>16</v>
      </c>
      <c r="AA162" t="s">
        <v>122</v>
      </c>
      <c r="AB162" t="s">
        <v>355</v>
      </c>
      <c r="AC162">
        <v>2200</v>
      </c>
      <c r="AD162" t="s">
        <v>232</v>
      </c>
      <c r="AE162">
        <v>224</v>
      </c>
    </row>
    <row r="163" spans="1:32" x14ac:dyDescent="0.3">
      <c r="A163" t="s">
        <v>348</v>
      </c>
      <c r="B163" t="s">
        <v>279</v>
      </c>
      <c r="C163" t="s">
        <v>192</v>
      </c>
      <c r="D163" t="s">
        <v>309</v>
      </c>
      <c r="E163" t="s">
        <v>1134</v>
      </c>
      <c r="F163" s="15">
        <v>46223.623645833337</v>
      </c>
      <c r="G163" t="s">
        <v>402</v>
      </c>
      <c r="H163">
        <v>2</v>
      </c>
      <c r="I163" t="s">
        <v>1135</v>
      </c>
      <c r="J163" s="15">
        <v>46224.351388888892</v>
      </c>
      <c r="K163" s="15">
        <v>46227.68472222222</v>
      </c>
      <c r="L163" s="15">
        <v>46234.655555555553</v>
      </c>
      <c r="M163">
        <v>2</v>
      </c>
      <c r="O163" t="s">
        <v>201</v>
      </c>
      <c r="P163" t="s">
        <v>1956</v>
      </c>
      <c r="S163" t="s">
        <v>355</v>
      </c>
      <c r="T163" t="s">
        <v>369</v>
      </c>
      <c r="U163" t="s">
        <v>239</v>
      </c>
      <c r="V163" t="s">
        <v>7</v>
      </c>
      <c r="W163" t="s">
        <v>7</v>
      </c>
      <c r="X163" t="s">
        <v>7</v>
      </c>
      <c r="Z163">
        <v>1</v>
      </c>
      <c r="AA163" t="s">
        <v>122</v>
      </c>
      <c r="AB163" t="s">
        <v>355</v>
      </c>
      <c r="AC163">
        <v>2200</v>
      </c>
      <c r="AD163" t="s">
        <v>232</v>
      </c>
      <c r="AE163">
        <v>2</v>
      </c>
      <c r="AF163">
        <v>373.3</v>
      </c>
    </row>
    <row r="164" spans="1:32" x14ac:dyDescent="0.3">
      <c r="A164" t="s">
        <v>348</v>
      </c>
      <c r="B164" t="s">
        <v>279</v>
      </c>
      <c r="C164" t="s">
        <v>192</v>
      </c>
      <c r="D164" t="s">
        <v>309</v>
      </c>
      <c r="E164" t="s">
        <v>1134</v>
      </c>
      <c r="F164" s="15">
        <v>46223.623645833337</v>
      </c>
      <c r="G164" t="s">
        <v>402</v>
      </c>
      <c r="H164">
        <v>560</v>
      </c>
      <c r="I164" t="s">
        <v>1135</v>
      </c>
      <c r="J164" s="15">
        <v>46224.351388888892</v>
      </c>
      <c r="K164" s="15">
        <v>46227.68472222222</v>
      </c>
      <c r="L164" s="15">
        <v>46234.655555555553</v>
      </c>
      <c r="M164">
        <v>560</v>
      </c>
      <c r="O164" t="s">
        <v>1958</v>
      </c>
      <c r="S164" t="s">
        <v>355</v>
      </c>
      <c r="T164" t="s">
        <v>369</v>
      </c>
      <c r="U164" t="s">
        <v>239</v>
      </c>
      <c r="V164" t="s">
        <v>7</v>
      </c>
      <c r="W164" t="s">
        <v>7</v>
      </c>
      <c r="X164" t="s">
        <v>7</v>
      </c>
      <c r="Z164">
        <v>1</v>
      </c>
      <c r="AA164" t="s">
        <v>122</v>
      </c>
      <c r="AB164" t="s">
        <v>355</v>
      </c>
      <c r="AC164">
        <v>2200</v>
      </c>
      <c r="AD164" t="s">
        <v>232</v>
      </c>
      <c r="AE164">
        <v>560</v>
      </c>
    </row>
    <row r="165" spans="1:32" x14ac:dyDescent="0.3">
      <c r="A165" t="s">
        <v>348</v>
      </c>
      <c r="B165" t="s">
        <v>279</v>
      </c>
      <c r="C165" t="s">
        <v>192</v>
      </c>
      <c r="D165" t="s">
        <v>309</v>
      </c>
      <c r="E165" t="s">
        <v>1134</v>
      </c>
      <c r="F165" s="15">
        <v>46223.623645833337</v>
      </c>
      <c r="G165" t="s">
        <v>402</v>
      </c>
      <c r="H165">
        <v>3171</v>
      </c>
      <c r="I165" t="s">
        <v>1136</v>
      </c>
      <c r="J165" s="15">
        <v>46224.351388888892</v>
      </c>
      <c r="K165" s="15">
        <v>46227.68472222222</v>
      </c>
      <c r="L165" s="15"/>
      <c r="M165">
        <v>3171</v>
      </c>
      <c r="O165" t="s">
        <v>201</v>
      </c>
      <c r="P165" t="s">
        <v>1956</v>
      </c>
      <c r="S165" t="s">
        <v>355</v>
      </c>
      <c r="T165" t="s">
        <v>369</v>
      </c>
      <c r="U165" t="s">
        <v>239</v>
      </c>
      <c r="V165" t="s">
        <v>7</v>
      </c>
      <c r="W165" t="s">
        <v>7</v>
      </c>
      <c r="X165" t="s">
        <v>7</v>
      </c>
      <c r="Z165">
        <v>1</v>
      </c>
      <c r="AA165" t="s">
        <v>122</v>
      </c>
      <c r="AB165" t="s">
        <v>355</v>
      </c>
      <c r="AC165">
        <v>2200</v>
      </c>
      <c r="AD165" t="s">
        <v>232</v>
      </c>
      <c r="AE165">
        <v>3171</v>
      </c>
    </row>
    <row r="166" spans="1:32" x14ac:dyDescent="0.3">
      <c r="A166" t="s">
        <v>348</v>
      </c>
      <c r="B166" t="s">
        <v>63</v>
      </c>
      <c r="C166" t="s">
        <v>95</v>
      </c>
      <c r="D166" t="s">
        <v>309</v>
      </c>
      <c r="E166" t="s">
        <v>741</v>
      </c>
      <c r="F166" s="15">
        <v>46248.437847222223</v>
      </c>
      <c r="G166" t="s">
        <v>401</v>
      </c>
      <c r="H166">
        <v>1</v>
      </c>
      <c r="I166" t="s">
        <v>1095</v>
      </c>
      <c r="J166" s="15">
        <v>46248.662499999999</v>
      </c>
      <c r="K166" s="15">
        <v>46253.628472222219</v>
      </c>
      <c r="L166" s="15"/>
      <c r="M166">
        <v>1</v>
      </c>
      <c r="O166" t="s">
        <v>201</v>
      </c>
      <c r="P166" t="s">
        <v>1954</v>
      </c>
      <c r="S166" t="s">
        <v>357</v>
      </c>
      <c r="T166" t="s">
        <v>369</v>
      </c>
      <c r="U166" t="s">
        <v>239</v>
      </c>
      <c r="V166" t="s">
        <v>7</v>
      </c>
      <c r="W166" t="s">
        <v>7</v>
      </c>
      <c r="X166" t="s">
        <v>7</v>
      </c>
      <c r="AA166" t="s">
        <v>96</v>
      </c>
      <c r="AB166" t="s">
        <v>357</v>
      </c>
      <c r="AC166">
        <v>101</v>
      </c>
      <c r="AD166" t="s">
        <v>225</v>
      </c>
      <c r="AE166">
        <v>1</v>
      </c>
      <c r="AF166">
        <v>1</v>
      </c>
    </row>
    <row r="167" spans="1:32" x14ac:dyDescent="0.3">
      <c r="A167" t="s">
        <v>348</v>
      </c>
      <c r="B167" t="s">
        <v>63</v>
      </c>
      <c r="C167" t="s">
        <v>95</v>
      </c>
      <c r="D167" t="s">
        <v>309</v>
      </c>
      <c r="E167" t="s">
        <v>1096</v>
      </c>
      <c r="F167" s="15">
        <v>46239.634884259256</v>
      </c>
      <c r="G167" t="s">
        <v>401</v>
      </c>
      <c r="H167">
        <v>1</v>
      </c>
      <c r="I167" t="s">
        <v>1097</v>
      </c>
      <c r="J167" s="15">
        <v>46240.408333333333</v>
      </c>
      <c r="K167" s="15">
        <v>46246.645833333336</v>
      </c>
      <c r="L167" s="15"/>
      <c r="M167">
        <v>1</v>
      </c>
      <c r="O167" t="s">
        <v>201</v>
      </c>
      <c r="P167" t="s">
        <v>1954</v>
      </c>
      <c r="S167" t="s">
        <v>357</v>
      </c>
      <c r="T167" t="s">
        <v>369</v>
      </c>
      <c r="U167" t="s">
        <v>239</v>
      </c>
      <c r="V167" t="s">
        <v>7</v>
      </c>
      <c r="W167" t="s">
        <v>7</v>
      </c>
      <c r="X167" t="s">
        <v>7</v>
      </c>
      <c r="AA167" t="s">
        <v>96</v>
      </c>
      <c r="AB167" t="s">
        <v>357</v>
      </c>
      <c r="AC167">
        <v>101</v>
      </c>
      <c r="AD167" t="s">
        <v>225</v>
      </c>
      <c r="AE167">
        <v>1</v>
      </c>
      <c r="AF167">
        <v>1</v>
      </c>
    </row>
    <row r="168" spans="1:32" x14ac:dyDescent="0.3">
      <c r="A168" t="s">
        <v>348</v>
      </c>
      <c r="B168" t="s">
        <v>63</v>
      </c>
      <c r="C168" t="s">
        <v>95</v>
      </c>
      <c r="D168" t="s">
        <v>309</v>
      </c>
      <c r="E168" t="s">
        <v>1098</v>
      </c>
      <c r="F168" s="15">
        <v>46245.601261574076</v>
      </c>
      <c r="G168" t="s">
        <v>405</v>
      </c>
      <c r="H168">
        <v>1</v>
      </c>
      <c r="I168" t="s">
        <v>1099</v>
      </c>
      <c r="J168" s="15">
        <v>46246.638194444444</v>
      </c>
      <c r="K168" s="15">
        <v>46252.386805555558</v>
      </c>
      <c r="L168" s="15"/>
      <c r="M168">
        <v>1</v>
      </c>
      <c r="O168" t="s">
        <v>201</v>
      </c>
      <c r="P168" t="s">
        <v>1954</v>
      </c>
      <c r="S168" t="s">
        <v>355</v>
      </c>
      <c r="T168" t="s">
        <v>369</v>
      </c>
      <c r="U168" t="s">
        <v>239</v>
      </c>
      <c r="V168" t="s">
        <v>7</v>
      </c>
      <c r="W168" t="s">
        <v>7</v>
      </c>
      <c r="X168" t="s">
        <v>7</v>
      </c>
      <c r="AA168" t="s">
        <v>96</v>
      </c>
      <c r="AB168" t="s">
        <v>355</v>
      </c>
      <c r="AC168">
        <v>2200</v>
      </c>
      <c r="AD168" t="s">
        <v>225</v>
      </c>
      <c r="AE168">
        <v>1</v>
      </c>
      <c r="AF168">
        <v>1</v>
      </c>
    </row>
    <row r="169" spans="1:32" x14ac:dyDescent="0.3">
      <c r="A169" t="s">
        <v>348</v>
      </c>
      <c r="B169" t="s">
        <v>63</v>
      </c>
      <c r="C169" t="s">
        <v>95</v>
      </c>
      <c r="D169" t="s">
        <v>309</v>
      </c>
      <c r="E169" t="s">
        <v>1100</v>
      </c>
      <c r="F169" s="15">
        <v>46245.375648148147</v>
      </c>
      <c r="G169" t="s">
        <v>402</v>
      </c>
      <c r="H169">
        <v>5</v>
      </c>
      <c r="I169" t="s">
        <v>1101</v>
      </c>
      <c r="J169" s="15">
        <v>46246.395138888889</v>
      </c>
      <c r="K169" s="15">
        <v>46248.681250000001</v>
      </c>
      <c r="L169" s="15"/>
      <c r="M169">
        <v>5</v>
      </c>
      <c r="O169" t="s">
        <v>201</v>
      </c>
      <c r="P169" t="s">
        <v>1954</v>
      </c>
      <c r="S169" t="s">
        <v>355</v>
      </c>
      <c r="T169" t="s">
        <v>369</v>
      </c>
      <c r="U169" t="s">
        <v>239</v>
      </c>
      <c r="V169" t="s">
        <v>7</v>
      </c>
      <c r="W169" t="s">
        <v>7</v>
      </c>
      <c r="X169" t="s">
        <v>7</v>
      </c>
      <c r="AA169" t="s">
        <v>96</v>
      </c>
      <c r="AB169" t="s">
        <v>355</v>
      </c>
      <c r="AC169">
        <v>2200</v>
      </c>
      <c r="AD169" t="s">
        <v>225</v>
      </c>
      <c r="AE169">
        <v>5</v>
      </c>
      <c r="AF169">
        <v>1</v>
      </c>
    </row>
    <row r="170" spans="1:32" x14ac:dyDescent="0.3">
      <c r="A170" t="s">
        <v>348</v>
      </c>
      <c r="B170" t="s">
        <v>63</v>
      </c>
      <c r="C170" t="s">
        <v>95</v>
      </c>
      <c r="D170" t="s">
        <v>309</v>
      </c>
      <c r="E170" t="s">
        <v>1102</v>
      </c>
      <c r="F170" s="15">
        <v>46239.715613425928</v>
      </c>
      <c r="G170" t="s">
        <v>402</v>
      </c>
      <c r="H170">
        <v>3</v>
      </c>
      <c r="I170" t="s">
        <v>1103</v>
      </c>
      <c r="J170" s="15">
        <v>46241.71597222222</v>
      </c>
      <c r="K170" s="15">
        <v>46246.671527777777</v>
      </c>
      <c r="L170" s="15"/>
      <c r="M170">
        <v>3</v>
      </c>
      <c r="O170" t="s">
        <v>201</v>
      </c>
      <c r="P170" t="s">
        <v>1954</v>
      </c>
      <c r="S170" t="s">
        <v>355</v>
      </c>
      <c r="T170" t="s">
        <v>369</v>
      </c>
      <c r="U170" t="s">
        <v>239</v>
      </c>
      <c r="V170" t="s">
        <v>7</v>
      </c>
      <c r="W170" t="s">
        <v>7</v>
      </c>
      <c r="X170" t="s">
        <v>7</v>
      </c>
      <c r="AA170" t="s">
        <v>96</v>
      </c>
      <c r="AB170" t="s">
        <v>355</v>
      </c>
      <c r="AC170">
        <v>2200</v>
      </c>
      <c r="AD170" t="s">
        <v>225</v>
      </c>
      <c r="AE170">
        <v>3</v>
      </c>
      <c r="AF170">
        <v>1</v>
      </c>
    </row>
    <row r="171" spans="1:32" x14ac:dyDescent="0.3">
      <c r="A171" t="s">
        <v>348</v>
      </c>
      <c r="B171" t="s">
        <v>63</v>
      </c>
      <c r="C171" t="s">
        <v>95</v>
      </c>
      <c r="D171" t="s">
        <v>309</v>
      </c>
      <c r="E171" t="s">
        <v>1104</v>
      </c>
      <c r="F171" s="15">
        <v>46238.474398148152</v>
      </c>
      <c r="G171" t="s">
        <v>402</v>
      </c>
      <c r="H171">
        <v>1</v>
      </c>
      <c r="I171" t="s">
        <v>1105</v>
      </c>
      <c r="J171" s="15">
        <v>46238.659722222219</v>
      </c>
      <c r="K171" s="15">
        <v>46241.456944444442</v>
      </c>
      <c r="L171" s="15"/>
      <c r="M171">
        <v>1</v>
      </c>
      <c r="O171" t="s">
        <v>201</v>
      </c>
      <c r="P171" t="s">
        <v>1954</v>
      </c>
      <c r="S171" t="s">
        <v>355</v>
      </c>
      <c r="T171" t="s">
        <v>369</v>
      </c>
      <c r="U171" t="s">
        <v>239</v>
      </c>
      <c r="V171" t="s">
        <v>7</v>
      </c>
      <c r="W171" t="s">
        <v>7</v>
      </c>
      <c r="X171" t="s">
        <v>7</v>
      </c>
      <c r="AA171" t="s">
        <v>96</v>
      </c>
      <c r="AB171" t="s">
        <v>355</v>
      </c>
      <c r="AC171">
        <v>2200</v>
      </c>
      <c r="AD171" t="s">
        <v>225</v>
      </c>
      <c r="AE171">
        <v>1</v>
      </c>
      <c r="AF171">
        <v>1</v>
      </c>
    </row>
    <row r="172" spans="1:32" x14ac:dyDescent="0.3">
      <c r="A172" t="s">
        <v>348</v>
      </c>
      <c r="B172" t="s">
        <v>63</v>
      </c>
      <c r="C172" t="s">
        <v>95</v>
      </c>
      <c r="D172" t="s">
        <v>309</v>
      </c>
      <c r="E172" t="s">
        <v>1106</v>
      </c>
      <c r="F172" s="15">
        <v>46244.43917824074</v>
      </c>
      <c r="G172" t="s">
        <v>406</v>
      </c>
      <c r="H172">
        <v>1</v>
      </c>
      <c r="I172" t="s">
        <v>1107</v>
      </c>
      <c r="J172" s="15">
        <v>46245.671527777777</v>
      </c>
      <c r="K172" s="15">
        <v>46251.602083333331</v>
      </c>
      <c r="L172" s="15"/>
      <c r="M172">
        <v>1</v>
      </c>
      <c r="O172" t="s">
        <v>201</v>
      </c>
      <c r="P172" t="s">
        <v>1954</v>
      </c>
      <c r="S172" t="s">
        <v>354</v>
      </c>
      <c r="T172" t="s">
        <v>369</v>
      </c>
      <c r="U172" t="s">
        <v>239</v>
      </c>
      <c r="V172" t="s">
        <v>7</v>
      </c>
      <c r="W172" t="s">
        <v>7</v>
      </c>
      <c r="X172" t="s">
        <v>7</v>
      </c>
      <c r="AA172" t="s">
        <v>96</v>
      </c>
      <c r="AB172" t="s">
        <v>354</v>
      </c>
      <c r="AC172">
        <v>50</v>
      </c>
      <c r="AD172" t="s">
        <v>225</v>
      </c>
      <c r="AE172">
        <v>1</v>
      </c>
      <c r="AF172">
        <v>2.1</v>
      </c>
    </row>
    <row r="173" spans="1:32" x14ac:dyDescent="0.3">
      <c r="A173" t="s">
        <v>348</v>
      </c>
      <c r="B173" t="s">
        <v>63</v>
      </c>
      <c r="C173" t="s">
        <v>95</v>
      </c>
      <c r="D173" t="s">
        <v>309</v>
      </c>
      <c r="E173" t="s">
        <v>1106</v>
      </c>
      <c r="F173" s="15">
        <v>46244.43917824074</v>
      </c>
      <c r="G173" t="s">
        <v>406</v>
      </c>
      <c r="H173">
        <v>2</v>
      </c>
      <c r="I173" t="s">
        <v>1107</v>
      </c>
      <c r="J173" s="15">
        <v>46245.671527777777</v>
      </c>
      <c r="K173" s="15">
        <v>46251.602083333331</v>
      </c>
      <c r="L173" s="15"/>
      <c r="M173">
        <v>2</v>
      </c>
      <c r="O173" t="s">
        <v>1958</v>
      </c>
      <c r="S173" t="s">
        <v>354</v>
      </c>
      <c r="T173" t="s">
        <v>369</v>
      </c>
      <c r="U173" t="s">
        <v>239</v>
      </c>
      <c r="V173" t="s">
        <v>7</v>
      </c>
      <c r="W173" t="s">
        <v>7</v>
      </c>
      <c r="X173" t="s">
        <v>7</v>
      </c>
      <c r="AA173" t="s">
        <v>96</v>
      </c>
      <c r="AB173" t="s">
        <v>354</v>
      </c>
      <c r="AC173">
        <v>50</v>
      </c>
      <c r="AD173" t="s">
        <v>225</v>
      </c>
      <c r="AE173">
        <v>2</v>
      </c>
    </row>
    <row r="174" spans="1:32" x14ac:dyDescent="0.3">
      <c r="A174" t="s">
        <v>348</v>
      </c>
      <c r="B174" t="s">
        <v>63</v>
      </c>
      <c r="C174" t="s">
        <v>95</v>
      </c>
      <c r="D174" t="s">
        <v>309</v>
      </c>
      <c r="E174" t="s">
        <v>1106</v>
      </c>
      <c r="F174" s="15">
        <v>46244.43917824074</v>
      </c>
      <c r="G174" t="s">
        <v>406</v>
      </c>
      <c r="H174">
        <v>4</v>
      </c>
      <c r="I174" t="s">
        <v>1107</v>
      </c>
      <c r="J174" s="15">
        <v>46245.671527777777</v>
      </c>
      <c r="K174" s="15">
        <v>46251.602083333331</v>
      </c>
      <c r="L174" s="15"/>
      <c r="M174">
        <v>4</v>
      </c>
      <c r="O174" t="s">
        <v>1958</v>
      </c>
      <c r="S174" t="s">
        <v>354</v>
      </c>
      <c r="T174" t="s">
        <v>369</v>
      </c>
      <c r="U174" t="s">
        <v>239</v>
      </c>
      <c r="V174" t="s">
        <v>7</v>
      </c>
      <c r="W174" t="s">
        <v>7</v>
      </c>
      <c r="X174" t="s">
        <v>7</v>
      </c>
      <c r="AA174" t="s">
        <v>96</v>
      </c>
      <c r="AB174" t="s">
        <v>354</v>
      </c>
      <c r="AC174">
        <v>50</v>
      </c>
      <c r="AD174" t="s">
        <v>225</v>
      </c>
      <c r="AE174">
        <v>4</v>
      </c>
    </row>
    <row r="175" spans="1:32" x14ac:dyDescent="0.3">
      <c r="A175" t="s">
        <v>348</v>
      </c>
      <c r="B175" t="s">
        <v>63</v>
      </c>
      <c r="C175" t="s">
        <v>95</v>
      </c>
      <c r="D175" t="s">
        <v>309</v>
      </c>
      <c r="E175" t="s">
        <v>1106</v>
      </c>
      <c r="F175" s="15">
        <v>46244.43917824074</v>
      </c>
      <c r="G175" t="s">
        <v>406</v>
      </c>
      <c r="H175">
        <v>1</v>
      </c>
      <c r="I175" t="s">
        <v>1107</v>
      </c>
      <c r="J175" s="15">
        <v>46245.671527777777</v>
      </c>
      <c r="K175" s="15">
        <v>46251.602083333331</v>
      </c>
      <c r="L175" s="15"/>
      <c r="M175">
        <v>1</v>
      </c>
      <c r="O175" t="s">
        <v>1958</v>
      </c>
      <c r="S175" t="s">
        <v>354</v>
      </c>
      <c r="T175" t="s">
        <v>369</v>
      </c>
      <c r="U175" t="s">
        <v>239</v>
      </c>
      <c r="V175" t="s">
        <v>7</v>
      </c>
      <c r="W175" t="s">
        <v>7</v>
      </c>
      <c r="X175" t="s">
        <v>7</v>
      </c>
      <c r="AA175" t="s">
        <v>96</v>
      </c>
      <c r="AB175" t="s">
        <v>354</v>
      </c>
      <c r="AC175">
        <v>50</v>
      </c>
      <c r="AD175" t="s">
        <v>225</v>
      </c>
      <c r="AE175">
        <v>1</v>
      </c>
    </row>
    <row r="176" spans="1:32" x14ac:dyDescent="0.3">
      <c r="A176" t="s">
        <v>348</v>
      </c>
      <c r="B176" t="s">
        <v>63</v>
      </c>
      <c r="C176" t="s">
        <v>95</v>
      </c>
      <c r="D176" t="s">
        <v>309</v>
      </c>
      <c r="E176" t="s">
        <v>1106</v>
      </c>
      <c r="F176" s="15">
        <v>46244.43917824074</v>
      </c>
      <c r="G176" t="s">
        <v>406</v>
      </c>
      <c r="H176">
        <v>3</v>
      </c>
      <c r="I176" t="s">
        <v>1107</v>
      </c>
      <c r="J176" s="15">
        <v>46245.671527777777</v>
      </c>
      <c r="K176" s="15">
        <v>46251.602083333331</v>
      </c>
      <c r="L176" s="15"/>
      <c r="M176">
        <v>3</v>
      </c>
      <c r="O176" t="s">
        <v>1958</v>
      </c>
      <c r="S176" t="s">
        <v>354</v>
      </c>
      <c r="T176" t="s">
        <v>369</v>
      </c>
      <c r="U176" t="s">
        <v>239</v>
      </c>
      <c r="V176" t="s">
        <v>7</v>
      </c>
      <c r="W176" t="s">
        <v>7</v>
      </c>
      <c r="X176" t="s">
        <v>7</v>
      </c>
      <c r="AA176" t="s">
        <v>96</v>
      </c>
      <c r="AB176" t="s">
        <v>354</v>
      </c>
      <c r="AC176">
        <v>50</v>
      </c>
      <c r="AD176" t="s">
        <v>225</v>
      </c>
      <c r="AE176">
        <v>3</v>
      </c>
    </row>
    <row r="177" spans="1:32" x14ac:dyDescent="0.3">
      <c r="A177" t="s">
        <v>348</v>
      </c>
      <c r="B177" t="s">
        <v>63</v>
      </c>
      <c r="C177" t="s">
        <v>95</v>
      </c>
      <c r="D177" t="s">
        <v>309</v>
      </c>
      <c r="E177" t="s">
        <v>1106</v>
      </c>
      <c r="F177" s="15">
        <v>46244.43917824074</v>
      </c>
      <c r="G177" t="s">
        <v>406</v>
      </c>
      <c r="H177">
        <v>4</v>
      </c>
      <c r="I177" t="s">
        <v>1107</v>
      </c>
      <c r="J177" s="15">
        <v>46245.671527777777</v>
      </c>
      <c r="K177" s="15">
        <v>46251.602083333331</v>
      </c>
      <c r="L177" s="15"/>
      <c r="M177">
        <v>4</v>
      </c>
      <c r="O177" t="s">
        <v>1958</v>
      </c>
      <c r="S177" t="s">
        <v>354</v>
      </c>
      <c r="T177" t="s">
        <v>369</v>
      </c>
      <c r="U177" t="s">
        <v>239</v>
      </c>
      <c r="V177" t="s">
        <v>7</v>
      </c>
      <c r="W177" t="s">
        <v>7</v>
      </c>
      <c r="X177" t="s">
        <v>7</v>
      </c>
      <c r="AA177" t="s">
        <v>96</v>
      </c>
      <c r="AB177" t="s">
        <v>354</v>
      </c>
      <c r="AC177">
        <v>50</v>
      </c>
      <c r="AD177" t="s">
        <v>225</v>
      </c>
      <c r="AE177">
        <v>4</v>
      </c>
    </row>
    <row r="178" spans="1:32" x14ac:dyDescent="0.3">
      <c r="A178" t="s">
        <v>348</v>
      </c>
      <c r="B178" t="s">
        <v>63</v>
      </c>
      <c r="C178" t="s">
        <v>95</v>
      </c>
      <c r="D178" t="s">
        <v>309</v>
      </c>
      <c r="E178" t="s">
        <v>1106</v>
      </c>
      <c r="F178" s="15">
        <v>46244.43917824074</v>
      </c>
      <c r="G178" t="s">
        <v>406</v>
      </c>
      <c r="H178">
        <v>2</v>
      </c>
      <c r="I178" t="s">
        <v>1107</v>
      </c>
      <c r="J178" s="15">
        <v>46245.671527777777</v>
      </c>
      <c r="K178" s="15">
        <v>46251.602083333331</v>
      </c>
      <c r="L178" s="15"/>
      <c r="M178">
        <v>2</v>
      </c>
      <c r="O178" t="s">
        <v>1958</v>
      </c>
      <c r="S178" t="s">
        <v>354</v>
      </c>
      <c r="T178" t="s">
        <v>369</v>
      </c>
      <c r="U178" t="s">
        <v>239</v>
      </c>
      <c r="V178" t="s">
        <v>7</v>
      </c>
      <c r="W178" t="s">
        <v>7</v>
      </c>
      <c r="X178" t="s">
        <v>7</v>
      </c>
      <c r="AA178" t="s">
        <v>96</v>
      </c>
      <c r="AB178" t="s">
        <v>354</v>
      </c>
      <c r="AC178">
        <v>50</v>
      </c>
      <c r="AD178" t="s">
        <v>225</v>
      </c>
      <c r="AE178">
        <v>2</v>
      </c>
    </row>
    <row r="179" spans="1:32" x14ac:dyDescent="0.3">
      <c r="A179" t="s">
        <v>348</v>
      </c>
      <c r="B179" t="s">
        <v>63</v>
      </c>
      <c r="C179" t="s">
        <v>95</v>
      </c>
      <c r="D179" t="s">
        <v>309</v>
      </c>
      <c r="E179" t="s">
        <v>1106</v>
      </c>
      <c r="F179" s="15">
        <v>46244.43917824074</v>
      </c>
      <c r="G179" t="s">
        <v>406</v>
      </c>
      <c r="H179">
        <v>2</v>
      </c>
      <c r="I179" t="s">
        <v>1107</v>
      </c>
      <c r="J179" s="15">
        <v>46245.671527777777</v>
      </c>
      <c r="K179" s="15">
        <v>46251.602083333331</v>
      </c>
      <c r="L179" s="15"/>
      <c r="M179">
        <v>2</v>
      </c>
      <c r="O179" t="s">
        <v>1958</v>
      </c>
      <c r="S179" t="s">
        <v>354</v>
      </c>
      <c r="T179" t="s">
        <v>369</v>
      </c>
      <c r="U179" t="s">
        <v>239</v>
      </c>
      <c r="V179" t="s">
        <v>7</v>
      </c>
      <c r="W179" t="s">
        <v>7</v>
      </c>
      <c r="X179" t="s">
        <v>7</v>
      </c>
      <c r="AA179" t="s">
        <v>96</v>
      </c>
      <c r="AB179" t="s">
        <v>354</v>
      </c>
      <c r="AC179">
        <v>50</v>
      </c>
      <c r="AD179" t="s">
        <v>225</v>
      </c>
      <c r="AE179">
        <v>2</v>
      </c>
    </row>
    <row r="180" spans="1:32" x14ac:dyDescent="0.3">
      <c r="A180" t="s">
        <v>348</v>
      </c>
      <c r="B180" t="s">
        <v>63</v>
      </c>
      <c r="C180" t="s">
        <v>95</v>
      </c>
      <c r="D180" t="s">
        <v>309</v>
      </c>
      <c r="E180" t="s">
        <v>1106</v>
      </c>
      <c r="F180" s="15">
        <v>46244.43917824074</v>
      </c>
      <c r="G180" t="s">
        <v>406</v>
      </c>
      <c r="H180">
        <v>2</v>
      </c>
      <c r="I180" t="s">
        <v>1107</v>
      </c>
      <c r="J180" s="15">
        <v>46245.671527777777</v>
      </c>
      <c r="K180" s="15">
        <v>46251.602083333331</v>
      </c>
      <c r="L180" s="15"/>
      <c r="M180">
        <v>2</v>
      </c>
      <c r="O180" t="s">
        <v>1958</v>
      </c>
      <c r="S180" t="s">
        <v>354</v>
      </c>
      <c r="T180" t="s">
        <v>369</v>
      </c>
      <c r="U180" t="s">
        <v>239</v>
      </c>
      <c r="V180" t="s">
        <v>7</v>
      </c>
      <c r="W180" t="s">
        <v>7</v>
      </c>
      <c r="X180" t="s">
        <v>7</v>
      </c>
      <c r="AA180" t="s">
        <v>96</v>
      </c>
      <c r="AB180" t="s">
        <v>354</v>
      </c>
      <c r="AC180">
        <v>50</v>
      </c>
      <c r="AD180" t="s">
        <v>225</v>
      </c>
      <c r="AE180">
        <v>2</v>
      </c>
    </row>
    <row r="181" spans="1:32" x14ac:dyDescent="0.3">
      <c r="A181" t="s">
        <v>348</v>
      </c>
      <c r="B181" t="s">
        <v>63</v>
      </c>
      <c r="C181" t="s">
        <v>95</v>
      </c>
      <c r="D181" t="s">
        <v>309</v>
      </c>
      <c r="E181" t="s">
        <v>1108</v>
      </c>
      <c r="F181" s="15">
        <v>46244.468541666669</v>
      </c>
      <c r="G181" t="s">
        <v>399</v>
      </c>
      <c r="H181">
        <v>1</v>
      </c>
      <c r="I181" t="s">
        <v>1109</v>
      </c>
      <c r="J181" s="15">
        <v>46244.694444444445</v>
      </c>
      <c r="K181" s="15">
        <v>46248.702777777777</v>
      </c>
      <c r="L181" s="15"/>
      <c r="M181">
        <v>1</v>
      </c>
      <c r="O181" t="s">
        <v>201</v>
      </c>
      <c r="P181" t="s">
        <v>1954</v>
      </c>
      <c r="S181" t="s">
        <v>354</v>
      </c>
      <c r="T181" t="s">
        <v>369</v>
      </c>
      <c r="U181" t="s">
        <v>239</v>
      </c>
      <c r="V181" t="s">
        <v>7</v>
      </c>
      <c r="W181" t="s">
        <v>7</v>
      </c>
      <c r="X181" t="s">
        <v>7</v>
      </c>
      <c r="AA181" t="s">
        <v>96</v>
      </c>
      <c r="AB181" t="s">
        <v>354</v>
      </c>
      <c r="AC181">
        <v>50</v>
      </c>
      <c r="AD181" t="s">
        <v>225</v>
      </c>
      <c r="AE181">
        <v>1</v>
      </c>
      <c r="AF181">
        <v>1</v>
      </c>
    </row>
    <row r="182" spans="1:32" x14ac:dyDescent="0.3">
      <c r="A182" t="s">
        <v>348</v>
      </c>
      <c r="B182" t="s">
        <v>63</v>
      </c>
      <c r="C182" t="s">
        <v>95</v>
      </c>
      <c r="D182" t="s">
        <v>309</v>
      </c>
      <c r="E182" t="s">
        <v>1110</v>
      </c>
      <c r="F182" s="15">
        <v>46244.466851851852</v>
      </c>
      <c r="G182" t="s">
        <v>399</v>
      </c>
      <c r="H182">
        <v>1</v>
      </c>
      <c r="I182" t="s">
        <v>1111</v>
      </c>
      <c r="J182" s="15">
        <v>46247.593055555553</v>
      </c>
      <c r="K182" s="15">
        <v>46252.873611111114</v>
      </c>
      <c r="L182" s="15"/>
      <c r="M182">
        <v>1</v>
      </c>
      <c r="O182" t="s">
        <v>201</v>
      </c>
      <c r="P182" t="s">
        <v>1954</v>
      </c>
      <c r="S182" t="s">
        <v>354</v>
      </c>
      <c r="T182" t="s">
        <v>369</v>
      </c>
      <c r="U182" t="s">
        <v>239</v>
      </c>
      <c r="V182" t="s">
        <v>7</v>
      </c>
      <c r="W182" t="s">
        <v>7</v>
      </c>
      <c r="X182" t="s">
        <v>7</v>
      </c>
      <c r="AA182" t="s">
        <v>96</v>
      </c>
      <c r="AB182" t="s">
        <v>354</v>
      </c>
      <c r="AC182">
        <v>50</v>
      </c>
      <c r="AD182" t="s">
        <v>225</v>
      </c>
      <c r="AE182">
        <v>1</v>
      </c>
      <c r="AF182">
        <v>1</v>
      </c>
    </row>
    <row r="183" spans="1:32" x14ac:dyDescent="0.3">
      <c r="A183" t="s">
        <v>348</v>
      </c>
      <c r="B183" t="s">
        <v>63</v>
      </c>
      <c r="C183" t="s">
        <v>95</v>
      </c>
      <c r="D183" t="s">
        <v>309</v>
      </c>
      <c r="E183" t="s">
        <v>1112</v>
      </c>
      <c r="F183" s="15">
        <v>46241.40283564815</v>
      </c>
      <c r="G183" t="s">
        <v>742</v>
      </c>
      <c r="H183">
        <v>1</v>
      </c>
      <c r="I183" t="s">
        <v>1113</v>
      </c>
      <c r="J183" s="15">
        <v>46241.429861111108</v>
      </c>
      <c r="K183" s="15">
        <v>46246.593055555553</v>
      </c>
      <c r="L183" s="15"/>
      <c r="M183">
        <v>1</v>
      </c>
      <c r="O183" t="s">
        <v>201</v>
      </c>
      <c r="P183" t="s">
        <v>1954</v>
      </c>
      <c r="S183" t="s">
        <v>356</v>
      </c>
      <c r="T183" t="s">
        <v>369</v>
      </c>
      <c r="U183" t="s">
        <v>239</v>
      </c>
      <c r="V183" t="s">
        <v>7</v>
      </c>
      <c r="W183" t="s">
        <v>7</v>
      </c>
      <c r="X183" t="s">
        <v>7</v>
      </c>
      <c r="AA183" t="s">
        <v>96</v>
      </c>
      <c r="AB183" t="s">
        <v>356</v>
      </c>
      <c r="AC183">
        <v>109</v>
      </c>
      <c r="AD183" t="s">
        <v>225</v>
      </c>
      <c r="AE183">
        <v>1</v>
      </c>
      <c r="AF183">
        <v>1</v>
      </c>
    </row>
    <row r="184" spans="1:32" x14ac:dyDescent="0.3">
      <c r="A184" t="s">
        <v>348</v>
      </c>
      <c r="B184" t="s">
        <v>63</v>
      </c>
      <c r="C184" t="s">
        <v>95</v>
      </c>
      <c r="D184" t="s">
        <v>309</v>
      </c>
      <c r="E184" t="s">
        <v>1114</v>
      </c>
      <c r="F184" s="15">
        <v>46202.512337962966</v>
      </c>
      <c r="G184" t="s">
        <v>419</v>
      </c>
      <c r="H184">
        <v>2</v>
      </c>
      <c r="I184" t="s">
        <v>1115</v>
      </c>
      <c r="J184" s="15">
        <v>46241.424259259256</v>
      </c>
      <c r="K184" s="15">
        <v>46248.483460648145</v>
      </c>
      <c r="L184" s="15"/>
      <c r="M184">
        <v>2</v>
      </c>
      <c r="O184" t="s">
        <v>201</v>
      </c>
      <c r="P184" t="s">
        <v>1954</v>
      </c>
      <c r="S184" t="s">
        <v>356</v>
      </c>
      <c r="T184" t="s">
        <v>369</v>
      </c>
      <c r="U184" t="s">
        <v>239</v>
      </c>
      <c r="V184" t="s">
        <v>7</v>
      </c>
      <c r="W184" t="s">
        <v>7</v>
      </c>
      <c r="X184" t="s">
        <v>7</v>
      </c>
      <c r="AA184" t="s">
        <v>96</v>
      </c>
      <c r="AB184" t="s">
        <v>356</v>
      </c>
      <c r="AC184">
        <v>109</v>
      </c>
      <c r="AD184" t="s">
        <v>225</v>
      </c>
      <c r="AE184">
        <v>2</v>
      </c>
      <c r="AF184">
        <v>1</v>
      </c>
    </row>
    <row r="185" spans="1:32" x14ac:dyDescent="0.3">
      <c r="A185" t="s">
        <v>348</v>
      </c>
      <c r="B185" t="s">
        <v>63</v>
      </c>
      <c r="C185" t="s">
        <v>95</v>
      </c>
      <c r="D185" t="s">
        <v>309</v>
      </c>
      <c r="E185" t="s">
        <v>1116</v>
      </c>
      <c r="F185" s="15">
        <v>46230.40084490741</v>
      </c>
      <c r="G185" t="s">
        <v>1117</v>
      </c>
      <c r="H185">
        <v>6</v>
      </c>
      <c r="I185" t="s">
        <v>1118</v>
      </c>
      <c r="J185" s="15">
        <v>46233.454386574071</v>
      </c>
      <c r="K185" s="15">
        <v>46238.481249999997</v>
      </c>
      <c r="L185" s="15"/>
      <c r="M185">
        <v>6</v>
      </c>
      <c r="O185" t="s">
        <v>201</v>
      </c>
      <c r="P185" t="s">
        <v>1954</v>
      </c>
      <c r="S185" t="s">
        <v>356</v>
      </c>
      <c r="T185" t="s">
        <v>369</v>
      </c>
      <c r="U185" t="s">
        <v>239</v>
      </c>
      <c r="V185" t="s">
        <v>7</v>
      </c>
      <c r="W185" t="s">
        <v>7</v>
      </c>
      <c r="X185" t="s">
        <v>7</v>
      </c>
      <c r="AA185" t="s">
        <v>96</v>
      </c>
      <c r="AB185" t="s">
        <v>356</v>
      </c>
      <c r="AC185">
        <v>109</v>
      </c>
      <c r="AD185" t="s">
        <v>225</v>
      </c>
      <c r="AE185">
        <v>6</v>
      </c>
      <c r="AF185">
        <v>5</v>
      </c>
    </row>
    <row r="186" spans="1:32" x14ac:dyDescent="0.3">
      <c r="A186" t="s">
        <v>348</v>
      </c>
      <c r="B186" t="s">
        <v>63</v>
      </c>
      <c r="C186" t="s">
        <v>95</v>
      </c>
      <c r="D186" t="s">
        <v>309</v>
      </c>
      <c r="E186" t="s">
        <v>1116</v>
      </c>
      <c r="F186" s="15">
        <v>46230.40084490741</v>
      </c>
      <c r="G186" t="s">
        <v>1117</v>
      </c>
      <c r="H186">
        <v>4</v>
      </c>
      <c r="I186" t="s">
        <v>1118</v>
      </c>
      <c r="J186" s="15">
        <v>46233.454386574071</v>
      </c>
      <c r="K186" s="15">
        <v>46238.481249999997</v>
      </c>
      <c r="L186" s="15"/>
      <c r="M186">
        <v>4</v>
      </c>
      <c r="O186" t="s">
        <v>1958</v>
      </c>
      <c r="S186" t="s">
        <v>356</v>
      </c>
      <c r="T186" t="s">
        <v>369</v>
      </c>
      <c r="U186" t="s">
        <v>239</v>
      </c>
      <c r="V186" t="s">
        <v>7</v>
      </c>
      <c r="W186" t="s">
        <v>7</v>
      </c>
      <c r="X186" t="s">
        <v>7</v>
      </c>
      <c r="AA186" t="s">
        <v>96</v>
      </c>
      <c r="AB186" t="s">
        <v>356</v>
      </c>
      <c r="AC186">
        <v>109</v>
      </c>
      <c r="AD186" t="s">
        <v>225</v>
      </c>
      <c r="AE186">
        <v>4</v>
      </c>
    </row>
    <row r="187" spans="1:32" x14ac:dyDescent="0.3">
      <c r="A187" t="s">
        <v>348</v>
      </c>
      <c r="B187" t="s">
        <v>63</v>
      </c>
      <c r="C187" t="s">
        <v>95</v>
      </c>
      <c r="D187" t="s">
        <v>309</v>
      </c>
      <c r="E187" t="s">
        <v>1116</v>
      </c>
      <c r="F187" s="15">
        <v>46230.40084490741</v>
      </c>
      <c r="G187" t="s">
        <v>1117</v>
      </c>
      <c r="H187">
        <v>5</v>
      </c>
      <c r="I187" t="s">
        <v>1118</v>
      </c>
      <c r="J187" s="15">
        <v>46233.454386574071</v>
      </c>
      <c r="K187" s="15">
        <v>46238.481249999997</v>
      </c>
      <c r="L187" s="15"/>
      <c r="M187">
        <v>5</v>
      </c>
      <c r="O187" t="s">
        <v>1958</v>
      </c>
      <c r="S187" t="s">
        <v>356</v>
      </c>
      <c r="T187" t="s">
        <v>369</v>
      </c>
      <c r="U187" t="s">
        <v>239</v>
      </c>
      <c r="V187" t="s">
        <v>7</v>
      </c>
      <c r="W187" t="s">
        <v>7</v>
      </c>
      <c r="X187" t="s">
        <v>7</v>
      </c>
      <c r="AA187" t="s">
        <v>96</v>
      </c>
      <c r="AB187" t="s">
        <v>356</v>
      </c>
      <c r="AC187">
        <v>109</v>
      </c>
      <c r="AD187" t="s">
        <v>225</v>
      </c>
      <c r="AE187">
        <v>5</v>
      </c>
    </row>
    <row r="188" spans="1:32" x14ac:dyDescent="0.3">
      <c r="A188" t="s">
        <v>348</v>
      </c>
      <c r="B188" t="s">
        <v>63</v>
      </c>
      <c r="C188" t="s">
        <v>95</v>
      </c>
      <c r="D188" t="s">
        <v>309</v>
      </c>
      <c r="E188" t="s">
        <v>1116</v>
      </c>
      <c r="F188" s="15">
        <v>46230.40084490741</v>
      </c>
      <c r="G188" t="s">
        <v>1117</v>
      </c>
      <c r="H188">
        <v>5</v>
      </c>
      <c r="I188" t="s">
        <v>1118</v>
      </c>
      <c r="J188" s="15">
        <v>46233.454386574071</v>
      </c>
      <c r="K188" s="15">
        <v>46238.481249999997</v>
      </c>
      <c r="L188" s="15"/>
      <c r="M188">
        <v>5</v>
      </c>
      <c r="O188" t="s">
        <v>1958</v>
      </c>
      <c r="S188" t="s">
        <v>356</v>
      </c>
      <c r="T188" t="s">
        <v>369</v>
      </c>
      <c r="U188" t="s">
        <v>239</v>
      </c>
      <c r="V188" t="s">
        <v>7</v>
      </c>
      <c r="W188" t="s">
        <v>7</v>
      </c>
      <c r="X188" t="s">
        <v>7</v>
      </c>
      <c r="AA188" t="s">
        <v>96</v>
      </c>
      <c r="AB188" t="s">
        <v>356</v>
      </c>
      <c r="AC188">
        <v>109</v>
      </c>
      <c r="AD188" t="s">
        <v>225</v>
      </c>
      <c r="AE188">
        <v>5</v>
      </c>
    </row>
    <row r="189" spans="1:32" x14ac:dyDescent="0.3">
      <c r="A189" t="s">
        <v>348</v>
      </c>
      <c r="B189" t="s">
        <v>63</v>
      </c>
      <c r="C189" t="s">
        <v>95</v>
      </c>
      <c r="D189" t="s">
        <v>309</v>
      </c>
      <c r="E189" t="s">
        <v>1116</v>
      </c>
      <c r="F189" s="15">
        <v>46230.40084490741</v>
      </c>
      <c r="G189" t="s">
        <v>1117</v>
      </c>
      <c r="H189">
        <v>6</v>
      </c>
      <c r="I189" t="s">
        <v>1118</v>
      </c>
      <c r="J189" s="15">
        <v>46233.454386574071</v>
      </c>
      <c r="K189" s="15">
        <v>46238.481249999997</v>
      </c>
      <c r="L189" s="15"/>
      <c r="M189">
        <v>6</v>
      </c>
      <c r="O189" t="s">
        <v>1958</v>
      </c>
      <c r="S189" t="s">
        <v>356</v>
      </c>
      <c r="T189" t="s">
        <v>369</v>
      </c>
      <c r="U189" t="s">
        <v>239</v>
      </c>
      <c r="V189" t="s">
        <v>7</v>
      </c>
      <c r="W189" t="s">
        <v>7</v>
      </c>
      <c r="X189" t="s">
        <v>7</v>
      </c>
      <c r="AA189" t="s">
        <v>96</v>
      </c>
      <c r="AB189" t="s">
        <v>356</v>
      </c>
      <c r="AC189">
        <v>109</v>
      </c>
      <c r="AD189" t="s">
        <v>225</v>
      </c>
      <c r="AE189">
        <v>6</v>
      </c>
    </row>
    <row r="190" spans="1:32" x14ac:dyDescent="0.3">
      <c r="A190" t="s">
        <v>348</v>
      </c>
      <c r="B190" t="s">
        <v>63</v>
      </c>
      <c r="C190" t="s">
        <v>95</v>
      </c>
      <c r="D190" t="s">
        <v>309</v>
      </c>
      <c r="E190" t="s">
        <v>1116</v>
      </c>
      <c r="F190" s="15">
        <v>46230.40084490741</v>
      </c>
      <c r="G190" t="s">
        <v>1117</v>
      </c>
      <c r="H190">
        <v>4</v>
      </c>
      <c r="I190" t="s">
        <v>1118</v>
      </c>
      <c r="J190" s="15">
        <v>46233.454386574071</v>
      </c>
      <c r="K190" s="15">
        <v>46238.481249999997</v>
      </c>
      <c r="L190" s="15"/>
      <c r="M190">
        <v>4</v>
      </c>
      <c r="O190" t="s">
        <v>1958</v>
      </c>
      <c r="S190" t="s">
        <v>356</v>
      </c>
      <c r="T190" t="s">
        <v>369</v>
      </c>
      <c r="U190" t="s">
        <v>239</v>
      </c>
      <c r="V190" t="s">
        <v>7</v>
      </c>
      <c r="W190" t="s">
        <v>7</v>
      </c>
      <c r="X190" t="s">
        <v>7</v>
      </c>
      <c r="AA190" t="s">
        <v>96</v>
      </c>
      <c r="AB190" t="s">
        <v>356</v>
      </c>
      <c r="AC190">
        <v>109</v>
      </c>
      <c r="AD190" t="s">
        <v>225</v>
      </c>
      <c r="AE190">
        <v>4</v>
      </c>
    </row>
    <row r="191" spans="1:32" x14ac:dyDescent="0.3">
      <c r="A191" t="s">
        <v>348</v>
      </c>
      <c r="B191" t="s">
        <v>63</v>
      </c>
      <c r="C191" t="s">
        <v>95</v>
      </c>
      <c r="D191" t="s">
        <v>309</v>
      </c>
      <c r="E191" t="s">
        <v>1116</v>
      </c>
      <c r="F191" s="15">
        <v>46230.40084490741</v>
      </c>
      <c r="G191" t="s">
        <v>1117</v>
      </c>
      <c r="H191">
        <v>6</v>
      </c>
      <c r="I191" t="s">
        <v>1118</v>
      </c>
      <c r="J191" s="15">
        <v>46233.454386574071</v>
      </c>
      <c r="K191" s="15">
        <v>46238.481249999997</v>
      </c>
      <c r="L191" s="15"/>
      <c r="M191">
        <v>6</v>
      </c>
      <c r="O191" t="s">
        <v>1958</v>
      </c>
      <c r="S191" t="s">
        <v>356</v>
      </c>
      <c r="T191" t="s">
        <v>369</v>
      </c>
      <c r="U191" t="s">
        <v>239</v>
      </c>
      <c r="V191" t="s">
        <v>7</v>
      </c>
      <c r="W191" t="s">
        <v>7</v>
      </c>
      <c r="X191" t="s">
        <v>7</v>
      </c>
      <c r="AA191" t="s">
        <v>96</v>
      </c>
      <c r="AB191" t="s">
        <v>356</v>
      </c>
      <c r="AC191">
        <v>109</v>
      </c>
      <c r="AD191" t="s">
        <v>225</v>
      </c>
      <c r="AE191">
        <v>6</v>
      </c>
    </row>
    <row r="192" spans="1:32" x14ac:dyDescent="0.3">
      <c r="A192" t="s">
        <v>348</v>
      </c>
      <c r="B192" t="s">
        <v>63</v>
      </c>
      <c r="C192" t="s">
        <v>95</v>
      </c>
      <c r="D192" t="s">
        <v>309</v>
      </c>
      <c r="E192" t="s">
        <v>1116</v>
      </c>
      <c r="F192" s="15">
        <v>46230.40084490741</v>
      </c>
      <c r="G192" t="s">
        <v>1117</v>
      </c>
      <c r="H192">
        <v>3</v>
      </c>
      <c r="I192" t="s">
        <v>1118</v>
      </c>
      <c r="J192" s="15">
        <v>46233.454386574071</v>
      </c>
      <c r="K192" s="15">
        <v>46238.481249999997</v>
      </c>
      <c r="L192" s="15"/>
      <c r="M192">
        <v>3</v>
      </c>
      <c r="O192" t="s">
        <v>1958</v>
      </c>
      <c r="S192" t="s">
        <v>356</v>
      </c>
      <c r="T192" t="s">
        <v>369</v>
      </c>
      <c r="U192" t="s">
        <v>239</v>
      </c>
      <c r="V192" t="s">
        <v>7</v>
      </c>
      <c r="W192" t="s">
        <v>7</v>
      </c>
      <c r="X192" t="s">
        <v>7</v>
      </c>
      <c r="AA192" t="s">
        <v>96</v>
      </c>
      <c r="AB192" t="s">
        <v>356</v>
      </c>
      <c r="AC192">
        <v>109</v>
      </c>
      <c r="AD192" t="s">
        <v>225</v>
      </c>
      <c r="AE192">
        <v>3</v>
      </c>
    </row>
    <row r="193" spans="1:32" x14ac:dyDescent="0.3">
      <c r="A193" t="s">
        <v>348</v>
      </c>
      <c r="B193" t="s">
        <v>63</v>
      </c>
      <c r="C193" t="s">
        <v>95</v>
      </c>
      <c r="D193" t="s">
        <v>309</v>
      </c>
      <c r="E193" t="s">
        <v>1116</v>
      </c>
      <c r="F193" s="15">
        <v>46230.40084490741</v>
      </c>
      <c r="G193" t="s">
        <v>1117</v>
      </c>
      <c r="H193">
        <v>5</v>
      </c>
      <c r="I193" t="s">
        <v>1118</v>
      </c>
      <c r="J193" s="15">
        <v>46233.454386574071</v>
      </c>
      <c r="K193" s="15">
        <v>46238.481249999997</v>
      </c>
      <c r="L193" s="15"/>
      <c r="M193">
        <v>5</v>
      </c>
      <c r="O193" t="s">
        <v>1958</v>
      </c>
      <c r="S193" t="s">
        <v>356</v>
      </c>
      <c r="T193" t="s">
        <v>369</v>
      </c>
      <c r="U193" t="s">
        <v>239</v>
      </c>
      <c r="V193" t="s">
        <v>7</v>
      </c>
      <c r="W193" t="s">
        <v>7</v>
      </c>
      <c r="X193" t="s">
        <v>7</v>
      </c>
      <c r="AA193" t="s">
        <v>96</v>
      </c>
      <c r="AB193" t="s">
        <v>356</v>
      </c>
      <c r="AC193">
        <v>109</v>
      </c>
      <c r="AD193" t="s">
        <v>225</v>
      </c>
      <c r="AE193">
        <v>5</v>
      </c>
    </row>
    <row r="194" spans="1:32" x14ac:dyDescent="0.3">
      <c r="A194" t="s">
        <v>348</v>
      </c>
      <c r="B194" t="s">
        <v>63</v>
      </c>
      <c r="C194" t="s">
        <v>95</v>
      </c>
      <c r="D194" t="s">
        <v>309</v>
      </c>
      <c r="E194" t="s">
        <v>1116</v>
      </c>
      <c r="F194" s="15">
        <v>46230.40084490741</v>
      </c>
      <c r="G194" t="s">
        <v>1117</v>
      </c>
      <c r="H194">
        <v>6</v>
      </c>
      <c r="I194" t="s">
        <v>1118</v>
      </c>
      <c r="J194" s="15">
        <v>46233.454386574071</v>
      </c>
      <c r="K194" s="15">
        <v>46238.481249999997</v>
      </c>
      <c r="L194" s="15"/>
      <c r="M194">
        <v>6</v>
      </c>
      <c r="O194" t="s">
        <v>1958</v>
      </c>
      <c r="S194" t="s">
        <v>356</v>
      </c>
      <c r="T194" t="s">
        <v>369</v>
      </c>
      <c r="U194" t="s">
        <v>239</v>
      </c>
      <c r="V194" t="s">
        <v>7</v>
      </c>
      <c r="W194" t="s">
        <v>7</v>
      </c>
      <c r="X194" t="s">
        <v>7</v>
      </c>
      <c r="AA194" t="s">
        <v>96</v>
      </c>
      <c r="AB194" t="s">
        <v>356</v>
      </c>
      <c r="AC194">
        <v>109</v>
      </c>
      <c r="AD194" t="s">
        <v>225</v>
      </c>
      <c r="AE194">
        <v>6</v>
      </c>
    </row>
    <row r="195" spans="1:32" x14ac:dyDescent="0.3">
      <c r="A195" t="s">
        <v>348</v>
      </c>
      <c r="B195" t="s">
        <v>63</v>
      </c>
      <c r="C195" t="s">
        <v>95</v>
      </c>
      <c r="D195" t="s">
        <v>309</v>
      </c>
      <c r="E195" t="s">
        <v>1121</v>
      </c>
      <c r="F195" s="15">
        <v>46212.717303240737</v>
      </c>
      <c r="G195" t="s">
        <v>402</v>
      </c>
      <c r="H195">
        <v>2</v>
      </c>
      <c r="I195" t="s">
        <v>1122</v>
      </c>
      <c r="J195" s="15">
        <v>46231.477627314816</v>
      </c>
      <c r="K195" s="15">
        <v>46238.444444444445</v>
      </c>
      <c r="L195" s="15"/>
      <c r="M195">
        <v>2</v>
      </c>
      <c r="O195" t="s">
        <v>201</v>
      </c>
      <c r="P195" t="s">
        <v>1954</v>
      </c>
      <c r="S195" t="s">
        <v>355</v>
      </c>
      <c r="T195" t="s">
        <v>369</v>
      </c>
      <c r="U195" t="s">
        <v>239</v>
      </c>
      <c r="V195" t="s">
        <v>7</v>
      </c>
      <c r="W195" t="s">
        <v>7</v>
      </c>
      <c r="X195" t="s">
        <v>7</v>
      </c>
      <c r="AA195" t="s">
        <v>96</v>
      </c>
      <c r="AB195" t="s">
        <v>355</v>
      </c>
      <c r="AC195">
        <v>2200</v>
      </c>
      <c r="AD195" t="s">
        <v>225</v>
      </c>
      <c r="AE195">
        <v>2</v>
      </c>
      <c r="AF195">
        <v>1.9</v>
      </c>
    </row>
    <row r="196" spans="1:32" x14ac:dyDescent="0.3">
      <c r="A196" t="s">
        <v>348</v>
      </c>
      <c r="B196" t="s">
        <v>63</v>
      </c>
      <c r="C196" t="s">
        <v>95</v>
      </c>
      <c r="D196" t="s">
        <v>309</v>
      </c>
      <c r="E196" t="s">
        <v>1121</v>
      </c>
      <c r="F196" s="15">
        <v>46212.717303240737</v>
      </c>
      <c r="G196" t="s">
        <v>402</v>
      </c>
      <c r="H196">
        <v>2</v>
      </c>
      <c r="I196" t="s">
        <v>1122</v>
      </c>
      <c r="J196" s="15">
        <v>46231.477627314816</v>
      </c>
      <c r="K196" s="15">
        <v>46238.444444444445</v>
      </c>
      <c r="L196" s="15"/>
      <c r="M196">
        <v>2</v>
      </c>
      <c r="O196" t="s">
        <v>1958</v>
      </c>
      <c r="S196" t="s">
        <v>355</v>
      </c>
      <c r="T196" t="s">
        <v>369</v>
      </c>
      <c r="U196" t="s">
        <v>239</v>
      </c>
      <c r="V196" t="s">
        <v>7</v>
      </c>
      <c r="W196" t="s">
        <v>7</v>
      </c>
      <c r="X196" t="s">
        <v>7</v>
      </c>
      <c r="AA196" t="s">
        <v>96</v>
      </c>
      <c r="AB196" t="s">
        <v>355</v>
      </c>
      <c r="AC196">
        <v>2200</v>
      </c>
      <c r="AD196" t="s">
        <v>225</v>
      </c>
      <c r="AE196">
        <v>2</v>
      </c>
    </row>
    <row r="197" spans="1:32" x14ac:dyDescent="0.3">
      <c r="A197" t="s">
        <v>348</v>
      </c>
      <c r="B197" t="s">
        <v>63</v>
      </c>
      <c r="C197" t="s">
        <v>95</v>
      </c>
      <c r="D197" t="s">
        <v>309</v>
      </c>
      <c r="E197" t="s">
        <v>1123</v>
      </c>
      <c r="F197" s="15">
        <v>46223.754212962966</v>
      </c>
      <c r="G197" t="s">
        <v>402</v>
      </c>
      <c r="H197">
        <v>1</v>
      </c>
      <c r="I197" t="s">
        <v>1124</v>
      </c>
      <c r="J197" s="15">
        <v>46232.484236111108</v>
      </c>
      <c r="K197" s="15">
        <v>46238.427083333336</v>
      </c>
      <c r="L197" s="15"/>
      <c r="M197">
        <v>1</v>
      </c>
      <c r="O197" t="s">
        <v>201</v>
      </c>
      <c r="P197" t="s">
        <v>1954</v>
      </c>
      <c r="S197" t="s">
        <v>355</v>
      </c>
      <c r="T197" t="s">
        <v>369</v>
      </c>
      <c r="U197" t="s">
        <v>239</v>
      </c>
      <c r="V197" t="s">
        <v>7</v>
      </c>
      <c r="W197" t="s">
        <v>7</v>
      </c>
      <c r="X197" t="s">
        <v>7</v>
      </c>
      <c r="AA197" t="s">
        <v>96</v>
      </c>
      <c r="AB197" t="s">
        <v>355</v>
      </c>
      <c r="AC197">
        <v>2200</v>
      </c>
      <c r="AD197" t="s">
        <v>225</v>
      </c>
      <c r="AE197">
        <v>1</v>
      </c>
    </row>
    <row r="198" spans="1:32" x14ac:dyDescent="0.3">
      <c r="A198" t="s">
        <v>348</v>
      </c>
      <c r="B198" t="s">
        <v>63</v>
      </c>
      <c r="C198" t="s">
        <v>95</v>
      </c>
      <c r="D198" t="s">
        <v>309</v>
      </c>
      <c r="E198" t="s">
        <v>1125</v>
      </c>
      <c r="F198" s="15">
        <v>46233.719895833332</v>
      </c>
      <c r="G198" t="s">
        <v>420</v>
      </c>
      <c r="H198">
        <v>6</v>
      </c>
      <c r="I198" t="s">
        <v>1126</v>
      </c>
      <c r="J198" s="15">
        <v>46234.410682870373</v>
      </c>
      <c r="K198" s="15">
        <v>46238.434027777781</v>
      </c>
      <c r="L198" s="15"/>
      <c r="M198">
        <v>6</v>
      </c>
      <c r="O198" t="s">
        <v>201</v>
      </c>
      <c r="P198" t="s">
        <v>1954</v>
      </c>
      <c r="S198" t="s">
        <v>355</v>
      </c>
      <c r="T198" t="s">
        <v>369</v>
      </c>
      <c r="U198" t="s">
        <v>239</v>
      </c>
      <c r="V198" t="s">
        <v>7</v>
      </c>
      <c r="W198" t="s">
        <v>7</v>
      </c>
      <c r="X198" t="s">
        <v>7</v>
      </c>
      <c r="AA198" t="s">
        <v>96</v>
      </c>
      <c r="AB198" t="s">
        <v>355</v>
      </c>
      <c r="AC198">
        <v>2200</v>
      </c>
      <c r="AD198" t="s">
        <v>225</v>
      </c>
      <c r="AE198">
        <v>6</v>
      </c>
    </row>
    <row r="199" spans="1:32" x14ac:dyDescent="0.3">
      <c r="A199" t="s">
        <v>348</v>
      </c>
      <c r="B199" t="s">
        <v>63</v>
      </c>
      <c r="C199" t="s">
        <v>95</v>
      </c>
      <c r="D199" t="s">
        <v>309</v>
      </c>
      <c r="E199" t="s">
        <v>1125</v>
      </c>
      <c r="F199" s="15">
        <v>46233.719895833332</v>
      </c>
      <c r="G199" t="s">
        <v>420</v>
      </c>
      <c r="H199">
        <v>2</v>
      </c>
      <c r="I199" t="s">
        <v>1127</v>
      </c>
      <c r="J199" s="15">
        <v>46234.408483796295</v>
      </c>
      <c r="K199" s="15">
        <v>46238.436805555553</v>
      </c>
      <c r="L199" s="15"/>
      <c r="M199">
        <v>2</v>
      </c>
      <c r="O199" t="s">
        <v>201</v>
      </c>
      <c r="P199" t="s">
        <v>1954</v>
      </c>
      <c r="S199" t="s">
        <v>355</v>
      </c>
      <c r="T199" t="s">
        <v>369</v>
      </c>
      <c r="U199" t="s">
        <v>239</v>
      </c>
      <c r="V199" t="s">
        <v>7</v>
      </c>
      <c r="W199" t="s">
        <v>7</v>
      </c>
      <c r="X199" t="s">
        <v>7</v>
      </c>
      <c r="AA199" t="s">
        <v>96</v>
      </c>
      <c r="AB199" t="s">
        <v>355</v>
      </c>
      <c r="AC199">
        <v>2200</v>
      </c>
      <c r="AD199" t="s">
        <v>225</v>
      </c>
      <c r="AE199">
        <v>2</v>
      </c>
    </row>
    <row r="200" spans="1:32" x14ac:dyDescent="0.3">
      <c r="A200" t="s">
        <v>348</v>
      </c>
      <c r="B200" t="s">
        <v>63</v>
      </c>
      <c r="C200" t="s">
        <v>95</v>
      </c>
      <c r="D200" t="s">
        <v>309</v>
      </c>
      <c r="E200" t="s">
        <v>1125</v>
      </c>
      <c r="F200" s="15">
        <v>46233.719895833332</v>
      </c>
      <c r="G200" t="s">
        <v>420</v>
      </c>
      <c r="H200">
        <v>6</v>
      </c>
      <c r="I200" t="s">
        <v>1126</v>
      </c>
      <c r="J200" s="15">
        <v>46234.410682870373</v>
      </c>
      <c r="K200" s="15">
        <v>46238.434027777781</v>
      </c>
      <c r="L200" s="15"/>
      <c r="M200">
        <v>6</v>
      </c>
      <c r="O200" t="s">
        <v>1958</v>
      </c>
      <c r="S200" t="s">
        <v>355</v>
      </c>
      <c r="T200" t="s">
        <v>369</v>
      </c>
      <c r="U200" t="s">
        <v>239</v>
      </c>
      <c r="V200" t="s">
        <v>7</v>
      </c>
      <c r="W200" t="s">
        <v>7</v>
      </c>
      <c r="X200" t="s">
        <v>7</v>
      </c>
      <c r="AA200" t="s">
        <v>96</v>
      </c>
      <c r="AB200" t="s">
        <v>355</v>
      </c>
      <c r="AC200">
        <v>2200</v>
      </c>
      <c r="AD200" t="s">
        <v>225</v>
      </c>
      <c r="AE200">
        <v>6</v>
      </c>
    </row>
    <row r="201" spans="1:32" x14ac:dyDescent="0.3">
      <c r="A201" t="s">
        <v>348</v>
      </c>
      <c r="B201" t="s">
        <v>63</v>
      </c>
      <c r="C201" t="s">
        <v>95</v>
      </c>
      <c r="D201" t="s">
        <v>309</v>
      </c>
      <c r="E201" t="s">
        <v>1114</v>
      </c>
      <c r="F201" s="15">
        <v>46202.512337962966</v>
      </c>
      <c r="G201" t="s">
        <v>419</v>
      </c>
      <c r="H201">
        <v>26</v>
      </c>
      <c r="I201" t="s">
        <v>1128</v>
      </c>
      <c r="J201" s="15">
        <v>46203.361828703702</v>
      </c>
      <c r="K201" s="15">
        <v>46212.739201388889</v>
      </c>
      <c r="L201" s="15"/>
      <c r="M201">
        <v>26</v>
      </c>
      <c r="O201" t="s">
        <v>201</v>
      </c>
      <c r="P201" t="s">
        <v>1954</v>
      </c>
      <c r="S201" t="s">
        <v>356</v>
      </c>
      <c r="T201" t="s">
        <v>369</v>
      </c>
      <c r="U201" t="s">
        <v>239</v>
      </c>
      <c r="V201" t="s">
        <v>7</v>
      </c>
      <c r="W201" t="s">
        <v>7</v>
      </c>
      <c r="X201" t="s">
        <v>7</v>
      </c>
      <c r="AA201" t="s">
        <v>96</v>
      </c>
      <c r="AB201" t="s">
        <v>356</v>
      </c>
      <c r="AC201">
        <v>109</v>
      </c>
      <c r="AD201" t="s">
        <v>225</v>
      </c>
      <c r="AE201">
        <v>26</v>
      </c>
      <c r="AF201">
        <v>3.9</v>
      </c>
    </row>
    <row r="202" spans="1:32" x14ac:dyDescent="0.3">
      <c r="A202" t="s">
        <v>348</v>
      </c>
      <c r="B202" t="s">
        <v>63</v>
      </c>
      <c r="C202" t="s">
        <v>95</v>
      </c>
      <c r="D202" t="s">
        <v>309</v>
      </c>
      <c r="E202" t="s">
        <v>1114</v>
      </c>
      <c r="F202" s="15">
        <v>46202.512337962966</v>
      </c>
      <c r="G202" t="s">
        <v>419</v>
      </c>
      <c r="H202">
        <v>13</v>
      </c>
      <c r="I202" t="s">
        <v>1128</v>
      </c>
      <c r="J202" s="15">
        <v>46203.361828703702</v>
      </c>
      <c r="K202" s="15">
        <v>46212.739201388889</v>
      </c>
      <c r="L202" s="15"/>
      <c r="M202">
        <v>13</v>
      </c>
      <c r="O202" t="s">
        <v>1958</v>
      </c>
      <c r="S202" t="s">
        <v>356</v>
      </c>
      <c r="T202" t="s">
        <v>369</v>
      </c>
      <c r="U202" t="s">
        <v>239</v>
      </c>
      <c r="V202" t="s">
        <v>7</v>
      </c>
      <c r="W202" t="s">
        <v>7</v>
      </c>
      <c r="X202" t="s">
        <v>7</v>
      </c>
      <c r="AA202" t="s">
        <v>96</v>
      </c>
      <c r="AB202" t="s">
        <v>356</v>
      </c>
      <c r="AC202">
        <v>109</v>
      </c>
      <c r="AD202" t="s">
        <v>225</v>
      </c>
      <c r="AE202">
        <v>13</v>
      </c>
    </row>
    <row r="203" spans="1:32" x14ac:dyDescent="0.3">
      <c r="A203" t="s">
        <v>348</v>
      </c>
      <c r="B203" t="s">
        <v>63</v>
      </c>
      <c r="C203" t="s">
        <v>95</v>
      </c>
      <c r="D203" t="s">
        <v>309</v>
      </c>
      <c r="E203" t="s">
        <v>1114</v>
      </c>
      <c r="F203" s="15">
        <v>46202.512337962966</v>
      </c>
      <c r="G203" t="s">
        <v>419</v>
      </c>
      <c r="H203">
        <v>30</v>
      </c>
      <c r="I203" t="s">
        <v>1129</v>
      </c>
      <c r="J203" s="15">
        <v>46239.591469907406</v>
      </c>
      <c r="K203" s="15">
        <v>46241.497916666667</v>
      </c>
      <c r="L203" s="15"/>
      <c r="M203">
        <v>30</v>
      </c>
      <c r="O203" t="s">
        <v>201</v>
      </c>
      <c r="P203" t="s">
        <v>1954</v>
      </c>
      <c r="S203" t="s">
        <v>356</v>
      </c>
      <c r="T203" t="s">
        <v>369</v>
      </c>
      <c r="U203" t="s">
        <v>239</v>
      </c>
      <c r="V203" t="s">
        <v>7</v>
      </c>
      <c r="W203" t="s">
        <v>7</v>
      </c>
      <c r="X203" t="s">
        <v>7</v>
      </c>
      <c r="AA203" t="s">
        <v>96</v>
      </c>
      <c r="AB203" t="s">
        <v>356</v>
      </c>
      <c r="AC203">
        <v>109</v>
      </c>
      <c r="AD203" t="s">
        <v>225</v>
      </c>
      <c r="AE203">
        <v>30</v>
      </c>
      <c r="AF203">
        <v>3</v>
      </c>
    </row>
    <row r="204" spans="1:32" x14ac:dyDescent="0.3">
      <c r="A204" t="s">
        <v>348</v>
      </c>
      <c r="B204" t="s">
        <v>63</v>
      </c>
      <c r="C204" t="s">
        <v>95</v>
      </c>
      <c r="D204" t="s">
        <v>309</v>
      </c>
      <c r="E204" t="s">
        <v>1130</v>
      </c>
      <c r="F204" s="15">
        <v>46253.45040509259</v>
      </c>
      <c r="G204" t="s">
        <v>402</v>
      </c>
      <c r="H204">
        <v>1</v>
      </c>
      <c r="I204" t="s">
        <v>1131</v>
      </c>
      <c r="J204" s="15">
        <v>46255.393750000003</v>
      </c>
      <c r="K204" s="15">
        <v>46258.414583333331</v>
      </c>
      <c r="L204" s="15"/>
      <c r="M204">
        <v>1</v>
      </c>
      <c r="O204" t="s">
        <v>201</v>
      </c>
      <c r="P204" t="s">
        <v>1954</v>
      </c>
      <c r="S204" t="s">
        <v>355</v>
      </c>
      <c r="T204" t="s">
        <v>369</v>
      </c>
      <c r="U204" t="s">
        <v>239</v>
      </c>
      <c r="V204" t="s">
        <v>7</v>
      </c>
      <c r="W204" t="s">
        <v>7</v>
      </c>
      <c r="X204" t="s">
        <v>7</v>
      </c>
      <c r="AA204" t="s">
        <v>96</v>
      </c>
      <c r="AB204" t="s">
        <v>355</v>
      </c>
      <c r="AC204">
        <v>2200</v>
      </c>
      <c r="AD204" t="s">
        <v>225</v>
      </c>
      <c r="AE204">
        <v>1</v>
      </c>
      <c r="AF204">
        <v>1</v>
      </c>
    </row>
    <row r="205" spans="1:32" x14ac:dyDescent="0.3">
      <c r="A205" t="s">
        <v>348</v>
      </c>
      <c r="B205" t="s">
        <v>63</v>
      </c>
      <c r="C205" t="s">
        <v>95</v>
      </c>
      <c r="D205" t="s">
        <v>309</v>
      </c>
      <c r="E205" t="s">
        <v>1132</v>
      </c>
      <c r="F205" s="15">
        <v>46225.356817129628</v>
      </c>
      <c r="G205" t="s">
        <v>399</v>
      </c>
      <c r="H205">
        <v>1</v>
      </c>
      <c r="I205" t="s">
        <v>1133</v>
      </c>
      <c r="J205" s="15">
        <v>46233.380069444444</v>
      </c>
      <c r="K205" s="15">
        <v>46238.463194444441</v>
      </c>
      <c r="L205" s="15"/>
      <c r="M205">
        <v>1</v>
      </c>
      <c r="O205" t="s">
        <v>201</v>
      </c>
      <c r="P205" t="s">
        <v>1954</v>
      </c>
      <c r="S205" t="s">
        <v>354</v>
      </c>
      <c r="T205" t="s">
        <v>369</v>
      </c>
      <c r="U205" t="s">
        <v>239</v>
      </c>
      <c r="V205" t="s">
        <v>7</v>
      </c>
      <c r="W205" t="s">
        <v>7</v>
      </c>
      <c r="X205" t="s">
        <v>7</v>
      </c>
      <c r="AA205" t="s">
        <v>96</v>
      </c>
      <c r="AB205" t="s">
        <v>354</v>
      </c>
      <c r="AC205">
        <v>50</v>
      </c>
      <c r="AD205" t="s">
        <v>225</v>
      </c>
      <c r="AE205">
        <v>1</v>
      </c>
      <c r="AF205">
        <v>1</v>
      </c>
    </row>
    <row r="206" spans="1:32" x14ac:dyDescent="0.3">
      <c r="A206" t="s">
        <v>348</v>
      </c>
      <c r="B206" t="s">
        <v>63</v>
      </c>
      <c r="C206" t="s">
        <v>95</v>
      </c>
      <c r="D206" t="s">
        <v>309</v>
      </c>
      <c r="E206" t="s">
        <v>1119</v>
      </c>
      <c r="F206" s="15">
        <v>46232.31826388889</v>
      </c>
      <c r="G206" t="s">
        <v>401</v>
      </c>
      <c r="H206">
        <v>1</v>
      </c>
      <c r="I206" t="s">
        <v>1120</v>
      </c>
      <c r="J206" s="15">
        <v>46232.407094907408</v>
      </c>
      <c r="K206" s="15">
        <v>46238.423611111109</v>
      </c>
      <c r="L206" s="15"/>
      <c r="M206">
        <v>1</v>
      </c>
      <c r="O206" t="s">
        <v>201</v>
      </c>
      <c r="P206" t="s">
        <v>1954</v>
      </c>
      <c r="S206" t="s">
        <v>357</v>
      </c>
      <c r="T206" t="s">
        <v>369</v>
      </c>
      <c r="U206" t="s">
        <v>239</v>
      </c>
      <c r="V206" t="s">
        <v>7</v>
      </c>
      <c r="W206" t="s">
        <v>7</v>
      </c>
      <c r="X206" t="s">
        <v>7</v>
      </c>
      <c r="AA206" t="s">
        <v>96</v>
      </c>
      <c r="AB206" t="s">
        <v>357</v>
      </c>
      <c r="AC206">
        <v>101</v>
      </c>
      <c r="AD206" t="s">
        <v>225</v>
      </c>
      <c r="AE206">
        <v>1</v>
      </c>
      <c r="AF206">
        <v>1</v>
      </c>
    </row>
    <row r="207" spans="1:32" x14ac:dyDescent="0.3">
      <c r="A207" t="s">
        <v>348</v>
      </c>
      <c r="B207" t="s">
        <v>63</v>
      </c>
      <c r="C207" t="s">
        <v>95</v>
      </c>
      <c r="D207" t="s">
        <v>309</v>
      </c>
      <c r="E207" t="s">
        <v>1134</v>
      </c>
      <c r="F207" s="15">
        <v>46223.623645833337</v>
      </c>
      <c r="G207" t="s">
        <v>402</v>
      </c>
      <c r="H207">
        <v>1</v>
      </c>
      <c r="I207" t="s">
        <v>1135</v>
      </c>
      <c r="J207" s="15">
        <v>46224.351388888892</v>
      </c>
      <c r="K207" s="15">
        <v>46227.68472222222</v>
      </c>
      <c r="L207" s="15">
        <v>46234.655555555553</v>
      </c>
      <c r="M207">
        <v>1</v>
      </c>
      <c r="O207" t="s">
        <v>201</v>
      </c>
      <c r="P207" t="s">
        <v>1954</v>
      </c>
      <c r="S207" t="s">
        <v>355</v>
      </c>
      <c r="T207" t="s">
        <v>369</v>
      </c>
      <c r="U207" t="s">
        <v>239</v>
      </c>
      <c r="V207" t="s">
        <v>7</v>
      </c>
      <c r="W207" t="s">
        <v>7</v>
      </c>
      <c r="X207" t="s">
        <v>7</v>
      </c>
      <c r="AA207" t="s">
        <v>96</v>
      </c>
      <c r="AB207" t="s">
        <v>355</v>
      </c>
      <c r="AC207">
        <v>2200</v>
      </c>
      <c r="AD207" t="s">
        <v>225</v>
      </c>
      <c r="AE207">
        <v>1</v>
      </c>
      <c r="AF207">
        <v>1</v>
      </c>
    </row>
    <row r="208" spans="1:32" x14ac:dyDescent="0.3">
      <c r="A208" t="s">
        <v>348</v>
      </c>
      <c r="B208" t="s">
        <v>63</v>
      </c>
      <c r="C208" t="s">
        <v>95</v>
      </c>
      <c r="D208" t="s">
        <v>309</v>
      </c>
      <c r="E208" t="s">
        <v>1134</v>
      </c>
      <c r="F208" s="15">
        <v>46223.623645833337</v>
      </c>
      <c r="G208" t="s">
        <v>402</v>
      </c>
      <c r="H208">
        <v>1</v>
      </c>
      <c r="I208" t="s">
        <v>1135</v>
      </c>
      <c r="J208" s="15">
        <v>46224.351388888892</v>
      </c>
      <c r="K208" s="15">
        <v>46227.68472222222</v>
      </c>
      <c r="L208" s="15">
        <v>46234.655555555553</v>
      </c>
      <c r="M208">
        <v>1</v>
      </c>
      <c r="O208" t="s">
        <v>1958</v>
      </c>
      <c r="S208" t="s">
        <v>355</v>
      </c>
      <c r="T208" t="s">
        <v>369</v>
      </c>
      <c r="U208" t="s">
        <v>239</v>
      </c>
      <c r="V208" t="s">
        <v>7</v>
      </c>
      <c r="W208" t="s">
        <v>7</v>
      </c>
      <c r="X208" t="s">
        <v>7</v>
      </c>
      <c r="AA208" t="s">
        <v>96</v>
      </c>
      <c r="AB208" t="s">
        <v>355</v>
      </c>
      <c r="AC208">
        <v>2200</v>
      </c>
      <c r="AD208" t="s">
        <v>225</v>
      </c>
      <c r="AE208">
        <v>1</v>
      </c>
    </row>
    <row r="209" spans="1:32" x14ac:dyDescent="0.3">
      <c r="A209" t="s">
        <v>348</v>
      </c>
      <c r="B209" t="s">
        <v>63</v>
      </c>
      <c r="C209" t="s">
        <v>95</v>
      </c>
      <c r="D209" t="s">
        <v>309</v>
      </c>
      <c r="E209" t="s">
        <v>1134</v>
      </c>
      <c r="F209" s="15">
        <v>46223.623645833337</v>
      </c>
      <c r="G209" t="s">
        <v>402</v>
      </c>
      <c r="H209">
        <v>3</v>
      </c>
      <c r="I209" t="s">
        <v>1136</v>
      </c>
      <c r="J209" s="15">
        <v>46224.351388888892</v>
      </c>
      <c r="K209" s="15">
        <v>46227.68472222222</v>
      </c>
      <c r="L209" s="15"/>
      <c r="M209">
        <v>3</v>
      </c>
      <c r="O209" t="s">
        <v>201</v>
      </c>
      <c r="P209" t="s">
        <v>1954</v>
      </c>
      <c r="S209" t="s">
        <v>355</v>
      </c>
      <c r="T209" t="s">
        <v>369</v>
      </c>
      <c r="U209" t="s">
        <v>239</v>
      </c>
      <c r="V209" t="s">
        <v>7</v>
      </c>
      <c r="W209" t="s">
        <v>7</v>
      </c>
      <c r="X209" t="s">
        <v>7</v>
      </c>
      <c r="AA209" t="s">
        <v>96</v>
      </c>
      <c r="AB209" t="s">
        <v>355</v>
      </c>
      <c r="AC209">
        <v>2200</v>
      </c>
      <c r="AD209" t="s">
        <v>225</v>
      </c>
      <c r="AE209">
        <v>3</v>
      </c>
    </row>
    <row r="210" spans="1:32" x14ac:dyDescent="0.3">
      <c r="A210" t="s">
        <v>348</v>
      </c>
      <c r="B210" t="s">
        <v>63</v>
      </c>
      <c r="C210" t="s">
        <v>95</v>
      </c>
      <c r="D210" t="s">
        <v>309</v>
      </c>
      <c r="E210" t="s">
        <v>1137</v>
      </c>
      <c r="F210" s="15">
        <v>46217.60359953704</v>
      </c>
      <c r="G210" t="s">
        <v>420</v>
      </c>
      <c r="H210">
        <v>1</v>
      </c>
      <c r="I210" t="s">
        <v>1138</v>
      </c>
      <c r="J210" s="15">
        <v>46220.352083333331</v>
      </c>
      <c r="K210" s="15">
        <v>46227.702777777777</v>
      </c>
      <c r="L210" s="15"/>
      <c r="M210">
        <v>1</v>
      </c>
      <c r="O210" t="s">
        <v>201</v>
      </c>
      <c r="P210" t="s">
        <v>1954</v>
      </c>
      <c r="S210" t="s">
        <v>357</v>
      </c>
      <c r="T210" t="s">
        <v>369</v>
      </c>
      <c r="U210" t="s">
        <v>239</v>
      </c>
      <c r="V210" t="s">
        <v>7</v>
      </c>
      <c r="W210" t="s">
        <v>7</v>
      </c>
      <c r="X210" t="s">
        <v>7</v>
      </c>
      <c r="AA210" t="s">
        <v>96</v>
      </c>
      <c r="AB210" t="s">
        <v>357</v>
      </c>
      <c r="AC210">
        <v>101</v>
      </c>
      <c r="AD210" t="s">
        <v>225</v>
      </c>
      <c r="AE210">
        <v>1</v>
      </c>
      <c r="AF210">
        <v>1</v>
      </c>
    </row>
    <row r="211" spans="1:32" x14ac:dyDescent="0.3">
      <c r="A211" t="s">
        <v>348</v>
      </c>
      <c r="B211" t="s">
        <v>63</v>
      </c>
      <c r="C211" t="s">
        <v>95</v>
      </c>
      <c r="D211" t="s">
        <v>309</v>
      </c>
      <c r="E211" t="s">
        <v>1137</v>
      </c>
      <c r="F211" s="15">
        <v>46217.60359953704</v>
      </c>
      <c r="G211" t="s">
        <v>420</v>
      </c>
      <c r="H211">
        <v>4</v>
      </c>
      <c r="I211" t="s">
        <v>1138</v>
      </c>
      <c r="J211" s="15">
        <v>46220.352083333331</v>
      </c>
      <c r="K211" s="15">
        <v>46227.702777777777</v>
      </c>
      <c r="L211" s="15"/>
      <c r="M211">
        <v>4</v>
      </c>
      <c r="O211" t="s">
        <v>1958</v>
      </c>
      <c r="S211" t="s">
        <v>357</v>
      </c>
      <c r="T211" t="s">
        <v>369</v>
      </c>
      <c r="U211" t="s">
        <v>239</v>
      </c>
      <c r="V211" t="s">
        <v>7</v>
      </c>
      <c r="W211" t="s">
        <v>7</v>
      </c>
      <c r="X211" t="s">
        <v>7</v>
      </c>
      <c r="AA211" t="s">
        <v>96</v>
      </c>
      <c r="AB211" t="s">
        <v>357</v>
      </c>
      <c r="AC211">
        <v>101</v>
      </c>
      <c r="AD211" t="s">
        <v>225</v>
      </c>
      <c r="AE211">
        <v>4</v>
      </c>
    </row>
    <row r="212" spans="1:32" x14ac:dyDescent="0.3">
      <c r="A212" t="s">
        <v>348</v>
      </c>
      <c r="B212" t="s">
        <v>63</v>
      </c>
      <c r="C212" t="s">
        <v>95</v>
      </c>
      <c r="D212" t="s">
        <v>309</v>
      </c>
      <c r="E212" t="s">
        <v>1137</v>
      </c>
      <c r="F212" s="15">
        <v>46217.60359953704</v>
      </c>
      <c r="G212" t="s">
        <v>420</v>
      </c>
      <c r="H212">
        <v>1</v>
      </c>
      <c r="I212" t="s">
        <v>1138</v>
      </c>
      <c r="J212" s="15">
        <v>46220.352083333331</v>
      </c>
      <c r="K212" s="15">
        <v>46227.702777777777</v>
      </c>
      <c r="L212" s="15"/>
      <c r="M212">
        <v>1</v>
      </c>
      <c r="O212" t="s">
        <v>1958</v>
      </c>
      <c r="S212" t="s">
        <v>357</v>
      </c>
      <c r="T212" t="s">
        <v>369</v>
      </c>
      <c r="U212" t="s">
        <v>239</v>
      </c>
      <c r="V212" t="s">
        <v>7</v>
      </c>
      <c r="W212" t="s">
        <v>7</v>
      </c>
      <c r="X212" t="s">
        <v>7</v>
      </c>
      <c r="AA212" t="s">
        <v>96</v>
      </c>
      <c r="AB212" t="s">
        <v>357</v>
      </c>
      <c r="AC212">
        <v>101</v>
      </c>
      <c r="AD212" t="s">
        <v>225</v>
      </c>
      <c r="AE212">
        <v>1</v>
      </c>
    </row>
    <row r="213" spans="1:32" x14ac:dyDescent="0.3">
      <c r="A213" t="s">
        <v>348</v>
      </c>
      <c r="B213" t="s">
        <v>281</v>
      </c>
      <c r="C213" t="s">
        <v>85</v>
      </c>
      <c r="D213" t="s">
        <v>309</v>
      </c>
      <c r="E213" t="s">
        <v>1137</v>
      </c>
      <c r="F213" s="15">
        <v>46217.60359953704</v>
      </c>
      <c r="G213" t="s">
        <v>420</v>
      </c>
      <c r="H213">
        <v>1</v>
      </c>
      <c r="I213" t="s">
        <v>1138</v>
      </c>
      <c r="J213" s="15">
        <v>46220.352083333331</v>
      </c>
      <c r="K213" s="15">
        <v>46227.702777777777</v>
      </c>
      <c r="L213" s="15"/>
      <c r="M213">
        <v>1</v>
      </c>
      <c r="O213" t="s">
        <v>201</v>
      </c>
      <c r="P213" t="s">
        <v>1956</v>
      </c>
      <c r="S213" t="s">
        <v>357</v>
      </c>
      <c r="T213" t="s">
        <v>369</v>
      </c>
      <c r="U213" t="s">
        <v>239</v>
      </c>
      <c r="V213" t="s">
        <v>7</v>
      </c>
      <c r="W213" t="s">
        <v>7</v>
      </c>
      <c r="X213" t="s">
        <v>7</v>
      </c>
      <c r="Z213">
        <v>1</v>
      </c>
      <c r="AA213" t="s">
        <v>122</v>
      </c>
      <c r="AB213" t="s">
        <v>357</v>
      </c>
      <c r="AC213">
        <v>101</v>
      </c>
      <c r="AD213" t="s">
        <v>231</v>
      </c>
      <c r="AE213">
        <v>1</v>
      </c>
      <c r="AF213">
        <v>1.6</v>
      </c>
    </row>
    <row r="214" spans="1:32" x14ac:dyDescent="0.3">
      <c r="A214" t="s">
        <v>348</v>
      </c>
      <c r="B214" t="s">
        <v>281</v>
      </c>
      <c r="C214" t="s">
        <v>85</v>
      </c>
      <c r="D214" t="s">
        <v>309</v>
      </c>
      <c r="E214" t="s">
        <v>1137</v>
      </c>
      <c r="F214" s="15">
        <v>46217.60359953704</v>
      </c>
      <c r="G214" t="s">
        <v>420</v>
      </c>
      <c r="H214">
        <v>14</v>
      </c>
      <c r="I214" t="s">
        <v>1138</v>
      </c>
      <c r="J214" s="15">
        <v>46220.352083333331</v>
      </c>
      <c r="K214" s="15">
        <v>46227.702777777777</v>
      </c>
      <c r="L214" s="15"/>
      <c r="M214">
        <v>14</v>
      </c>
      <c r="O214" t="s">
        <v>1958</v>
      </c>
      <c r="S214" t="s">
        <v>357</v>
      </c>
      <c r="T214" t="s">
        <v>369</v>
      </c>
      <c r="U214" t="s">
        <v>239</v>
      </c>
      <c r="V214" t="s">
        <v>7</v>
      </c>
      <c r="W214" t="s">
        <v>7</v>
      </c>
      <c r="X214" t="s">
        <v>7</v>
      </c>
      <c r="Z214">
        <v>1</v>
      </c>
      <c r="AA214" t="s">
        <v>122</v>
      </c>
      <c r="AB214" t="s">
        <v>357</v>
      </c>
      <c r="AC214">
        <v>101</v>
      </c>
      <c r="AD214" t="s">
        <v>231</v>
      </c>
      <c r="AE214">
        <v>14</v>
      </c>
    </row>
    <row r="215" spans="1:32" x14ac:dyDescent="0.3">
      <c r="A215" t="s">
        <v>348</v>
      </c>
      <c r="B215" t="s">
        <v>279</v>
      </c>
      <c r="C215" t="s">
        <v>197</v>
      </c>
      <c r="D215" t="s">
        <v>309</v>
      </c>
      <c r="E215" t="s">
        <v>1114</v>
      </c>
      <c r="F215" s="15">
        <v>46202.512337962966</v>
      </c>
      <c r="G215" t="s">
        <v>419</v>
      </c>
      <c r="H215">
        <v>30</v>
      </c>
      <c r="I215" t="s">
        <v>1129</v>
      </c>
      <c r="J215" s="15">
        <v>46239.591469907406</v>
      </c>
      <c r="K215" s="15">
        <v>46241.497916666667</v>
      </c>
      <c r="L215" s="15"/>
      <c r="M215">
        <v>30</v>
      </c>
      <c r="O215" t="s">
        <v>201</v>
      </c>
      <c r="P215" t="s">
        <v>1954</v>
      </c>
      <c r="S215" t="s">
        <v>356</v>
      </c>
      <c r="T215" t="s">
        <v>369</v>
      </c>
      <c r="U215" t="s">
        <v>239</v>
      </c>
      <c r="V215" t="s">
        <v>7</v>
      </c>
      <c r="W215" t="s">
        <v>7</v>
      </c>
      <c r="X215" t="s">
        <v>7</v>
      </c>
      <c r="Z215">
        <v>16</v>
      </c>
      <c r="AA215" t="s">
        <v>122</v>
      </c>
      <c r="AB215" t="s">
        <v>356</v>
      </c>
      <c r="AC215">
        <v>109</v>
      </c>
      <c r="AD215" t="s">
        <v>232</v>
      </c>
      <c r="AE215">
        <v>480</v>
      </c>
      <c r="AF215">
        <v>48</v>
      </c>
    </row>
    <row r="216" spans="1:32" x14ac:dyDescent="0.3">
      <c r="A216" t="s">
        <v>348</v>
      </c>
      <c r="B216" t="s">
        <v>60</v>
      </c>
      <c r="C216" t="s">
        <v>92</v>
      </c>
      <c r="D216" t="s">
        <v>309</v>
      </c>
      <c r="E216" t="s">
        <v>1114</v>
      </c>
      <c r="F216" s="15">
        <v>46202.512337962966</v>
      </c>
      <c r="G216" t="s">
        <v>419</v>
      </c>
      <c r="H216">
        <v>736</v>
      </c>
      <c r="I216" t="s">
        <v>1128</v>
      </c>
      <c r="J216" s="15">
        <v>46203.361828703702</v>
      </c>
      <c r="K216" s="15">
        <v>46212.739201388889</v>
      </c>
      <c r="L216" s="15"/>
      <c r="M216">
        <v>736</v>
      </c>
      <c r="O216" t="s">
        <v>201</v>
      </c>
      <c r="P216" t="s">
        <v>1954</v>
      </c>
      <c r="S216" t="s">
        <v>356</v>
      </c>
      <c r="T216" t="s">
        <v>369</v>
      </c>
      <c r="U216" t="s">
        <v>239</v>
      </c>
      <c r="V216" t="s">
        <v>7</v>
      </c>
      <c r="W216" t="s">
        <v>7</v>
      </c>
      <c r="X216" t="s">
        <v>7</v>
      </c>
      <c r="AA216" t="s">
        <v>92</v>
      </c>
      <c r="AB216" t="s">
        <v>356</v>
      </c>
      <c r="AC216">
        <v>109</v>
      </c>
      <c r="AD216" t="s">
        <v>236</v>
      </c>
      <c r="AE216">
        <v>736</v>
      </c>
      <c r="AF216">
        <v>79.599999999999994</v>
      </c>
    </row>
    <row r="217" spans="1:32" x14ac:dyDescent="0.3">
      <c r="A217" t="s">
        <v>348</v>
      </c>
      <c r="B217" t="s">
        <v>60</v>
      </c>
      <c r="C217" t="s">
        <v>92</v>
      </c>
      <c r="D217" t="s">
        <v>309</v>
      </c>
      <c r="E217" t="s">
        <v>1114</v>
      </c>
      <c r="F217" s="15">
        <v>46202.512337962966</v>
      </c>
      <c r="G217" t="s">
        <v>419</v>
      </c>
      <c r="H217">
        <v>60</v>
      </c>
      <c r="I217" t="s">
        <v>1128</v>
      </c>
      <c r="J217" s="15">
        <v>46203.361828703702</v>
      </c>
      <c r="K217" s="15">
        <v>46212.739201388889</v>
      </c>
      <c r="L217" s="15"/>
      <c r="M217">
        <v>60</v>
      </c>
      <c r="O217" t="s">
        <v>1958</v>
      </c>
      <c r="S217" t="s">
        <v>356</v>
      </c>
      <c r="T217" t="s">
        <v>369</v>
      </c>
      <c r="U217" t="s">
        <v>239</v>
      </c>
      <c r="V217" t="s">
        <v>7</v>
      </c>
      <c r="W217" t="s">
        <v>7</v>
      </c>
      <c r="X217" t="s">
        <v>7</v>
      </c>
      <c r="AA217" t="s">
        <v>92</v>
      </c>
      <c r="AB217" t="s">
        <v>356</v>
      </c>
      <c r="AC217">
        <v>109</v>
      </c>
      <c r="AD217" t="s">
        <v>236</v>
      </c>
      <c r="AE217">
        <v>60</v>
      </c>
    </row>
    <row r="218" spans="1:32" x14ac:dyDescent="0.3">
      <c r="A218" t="s">
        <v>348</v>
      </c>
      <c r="B218" t="s">
        <v>281</v>
      </c>
      <c r="C218" t="s">
        <v>85</v>
      </c>
      <c r="D218" t="s">
        <v>309</v>
      </c>
      <c r="E218" t="s">
        <v>1139</v>
      </c>
      <c r="F218" s="15">
        <v>46238.326192129629</v>
      </c>
      <c r="G218" t="s">
        <v>401</v>
      </c>
      <c r="H218">
        <v>5</v>
      </c>
      <c r="I218" t="s">
        <v>1140</v>
      </c>
      <c r="J218" s="15">
        <v>46238.341504629629</v>
      </c>
      <c r="K218" s="15">
        <v>46239.65625</v>
      </c>
      <c r="L218" s="15"/>
      <c r="M218">
        <v>5</v>
      </c>
      <c r="O218" t="s">
        <v>201</v>
      </c>
      <c r="P218" t="s">
        <v>1954</v>
      </c>
      <c r="S218" t="s">
        <v>357</v>
      </c>
      <c r="T218" t="s">
        <v>369</v>
      </c>
      <c r="U218" t="s">
        <v>239</v>
      </c>
      <c r="V218" t="s">
        <v>7</v>
      </c>
      <c r="W218" t="s">
        <v>7</v>
      </c>
      <c r="X218" t="s">
        <v>7</v>
      </c>
      <c r="Z218">
        <v>1</v>
      </c>
      <c r="AA218" t="s">
        <v>122</v>
      </c>
      <c r="AB218" t="s">
        <v>357</v>
      </c>
      <c r="AC218">
        <v>101</v>
      </c>
      <c r="AD218" t="s">
        <v>231</v>
      </c>
      <c r="AE218">
        <v>5</v>
      </c>
      <c r="AF218">
        <v>1</v>
      </c>
    </row>
    <row r="219" spans="1:32" x14ac:dyDescent="0.3">
      <c r="A219" t="s">
        <v>348</v>
      </c>
      <c r="B219" t="s">
        <v>281</v>
      </c>
      <c r="C219" t="s">
        <v>85</v>
      </c>
      <c r="D219" t="s">
        <v>309</v>
      </c>
      <c r="E219" t="s">
        <v>1139</v>
      </c>
      <c r="F219" s="15">
        <v>46238.326192129629</v>
      </c>
      <c r="G219" t="s">
        <v>401</v>
      </c>
      <c r="H219">
        <v>5</v>
      </c>
      <c r="I219" t="s">
        <v>1140</v>
      </c>
      <c r="J219" s="15">
        <v>46238.341504629629</v>
      </c>
      <c r="K219" s="15">
        <v>46239.65625</v>
      </c>
      <c r="L219" s="15"/>
      <c r="M219">
        <v>5</v>
      </c>
      <c r="O219" t="s">
        <v>1958</v>
      </c>
      <c r="S219" t="s">
        <v>357</v>
      </c>
      <c r="T219" t="s">
        <v>369</v>
      </c>
      <c r="U219" t="s">
        <v>239</v>
      </c>
      <c r="V219" t="s">
        <v>7</v>
      </c>
      <c r="W219" t="s">
        <v>7</v>
      </c>
      <c r="X219" t="s">
        <v>7</v>
      </c>
      <c r="Z219">
        <v>1</v>
      </c>
      <c r="AA219" t="s">
        <v>122</v>
      </c>
      <c r="AB219" t="s">
        <v>357</v>
      </c>
      <c r="AC219">
        <v>101</v>
      </c>
      <c r="AD219" t="s">
        <v>231</v>
      </c>
      <c r="AE219">
        <v>5</v>
      </c>
    </row>
    <row r="220" spans="1:32" x14ac:dyDescent="0.3">
      <c r="A220" t="s">
        <v>348</v>
      </c>
      <c r="B220" t="s">
        <v>63</v>
      </c>
      <c r="C220" t="s">
        <v>95</v>
      </c>
      <c r="D220" t="s">
        <v>309</v>
      </c>
      <c r="E220" t="s">
        <v>1139</v>
      </c>
      <c r="F220" s="15">
        <v>46238.326192129629</v>
      </c>
      <c r="G220" t="s">
        <v>401</v>
      </c>
      <c r="H220">
        <v>1</v>
      </c>
      <c r="I220" t="s">
        <v>1140</v>
      </c>
      <c r="J220" s="15">
        <v>46238.341504629629</v>
      </c>
      <c r="K220" s="15">
        <v>46239.65625</v>
      </c>
      <c r="L220" s="15"/>
      <c r="M220">
        <v>1</v>
      </c>
      <c r="O220" t="s">
        <v>201</v>
      </c>
      <c r="P220" t="s">
        <v>1954</v>
      </c>
      <c r="S220" t="s">
        <v>357</v>
      </c>
      <c r="T220" t="s">
        <v>369</v>
      </c>
      <c r="U220" t="s">
        <v>239</v>
      </c>
      <c r="V220" t="s">
        <v>7</v>
      </c>
      <c r="W220" t="s">
        <v>7</v>
      </c>
      <c r="X220" t="s">
        <v>7</v>
      </c>
      <c r="AA220" t="s">
        <v>96</v>
      </c>
      <c r="AB220" t="s">
        <v>357</v>
      </c>
      <c r="AC220">
        <v>101</v>
      </c>
      <c r="AD220" t="s">
        <v>225</v>
      </c>
      <c r="AE220">
        <v>1</v>
      </c>
      <c r="AF220">
        <v>1.5</v>
      </c>
    </row>
    <row r="221" spans="1:32" x14ac:dyDescent="0.3">
      <c r="A221" t="s">
        <v>348</v>
      </c>
      <c r="B221" t="s">
        <v>63</v>
      </c>
      <c r="C221" t="s">
        <v>95</v>
      </c>
      <c r="D221" t="s">
        <v>309</v>
      </c>
      <c r="E221" t="s">
        <v>1139</v>
      </c>
      <c r="F221" s="15">
        <v>46238.326192129629</v>
      </c>
      <c r="G221" t="s">
        <v>401</v>
      </c>
      <c r="H221">
        <v>1</v>
      </c>
      <c r="I221" t="s">
        <v>1140</v>
      </c>
      <c r="J221" s="15">
        <v>46238.341504629629</v>
      </c>
      <c r="K221" s="15">
        <v>46239.65625</v>
      </c>
      <c r="L221" s="15"/>
      <c r="M221">
        <v>1</v>
      </c>
      <c r="O221" t="s">
        <v>1958</v>
      </c>
      <c r="S221" t="s">
        <v>357</v>
      </c>
      <c r="T221" t="s">
        <v>369</v>
      </c>
      <c r="U221" t="s">
        <v>239</v>
      </c>
      <c r="V221" t="s">
        <v>7</v>
      </c>
      <c r="W221" t="s">
        <v>7</v>
      </c>
      <c r="X221" t="s">
        <v>7</v>
      </c>
      <c r="AA221" t="s">
        <v>96</v>
      </c>
      <c r="AB221" t="s">
        <v>357</v>
      </c>
      <c r="AC221">
        <v>101</v>
      </c>
      <c r="AD221" t="s">
        <v>225</v>
      </c>
      <c r="AE221">
        <v>1</v>
      </c>
    </row>
    <row r="222" spans="1:32" x14ac:dyDescent="0.3">
      <c r="A222" t="s">
        <v>348</v>
      </c>
      <c r="B222" t="s">
        <v>57</v>
      </c>
      <c r="C222" t="s">
        <v>117</v>
      </c>
      <c r="D222" t="s">
        <v>309</v>
      </c>
      <c r="E222" t="s">
        <v>1139</v>
      </c>
      <c r="F222" s="15">
        <v>46238.326192129629</v>
      </c>
      <c r="G222" t="s">
        <v>401</v>
      </c>
      <c r="H222">
        <v>1</v>
      </c>
      <c r="I222" t="s">
        <v>1140</v>
      </c>
      <c r="J222" s="15">
        <v>46238.341504629629</v>
      </c>
      <c r="K222" s="15">
        <v>46239.65625</v>
      </c>
      <c r="L222" s="15"/>
      <c r="M222">
        <v>1</v>
      </c>
      <c r="O222" t="s">
        <v>201</v>
      </c>
      <c r="P222" t="s">
        <v>1954</v>
      </c>
      <c r="S222" t="s">
        <v>357</v>
      </c>
      <c r="T222" t="s">
        <v>369</v>
      </c>
      <c r="U222" t="s">
        <v>239</v>
      </c>
      <c r="V222" t="s">
        <v>7</v>
      </c>
      <c r="W222" t="s">
        <v>7</v>
      </c>
      <c r="X222" t="s">
        <v>7</v>
      </c>
      <c r="AA222" t="s">
        <v>127</v>
      </c>
      <c r="AB222" t="s">
        <v>357</v>
      </c>
      <c r="AC222">
        <v>101</v>
      </c>
      <c r="AD222" t="s">
        <v>233</v>
      </c>
      <c r="AE222">
        <v>1</v>
      </c>
      <c r="AF222">
        <v>1</v>
      </c>
    </row>
    <row r="223" spans="1:32" x14ac:dyDescent="0.3">
      <c r="A223" t="s">
        <v>348</v>
      </c>
      <c r="B223" t="s">
        <v>57</v>
      </c>
      <c r="C223" t="s">
        <v>117</v>
      </c>
      <c r="D223" t="s">
        <v>309</v>
      </c>
      <c r="E223" t="s">
        <v>1139</v>
      </c>
      <c r="F223" s="15">
        <v>46238.326192129629</v>
      </c>
      <c r="G223" t="s">
        <v>401</v>
      </c>
      <c r="H223">
        <v>1</v>
      </c>
      <c r="I223" t="s">
        <v>1140</v>
      </c>
      <c r="J223" s="15">
        <v>46238.341504629629</v>
      </c>
      <c r="K223" s="15">
        <v>46239.65625</v>
      </c>
      <c r="L223" s="15"/>
      <c r="M223">
        <v>1</v>
      </c>
      <c r="O223" t="s">
        <v>1958</v>
      </c>
      <c r="S223" t="s">
        <v>357</v>
      </c>
      <c r="T223" t="s">
        <v>369</v>
      </c>
      <c r="U223" t="s">
        <v>239</v>
      </c>
      <c r="V223" t="s">
        <v>7</v>
      </c>
      <c r="W223" t="s">
        <v>7</v>
      </c>
      <c r="X223" t="s">
        <v>7</v>
      </c>
      <c r="AA223" t="s">
        <v>127</v>
      </c>
      <c r="AB223" t="s">
        <v>357</v>
      </c>
      <c r="AC223">
        <v>101</v>
      </c>
      <c r="AD223" t="s">
        <v>233</v>
      </c>
      <c r="AE223">
        <v>1</v>
      </c>
    </row>
    <row r="224" spans="1:32" x14ac:dyDescent="0.3">
      <c r="A224" t="s">
        <v>348</v>
      </c>
      <c r="B224" t="s">
        <v>63</v>
      </c>
      <c r="C224" t="s">
        <v>95</v>
      </c>
      <c r="D224" t="s">
        <v>309</v>
      </c>
      <c r="E224" t="s">
        <v>1125</v>
      </c>
      <c r="F224" s="15">
        <v>46233.719895833332</v>
      </c>
      <c r="G224" t="s">
        <v>420</v>
      </c>
      <c r="H224">
        <v>108</v>
      </c>
      <c r="I224" t="s">
        <v>1141</v>
      </c>
      <c r="J224" s="15">
        <v>46244.494745370372</v>
      </c>
      <c r="K224" s="15">
        <v>46247.731863425928</v>
      </c>
      <c r="L224" s="15"/>
      <c r="M224">
        <v>108</v>
      </c>
      <c r="O224" t="s">
        <v>201</v>
      </c>
      <c r="P224" t="s">
        <v>1954</v>
      </c>
      <c r="S224" t="s">
        <v>355</v>
      </c>
      <c r="T224" t="s">
        <v>369</v>
      </c>
      <c r="U224" t="s">
        <v>239</v>
      </c>
      <c r="V224" t="s">
        <v>7</v>
      </c>
      <c r="W224" t="s">
        <v>7</v>
      </c>
      <c r="X224" t="s">
        <v>7</v>
      </c>
      <c r="AA224" t="s">
        <v>96</v>
      </c>
      <c r="AB224" t="s">
        <v>355</v>
      </c>
      <c r="AC224">
        <v>2200</v>
      </c>
      <c r="AD224" t="s">
        <v>225</v>
      </c>
      <c r="AE224">
        <v>108</v>
      </c>
      <c r="AF224">
        <v>10.8</v>
      </c>
    </row>
    <row r="225" spans="1:32" x14ac:dyDescent="0.3">
      <c r="A225" t="s">
        <v>348</v>
      </c>
      <c r="B225" t="s">
        <v>57</v>
      </c>
      <c r="C225" t="s">
        <v>117</v>
      </c>
      <c r="D225" t="s">
        <v>309</v>
      </c>
      <c r="E225" t="s">
        <v>1125</v>
      </c>
      <c r="F225" s="15">
        <v>46233.719895833332</v>
      </c>
      <c r="G225" t="s">
        <v>420</v>
      </c>
      <c r="H225">
        <v>108</v>
      </c>
      <c r="I225" t="s">
        <v>1141</v>
      </c>
      <c r="J225" s="15">
        <v>46244.494745370372</v>
      </c>
      <c r="K225" s="15">
        <v>46247.731863425928</v>
      </c>
      <c r="L225" s="15"/>
      <c r="M225">
        <v>108</v>
      </c>
      <c r="O225" t="s">
        <v>201</v>
      </c>
      <c r="P225" t="s">
        <v>1954</v>
      </c>
      <c r="S225" t="s">
        <v>355</v>
      </c>
      <c r="T225" t="s">
        <v>369</v>
      </c>
      <c r="U225" t="s">
        <v>239</v>
      </c>
      <c r="V225" t="s">
        <v>7</v>
      </c>
      <c r="W225" t="s">
        <v>7</v>
      </c>
      <c r="X225" t="s">
        <v>7</v>
      </c>
      <c r="AA225" t="s">
        <v>127</v>
      </c>
      <c r="AB225" t="s">
        <v>355</v>
      </c>
      <c r="AC225">
        <v>2200</v>
      </c>
      <c r="AD225" t="s">
        <v>233</v>
      </c>
      <c r="AE225">
        <v>10.8</v>
      </c>
      <c r="AF225">
        <v>1.08</v>
      </c>
    </row>
    <row r="226" spans="1:32" x14ac:dyDescent="0.3">
      <c r="A226" t="s">
        <v>348</v>
      </c>
      <c r="B226" t="s">
        <v>63</v>
      </c>
      <c r="C226" t="s">
        <v>95</v>
      </c>
      <c r="D226" t="s">
        <v>309</v>
      </c>
      <c r="E226" t="s">
        <v>1125</v>
      </c>
      <c r="F226" s="15">
        <v>46233.719895833332</v>
      </c>
      <c r="G226" t="s">
        <v>420</v>
      </c>
      <c r="H226">
        <v>12</v>
      </c>
      <c r="I226" t="s">
        <v>1142</v>
      </c>
      <c r="J226" s="15">
        <v>46237.708252314813</v>
      </c>
      <c r="K226" s="15">
        <v>46240.458333333336</v>
      </c>
      <c r="L226" s="15"/>
      <c r="M226">
        <v>12</v>
      </c>
      <c r="O226" t="s">
        <v>201</v>
      </c>
      <c r="P226" t="s">
        <v>1954</v>
      </c>
      <c r="S226" t="s">
        <v>355</v>
      </c>
      <c r="T226" t="s">
        <v>369</v>
      </c>
      <c r="U226" t="s">
        <v>239</v>
      </c>
      <c r="V226" t="s">
        <v>7</v>
      </c>
      <c r="W226" t="s">
        <v>7</v>
      </c>
      <c r="X226" t="s">
        <v>7</v>
      </c>
      <c r="AA226" t="s">
        <v>96</v>
      </c>
      <c r="AB226" t="s">
        <v>355</v>
      </c>
      <c r="AC226">
        <v>2200</v>
      </c>
      <c r="AD226" t="s">
        <v>225</v>
      </c>
      <c r="AE226">
        <v>12</v>
      </c>
      <c r="AF226">
        <v>1.2</v>
      </c>
    </row>
    <row r="227" spans="1:32" x14ac:dyDescent="0.3">
      <c r="A227" t="s">
        <v>348</v>
      </c>
      <c r="B227" t="s">
        <v>57</v>
      </c>
      <c r="C227" t="s">
        <v>117</v>
      </c>
      <c r="D227" t="s">
        <v>309</v>
      </c>
      <c r="E227" t="s">
        <v>1125</v>
      </c>
      <c r="F227" s="15">
        <v>46233.719895833332</v>
      </c>
      <c r="G227" t="s">
        <v>420</v>
      </c>
      <c r="H227">
        <v>12</v>
      </c>
      <c r="I227" t="s">
        <v>1142</v>
      </c>
      <c r="J227" s="15">
        <v>46237.708252314813</v>
      </c>
      <c r="K227" s="15">
        <v>46240.458333333336</v>
      </c>
      <c r="L227" s="15"/>
      <c r="M227">
        <v>12</v>
      </c>
      <c r="O227" t="s">
        <v>201</v>
      </c>
      <c r="P227" t="s">
        <v>1954</v>
      </c>
      <c r="S227" t="s">
        <v>355</v>
      </c>
      <c r="T227" t="s">
        <v>369</v>
      </c>
      <c r="U227" t="s">
        <v>239</v>
      </c>
      <c r="V227" t="s">
        <v>7</v>
      </c>
      <c r="W227" t="s">
        <v>7</v>
      </c>
      <c r="X227" t="s">
        <v>7</v>
      </c>
      <c r="AA227" t="s">
        <v>127</v>
      </c>
      <c r="AB227" t="s">
        <v>355</v>
      </c>
      <c r="AC227">
        <v>2200</v>
      </c>
      <c r="AD227" t="s">
        <v>233</v>
      </c>
      <c r="AE227">
        <v>1.2</v>
      </c>
      <c r="AF227">
        <v>1</v>
      </c>
    </row>
    <row r="228" spans="1:32" x14ac:dyDescent="0.3">
      <c r="A228" t="s">
        <v>348</v>
      </c>
      <c r="B228" t="s">
        <v>279</v>
      </c>
      <c r="C228" t="s">
        <v>197</v>
      </c>
      <c r="D228" t="s">
        <v>309</v>
      </c>
      <c r="E228" t="s">
        <v>1125</v>
      </c>
      <c r="F228" s="15">
        <v>46233.719895833332</v>
      </c>
      <c r="G228" t="s">
        <v>420</v>
      </c>
      <c r="H228">
        <v>12</v>
      </c>
      <c r="I228" t="s">
        <v>1142</v>
      </c>
      <c r="J228" s="15">
        <v>46237.708252314813</v>
      </c>
      <c r="K228" s="15">
        <v>46240.458333333336</v>
      </c>
      <c r="L228" s="15"/>
      <c r="M228">
        <v>12</v>
      </c>
      <c r="O228" t="s">
        <v>201</v>
      </c>
      <c r="P228" t="s">
        <v>1954</v>
      </c>
      <c r="S228" t="s">
        <v>355</v>
      </c>
      <c r="T228" t="s">
        <v>369</v>
      </c>
      <c r="U228" t="s">
        <v>239</v>
      </c>
      <c r="V228" t="s">
        <v>7</v>
      </c>
      <c r="W228" t="s">
        <v>7</v>
      </c>
      <c r="X228" t="s">
        <v>7</v>
      </c>
      <c r="Z228">
        <v>16</v>
      </c>
      <c r="AA228" t="s">
        <v>122</v>
      </c>
      <c r="AB228" t="s">
        <v>355</v>
      </c>
      <c r="AC228">
        <v>2200</v>
      </c>
      <c r="AD228" t="s">
        <v>232</v>
      </c>
      <c r="AE228">
        <v>192</v>
      </c>
      <c r="AF228">
        <v>19.2</v>
      </c>
    </row>
    <row r="229" spans="1:32" x14ac:dyDescent="0.3">
      <c r="A229" t="s">
        <v>348</v>
      </c>
      <c r="B229" t="s">
        <v>281</v>
      </c>
      <c r="C229" t="s">
        <v>85</v>
      </c>
      <c r="D229" t="s">
        <v>309</v>
      </c>
      <c r="E229" t="s">
        <v>1125</v>
      </c>
      <c r="F229" s="15">
        <v>46233.719895833332</v>
      </c>
      <c r="G229" t="s">
        <v>420</v>
      </c>
      <c r="H229">
        <v>2</v>
      </c>
      <c r="I229" t="s">
        <v>1127</v>
      </c>
      <c r="J229" s="15">
        <v>46234.408483796295</v>
      </c>
      <c r="K229" s="15">
        <v>46238.436805555553</v>
      </c>
      <c r="L229" s="15"/>
      <c r="M229">
        <v>2</v>
      </c>
      <c r="O229" t="s">
        <v>201</v>
      </c>
      <c r="P229" t="s">
        <v>1954</v>
      </c>
      <c r="S229" t="s">
        <v>355</v>
      </c>
      <c r="T229" t="s">
        <v>369</v>
      </c>
      <c r="U229" t="s">
        <v>239</v>
      </c>
      <c r="V229" t="s">
        <v>7</v>
      </c>
      <c r="W229" t="s">
        <v>7</v>
      </c>
      <c r="X229" t="s">
        <v>7</v>
      </c>
      <c r="Z229">
        <v>1</v>
      </c>
      <c r="AA229" t="s">
        <v>122</v>
      </c>
      <c r="AB229" t="s">
        <v>355</v>
      </c>
      <c r="AC229">
        <v>2200</v>
      </c>
      <c r="AD229" t="s">
        <v>231</v>
      </c>
      <c r="AE229">
        <v>2</v>
      </c>
      <c r="AF229">
        <v>1</v>
      </c>
    </row>
    <row r="230" spans="1:32" x14ac:dyDescent="0.3">
      <c r="A230" t="s">
        <v>348</v>
      </c>
      <c r="B230" t="s">
        <v>279</v>
      </c>
      <c r="C230" t="s">
        <v>197</v>
      </c>
      <c r="D230" t="s">
        <v>309</v>
      </c>
      <c r="E230" t="s">
        <v>1125</v>
      </c>
      <c r="F230" s="15">
        <v>46233.719895833332</v>
      </c>
      <c r="G230" t="s">
        <v>420</v>
      </c>
      <c r="H230">
        <v>108</v>
      </c>
      <c r="I230" t="s">
        <v>1141</v>
      </c>
      <c r="J230" s="15">
        <v>46244.494745370372</v>
      </c>
      <c r="K230" s="15">
        <v>46247.731863425928</v>
      </c>
      <c r="L230" s="15"/>
      <c r="M230">
        <v>108</v>
      </c>
      <c r="O230" t="s">
        <v>201</v>
      </c>
      <c r="P230" t="s">
        <v>1956</v>
      </c>
      <c r="S230" t="s">
        <v>355</v>
      </c>
      <c r="T230" t="s">
        <v>369</v>
      </c>
      <c r="U230" t="s">
        <v>239</v>
      </c>
      <c r="V230" t="s">
        <v>7</v>
      </c>
      <c r="W230" t="s">
        <v>7</v>
      </c>
      <c r="X230" t="s">
        <v>7</v>
      </c>
      <c r="Z230">
        <v>16</v>
      </c>
      <c r="AA230" t="s">
        <v>122</v>
      </c>
      <c r="AB230" t="s">
        <v>355</v>
      </c>
      <c r="AC230">
        <v>2200</v>
      </c>
      <c r="AD230" t="s">
        <v>232</v>
      </c>
      <c r="AE230">
        <v>1728</v>
      </c>
      <c r="AF230">
        <v>172.8</v>
      </c>
    </row>
    <row r="231" spans="1:32" x14ac:dyDescent="0.3">
      <c r="A231" t="s">
        <v>348</v>
      </c>
      <c r="B231" t="s">
        <v>47</v>
      </c>
      <c r="C231" t="s">
        <v>68</v>
      </c>
      <c r="D231" t="s">
        <v>309</v>
      </c>
      <c r="E231" t="s">
        <v>1143</v>
      </c>
      <c r="F231" s="15">
        <v>46211.698680555557</v>
      </c>
      <c r="G231" t="s">
        <v>403</v>
      </c>
      <c r="H231">
        <v>2</v>
      </c>
      <c r="I231" t="s">
        <v>1144</v>
      </c>
      <c r="J231" s="15">
        <v>46219.448703703703</v>
      </c>
      <c r="K231" s="15">
        <v>46220.459722222222</v>
      </c>
      <c r="L231" s="15"/>
      <c r="M231">
        <v>2</v>
      </c>
      <c r="O231" t="s">
        <v>201</v>
      </c>
      <c r="P231" t="s">
        <v>1956</v>
      </c>
      <c r="S231" t="s">
        <v>356</v>
      </c>
      <c r="T231" t="s">
        <v>369</v>
      </c>
      <c r="U231" t="s">
        <v>239</v>
      </c>
      <c r="V231" t="s">
        <v>348</v>
      </c>
      <c r="W231" t="s">
        <v>369</v>
      </c>
      <c r="X231" t="s">
        <v>239</v>
      </c>
      <c r="Y231">
        <v>0</v>
      </c>
      <c r="AA231" t="s">
        <v>90</v>
      </c>
      <c r="AB231" t="s">
        <v>356</v>
      </c>
      <c r="AC231">
        <v>109</v>
      </c>
      <c r="AD231" t="s">
        <v>218</v>
      </c>
      <c r="AE231">
        <v>1</v>
      </c>
      <c r="AF231">
        <v>1</v>
      </c>
    </row>
    <row r="232" spans="1:32" x14ac:dyDescent="0.3">
      <c r="A232" t="s">
        <v>348</v>
      </c>
      <c r="B232" t="s">
        <v>279</v>
      </c>
      <c r="C232" t="s">
        <v>197</v>
      </c>
      <c r="D232" t="s">
        <v>309</v>
      </c>
      <c r="E232" t="s">
        <v>1137</v>
      </c>
      <c r="F232" s="15">
        <v>46217.60359953704</v>
      </c>
      <c r="G232" t="s">
        <v>420</v>
      </c>
      <c r="H232">
        <v>13</v>
      </c>
      <c r="I232" t="s">
        <v>1145</v>
      </c>
      <c r="J232" s="15">
        <v>46237.518055555556</v>
      </c>
      <c r="K232" s="15">
        <v>46239.647916666669</v>
      </c>
      <c r="L232" s="15"/>
      <c r="M232">
        <v>13</v>
      </c>
      <c r="O232" t="s">
        <v>201</v>
      </c>
      <c r="P232" t="s">
        <v>1954</v>
      </c>
      <c r="S232" t="s">
        <v>357</v>
      </c>
      <c r="T232" t="s">
        <v>369</v>
      </c>
      <c r="U232" t="s">
        <v>239</v>
      </c>
      <c r="V232" t="s">
        <v>7</v>
      </c>
      <c r="W232" t="s">
        <v>7</v>
      </c>
      <c r="X232" t="s">
        <v>7</v>
      </c>
      <c r="Z232">
        <v>16</v>
      </c>
      <c r="AA232" t="s">
        <v>122</v>
      </c>
      <c r="AB232" t="s">
        <v>357</v>
      </c>
      <c r="AC232">
        <v>101</v>
      </c>
      <c r="AD232" t="s">
        <v>232</v>
      </c>
      <c r="AE232">
        <v>208</v>
      </c>
      <c r="AF232">
        <v>20.8</v>
      </c>
    </row>
    <row r="233" spans="1:32" x14ac:dyDescent="0.3">
      <c r="A233" t="s">
        <v>348</v>
      </c>
      <c r="B233" t="s">
        <v>57</v>
      </c>
      <c r="C233" t="s">
        <v>117</v>
      </c>
      <c r="D233" t="s">
        <v>309</v>
      </c>
      <c r="E233" t="s">
        <v>1146</v>
      </c>
      <c r="F233" s="15">
        <v>46247.424131944441</v>
      </c>
      <c r="G233" t="s">
        <v>399</v>
      </c>
      <c r="H233">
        <v>1</v>
      </c>
      <c r="I233" t="s">
        <v>1147</v>
      </c>
      <c r="J233" s="15">
        <v>46247.640277777777</v>
      </c>
      <c r="K233" s="15">
        <v>46253.622916666667</v>
      </c>
      <c r="L233" s="15"/>
      <c r="M233">
        <v>1</v>
      </c>
      <c r="O233" t="s">
        <v>201</v>
      </c>
      <c r="P233" t="s">
        <v>1954</v>
      </c>
      <c r="S233" t="s">
        <v>353</v>
      </c>
      <c r="T233" t="s">
        <v>368</v>
      </c>
      <c r="U233" t="s">
        <v>239</v>
      </c>
      <c r="V233" t="s">
        <v>7</v>
      </c>
      <c r="W233" t="s">
        <v>7</v>
      </c>
      <c r="X233" t="s">
        <v>7</v>
      </c>
      <c r="AA233" t="s">
        <v>127</v>
      </c>
      <c r="AB233" t="s">
        <v>353</v>
      </c>
      <c r="AC233">
        <v>2100</v>
      </c>
      <c r="AD233" t="s">
        <v>233</v>
      </c>
      <c r="AE233">
        <v>1</v>
      </c>
      <c r="AF233">
        <v>1</v>
      </c>
    </row>
    <row r="234" spans="1:32" x14ac:dyDescent="0.3">
      <c r="A234" t="s">
        <v>348</v>
      </c>
      <c r="B234" t="s">
        <v>57</v>
      </c>
      <c r="C234" t="s">
        <v>117</v>
      </c>
      <c r="D234" t="s">
        <v>309</v>
      </c>
      <c r="E234" t="s">
        <v>1148</v>
      </c>
      <c r="F234" s="15">
        <v>46241.653622685182</v>
      </c>
      <c r="G234" t="s">
        <v>399</v>
      </c>
      <c r="H234">
        <v>1</v>
      </c>
      <c r="I234" t="s">
        <v>1149</v>
      </c>
      <c r="J234" s="15">
        <v>46247.673611111109</v>
      </c>
      <c r="K234" s="15">
        <v>46253.618055555555</v>
      </c>
      <c r="L234" s="15"/>
      <c r="M234">
        <v>1</v>
      </c>
      <c r="O234" t="s">
        <v>201</v>
      </c>
      <c r="P234" t="s">
        <v>1954</v>
      </c>
      <c r="S234" t="s">
        <v>353</v>
      </c>
      <c r="T234" t="s">
        <v>368</v>
      </c>
      <c r="U234" t="s">
        <v>239</v>
      </c>
      <c r="V234" t="s">
        <v>7</v>
      </c>
      <c r="W234" t="s">
        <v>7</v>
      </c>
      <c r="X234" t="s">
        <v>7</v>
      </c>
      <c r="AA234" t="s">
        <v>127</v>
      </c>
      <c r="AB234" t="s">
        <v>353</v>
      </c>
      <c r="AC234">
        <v>2100</v>
      </c>
      <c r="AD234" t="s">
        <v>233</v>
      </c>
      <c r="AE234">
        <v>1</v>
      </c>
    </row>
    <row r="235" spans="1:32" x14ac:dyDescent="0.3">
      <c r="A235" t="s">
        <v>348</v>
      </c>
      <c r="B235" t="s">
        <v>57</v>
      </c>
      <c r="C235" t="s">
        <v>117</v>
      </c>
      <c r="D235" t="s">
        <v>309</v>
      </c>
      <c r="E235" t="s">
        <v>1150</v>
      </c>
      <c r="F235" s="15">
        <v>46238.350578703707</v>
      </c>
      <c r="G235" t="s">
        <v>399</v>
      </c>
      <c r="H235">
        <v>1</v>
      </c>
      <c r="I235" t="s">
        <v>1151</v>
      </c>
      <c r="J235" s="15">
        <v>46238.650694444441</v>
      </c>
      <c r="K235" s="15">
        <v>46241.494444444441</v>
      </c>
      <c r="L235" s="15"/>
      <c r="M235">
        <v>1</v>
      </c>
      <c r="O235" t="s">
        <v>201</v>
      </c>
      <c r="P235" t="s">
        <v>1954</v>
      </c>
      <c r="S235" t="s">
        <v>353</v>
      </c>
      <c r="T235" t="s">
        <v>368</v>
      </c>
      <c r="U235" t="s">
        <v>239</v>
      </c>
      <c r="V235" t="s">
        <v>7</v>
      </c>
      <c r="W235" t="s">
        <v>7</v>
      </c>
      <c r="X235" t="s">
        <v>7</v>
      </c>
      <c r="AA235" t="s">
        <v>127</v>
      </c>
      <c r="AB235" t="s">
        <v>353</v>
      </c>
      <c r="AC235">
        <v>2100</v>
      </c>
      <c r="AD235" t="s">
        <v>233</v>
      </c>
      <c r="AE235">
        <v>1</v>
      </c>
      <c r="AF235">
        <v>1</v>
      </c>
    </row>
    <row r="236" spans="1:32" x14ac:dyDescent="0.3">
      <c r="A236" t="s">
        <v>348</v>
      </c>
      <c r="B236" t="s">
        <v>279</v>
      </c>
      <c r="C236" t="s">
        <v>192</v>
      </c>
      <c r="D236" t="s">
        <v>309</v>
      </c>
      <c r="E236" t="s">
        <v>1146</v>
      </c>
      <c r="F236" s="15">
        <v>46247.424131944441</v>
      </c>
      <c r="G236" t="s">
        <v>399</v>
      </c>
      <c r="H236">
        <v>557</v>
      </c>
      <c r="I236" t="s">
        <v>1147</v>
      </c>
      <c r="J236" s="15">
        <v>46247.640277777777</v>
      </c>
      <c r="K236" s="15">
        <v>46253.622916666667</v>
      </c>
      <c r="L236" s="15"/>
      <c r="M236">
        <v>557</v>
      </c>
      <c r="O236" t="s">
        <v>201</v>
      </c>
      <c r="P236" t="s">
        <v>1956</v>
      </c>
      <c r="S236" t="s">
        <v>353</v>
      </c>
      <c r="T236" t="s">
        <v>368</v>
      </c>
      <c r="U236" t="s">
        <v>239</v>
      </c>
      <c r="V236" t="s">
        <v>7</v>
      </c>
      <c r="W236" t="s">
        <v>7</v>
      </c>
      <c r="X236" t="s">
        <v>7</v>
      </c>
      <c r="Z236">
        <v>1</v>
      </c>
      <c r="AA236" t="s">
        <v>122</v>
      </c>
      <c r="AB236" t="s">
        <v>353</v>
      </c>
      <c r="AC236">
        <v>2100</v>
      </c>
      <c r="AD236" t="s">
        <v>232</v>
      </c>
      <c r="AE236">
        <v>557</v>
      </c>
      <c r="AF236">
        <v>95</v>
      </c>
    </row>
    <row r="237" spans="1:32" x14ac:dyDescent="0.3">
      <c r="A237" t="s">
        <v>348</v>
      </c>
      <c r="B237" t="s">
        <v>279</v>
      </c>
      <c r="C237" t="s">
        <v>192</v>
      </c>
      <c r="D237" t="s">
        <v>309</v>
      </c>
      <c r="E237" t="s">
        <v>1148</v>
      </c>
      <c r="F237" s="15">
        <v>46241.653622685182</v>
      </c>
      <c r="G237" t="s">
        <v>399</v>
      </c>
      <c r="H237">
        <v>393</v>
      </c>
      <c r="I237" t="s">
        <v>1149</v>
      </c>
      <c r="J237" s="15">
        <v>46247.673611111109</v>
      </c>
      <c r="K237" s="15">
        <v>46253.618055555555</v>
      </c>
      <c r="L237" s="15"/>
      <c r="M237">
        <v>393</v>
      </c>
      <c r="O237" t="s">
        <v>201</v>
      </c>
      <c r="P237" t="s">
        <v>1956</v>
      </c>
      <c r="S237" t="s">
        <v>353</v>
      </c>
      <c r="T237" t="s">
        <v>368</v>
      </c>
      <c r="U237" t="s">
        <v>239</v>
      </c>
      <c r="V237" t="s">
        <v>7</v>
      </c>
      <c r="W237" t="s">
        <v>7</v>
      </c>
      <c r="X237" t="s">
        <v>7</v>
      </c>
      <c r="Z237">
        <v>1</v>
      </c>
      <c r="AA237" t="s">
        <v>122</v>
      </c>
      <c r="AB237" t="s">
        <v>353</v>
      </c>
      <c r="AC237">
        <v>2100</v>
      </c>
      <c r="AD237" t="s">
        <v>232</v>
      </c>
      <c r="AE237">
        <v>393</v>
      </c>
    </row>
    <row r="238" spans="1:32" x14ac:dyDescent="0.3">
      <c r="A238" t="s">
        <v>348</v>
      </c>
      <c r="B238" t="s">
        <v>279</v>
      </c>
      <c r="C238" t="s">
        <v>192</v>
      </c>
      <c r="D238" t="s">
        <v>309</v>
      </c>
      <c r="E238" t="s">
        <v>1150</v>
      </c>
      <c r="F238" s="15">
        <v>46238.350578703707</v>
      </c>
      <c r="G238" t="s">
        <v>399</v>
      </c>
      <c r="H238">
        <v>224</v>
      </c>
      <c r="I238" t="s">
        <v>1151</v>
      </c>
      <c r="J238" s="15">
        <v>46238.650694444441</v>
      </c>
      <c r="K238" s="15">
        <v>46241.494444444441</v>
      </c>
      <c r="L238" s="15"/>
      <c r="M238">
        <v>224</v>
      </c>
      <c r="O238" t="s">
        <v>201</v>
      </c>
      <c r="P238" t="s">
        <v>1954</v>
      </c>
      <c r="S238" t="s">
        <v>353</v>
      </c>
      <c r="T238" t="s">
        <v>368</v>
      </c>
      <c r="U238" t="s">
        <v>239</v>
      </c>
      <c r="V238" t="s">
        <v>7</v>
      </c>
      <c r="W238" t="s">
        <v>7</v>
      </c>
      <c r="X238" t="s">
        <v>7</v>
      </c>
      <c r="Z238">
        <v>1</v>
      </c>
      <c r="AA238" t="s">
        <v>122</v>
      </c>
      <c r="AB238" t="s">
        <v>353</v>
      </c>
      <c r="AC238">
        <v>2100</v>
      </c>
      <c r="AD238" t="s">
        <v>232</v>
      </c>
      <c r="AE238">
        <v>224</v>
      </c>
      <c r="AF238">
        <v>22.4</v>
      </c>
    </row>
    <row r="239" spans="1:32" x14ac:dyDescent="0.3">
      <c r="A239" t="s">
        <v>348</v>
      </c>
      <c r="B239" t="s">
        <v>63</v>
      </c>
      <c r="C239" t="s">
        <v>95</v>
      </c>
      <c r="D239" t="s">
        <v>309</v>
      </c>
      <c r="E239" t="s">
        <v>1146</v>
      </c>
      <c r="F239" s="15">
        <v>46247.424131944441</v>
      </c>
      <c r="G239" t="s">
        <v>399</v>
      </c>
      <c r="H239">
        <v>1</v>
      </c>
      <c r="I239" t="s">
        <v>1147</v>
      </c>
      <c r="J239" s="15">
        <v>46247.640277777777</v>
      </c>
      <c r="K239" s="15">
        <v>46253.622916666667</v>
      </c>
      <c r="L239" s="15"/>
      <c r="M239">
        <v>1</v>
      </c>
      <c r="O239" t="s">
        <v>201</v>
      </c>
      <c r="P239" t="s">
        <v>1954</v>
      </c>
      <c r="S239" t="s">
        <v>353</v>
      </c>
      <c r="T239" t="s">
        <v>368</v>
      </c>
      <c r="U239" t="s">
        <v>239</v>
      </c>
      <c r="V239" t="s">
        <v>7</v>
      </c>
      <c r="W239" t="s">
        <v>7</v>
      </c>
      <c r="X239" t="s">
        <v>7</v>
      </c>
      <c r="AA239" t="s">
        <v>96</v>
      </c>
      <c r="AB239" t="s">
        <v>353</v>
      </c>
      <c r="AC239">
        <v>2100</v>
      </c>
      <c r="AD239" t="s">
        <v>225</v>
      </c>
      <c r="AE239">
        <v>1</v>
      </c>
      <c r="AF239">
        <v>1</v>
      </c>
    </row>
    <row r="240" spans="1:32" x14ac:dyDescent="0.3">
      <c r="A240" t="s">
        <v>348</v>
      </c>
      <c r="B240" t="s">
        <v>63</v>
      </c>
      <c r="C240" t="s">
        <v>95</v>
      </c>
      <c r="D240" t="s">
        <v>309</v>
      </c>
      <c r="E240" t="s">
        <v>1148</v>
      </c>
      <c r="F240" s="15">
        <v>46241.653622685182</v>
      </c>
      <c r="G240" t="s">
        <v>399</v>
      </c>
      <c r="H240">
        <v>1</v>
      </c>
      <c r="I240" t="s">
        <v>1149</v>
      </c>
      <c r="J240" s="15">
        <v>46247.673611111109</v>
      </c>
      <c r="K240" s="15">
        <v>46253.618055555555</v>
      </c>
      <c r="L240" s="15"/>
      <c r="M240">
        <v>1</v>
      </c>
      <c r="O240" t="s">
        <v>201</v>
      </c>
      <c r="P240" t="s">
        <v>1954</v>
      </c>
      <c r="S240" t="s">
        <v>353</v>
      </c>
      <c r="T240" t="s">
        <v>368</v>
      </c>
      <c r="U240" t="s">
        <v>239</v>
      </c>
      <c r="V240" t="s">
        <v>7</v>
      </c>
      <c r="W240" t="s">
        <v>7</v>
      </c>
      <c r="X240" t="s">
        <v>7</v>
      </c>
      <c r="AA240" t="s">
        <v>96</v>
      </c>
      <c r="AB240" t="s">
        <v>353</v>
      </c>
      <c r="AC240">
        <v>2100</v>
      </c>
      <c r="AD240" t="s">
        <v>225</v>
      </c>
      <c r="AE240">
        <v>1</v>
      </c>
    </row>
    <row r="241" spans="1:32" x14ac:dyDescent="0.3">
      <c r="A241" t="s">
        <v>348</v>
      </c>
      <c r="B241" t="s">
        <v>63</v>
      </c>
      <c r="C241" t="s">
        <v>95</v>
      </c>
      <c r="D241" t="s">
        <v>309</v>
      </c>
      <c r="E241" t="s">
        <v>1150</v>
      </c>
      <c r="F241" s="15">
        <v>46238.350578703707</v>
      </c>
      <c r="G241" t="s">
        <v>399</v>
      </c>
      <c r="H241">
        <v>1</v>
      </c>
      <c r="I241" t="s">
        <v>1151</v>
      </c>
      <c r="J241" s="15">
        <v>46238.650694444441</v>
      </c>
      <c r="K241" s="15">
        <v>46241.494444444441</v>
      </c>
      <c r="L241" s="15"/>
      <c r="M241">
        <v>1</v>
      </c>
      <c r="O241" t="s">
        <v>201</v>
      </c>
      <c r="P241" t="s">
        <v>1954</v>
      </c>
      <c r="S241" t="s">
        <v>353</v>
      </c>
      <c r="T241" t="s">
        <v>368</v>
      </c>
      <c r="U241" t="s">
        <v>239</v>
      </c>
      <c r="V241" t="s">
        <v>7</v>
      </c>
      <c r="W241" t="s">
        <v>7</v>
      </c>
      <c r="X241" t="s">
        <v>7</v>
      </c>
      <c r="AA241" t="s">
        <v>96</v>
      </c>
      <c r="AB241" t="s">
        <v>353</v>
      </c>
      <c r="AC241">
        <v>2100</v>
      </c>
      <c r="AD241" t="s">
        <v>225</v>
      </c>
      <c r="AE241">
        <v>1</v>
      </c>
      <c r="AF241">
        <v>1</v>
      </c>
    </row>
    <row r="242" spans="1:32" x14ac:dyDescent="0.3">
      <c r="A242" t="s">
        <v>348</v>
      </c>
      <c r="B242" t="s">
        <v>45</v>
      </c>
      <c r="C242" t="s">
        <v>68</v>
      </c>
      <c r="D242" t="s">
        <v>309</v>
      </c>
      <c r="E242" t="s">
        <v>1152</v>
      </c>
      <c r="F242" s="15">
        <v>46234.569490740738</v>
      </c>
      <c r="G242" t="s">
        <v>398</v>
      </c>
      <c r="H242">
        <v>5</v>
      </c>
      <c r="I242" t="s">
        <v>1153</v>
      </c>
      <c r="J242" s="15">
        <v>46234.710416666669</v>
      </c>
      <c r="K242" s="15">
        <v>46239.541666666664</v>
      </c>
      <c r="L242" s="15"/>
      <c r="M242">
        <v>5</v>
      </c>
      <c r="O242" t="s">
        <v>201</v>
      </c>
      <c r="P242" t="s">
        <v>1956</v>
      </c>
      <c r="S242" t="s">
        <v>353</v>
      </c>
      <c r="T242" t="s">
        <v>368</v>
      </c>
      <c r="U242" t="s">
        <v>239</v>
      </c>
      <c r="V242" t="s">
        <v>348</v>
      </c>
      <c r="W242" t="s">
        <v>369</v>
      </c>
      <c r="X242" t="s">
        <v>239</v>
      </c>
      <c r="Y242">
        <v>103</v>
      </c>
      <c r="AA242" t="s">
        <v>67</v>
      </c>
      <c r="AB242" t="s">
        <v>353</v>
      </c>
      <c r="AC242">
        <v>2100</v>
      </c>
      <c r="AD242" t="s">
        <v>217</v>
      </c>
      <c r="AE242">
        <v>1</v>
      </c>
      <c r="AF242">
        <v>1</v>
      </c>
    </row>
    <row r="243" spans="1:32" x14ac:dyDescent="0.3">
      <c r="A243" t="s">
        <v>348</v>
      </c>
      <c r="B243" t="s">
        <v>45</v>
      </c>
      <c r="C243" t="s">
        <v>68</v>
      </c>
      <c r="D243" t="s">
        <v>309</v>
      </c>
      <c r="E243" t="s">
        <v>1154</v>
      </c>
      <c r="F243" s="15">
        <v>46233.473078703704</v>
      </c>
      <c r="G243" t="s">
        <v>398</v>
      </c>
      <c r="H243">
        <v>3</v>
      </c>
      <c r="I243" t="s">
        <v>1155</v>
      </c>
      <c r="J243" s="15">
        <v>46233.640972222223</v>
      </c>
      <c r="K243" s="15">
        <v>46237.458333333336</v>
      </c>
      <c r="L243" s="15"/>
      <c r="M243">
        <v>3</v>
      </c>
      <c r="O243" t="s">
        <v>201</v>
      </c>
      <c r="P243" t="s">
        <v>1954</v>
      </c>
      <c r="S243" t="s">
        <v>353</v>
      </c>
      <c r="T243" t="s">
        <v>368</v>
      </c>
      <c r="U243" t="s">
        <v>239</v>
      </c>
      <c r="V243" t="s">
        <v>348</v>
      </c>
      <c r="W243" t="s">
        <v>369</v>
      </c>
      <c r="X243" t="s">
        <v>239</v>
      </c>
      <c r="Y243">
        <v>103</v>
      </c>
      <c r="AA243" t="s">
        <v>67</v>
      </c>
      <c r="AB243" t="s">
        <v>353</v>
      </c>
      <c r="AC243">
        <v>2100</v>
      </c>
      <c r="AD243" t="s">
        <v>217</v>
      </c>
      <c r="AE243">
        <v>1</v>
      </c>
      <c r="AF243">
        <v>1</v>
      </c>
    </row>
    <row r="244" spans="1:32" x14ac:dyDescent="0.3">
      <c r="A244" t="s">
        <v>348</v>
      </c>
      <c r="B244" t="s">
        <v>45</v>
      </c>
      <c r="C244" t="s">
        <v>68</v>
      </c>
      <c r="D244" t="s">
        <v>309</v>
      </c>
      <c r="E244" t="s">
        <v>1156</v>
      </c>
      <c r="F244" s="15">
        <v>46233.472222222219</v>
      </c>
      <c r="G244" t="s">
        <v>398</v>
      </c>
      <c r="H244">
        <v>2</v>
      </c>
      <c r="I244" t="s">
        <v>1155</v>
      </c>
      <c r="J244" s="15">
        <v>46233.640972222223</v>
      </c>
      <c r="K244" s="15">
        <v>46237.458333333336</v>
      </c>
      <c r="L244" s="15"/>
      <c r="M244">
        <v>2</v>
      </c>
      <c r="O244" t="s">
        <v>201</v>
      </c>
      <c r="P244" t="s">
        <v>1954</v>
      </c>
      <c r="S244" t="s">
        <v>353</v>
      </c>
      <c r="T244" t="s">
        <v>368</v>
      </c>
      <c r="U244" t="s">
        <v>239</v>
      </c>
      <c r="V244" t="s">
        <v>348</v>
      </c>
      <c r="W244" t="s">
        <v>369</v>
      </c>
      <c r="X244" t="s">
        <v>239</v>
      </c>
      <c r="AA244" t="s">
        <v>67</v>
      </c>
      <c r="AB244" t="s">
        <v>353</v>
      </c>
      <c r="AC244">
        <v>2100</v>
      </c>
      <c r="AD244" t="s">
        <v>217</v>
      </c>
      <c r="AE244">
        <v>1</v>
      </c>
    </row>
    <row r="245" spans="1:32" x14ac:dyDescent="0.3">
      <c r="A245" t="s">
        <v>348</v>
      </c>
      <c r="B245" t="s">
        <v>45</v>
      </c>
      <c r="C245" t="s">
        <v>68</v>
      </c>
      <c r="D245" t="s">
        <v>309</v>
      </c>
      <c r="E245" t="s">
        <v>1157</v>
      </c>
      <c r="F245" s="15">
        <v>46233.471770833334</v>
      </c>
      <c r="G245" t="s">
        <v>398</v>
      </c>
      <c r="H245">
        <v>3</v>
      </c>
      <c r="I245" t="s">
        <v>1155</v>
      </c>
      <c r="J245" s="15">
        <v>46233.640972222223</v>
      </c>
      <c r="K245" s="15">
        <v>46237.458333333336</v>
      </c>
      <c r="L245" s="15"/>
      <c r="M245">
        <v>3</v>
      </c>
      <c r="O245" t="s">
        <v>201</v>
      </c>
      <c r="P245" t="s">
        <v>1954</v>
      </c>
      <c r="S245" t="s">
        <v>353</v>
      </c>
      <c r="T245" t="s">
        <v>368</v>
      </c>
      <c r="U245" t="s">
        <v>239</v>
      </c>
      <c r="V245" t="s">
        <v>348</v>
      </c>
      <c r="W245" t="s">
        <v>369</v>
      </c>
      <c r="X245" t="s">
        <v>239</v>
      </c>
      <c r="AA245" t="s">
        <v>67</v>
      </c>
      <c r="AB245" t="s">
        <v>353</v>
      </c>
      <c r="AC245">
        <v>2100</v>
      </c>
      <c r="AD245" t="s">
        <v>217</v>
      </c>
      <c r="AE245">
        <v>1</v>
      </c>
    </row>
    <row r="246" spans="1:32" x14ac:dyDescent="0.3">
      <c r="A246" t="s">
        <v>348</v>
      </c>
      <c r="B246" t="s">
        <v>279</v>
      </c>
      <c r="C246" t="s">
        <v>197</v>
      </c>
      <c r="D246" t="s">
        <v>309</v>
      </c>
      <c r="E246" t="s">
        <v>1158</v>
      </c>
      <c r="F246" s="15">
        <v>46239.427071759259</v>
      </c>
      <c r="G246" t="s">
        <v>402</v>
      </c>
      <c r="H246">
        <v>1</v>
      </c>
      <c r="I246" t="s">
        <v>1159</v>
      </c>
      <c r="J246" s="15">
        <v>46240.368750000001</v>
      </c>
      <c r="K246" s="15">
        <v>46246.47152777778</v>
      </c>
      <c r="L246" s="15"/>
      <c r="M246">
        <v>1</v>
      </c>
      <c r="O246" t="s">
        <v>201</v>
      </c>
      <c r="P246" t="s">
        <v>1956</v>
      </c>
      <c r="S246" t="s">
        <v>353</v>
      </c>
      <c r="T246" t="s">
        <v>368</v>
      </c>
      <c r="U246" t="s">
        <v>239</v>
      </c>
      <c r="V246" t="s">
        <v>7</v>
      </c>
      <c r="W246" t="s">
        <v>7</v>
      </c>
      <c r="X246" t="s">
        <v>7</v>
      </c>
      <c r="Z246">
        <v>16</v>
      </c>
      <c r="AA246" t="s">
        <v>122</v>
      </c>
      <c r="AB246" t="s">
        <v>353</v>
      </c>
      <c r="AC246">
        <v>2100</v>
      </c>
      <c r="AD246" t="s">
        <v>232</v>
      </c>
      <c r="AE246">
        <v>16</v>
      </c>
      <c r="AF246">
        <v>60.8</v>
      </c>
    </row>
    <row r="247" spans="1:32" x14ac:dyDescent="0.3">
      <c r="A247" t="s">
        <v>348</v>
      </c>
      <c r="B247" t="s">
        <v>279</v>
      </c>
      <c r="C247" t="s">
        <v>197</v>
      </c>
      <c r="D247" t="s">
        <v>309</v>
      </c>
      <c r="E247" t="s">
        <v>1158</v>
      </c>
      <c r="F247" s="15">
        <v>46239.427071759259</v>
      </c>
      <c r="G247" t="s">
        <v>402</v>
      </c>
      <c r="H247">
        <v>9</v>
      </c>
      <c r="I247" t="s">
        <v>1159</v>
      </c>
      <c r="J247" s="15">
        <v>46240.368750000001</v>
      </c>
      <c r="K247" s="15">
        <v>46246.47152777778</v>
      </c>
      <c r="L247" s="15"/>
      <c r="M247">
        <v>9</v>
      </c>
      <c r="O247" t="s">
        <v>1958</v>
      </c>
      <c r="S247" t="s">
        <v>353</v>
      </c>
      <c r="T247" t="s">
        <v>368</v>
      </c>
      <c r="U247" t="s">
        <v>239</v>
      </c>
      <c r="V247" t="s">
        <v>7</v>
      </c>
      <c r="W247" t="s">
        <v>7</v>
      </c>
      <c r="X247" t="s">
        <v>7</v>
      </c>
      <c r="Z247">
        <v>16</v>
      </c>
      <c r="AA247" t="s">
        <v>122</v>
      </c>
      <c r="AB247" t="s">
        <v>353</v>
      </c>
      <c r="AC247">
        <v>2100</v>
      </c>
      <c r="AD247" t="s">
        <v>232</v>
      </c>
      <c r="AE247">
        <v>144</v>
      </c>
    </row>
    <row r="248" spans="1:32" x14ac:dyDescent="0.3">
      <c r="A248" t="s">
        <v>348</v>
      </c>
      <c r="B248" t="s">
        <v>279</v>
      </c>
      <c r="C248" t="s">
        <v>197</v>
      </c>
      <c r="D248" t="s">
        <v>309</v>
      </c>
      <c r="E248" t="s">
        <v>1158</v>
      </c>
      <c r="F248" s="15">
        <v>46239.427071759259</v>
      </c>
      <c r="G248" t="s">
        <v>402</v>
      </c>
      <c r="H248">
        <v>25</v>
      </c>
      <c r="I248" t="s">
        <v>1159</v>
      </c>
      <c r="J248" s="15">
        <v>46240.368750000001</v>
      </c>
      <c r="K248" s="15">
        <v>46246.47152777778</v>
      </c>
      <c r="L248" s="15"/>
      <c r="M248">
        <v>25</v>
      </c>
      <c r="O248" t="s">
        <v>1958</v>
      </c>
      <c r="S248" t="s">
        <v>353</v>
      </c>
      <c r="T248" t="s">
        <v>368</v>
      </c>
      <c r="U248" t="s">
        <v>239</v>
      </c>
      <c r="V248" t="s">
        <v>7</v>
      </c>
      <c r="W248" t="s">
        <v>7</v>
      </c>
      <c r="X248" t="s">
        <v>7</v>
      </c>
      <c r="Z248">
        <v>16</v>
      </c>
      <c r="AA248" t="s">
        <v>122</v>
      </c>
      <c r="AB248" t="s">
        <v>353</v>
      </c>
      <c r="AC248">
        <v>2100</v>
      </c>
      <c r="AD248" t="s">
        <v>232</v>
      </c>
      <c r="AE248">
        <v>400</v>
      </c>
    </row>
    <row r="249" spans="1:32" x14ac:dyDescent="0.3">
      <c r="A249" t="s">
        <v>348</v>
      </c>
      <c r="B249" t="s">
        <v>279</v>
      </c>
      <c r="C249" t="s">
        <v>197</v>
      </c>
      <c r="D249" t="s">
        <v>309</v>
      </c>
      <c r="E249" t="s">
        <v>1158</v>
      </c>
      <c r="F249" s="15">
        <v>46239.427071759259</v>
      </c>
      <c r="G249" t="s">
        <v>402</v>
      </c>
      <c r="H249">
        <v>1</v>
      </c>
      <c r="I249" t="s">
        <v>1159</v>
      </c>
      <c r="J249" s="15">
        <v>46240.368750000001</v>
      </c>
      <c r="K249" s="15">
        <v>46246.47152777778</v>
      </c>
      <c r="L249" s="15"/>
      <c r="M249">
        <v>1</v>
      </c>
      <c r="O249" t="s">
        <v>1958</v>
      </c>
      <c r="S249" t="s">
        <v>353</v>
      </c>
      <c r="T249" t="s">
        <v>368</v>
      </c>
      <c r="U249" t="s">
        <v>239</v>
      </c>
      <c r="V249" t="s">
        <v>7</v>
      </c>
      <c r="W249" t="s">
        <v>7</v>
      </c>
      <c r="X249" t="s">
        <v>7</v>
      </c>
      <c r="Z249">
        <v>16</v>
      </c>
      <c r="AA249" t="s">
        <v>122</v>
      </c>
      <c r="AB249" t="s">
        <v>353</v>
      </c>
      <c r="AC249">
        <v>2100</v>
      </c>
      <c r="AD249" t="s">
        <v>232</v>
      </c>
      <c r="AE249">
        <v>16</v>
      </c>
    </row>
    <row r="250" spans="1:32" x14ac:dyDescent="0.3">
      <c r="A250" t="s">
        <v>348</v>
      </c>
      <c r="B250" t="s">
        <v>279</v>
      </c>
      <c r="C250" t="s">
        <v>197</v>
      </c>
      <c r="D250" t="s">
        <v>309</v>
      </c>
      <c r="E250" t="s">
        <v>1158</v>
      </c>
      <c r="F250" s="15">
        <v>46239.427071759259</v>
      </c>
      <c r="G250" t="s">
        <v>402</v>
      </c>
      <c r="H250">
        <v>2</v>
      </c>
      <c r="I250" t="s">
        <v>1159</v>
      </c>
      <c r="J250" s="15">
        <v>46240.368750000001</v>
      </c>
      <c r="K250" s="15">
        <v>46246.47152777778</v>
      </c>
      <c r="L250" s="15"/>
      <c r="M250">
        <v>2</v>
      </c>
      <c r="O250" t="s">
        <v>1958</v>
      </c>
      <c r="S250" t="s">
        <v>353</v>
      </c>
      <c r="T250" t="s">
        <v>368</v>
      </c>
      <c r="U250" t="s">
        <v>239</v>
      </c>
      <c r="V250" t="s">
        <v>7</v>
      </c>
      <c r="W250" t="s">
        <v>7</v>
      </c>
      <c r="X250" t="s">
        <v>7</v>
      </c>
      <c r="Z250">
        <v>16</v>
      </c>
      <c r="AA250" t="s">
        <v>122</v>
      </c>
      <c r="AB250" t="s">
        <v>353</v>
      </c>
      <c r="AC250">
        <v>2100</v>
      </c>
      <c r="AD250" t="s">
        <v>232</v>
      </c>
      <c r="AE250">
        <v>32</v>
      </c>
    </row>
    <row r="251" spans="1:32" x14ac:dyDescent="0.3">
      <c r="A251" t="s">
        <v>348</v>
      </c>
      <c r="B251" t="s">
        <v>63</v>
      </c>
      <c r="C251" t="s">
        <v>95</v>
      </c>
      <c r="D251" t="s">
        <v>309</v>
      </c>
      <c r="E251" t="s">
        <v>1158</v>
      </c>
      <c r="F251" s="15">
        <v>46239.427071759259</v>
      </c>
      <c r="G251" t="s">
        <v>402</v>
      </c>
      <c r="H251">
        <v>9</v>
      </c>
      <c r="I251" t="s">
        <v>1159</v>
      </c>
      <c r="J251" s="15">
        <v>46240.368750000001</v>
      </c>
      <c r="K251" s="15">
        <v>46246.47152777778</v>
      </c>
      <c r="L251" s="15"/>
      <c r="M251">
        <v>9</v>
      </c>
      <c r="O251" t="s">
        <v>201</v>
      </c>
      <c r="P251" t="s">
        <v>1954</v>
      </c>
      <c r="S251" t="s">
        <v>353</v>
      </c>
      <c r="T251" t="s">
        <v>368</v>
      </c>
      <c r="U251" t="s">
        <v>239</v>
      </c>
      <c r="V251" t="s">
        <v>7</v>
      </c>
      <c r="W251" t="s">
        <v>7</v>
      </c>
      <c r="X251" t="s">
        <v>7</v>
      </c>
      <c r="AA251" t="s">
        <v>96</v>
      </c>
      <c r="AB251" t="s">
        <v>353</v>
      </c>
      <c r="AC251">
        <v>2100</v>
      </c>
      <c r="AD251" t="s">
        <v>225</v>
      </c>
      <c r="AE251">
        <v>9</v>
      </c>
      <c r="AF251">
        <v>3.8</v>
      </c>
    </row>
    <row r="252" spans="1:32" x14ac:dyDescent="0.3">
      <c r="A252" t="s">
        <v>348</v>
      </c>
      <c r="B252" t="s">
        <v>63</v>
      </c>
      <c r="C252" t="s">
        <v>95</v>
      </c>
      <c r="D252" t="s">
        <v>309</v>
      </c>
      <c r="E252" t="s">
        <v>1158</v>
      </c>
      <c r="F252" s="15">
        <v>46239.427071759259</v>
      </c>
      <c r="G252" t="s">
        <v>402</v>
      </c>
      <c r="H252">
        <v>25</v>
      </c>
      <c r="I252" t="s">
        <v>1159</v>
      </c>
      <c r="J252" s="15">
        <v>46240.368750000001</v>
      </c>
      <c r="K252" s="15">
        <v>46246.47152777778</v>
      </c>
      <c r="L252" s="15"/>
      <c r="M252">
        <v>25</v>
      </c>
      <c r="O252" t="s">
        <v>1958</v>
      </c>
      <c r="S252" t="s">
        <v>353</v>
      </c>
      <c r="T252" t="s">
        <v>368</v>
      </c>
      <c r="U252" t="s">
        <v>239</v>
      </c>
      <c r="V252" t="s">
        <v>7</v>
      </c>
      <c r="W252" t="s">
        <v>7</v>
      </c>
      <c r="X252" t="s">
        <v>7</v>
      </c>
      <c r="AA252" t="s">
        <v>96</v>
      </c>
      <c r="AB252" t="s">
        <v>353</v>
      </c>
      <c r="AC252">
        <v>2100</v>
      </c>
      <c r="AD252" t="s">
        <v>225</v>
      </c>
      <c r="AE252">
        <v>25</v>
      </c>
    </row>
    <row r="253" spans="1:32" x14ac:dyDescent="0.3">
      <c r="A253" t="s">
        <v>348</v>
      </c>
      <c r="B253" t="s">
        <v>63</v>
      </c>
      <c r="C253" t="s">
        <v>95</v>
      </c>
      <c r="D253" t="s">
        <v>309</v>
      </c>
      <c r="E253" t="s">
        <v>1158</v>
      </c>
      <c r="F253" s="15">
        <v>46239.427071759259</v>
      </c>
      <c r="G253" t="s">
        <v>402</v>
      </c>
      <c r="H253">
        <v>1</v>
      </c>
      <c r="I253" t="s">
        <v>1159</v>
      </c>
      <c r="J253" s="15">
        <v>46240.368750000001</v>
      </c>
      <c r="K253" s="15">
        <v>46246.47152777778</v>
      </c>
      <c r="L253" s="15"/>
      <c r="M253">
        <v>1</v>
      </c>
      <c r="O253" t="s">
        <v>1958</v>
      </c>
      <c r="S253" t="s">
        <v>353</v>
      </c>
      <c r="T253" t="s">
        <v>368</v>
      </c>
      <c r="U253" t="s">
        <v>239</v>
      </c>
      <c r="V253" t="s">
        <v>7</v>
      </c>
      <c r="W253" t="s">
        <v>7</v>
      </c>
      <c r="X253" t="s">
        <v>7</v>
      </c>
      <c r="AA253" t="s">
        <v>96</v>
      </c>
      <c r="AB253" t="s">
        <v>353</v>
      </c>
      <c r="AC253">
        <v>2100</v>
      </c>
      <c r="AD253" t="s">
        <v>225</v>
      </c>
      <c r="AE253">
        <v>1</v>
      </c>
    </row>
    <row r="254" spans="1:32" x14ac:dyDescent="0.3">
      <c r="A254" t="s">
        <v>348</v>
      </c>
      <c r="B254" t="s">
        <v>63</v>
      </c>
      <c r="C254" t="s">
        <v>95</v>
      </c>
      <c r="D254" t="s">
        <v>309</v>
      </c>
      <c r="E254" t="s">
        <v>1158</v>
      </c>
      <c r="F254" s="15">
        <v>46239.427071759259</v>
      </c>
      <c r="G254" t="s">
        <v>402</v>
      </c>
      <c r="H254">
        <v>2</v>
      </c>
      <c r="I254" t="s">
        <v>1159</v>
      </c>
      <c r="J254" s="15">
        <v>46240.368750000001</v>
      </c>
      <c r="K254" s="15">
        <v>46246.47152777778</v>
      </c>
      <c r="L254" s="15"/>
      <c r="M254">
        <v>2</v>
      </c>
      <c r="O254" t="s">
        <v>1958</v>
      </c>
      <c r="S254" t="s">
        <v>353</v>
      </c>
      <c r="T254" t="s">
        <v>368</v>
      </c>
      <c r="U254" t="s">
        <v>239</v>
      </c>
      <c r="V254" t="s">
        <v>7</v>
      </c>
      <c r="W254" t="s">
        <v>7</v>
      </c>
      <c r="X254" t="s">
        <v>7</v>
      </c>
      <c r="AA254" t="s">
        <v>96</v>
      </c>
      <c r="AB254" t="s">
        <v>353</v>
      </c>
      <c r="AC254">
        <v>2100</v>
      </c>
      <c r="AD254" t="s">
        <v>225</v>
      </c>
      <c r="AE254">
        <v>2</v>
      </c>
    </row>
    <row r="255" spans="1:32" x14ac:dyDescent="0.3">
      <c r="A255" t="s">
        <v>348</v>
      </c>
      <c r="B255" t="s">
        <v>63</v>
      </c>
      <c r="C255" t="s">
        <v>95</v>
      </c>
      <c r="D255" t="s">
        <v>309</v>
      </c>
      <c r="E255" t="s">
        <v>1158</v>
      </c>
      <c r="F255" s="15">
        <v>46239.427071759259</v>
      </c>
      <c r="G255" t="s">
        <v>402</v>
      </c>
      <c r="H255">
        <v>1</v>
      </c>
      <c r="I255" t="s">
        <v>1159</v>
      </c>
      <c r="J255" s="15">
        <v>46240.368750000001</v>
      </c>
      <c r="K255" s="15">
        <v>46246.47152777778</v>
      </c>
      <c r="L255" s="15"/>
      <c r="M255">
        <v>1</v>
      </c>
      <c r="O255" t="s">
        <v>1958</v>
      </c>
      <c r="S255" t="s">
        <v>353</v>
      </c>
      <c r="T255" t="s">
        <v>368</v>
      </c>
      <c r="U255" t="s">
        <v>239</v>
      </c>
      <c r="V255" t="s">
        <v>7</v>
      </c>
      <c r="W255" t="s">
        <v>7</v>
      </c>
      <c r="X255" t="s">
        <v>7</v>
      </c>
      <c r="AA255" t="s">
        <v>96</v>
      </c>
      <c r="AB255" t="s">
        <v>353</v>
      </c>
      <c r="AC255">
        <v>2100</v>
      </c>
      <c r="AD255" t="s">
        <v>225</v>
      </c>
      <c r="AE255">
        <v>1</v>
      </c>
    </row>
    <row r="256" spans="1:32" x14ac:dyDescent="0.3">
      <c r="A256" t="s">
        <v>348</v>
      </c>
      <c r="B256" t="s">
        <v>57</v>
      </c>
      <c r="C256" t="s">
        <v>117</v>
      </c>
      <c r="D256" t="s">
        <v>309</v>
      </c>
      <c r="E256" t="s">
        <v>1158</v>
      </c>
      <c r="F256" s="15">
        <v>46239.427071759259</v>
      </c>
      <c r="G256" t="s">
        <v>402</v>
      </c>
      <c r="H256">
        <v>9</v>
      </c>
      <c r="I256" t="s">
        <v>1159</v>
      </c>
      <c r="J256" s="15">
        <v>46240.368750000001</v>
      </c>
      <c r="K256" s="15">
        <v>46246.47152777778</v>
      </c>
      <c r="L256" s="15"/>
      <c r="M256">
        <v>9</v>
      </c>
      <c r="O256" t="s">
        <v>201</v>
      </c>
      <c r="P256" t="s">
        <v>1954</v>
      </c>
      <c r="S256" t="s">
        <v>353</v>
      </c>
      <c r="T256" t="s">
        <v>368</v>
      </c>
      <c r="U256" t="s">
        <v>239</v>
      </c>
      <c r="V256" t="s">
        <v>7</v>
      </c>
      <c r="W256" t="s">
        <v>7</v>
      </c>
      <c r="X256" t="s">
        <v>7</v>
      </c>
      <c r="AA256" t="s">
        <v>127</v>
      </c>
      <c r="AB256" t="s">
        <v>353</v>
      </c>
      <c r="AC256">
        <v>2100</v>
      </c>
      <c r="AD256" t="s">
        <v>233</v>
      </c>
      <c r="AE256">
        <v>1</v>
      </c>
      <c r="AF256">
        <v>1</v>
      </c>
    </row>
    <row r="257" spans="1:32" x14ac:dyDescent="0.3">
      <c r="A257" t="s">
        <v>348</v>
      </c>
      <c r="B257" t="s">
        <v>57</v>
      </c>
      <c r="C257" t="s">
        <v>117</v>
      </c>
      <c r="D257" t="s">
        <v>309</v>
      </c>
      <c r="E257" t="s">
        <v>1158</v>
      </c>
      <c r="F257" s="15">
        <v>46239.427071759259</v>
      </c>
      <c r="G257" t="s">
        <v>402</v>
      </c>
      <c r="H257">
        <v>25</v>
      </c>
      <c r="I257" t="s">
        <v>1159</v>
      </c>
      <c r="J257" s="15">
        <v>46240.368750000001</v>
      </c>
      <c r="K257" s="15">
        <v>46246.47152777778</v>
      </c>
      <c r="L257" s="15"/>
      <c r="M257">
        <v>25</v>
      </c>
      <c r="O257" t="s">
        <v>1958</v>
      </c>
      <c r="S257" t="s">
        <v>353</v>
      </c>
      <c r="T257" t="s">
        <v>368</v>
      </c>
      <c r="U257" t="s">
        <v>239</v>
      </c>
      <c r="V257" t="s">
        <v>7</v>
      </c>
      <c r="W257" t="s">
        <v>7</v>
      </c>
      <c r="X257" t="s">
        <v>7</v>
      </c>
      <c r="AA257" t="s">
        <v>127</v>
      </c>
      <c r="AB257" t="s">
        <v>353</v>
      </c>
      <c r="AC257">
        <v>2100</v>
      </c>
      <c r="AD257" t="s">
        <v>233</v>
      </c>
      <c r="AE257">
        <v>2.5</v>
      </c>
    </row>
    <row r="258" spans="1:32" x14ac:dyDescent="0.3">
      <c r="A258" t="s">
        <v>348</v>
      </c>
      <c r="B258" t="s">
        <v>57</v>
      </c>
      <c r="C258" t="s">
        <v>117</v>
      </c>
      <c r="D258" t="s">
        <v>309</v>
      </c>
      <c r="E258" t="s">
        <v>1158</v>
      </c>
      <c r="F258" s="15">
        <v>46239.427071759259</v>
      </c>
      <c r="G258" t="s">
        <v>402</v>
      </c>
      <c r="H258">
        <v>1</v>
      </c>
      <c r="I258" t="s">
        <v>1159</v>
      </c>
      <c r="J258" s="15">
        <v>46240.368750000001</v>
      </c>
      <c r="K258" s="15">
        <v>46246.47152777778</v>
      </c>
      <c r="L258" s="15"/>
      <c r="M258">
        <v>1</v>
      </c>
      <c r="O258" t="s">
        <v>1958</v>
      </c>
      <c r="S258" t="s">
        <v>353</v>
      </c>
      <c r="T258" t="s">
        <v>368</v>
      </c>
      <c r="U258" t="s">
        <v>239</v>
      </c>
      <c r="V258" t="s">
        <v>7</v>
      </c>
      <c r="W258" t="s">
        <v>7</v>
      </c>
      <c r="X258" t="s">
        <v>7</v>
      </c>
      <c r="AA258" t="s">
        <v>127</v>
      </c>
      <c r="AB258" t="s">
        <v>353</v>
      </c>
      <c r="AC258">
        <v>2100</v>
      </c>
      <c r="AD258" t="s">
        <v>233</v>
      </c>
      <c r="AE258">
        <v>1</v>
      </c>
    </row>
    <row r="259" spans="1:32" x14ac:dyDescent="0.3">
      <c r="A259" t="s">
        <v>348</v>
      </c>
      <c r="B259" t="s">
        <v>57</v>
      </c>
      <c r="C259" t="s">
        <v>117</v>
      </c>
      <c r="D259" t="s">
        <v>309</v>
      </c>
      <c r="E259" t="s">
        <v>1158</v>
      </c>
      <c r="F259" s="15">
        <v>46239.427071759259</v>
      </c>
      <c r="G259" t="s">
        <v>402</v>
      </c>
      <c r="H259">
        <v>1</v>
      </c>
      <c r="I259" t="s">
        <v>1159</v>
      </c>
      <c r="J259" s="15">
        <v>46240.368750000001</v>
      </c>
      <c r="K259" s="15">
        <v>46246.47152777778</v>
      </c>
      <c r="L259" s="15"/>
      <c r="M259">
        <v>1</v>
      </c>
      <c r="O259" t="s">
        <v>1958</v>
      </c>
      <c r="S259" t="s">
        <v>353</v>
      </c>
      <c r="T259" t="s">
        <v>368</v>
      </c>
      <c r="U259" t="s">
        <v>239</v>
      </c>
      <c r="V259" t="s">
        <v>7</v>
      </c>
      <c r="W259" t="s">
        <v>7</v>
      </c>
      <c r="X259" t="s">
        <v>7</v>
      </c>
      <c r="AA259" t="s">
        <v>127</v>
      </c>
      <c r="AB259" t="s">
        <v>353</v>
      </c>
      <c r="AC259">
        <v>2100</v>
      </c>
      <c r="AD259" t="s">
        <v>233</v>
      </c>
      <c r="AE259">
        <v>1</v>
      </c>
    </row>
    <row r="260" spans="1:32" x14ac:dyDescent="0.3">
      <c r="A260" t="s">
        <v>348</v>
      </c>
      <c r="B260" t="s">
        <v>57</v>
      </c>
      <c r="C260" t="s">
        <v>117</v>
      </c>
      <c r="D260" t="s">
        <v>309</v>
      </c>
      <c r="E260" t="s">
        <v>1158</v>
      </c>
      <c r="F260" s="15">
        <v>46239.427071759259</v>
      </c>
      <c r="G260" t="s">
        <v>402</v>
      </c>
      <c r="H260">
        <v>2</v>
      </c>
      <c r="I260" t="s">
        <v>1159</v>
      </c>
      <c r="J260" s="15">
        <v>46240.368750000001</v>
      </c>
      <c r="K260" s="15">
        <v>46246.47152777778</v>
      </c>
      <c r="L260" s="15"/>
      <c r="M260">
        <v>2</v>
      </c>
      <c r="O260" t="s">
        <v>1958</v>
      </c>
      <c r="S260" t="s">
        <v>353</v>
      </c>
      <c r="T260" t="s">
        <v>368</v>
      </c>
      <c r="U260" t="s">
        <v>239</v>
      </c>
      <c r="V260" t="s">
        <v>7</v>
      </c>
      <c r="W260" t="s">
        <v>7</v>
      </c>
      <c r="X260" t="s">
        <v>7</v>
      </c>
      <c r="AA260" t="s">
        <v>127</v>
      </c>
      <c r="AB260" t="s">
        <v>353</v>
      </c>
      <c r="AC260">
        <v>2100</v>
      </c>
      <c r="AD260" t="s">
        <v>233</v>
      </c>
      <c r="AE260">
        <v>1</v>
      </c>
    </row>
    <row r="261" spans="1:32" x14ac:dyDescent="0.3">
      <c r="A261" t="s">
        <v>348</v>
      </c>
      <c r="B261" t="s">
        <v>45</v>
      </c>
      <c r="C261" t="s">
        <v>68</v>
      </c>
      <c r="D261" t="s">
        <v>309</v>
      </c>
      <c r="E261" t="s">
        <v>1160</v>
      </c>
      <c r="F261" s="15">
        <v>46244.473298611112</v>
      </c>
      <c r="G261" t="s">
        <v>398</v>
      </c>
      <c r="H261">
        <v>2</v>
      </c>
      <c r="I261" t="s">
        <v>1161</v>
      </c>
      <c r="J261" s="15">
        <v>46245.607638888891</v>
      </c>
      <c r="K261" s="15">
        <v>46246.458333333336</v>
      </c>
      <c r="L261" s="15"/>
      <c r="M261">
        <v>2</v>
      </c>
      <c r="O261" t="s">
        <v>201</v>
      </c>
      <c r="P261" t="s">
        <v>1954</v>
      </c>
      <c r="S261" t="s">
        <v>353</v>
      </c>
      <c r="T261" t="s">
        <v>368</v>
      </c>
      <c r="U261" t="s">
        <v>239</v>
      </c>
      <c r="V261" t="s">
        <v>348</v>
      </c>
      <c r="W261" t="s">
        <v>369</v>
      </c>
      <c r="X261" t="s">
        <v>239</v>
      </c>
      <c r="Y261">
        <v>103</v>
      </c>
      <c r="AA261" t="s">
        <v>67</v>
      </c>
      <c r="AB261" t="s">
        <v>353</v>
      </c>
      <c r="AC261">
        <v>2100</v>
      </c>
      <c r="AD261" t="s">
        <v>217</v>
      </c>
      <c r="AE261">
        <v>1</v>
      </c>
      <c r="AF261">
        <v>1</v>
      </c>
    </row>
    <row r="262" spans="1:32" x14ac:dyDescent="0.3">
      <c r="A262" t="s">
        <v>348</v>
      </c>
      <c r="B262" t="s">
        <v>45</v>
      </c>
      <c r="C262" t="s">
        <v>68</v>
      </c>
      <c r="D262" t="s">
        <v>309</v>
      </c>
      <c r="E262" t="s">
        <v>1162</v>
      </c>
      <c r="F262" s="15">
        <v>46246.66033564815</v>
      </c>
      <c r="G262" t="s">
        <v>398</v>
      </c>
      <c r="H262">
        <v>3</v>
      </c>
      <c r="I262" t="s">
        <v>1163</v>
      </c>
      <c r="J262" s="15">
        <v>46246.69027777778</v>
      </c>
      <c r="K262" s="15">
        <v>46252.458333333336</v>
      </c>
      <c r="L262" s="15"/>
      <c r="M262">
        <v>3</v>
      </c>
      <c r="O262" t="s">
        <v>201</v>
      </c>
      <c r="P262" t="s">
        <v>1956</v>
      </c>
      <c r="S262" t="s">
        <v>353</v>
      </c>
      <c r="T262" t="s">
        <v>368</v>
      </c>
      <c r="U262" t="s">
        <v>239</v>
      </c>
      <c r="V262" t="s">
        <v>348</v>
      </c>
      <c r="W262" t="s">
        <v>369</v>
      </c>
      <c r="X262" t="s">
        <v>239</v>
      </c>
      <c r="Y262">
        <v>103</v>
      </c>
      <c r="AA262" t="s">
        <v>67</v>
      </c>
      <c r="AB262" t="s">
        <v>353</v>
      </c>
      <c r="AC262">
        <v>2100</v>
      </c>
      <c r="AD262" t="s">
        <v>217</v>
      </c>
      <c r="AE262">
        <v>1</v>
      </c>
      <c r="AF262">
        <v>1</v>
      </c>
    </row>
    <row r="263" spans="1:32" x14ac:dyDescent="0.3">
      <c r="A263" t="s">
        <v>348</v>
      </c>
      <c r="B263" t="s">
        <v>45</v>
      </c>
      <c r="C263" t="s">
        <v>68</v>
      </c>
      <c r="D263" t="s">
        <v>309</v>
      </c>
      <c r="E263" t="s">
        <v>1164</v>
      </c>
      <c r="F263" s="15">
        <v>46246.659872685188</v>
      </c>
      <c r="G263" t="s">
        <v>1165</v>
      </c>
      <c r="H263">
        <v>3</v>
      </c>
      <c r="I263" t="s">
        <v>1163</v>
      </c>
      <c r="J263" s="15">
        <v>46246.69027777778</v>
      </c>
      <c r="K263" s="15">
        <v>46252.458333333336</v>
      </c>
      <c r="L263" s="15"/>
      <c r="M263">
        <v>3</v>
      </c>
      <c r="O263" t="s">
        <v>201</v>
      </c>
      <c r="P263" t="s">
        <v>1956</v>
      </c>
      <c r="S263" t="s">
        <v>353</v>
      </c>
      <c r="T263" t="s">
        <v>368</v>
      </c>
      <c r="U263" t="s">
        <v>239</v>
      </c>
      <c r="V263" t="s">
        <v>348</v>
      </c>
      <c r="W263" t="s">
        <v>369</v>
      </c>
      <c r="X263" t="s">
        <v>239</v>
      </c>
      <c r="AA263" t="s">
        <v>67</v>
      </c>
      <c r="AB263" t="s">
        <v>353</v>
      </c>
      <c r="AC263">
        <v>2100</v>
      </c>
      <c r="AD263" t="s">
        <v>217</v>
      </c>
      <c r="AE263">
        <v>1</v>
      </c>
    </row>
    <row r="264" spans="1:32" x14ac:dyDescent="0.3">
      <c r="A264" t="s">
        <v>348</v>
      </c>
      <c r="B264" t="s">
        <v>45</v>
      </c>
      <c r="C264" t="s">
        <v>68</v>
      </c>
      <c r="D264" t="s">
        <v>309</v>
      </c>
      <c r="E264" t="s">
        <v>1166</v>
      </c>
      <c r="F264" s="15">
        <v>46245.574305555558</v>
      </c>
      <c r="G264" t="s">
        <v>398</v>
      </c>
      <c r="H264">
        <v>3</v>
      </c>
      <c r="I264" t="s">
        <v>1167</v>
      </c>
      <c r="J264" s="15">
        <v>46245.65902777778</v>
      </c>
      <c r="K264" s="15">
        <v>46246.458333333336</v>
      </c>
      <c r="L264" s="15"/>
      <c r="M264">
        <v>3</v>
      </c>
      <c r="O264" t="s">
        <v>201</v>
      </c>
      <c r="P264" t="s">
        <v>1954</v>
      </c>
      <c r="S264" t="s">
        <v>353</v>
      </c>
      <c r="T264" t="s">
        <v>368</v>
      </c>
      <c r="U264" t="s">
        <v>239</v>
      </c>
      <c r="V264" t="s">
        <v>348</v>
      </c>
      <c r="W264" t="s">
        <v>369</v>
      </c>
      <c r="X264" t="s">
        <v>239</v>
      </c>
      <c r="AA264" t="s">
        <v>67</v>
      </c>
      <c r="AB264" t="s">
        <v>353</v>
      </c>
      <c r="AC264">
        <v>2100</v>
      </c>
      <c r="AD264" t="s">
        <v>217</v>
      </c>
      <c r="AE264">
        <v>1</v>
      </c>
    </row>
    <row r="265" spans="1:32" x14ac:dyDescent="0.3">
      <c r="A265" t="s">
        <v>348</v>
      </c>
      <c r="B265" t="s">
        <v>45</v>
      </c>
      <c r="C265" t="s">
        <v>68</v>
      </c>
      <c r="D265" t="s">
        <v>309</v>
      </c>
      <c r="E265" t="s">
        <v>1168</v>
      </c>
      <c r="F265" s="15">
        <v>46244.657546296294</v>
      </c>
      <c r="G265" t="s">
        <v>398</v>
      </c>
      <c r="H265">
        <v>5</v>
      </c>
      <c r="I265" t="s">
        <v>1169</v>
      </c>
      <c r="J265" s="15">
        <v>46245.393750000003</v>
      </c>
      <c r="K265" s="15">
        <v>46246.458333333336</v>
      </c>
      <c r="L265" s="15"/>
      <c r="M265">
        <v>5</v>
      </c>
      <c r="O265" t="s">
        <v>201</v>
      </c>
      <c r="P265" t="s">
        <v>1954</v>
      </c>
      <c r="S265" t="s">
        <v>353</v>
      </c>
      <c r="T265" t="s">
        <v>368</v>
      </c>
      <c r="U265" t="s">
        <v>239</v>
      </c>
      <c r="V265" t="s">
        <v>348</v>
      </c>
      <c r="W265" t="s">
        <v>369</v>
      </c>
      <c r="X265" t="s">
        <v>239</v>
      </c>
      <c r="AA265" t="s">
        <v>67</v>
      </c>
      <c r="AB265" t="s">
        <v>353</v>
      </c>
      <c r="AC265">
        <v>2100</v>
      </c>
      <c r="AD265" t="s">
        <v>217</v>
      </c>
      <c r="AE265">
        <v>1</v>
      </c>
    </row>
    <row r="266" spans="1:32" x14ac:dyDescent="0.3">
      <c r="A266" t="s">
        <v>348</v>
      </c>
      <c r="B266" t="s">
        <v>45</v>
      </c>
      <c r="C266" t="s">
        <v>68</v>
      </c>
      <c r="D266" t="s">
        <v>309</v>
      </c>
      <c r="E266" t="s">
        <v>1170</v>
      </c>
      <c r="F266" s="15">
        <v>46244.47451388889</v>
      </c>
      <c r="G266" t="s">
        <v>398</v>
      </c>
      <c r="H266">
        <v>3</v>
      </c>
      <c r="I266" t="s">
        <v>1171</v>
      </c>
      <c r="J266" s="15">
        <v>46244.695833333331</v>
      </c>
      <c r="K266" s="15">
        <v>46246.458333333336</v>
      </c>
      <c r="L266" s="15"/>
      <c r="M266">
        <v>3</v>
      </c>
      <c r="O266" t="s">
        <v>201</v>
      </c>
      <c r="P266" t="s">
        <v>1954</v>
      </c>
      <c r="S266" t="s">
        <v>353</v>
      </c>
      <c r="T266" t="s">
        <v>368</v>
      </c>
      <c r="U266" t="s">
        <v>239</v>
      </c>
      <c r="V266" t="s">
        <v>348</v>
      </c>
      <c r="W266" t="s">
        <v>369</v>
      </c>
      <c r="X266" t="s">
        <v>239</v>
      </c>
      <c r="Y266">
        <v>103</v>
      </c>
      <c r="AA266" t="s">
        <v>67</v>
      </c>
      <c r="AB266" t="s">
        <v>353</v>
      </c>
      <c r="AC266">
        <v>2100</v>
      </c>
      <c r="AD266" t="s">
        <v>217</v>
      </c>
      <c r="AE266">
        <v>1</v>
      </c>
    </row>
    <row r="267" spans="1:32" x14ac:dyDescent="0.3">
      <c r="A267" t="s">
        <v>348</v>
      </c>
      <c r="B267" t="s">
        <v>45</v>
      </c>
      <c r="C267" t="s">
        <v>68</v>
      </c>
      <c r="D267" t="s">
        <v>309</v>
      </c>
      <c r="E267" t="s">
        <v>1172</v>
      </c>
      <c r="F267" s="15">
        <v>46246.658784722225</v>
      </c>
      <c r="G267" t="s">
        <v>398</v>
      </c>
      <c r="H267">
        <v>1</v>
      </c>
      <c r="I267" t="s">
        <v>1163</v>
      </c>
      <c r="J267" s="15">
        <v>46246.69027777778</v>
      </c>
      <c r="K267" s="15">
        <v>46252.458333333336</v>
      </c>
      <c r="L267" s="15"/>
      <c r="M267">
        <v>1</v>
      </c>
      <c r="O267" t="s">
        <v>201</v>
      </c>
      <c r="P267" t="s">
        <v>1956</v>
      </c>
      <c r="S267" t="s">
        <v>353</v>
      </c>
      <c r="T267" t="s">
        <v>368</v>
      </c>
      <c r="U267" t="s">
        <v>239</v>
      </c>
      <c r="V267" t="s">
        <v>348</v>
      </c>
      <c r="W267" t="s">
        <v>369</v>
      </c>
      <c r="X267" t="s">
        <v>239</v>
      </c>
      <c r="AA267" t="s">
        <v>67</v>
      </c>
      <c r="AB267" t="s">
        <v>353</v>
      </c>
      <c r="AC267">
        <v>2100</v>
      </c>
      <c r="AD267" t="s">
        <v>217</v>
      </c>
      <c r="AE267">
        <v>1</v>
      </c>
    </row>
    <row r="268" spans="1:32" x14ac:dyDescent="0.3">
      <c r="A268" t="s">
        <v>348</v>
      </c>
      <c r="B268" t="s">
        <v>45</v>
      </c>
      <c r="C268" t="s">
        <v>68</v>
      </c>
      <c r="D268" t="s">
        <v>309</v>
      </c>
      <c r="E268" t="s">
        <v>1173</v>
      </c>
      <c r="F268" s="15">
        <v>46244.477743055555</v>
      </c>
      <c r="G268" t="s">
        <v>398</v>
      </c>
      <c r="H268">
        <v>1</v>
      </c>
      <c r="I268" t="s">
        <v>1171</v>
      </c>
      <c r="J268" s="15">
        <v>46244.695833333331</v>
      </c>
      <c r="K268" s="15">
        <v>46246.458333333336</v>
      </c>
      <c r="L268" s="15"/>
      <c r="M268">
        <v>1</v>
      </c>
      <c r="O268" t="s">
        <v>201</v>
      </c>
      <c r="P268" t="s">
        <v>1954</v>
      </c>
      <c r="S268" t="s">
        <v>353</v>
      </c>
      <c r="T268" t="s">
        <v>368</v>
      </c>
      <c r="U268" t="s">
        <v>239</v>
      </c>
      <c r="V268" t="s">
        <v>348</v>
      </c>
      <c r="W268" t="s">
        <v>369</v>
      </c>
      <c r="X268" t="s">
        <v>239</v>
      </c>
      <c r="AA268" t="s">
        <v>67</v>
      </c>
      <c r="AB268" t="s">
        <v>353</v>
      </c>
      <c r="AC268">
        <v>2100</v>
      </c>
      <c r="AD268" t="s">
        <v>217</v>
      </c>
      <c r="AE268">
        <v>1</v>
      </c>
    </row>
    <row r="269" spans="1:32" x14ac:dyDescent="0.3">
      <c r="A269" t="s">
        <v>348</v>
      </c>
      <c r="B269" t="s">
        <v>45</v>
      </c>
      <c r="C269" t="s">
        <v>68</v>
      </c>
      <c r="D269" t="s">
        <v>309</v>
      </c>
      <c r="E269" t="s">
        <v>1174</v>
      </c>
      <c r="F269" s="15">
        <v>46244.473958333336</v>
      </c>
      <c r="G269" t="s">
        <v>398</v>
      </c>
      <c r="H269">
        <v>1</v>
      </c>
      <c r="I269" t="s">
        <v>1175</v>
      </c>
      <c r="J269" s="15">
        <v>46244.682638888888</v>
      </c>
      <c r="K269" s="15">
        <v>46246.458333333336</v>
      </c>
      <c r="L269" s="15"/>
      <c r="M269">
        <v>1</v>
      </c>
      <c r="O269" t="s">
        <v>201</v>
      </c>
      <c r="P269" t="s">
        <v>1954</v>
      </c>
      <c r="S269" t="s">
        <v>353</v>
      </c>
      <c r="T269" t="s">
        <v>368</v>
      </c>
      <c r="U269" t="s">
        <v>239</v>
      </c>
      <c r="V269" t="s">
        <v>348</v>
      </c>
      <c r="W269" t="s">
        <v>369</v>
      </c>
      <c r="X269" t="s">
        <v>239</v>
      </c>
      <c r="AA269" t="s">
        <v>67</v>
      </c>
      <c r="AB269" t="s">
        <v>353</v>
      </c>
      <c r="AC269">
        <v>2100</v>
      </c>
      <c r="AD269" t="s">
        <v>217</v>
      </c>
      <c r="AE269">
        <v>1</v>
      </c>
    </row>
    <row r="270" spans="1:32" x14ac:dyDescent="0.3">
      <c r="A270" t="s">
        <v>348</v>
      </c>
      <c r="B270" t="s">
        <v>45</v>
      </c>
      <c r="C270" t="s">
        <v>68</v>
      </c>
      <c r="D270" t="s">
        <v>309</v>
      </c>
      <c r="E270" t="s">
        <v>1176</v>
      </c>
      <c r="F270" s="15">
        <v>46244.476030092592</v>
      </c>
      <c r="G270" t="s">
        <v>398</v>
      </c>
      <c r="H270">
        <v>3</v>
      </c>
      <c r="I270" t="s">
        <v>1175</v>
      </c>
      <c r="J270" s="15">
        <v>46244.682638888888</v>
      </c>
      <c r="K270" s="15">
        <v>46246.458333333336</v>
      </c>
      <c r="L270" s="15"/>
      <c r="M270">
        <v>3</v>
      </c>
      <c r="O270" t="s">
        <v>201</v>
      </c>
      <c r="P270" t="s">
        <v>1954</v>
      </c>
      <c r="S270" t="s">
        <v>353</v>
      </c>
      <c r="T270" t="s">
        <v>368</v>
      </c>
      <c r="U270" t="s">
        <v>239</v>
      </c>
      <c r="V270" t="s">
        <v>348</v>
      </c>
      <c r="W270" t="s">
        <v>369</v>
      </c>
      <c r="X270" t="s">
        <v>239</v>
      </c>
      <c r="AA270" t="s">
        <v>67</v>
      </c>
      <c r="AB270" t="s">
        <v>353</v>
      </c>
      <c r="AC270">
        <v>2100</v>
      </c>
      <c r="AD270" t="s">
        <v>217</v>
      </c>
      <c r="AE270">
        <v>1</v>
      </c>
    </row>
    <row r="271" spans="1:32" x14ac:dyDescent="0.3">
      <c r="A271" t="s">
        <v>348</v>
      </c>
      <c r="B271" t="s">
        <v>45</v>
      </c>
      <c r="C271" t="s">
        <v>68</v>
      </c>
      <c r="D271" t="s">
        <v>309</v>
      </c>
      <c r="E271" t="s">
        <v>1177</v>
      </c>
      <c r="F271" s="15">
        <v>46237.458333333336</v>
      </c>
      <c r="G271" t="s">
        <v>398</v>
      </c>
      <c r="H271">
        <v>5</v>
      </c>
      <c r="I271" t="s">
        <v>1178</v>
      </c>
      <c r="J271" s="15">
        <v>46237.70208333333</v>
      </c>
      <c r="K271" s="15">
        <v>46239.5</v>
      </c>
      <c r="L271" s="15"/>
      <c r="M271">
        <v>5</v>
      </c>
      <c r="O271" t="s">
        <v>201</v>
      </c>
      <c r="P271" t="s">
        <v>1954</v>
      </c>
      <c r="S271" t="s">
        <v>353</v>
      </c>
      <c r="T271" t="s">
        <v>368</v>
      </c>
      <c r="U271" t="s">
        <v>239</v>
      </c>
      <c r="V271" t="s">
        <v>348</v>
      </c>
      <c r="W271" t="s">
        <v>369</v>
      </c>
      <c r="X271" t="s">
        <v>239</v>
      </c>
      <c r="Y271">
        <v>103</v>
      </c>
      <c r="AA271" t="s">
        <v>67</v>
      </c>
      <c r="AB271" t="s">
        <v>353</v>
      </c>
      <c r="AC271">
        <v>2100</v>
      </c>
      <c r="AD271" t="s">
        <v>217</v>
      </c>
      <c r="AE271">
        <v>1</v>
      </c>
    </row>
    <row r="272" spans="1:32" x14ac:dyDescent="0.3">
      <c r="A272" t="s">
        <v>348</v>
      </c>
      <c r="B272" t="s">
        <v>45</v>
      </c>
      <c r="C272" t="s">
        <v>68</v>
      </c>
      <c r="D272" t="s">
        <v>309</v>
      </c>
      <c r="E272" t="s">
        <v>1179</v>
      </c>
      <c r="F272" s="15">
        <v>46244.476921296293</v>
      </c>
      <c r="G272" t="s">
        <v>398</v>
      </c>
      <c r="H272">
        <v>3</v>
      </c>
      <c r="I272" t="s">
        <v>1175</v>
      </c>
      <c r="J272" s="15">
        <v>46244.682638888888</v>
      </c>
      <c r="K272" s="15">
        <v>46246.458333333336</v>
      </c>
      <c r="L272" s="15"/>
      <c r="M272">
        <v>3</v>
      </c>
      <c r="O272" t="s">
        <v>201</v>
      </c>
      <c r="P272" t="s">
        <v>1954</v>
      </c>
      <c r="S272" t="s">
        <v>353</v>
      </c>
      <c r="T272" t="s">
        <v>368</v>
      </c>
      <c r="U272" t="s">
        <v>239</v>
      </c>
      <c r="V272" t="s">
        <v>348</v>
      </c>
      <c r="W272" t="s">
        <v>369</v>
      </c>
      <c r="X272" t="s">
        <v>239</v>
      </c>
      <c r="AA272" t="s">
        <v>67</v>
      </c>
      <c r="AB272" t="s">
        <v>353</v>
      </c>
      <c r="AC272">
        <v>2100</v>
      </c>
      <c r="AD272" t="s">
        <v>217</v>
      </c>
      <c r="AE272">
        <v>1</v>
      </c>
    </row>
    <row r="273" spans="1:32" x14ac:dyDescent="0.3">
      <c r="A273" t="s">
        <v>348</v>
      </c>
      <c r="B273" t="s">
        <v>45</v>
      </c>
      <c r="C273" t="s">
        <v>68</v>
      </c>
      <c r="D273" t="s">
        <v>309</v>
      </c>
      <c r="E273" t="s">
        <v>1180</v>
      </c>
      <c r="F273" s="15">
        <v>46246.659317129626</v>
      </c>
      <c r="G273" t="s">
        <v>398</v>
      </c>
      <c r="H273">
        <v>3</v>
      </c>
      <c r="I273" t="s">
        <v>1163</v>
      </c>
      <c r="J273" s="15">
        <v>46246.69027777778</v>
      </c>
      <c r="K273" s="15">
        <v>46252.458333333336</v>
      </c>
      <c r="L273" s="15"/>
      <c r="M273">
        <v>3</v>
      </c>
      <c r="O273" t="s">
        <v>201</v>
      </c>
      <c r="P273" t="s">
        <v>1956</v>
      </c>
      <c r="S273" t="s">
        <v>353</v>
      </c>
      <c r="T273" t="s">
        <v>368</v>
      </c>
      <c r="U273" t="s">
        <v>239</v>
      </c>
      <c r="V273" t="s">
        <v>348</v>
      </c>
      <c r="W273" t="s">
        <v>369</v>
      </c>
      <c r="X273" t="s">
        <v>239</v>
      </c>
      <c r="AA273" t="s">
        <v>67</v>
      </c>
      <c r="AB273" t="s">
        <v>353</v>
      </c>
      <c r="AC273">
        <v>2100</v>
      </c>
      <c r="AD273" t="s">
        <v>217</v>
      </c>
      <c r="AE273">
        <v>1</v>
      </c>
    </row>
    <row r="274" spans="1:32" x14ac:dyDescent="0.3">
      <c r="A274" t="s">
        <v>348</v>
      </c>
      <c r="B274" t="s">
        <v>45</v>
      </c>
      <c r="C274" t="s">
        <v>68</v>
      </c>
      <c r="D274" t="s">
        <v>309</v>
      </c>
      <c r="E274" t="s">
        <v>1181</v>
      </c>
      <c r="F274" s="15">
        <v>46251.598506944443</v>
      </c>
      <c r="G274" t="s">
        <v>398</v>
      </c>
      <c r="H274">
        <v>3</v>
      </c>
      <c r="I274" t="s">
        <v>1182</v>
      </c>
      <c r="J274" s="15">
        <v>46253.477083333331</v>
      </c>
      <c r="K274" s="15">
        <v>46255.493055555555</v>
      </c>
      <c r="L274" s="15"/>
      <c r="M274">
        <v>3</v>
      </c>
      <c r="O274" t="s">
        <v>201</v>
      </c>
      <c r="P274" t="s">
        <v>1956</v>
      </c>
      <c r="S274" t="s">
        <v>353</v>
      </c>
      <c r="T274" t="s">
        <v>368</v>
      </c>
      <c r="U274" t="s">
        <v>239</v>
      </c>
      <c r="V274" t="s">
        <v>348</v>
      </c>
      <c r="W274" t="s">
        <v>369</v>
      </c>
      <c r="X274" t="s">
        <v>239</v>
      </c>
      <c r="Y274">
        <v>103</v>
      </c>
      <c r="AA274" t="s">
        <v>67</v>
      </c>
      <c r="AB274" t="s">
        <v>353</v>
      </c>
      <c r="AC274">
        <v>2100</v>
      </c>
      <c r="AD274" t="s">
        <v>217</v>
      </c>
      <c r="AE274">
        <v>1</v>
      </c>
      <c r="AF274">
        <v>1</v>
      </c>
    </row>
    <row r="275" spans="1:32" x14ac:dyDescent="0.3">
      <c r="A275" t="s">
        <v>348</v>
      </c>
      <c r="B275" t="s">
        <v>51</v>
      </c>
      <c r="C275" t="s">
        <v>258</v>
      </c>
      <c r="D275" t="s">
        <v>309</v>
      </c>
      <c r="E275" t="s">
        <v>1183</v>
      </c>
      <c r="F275" s="15">
        <v>46251.581516203703</v>
      </c>
      <c r="G275" t="s">
        <v>398</v>
      </c>
      <c r="H275">
        <v>100</v>
      </c>
      <c r="I275" t="s">
        <v>1184</v>
      </c>
      <c r="J275" s="15">
        <v>46253.445138888892</v>
      </c>
      <c r="K275" s="15">
        <v>46255.493055555555</v>
      </c>
      <c r="L275" s="15"/>
      <c r="M275">
        <v>100</v>
      </c>
      <c r="O275" t="s">
        <v>201</v>
      </c>
      <c r="P275" t="s">
        <v>1956</v>
      </c>
      <c r="S275" t="s">
        <v>353</v>
      </c>
      <c r="T275" t="s">
        <v>368</v>
      </c>
      <c r="U275" t="s">
        <v>239</v>
      </c>
      <c r="V275" t="s">
        <v>7</v>
      </c>
      <c r="W275" t="s">
        <v>7</v>
      </c>
      <c r="X275" t="s">
        <v>7</v>
      </c>
      <c r="AA275" t="s">
        <v>238</v>
      </c>
      <c r="AB275" t="s">
        <v>353</v>
      </c>
      <c r="AC275">
        <v>2100</v>
      </c>
      <c r="AD275" t="s">
        <v>7</v>
      </c>
      <c r="AF275">
        <v>0</v>
      </c>
    </row>
    <row r="276" spans="1:32" x14ac:dyDescent="0.3">
      <c r="A276" t="s">
        <v>348</v>
      </c>
      <c r="B276" t="s">
        <v>51</v>
      </c>
      <c r="C276" t="s">
        <v>258</v>
      </c>
      <c r="D276" t="s">
        <v>309</v>
      </c>
      <c r="E276" t="s">
        <v>1185</v>
      </c>
      <c r="F276" s="15">
        <v>46251.566979166666</v>
      </c>
      <c r="G276" t="s">
        <v>398</v>
      </c>
      <c r="H276">
        <v>450</v>
      </c>
      <c r="I276" t="s">
        <v>1184</v>
      </c>
      <c r="J276" s="15">
        <v>46253.445138888892</v>
      </c>
      <c r="K276" s="15">
        <v>46255.493055555555</v>
      </c>
      <c r="L276" s="15"/>
      <c r="M276">
        <v>450</v>
      </c>
      <c r="O276" t="s">
        <v>201</v>
      </c>
      <c r="P276" t="s">
        <v>1956</v>
      </c>
      <c r="S276" t="s">
        <v>353</v>
      </c>
      <c r="T276" t="s">
        <v>368</v>
      </c>
      <c r="U276" t="s">
        <v>239</v>
      </c>
      <c r="V276" t="s">
        <v>7</v>
      </c>
      <c r="W276" t="s">
        <v>7</v>
      </c>
      <c r="X276" t="s">
        <v>7</v>
      </c>
      <c r="AA276" t="s">
        <v>238</v>
      </c>
      <c r="AB276" t="s">
        <v>353</v>
      </c>
      <c r="AC276">
        <v>2100</v>
      </c>
      <c r="AD276" t="s">
        <v>7</v>
      </c>
    </row>
    <row r="277" spans="1:32" x14ac:dyDescent="0.3">
      <c r="A277" t="s">
        <v>348</v>
      </c>
      <c r="B277" t="s">
        <v>51</v>
      </c>
      <c r="C277" t="s">
        <v>258</v>
      </c>
      <c r="D277" t="s">
        <v>309</v>
      </c>
      <c r="E277" t="s">
        <v>1186</v>
      </c>
      <c r="F277" s="15">
        <v>46244.518692129626</v>
      </c>
      <c r="G277" t="s">
        <v>1187</v>
      </c>
      <c r="H277">
        <v>64</v>
      </c>
      <c r="I277" t="s">
        <v>1188</v>
      </c>
      <c r="J277" s="15">
        <v>46245.446527777778</v>
      </c>
      <c r="K277" s="15">
        <v>46246.4375</v>
      </c>
      <c r="L277" s="15"/>
      <c r="M277">
        <v>64</v>
      </c>
      <c r="O277" t="s">
        <v>201</v>
      </c>
      <c r="P277" t="s">
        <v>1954</v>
      </c>
      <c r="S277" t="s">
        <v>353</v>
      </c>
      <c r="T277" t="s">
        <v>368</v>
      </c>
      <c r="U277" t="s">
        <v>239</v>
      </c>
      <c r="V277" t="s">
        <v>7</v>
      </c>
      <c r="W277" t="s">
        <v>7</v>
      </c>
      <c r="X277" t="s">
        <v>7</v>
      </c>
      <c r="AA277" t="s">
        <v>238</v>
      </c>
      <c r="AB277" t="s">
        <v>353</v>
      </c>
      <c r="AC277">
        <v>2100</v>
      </c>
      <c r="AD277" t="s">
        <v>7</v>
      </c>
      <c r="AF277">
        <v>0</v>
      </c>
    </row>
    <row r="278" spans="1:32" x14ac:dyDescent="0.3">
      <c r="A278" t="s">
        <v>348</v>
      </c>
      <c r="B278" t="s">
        <v>51</v>
      </c>
      <c r="C278" t="s">
        <v>258</v>
      </c>
      <c r="D278" t="s">
        <v>309</v>
      </c>
      <c r="E278" t="s">
        <v>1189</v>
      </c>
      <c r="F278" s="15">
        <v>46240.542048611111</v>
      </c>
      <c r="G278" t="s">
        <v>402</v>
      </c>
      <c r="H278">
        <v>450</v>
      </c>
      <c r="I278" t="s">
        <v>1190</v>
      </c>
      <c r="J278" s="15">
        <v>46244.459722222222</v>
      </c>
      <c r="K278" s="15">
        <v>46246.4375</v>
      </c>
      <c r="L278" s="15"/>
      <c r="M278">
        <v>450</v>
      </c>
      <c r="O278" t="s">
        <v>201</v>
      </c>
      <c r="P278" t="s">
        <v>1954</v>
      </c>
      <c r="S278" t="s">
        <v>353</v>
      </c>
      <c r="T278" t="s">
        <v>368</v>
      </c>
      <c r="U278" t="s">
        <v>239</v>
      </c>
      <c r="V278" t="s">
        <v>7</v>
      </c>
      <c r="W278" t="s">
        <v>7</v>
      </c>
      <c r="X278" t="s">
        <v>7</v>
      </c>
      <c r="AA278" t="s">
        <v>238</v>
      </c>
      <c r="AB278" t="s">
        <v>353</v>
      </c>
      <c r="AC278">
        <v>2100</v>
      </c>
      <c r="AD278" t="s">
        <v>7</v>
      </c>
    </row>
    <row r="279" spans="1:32" x14ac:dyDescent="0.3">
      <c r="A279" t="s">
        <v>348</v>
      </c>
      <c r="B279" t="s">
        <v>45</v>
      </c>
      <c r="C279" t="s">
        <v>68</v>
      </c>
      <c r="D279" t="s">
        <v>309</v>
      </c>
      <c r="E279" t="s">
        <v>1191</v>
      </c>
      <c r="F279" s="15">
        <v>46254.355046296296</v>
      </c>
      <c r="G279" t="s">
        <v>412</v>
      </c>
      <c r="H279">
        <v>35</v>
      </c>
      <c r="I279" t="s">
        <v>1192</v>
      </c>
      <c r="J279" s="15">
        <v>46254.531944444447</v>
      </c>
      <c r="K279" s="15">
        <v>46258.410416666666</v>
      </c>
      <c r="L279" s="15"/>
      <c r="M279">
        <v>35</v>
      </c>
      <c r="O279" t="s">
        <v>201</v>
      </c>
      <c r="P279" t="s">
        <v>1954</v>
      </c>
      <c r="S279" t="s">
        <v>359</v>
      </c>
      <c r="T279" t="s">
        <v>368</v>
      </c>
      <c r="U279" t="s">
        <v>239</v>
      </c>
      <c r="V279" t="s">
        <v>348</v>
      </c>
      <c r="W279" t="s">
        <v>369</v>
      </c>
      <c r="X279" t="s">
        <v>239</v>
      </c>
      <c r="Y279">
        <v>93</v>
      </c>
      <c r="AA279" t="s">
        <v>67</v>
      </c>
      <c r="AB279" t="s">
        <v>465</v>
      </c>
      <c r="AC279">
        <v>289</v>
      </c>
      <c r="AD279" t="s">
        <v>217</v>
      </c>
      <c r="AE279">
        <v>3.5</v>
      </c>
      <c r="AF279">
        <v>1</v>
      </c>
    </row>
    <row r="280" spans="1:32" x14ac:dyDescent="0.3">
      <c r="A280" t="s">
        <v>348</v>
      </c>
      <c r="B280" t="s">
        <v>45</v>
      </c>
      <c r="C280" t="s">
        <v>68</v>
      </c>
      <c r="D280" t="s">
        <v>309</v>
      </c>
      <c r="E280" t="s">
        <v>1193</v>
      </c>
      <c r="F280" s="15">
        <v>46253.542812500003</v>
      </c>
      <c r="G280" t="s">
        <v>398</v>
      </c>
      <c r="H280">
        <v>3</v>
      </c>
      <c r="I280" t="s">
        <v>1194</v>
      </c>
      <c r="J280" s="15">
        <v>46254.361805555556</v>
      </c>
      <c r="K280" s="15">
        <v>46255.493055555555</v>
      </c>
      <c r="L280" s="15"/>
      <c r="M280">
        <v>3</v>
      </c>
      <c r="O280" t="s">
        <v>201</v>
      </c>
      <c r="P280" t="s">
        <v>1954</v>
      </c>
      <c r="S280" t="s">
        <v>353</v>
      </c>
      <c r="T280" t="s">
        <v>368</v>
      </c>
      <c r="U280" t="s">
        <v>239</v>
      </c>
      <c r="V280" t="s">
        <v>348</v>
      </c>
      <c r="W280" t="s">
        <v>369</v>
      </c>
      <c r="X280" t="s">
        <v>239</v>
      </c>
      <c r="Y280">
        <v>103</v>
      </c>
      <c r="AA280" t="s">
        <v>67</v>
      </c>
      <c r="AB280" t="s">
        <v>353</v>
      </c>
      <c r="AC280">
        <v>2100</v>
      </c>
      <c r="AD280" t="s">
        <v>217</v>
      </c>
      <c r="AE280">
        <v>1</v>
      </c>
    </row>
    <row r="281" spans="1:32" x14ac:dyDescent="0.3">
      <c r="A281" t="s">
        <v>348</v>
      </c>
      <c r="B281" t="s">
        <v>45</v>
      </c>
      <c r="C281" t="s">
        <v>68</v>
      </c>
      <c r="D281" t="s">
        <v>309</v>
      </c>
      <c r="E281" t="s">
        <v>1195</v>
      </c>
      <c r="F281" s="15">
        <v>46253.545694444445</v>
      </c>
      <c r="G281" t="s">
        <v>398</v>
      </c>
      <c r="H281">
        <v>3</v>
      </c>
      <c r="I281" t="s">
        <v>1194</v>
      </c>
      <c r="J281" s="15">
        <v>46254.361805555556</v>
      </c>
      <c r="K281" s="15">
        <v>46255.493055555555</v>
      </c>
      <c r="L281" s="15"/>
      <c r="M281">
        <v>3</v>
      </c>
      <c r="O281" t="s">
        <v>201</v>
      </c>
      <c r="P281" t="s">
        <v>1954</v>
      </c>
      <c r="S281" t="s">
        <v>353</v>
      </c>
      <c r="T281" t="s">
        <v>368</v>
      </c>
      <c r="U281" t="s">
        <v>239</v>
      </c>
      <c r="V281" t="s">
        <v>348</v>
      </c>
      <c r="W281" t="s">
        <v>369</v>
      </c>
      <c r="X281" t="s">
        <v>239</v>
      </c>
      <c r="AA281" t="s">
        <v>67</v>
      </c>
      <c r="AB281" t="s">
        <v>353</v>
      </c>
      <c r="AC281">
        <v>2100</v>
      </c>
      <c r="AD281" t="s">
        <v>217</v>
      </c>
      <c r="AE281">
        <v>1</v>
      </c>
    </row>
    <row r="282" spans="1:32" x14ac:dyDescent="0.3">
      <c r="A282" t="s">
        <v>348</v>
      </c>
      <c r="B282" t="s">
        <v>45</v>
      </c>
      <c r="C282" t="s">
        <v>68</v>
      </c>
      <c r="D282" t="s">
        <v>309</v>
      </c>
      <c r="E282" t="s">
        <v>1196</v>
      </c>
      <c r="F282" s="15">
        <v>46253.545173611114</v>
      </c>
      <c r="G282" t="s">
        <v>398</v>
      </c>
      <c r="H282">
        <v>3</v>
      </c>
      <c r="I282" t="s">
        <v>1194</v>
      </c>
      <c r="J282" s="15">
        <v>46254.361805555556</v>
      </c>
      <c r="K282" s="15">
        <v>46255.493055555555</v>
      </c>
      <c r="L282" s="15"/>
      <c r="M282">
        <v>3</v>
      </c>
      <c r="O282" t="s">
        <v>201</v>
      </c>
      <c r="P282" t="s">
        <v>1954</v>
      </c>
      <c r="S282" t="s">
        <v>353</v>
      </c>
      <c r="T282" t="s">
        <v>368</v>
      </c>
      <c r="U282" t="s">
        <v>239</v>
      </c>
      <c r="V282" t="s">
        <v>348</v>
      </c>
      <c r="W282" t="s">
        <v>369</v>
      </c>
      <c r="X282" t="s">
        <v>239</v>
      </c>
      <c r="AA282" t="s">
        <v>67</v>
      </c>
      <c r="AB282" t="s">
        <v>353</v>
      </c>
      <c r="AC282">
        <v>2100</v>
      </c>
      <c r="AD282" t="s">
        <v>217</v>
      </c>
      <c r="AE282">
        <v>1</v>
      </c>
    </row>
    <row r="283" spans="1:32" x14ac:dyDescent="0.3">
      <c r="A283" t="s">
        <v>348</v>
      </c>
      <c r="B283" t="s">
        <v>45</v>
      </c>
      <c r="C283" t="s">
        <v>68</v>
      </c>
      <c r="D283" t="s">
        <v>309</v>
      </c>
      <c r="E283" t="s">
        <v>1197</v>
      </c>
      <c r="F283" s="15">
        <v>46233.471192129633</v>
      </c>
      <c r="G283" t="s">
        <v>398</v>
      </c>
      <c r="H283">
        <v>3</v>
      </c>
      <c r="I283" t="s">
        <v>1198</v>
      </c>
      <c r="J283" s="15">
        <v>46233.615185185183</v>
      </c>
      <c r="K283" s="15">
        <v>46237.458333333336</v>
      </c>
      <c r="L283" s="15"/>
      <c r="M283">
        <v>3</v>
      </c>
      <c r="O283" t="s">
        <v>201</v>
      </c>
      <c r="P283" t="s">
        <v>1954</v>
      </c>
      <c r="S283" t="s">
        <v>353</v>
      </c>
      <c r="T283" t="s">
        <v>368</v>
      </c>
      <c r="U283" t="s">
        <v>239</v>
      </c>
      <c r="V283" t="s">
        <v>348</v>
      </c>
      <c r="W283" t="s">
        <v>369</v>
      </c>
      <c r="X283" t="s">
        <v>239</v>
      </c>
      <c r="AA283" t="s">
        <v>67</v>
      </c>
      <c r="AB283" t="s">
        <v>353</v>
      </c>
      <c r="AC283">
        <v>2100</v>
      </c>
      <c r="AD283" t="s">
        <v>217</v>
      </c>
      <c r="AE283">
        <v>1</v>
      </c>
    </row>
    <row r="284" spans="1:32" x14ac:dyDescent="0.3">
      <c r="A284" t="s">
        <v>348</v>
      </c>
      <c r="B284" t="s">
        <v>45</v>
      </c>
      <c r="C284" t="s">
        <v>68</v>
      </c>
      <c r="D284" t="s">
        <v>309</v>
      </c>
      <c r="E284" t="s">
        <v>1199</v>
      </c>
      <c r="F284" s="15">
        <v>46233.470659722225</v>
      </c>
      <c r="G284" t="s">
        <v>398</v>
      </c>
      <c r="H284">
        <v>3</v>
      </c>
      <c r="I284" t="s">
        <v>1198</v>
      </c>
      <c r="J284" s="15">
        <v>46233.615185185183</v>
      </c>
      <c r="K284" s="15">
        <v>46237.458333333336</v>
      </c>
      <c r="L284" s="15"/>
      <c r="M284">
        <v>3</v>
      </c>
      <c r="O284" t="s">
        <v>201</v>
      </c>
      <c r="P284" t="s">
        <v>1954</v>
      </c>
      <c r="S284" t="s">
        <v>353</v>
      </c>
      <c r="T284" t="s">
        <v>368</v>
      </c>
      <c r="U284" t="s">
        <v>239</v>
      </c>
      <c r="V284" t="s">
        <v>348</v>
      </c>
      <c r="W284" t="s">
        <v>369</v>
      </c>
      <c r="X284" t="s">
        <v>239</v>
      </c>
      <c r="AA284" t="s">
        <v>67</v>
      </c>
      <c r="AB284" t="s">
        <v>353</v>
      </c>
      <c r="AC284">
        <v>2100</v>
      </c>
      <c r="AD284" t="s">
        <v>217</v>
      </c>
      <c r="AE284">
        <v>1</v>
      </c>
    </row>
    <row r="285" spans="1:32" x14ac:dyDescent="0.3">
      <c r="A285" t="s">
        <v>348</v>
      </c>
      <c r="B285" t="s">
        <v>45</v>
      </c>
      <c r="C285" t="s">
        <v>68</v>
      </c>
      <c r="D285" t="s">
        <v>309</v>
      </c>
      <c r="E285" t="s">
        <v>1200</v>
      </c>
      <c r="F285" s="15">
        <v>46233.468287037038</v>
      </c>
      <c r="G285" t="s">
        <v>398</v>
      </c>
      <c r="H285">
        <v>3</v>
      </c>
      <c r="I285" t="s">
        <v>1198</v>
      </c>
      <c r="J285" s="15">
        <v>46233.615185185183</v>
      </c>
      <c r="K285" s="15">
        <v>46237.458333333336</v>
      </c>
      <c r="L285" s="15"/>
      <c r="M285">
        <v>3</v>
      </c>
      <c r="O285" t="s">
        <v>201</v>
      </c>
      <c r="P285" t="s">
        <v>1954</v>
      </c>
      <c r="S285" t="s">
        <v>353</v>
      </c>
      <c r="T285" t="s">
        <v>368</v>
      </c>
      <c r="U285" t="s">
        <v>239</v>
      </c>
      <c r="V285" t="s">
        <v>348</v>
      </c>
      <c r="W285" t="s">
        <v>369</v>
      </c>
      <c r="X285" t="s">
        <v>239</v>
      </c>
      <c r="AA285" t="s">
        <v>67</v>
      </c>
      <c r="AB285" t="s">
        <v>353</v>
      </c>
      <c r="AC285">
        <v>2100</v>
      </c>
      <c r="AD285" t="s">
        <v>217</v>
      </c>
      <c r="AE285">
        <v>1</v>
      </c>
    </row>
    <row r="286" spans="1:32" x14ac:dyDescent="0.3">
      <c r="A286" t="s">
        <v>348</v>
      </c>
      <c r="B286" t="s">
        <v>45</v>
      </c>
      <c r="C286" t="s">
        <v>68</v>
      </c>
      <c r="D286" t="s">
        <v>309</v>
      </c>
      <c r="E286" t="s">
        <v>1201</v>
      </c>
      <c r="F286" s="15">
        <v>46225.582372685189</v>
      </c>
      <c r="G286" t="s">
        <v>398</v>
      </c>
      <c r="H286">
        <v>3</v>
      </c>
      <c r="I286" t="s">
        <v>1202</v>
      </c>
      <c r="J286" s="15">
        <v>46226.429560185185</v>
      </c>
      <c r="K286" s="15">
        <v>46231.455555555556</v>
      </c>
      <c r="L286" s="15"/>
      <c r="M286">
        <v>3</v>
      </c>
      <c r="O286" t="s">
        <v>201</v>
      </c>
      <c r="P286" t="s">
        <v>1956</v>
      </c>
      <c r="S286" t="s">
        <v>353</v>
      </c>
      <c r="T286" t="s">
        <v>368</v>
      </c>
      <c r="U286" t="s">
        <v>239</v>
      </c>
      <c r="V286" t="s">
        <v>348</v>
      </c>
      <c r="W286" t="s">
        <v>369</v>
      </c>
      <c r="X286" t="s">
        <v>239</v>
      </c>
      <c r="Y286">
        <v>103</v>
      </c>
      <c r="AA286" t="s">
        <v>67</v>
      </c>
      <c r="AB286" t="s">
        <v>353</v>
      </c>
      <c r="AC286">
        <v>2100</v>
      </c>
      <c r="AD286" t="s">
        <v>217</v>
      </c>
      <c r="AE286">
        <v>1</v>
      </c>
      <c r="AF286">
        <v>1</v>
      </c>
    </row>
    <row r="287" spans="1:32" x14ac:dyDescent="0.3">
      <c r="A287" t="s">
        <v>348</v>
      </c>
      <c r="B287" t="s">
        <v>45</v>
      </c>
      <c r="C287" t="s">
        <v>68</v>
      </c>
      <c r="D287" t="s">
        <v>309</v>
      </c>
      <c r="E287" t="s">
        <v>1203</v>
      </c>
      <c r="F287" s="15">
        <v>46225.581944444442</v>
      </c>
      <c r="G287" t="s">
        <v>398</v>
      </c>
      <c r="H287">
        <v>1</v>
      </c>
      <c r="I287" t="s">
        <v>1202</v>
      </c>
      <c r="J287" s="15">
        <v>46226.429560185185</v>
      </c>
      <c r="K287" s="15">
        <v>46231.455555555556</v>
      </c>
      <c r="L287" s="15"/>
      <c r="M287">
        <v>1</v>
      </c>
      <c r="O287" t="s">
        <v>201</v>
      </c>
      <c r="P287" t="s">
        <v>1956</v>
      </c>
      <c r="S287" t="s">
        <v>353</v>
      </c>
      <c r="T287" t="s">
        <v>368</v>
      </c>
      <c r="U287" t="s">
        <v>239</v>
      </c>
      <c r="V287" t="s">
        <v>348</v>
      </c>
      <c r="W287" t="s">
        <v>369</v>
      </c>
      <c r="X287" t="s">
        <v>239</v>
      </c>
      <c r="AA287" t="s">
        <v>67</v>
      </c>
      <c r="AB287" t="s">
        <v>353</v>
      </c>
      <c r="AC287">
        <v>2100</v>
      </c>
      <c r="AD287" t="s">
        <v>217</v>
      </c>
      <c r="AE287">
        <v>1</v>
      </c>
    </row>
    <row r="288" spans="1:32" x14ac:dyDescent="0.3">
      <c r="A288" t="s">
        <v>348</v>
      </c>
      <c r="B288" t="s">
        <v>45</v>
      </c>
      <c r="C288" t="s">
        <v>68</v>
      </c>
      <c r="D288" t="s">
        <v>309</v>
      </c>
      <c r="E288" t="s">
        <v>1204</v>
      </c>
      <c r="F288" s="15">
        <v>46225.581226851849</v>
      </c>
      <c r="G288" t="s">
        <v>398</v>
      </c>
      <c r="H288">
        <v>3</v>
      </c>
      <c r="I288" t="s">
        <v>1202</v>
      </c>
      <c r="J288" s="15">
        <v>46226.429560185185</v>
      </c>
      <c r="K288" s="15">
        <v>46231.455555555556</v>
      </c>
      <c r="L288" s="15"/>
      <c r="M288">
        <v>3</v>
      </c>
      <c r="O288" t="s">
        <v>201</v>
      </c>
      <c r="P288" t="s">
        <v>1956</v>
      </c>
      <c r="S288" t="s">
        <v>353</v>
      </c>
      <c r="T288" t="s">
        <v>368</v>
      </c>
      <c r="U288" t="s">
        <v>239</v>
      </c>
      <c r="V288" t="s">
        <v>348</v>
      </c>
      <c r="W288" t="s">
        <v>369</v>
      </c>
      <c r="X288" t="s">
        <v>239</v>
      </c>
      <c r="AA288" t="s">
        <v>67</v>
      </c>
      <c r="AB288" t="s">
        <v>353</v>
      </c>
      <c r="AC288">
        <v>2100</v>
      </c>
      <c r="AD288" t="s">
        <v>217</v>
      </c>
      <c r="AE288">
        <v>1</v>
      </c>
    </row>
    <row r="289" spans="1:32" x14ac:dyDescent="0.3">
      <c r="A289" t="s">
        <v>348</v>
      </c>
      <c r="B289" t="s">
        <v>45</v>
      </c>
      <c r="C289" t="s">
        <v>68</v>
      </c>
      <c r="D289" t="s">
        <v>309</v>
      </c>
      <c r="E289" t="s">
        <v>1205</v>
      </c>
      <c r="F289" s="15">
        <v>46225.358090277776</v>
      </c>
      <c r="G289" t="s">
        <v>402</v>
      </c>
      <c r="H289">
        <v>26</v>
      </c>
      <c r="I289" t="s">
        <v>1206</v>
      </c>
      <c r="J289" s="15">
        <v>46226.397361111114</v>
      </c>
      <c r="K289" s="15">
        <v>46227.5</v>
      </c>
      <c r="L289" s="15"/>
      <c r="M289">
        <v>26</v>
      </c>
      <c r="O289" t="s">
        <v>201</v>
      </c>
      <c r="P289" t="s">
        <v>1954</v>
      </c>
      <c r="S289" t="s">
        <v>353</v>
      </c>
      <c r="T289" t="s">
        <v>368</v>
      </c>
      <c r="U289" t="s">
        <v>239</v>
      </c>
      <c r="V289" t="s">
        <v>348</v>
      </c>
      <c r="W289" t="s">
        <v>369</v>
      </c>
      <c r="X289" t="s">
        <v>239</v>
      </c>
      <c r="AA289" t="s">
        <v>67</v>
      </c>
      <c r="AB289" t="s">
        <v>353</v>
      </c>
      <c r="AC289">
        <v>2100</v>
      </c>
      <c r="AD289" t="s">
        <v>217</v>
      </c>
      <c r="AE289">
        <v>2.6</v>
      </c>
      <c r="AF289">
        <v>1.23</v>
      </c>
    </row>
    <row r="290" spans="1:32" x14ac:dyDescent="0.3">
      <c r="A290" t="s">
        <v>348</v>
      </c>
      <c r="B290" t="s">
        <v>45</v>
      </c>
      <c r="C290" t="s">
        <v>68</v>
      </c>
      <c r="D290" t="s">
        <v>309</v>
      </c>
      <c r="E290" t="s">
        <v>1207</v>
      </c>
      <c r="F290" s="15">
        <v>46225.333067129628</v>
      </c>
      <c r="G290" t="s">
        <v>413</v>
      </c>
      <c r="H290">
        <v>8</v>
      </c>
      <c r="I290" t="s">
        <v>1208</v>
      </c>
      <c r="J290" s="15">
        <v>46225.466446759259</v>
      </c>
      <c r="K290" s="15">
        <v>46227.5</v>
      </c>
      <c r="L290" s="15">
        <v>46227.5</v>
      </c>
      <c r="M290">
        <v>8</v>
      </c>
      <c r="O290" t="s">
        <v>201</v>
      </c>
      <c r="P290" t="s">
        <v>1956</v>
      </c>
      <c r="S290" t="s">
        <v>353</v>
      </c>
      <c r="T290" t="s">
        <v>368</v>
      </c>
      <c r="U290" t="s">
        <v>239</v>
      </c>
      <c r="V290" t="s">
        <v>348</v>
      </c>
      <c r="W290" t="s">
        <v>369</v>
      </c>
      <c r="X290" t="s">
        <v>239</v>
      </c>
      <c r="Y290">
        <v>103</v>
      </c>
      <c r="AA290" t="s">
        <v>67</v>
      </c>
      <c r="AB290" t="s">
        <v>353</v>
      </c>
      <c r="AC290">
        <v>2100</v>
      </c>
      <c r="AD290" t="s">
        <v>217</v>
      </c>
      <c r="AE290">
        <v>1</v>
      </c>
    </row>
    <row r="291" spans="1:32" x14ac:dyDescent="0.3">
      <c r="A291" t="s">
        <v>348</v>
      </c>
      <c r="B291" t="s">
        <v>45</v>
      </c>
      <c r="C291" t="s">
        <v>68</v>
      </c>
      <c r="D291" t="s">
        <v>309</v>
      </c>
      <c r="E291" t="s">
        <v>1209</v>
      </c>
      <c r="F291" s="15">
        <v>46223.488009259258</v>
      </c>
      <c r="G291" t="s">
        <v>398</v>
      </c>
      <c r="H291">
        <v>2</v>
      </c>
      <c r="I291" t="s">
        <v>1210</v>
      </c>
      <c r="J291" s="15">
        <v>46223.579861111109</v>
      </c>
      <c r="K291" s="15">
        <v>46231.451388888891</v>
      </c>
      <c r="L291" s="15">
        <v>46230.708333333336</v>
      </c>
      <c r="M291">
        <v>2</v>
      </c>
      <c r="O291" t="s">
        <v>201</v>
      </c>
      <c r="P291" t="s">
        <v>1956</v>
      </c>
      <c r="S291" t="s">
        <v>353</v>
      </c>
      <c r="T291" t="s">
        <v>368</v>
      </c>
      <c r="U291" t="s">
        <v>239</v>
      </c>
      <c r="V291" t="s">
        <v>348</v>
      </c>
      <c r="W291" t="s">
        <v>369</v>
      </c>
      <c r="X291" t="s">
        <v>239</v>
      </c>
      <c r="Y291">
        <v>103</v>
      </c>
      <c r="AA291" t="s">
        <v>67</v>
      </c>
      <c r="AB291" t="s">
        <v>353</v>
      </c>
      <c r="AC291">
        <v>2100</v>
      </c>
      <c r="AD291" t="s">
        <v>217</v>
      </c>
      <c r="AE291">
        <v>1</v>
      </c>
    </row>
    <row r="292" spans="1:32" x14ac:dyDescent="0.3">
      <c r="A292" t="s">
        <v>348</v>
      </c>
      <c r="B292" t="s">
        <v>45</v>
      </c>
      <c r="C292" t="s">
        <v>68</v>
      </c>
      <c r="D292" t="s">
        <v>309</v>
      </c>
      <c r="E292" t="s">
        <v>1211</v>
      </c>
      <c r="F292" s="15">
        <v>46223.487222222226</v>
      </c>
      <c r="G292" t="s">
        <v>398</v>
      </c>
      <c r="H292">
        <v>1</v>
      </c>
      <c r="I292" t="s">
        <v>1210</v>
      </c>
      <c r="J292" s="15">
        <v>46223.579861111109</v>
      </c>
      <c r="K292" s="15">
        <v>46231.451388888891</v>
      </c>
      <c r="L292" s="15">
        <v>46230.708333333336</v>
      </c>
      <c r="M292">
        <v>1</v>
      </c>
      <c r="O292" t="s">
        <v>201</v>
      </c>
      <c r="P292" t="s">
        <v>1956</v>
      </c>
      <c r="S292" t="s">
        <v>353</v>
      </c>
      <c r="T292" t="s">
        <v>368</v>
      </c>
      <c r="U292" t="s">
        <v>239</v>
      </c>
      <c r="V292" t="s">
        <v>348</v>
      </c>
      <c r="W292" t="s">
        <v>369</v>
      </c>
      <c r="X292" t="s">
        <v>239</v>
      </c>
      <c r="AA292" t="s">
        <v>67</v>
      </c>
      <c r="AB292" t="s">
        <v>353</v>
      </c>
      <c r="AC292">
        <v>2100</v>
      </c>
      <c r="AD292" t="s">
        <v>217</v>
      </c>
      <c r="AE292">
        <v>1</v>
      </c>
    </row>
    <row r="293" spans="1:32" x14ac:dyDescent="0.3">
      <c r="A293" t="s">
        <v>348</v>
      </c>
      <c r="B293" t="s">
        <v>45</v>
      </c>
      <c r="C293" t="s">
        <v>68</v>
      </c>
      <c r="D293" t="s">
        <v>309</v>
      </c>
      <c r="E293" t="s">
        <v>1212</v>
      </c>
      <c r="F293" s="15">
        <v>46225.339780092596</v>
      </c>
      <c r="G293" t="s">
        <v>402</v>
      </c>
      <c r="H293">
        <v>4</v>
      </c>
      <c r="I293" t="s">
        <v>1213</v>
      </c>
      <c r="J293" s="15">
        <v>46225.680555555555</v>
      </c>
      <c r="K293" s="15">
        <v>46227.5</v>
      </c>
      <c r="L293" s="15"/>
      <c r="M293">
        <v>4</v>
      </c>
      <c r="O293" t="s">
        <v>201</v>
      </c>
      <c r="P293" t="s">
        <v>1954</v>
      </c>
      <c r="S293" t="s">
        <v>353</v>
      </c>
      <c r="T293" t="s">
        <v>368</v>
      </c>
      <c r="U293" t="s">
        <v>239</v>
      </c>
      <c r="V293" t="s">
        <v>348</v>
      </c>
      <c r="W293" t="s">
        <v>369</v>
      </c>
      <c r="X293" t="s">
        <v>239</v>
      </c>
      <c r="AA293" t="s">
        <v>67</v>
      </c>
      <c r="AB293" t="s">
        <v>353</v>
      </c>
      <c r="AC293">
        <v>2100</v>
      </c>
      <c r="AD293" t="s">
        <v>217</v>
      </c>
      <c r="AE293">
        <v>1</v>
      </c>
    </row>
    <row r="294" spans="1:32" x14ac:dyDescent="0.3">
      <c r="A294" t="s">
        <v>348</v>
      </c>
      <c r="B294" t="s">
        <v>45</v>
      </c>
      <c r="C294" t="s">
        <v>68</v>
      </c>
      <c r="D294" t="s">
        <v>309</v>
      </c>
      <c r="E294" t="s">
        <v>1214</v>
      </c>
      <c r="F294" s="15">
        <v>46225.337905092594</v>
      </c>
      <c r="G294" t="s">
        <v>402</v>
      </c>
      <c r="H294">
        <v>2</v>
      </c>
      <c r="I294" t="s">
        <v>1213</v>
      </c>
      <c r="J294" s="15">
        <v>46225.680555555555</v>
      </c>
      <c r="K294" s="15">
        <v>46227.5</v>
      </c>
      <c r="L294" s="15"/>
      <c r="M294">
        <v>2</v>
      </c>
      <c r="O294" t="s">
        <v>201</v>
      </c>
      <c r="P294" t="s">
        <v>1954</v>
      </c>
      <c r="S294" t="s">
        <v>353</v>
      </c>
      <c r="T294" t="s">
        <v>368</v>
      </c>
      <c r="U294" t="s">
        <v>239</v>
      </c>
      <c r="V294" t="s">
        <v>348</v>
      </c>
      <c r="W294" t="s">
        <v>369</v>
      </c>
      <c r="X294" t="s">
        <v>239</v>
      </c>
      <c r="AA294" t="s">
        <v>67</v>
      </c>
      <c r="AB294" t="s">
        <v>353</v>
      </c>
      <c r="AC294">
        <v>2100</v>
      </c>
      <c r="AD294" t="s">
        <v>217</v>
      </c>
      <c r="AE294">
        <v>1</v>
      </c>
    </row>
    <row r="295" spans="1:32" x14ac:dyDescent="0.3">
      <c r="A295" t="s">
        <v>348</v>
      </c>
      <c r="B295" t="s">
        <v>45</v>
      </c>
      <c r="C295" t="s">
        <v>68</v>
      </c>
      <c r="D295" t="s">
        <v>309</v>
      </c>
      <c r="E295" t="s">
        <v>1215</v>
      </c>
      <c r="F295" s="15">
        <v>46225.337650462963</v>
      </c>
      <c r="G295" t="s">
        <v>402</v>
      </c>
      <c r="H295">
        <v>1</v>
      </c>
      <c r="I295" t="s">
        <v>1213</v>
      </c>
      <c r="J295" s="15">
        <v>46225.680555555555</v>
      </c>
      <c r="K295" s="15">
        <v>46227.5</v>
      </c>
      <c r="L295" s="15"/>
      <c r="M295">
        <v>1</v>
      </c>
      <c r="O295" t="s">
        <v>201</v>
      </c>
      <c r="P295" t="s">
        <v>1954</v>
      </c>
      <c r="S295" t="s">
        <v>353</v>
      </c>
      <c r="T295" t="s">
        <v>368</v>
      </c>
      <c r="U295" t="s">
        <v>239</v>
      </c>
      <c r="V295" t="s">
        <v>348</v>
      </c>
      <c r="W295" t="s">
        <v>369</v>
      </c>
      <c r="X295" t="s">
        <v>239</v>
      </c>
      <c r="AA295" t="s">
        <v>67</v>
      </c>
      <c r="AB295" t="s">
        <v>353</v>
      </c>
      <c r="AC295">
        <v>2100</v>
      </c>
      <c r="AD295" t="s">
        <v>217</v>
      </c>
      <c r="AE295">
        <v>1</v>
      </c>
    </row>
    <row r="296" spans="1:32" x14ac:dyDescent="0.3">
      <c r="A296" t="s">
        <v>348</v>
      </c>
      <c r="B296" t="s">
        <v>45</v>
      </c>
      <c r="C296" t="s">
        <v>68</v>
      </c>
      <c r="D296" t="s">
        <v>309</v>
      </c>
      <c r="E296" t="s">
        <v>1216</v>
      </c>
      <c r="F296" s="15">
        <v>46224.651469907411</v>
      </c>
      <c r="G296" t="s">
        <v>402</v>
      </c>
      <c r="H296">
        <v>16</v>
      </c>
      <c r="I296" t="s">
        <v>1217</v>
      </c>
      <c r="J296" s="15">
        <v>46225.65902777778</v>
      </c>
      <c r="K296" s="15">
        <v>46227.5</v>
      </c>
      <c r="L296" s="15">
        <v>46227</v>
      </c>
      <c r="M296">
        <v>16</v>
      </c>
      <c r="O296" t="s">
        <v>201</v>
      </c>
      <c r="P296" t="s">
        <v>1954</v>
      </c>
      <c r="S296" t="s">
        <v>353</v>
      </c>
      <c r="T296" t="s">
        <v>368</v>
      </c>
      <c r="U296" t="s">
        <v>239</v>
      </c>
      <c r="V296" t="s">
        <v>348</v>
      </c>
      <c r="W296" t="s">
        <v>369</v>
      </c>
      <c r="X296" t="s">
        <v>239</v>
      </c>
      <c r="AA296" t="s">
        <v>67</v>
      </c>
      <c r="AB296" t="s">
        <v>353</v>
      </c>
      <c r="AC296">
        <v>2100</v>
      </c>
      <c r="AD296" t="s">
        <v>217</v>
      </c>
      <c r="AE296">
        <v>1.6</v>
      </c>
    </row>
    <row r="297" spans="1:32" x14ac:dyDescent="0.3">
      <c r="A297" t="s">
        <v>348</v>
      </c>
      <c r="B297" t="s">
        <v>45</v>
      </c>
      <c r="C297" t="s">
        <v>68</v>
      </c>
      <c r="D297" t="s">
        <v>309</v>
      </c>
      <c r="E297" t="s">
        <v>1218</v>
      </c>
      <c r="F297" s="15">
        <v>46224.65053240741</v>
      </c>
      <c r="G297" t="s">
        <v>402</v>
      </c>
      <c r="H297">
        <v>6</v>
      </c>
      <c r="I297" t="s">
        <v>1217</v>
      </c>
      <c r="J297" s="15">
        <v>46225.65902777778</v>
      </c>
      <c r="K297" s="15">
        <v>46227.5</v>
      </c>
      <c r="L297" s="15">
        <v>46227</v>
      </c>
      <c r="M297">
        <v>6</v>
      </c>
      <c r="O297" t="s">
        <v>201</v>
      </c>
      <c r="P297" t="s">
        <v>1954</v>
      </c>
      <c r="S297" t="s">
        <v>353</v>
      </c>
      <c r="T297" t="s">
        <v>368</v>
      </c>
      <c r="U297" t="s">
        <v>239</v>
      </c>
      <c r="V297" t="s">
        <v>348</v>
      </c>
      <c r="W297" t="s">
        <v>369</v>
      </c>
      <c r="X297" t="s">
        <v>239</v>
      </c>
      <c r="AA297" t="s">
        <v>67</v>
      </c>
      <c r="AB297" t="s">
        <v>353</v>
      </c>
      <c r="AC297">
        <v>2100</v>
      </c>
      <c r="AD297" t="s">
        <v>217</v>
      </c>
      <c r="AE297">
        <v>1</v>
      </c>
    </row>
    <row r="298" spans="1:32" x14ac:dyDescent="0.3">
      <c r="A298" t="s">
        <v>348</v>
      </c>
      <c r="B298" t="s">
        <v>45</v>
      </c>
      <c r="C298" t="s">
        <v>68</v>
      </c>
      <c r="D298" t="s">
        <v>309</v>
      </c>
      <c r="E298" t="s">
        <v>1219</v>
      </c>
      <c r="F298" s="15">
        <v>46225.340196759258</v>
      </c>
      <c r="G298" t="s">
        <v>402</v>
      </c>
      <c r="H298">
        <v>3</v>
      </c>
      <c r="I298" t="s">
        <v>1213</v>
      </c>
      <c r="J298" s="15">
        <v>46225.680555555555</v>
      </c>
      <c r="K298" s="15">
        <v>46227.5</v>
      </c>
      <c r="L298" s="15"/>
      <c r="M298">
        <v>3</v>
      </c>
      <c r="O298" t="s">
        <v>201</v>
      </c>
      <c r="P298" t="s">
        <v>1954</v>
      </c>
      <c r="S298" t="s">
        <v>353</v>
      </c>
      <c r="T298" t="s">
        <v>368</v>
      </c>
      <c r="U298" t="s">
        <v>239</v>
      </c>
      <c r="V298" t="s">
        <v>348</v>
      </c>
      <c r="W298" t="s">
        <v>369</v>
      </c>
      <c r="X298" t="s">
        <v>239</v>
      </c>
      <c r="AA298" t="s">
        <v>67</v>
      </c>
      <c r="AB298" t="s">
        <v>353</v>
      </c>
      <c r="AC298">
        <v>2100</v>
      </c>
      <c r="AD298" t="s">
        <v>217</v>
      </c>
      <c r="AE298">
        <v>1</v>
      </c>
    </row>
    <row r="299" spans="1:32" x14ac:dyDescent="0.3">
      <c r="A299" t="s">
        <v>348</v>
      </c>
      <c r="B299" t="s">
        <v>45</v>
      </c>
      <c r="C299" t="s">
        <v>68</v>
      </c>
      <c r="D299" t="s">
        <v>309</v>
      </c>
      <c r="E299" t="s">
        <v>1220</v>
      </c>
      <c r="F299" s="15">
        <v>46225.340752314813</v>
      </c>
      <c r="G299" t="s">
        <v>402</v>
      </c>
      <c r="H299">
        <v>3</v>
      </c>
      <c r="I299" t="s">
        <v>1213</v>
      </c>
      <c r="J299" s="15">
        <v>46225.680555555555</v>
      </c>
      <c r="K299" s="15">
        <v>46227.5</v>
      </c>
      <c r="L299" s="15"/>
      <c r="M299">
        <v>3</v>
      </c>
      <c r="O299" t="s">
        <v>201</v>
      </c>
      <c r="P299" t="s">
        <v>1954</v>
      </c>
      <c r="S299" t="s">
        <v>353</v>
      </c>
      <c r="T299" t="s">
        <v>368</v>
      </c>
      <c r="U299" t="s">
        <v>239</v>
      </c>
      <c r="V299" t="s">
        <v>348</v>
      </c>
      <c r="W299" t="s">
        <v>369</v>
      </c>
      <c r="X299" t="s">
        <v>239</v>
      </c>
      <c r="AA299" t="s">
        <v>67</v>
      </c>
      <c r="AB299" t="s">
        <v>353</v>
      </c>
      <c r="AC299">
        <v>2100</v>
      </c>
      <c r="AD299" t="s">
        <v>217</v>
      </c>
      <c r="AE299">
        <v>1</v>
      </c>
    </row>
    <row r="300" spans="1:32" x14ac:dyDescent="0.3">
      <c r="A300" t="s">
        <v>348</v>
      </c>
      <c r="B300" t="s">
        <v>63</v>
      </c>
      <c r="C300" t="s">
        <v>95</v>
      </c>
      <c r="D300" t="s">
        <v>309</v>
      </c>
      <c r="E300" t="s">
        <v>1221</v>
      </c>
      <c r="F300" s="15">
        <v>46230.561921296299</v>
      </c>
      <c r="G300" t="s">
        <v>399</v>
      </c>
      <c r="H300">
        <v>1</v>
      </c>
      <c r="I300" t="s">
        <v>1222</v>
      </c>
      <c r="J300" s="15">
        <v>46231.383333333331</v>
      </c>
      <c r="K300" s="15">
        <v>46237.474999999999</v>
      </c>
      <c r="L300" s="15"/>
      <c r="M300">
        <v>1</v>
      </c>
      <c r="O300" t="s">
        <v>201</v>
      </c>
      <c r="P300" t="s">
        <v>1954</v>
      </c>
      <c r="S300" t="s">
        <v>353</v>
      </c>
      <c r="T300" t="s">
        <v>368</v>
      </c>
      <c r="U300" t="s">
        <v>239</v>
      </c>
      <c r="V300" t="s">
        <v>7</v>
      </c>
      <c r="W300" t="s">
        <v>7</v>
      </c>
      <c r="X300" t="s">
        <v>7</v>
      </c>
      <c r="AA300" t="s">
        <v>96</v>
      </c>
      <c r="AB300" t="s">
        <v>353</v>
      </c>
      <c r="AC300">
        <v>2100</v>
      </c>
      <c r="AD300" t="s">
        <v>225</v>
      </c>
      <c r="AE300">
        <v>1</v>
      </c>
      <c r="AF300">
        <v>1</v>
      </c>
    </row>
    <row r="301" spans="1:32" x14ac:dyDescent="0.3">
      <c r="A301" t="s">
        <v>348</v>
      </c>
      <c r="B301" t="s">
        <v>57</v>
      </c>
      <c r="C301" t="s">
        <v>117</v>
      </c>
      <c r="D301" t="s">
        <v>309</v>
      </c>
      <c r="E301" t="s">
        <v>1221</v>
      </c>
      <c r="F301" s="15">
        <v>46230.561921296299</v>
      </c>
      <c r="G301" t="s">
        <v>399</v>
      </c>
      <c r="H301">
        <v>1</v>
      </c>
      <c r="I301" t="s">
        <v>1222</v>
      </c>
      <c r="J301" s="15">
        <v>46231.383333333331</v>
      </c>
      <c r="K301" s="15">
        <v>46237.474999999999</v>
      </c>
      <c r="L301" s="15"/>
      <c r="M301">
        <v>1</v>
      </c>
      <c r="O301" t="s">
        <v>201</v>
      </c>
      <c r="P301" t="s">
        <v>1954</v>
      </c>
      <c r="S301" t="s">
        <v>353</v>
      </c>
      <c r="T301" t="s">
        <v>368</v>
      </c>
      <c r="U301" t="s">
        <v>239</v>
      </c>
      <c r="V301" t="s">
        <v>7</v>
      </c>
      <c r="W301" t="s">
        <v>7</v>
      </c>
      <c r="X301" t="s">
        <v>7</v>
      </c>
      <c r="AA301" t="s">
        <v>127</v>
      </c>
      <c r="AB301" t="s">
        <v>353</v>
      </c>
      <c r="AC301">
        <v>2100</v>
      </c>
      <c r="AD301" t="s">
        <v>233</v>
      </c>
      <c r="AE301">
        <v>1</v>
      </c>
      <c r="AF301">
        <v>1</v>
      </c>
    </row>
    <row r="302" spans="1:32" x14ac:dyDescent="0.3">
      <c r="A302" t="s">
        <v>348</v>
      </c>
      <c r="B302" t="s">
        <v>279</v>
      </c>
      <c r="C302" t="s">
        <v>192</v>
      </c>
      <c r="D302" t="s">
        <v>309</v>
      </c>
      <c r="E302" t="s">
        <v>1221</v>
      </c>
      <c r="F302" s="15">
        <v>46230.561921296299</v>
      </c>
      <c r="G302" t="s">
        <v>399</v>
      </c>
      <c r="H302">
        <v>245</v>
      </c>
      <c r="I302" t="s">
        <v>1222</v>
      </c>
      <c r="J302" s="15">
        <v>46231.383333333331</v>
      </c>
      <c r="K302" s="15">
        <v>46237.474999999999</v>
      </c>
      <c r="L302" s="15"/>
      <c r="M302">
        <v>245</v>
      </c>
      <c r="O302" t="s">
        <v>201</v>
      </c>
      <c r="P302" t="s">
        <v>1956</v>
      </c>
      <c r="S302" t="s">
        <v>353</v>
      </c>
      <c r="T302" t="s">
        <v>368</v>
      </c>
      <c r="U302" t="s">
        <v>239</v>
      </c>
      <c r="V302" t="s">
        <v>7</v>
      </c>
      <c r="W302" t="s">
        <v>7</v>
      </c>
      <c r="X302" t="s">
        <v>7</v>
      </c>
      <c r="Z302">
        <v>1</v>
      </c>
      <c r="AA302" t="s">
        <v>122</v>
      </c>
      <c r="AB302" t="s">
        <v>353</v>
      </c>
      <c r="AC302">
        <v>2100</v>
      </c>
      <c r="AD302" t="s">
        <v>232</v>
      </c>
      <c r="AE302">
        <v>245</v>
      </c>
      <c r="AF302">
        <v>24.5</v>
      </c>
    </row>
    <row r="303" spans="1:32" x14ac:dyDescent="0.3">
      <c r="A303" t="s">
        <v>348</v>
      </c>
      <c r="B303" t="s">
        <v>45</v>
      </c>
      <c r="C303" t="s">
        <v>68</v>
      </c>
      <c r="D303" t="s">
        <v>309</v>
      </c>
      <c r="E303" t="s">
        <v>1223</v>
      </c>
      <c r="F303" s="15">
        <v>46230.441238425927</v>
      </c>
      <c r="G303" t="s">
        <v>398</v>
      </c>
      <c r="H303">
        <v>3</v>
      </c>
      <c r="I303" t="s">
        <v>1224</v>
      </c>
      <c r="J303" s="15">
        <v>46230.705555555556</v>
      </c>
      <c r="K303" s="15">
        <v>46231.431944444441</v>
      </c>
      <c r="L303" s="15"/>
      <c r="M303">
        <v>3</v>
      </c>
      <c r="O303" t="s">
        <v>201</v>
      </c>
      <c r="P303" t="s">
        <v>1954</v>
      </c>
      <c r="S303" t="s">
        <v>353</v>
      </c>
      <c r="T303" t="s">
        <v>368</v>
      </c>
      <c r="U303" t="s">
        <v>239</v>
      </c>
      <c r="V303" t="s">
        <v>348</v>
      </c>
      <c r="W303" t="s">
        <v>369</v>
      </c>
      <c r="X303" t="s">
        <v>239</v>
      </c>
      <c r="Y303">
        <v>103</v>
      </c>
      <c r="AA303" t="s">
        <v>67</v>
      </c>
      <c r="AB303" t="s">
        <v>353</v>
      </c>
      <c r="AC303">
        <v>2100</v>
      </c>
      <c r="AD303" t="s">
        <v>217</v>
      </c>
      <c r="AE303">
        <v>1</v>
      </c>
    </row>
    <row r="304" spans="1:32" x14ac:dyDescent="0.3">
      <c r="A304" t="s">
        <v>348</v>
      </c>
      <c r="B304" t="s">
        <v>45</v>
      </c>
      <c r="C304" t="s">
        <v>68</v>
      </c>
      <c r="D304" t="s">
        <v>309</v>
      </c>
      <c r="E304" t="s">
        <v>1225</v>
      </c>
      <c r="F304" s="15">
        <v>46230.439814814818</v>
      </c>
      <c r="G304" t="s">
        <v>398</v>
      </c>
      <c r="H304">
        <v>4</v>
      </c>
      <c r="I304" t="s">
        <v>1224</v>
      </c>
      <c r="J304" s="15">
        <v>46230.705555555556</v>
      </c>
      <c r="K304" s="15">
        <v>46231.431944444441</v>
      </c>
      <c r="L304" s="15"/>
      <c r="M304">
        <v>4</v>
      </c>
      <c r="O304" t="s">
        <v>201</v>
      </c>
      <c r="P304" t="s">
        <v>1954</v>
      </c>
      <c r="S304" t="s">
        <v>353</v>
      </c>
      <c r="T304" t="s">
        <v>368</v>
      </c>
      <c r="U304" t="s">
        <v>239</v>
      </c>
      <c r="V304" t="s">
        <v>348</v>
      </c>
      <c r="W304" t="s">
        <v>369</v>
      </c>
      <c r="X304" t="s">
        <v>239</v>
      </c>
      <c r="AA304" t="s">
        <v>67</v>
      </c>
      <c r="AB304" t="s">
        <v>353</v>
      </c>
      <c r="AC304">
        <v>2100</v>
      </c>
      <c r="AD304" t="s">
        <v>217</v>
      </c>
      <c r="AE304">
        <v>1</v>
      </c>
    </row>
    <row r="305" spans="1:32" x14ac:dyDescent="0.3">
      <c r="A305" t="s">
        <v>348</v>
      </c>
      <c r="B305" t="s">
        <v>43</v>
      </c>
      <c r="C305" t="s">
        <v>105</v>
      </c>
      <c r="D305" t="s">
        <v>309</v>
      </c>
      <c r="E305" t="s">
        <v>1226</v>
      </c>
      <c r="F305" s="15">
        <v>46226.43414351852</v>
      </c>
      <c r="G305" t="s">
        <v>1227</v>
      </c>
      <c r="H305">
        <v>1</v>
      </c>
      <c r="I305" t="s">
        <v>1228</v>
      </c>
      <c r="J305" s="15">
        <v>46226.474999999999</v>
      </c>
      <c r="K305" s="15">
        <v>46231.455555555556</v>
      </c>
      <c r="L305" s="15"/>
      <c r="M305">
        <v>1</v>
      </c>
      <c r="O305" t="s">
        <v>201</v>
      </c>
      <c r="P305" t="s">
        <v>1956</v>
      </c>
      <c r="S305" t="s">
        <v>353</v>
      </c>
      <c r="T305" t="s">
        <v>368</v>
      </c>
      <c r="U305" t="s">
        <v>239</v>
      </c>
      <c r="V305" t="s">
        <v>348</v>
      </c>
      <c r="W305" t="s">
        <v>369</v>
      </c>
      <c r="X305" t="s">
        <v>239</v>
      </c>
      <c r="AA305" t="s">
        <v>67</v>
      </c>
      <c r="AB305" t="s">
        <v>353</v>
      </c>
      <c r="AC305">
        <v>2100</v>
      </c>
      <c r="AD305" t="s">
        <v>217</v>
      </c>
      <c r="AE305">
        <v>1</v>
      </c>
    </row>
    <row r="306" spans="1:32" x14ac:dyDescent="0.3">
      <c r="A306" t="s">
        <v>348</v>
      </c>
      <c r="B306" t="s">
        <v>45</v>
      </c>
      <c r="C306" t="s">
        <v>68</v>
      </c>
      <c r="D306" t="s">
        <v>309</v>
      </c>
      <c r="E306" t="s">
        <v>1229</v>
      </c>
      <c r="F306" s="15">
        <v>46225.341481481482</v>
      </c>
      <c r="G306" t="s">
        <v>402</v>
      </c>
      <c r="H306">
        <v>11</v>
      </c>
      <c r="I306" t="s">
        <v>1213</v>
      </c>
      <c r="J306" s="15">
        <v>46225.680555555555</v>
      </c>
      <c r="K306" s="15">
        <v>46227.5</v>
      </c>
      <c r="L306" s="15"/>
      <c r="M306">
        <v>11</v>
      </c>
      <c r="O306" t="s">
        <v>201</v>
      </c>
      <c r="P306" t="s">
        <v>1954</v>
      </c>
      <c r="S306" t="s">
        <v>353</v>
      </c>
      <c r="T306" t="s">
        <v>368</v>
      </c>
      <c r="U306" t="s">
        <v>239</v>
      </c>
      <c r="V306" t="s">
        <v>348</v>
      </c>
      <c r="W306" t="s">
        <v>369</v>
      </c>
      <c r="X306" t="s">
        <v>239</v>
      </c>
      <c r="AA306" t="s">
        <v>67</v>
      </c>
      <c r="AB306" t="s">
        <v>353</v>
      </c>
      <c r="AC306">
        <v>2100</v>
      </c>
      <c r="AD306" t="s">
        <v>217</v>
      </c>
      <c r="AE306">
        <v>1.1000000000000001</v>
      </c>
    </row>
    <row r="307" spans="1:32" x14ac:dyDescent="0.3">
      <c r="A307" t="s">
        <v>348</v>
      </c>
      <c r="B307" t="s">
        <v>45</v>
      </c>
      <c r="C307" t="s">
        <v>68</v>
      </c>
      <c r="D307" t="s">
        <v>309</v>
      </c>
      <c r="E307" t="s">
        <v>1230</v>
      </c>
      <c r="F307" s="15">
        <v>46244.522743055553</v>
      </c>
      <c r="G307" t="s">
        <v>408</v>
      </c>
      <c r="H307">
        <v>6</v>
      </c>
      <c r="I307" t="s">
        <v>1231</v>
      </c>
      <c r="J307" s="15">
        <v>46244.706250000003</v>
      </c>
      <c r="K307" s="15">
        <v>46247.409722222219</v>
      </c>
      <c r="L307" s="15"/>
      <c r="M307">
        <v>6</v>
      </c>
      <c r="O307" t="s">
        <v>201</v>
      </c>
      <c r="P307" t="s">
        <v>1956</v>
      </c>
      <c r="S307" t="s">
        <v>358</v>
      </c>
      <c r="T307" t="s">
        <v>370</v>
      </c>
      <c r="U307" t="s">
        <v>239</v>
      </c>
      <c r="V307" t="s">
        <v>348</v>
      </c>
      <c r="W307" t="s">
        <v>369</v>
      </c>
      <c r="X307" t="s">
        <v>239</v>
      </c>
      <c r="Y307">
        <v>0</v>
      </c>
      <c r="AA307" t="s">
        <v>67</v>
      </c>
      <c r="AB307" t="s">
        <v>358</v>
      </c>
      <c r="AC307">
        <v>1050</v>
      </c>
      <c r="AD307" t="s">
        <v>217</v>
      </c>
      <c r="AE307">
        <v>1</v>
      </c>
      <c r="AF307">
        <v>1</v>
      </c>
    </row>
    <row r="308" spans="1:32" x14ac:dyDescent="0.3">
      <c r="A308" t="s">
        <v>348</v>
      </c>
      <c r="B308" t="s">
        <v>51</v>
      </c>
      <c r="C308" t="s">
        <v>258</v>
      </c>
      <c r="D308" t="s">
        <v>309</v>
      </c>
      <c r="E308" t="s">
        <v>1232</v>
      </c>
      <c r="F308" s="15">
        <v>46247.655405092592</v>
      </c>
      <c r="G308" t="s">
        <v>408</v>
      </c>
      <c r="H308">
        <v>120</v>
      </c>
      <c r="I308" t="s">
        <v>1233</v>
      </c>
      <c r="J308" s="15">
        <v>46247.70208333333</v>
      </c>
      <c r="K308" s="15">
        <v>46253.604166666664</v>
      </c>
      <c r="L308" s="15"/>
      <c r="M308">
        <v>120</v>
      </c>
      <c r="O308" t="s">
        <v>201</v>
      </c>
      <c r="P308" t="s">
        <v>1956</v>
      </c>
      <c r="S308" t="s">
        <v>358</v>
      </c>
      <c r="T308" t="s">
        <v>370</v>
      </c>
      <c r="U308" t="s">
        <v>239</v>
      </c>
      <c r="V308" t="s">
        <v>7</v>
      </c>
      <c r="W308" t="s">
        <v>7</v>
      </c>
      <c r="X308" t="s">
        <v>7</v>
      </c>
      <c r="AA308" t="s">
        <v>238</v>
      </c>
      <c r="AB308" t="s">
        <v>358</v>
      </c>
      <c r="AC308">
        <v>1050</v>
      </c>
      <c r="AD308" t="s">
        <v>7</v>
      </c>
      <c r="AF308">
        <v>0</v>
      </c>
    </row>
    <row r="309" spans="1:32" x14ac:dyDescent="0.3">
      <c r="A309" t="s">
        <v>348</v>
      </c>
      <c r="B309" t="s">
        <v>45</v>
      </c>
      <c r="C309" t="s">
        <v>68</v>
      </c>
      <c r="D309" t="s">
        <v>309</v>
      </c>
      <c r="E309" t="s">
        <v>1234</v>
      </c>
      <c r="F309" s="15">
        <v>46252.385625000003</v>
      </c>
      <c r="G309" t="s">
        <v>404</v>
      </c>
      <c r="H309">
        <v>45</v>
      </c>
      <c r="I309" t="s">
        <v>1235</v>
      </c>
      <c r="J309" s="15">
        <v>46252.684027777781</v>
      </c>
      <c r="K309" s="15">
        <v>46254.560416666667</v>
      </c>
      <c r="L309" s="15"/>
      <c r="M309">
        <v>45</v>
      </c>
      <c r="O309" t="s">
        <v>201</v>
      </c>
      <c r="P309" t="s">
        <v>1956</v>
      </c>
      <c r="S309" t="s">
        <v>358</v>
      </c>
      <c r="T309" t="s">
        <v>370</v>
      </c>
      <c r="U309" t="s">
        <v>239</v>
      </c>
      <c r="V309" t="s">
        <v>348</v>
      </c>
      <c r="W309" t="s">
        <v>369</v>
      </c>
      <c r="X309" t="s">
        <v>239</v>
      </c>
      <c r="Y309">
        <v>0</v>
      </c>
      <c r="AA309" t="s">
        <v>67</v>
      </c>
      <c r="AB309" t="s">
        <v>358</v>
      </c>
      <c r="AC309">
        <v>1050</v>
      </c>
      <c r="AD309" t="s">
        <v>217</v>
      </c>
      <c r="AE309">
        <v>4.5</v>
      </c>
      <c r="AF309">
        <v>1</v>
      </c>
    </row>
    <row r="310" spans="1:32" x14ac:dyDescent="0.3">
      <c r="A310" t="s">
        <v>348</v>
      </c>
      <c r="B310" t="s">
        <v>45</v>
      </c>
      <c r="C310" t="s">
        <v>68</v>
      </c>
      <c r="D310" t="s">
        <v>309</v>
      </c>
      <c r="E310" t="s">
        <v>1236</v>
      </c>
      <c r="F310" s="15">
        <v>46251.574641203704</v>
      </c>
      <c r="G310" t="s">
        <v>408</v>
      </c>
      <c r="H310">
        <v>15</v>
      </c>
      <c r="I310" t="s">
        <v>1237</v>
      </c>
      <c r="J310" s="15">
        <v>46252.347222222219</v>
      </c>
      <c r="K310" s="15">
        <v>46253.486111111109</v>
      </c>
      <c r="L310" s="15"/>
      <c r="M310">
        <v>15</v>
      </c>
      <c r="O310" t="s">
        <v>201</v>
      </c>
      <c r="P310" t="s">
        <v>1956</v>
      </c>
      <c r="S310" t="s">
        <v>358</v>
      </c>
      <c r="T310" t="s">
        <v>370</v>
      </c>
      <c r="U310" t="s">
        <v>239</v>
      </c>
      <c r="V310" t="s">
        <v>348</v>
      </c>
      <c r="W310" t="s">
        <v>369</v>
      </c>
      <c r="X310" t="s">
        <v>239</v>
      </c>
      <c r="AA310" t="s">
        <v>67</v>
      </c>
      <c r="AB310" t="s">
        <v>358</v>
      </c>
      <c r="AC310">
        <v>1050</v>
      </c>
      <c r="AD310" t="s">
        <v>217</v>
      </c>
      <c r="AE310">
        <v>1.5</v>
      </c>
      <c r="AF310">
        <v>1</v>
      </c>
    </row>
    <row r="311" spans="1:32" x14ac:dyDescent="0.3">
      <c r="A311" t="s">
        <v>348</v>
      </c>
      <c r="B311" t="s">
        <v>45</v>
      </c>
      <c r="C311" t="s">
        <v>68</v>
      </c>
      <c r="D311" t="s">
        <v>309</v>
      </c>
      <c r="E311" t="s">
        <v>1238</v>
      </c>
      <c r="F311" s="15">
        <v>46224.403738425928</v>
      </c>
      <c r="G311" t="s">
        <v>404</v>
      </c>
      <c r="H311">
        <v>50</v>
      </c>
      <c r="I311" t="s">
        <v>1239</v>
      </c>
      <c r="J311" s="15">
        <v>46224.678472222222</v>
      </c>
      <c r="K311" s="15">
        <v>46227.503472222219</v>
      </c>
      <c r="L311" s="15"/>
      <c r="M311">
        <v>50</v>
      </c>
      <c r="O311" t="s">
        <v>201</v>
      </c>
      <c r="P311" t="s">
        <v>1956</v>
      </c>
      <c r="S311" t="s">
        <v>358</v>
      </c>
      <c r="T311" t="s">
        <v>370</v>
      </c>
      <c r="U311" t="s">
        <v>239</v>
      </c>
      <c r="V311" t="s">
        <v>348</v>
      </c>
      <c r="W311" t="s">
        <v>369</v>
      </c>
      <c r="X311" t="s">
        <v>239</v>
      </c>
      <c r="Y311">
        <v>0</v>
      </c>
      <c r="AA311" t="s">
        <v>67</v>
      </c>
      <c r="AB311" t="s">
        <v>358</v>
      </c>
      <c r="AC311">
        <v>1050</v>
      </c>
      <c r="AD311" t="s">
        <v>217</v>
      </c>
      <c r="AE311">
        <v>5</v>
      </c>
      <c r="AF311">
        <v>1</v>
      </c>
    </row>
    <row r="312" spans="1:32" x14ac:dyDescent="0.3">
      <c r="A312" t="s">
        <v>348</v>
      </c>
      <c r="B312" t="s">
        <v>45</v>
      </c>
      <c r="C312" t="s">
        <v>68</v>
      </c>
      <c r="D312" t="s">
        <v>309</v>
      </c>
      <c r="E312" t="s">
        <v>1240</v>
      </c>
      <c r="F312" s="15">
        <v>46230.325821759259</v>
      </c>
      <c r="G312" t="s">
        <v>408</v>
      </c>
      <c r="H312">
        <v>22</v>
      </c>
      <c r="I312" t="s">
        <v>1241</v>
      </c>
      <c r="J312" s="15">
        <v>46230.419444444444</v>
      </c>
      <c r="K312" s="15">
        <v>46232.520833333336</v>
      </c>
      <c r="L312" s="15"/>
      <c r="M312">
        <v>22</v>
      </c>
      <c r="O312" t="s">
        <v>201</v>
      </c>
      <c r="P312" t="s">
        <v>1956</v>
      </c>
      <c r="S312" t="s">
        <v>358</v>
      </c>
      <c r="T312" t="s">
        <v>370</v>
      </c>
      <c r="U312" t="s">
        <v>239</v>
      </c>
      <c r="V312" t="s">
        <v>348</v>
      </c>
      <c r="W312" t="s">
        <v>369</v>
      </c>
      <c r="X312" t="s">
        <v>239</v>
      </c>
      <c r="Y312">
        <v>0</v>
      </c>
      <c r="AA312" t="s">
        <v>67</v>
      </c>
      <c r="AB312" t="s">
        <v>358</v>
      </c>
      <c r="AC312">
        <v>1050</v>
      </c>
      <c r="AD312" t="s">
        <v>217</v>
      </c>
      <c r="AE312">
        <v>2.2000000000000002</v>
      </c>
      <c r="AF312">
        <v>1</v>
      </c>
    </row>
    <row r="313" spans="1:32" x14ac:dyDescent="0.3">
      <c r="A313" t="s">
        <v>348</v>
      </c>
      <c r="B313" t="s">
        <v>48</v>
      </c>
      <c r="C313" t="s">
        <v>68</v>
      </c>
      <c r="D313" t="s">
        <v>309</v>
      </c>
      <c r="E313" t="s">
        <v>1242</v>
      </c>
      <c r="F313" s="15">
        <v>46226.544976851852</v>
      </c>
      <c r="G313" t="s">
        <v>404</v>
      </c>
      <c r="H313">
        <v>1</v>
      </c>
      <c r="I313" t="s">
        <v>1243</v>
      </c>
      <c r="J313" s="15">
        <v>46227.467361111114</v>
      </c>
      <c r="K313" s="15">
        <v>46230.449305555558</v>
      </c>
      <c r="L313" s="15"/>
      <c r="M313">
        <v>1</v>
      </c>
      <c r="O313" t="s">
        <v>201</v>
      </c>
      <c r="P313" t="s">
        <v>1954</v>
      </c>
      <c r="S313" t="s">
        <v>358</v>
      </c>
      <c r="T313" t="s">
        <v>370</v>
      </c>
      <c r="U313" t="s">
        <v>239</v>
      </c>
      <c r="V313" t="s">
        <v>348</v>
      </c>
      <c r="W313" t="s">
        <v>369</v>
      </c>
      <c r="X313" t="s">
        <v>239</v>
      </c>
      <c r="Y313">
        <v>0</v>
      </c>
      <c r="AA313" t="s">
        <v>90</v>
      </c>
      <c r="AB313" t="s">
        <v>358</v>
      </c>
      <c r="AC313">
        <v>1050</v>
      </c>
      <c r="AD313" t="s">
        <v>217</v>
      </c>
      <c r="AE313">
        <v>1</v>
      </c>
      <c r="AF313">
        <v>1</v>
      </c>
    </row>
    <row r="314" spans="1:32" x14ac:dyDescent="0.3">
      <c r="A314" t="s">
        <v>348</v>
      </c>
      <c r="B314" t="s">
        <v>45</v>
      </c>
      <c r="C314" t="s">
        <v>68</v>
      </c>
      <c r="D314" t="s">
        <v>309</v>
      </c>
      <c r="E314" t="s">
        <v>1299</v>
      </c>
      <c r="F314" s="15">
        <v>46224.647638888891</v>
      </c>
      <c r="G314" t="s">
        <v>1300</v>
      </c>
      <c r="H314">
        <v>1</v>
      </c>
      <c r="I314" t="s">
        <v>1301</v>
      </c>
      <c r="J314" s="15">
        <v>46225.434756944444</v>
      </c>
      <c r="K314" s="15">
        <v>46226.447916666664</v>
      </c>
      <c r="L314" s="15"/>
      <c r="M314">
        <v>1</v>
      </c>
      <c r="O314" t="s">
        <v>201</v>
      </c>
      <c r="P314" t="s">
        <v>1954</v>
      </c>
      <c r="S314" t="s">
        <v>1302</v>
      </c>
      <c r="T314" t="s">
        <v>1303</v>
      </c>
      <c r="U314" t="s">
        <v>287</v>
      </c>
      <c r="V314" t="s">
        <v>348</v>
      </c>
      <c r="W314" t="s">
        <v>369</v>
      </c>
      <c r="X314" t="s">
        <v>239</v>
      </c>
      <c r="Y314">
        <v>76</v>
      </c>
      <c r="AA314" t="s">
        <v>67</v>
      </c>
      <c r="AB314" t="s">
        <v>1302</v>
      </c>
      <c r="AD314" t="s">
        <v>217</v>
      </c>
      <c r="AE314">
        <v>1</v>
      </c>
      <c r="AF314">
        <v>1</v>
      </c>
    </row>
    <row r="315" spans="1:32" x14ac:dyDescent="0.3">
      <c r="A315" t="s">
        <v>348</v>
      </c>
      <c r="B315" t="s">
        <v>63</v>
      </c>
      <c r="C315" t="s">
        <v>95</v>
      </c>
      <c r="D315" t="s">
        <v>309</v>
      </c>
      <c r="E315" t="s">
        <v>1304</v>
      </c>
      <c r="F315" s="15">
        <v>46241.647488425922</v>
      </c>
      <c r="G315" t="s">
        <v>399</v>
      </c>
      <c r="H315">
        <v>1</v>
      </c>
      <c r="I315" t="s">
        <v>1305</v>
      </c>
      <c r="J315" s="15">
        <v>46244.369074074071</v>
      </c>
      <c r="K315" s="15">
        <v>46247.349988425929</v>
      </c>
      <c r="L315" s="15"/>
      <c r="M315">
        <v>1</v>
      </c>
      <c r="O315" t="s">
        <v>201</v>
      </c>
      <c r="P315" t="s">
        <v>1954</v>
      </c>
      <c r="S315" t="s">
        <v>353</v>
      </c>
      <c r="T315" t="s">
        <v>368</v>
      </c>
      <c r="U315" t="s">
        <v>239</v>
      </c>
      <c r="V315" t="s">
        <v>7</v>
      </c>
      <c r="W315" t="s">
        <v>7</v>
      </c>
      <c r="X315" t="s">
        <v>7</v>
      </c>
      <c r="AA315" t="s">
        <v>96</v>
      </c>
      <c r="AB315" t="s">
        <v>353</v>
      </c>
      <c r="AC315">
        <v>2100</v>
      </c>
      <c r="AD315" t="s">
        <v>225</v>
      </c>
      <c r="AE315">
        <v>1</v>
      </c>
      <c r="AF315">
        <v>1</v>
      </c>
    </row>
    <row r="316" spans="1:32" x14ac:dyDescent="0.3">
      <c r="A316" t="s">
        <v>348</v>
      </c>
      <c r="B316" t="s">
        <v>57</v>
      </c>
      <c r="C316" t="s">
        <v>117</v>
      </c>
      <c r="D316" t="s">
        <v>309</v>
      </c>
      <c r="E316" t="s">
        <v>1304</v>
      </c>
      <c r="F316" s="15">
        <v>46241.647488425922</v>
      </c>
      <c r="G316" t="s">
        <v>399</v>
      </c>
      <c r="H316">
        <v>1</v>
      </c>
      <c r="I316" t="s">
        <v>1305</v>
      </c>
      <c r="J316" s="15">
        <v>46244.369074074071</v>
      </c>
      <c r="K316" s="15">
        <v>46247.349988425929</v>
      </c>
      <c r="L316" s="15"/>
      <c r="M316">
        <v>1</v>
      </c>
      <c r="O316" t="s">
        <v>201</v>
      </c>
      <c r="P316" t="s">
        <v>1954</v>
      </c>
      <c r="S316" t="s">
        <v>353</v>
      </c>
      <c r="T316" t="s">
        <v>368</v>
      </c>
      <c r="U316" t="s">
        <v>239</v>
      </c>
      <c r="V316" t="s">
        <v>7</v>
      </c>
      <c r="W316" t="s">
        <v>7</v>
      </c>
      <c r="X316" t="s">
        <v>7</v>
      </c>
      <c r="AA316" t="s">
        <v>127</v>
      </c>
      <c r="AB316" t="s">
        <v>353</v>
      </c>
      <c r="AC316">
        <v>2100</v>
      </c>
      <c r="AD316" t="s">
        <v>233</v>
      </c>
      <c r="AE316">
        <v>1</v>
      </c>
      <c r="AF316">
        <v>1</v>
      </c>
    </row>
    <row r="317" spans="1:32" x14ac:dyDescent="0.3">
      <c r="A317" t="s">
        <v>348</v>
      </c>
      <c r="B317" t="s">
        <v>48</v>
      </c>
      <c r="C317" t="s">
        <v>68</v>
      </c>
      <c r="D317" t="s">
        <v>309</v>
      </c>
      <c r="E317" t="s">
        <v>1306</v>
      </c>
      <c r="F317" s="15">
        <v>46216.601365740738</v>
      </c>
      <c r="G317" t="s">
        <v>402</v>
      </c>
      <c r="H317">
        <v>1</v>
      </c>
      <c r="I317" t="s">
        <v>1307</v>
      </c>
      <c r="J317" s="15">
        <v>46220.410416666666</v>
      </c>
      <c r="K317" s="15">
        <v>46223.497916666667</v>
      </c>
      <c r="L317" s="15"/>
      <c r="M317">
        <v>1</v>
      </c>
      <c r="O317" t="s">
        <v>201</v>
      </c>
      <c r="P317" t="s">
        <v>1956</v>
      </c>
      <c r="S317" t="s">
        <v>354</v>
      </c>
      <c r="T317" t="s">
        <v>369</v>
      </c>
      <c r="U317" t="s">
        <v>239</v>
      </c>
      <c r="V317" t="s">
        <v>348</v>
      </c>
      <c r="W317" t="s">
        <v>369</v>
      </c>
      <c r="X317" t="s">
        <v>239</v>
      </c>
      <c r="Y317">
        <v>0</v>
      </c>
      <c r="AA317" t="s">
        <v>90</v>
      </c>
      <c r="AB317" t="s">
        <v>354</v>
      </c>
      <c r="AC317">
        <v>50</v>
      </c>
      <c r="AD317" t="s">
        <v>217</v>
      </c>
      <c r="AE317">
        <v>1</v>
      </c>
      <c r="AF317">
        <v>1</v>
      </c>
    </row>
    <row r="318" spans="1:32" x14ac:dyDescent="0.3">
      <c r="A318" t="s">
        <v>348</v>
      </c>
      <c r="B318" t="s">
        <v>57</v>
      </c>
      <c r="C318" t="s">
        <v>117</v>
      </c>
      <c r="D318" t="s">
        <v>309</v>
      </c>
      <c r="E318" t="s">
        <v>1137</v>
      </c>
      <c r="F318" s="15">
        <v>46217.60359953704</v>
      </c>
      <c r="G318" t="s">
        <v>420</v>
      </c>
      <c r="H318">
        <v>13</v>
      </c>
      <c r="I318" t="s">
        <v>1145</v>
      </c>
      <c r="J318" s="15">
        <v>46237.518055555556</v>
      </c>
      <c r="K318" s="15">
        <v>46239.647916666669</v>
      </c>
      <c r="L318" s="15"/>
      <c r="M318">
        <v>13</v>
      </c>
      <c r="O318" t="s">
        <v>201</v>
      </c>
      <c r="P318" t="s">
        <v>1954</v>
      </c>
      <c r="S318" t="s">
        <v>357</v>
      </c>
      <c r="T318" t="s">
        <v>369</v>
      </c>
      <c r="U318" t="s">
        <v>239</v>
      </c>
      <c r="V318" t="s">
        <v>7</v>
      </c>
      <c r="W318" t="s">
        <v>7</v>
      </c>
      <c r="X318" t="s">
        <v>7</v>
      </c>
      <c r="AA318" t="s">
        <v>127</v>
      </c>
      <c r="AB318" t="s">
        <v>357</v>
      </c>
      <c r="AC318">
        <v>101</v>
      </c>
      <c r="AD318" t="s">
        <v>233</v>
      </c>
      <c r="AE318">
        <v>1.3</v>
      </c>
    </row>
    <row r="319" spans="1:32" x14ac:dyDescent="0.3">
      <c r="A319" t="s">
        <v>348</v>
      </c>
      <c r="B319" t="s">
        <v>281</v>
      </c>
      <c r="C319" t="s">
        <v>85</v>
      </c>
      <c r="D319" t="s">
        <v>309</v>
      </c>
      <c r="E319" t="s">
        <v>1137</v>
      </c>
      <c r="F319" s="15">
        <v>46217.60359953704</v>
      </c>
      <c r="G319" t="s">
        <v>420</v>
      </c>
      <c r="H319">
        <v>1</v>
      </c>
      <c r="I319" t="s">
        <v>1138</v>
      </c>
      <c r="J319" s="15">
        <v>46220.352083333331</v>
      </c>
      <c r="K319" s="15">
        <v>46227.702777777777</v>
      </c>
      <c r="L319" s="15"/>
      <c r="M319">
        <v>1</v>
      </c>
      <c r="O319" t="s">
        <v>1958</v>
      </c>
      <c r="S319" t="s">
        <v>357</v>
      </c>
      <c r="T319" t="s">
        <v>369</v>
      </c>
      <c r="U319" t="s">
        <v>239</v>
      </c>
      <c r="V319" t="s">
        <v>7</v>
      </c>
      <c r="W319" t="s">
        <v>7</v>
      </c>
      <c r="X319" t="s">
        <v>7</v>
      </c>
      <c r="Z319">
        <v>1</v>
      </c>
      <c r="AA319" t="s">
        <v>122</v>
      </c>
      <c r="AB319" t="s">
        <v>357</v>
      </c>
      <c r="AC319">
        <v>101</v>
      </c>
      <c r="AD319" t="s">
        <v>231</v>
      </c>
      <c r="AE319">
        <v>1</v>
      </c>
    </row>
    <row r="320" spans="1:32" x14ac:dyDescent="0.3">
      <c r="A320" t="s">
        <v>348</v>
      </c>
      <c r="B320" t="s">
        <v>279</v>
      </c>
      <c r="C320" t="s">
        <v>192</v>
      </c>
      <c r="D320" t="s">
        <v>309</v>
      </c>
      <c r="E320" t="s">
        <v>1304</v>
      </c>
      <c r="F320" s="15">
        <v>46241.647488425922</v>
      </c>
      <c r="G320" t="s">
        <v>399</v>
      </c>
      <c r="H320">
        <v>340</v>
      </c>
      <c r="I320" t="s">
        <v>1305</v>
      </c>
      <c r="J320" s="15">
        <v>46244.369074074071</v>
      </c>
      <c r="K320" s="15">
        <v>46247.349988425929</v>
      </c>
      <c r="L320" s="15"/>
      <c r="M320">
        <v>340</v>
      </c>
      <c r="O320" t="s">
        <v>201</v>
      </c>
      <c r="P320" t="s">
        <v>1954</v>
      </c>
      <c r="S320" t="s">
        <v>353</v>
      </c>
      <c r="T320" t="s">
        <v>368</v>
      </c>
      <c r="U320" t="s">
        <v>239</v>
      </c>
      <c r="V320" t="s">
        <v>7</v>
      </c>
      <c r="W320" t="s">
        <v>7</v>
      </c>
      <c r="X320" t="s">
        <v>7</v>
      </c>
      <c r="Z320">
        <v>1</v>
      </c>
      <c r="AA320" t="s">
        <v>122</v>
      </c>
      <c r="AB320" t="s">
        <v>353</v>
      </c>
      <c r="AC320">
        <v>2100</v>
      </c>
      <c r="AD320" t="s">
        <v>232</v>
      </c>
      <c r="AE320">
        <v>340</v>
      </c>
      <c r="AF320">
        <v>34</v>
      </c>
    </row>
    <row r="321" spans="1:31" x14ac:dyDescent="0.3">
      <c r="A321" t="s">
        <v>348</v>
      </c>
      <c r="B321" t="s">
        <v>48</v>
      </c>
      <c r="C321" t="s">
        <v>68</v>
      </c>
      <c r="D321" t="s">
        <v>309</v>
      </c>
      <c r="E321" t="s">
        <v>1308</v>
      </c>
      <c r="F321" s="15">
        <v>46241.31753472222</v>
      </c>
      <c r="G321" t="s">
        <v>401</v>
      </c>
      <c r="H321">
        <v>2</v>
      </c>
      <c r="I321" t="s">
        <v>1309</v>
      </c>
      <c r="J321" s="15">
        <v>46241.34952546296</v>
      </c>
      <c r="K321" s="15">
        <v>46244.479166666664</v>
      </c>
      <c r="L321" s="15"/>
      <c r="M321">
        <v>2</v>
      </c>
      <c r="O321" t="s">
        <v>201</v>
      </c>
      <c r="P321" t="s">
        <v>1956</v>
      </c>
      <c r="S321" t="s">
        <v>357</v>
      </c>
      <c r="T321" t="s">
        <v>369</v>
      </c>
      <c r="U321" t="s">
        <v>239</v>
      </c>
      <c r="V321" t="s">
        <v>348</v>
      </c>
      <c r="W321" t="s">
        <v>369</v>
      </c>
      <c r="X321" t="s">
        <v>239</v>
      </c>
      <c r="AA321" t="s">
        <v>90</v>
      </c>
      <c r="AB321" t="s">
        <v>357</v>
      </c>
      <c r="AC321">
        <v>101</v>
      </c>
      <c r="AD321" t="s">
        <v>217</v>
      </c>
      <c r="AE321">
        <v>1</v>
      </c>
    </row>
    <row r="322" spans="1:31" x14ac:dyDescent="0.3">
      <c r="A322" t="s">
        <v>348</v>
      </c>
      <c r="B322" t="s">
        <v>63</v>
      </c>
      <c r="C322" t="s">
        <v>95</v>
      </c>
      <c r="D322" t="s">
        <v>309</v>
      </c>
      <c r="E322" t="s">
        <v>1310</v>
      </c>
      <c r="F322" s="15">
        <v>46239.716504629629</v>
      </c>
      <c r="G322" t="s">
        <v>402</v>
      </c>
      <c r="H322">
        <v>1</v>
      </c>
      <c r="I322" t="s">
        <v>1311</v>
      </c>
      <c r="J322" s="15">
        <v>46240.376805555556</v>
      </c>
      <c r="K322" s="15">
        <v>46246.703472222223</v>
      </c>
      <c r="L322" s="15"/>
      <c r="M322">
        <v>1</v>
      </c>
      <c r="O322" t="s">
        <v>201</v>
      </c>
      <c r="P322" t="s">
        <v>1954</v>
      </c>
      <c r="S322" t="s">
        <v>355</v>
      </c>
      <c r="T322" t="s">
        <v>369</v>
      </c>
      <c r="U322" t="s">
        <v>239</v>
      </c>
      <c r="V322" t="s">
        <v>7</v>
      </c>
      <c r="W322" t="s">
        <v>7</v>
      </c>
      <c r="X322" t="s">
        <v>7</v>
      </c>
      <c r="AA322" t="s">
        <v>96</v>
      </c>
      <c r="AB322" t="s">
        <v>355</v>
      </c>
      <c r="AC322">
        <v>2200</v>
      </c>
      <c r="AD322" t="s">
        <v>225</v>
      </c>
      <c r="AE322">
        <v>1</v>
      </c>
    </row>
    <row r="323" spans="1:31" x14ac:dyDescent="0.3">
      <c r="A323" t="s">
        <v>348</v>
      </c>
      <c r="B323" t="s">
        <v>57</v>
      </c>
      <c r="C323" t="s">
        <v>117</v>
      </c>
      <c r="D323" t="s">
        <v>309</v>
      </c>
      <c r="E323" t="s">
        <v>1310</v>
      </c>
      <c r="F323" s="15">
        <v>46239.716504629629</v>
      </c>
      <c r="G323" t="s">
        <v>402</v>
      </c>
      <c r="H323">
        <v>1</v>
      </c>
      <c r="I323" t="s">
        <v>1311</v>
      </c>
      <c r="J323" s="15">
        <v>46240.376805555556</v>
      </c>
      <c r="K323" s="15">
        <v>46246.703472222223</v>
      </c>
      <c r="L323" s="15"/>
      <c r="M323">
        <v>1</v>
      </c>
      <c r="O323" t="s">
        <v>201</v>
      </c>
      <c r="P323" t="s">
        <v>1954</v>
      </c>
      <c r="S323" t="s">
        <v>355</v>
      </c>
      <c r="T323" t="s">
        <v>369</v>
      </c>
      <c r="U323" t="s">
        <v>239</v>
      </c>
      <c r="V323" t="s">
        <v>7</v>
      </c>
      <c r="W323" t="s">
        <v>7</v>
      </c>
      <c r="X323" t="s">
        <v>7</v>
      </c>
      <c r="AA323" t="s">
        <v>127</v>
      </c>
      <c r="AB323" t="s">
        <v>355</v>
      </c>
      <c r="AC323">
        <v>2200</v>
      </c>
      <c r="AD323" t="s">
        <v>233</v>
      </c>
      <c r="AE323">
        <v>1</v>
      </c>
    </row>
    <row r="324" spans="1:31" x14ac:dyDescent="0.3">
      <c r="A324" t="s">
        <v>348</v>
      </c>
      <c r="B324" t="s">
        <v>279</v>
      </c>
      <c r="C324" t="s">
        <v>192</v>
      </c>
      <c r="D324" t="s">
        <v>309</v>
      </c>
      <c r="E324" t="s">
        <v>1310</v>
      </c>
      <c r="F324" s="15">
        <v>46239.716504629629</v>
      </c>
      <c r="G324" t="s">
        <v>402</v>
      </c>
      <c r="H324">
        <v>1246</v>
      </c>
      <c r="I324" t="s">
        <v>1311</v>
      </c>
      <c r="J324" s="15">
        <v>46240.376805555556</v>
      </c>
      <c r="K324" s="15">
        <v>46246.703472222223</v>
      </c>
      <c r="L324" s="15"/>
      <c r="M324">
        <v>1246</v>
      </c>
      <c r="O324" t="s">
        <v>201</v>
      </c>
      <c r="P324" t="s">
        <v>1956</v>
      </c>
      <c r="S324" t="s">
        <v>355</v>
      </c>
      <c r="T324" t="s">
        <v>369</v>
      </c>
      <c r="U324" t="s">
        <v>239</v>
      </c>
      <c r="V324" t="s">
        <v>7</v>
      </c>
      <c r="W324" t="s">
        <v>7</v>
      </c>
      <c r="X324" t="s">
        <v>7</v>
      </c>
      <c r="Z324">
        <v>1</v>
      </c>
      <c r="AA324" t="s">
        <v>122</v>
      </c>
      <c r="AB324" t="s">
        <v>355</v>
      </c>
      <c r="AC324">
        <v>2200</v>
      </c>
      <c r="AD324" t="s">
        <v>232</v>
      </c>
      <c r="AE324">
        <v>1246</v>
      </c>
    </row>
    <row r="325" spans="1:31" x14ac:dyDescent="0.3">
      <c r="A325" t="s">
        <v>348</v>
      </c>
      <c r="B325" t="s">
        <v>63</v>
      </c>
      <c r="C325" t="s">
        <v>95</v>
      </c>
      <c r="D325" t="s">
        <v>309</v>
      </c>
      <c r="E325" t="s">
        <v>1137</v>
      </c>
      <c r="F325" s="15">
        <v>46217.60359953704</v>
      </c>
      <c r="G325" t="s">
        <v>420</v>
      </c>
      <c r="H325">
        <v>13</v>
      </c>
      <c r="I325" t="s">
        <v>1145</v>
      </c>
      <c r="J325" s="15">
        <v>46237.518055555556</v>
      </c>
      <c r="K325" s="15">
        <v>46239.647916666669</v>
      </c>
      <c r="L325" s="15"/>
      <c r="M325">
        <v>13</v>
      </c>
      <c r="O325" t="s">
        <v>201</v>
      </c>
      <c r="P325" t="s">
        <v>1954</v>
      </c>
      <c r="S325" t="s">
        <v>357</v>
      </c>
      <c r="T325" t="s">
        <v>369</v>
      </c>
      <c r="U325" t="s">
        <v>239</v>
      </c>
      <c r="V325" t="s">
        <v>7</v>
      </c>
      <c r="W325" t="s">
        <v>7</v>
      </c>
      <c r="X325" t="s">
        <v>7</v>
      </c>
      <c r="AA325" t="s">
        <v>96</v>
      </c>
      <c r="AB325" t="s">
        <v>357</v>
      </c>
      <c r="AC325">
        <v>101</v>
      </c>
      <c r="AD325" t="s">
        <v>225</v>
      </c>
      <c r="AE325">
        <v>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282</v>
      </c>
      <c r="B1" t="s">
        <v>39</v>
      </c>
      <c r="C1" t="s">
        <v>760</v>
      </c>
      <c r="D1" t="s">
        <v>714</v>
      </c>
      <c r="E1" t="s">
        <v>40</v>
      </c>
      <c r="F1" t="s">
        <v>715</v>
      </c>
      <c r="H1" t="s">
        <v>282</v>
      </c>
      <c r="I1" t="s">
        <v>39</v>
      </c>
      <c r="J1" t="s">
        <v>760</v>
      </c>
      <c r="K1" t="s">
        <v>714</v>
      </c>
      <c r="L1" t="s">
        <v>40</v>
      </c>
      <c r="M1" t="s">
        <v>715</v>
      </c>
    </row>
    <row r="2" spans="1:13" x14ac:dyDescent="0.3">
      <c r="A2" t="s">
        <v>345</v>
      </c>
      <c r="B2" t="s">
        <v>66</v>
      </c>
      <c r="C2" t="s">
        <v>211</v>
      </c>
      <c r="D2" t="s">
        <v>716</v>
      </c>
      <c r="E2" t="s">
        <v>67</v>
      </c>
      <c r="F2" s="156">
        <v>0.6</v>
      </c>
      <c r="H2" t="s">
        <v>346</v>
      </c>
      <c r="I2" t="s">
        <v>66</v>
      </c>
      <c r="J2" t="s">
        <v>211</v>
      </c>
      <c r="K2" t="s">
        <v>716</v>
      </c>
      <c r="L2" t="s">
        <v>67</v>
      </c>
      <c r="M2">
        <v>0.9</v>
      </c>
    </row>
    <row r="3" spans="1:13" x14ac:dyDescent="0.3">
      <c r="A3" t="s">
        <v>345</v>
      </c>
      <c r="B3" t="s">
        <v>72</v>
      </c>
      <c r="C3" t="s">
        <v>212</v>
      </c>
      <c r="D3" t="s">
        <v>717</v>
      </c>
      <c r="E3" t="s">
        <v>67</v>
      </c>
      <c r="F3" s="156">
        <v>3.55</v>
      </c>
      <c r="H3" t="s">
        <v>346</v>
      </c>
      <c r="I3" t="s">
        <v>72</v>
      </c>
      <c r="J3" t="s">
        <v>212</v>
      </c>
      <c r="K3" t="s">
        <v>717</v>
      </c>
      <c r="L3" t="s">
        <v>67</v>
      </c>
      <c r="M3">
        <v>0.9</v>
      </c>
    </row>
    <row r="4" spans="1:13" x14ac:dyDescent="0.3">
      <c r="A4" t="s">
        <v>345</v>
      </c>
      <c r="B4" t="s">
        <v>75</v>
      </c>
      <c r="C4" t="s">
        <v>213</v>
      </c>
      <c r="D4" t="s">
        <v>718</v>
      </c>
      <c r="E4" t="s">
        <v>67</v>
      </c>
      <c r="F4" s="156">
        <v>0.74</v>
      </c>
      <c r="H4" t="s">
        <v>346</v>
      </c>
      <c r="I4" t="s">
        <v>75</v>
      </c>
      <c r="J4" t="s">
        <v>213</v>
      </c>
      <c r="K4" t="s">
        <v>718</v>
      </c>
      <c r="L4" t="s">
        <v>67</v>
      </c>
      <c r="M4">
        <v>0.9</v>
      </c>
    </row>
    <row r="5" spans="1:13" x14ac:dyDescent="0.3">
      <c r="A5" t="s">
        <v>345</v>
      </c>
      <c r="B5" t="s">
        <v>77</v>
      </c>
      <c r="C5" t="s">
        <v>214</v>
      </c>
      <c r="D5" t="s">
        <v>719</v>
      </c>
      <c r="E5" t="s">
        <v>67</v>
      </c>
      <c r="F5" s="156">
        <v>56.11</v>
      </c>
      <c r="H5" t="s">
        <v>346</v>
      </c>
      <c r="I5" t="s">
        <v>77</v>
      </c>
      <c r="J5" t="s">
        <v>214</v>
      </c>
      <c r="K5" t="s">
        <v>719</v>
      </c>
      <c r="L5" t="s">
        <v>67</v>
      </c>
      <c r="M5">
        <v>70</v>
      </c>
    </row>
    <row r="6" spans="1:13" x14ac:dyDescent="0.3">
      <c r="A6" t="s">
        <v>345</v>
      </c>
      <c r="B6" t="s">
        <v>84</v>
      </c>
      <c r="C6" t="s">
        <v>215</v>
      </c>
      <c r="D6" t="s">
        <v>720</v>
      </c>
      <c r="E6" t="s">
        <v>67</v>
      </c>
      <c r="F6" s="156">
        <v>0.08</v>
      </c>
      <c r="H6" t="s">
        <v>346</v>
      </c>
      <c r="I6" t="s">
        <v>84</v>
      </c>
      <c r="J6" t="s">
        <v>215</v>
      </c>
      <c r="K6" t="s">
        <v>720</v>
      </c>
      <c r="L6" t="s">
        <v>67</v>
      </c>
      <c r="M6">
        <v>0.1</v>
      </c>
    </row>
    <row r="7" spans="1:13" x14ac:dyDescent="0.3">
      <c r="A7" t="s">
        <v>345</v>
      </c>
      <c r="B7" t="s">
        <v>87</v>
      </c>
      <c r="C7" t="s">
        <v>216</v>
      </c>
      <c r="D7" t="s">
        <v>721</v>
      </c>
      <c r="E7" t="s">
        <v>67</v>
      </c>
      <c r="F7" s="156">
        <v>0.08</v>
      </c>
      <c r="H7" t="s">
        <v>346</v>
      </c>
      <c r="I7" t="s">
        <v>87</v>
      </c>
      <c r="J7" t="s">
        <v>216</v>
      </c>
      <c r="K7" t="s">
        <v>721</v>
      </c>
      <c r="L7" t="s">
        <v>67</v>
      </c>
      <c r="M7">
        <v>0.1</v>
      </c>
    </row>
    <row r="8" spans="1:13" x14ac:dyDescent="0.3">
      <c r="A8" t="s">
        <v>345</v>
      </c>
      <c r="B8" t="s">
        <v>89</v>
      </c>
      <c r="C8" t="s">
        <v>217</v>
      </c>
      <c r="D8" t="s">
        <v>722</v>
      </c>
      <c r="E8" t="s">
        <v>90</v>
      </c>
      <c r="F8" s="156">
        <v>125.89</v>
      </c>
      <c r="H8" t="s">
        <v>346</v>
      </c>
      <c r="I8" t="s">
        <v>89</v>
      </c>
      <c r="J8" t="s">
        <v>217</v>
      </c>
      <c r="K8" t="s">
        <v>722</v>
      </c>
      <c r="L8" t="s">
        <v>90</v>
      </c>
      <c r="M8">
        <v>50</v>
      </c>
    </row>
    <row r="9" spans="1:13" x14ac:dyDescent="0.3">
      <c r="A9" t="s">
        <v>345</v>
      </c>
      <c r="B9" t="s">
        <v>93</v>
      </c>
      <c r="C9" t="s">
        <v>218</v>
      </c>
      <c r="D9" t="s">
        <v>723</v>
      </c>
      <c r="E9" t="s">
        <v>90</v>
      </c>
      <c r="F9" s="156">
        <v>200</v>
      </c>
      <c r="H9" t="s">
        <v>346</v>
      </c>
      <c r="I9" t="s">
        <v>93</v>
      </c>
      <c r="J9" t="s">
        <v>218</v>
      </c>
      <c r="K9" t="s">
        <v>723</v>
      </c>
      <c r="L9" t="s">
        <v>90</v>
      </c>
      <c r="M9">
        <v>100</v>
      </c>
    </row>
    <row r="10" spans="1:13" x14ac:dyDescent="0.3">
      <c r="A10" t="s">
        <v>345</v>
      </c>
      <c r="B10" t="s">
        <v>649</v>
      </c>
      <c r="C10" t="s">
        <v>691</v>
      </c>
      <c r="D10" t="s">
        <v>724</v>
      </c>
      <c r="E10" t="s">
        <v>650</v>
      </c>
      <c r="F10" s="156">
        <v>0.5</v>
      </c>
      <c r="H10" t="s">
        <v>346</v>
      </c>
      <c r="I10" t="s">
        <v>649</v>
      </c>
      <c r="J10" t="s">
        <v>691</v>
      </c>
      <c r="K10" t="s">
        <v>724</v>
      </c>
      <c r="L10" t="s">
        <v>650</v>
      </c>
      <c r="M10">
        <v>1</v>
      </c>
    </row>
    <row r="11" spans="1:13" x14ac:dyDescent="0.3">
      <c r="A11" t="s">
        <v>345</v>
      </c>
      <c r="B11" t="s">
        <v>94</v>
      </c>
      <c r="C11" t="s">
        <v>220</v>
      </c>
      <c r="D11" t="s">
        <v>725</v>
      </c>
      <c r="E11" t="s">
        <v>651</v>
      </c>
      <c r="F11" s="156">
        <v>1.96</v>
      </c>
      <c r="H11" t="s">
        <v>346</v>
      </c>
      <c r="I11" t="s">
        <v>94</v>
      </c>
      <c r="J11" t="s">
        <v>220</v>
      </c>
      <c r="K11" t="s">
        <v>725</v>
      </c>
      <c r="L11" t="s">
        <v>651</v>
      </c>
      <c r="M11">
        <v>3</v>
      </c>
    </row>
    <row r="12" spans="1:13" x14ac:dyDescent="0.3">
      <c r="A12" t="s">
        <v>345</v>
      </c>
      <c r="B12" t="s">
        <v>103</v>
      </c>
      <c r="C12" t="s">
        <v>221</v>
      </c>
      <c r="D12" t="s">
        <v>726</v>
      </c>
      <c r="E12" t="s">
        <v>105</v>
      </c>
      <c r="F12" s="156">
        <v>1.35</v>
      </c>
      <c r="H12" t="s">
        <v>346</v>
      </c>
      <c r="I12" t="s">
        <v>103</v>
      </c>
      <c r="J12" t="s">
        <v>221</v>
      </c>
      <c r="K12" t="s">
        <v>726</v>
      </c>
      <c r="L12" t="s">
        <v>105</v>
      </c>
      <c r="M12">
        <v>3</v>
      </c>
    </row>
    <row r="13" spans="1:13" x14ac:dyDescent="0.3">
      <c r="A13" t="s">
        <v>345</v>
      </c>
      <c r="B13" t="s">
        <v>104</v>
      </c>
      <c r="C13" t="s">
        <v>222</v>
      </c>
      <c r="D13" t="s">
        <v>727</v>
      </c>
      <c r="E13" t="s">
        <v>108</v>
      </c>
      <c r="F13" s="156">
        <v>594488.34</v>
      </c>
      <c r="H13" t="s">
        <v>346</v>
      </c>
      <c r="I13" t="s">
        <v>104</v>
      </c>
      <c r="J13" t="s">
        <v>222</v>
      </c>
      <c r="K13" t="s">
        <v>727</v>
      </c>
      <c r="L13" t="s">
        <v>108</v>
      </c>
      <c r="M13">
        <v>100000</v>
      </c>
    </row>
    <row r="14" spans="1:13" x14ac:dyDescent="0.3">
      <c r="A14" t="s">
        <v>345</v>
      </c>
      <c r="B14" t="s">
        <v>106</v>
      </c>
      <c r="C14" t="s">
        <v>223</v>
      </c>
      <c r="D14" t="s">
        <v>728</v>
      </c>
      <c r="E14" t="s">
        <v>67</v>
      </c>
      <c r="F14" s="156">
        <v>1.01</v>
      </c>
      <c r="H14" t="s">
        <v>346</v>
      </c>
      <c r="I14" t="s">
        <v>106</v>
      </c>
      <c r="J14" t="s">
        <v>223</v>
      </c>
      <c r="K14" t="s">
        <v>728</v>
      </c>
      <c r="L14" t="s">
        <v>67</v>
      </c>
      <c r="M14">
        <v>7.5</v>
      </c>
    </row>
    <row r="15" spans="1:13" x14ac:dyDescent="0.3">
      <c r="A15" t="s">
        <v>345</v>
      </c>
      <c r="B15" t="s">
        <v>110</v>
      </c>
      <c r="C15" t="s">
        <v>225</v>
      </c>
      <c r="D15" t="s">
        <v>729</v>
      </c>
      <c r="E15" t="s">
        <v>696</v>
      </c>
      <c r="F15" s="156">
        <v>0.44</v>
      </c>
      <c r="H15" t="s">
        <v>346</v>
      </c>
      <c r="I15" t="s">
        <v>110</v>
      </c>
      <c r="J15" t="s">
        <v>225</v>
      </c>
      <c r="K15" t="s">
        <v>729</v>
      </c>
      <c r="L15" t="s">
        <v>696</v>
      </c>
      <c r="M15">
        <v>0.2</v>
      </c>
    </row>
    <row r="16" spans="1:13" x14ac:dyDescent="0.3">
      <c r="A16" t="s">
        <v>345</v>
      </c>
      <c r="B16" t="s">
        <v>111</v>
      </c>
      <c r="C16" t="s">
        <v>226</v>
      </c>
      <c r="D16" t="s">
        <v>730</v>
      </c>
      <c r="E16" t="s">
        <v>67</v>
      </c>
      <c r="F16" s="156">
        <v>1.44</v>
      </c>
      <c r="H16" t="s">
        <v>346</v>
      </c>
      <c r="I16" t="s">
        <v>111</v>
      </c>
      <c r="J16" t="s">
        <v>226</v>
      </c>
      <c r="K16" t="s">
        <v>730</v>
      </c>
      <c r="L16" t="s">
        <v>67</v>
      </c>
      <c r="M16">
        <v>10</v>
      </c>
    </row>
    <row r="17" spans="1:13" x14ac:dyDescent="0.3">
      <c r="A17" t="s">
        <v>345</v>
      </c>
      <c r="B17" t="s">
        <v>112</v>
      </c>
      <c r="C17" t="s">
        <v>230</v>
      </c>
      <c r="D17" t="s">
        <v>731</v>
      </c>
      <c r="E17" t="s">
        <v>122</v>
      </c>
      <c r="F17" s="156">
        <v>0.05</v>
      </c>
      <c r="H17" t="s">
        <v>346</v>
      </c>
      <c r="I17" t="s">
        <v>112</v>
      </c>
      <c r="J17" t="s">
        <v>230</v>
      </c>
      <c r="K17" t="s">
        <v>731</v>
      </c>
      <c r="L17" t="s">
        <v>122</v>
      </c>
      <c r="M17">
        <v>0.05</v>
      </c>
    </row>
    <row r="18" spans="1:13" x14ac:dyDescent="0.3">
      <c r="A18" t="s">
        <v>345</v>
      </c>
      <c r="B18" t="s">
        <v>118</v>
      </c>
      <c r="C18" t="s">
        <v>231</v>
      </c>
      <c r="D18" t="s">
        <v>732</v>
      </c>
      <c r="E18" t="s">
        <v>122</v>
      </c>
      <c r="F18" s="156">
        <v>0.06</v>
      </c>
      <c r="H18" t="s">
        <v>346</v>
      </c>
      <c r="I18" t="s">
        <v>118</v>
      </c>
      <c r="J18" t="s">
        <v>231</v>
      </c>
      <c r="K18" t="s">
        <v>732</v>
      </c>
      <c r="L18" t="s">
        <v>122</v>
      </c>
      <c r="M18">
        <v>0.05</v>
      </c>
    </row>
    <row r="19" spans="1:13" x14ac:dyDescent="0.3">
      <c r="A19" t="s">
        <v>345</v>
      </c>
      <c r="B19" t="s">
        <v>119</v>
      </c>
      <c r="C19" t="s">
        <v>232</v>
      </c>
      <c r="D19" t="s">
        <v>733</v>
      </c>
      <c r="E19" t="s">
        <v>122</v>
      </c>
      <c r="F19" s="156">
        <v>0.1</v>
      </c>
      <c r="H19" t="s">
        <v>346</v>
      </c>
      <c r="I19" t="s">
        <v>119</v>
      </c>
      <c r="J19" t="s">
        <v>232</v>
      </c>
      <c r="K19" t="s">
        <v>733</v>
      </c>
      <c r="L19" t="s">
        <v>122</v>
      </c>
      <c r="M19">
        <v>0.11</v>
      </c>
    </row>
    <row r="20" spans="1:13" x14ac:dyDescent="0.3">
      <c r="A20" t="s">
        <v>345</v>
      </c>
      <c r="B20" t="s">
        <v>120</v>
      </c>
      <c r="C20" t="s">
        <v>233</v>
      </c>
      <c r="D20" t="s">
        <v>734</v>
      </c>
      <c r="E20" t="s">
        <v>122</v>
      </c>
      <c r="F20" s="156">
        <v>0.23</v>
      </c>
      <c r="H20" t="s">
        <v>346</v>
      </c>
      <c r="I20" t="s">
        <v>120</v>
      </c>
      <c r="J20" t="s">
        <v>233</v>
      </c>
      <c r="K20" t="s">
        <v>734</v>
      </c>
      <c r="L20" t="s">
        <v>122</v>
      </c>
      <c r="M20">
        <v>0.1</v>
      </c>
    </row>
    <row r="21" spans="1:13" x14ac:dyDescent="0.3">
      <c r="A21" t="s">
        <v>345</v>
      </c>
      <c r="B21" t="s">
        <v>123</v>
      </c>
      <c r="C21" t="s">
        <v>234</v>
      </c>
      <c r="D21" t="s">
        <v>735</v>
      </c>
      <c r="E21" t="s">
        <v>92</v>
      </c>
      <c r="F21" s="156">
        <v>68.27</v>
      </c>
      <c r="H21" t="s">
        <v>346</v>
      </c>
      <c r="I21" t="s">
        <v>123</v>
      </c>
      <c r="J21" t="s">
        <v>234</v>
      </c>
      <c r="K21" t="s">
        <v>735</v>
      </c>
      <c r="L21" t="s">
        <v>92</v>
      </c>
      <c r="M21">
        <v>40</v>
      </c>
    </row>
    <row r="22" spans="1:13" x14ac:dyDescent="0.3">
      <c r="A22" t="s">
        <v>345</v>
      </c>
      <c r="B22" t="s">
        <v>124</v>
      </c>
      <c r="C22" t="s">
        <v>235</v>
      </c>
      <c r="D22" t="s">
        <v>736</v>
      </c>
      <c r="E22" t="s">
        <v>92</v>
      </c>
      <c r="F22" s="156">
        <v>39</v>
      </c>
      <c r="H22" t="s">
        <v>346</v>
      </c>
      <c r="I22" t="s">
        <v>124</v>
      </c>
      <c r="J22" t="s">
        <v>235</v>
      </c>
      <c r="K22" t="s">
        <v>736</v>
      </c>
      <c r="L22" t="s">
        <v>92</v>
      </c>
      <c r="M22">
        <v>40</v>
      </c>
    </row>
    <row r="23" spans="1:13" x14ac:dyDescent="0.3">
      <c r="A23" t="s">
        <v>345</v>
      </c>
      <c r="B23" t="s">
        <v>125</v>
      </c>
      <c r="C23" t="s">
        <v>236</v>
      </c>
      <c r="D23" t="s">
        <v>737</v>
      </c>
      <c r="E23" t="s">
        <v>92</v>
      </c>
      <c r="F23" s="156">
        <v>11.72</v>
      </c>
      <c r="H23" t="s">
        <v>346</v>
      </c>
      <c r="I23" t="s">
        <v>125</v>
      </c>
      <c r="J23" t="s">
        <v>236</v>
      </c>
      <c r="K23" t="s">
        <v>737</v>
      </c>
      <c r="L23" t="s">
        <v>92</v>
      </c>
      <c r="M23">
        <v>5</v>
      </c>
    </row>
    <row r="24" spans="1:13" x14ac:dyDescent="0.3">
      <c r="A24" t="s">
        <v>345</v>
      </c>
      <c r="B24" t="s">
        <v>126</v>
      </c>
      <c r="C24" t="s">
        <v>237</v>
      </c>
      <c r="D24" t="s">
        <v>738</v>
      </c>
      <c r="E24" t="s">
        <v>92</v>
      </c>
      <c r="F24" s="156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503</v>
      </c>
      <c r="C1" t="s">
        <v>2</v>
      </c>
      <c r="D1" t="s">
        <v>504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626</v>
      </c>
      <c r="K1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15142</v>
      </c>
      <c r="E2">
        <v>0</v>
      </c>
      <c r="F2">
        <v>0</v>
      </c>
      <c r="G2">
        <v>25</v>
      </c>
      <c r="H2">
        <v>15167</v>
      </c>
      <c r="I2">
        <v>1</v>
      </c>
      <c r="J2">
        <v>15167</v>
      </c>
      <c r="K2" t="s">
        <v>211</v>
      </c>
    </row>
    <row r="3" spans="1:11" x14ac:dyDescent="0.3">
      <c r="A3" t="s">
        <v>348</v>
      </c>
      <c r="B3" t="s">
        <v>434</v>
      </c>
      <c r="C3" t="s">
        <v>68</v>
      </c>
      <c r="D3">
        <v>141509</v>
      </c>
      <c r="E3">
        <v>0</v>
      </c>
      <c r="F3">
        <v>0</v>
      </c>
      <c r="G3">
        <v>42401</v>
      </c>
      <c r="H3">
        <v>183910</v>
      </c>
      <c r="I3">
        <v>1</v>
      </c>
      <c r="J3">
        <v>183910</v>
      </c>
      <c r="K3" t="s">
        <v>211</v>
      </c>
    </row>
    <row r="4" spans="1:11" x14ac:dyDescent="0.3">
      <c r="A4" t="s">
        <v>348</v>
      </c>
      <c r="B4" t="s">
        <v>423</v>
      </c>
      <c r="C4" t="s">
        <v>73</v>
      </c>
      <c r="D4">
        <v>9</v>
      </c>
      <c r="E4">
        <v>0</v>
      </c>
      <c r="F4">
        <v>0</v>
      </c>
      <c r="G4">
        <v>101</v>
      </c>
      <c r="H4">
        <v>110</v>
      </c>
      <c r="I4">
        <v>1</v>
      </c>
      <c r="J4">
        <v>110</v>
      </c>
      <c r="K4" t="s">
        <v>212</v>
      </c>
    </row>
    <row r="5" spans="1:11" x14ac:dyDescent="0.3">
      <c r="A5" t="s">
        <v>348</v>
      </c>
      <c r="B5" t="s">
        <v>424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425</v>
      </c>
      <c r="C6" t="s">
        <v>154</v>
      </c>
      <c r="D6">
        <v>1014</v>
      </c>
      <c r="E6">
        <v>0</v>
      </c>
      <c r="F6">
        <v>0</v>
      </c>
      <c r="G6">
        <v>0</v>
      </c>
      <c r="H6">
        <v>1014</v>
      </c>
      <c r="I6">
        <v>0.505</v>
      </c>
      <c r="J6">
        <v>1014</v>
      </c>
      <c r="K6" t="s">
        <v>211</v>
      </c>
    </row>
    <row r="7" spans="1:11" x14ac:dyDescent="0.3">
      <c r="A7" t="s">
        <v>348</v>
      </c>
      <c r="B7" t="s">
        <v>426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427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428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348</v>
      </c>
      <c r="B10" t="s">
        <v>429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348</v>
      </c>
      <c r="B11" t="s">
        <v>763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431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507</v>
      </c>
      <c r="C13" t="s">
        <v>71</v>
      </c>
      <c r="D13">
        <v>17224</v>
      </c>
      <c r="E13">
        <v>0</v>
      </c>
      <c r="F13">
        <v>0</v>
      </c>
      <c r="G13">
        <v>95</v>
      </c>
      <c r="H13">
        <v>17319</v>
      </c>
      <c r="I13">
        <v>0.48599999999999999</v>
      </c>
      <c r="J13">
        <v>17319</v>
      </c>
      <c r="K13" t="s">
        <v>211</v>
      </c>
    </row>
    <row r="14" spans="1:11" x14ac:dyDescent="0.3">
      <c r="A14" t="s">
        <v>347</v>
      </c>
      <c r="B14" t="s">
        <v>425</v>
      </c>
      <c r="C14" t="s">
        <v>154</v>
      </c>
      <c r="D14">
        <v>5883</v>
      </c>
      <c r="E14">
        <v>0</v>
      </c>
      <c r="F14">
        <v>0</v>
      </c>
      <c r="G14">
        <v>35</v>
      </c>
      <c r="H14">
        <v>5918</v>
      </c>
      <c r="I14">
        <v>0.505</v>
      </c>
      <c r="J14">
        <v>5918</v>
      </c>
      <c r="K14" t="s">
        <v>211</v>
      </c>
    </row>
    <row r="15" spans="1:11" x14ac:dyDescent="0.3">
      <c r="A15" t="s">
        <v>347</v>
      </c>
      <c r="B15" t="s">
        <v>432</v>
      </c>
      <c r="C15" t="s">
        <v>68</v>
      </c>
      <c r="D15">
        <v>41072</v>
      </c>
      <c r="E15">
        <v>0</v>
      </c>
      <c r="F15">
        <v>0</v>
      </c>
      <c r="G15">
        <v>186</v>
      </c>
      <c r="H15">
        <v>41258</v>
      </c>
      <c r="I15">
        <v>1</v>
      </c>
      <c r="J15">
        <v>41258</v>
      </c>
      <c r="K15" t="s">
        <v>211</v>
      </c>
    </row>
    <row r="16" spans="1:11" x14ac:dyDescent="0.3">
      <c r="A16" t="s">
        <v>347</v>
      </c>
      <c r="B16" t="s">
        <v>433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432</v>
      </c>
      <c r="C17" t="s">
        <v>508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426</v>
      </c>
      <c r="C18" t="s">
        <v>762</v>
      </c>
      <c r="D18">
        <v>4822</v>
      </c>
      <c r="E18">
        <v>0</v>
      </c>
      <c r="F18">
        <v>0</v>
      </c>
      <c r="G18">
        <v>129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423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428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509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429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428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509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368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634</v>
      </c>
      <c r="R1" t="s">
        <v>141</v>
      </c>
      <c r="S1" t="s">
        <v>628</v>
      </c>
      <c r="T1" t="s">
        <v>629</v>
      </c>
      <c r="U1" t="s">
        <v>630</v>
      </c>
      <c r="V1" t="s">
        <v>631</v>
      </c>
      <c r="W1" t="s">
        <v>632</v>
      </c>
      <c r="X1" t="s">
        <v>633</v>
      </c>
      <c r="Y1" t="s">
        <v>524</v>
      </c>
      <c r="Z1" t="s">
        <v>160</v>
      </c>
      <c r="AA1" t="s">
        <v>40</v>
      </c>
      <c r="AB1" t="s">
        <v>367</v>
      </c>
      <c r="AC1" t="s">
        <v>522</v>
      </c>
      <c r="AD1" t="s">
        <v>210</v>
      </c>
      <c r="AE1" t="s">
        <v>521</v>
      </c>
      <c r="AF1" t="s">
        <v>525</v>
      </c>
    </row>
    <row r="2" spans="1:32" x14ac:dyDescent="0.3">
      <c r="A2" t="s">
        <v>347</v>
      </c>
      <c r="B2" t="s">
        <v>43</v>
      </c>
      <c r="C2" t="s">
        <v>105</v>
      </c>
      <c r="D2" t="s">
        <v>309</v>
      </c>
      <c r="E2" t="s">
        <v>942</v>
      </c>
      <c r="F2" s="15">
        <v>46240.387291666666</v>
      </c>
      <c r="G2" t="s">
        <v>402</v>
      </c>
      <c r="H2">
        <v>2</v>
      </c>
      <c r="I2" t="s">
        <v>943</v>
      </c>
      <c r="J2" s="15">
        <v>46240.632638888892</v>
      </c>
      <c r="K2" s="15">
        <v>46241.395138888889</v>
      </c>
      <c r="L2" s="15"/>
      <c r="M2">
        <v>2</v>
      </c>
      <c r="O2" t="s">
        <v>201</v>
      </c>
      <c r="P2" t="s">
        <v>1954</v>
      </c>
      <c r="S2" t="s">
        <v>360</v>
      </c>
      <c r="T2" t="s">
        <v>371</v>
      </c>
      <c r="U2" t="s">
        <v>240</v>
      </c>
      <c r="V2" t="s">
        <v>347</v>
      </c>
      <c r="W2" t="s">
        <v>351</v>
      </c>
      <c r="X2" t="s">
        <v>240</v>
      </c>
      <c r="Y2">
        <v>13</v>
      </c>
      <c r="AA2" t="s">
        <v>67</v>
      </c>
      <c r="AB2" t="s">
        <v>360</v>
      </c>
      <c r="AC2">
        <v>2480</v>
      </c>
      <c r="AD2" t="s">
        <v>217</v>
      </c>
      <c r="AE2">
        <v>1</v>
      </c>
      <c r="AF2">
        <v>1</v>
      </c>
    </row>
    <row r="3" spans="1:32" x14ac:dyDescent="0.3">
      <c r="A3" t="s">
        <v>347</v>
      </c>
      <c r="B3" t="s">
        <v>47</v>
      </c>
      <c r="C3" t="s">
        <v>68</v>
      </c>
      <c r="D3" t="s">
        <v>309</v>
      </c>
      <c r="E3" t="s">
        <v>944</v>
      </c>
      <c r="F3" s="15">
        <v>46233.496469907404</v>
      </c>
      <c r="G3" t="s">
        <v>401</v>
      </c>
      <c r="H3">
        <v>2</v>
      </c>
      <c r="I3" t="s">
        <v>945</v>
      </c>
      <c r="J3" s="15">
        <v>46233.658877314818</v>
      </c>
      <c r="K3" s="15">
        <v>46234.427083333336</v>
      </c>
      <c r="L3" s="15"/>
      <c r="M3">
        <v>2</v>
      </c>
      <c r="O3" t="s">
        <v>146</v>
      </c>
      <c r="P3" t="s">
        <v>1954</v>
      </c>
      <c r="S3" t="s">
        <v>360</v>
      </c>
      <c r="T3" t="s">
        <v>371</v>
      </c>
      <c r="U3" t="s">
        <v>240</v>
      </c>
      <c r="V3" t="s">
        <v>347</v>
      </c>
      <c r="W3" t="s">
        <v>351</v>
      </c>
      <c r="X3" t="s">
        <v>240</v>
      </c>
      <c r="Y3">
        <v>13</v>
      </c>
      <c r="AA3" t="s">
        <v>90</v>
      </c>
      <c r="AB3" t="s">
        <v>360</v>
      </c>
      <c r="AC3">
        <v>2480</v>
      </c>
      <c r="AD3" t="s">
        <v>218</v>
      </c>
      <c r="AE3">
        <v>1</v>
      </c>
      <c r="AF3">
        <v>1</v>
      </c>
    </row>
    <row r="4" spans="1:32" x14ac:dyDescent="0.3">
      <c r="A4" t="s">
        <v>347</v>
      </c>
      <c r="B4" t="s">
        <v>45</v>
      </c>
      <c r="C4" t="s">
        <v>68</v>
      </c>
      <c r="D4" t="s">
        <v>309</v>
      </c>
      <c r="E4" t="s">
        <v>946</v>
      </c>
      <c r="F4" s="15">
        <v>46218.662442129629</v>
      </c>
      <c r="G4" t="s">
        <v>947</v>
      </c>
      <c r="H4">
        <v>50</v>
      </c>
      <c r="I4" t="s">
        <v>948</v>
      </c>
      <c r="J4" s="15">
        <v>46219.407569444447</v>
      </c>
      <c r="K4" s="15">
        <v>46224.486111111109</v>
      </c>
      <c r="L4" s="15">
        <v>46224.486111111109</v>
      </c>
      <c r="M4">
        <v>50</v>
      </c>
      <c r="O4" t="s">
        <v>201</v>
      </c>
      <c r="P4" t="s">
        <v>1956</v>
      </c>
      <c r="S4" t="s">
        <v>360</v>
      </c>
      <c r="T4" t="s">
        <v>371</v>
      </c>
      <c r="U4" t="s">
        <v>240</v>
      </c>
      <c r="V4" t="s">
        <v>347</v>
      </c>
      <c r="W4" t="s">
        <v>351</v>
      </c>
      <c r="X4" t="s">
        <v>240</v>
      </c>
      <c r="Y4">
        <v>13</v>
      </c>
      <c r="AA4" t="s">
        <v>67</v>
      </c>
      <c r="AB4" t="s">
        <v>360</v>
      </c>
      <c r="AC4">
        <v>2480</v>
      </c>
      <c r="AD4" t="s">
        <v>217</v>
      </c>
      <c r="AE4">
        <v>5</v>
      </c>
      <c r="AF4">
        <v>1</v>
      </c>
    </row>
    <row r="5" spans="1:32" x14ac:dyDescent="0.3">
      <c r="A5" t="s">
        <v>347</v>
      </c>
      <c r="B5" t="s">
        <v>45</v>
      </c>
      <c r="C5" t="s">
        <v>68</v>
      </c>
      <c r="D5" t="s">
        <v>309</v>
      </c>
      <c r="E5" t="s">
        <v>949</v>
      </c>
      <c r="F5" s="15">
        <v>46218.662719907406</v>
      </c>
      <c r="G5" t="s">
        <v>947</v>
      </c>
      <c r="H5">
        <v>50</v>
      </c>
      <c r="I5" t="s">
        <v>950</v>
      </c>
      <c r="J5" s="15">
        <v>46219.408703703702</v>
      </c>
      <c r="K5" s="15">
        <v>46224.486111111109</v>
      </c>
      <c r="L5" s="15">
        <v>46224.486111111109</v>
      </c>
      <c r="M5">
        <v>50</v>
      </c>
      <c r="O5" t="s">
        <v>201</v>
      </c>
      <c r="P5" t="s">
        <v>1956</v>
      </c>
      <c r="S5" t="s">
        <v>360</v>
      </c>
      <c r="T5" t="s">
        <v>371</v>
      </c>
      <c r="U5" t="s">
        <v>240</v>
      </c>
      <c r="V5" t="s">
        <v>347</v>
      </c>
      <c r="W5" t="s">
        <v>351</v>
      </c>
      <c r="X5" t="s">
        <v>240</v>
      </c>
      <c r="AA5" t="s">
        <v>67</v>
      </c>
      <c r="AB5" t="s">
        <v>360</v>
      </c>
      <c r="AC5">
        <v>2480</v>
      </c>
      <c r="AD5" t="s">
        <v>217</v>
      </c>
      <c r="AE5">
        <v>5</v>
      </c>
    </row>
    <row r="6" spans="1:32" x14ac:dyDescent="0.3">
      <c r="A6" t="s">
        <v>347</v>
      </c>
      <c r="B6" t="s">
        <v>48</v>
      </c>
      <c r="C6" t="s">
        <v>68</v>
      </c>
      <c r="D6" t="s">
        <v>309</v>
      </c>
      <c r="E6" t="s">
        <v>951</v>
      </c>
      <c r="F6" s="15">
        <v>46156.383645833332</v>
      </c>
      <c r="G6" t="s">
        <v>402</v>
      </c>
      <c r="H6">
        <v>1</v>
      </c>
      <c r="I6" t="s">
        <v>952</v>
      </c>
      <c r="J6" s="15">
        <v>46226.400000000001</v>
      </c>
      <c r="K6" s="15">
        <v>46230.438194444447</v>
      </c>
      <c r="L6" s="15"/>
      <c r="M6">
        <v>1</v>
      </c>
      <c r="O6" t="s">
        <v>201</v>
      </c>
      <c r="P6" t="s">
        <v>1956</v>
      </c>
      <c r="S6" t="s">
        <v>360</v>
      </c>
      <c r="T6" t="s">
        <v>371</v>
      </c>
      <c r="U6" t="s">
        <v>240</v>
      </c>
      <c r="V6" t="s">
        <v>347</v>
      </c>
      <c r="W6" t="s">
        <v>351</v>
      </c>
      <c r="X6" t="s">
        <v>240</v>
      </c>
      <c r="Y6">
        <v>13</v>
      </c>
      <c r="AA6" t="s">
        <v>90</v>
      </c>
      <c r="AB6" t="s">
        <v>360</v>
      </c>
      <c r="AC6">
        <v>2480</v>
      </c>
      <c r="AD6" t="s">
        <v>217</v>
      </c>
      <c r="AE6">
        <v>1</v>
      </c>
      <c r="AF6">
        <v>1</v>
      </c>
    </row>
    <row r="7" spans="1:32" x14ac:dyDescent="0.3">
      <c r="A7" t="s">
        <v>348</v>
      </c>
      <c r="B7" t="s">
        <v>43</v>
      </c>
      <c r="C7" t="s">
        <v>105</v>
      </c>
      <c r="D7" t="s">
        <v>309</v>
      </c>
      <c r="E7" t="s">
        <v>953</v>
      </c>
      <c r="F7" s="15">
        <v>46246.307928240742</v>
      </c>
      <c r="G7" t="s">
        <v>401</v>
      </c>
      <c r="H7">
        <v>1</v>
      </c>
      <c r="I7" t="s">
        <v>954</v>
      </c>
      <c r="J7" s="15">
        <v>46246.375</v>
      </c>
      <c r="K7" s="15">
        <v>46247.461805555555</v>
      </c>
      <c r="L7" s="15"/>
      <c r="M7">
        <v>1</v>
      </c>
      <c r="O7" t="s">
        <v>201</v>
      </c>
      <c r="P7" t="s">
        <v>1954</v>
      </c>
      <c r="S7" t="s">
        <v>357</v>
      </c>
      <c r="T7" t="s">
        <v>369</v>
      </c>
      <c r="U7" t="s">
        <v>239</v>
      </c>
      <c r="V7" t="s">
        <v>348</v>
      </c>
      <c r="W7" t="s">
        <v>369</v>
      </c>
      <c r="X7" t="s">
        <v>239</v>
      </c>
      <c r="Y7">
        <v>0</v>
      </c>
      <c r="AA7" t="s">
        <v>67</v>
      </c>
      <c r="AB7" t="s">
        <v>357</v>
      </c>
      <c r="AC7">
        <v>101</v>
      </c>
      <c r="AD7" t="s">
        <v>217</v>
      </c>
      <c r="AE7">
        <v>1</v>
      </c>
      <c r="AF7">
        <v>1</v>
      </c>
    </row>
    <row r="8" spans="1:32" x14ac:dyDescent="0.3">
      <c r="A8" t="s">
        <v>348</v>
      </c>
      <c r="B8" t="s">
        <v>43</v>
      </c>
      <c r="C8" t="s">
        <v>105</v>
      </c>
      <c r="D8" t="s">
        <v>309</v>
      </c>
      <c r="E8" t="s">
        <v>955</v>
      </c>
      <c r="F8" s="15">
        <v>46244.651597222219</v>
      </c>
      <c r="G8" t="s">
        <v>401</v>
      </c>
      <c r="H8">
        <v>2</v>
      </c>
      <c r="I8" t="s">
        <v>956</v>
      </c>
      <c r="J8" s="15">
        <v>46245.385416666664</v>
      </c>
      <c r="K8" s="15">
        <v>46246.481944444444</v>
      </c>
      <c r="L8" s="15"/>
      <c r="M8">
        <v>2</v>
      </c>
      <c r="O8" t="s">
        <v>201</v>
      </c>
      <c r="P8" t="s">
        <v>1954</v>
      </c>
      <c r="S8" t="s">
        <v>357</v>
      </c>
      <c r="T8" t="s">
        <v>369</v>
      </c>
      <c r="U8" t="s">
        <v>239</v>
      </c>
      <c r="V8" t="s">
        <v>348</v>
      </c>
      <c r="W8" t="s">
        <v>369</v>
      </c>
      <c r="X8" t="s">
        <v>239</v>
      </c>
      <c r="Y8">
        <v>0</v>
      </c>
      <c r="AA8" t="s">
        <v>67</v>
      </c>
      <c r="AB8" t="s">
        <v>357</v>
      </c>
      <c r="AC8">
        <v>101</v>
      </c>
      <c r="AD8" t="s">
        <v>217</v>
      </c>
      <c r="AE8">
        <v>1</v>
      </c>
      <c r="AF8">
        <v>1</v>
      </c>
    </row>
    <row r="9" spans="1:32" x14ac:dyDescent="0.3">
      <c r="A9" t="s">
        <v>348</v>
      </c>
      <c r="B9" t="s">
        <v>43</v>
      </c>
      <c r="C9" t="s">
        <v>105</v>
      </c>
      <c r="D9" t="s">
        <v>309</v>
      </c>
      <c r="E9" t="s">
        <v>957</v>
      </c>
      <c r="F9" s="15">
        <v>46241.373356481483</v>
      </c>
      <c r="G9" t="s">
        <v>401</v>
      </c>
      <c r="H9">
        <v>2</v>
      </c>
      <c r="I9" t="s">
        <v>958</v>
      </c>
      <c r="J9" s="15">
        <v>46241.399305555555</v>
      </c>
      <c r="K9" s="15">
        <v>46244.479166666664</v>
      </c>
      <c r="L9" s="15"/>
      <c r="M9">
        <v>2</v>
      </c>
      <c r="O9" t="s">
        <v>201</v>
      </c>
      <c r="P9" t="s">
        <v>1954</v>
      </c>
      <c r="S9" t="s">
        <v>357</v>
      </c>
      <c r="T9" t="s">
        <v>369</v>
      </c>
      <c r="U9" t="s">
        <v>239</v>
      </c>
      <c r="V9" t="s">
        <v>348</v>
      </c>
      <c r="W9" t="s">
        <v>369</v>
      </c>
      <c r="X9" t="s">
        <v>239</v>
      </c>
      <c r="Y9">
        <v>0</v>
      </c>
      <c r="AA9" t="s">
        <v>67</v>
      </c>
      <c r="AB9" t="s">
        <v>357</v>
      </c>
      <c r="AC9">
        <v>101</v>
      </c>
      <c r="AD9" t="s">
        <v>217</v>
      </c>
      <c r="AE9">
        <v>1</v>
      </c>
      <c r="AF9">
        <v>1</v>
      </c>
    </row>
    <row r="10" spans="1:32" x14ac:dyDescent="0.3">
      <c r="A10" t="s">
        <v>348</v>
      </c>
      <c r="B10" t="s">
        <v>43</v>
      </c>
      <c r="C10" t="s">
        <v>105</v>
      </c>
      <c r="D10" t="s">
        <v>309</v>
      </c>
      <c r="E10" t="s">
        <v>959</v>
      </c>
      <c r="F10" s="15">
        <v>46239.511006944442</v>
      </c>
      <c r="G10" t="s">
        <v>401</v>
      </c>
      <c r="H10">
        <v>3</v>
      </c>
      <c r="I10" t="s">
        <v>960</v>
      </c>
      <c r="J10" s="15">
        <v>46239.690972222219</v>
      </c>
      <c r="K10" s="15">
        <v>46240.486805555556</v>
      </c>
      <c r="L10" s="15"/>
      <c r="M10">
        <v>3</v>
      </c>
      <c r="O10" t="s">
        <v>201</v>
      </c>
      <c r="P10" t="s">
        <v>1954</v>
      </c>
      <c r="S10" t="s">
        <v>357</v>
      </c>
      <c r="T10" t="s">
        <v>369</v>
      </c>
      <c r="U10" t="s">
        <v>239</v>
      </c>
      <c r="V10" t="s">
        <v>348</v>
      </c>
      <c r="W10" t="s">
        <v>369</v>
      </c>
      <c r="X10" t="s">
        <v>239</v>
      </c>
      <c r="Y10">
        <v>0</v>
      </c>
      <c r="AA10" t="s">
        <v>67</v>
      </c>
      <c r="AB10" t="s">
        <v>357</v>
      </c>
      <c r="AC10">
        <v>101</v>
      </c>
      <c r="AD10" t="s">
        <v>217</v>
      </c>
      <c r="AE10">
        <v>1</v>
      </c>
      <c r="AF10">
        <v>1</v>
      </c>
    </row>
    <row r="11" spans="1:32" x14ac:dyDescent="0.3">
      <c r="A11" t="s">
        <v>348</v>
      </c>
      <c r="B11" t="s">
        <v>45</v>
      </c>
      <c r="C11" t="s">
        <v>68</v>
      </c>
      <c r="D11" t="s">
        <v>309</v>
      </c>
      <c r="E11" t="s">
        <v>961</v>
      </c>
      <c r="F11" s="15">
        <v>46238.581493055557</v>
      </c>
      <c r="G11" t="s">
        <v>401</v>
      </c>
      <c r="H11">
        <v>9</v>
      </c>
      <c r="I11" t="s">
        <v>962</v>
      </c>
      <c r="J11" s="15">
        <v>46239.600694444445</v>
      </c>
      <c r="K11" s="15">
        <v>46240.479166666664</v>
      </c>
      <c r="L11" s="15"/>
      <c r="M11">
        <v>9</v>
      </c>
      <c r="O11" t="s">
        <v>201</v>
      </c>
      <c r="P11" t="s">
        <v>1954</v>
      </c>
      <c r="S11" t="s">
        <v>357</v>
      </c>
      <c r="T11" t="s">
        <v>369</v>
      </c>
      <c r="U11" t="s">
        <v>239</v>
      </c>
      <c r="V11" t="s">
        <v>348</v>
      </c>
      <c r="W11" t="s">
        <v>369</v>
      </c>
      <c r="X11" t="s">
        <v>239</v>
      </c>
      <c r="AA11" t="s">
        <v>67</v>
      </c>
      <c r="AB11" t="s">
        <v>357</v>
      </c>
      <c r="AC11">
        <v>101</v>
      </c>
      <c r="AD11" t="s">
        <v>217</v>
      </c>
      <c r="AE11">
        <v>1</v>
      </c>
    </row>
    <row r="12" spans="1:32" x14ac:dyDescent="0.3">
      <c r="A12" t="s">
        <v>348</v>
      </c>
      <c r="B12" t="s">
        <v>43</v>
      </c>
      <c r="C12" t="s">
        <v>105</v>
      </c>
      <c r="D12" t="s">
        <v>309</v>
      </c>
      <c r="E12" t="s">
        <v>963</v>
      </c>
      <c r="F12" s="15">
        <v>46232.641296296293</v>
      </c>
      <c r="G12" t="s">
        <v>401</v>
      </c>
      <c r="H12">
        <v>3</v>
      </c>
      <c r="I12" t="s">
        <v>964</v>
      </c>
      <c r="J12" s="15">
        <v>46232.691562499997</v>
      </c>
      <c r="K12" s="15">
        <v>46233.513888888891</v>
      </c>
      <c r="L12" s="15"/>
      <c r="M12">
        <v>3</v>
      </c>
      <c r="O12" t="s">
        <v>201</v>
      </c>
      <c r="P12" t="s">
        <v>1954</v>
      </c>
      <c r="S12" t="s">
        <v>357</v>
      </c>
      <c r="T12" t="s">
        <v>369</v>
      </c>
      <c r="U12" t="s">
        <v>239</v>
      </c>
      <c r="V12" t="s">
        <v>348</v>
      </c>
      <c r="W12" t="s">
        <v>369</v>
      </c>
      <c r="X12" t="s">
        <v>239</v>
      </c>
      <c r="Y12">
        <v>0</v>
      </c>
      <c r="AA12" t="s">
        <v>67</v>
      </c>
      <c r="AB12" t="s">
        <v>357</v>
      </c>
      <c r="AC12">
        <v>101</v>
      </c>
      <c r="AD12" t="s">
        <v>217</v>
      </c>
      <c r="AE12">
        <v>1</v>
      </c>
      <c r="AF12">
        <v>1</v>
      </c>
    </row>
    <row r="13" spans="1:32" x14ac:dyDescent="0.3">
      <c r="A13" t="s">
        <v>348</v>
      </c>
      <c r="B13" t="s">
        <v>43</v>
      </c>
      <c r="C13" t="s">
        <v>105</v>
      </c>
      <c r="D13" t="s">
        <v>309</v>
      </c>
      <c r="E13" t="s">
        <v>965</v>
      </c>
      <c r="F13" s="15">
        <v>46220.487835648149</v>
      </c>
      <c r="G13" t="s">
        <v>401</v>
      </c>
      <c r="H13">
        <v>3</v>
      </c>
      <c r="I13" t="s">
        <v>966</v>
      </c>
      <c r="J13" s="15">
        <v>46220.6875</v>
      </c>
      <c r="K13" s="15">
        <v>46224.423611111109</v>
      </c>
      <c r="L13" s="15"/>
      <c r="M13">
        <v>3</v>
      </c>
      <c r="O13" t="s">
        <v>201</v>
      </c>
      <c r="P13" t="s">
        <v>1954</v>
      </c>
      <c r="S13" t="s">
        <v>357</v>
      </c>
      <c r="T13" t="s">
        <v>369</v>
      </c>
      <c r="U13" t="s">
        <v>239</v>
      </c>
      <c r="V13" t="s">
        <v>348</v>
      </c>
      <c r="W13" t="s">
        <v>369</v>
      </c>
      <c r="X13" t="s">
        <v>239</v>
      </c>
      <c r="Y13">
        <v>0</v>
      </c>
      <c r="AA13" t="s">
        <v>67</v>
      </c>
      <c r="AB13" t="s">
        <v>357</v>
      </c>
      <c r="AC13">
        <v>101</v>
      </c>
      <c r="AD13" t="s">
        <v>217</v>
      </c>
      <c r="AE13">
        <v>1</v>
      </c>
      <c r="AF13">
        <v>1</v>
      </c>
    </row>
    <row r="14" spans="1:32" x14ac:dyDescent="0.3">
      <c r="A14" t="s">
        <v>348</v>
      </c>
      <c r="B14" t="s">
        <v>47</v>
      </c>
      <c r="C14" t="s">
        <v>68</v>
      </c>
      <c r="D14" t="s">
        <v>309</v>
      </c>
      <c r="E14" t="s">
        <v>967</v>
      </c>
      <c r="F14" s="15">
        <v>46239.471967592595</v>
      </c>
      <c r="G14" t="s">
        <v>401</v>
      </c>
      <c r="H14">
        <v>1</v>
      </c>
      <c r="I14" t="s">
        <v>968</v>
      </c>
      <c r="J14" s="15">
        <v>46239.673611111109</v>
      </c>
      <c r="K14" s="15">
        <v>46240.488194444442</v>
      </c>
      <c r="L14" s="15"/>
      <c r="M14">
        <v>1</v>
      </c>
      <c r="O14" t="s">
        <v>146</v>
      </c>
      <c r="P14" t="s">
        <v>1954</v>
      </c>
      <c r="S14" t="s">
        <v>357</v>
      </c>
      <c r="T14" t="s">
        <v>369</v>
      </c>
      <c r="U14" t="s">
        <v>239</v>
      </c>
      <c r="V14" t="s">
        <v>348</v>
      </c>
      <c r="W14" t="s">
        <v>369</v>
      </c>
      <c r="X14" t="s">
        <v>239</v>
      </c>
      <c r="Y14">
        <v>0</v>
      </c>
      <c r="AA14" t="s">
        <v>90</v>
      </c>
      <c r="AB14" t="s">
        <v>357</v>
      </c>
      <c r="AC14">
        <v>101</v>
      </c>
      <c r="AD14" t="s">
        <v>218</v>
      </c>
      <c r="AE14">
        <v>1</v>
      </c>
      <c r="AF14">
        <v>1</v>
      </c>
    </row>
    <row r="15" spans="1:32" x14ac:dyDescent="0.3">
      <c r="A15" t="s">
        <v>348</v>
      </c>
      <c r="B15" t="s">
        <v>47</v>
      </c>
      <c r="C15" t="s">
        <v>68</v>
      </c>
      <c r="D15" t="s">
        <v>309</v>
      </c>
      <c r="E15" t="s">
        <v>969</v>
      </c>
      <c r="F15" s="15">
        <v>46239.466099537036</v>
      </c>
      <c r="G15" t="s">
        <v>401</v>
      </c>
      <c r="H15">
        <v>1</v>
      </c>
      <c r="I15" t="s">
        <v>970</v>
      </c>
      <c r="J15" s="15">
        <v>46239.635162037041</v>
      </c>
      <c r="K15" s="15">
        <v>46240.467361111114</v>
      </c>
      <c r="L15" s="15"/>
      <c r="M15">
        <v>1</v>
      </c>
      <c r="O15" t="s">
        <v>146</v>
      </c>
      <c r="P15" t="s">
        <v>1954</v>
      </c>
      <c r="S15" t="s">
        <v>357</v>
      </c>
      <c r="T15" t="s">
        <v>369</v>
      </c>
      <c r="U15" t="s">
        <v>239</v>
      </c>
      <c r="V15" t="s">
        <v>348</v>
      </c>
      <c r="W15" t="s">
        <v>369</v>
      </c>
      <c r="X15" t="s">
        <v>239</v>
      </c>
      <c r="AA15" t="s">
        <v>90</v>
      </c>
      <c r="AB15" t="s">
        <v>357</v>
      </c>
      <c r="AC15">
        <v>101</v>
      </c>
      <c r="AD15" t="s">
        <v>218</v>
      </c>
      <c r="AE15">
        <v>1</v>
      </c>
    </row>
    <row r="16" spans="1:32" x14ac:dyDescent="0.3">
      <c r="A16" t="s">
        <v>348</v>
      </c>
      <c r="B16" t="s">
        <v>47</v>
      </c>
      <c r="C16" t="s">
        <v>68</v>
      </c>
      <c r="D16" t="s">
        <v>309</v>
      </c>
      <c r="E16" t="s">
        <v>971</v>
      </c>
      <c r="F16" s="15">
        <v>46233.500243055554</v>
      </c>
      <c r="G16" t="s">
        <v>401</v>
      </c>
      <c r="H16">
        <v>2</v>
      </c>
      <c r="I16" t="s">
        <v>972</v>
      </c>
      <c r="J16" s="15">
        <v>46233.712500000001</v>
      </c>
      <c r="K16" s="15">
        <v>46234.449305555558</v>
      </c>
      <c r="L16" s="15"/>
      <c r="M16">
        <v>2</v>
      </c>
      <c r="O16" t="s">
        <v>146</v>
      </c>
      <c r="P16" t="s">
        <v>1954</v>
      </c>
      <c r="S16" t="s">
        <v>357</v>
      </c>
      <c r="T16" t="s">
        <v>369</v>
      </c>
      <c r="U16" t="s">
        <v>239</v>
      </c>
      <c r="V16" t="s">
        <v>348</v>
      </c>
      <c r="W16" t="s">
        <v>369</v>
      </c>
      <c r="X16" t="s">
        <v>239</v>
      </c>
      <c r="Y16">
        <v>0</v>
      </c>
      <c r="AA16" t="s">
        <v>90</v>
      </c>
      <c r="AB16" t="s">
        <v>357</v>
      </c>
      <c r="AC16">
        <v>101</v>
      </c>
      <c r="AD16" t="s">
        <v>218</v>
      </c>
      <c r="AE16">
        <v>1</v>
      </c>
      <c r="AF16">
        <v>1</v>
      </c>
    </row>
    <row r="17" spans="1:32" x14ac:dyDescent="0.3">
      <c r="A17" t="s">
        <v>348</v>
      </c>
      <c r="B17" t="s">
        <v>47</v>
      </c>
      <c r="C17" t="s">
        <v>68</v>
      </c>
      <c r="D17" t="s">
        <v>309</v>
      </c>
      <c r="E17" t="s">
        <v>973</v>
      </c>
      <c r="F17" s="15">
        <v>46240.53496527778</v>
      </c>
      <c r="G17" t="s">
        <v>401</v>
      </c>
      <c r="H17">
        <v>1</v>
      </c>
      <c r="I17" t="s">
        <v>974</v>
      </c>
      <c r="J17" s="15">
        <v>46240.617361111108</v>
      </c>
      <c r="K17" s="15">
        <v>46241.430555555555</v>
      </c>
      <c r="L17" s="15"/>
      <c r="M17">
        <v>1</v>
      </c>
      <c r="O17" t="s">
        <v>146</v>
      </c>
      <c r="P17" t="s">
        <v>1954</v>
      </c>
      <c r="S17" t="s">
        <v>357</v>
      </c>
      <c r="T17" t="s">
        <v>369</v>
      </c>
      <c r="U17" t="s">
        <v>239</v>
      </c>
      <c r="V17" t="s">
        <v>348</v>
      </c>
      <c r="W17" t="s">
        <v>369</v>
      </c>
      <c r="X17" t="s">
        <v>239</v>
      </c>
      <c r="Y17">
        <v>0</v>
      </c>
      <c r="AA17" t="s">
        <v>90</v>
      </c>
      <c r="AB17" t="s">
        <v>357</v>
      </c>
      <c r="AC17">
        <v>101</v>
      </c>
      <c r="AD17" t="s">
        <v>218</v>
      </c>
      <c r="AE17">
        <v>1</v>
      </c>
      <c r="AF17">
        <v>1</v>
      </c>
    </row>
    <row r="18" spans="1:32" x14ac:dyDescent="0.3">
      <c r="A18" t="s">
        <v>348</v>
      </c>
      <c r="B18" t="s">
        <v>48</v>
      </c>
      <c r="C18" t="s">
        <v>68</v>
      </c>
      <c r="D18" t="s">
        <v>309</v>
      </c>
      <c r="E18" t="s">
        <v>975</v>
      </c>
      <c r="F18" s="15">
        <v>46246.518310185187</v>
      </c>
      <c r="G18" t="s">
        <v>401</v>
      </c>
      <c r="H18">
        <v>1</v>
      </c>
      <c r="I18" t="s">
        <v>976</v>
      </c>
      <c r="J18" s="15">
        <v>46252.508333333331</v>
      </c>
      <c r="K18" s="15">
        <v>46254.573611111111</v>
      </c>
      <c r="L18" s="15"/>
      <c r="M18">
        <v>1</v>
      </c>
      <c r="O18" t="s">
        <v>201</v>
      </c>
      <c r="P18" t="s">
        <v>1956</v>
      </c>
      <c r="S18" t="s">
        <v>357</v>
      </c>
      <c r="T18" t="s">
        <v>369</v>
      </c>
      <c r="U18" t="s">
        <v>239</v>
      </c>
      <c r="V18" t="s">
        <v>348</v>
      </c>
      <c r="W18" t="s">
        <v>369</v>
      </c>
      <c r="X18" t="s">
        <v>239</v>
      </c>
      <c r="Y18">
        <v>0</v>
      </c>
      <c r="AA18" t="s">
        <v>90</v>
      </c>
      <c r="AB18" t="s">
        <v>357</v>
      </c>
      <c r="AC18">
        <v>101</v>
      </c>
      <c r="AD18" t="s">
        <v>217</v>
      </c>
      <c r="AE18">
        <v>1</v>
      </c>
      <c r="AF18">
        <v>1</v>
      </c>
    </row>
    <row r="19" spans="1:32" x14ac:dyDescent="0.3">
      <c r="A19" t="s">
        <v>348</v>
      </c>
      <c r="B19" t="s">
        <v>48</v>
      </c>
      <c r="C19" t="s">
        <v>68</v>
      </c>
      <c r="D19" t="s">
        <v>309</v>
      </c>
      <c r="E19" t="s">
        <v>977</v>
      </c>
      <c r="F19" s="15">
        <v>46251.526550925926</v>
      </c>
      <c r="G19" t="s">
        <v>401</v>
      </c>
      <c r="H19">
        <v>1</v>
      </c>
      <c r="I19" t="s">
        <v>744</v>
      </c>
      <c r="J19" s="15">
        <v>46252.671527777777</v>
      </c>
      <c r="K19" s="15">
        <v>46254.573611111111</v>
      </c>
      <c r="L19" s="15"/>
      <c r="M19">
        <v>1</v>
      </c>
      <c r="O19" t="s">
        <v>201</v>
      </c>
      <c r="P19" t="s">
        <v>1956</v>
      </c>
      <c r="S19" t="s">
        <v>357</v>
      </c>
      <c r="T19" t="s">
        <v>369</v>
      </c>
      <c r="U19" t="s">
        <v>239</v>
      </c>
      <c r="V19" t="s">
        <v>348</v>
      </c>
      <c r="W19" t="s">
        <v>369</v>
      </c>
      <c r="X19" t="s">
        <v>239</v>
      </c>
      <c r="AA19" t="s">
        <v>90</v>
      </c>
      <c r="AB19" t="s">
        <v>357</v>
      </c>
      <c r="AC19">
        <v>101</v>
      </c>
      <c r="AD19" t="s">
        <v>217</v>
      </c>
      <c r="AE19">
        <v>1</v>
      </c>
    </row>
    <row r="20" spans="1:32" x14ac:dyDescent="0.3">
      <c r="A20" t="s">
        <v>348</v>
      </c>
      <c r="B20" t="s">
        <v>48</v>
      </c>
      <c r="C20" t="s">
        <v>68</v>
      </c>
      <c r="D20" t="s">
        <v>309</v>
      </c>
      <c r="E20" t="s">
        <v>977</v>
      </c>
      <c r="F20" s="15">
        <v>46251.620995370373</v>
      </c>
      <c r="G20" t="s">
        <v>401</v>
      </c>
      <c r="H20">
        <v>2</v>
      </c>
      <c r="I20" t="s">
        <v>978</v>
      </c>
      <c r="J20" s="15">
        <v>46252.650694444441</v>
      </c>
      <c r="K20" s="15">
        <v>46254.573611111111</v>
      </c>
      <c r="L20" s="15"/>
      <c r="M20">
        <v>2</v>
      </c>
      <c r="O20" t="s">
        <v>201</v>
      </c>
      <c r="P20" t="s">
        <v>1956</v>
      </c>
      <c r="S20" t="s">
        <v>357</v>
      </c>
      <c r="T20" t="s">
        <v>369</v>
      </c>
      <c r="U20" t="s">
        <v>239</v>
      </c>
      <c r="V20" t="s">
        <v>348</v>
      </c>
      <c r="W20" t="s">
        <v>369</v>
      </c>
      <c r="X20" t="s">
        <v>239</v>
      </c>
      <c r="AA20" t="s">
        <v>90</v>
      </c>
      <c r="AB20" t="s">
        <v>357</v>
      </c>
      <c r="AC20">
        <v>101</v>
      </c>
      <c r="AD20" t="s">
        <v>217</v>
      </c>
      <c r="AE20">
        <v>1</v>
      </c>
    </row>
    <row r="21" spans="1:32" x14ac:dyDescent="0.3">
      <c r="A21" t="s">
        <v>348</v>
      </c>
      <c r="B21" t="s">
        <v>48</v>
      </c>
      <c r="C21" t="s">
        <v>68</v>
      </c>
      <c r="D21" t="s">
        <v>309</v>
      </c>
      <c r="E21" t="s">
        <v>979</v>
      </c>
      <c r="F21" s="15">
        <v>46254.383645833332</v>
      </c>
      <c r="G21" t="s">
        <v>401</v>
      </c>
      <c r="H21">
        <v>1</v>
      </c>
      <c r="I21" t="s">
        <v>980</v>
      </c>
      <c r="J21" s="15">
        <v>46255.375694444447</v>
      </c>
      <c r="K21" s="15">
        <v>46258.484027777777</v>
      </c>
      <c r="L21" s="15"/>
      <c r="M21">
        <v>1</v>
      </c>
      <c r="O21" t="s">
        <v>201</v>
      </c>
      <c r="P21" t="s">
        <v>1956</v>
      </c>
      <c r="S21" t="s">
        <v>357</v>
      </c>
      <c r="T21" t="s">
        <v>369</v>
      </c>
      <c r="U21" t="s">
        <v>239</v>
      </c>
      <c r="V21" t="s">
        <v>348</v>
      </c>
      <c r="W21" t="s">
        <v>369</v>
      </c>
      <c r="X21" t="s">
        <v>239</v>
      </c>
      <c r="Y21">
        <v>0</v>
      </c>
      <c r="AA21" t="s">
        <v>90</v>
      </c>
      <c r="AB21" t="s">
        <v>357</v>
      </c>
      <c r="AC21">
        <v>101</v>
      </c>
      <c r="AD21" t="s">
        <v>217</v>
      </c>
      <c r="AE21">
        <v>1</v>
      </c>
      <c r="AF21">
        <v>1</v>
      </c>
    </row>
    <row r="22" spans="1:32" x14ac:dyDescent="0.3">
      <c r="A22" t="s">
        <v>348</v>
      </c>
      <c r="B22" t="s">
        <v>48</v>
      </c>
      <c r="C22" t="s">
        <v>68</v>
      </c>
      <c r="D22" t="s">
        <v>309</v>
      </c>
      <c r="E22" t="s">
        <v>981</v>
      </c>
      <c r="F22" s="15">
        <v>46246.459398148145</v>
      </c>
      <c r="G22" t="s">
        <v>401</v>
      </c>
      <c r="H22">
        <v>1</v>
      </c>
      <c r="I22" t="s">
        <v>982</v>
      </c>
      <c r="J22" s="15">
        <v>46255.427777777775</v>
      </c>
      <c r="K22" s="15">
        <v>46258.484027777777</v>
      </c>
      <c r="L22" s="15"/>
      <c r="M22">
        <v>1</v>
      </c>
      <c r="O22" t="s">
        <v>201</v>
      </c>
      <c r="P22" t="s">
        <v>1956</v>
      </c>
      <c r="S22" t="s">
        <v>357</v>
      </c>
      <c r="T22" t="s">
        <v>369</v>
      </c>
      <c r="U22" t="s">
        <v>239</v>
      </c>
      <c r="V22" t="s">
        <v>348</v>
      </c>
      <c r="W22" t="s">
        <v>369</v>
      </c>
      <c r="X22" t="s">
        <v>239</v>
      </c>
      <c r="AA22" t="s">
        <v>90</v>
      </c>
      <c r="AB22" t="s">
        <v>357</v>
      </c>
      <c r="AC22">
        <v>101</v>
      </c>
      <c r="AD22" t="s">
        <v>217</v>
      </c>
      <c r="AE22">
        <v>1</v>
      </c>
    </row>
    <row r="23" spans="1:32" x14ac:dyDescent="0.3">
      <c r="A23" t="s">
        <v>348</v>
      </c>
      <c r="B23" t="s">
        <v>48</v>
      </c>
      <c r="C23" t="s">
        <v>68</v>
      </c>
      <c r="D23" t="s">
        <v>309</v>
      </c>
      <c r="E23" t="s">
        <v>983</v>
      </c>
      <c r="F23" s="15">
        <v>46245.580497685187</v>
      </c>
      <c r="G23" t="s">
        <v>401</v>
      </c>
      <c r="H23">
        <v>1</v>
      </c>
      <c r="I23" t="s">
        <v>982</v>
      </c>
      <c r="J23" s="15">
        <v>46255.427777777775</v>
      </c>
      <c r="K23" s="15">
        <v>46258.484027777777</v>
      </c>
      <c r="L23" s="15"/>
      <c r="M23">
        <v>1</v>
      </c>
      <c r="O23" t="s">
        <v>201</v>
      </c>
      <c r="P23" t="s">
        <v>1956</v>
      </c>
      <c r="S23" t="s">
        <v>357</v>
      </c>
      <c r="T23" t="s">
        <v>369</v>
      </c>
      <c r="U23" t="s">
        <v>239</v>
      </c>
      <c r="V23" t="s">
        <v>348</v>
      </c>
      <c r="W23" t="s">
        <v>369</v>
      </c>
      <c r="X23" t="s">
        <v>239</v>
      </c>
      <c r="AA23" t="s">
        <v>90</v>
      </c>
      <c r="AB23" t="s">
        <v>357</v>
      </c>
      <c r="AC23">
        <v>101</v>
      </c>
      <c r="AD23" t="s">
        <v>217</v>
      </c>
      <c r="AE23">
        <v>1</v>
      </c>
    </row>
    <row r="24" spans="1:32" x14ac:dyDescent="0.3">
      <c r="A24" t="s">
        <v>348</v>
      </c>
      <c r="B24" t="s">
        <v>48</v>
      </c>
      <c r="C24" t="s">
        <v>68</v>
      </c>
      <c r="D24" t="s">
        <v>309</v>
      </c>
      <c r="E24" t="s">
        <v>984</v>
      </c>
      <c r="F24" s="15">
        <v>46253.381192129629</v>
      </c>
      <c r="G24" t="s">
        <v>401</v>
      </c>
      <c r="H24">
        <v>1</v>
      </c>
      <c r="I24" t="s">
        <v>985</v>
      </c>
      <c r="J24" s="15">
        <v>46254.517361111109</v>
      </c>
      <c r="K24" s="15">
        <v>46255.386805555558</v>
      </c>
      <c r="L24" s="15"/>
      <c r="M24">
        <v>1</v>
      </c>
      <c r="O24" t="s">
        <v>201</v>
      </c>
      <c r="P24" t="s">
        <v>1954</v>
      </c>
      <c r="S24" t="s">
        <v>357</v>
      </c>
      <c r="T24" t="s">
        <v>369</v>
      </c>
      <c r="U24" t="s">
        <v>239</v>
      </c>
      <c r="V24" t="s">
        <v>348</v>
      </c>
      <c r="W24" t="s">
        <v>369</v>
      </c>
      <c r="X24" t="s">
        <v>239</v>
      </c>
      <c r="Y24">
        <v>0</v>
      </c>
      <c r="AA24" t="s">
        <v>90</v>
      </c>
      <c r="AB24" t="s">
        <v>357</v>
      </c>
      <c r="AC24">
        <v>101</v>
      </c>
      <c r="AD24" t="s">
        <v>217</v>
      </c>
      <c r="AE24">
        <v>1</v>
      </c>
      <c r="AF24">
        <v>1</v>
      </c>
    </row>
    <row r="25" spans="1:32" x14ac:dyDescent="0.3">
      <c r="A25" t="s">
        <v>348</v>
      </c>
      <c r="B25" t="s">
        <v>48</v>
      </c>
      <c r="C25" t="s">
        <v>68</v>
      </c>
      <c r="D25" t="s">
        <v>309</v>
      </c>
      <c r="E25" t="s">
        <v>986</v>
      </c>
      <c r="F25" s="15">
        <v>46237.501354166663</v>
      </c>
      <c r="G25" t="s">
        <v>401</v>
      </c>
      <c r="H25">
        <v>1</v>
      </c>
      <c r="I25" t="s">
        <v>987</v>
      </c>
      <c r="J25" s="15">
        <v>46237.692361111112</v>
      </c>
      <c r="K25" s="15">
        <v>46239.477777777778</v>
      </c>
      <c r="L25" s="15"/>
      <c r="M25">
        <v>1</v>
      </c>
      <c r="O25" t="s">
        <v>201</v>
      </c>
      <c r="P25" t="s">
        <v>1956</v>
      </c>
      <c r="S25" t="s">
        <v>357</v>
      </c>
      <c r="T25" t="s">
        <v>369</v>
      </c>
      <c r="U25" t="s">
        <v>239</v>
      </c>
      <c r="V25" t="s">
        <v>348</v>
      </c>
      <c r="W25" t="s">
        <v>369</v>
      </c>
      <c r="X25" t="s">
        <v>239</v>
      </c>
      <c r="Y25">
        <v>0</v>
      </c>
      <c r="AA25" t="s">
        <v>90</v>
      </c>
      <c r="AB25" t="s">
        <v>357</v>
      </c>
      <c r="AC25">
        <v>101</v>
      </c>
      <c r="AD25" t="s">
        <v>217</v>
      </c>
      <c r="AE25">
        <v>1</v>
      </c>
      <c r="AF25">
        <v>1</v>
      </c>
    </row>
    <row r="26" spans="1:32" x14ac:dyDescent="0.3">
      <c r="A26" t="s">
        <v>348</v>
      </c>
      <c r="B26" t="s">
        <v>48</v>
      </c>
      <c r="C26" t="s">
        <v>68</v>
      </c>
      <c r="D26" t="s">
        <v>309</v>
      </c>
      <c r="E26" t="s">
        <v>988</v>
      </c>
      <c r="F26" s="15">
        <v>46237.522916666669</v>
      </c>
      <c r="G26" t="s">
        <v>401</v>
      </c>
      <c r="H26">
        <v>2</v>
      </c>
      <c r="I26" t="s">
        <v>989</v>
      </c>
      <c r="J26" s="15">
        <v>46237.661747685182</v>
      </c>
      <c r="K26" s="15">
        <v>46239.477777777778</v>
      </c>
      <c r="L26" s="15"/>
      <c r="M26">
        <v>2</v>
      </c>
      <c r="O26" t="s">
        <v>201</v>
      </c>
      <c r="P26" t="s">
        <v>1956</v>
      </c>
      <c r="S26" t="s">
        <v>357</v>
      </c>
      <c r="T26" t="s">
        <v>369</v>
      </c>
      <c r="U26" t="s">
        <v>239</v>
      </c>
      <c r="V26" t="s">
        <v>348</v>
      </c>
      <c r="W26" t="s">
        <v>369</v>
      </c>
      <c r="X26" t="s">
        <v>239</v>
      </c>
      <c r="AA26" t="s">
        <v>90</v>
      </c>
      <c r="AB26" t="s">
        <v>357</v>
      </c>
      <c r="AC26">
        <v>101</v>
      </c>
      <c r="AD26" t="s">
        <v>217</v>
      </c>
      <c r="AE26">
        <v>1</v>
      </c>
    </row>
    <row r="27" spans="1:32" x14ac:dyDescent="0.3">
      <c r="A27" t="s">
        <v>348</v>
      </c>
      <c r="B27" t="s">
        <v>48</v>
      </c>
      <c r="C27" t="s">
        <v>68</v>
      </c>
      <c r="D27" t="s">
        <v>309</v>
      </c>
      <c r="E27" t="s">
        <v>990</v>
      </c>
      <c r="F27" s="15">
        <v>46226.405069444445</v>
      </c>
      <c r="G27" t="s">
        <v>401</v>
      </c>
      <c r="H27">
        <v>2</v>
      </c>
      <c r="I27" t="s">
        <v>991</v>
      </c>
      <c r="J27" s="15">
        <v>46226.479988425926</v>
      </c>
      <c r="K27" s="15">
        <v>46230.652777777781</v>
      </c>
      <c r="L27" s="15"/>
      <c r="M27">
        <v>2</v>
      </c>
      <c r="O27" t="s">
        <v>201</v>
      </c>
      <c r="P27" t="s">
        <v>1956</v>
      </c>
      <c r="S27" t="s">
        <v>357</v>
      </c>
      <c r="T27" t="s">
        <v>369</v>
      </c>
      <c r="U27" t="s">
        <v>239</v>
      </c>
      <c r="V27" t="s">
        <v>348</v>
      </c>
      <c r="W27" t="s">
        <v>369</v>
      </c>
      <c r="X27" t="s">
        <v>239</v>
      </c>
      <c r="Y27">
        <v>0</v>
      </c>
      <c r="AA27" t="s">
        <v>90</v>
      </c>
      <c r="AB27" t="s">
        <v>357</v>
      </c>
      <c r="AC27">
        <v>101</v>
      </c>
      <c r="AD27" t="s">
        <v>217</v>
      </c>
      <c r="AE27">
        <v>1</v>
      </c>
      <c r="AF27">
        <v>1</v>
      </c>
    </row>
    <row r="28" spans="1:32" x14ac:dyDescent="0.3">
      <c r="A28" t="s">
        <v>348</v>
      </c>
      <c r="B28" t="s">
        <v>48</v>
      </c>
      <c r="C28" t="s">
        <v>68</v>
      </c>
      <c r="D28" t="s">
        <v>309</v>
      </c>
      <c r="E28" t="s">
        <v>992</v>
      </c>
      <c r="F28" s="15">
        <v>46224.393900462965</v>
      </c>
      <c r="G28" t="s">
        <v>401</v>
      </c>
      <c r="H28">
        <v>1</v>
      </c>
      <c r="I28" t="s">
        <v>993</v>
      </c>
      <c r="J28" s="15">
        <v>46233.604861111111</v>
      </c>
      <c r="K28" s="15">
        <v>46234.497916666667</v>
      </c>
      <c r="L28" s="15"/>
      <c r="M28">
        <v>1</v>
      </c>
      <c r="O28" t="s">
        <v>201</v>
      </c>
      <c r="P28" t="s">
        <v>1954</v>
      </c>
      <c r="S28" t="s">
        <v>357</v>
      </c>
      <c r="T28" t="s">
        <v>369</v>
      </c>
      <c r="U28" t="s">
        <v>239</v>
      </c>
      <c r="V28" t="s">
        <v>348</v>
      </c>
      <c r="W28" t="s">
        <v>369</v>
      </c>
      <c r="X28" t="s">
        <v>239</v>
      </c>
      <c r="Y28">
        <v>0</v>
      </c>
      <c r="AA28" t="s">
        <v>90</v>
      </c>
      <c r="AB28" t="s">
        <v>357</v>
      </c>
      <c r="AC28">
        <v>101</v>
      </c>
      <c r="AD28" t="s">
        <v>217</v>
      </c>
      <c r="AE28">
        <v>1</v>
      </c>
      <c r="AF28">
        <v>1</v>
      </c>
    </row>
    <row r="29" spans="1:32" x14ac:dyDescent="0.3">
      <c r="A29" t="s">
        <v>348</v>
      </c>
      <c r="B29" t="s">
        <v>43</v>
      </c>
      <c r="C29" t="s">
        <v>105</v>
      </c>
      <c r="D29" t="s">
        <v>309</v>
      </c>
      <c r="E29" t="s">
        <v>994</v>
      </c>
      <c r="F29" s="15">
        <v>46244.369768518518</v>
      </c>
      <c r="G29" t="s">
        <v>402</v>
      </c>
      <c r="H29">
        <v>4</v>
      </c>
      <c r="I29" t="s">
        <v>995</v>
      </c>
      <c r="J29" s="15">
        <v>46244.668749999997</v>
      </c>
      <c r="K29" s="15">
        <v>46246.443055555559</v>
      </c>
      <c r="L29" s="15"/>
      <c r="M29">
        <v>4</v>
      </c>
      <c r="O29" t="s">
        <v>201</v>
      </c>
      <c r="P29" t="s">
        <v>1954</v>
      </c>
      <c r="S29" t="s">
        <v>354</v>
      </c>
      <c r="T29" t="s">
        <v>369</v>
      </c>
      <c r="U29" t="s">
        <v>239</v>
      </c>
      <c r="V29" t="s">
        <v>348</v>
      </c>
      <c r="W29" t="s">
        <v>369</v>
      </c>
      <c r="X29" t="s">
        <v>239</v>
      </c>
      <c r="Y29">
        <v>0</v>
      </c>
      <c r="AA29" t="s">
        <v>67</v>
      </c>
      <c r="AB29" t="s">
        <v>354</v>
      </c>
      <c r="AC29">
        <v>50</v>
      </c>
      <c r="AD29" t="s">
        <v>217</v>
      </c>
      <c r="AE29">
        <v>1</v>
      </c>
      <c r="AF29">
        <v>1</v>
      </c>
    </row>
    <row r="30" spans="1:32" x14ac:dyDescent="0.3">
      <c r="A30" t="s">
        <v>348</v>
      </c>
      <c r="B30" t="s">
        <v>48</v>
      </c>
      <c r="C30" t="s">
        <v>68</v>
      </c>
      <c r="D30" t="s">
        <v>309</v>
      </c>
      <c r="E30" t="s">
        <v>996</v>
      </c>
      <c r="F30" s="15">
        <v>46244.381539351853</v>
      </c>
      <c r="G30" t="s">
        <v>402</v>
      </c>
      <c r="H30">
        <v>1</v>
      </c>
      <c r="I30" t="s">
        <v>997</v>
      </c>
      <c r="J30" s="15">
        <v>46244.708368055559</v>
      </c>
      <c r="K30" s="15">
        <v>46246.443055555559</v>
      </c>
      <c r="L30" s="15"/>
      <c r="M30">
        <v>1</v>
      </c>
      <c r="O30" t="s">
        <v>201</v>
      </c>
      <c r="P30" t="s">
        <v>1956</v>
      </c>
      <c r="S30" t="s">
        <v>354</v>
      </c>
      <c r="T30" t="s">
        <v>369</v>
      </c>
      <c r="U30" t="s">
        <v>239</v>
      </c>
      <c r="V30" t="s">
        <v>348</v>
      </c>
      <c r="W30" t="s">
        <v>369</v>
      </c>
      <c r="X30" t="s">
        <v>239</v>
      </c>
      <c r="AA30" t="s">
        <v>90</v>
      </c>
      <c r="AB30" t="s">
        <v>354</v>
      </c>
      <c r="AC30">
        <v>50</v>
      </c>
      <c r="AD30" t="s">
        <v>217</v>
      </c>
      <c r="AE30">
        <v>1</v>
      </c>
    </row>
    <row r="31" spans="1:32" x14ac:dyDescent="0.3">
      <c r="A31" t="s">
        <v>348</v>
      </c>
      <c r="B31" t="s">
        <v>43</v>
      </c>
      <c r="C31" t="s">
        <v>105</v>
      </c>
      <c r="D31" t="s">
        <v>309</v>
      </c>
      <c r="E31" t="s">
        <v>998</v>
      </c>
      <c r="F31" s="15">
        <v>46227.579050925924</v>
      </c>
      <c r="G31" t="s">
        <v>402</v>
      </c>
      <c r="H31">
        <v>2</v>
      </c>
      <c r="I31" t="s">
        <v>999</v>
      </c>
      <c r="J31" s="15">
        <v>46227.624965277777</v>
      </c>
      <c r="K31" s="15">
        <v>46231.416666666664</v>
      </c>
      <c r="L31" s="15"/>
      <c r="M31">
        <v>2</v>
      </c>
      <c r="O31" t="s">
        <v>201</v>
      </c>
      <c r="P31" t="s">
        <v>1954</v>
      </c>
      <c r="S31" t="s">
        <v>354</v>
      </c>
      <c r="T31" t="s">
        <v>369</v>
      </c>
      <c r="U31" t="s">
        <v>239</v>
      </c>
      <c r="V31" t="s">
        <v>348</v>
      </c>
      <c r="W31" t="s">
        <v>369</v>
      </c>
      <c r="X31" t="s">
        <v>239</v>
      </c>
      <c r="Y31">
        <v>0</v>
      </c>
      <c r="AA31" t="s">
        <v>67</v>
      </c>
      <c r="AB31" t="s">
        <v>354</v>
      </c>
      <c r="AC31">
        <v>50</v>
      </c>
      <c r="AD31" t="s">
        <v>217</v>
      </c>
      <c r="AE31">
        <v>1</v>
      </c>
      <c r="AF31">
        <v>1</v>
      </c>
    </row>
    <row r="32" spans="1:32" x14ac:dyDescent="0.3">
      <c r="A32" t="s">
        <v>348</v>
      </c>
      <c r="B32" t="s">
        <v>47</v>
      </c>
      <c r="C32" t="s">
        <v>68</v>
      </c>
      <c r="D32" t="s">
        <v>309</v>
      </c>
      <c r="E32" t="s">
        <v>1000</v>
      </c>
      <c r="F32" s="15">
        <v>46240.53496527778</v>
      </c>
      <c r="G32" t="s">
        <v>401</v>
      </c>
      <c r="H32">
        <v>2</v>
      </c>
      <c r="I32" t="s">
        <v>974</v>
      </c>
      <c r="J32" s="15">
        <v>46240.617361111108</v>
      </c>
      <c r="K32" s="15">
        <v>46241.430555555555</v>
      </c>
      <c r="L32" s="15"/>
      <c r="M32">
        <v>2</v>
      </c>
      <c r="O32" t="s">
        <v>146</v>
      </c>
      <c r="P32" t="s">
        <v>1954</v>
      </c>
      <c r="S32" t="s">
        <v>354</v>
      </c>
      <c r="T32" t="s">
        <v>369</v>
      </c>
      <c r="U32" t="s">
        <v>239</v>
      </c>
      <c r="V32" t="s">
        <v>348</v>
      </c>
      <c r="W32" t="s">
        <v>369</v>
      </c>
      <c r="X32" t="s">
        <v>239</v>
      </c>
      <c r="Y32">
        <v>0</v>
      </c>
      <c r="AA32" t="s">
        <v>90</v>
      </c>
      <c r="AB32" t="s">
        <v>354</v>
      </c>
      <c r="AC32">
        <v>50</v>
      </c>
      <c r="AD32" t="s">
        <v>218</v>
      </c>
      <c r="AE32">
        <v>1</v>
      </c>
      <c r="AF32">
        <v>1</v>
      </c>
    </row>
    <row r="33" spans="1:32" x14ac:dyDescent="0.3">
      <c r="A33" t="s">
        <v>348</v>
      </c>
      <c r="B33" t="s">
        <v>45</v>
      </c>
      <c r="C33" t="s">
        <v>68</v>
      </c>
      <c r="D33" t="s">
        <v>309</v>
      </c>
      <c r="E33" t="s">
        <v>1001</v>
      </c>
      <c r="F33" s="15">
        <v>46238.415856481479</v>
      </c>
      <c r="G33" t="s">
        <v>406</v>
      </c>
      <c r="H33">
        <v>3</v>
      </c>
      <c r="I33" t="s">
        <v>1002</v>
      </c>
      <c r="J33" s="15">
        <v>46238.662499999999</v>
      </c>
      <c r="K33" s="15">
        <v>46240.430555555555</v>
      </c>
      <c r="L33" s="15"/>
      <c r="M33">
        <v>3</v>
      </c>
      <c r="O33" t="s">
        <v>201</v>
      </c>
      <c r="P33" t="s">
        <v>1956</v>
      </c>
      <c r="S33" t="s">
        <v>354</v>
      </c>
      <c r="T33" t="s">
        <v>369</v>
      </c>
      <c r="U33" t="s">
        <v>239</v>
      </c>
      <c r="V33" t="s">
        <v>348</v>
      </c>
      <c r="W33" t="s">
        <v>369</v>
      </c>
      <c r="X33" t="s">
        <v>239</v>
      </c>
      <c r="Y33">
        <v>0</v>
      </c>
      <c r="AA33" t="s">
        <v>67</v>
      </c>
      <c r="AB33" t="s">
        <v>354</v>
      </c>
      <c r="AC33">
        <v>50</v>
      </c>
      <c r="AD33" t="s">
        <v>217</v>
      </c>
      <c r="AE33">
        <v>1</v>
      </c>
      <c r="AF33">
        <v>1</v>
      </c>
    </row>
    <row r="34" spans="1:32" x14ac:dyDescent="0.3">
      <c r="A34" t="s">
        <v>348</v>
      </c>
      <c r="B34" t="s">
        <v>45</v>
      </c>
      <c r="C34" t="s">
        <v>68</v>
      </c>
      <c r="D34" t="s">
        <v>309</v>
      </c>
      <c r="E34" t="s">
        <v>1003</v>
      </c>
      <c r="F34" s="15">
        <v>46238.416307870371</v>
      </c>
      <c r="G34" t="s">
        <v>406</v>
      </c>
      <c r="H34">
        <v>10</v>
      </c>
      <c r="I34" t="s">
        <v>1004</v>
      </c>
      <c r="J34" s="15">
        <v>46238.654166666667</v>
      </c>
      <c r="K34" s="15">
        <v>46240.430555555555</v>
      </c>
      <c r="L34" s="15"/>
      <c r="M34">
        <v>10</v>
      </c>
      <c r="O34" t="s">
        <v>201</v>
      </c>
      <c r="P34" t="s">
        <v>1956</v>
      </c>
      <c r="S34" t="s">
        <v>354</v>
      </c>
      <c r="T34" t="s">
        <v>369</v>
      </c>
      <c r="U34" t="s">
        <v>239</v>
      </c>
      <c r="V34" t="s">
        <v>348</v>
      </c>
      <c r="W34" t="s">
        <v>369</v>
      </c>
      <c r="X34" t="s">
        <v>239</v>
      </c>
      <c r="AA34" t="s">
        <v>67</v>
      </c>
      <c r="AB34" t="s">
        <v>354</v>
      </c>
      <c r="AC34">
        <v>50</v>
      </c>
      <c r="AD34" t="s">
        <v>217</v>
      </c>
      <c r="AE34">
        <v>1</v>
      </c>
    </row>
    <row r="35" spans="1:32" x14ac:dyDescent="0.3">
      <c r="A35" t="s">
        <v>348</v>
      </c>
      <c r="B35" t="s">
        <v>45</v>
      </c>
      <c r="C35" t="s">
        <v>68</v>
      </c>
      <c r="D35" t="s">
        <v>309</v>
      </c>
      <c r="E35" t="s">
        <v>1005</v>
      </c>
      <c r="F35" s="15">
        <v>46238.415497685186</v>
      </c>
      <c r="G35" t="s">
        <v>406</v>
      </c>
      <c r="H35">
        <v>9</v>
      </c>
      <c r="I35" t="s">
        <v>1006</v>
      </c>
      <c r="J35" s="15">
        <v>46238.628472222219</v>
      </c>
      <c r="K35" s="15">
        <v>46240.430555555555</v>
      </c>
      <c r="L35" s="15"/>
      <c r="M35">
        <v>9</v>
      </c>
      <c r="O35" t="s">
        <v>201</v>
      </c>
      <c r="P35" t="s">
        <v>1956</v>
      </c>
      <c r="S35" t="s">
        <v>354</v>
      </c>
      <c r="T35" t="s">
        <v>369</v>
      </c>
      <c r="U35" t="s">
        <v>239</v>
      </c>
      <c r="V35" t="s">
        <v>348</v>
      </c>
      <c r="W35" t="s">
        <v>369</v>
      </c>
      <c r="X35" t="s">
        <v>239</v>
      </c>
      <c r="AA35" t="s">
        <v>67</v>
      </c>
      <c r="AB35" t="s">
        <v>354</v>
      </c>
      <c r="AC35">
        <v>50</v>
      </c>
      <c r="AD35" t="s">
        <v>217</v>
      </c>
      <c r="AE35">
        <v>1</v>
      </c>
    </row>
    <row r="36" spans="1:32" x14ac:dyDescent="0.3">
      <c r="A36" t="s">
        <v>348</v>
      </c>
      <c r="B36" t="s">
        <v>45</v>
      </c>
      <c r="C36" t="s">
        <v>68</v>
      </c>
      <c r="D36" t="s">
        <v>309</v>
      </c>
      <c r="E36" t="s">
        <v>743</v>
      </c>
      <c r="F36" s="15">
        <v>46237.469942129632</v>
      </c>
      <c r="G36" t="s">
        <v>402</v>
      </c>
      <c r="H36">
        <v>1</v>
      </c>
      <c r="I36" t="s">
        <v>1007</v>
      </c>
      <c r="J36" s="15">
        <v>46240.430555555555</v>
      </c>
      <c r="K36" s="15">
        <v>46240.638888888891</v>
      </c>
      <c r="L36" s="15"/>
      <c r="M36">
        <v>1</v>
      </c>
      <c r="O36" t="s">
        <v>201</v>
      </c>
      <c r="P36" t="s">
        <v>1954</v>
      </c>
      <c r="S36" t="s">
        <v>354</v>
      </c>
      <c r="T36" t="s">
        <v>369</v>
      </c>
      <c r="U36" t="s">
        <v>239</v>
      </c>
      <c r="V36" t="s">
        <v>348</v>
      </c>
      <c r="W36" t="s">
        <v>369</v>
      </c>
      <c r="X36" t="s">
        <v>239</v>
      </c>
      <c r="Y36">
        <v>0</v>
      </c>
      <c r="AA36" t="s">
        <v>67</v>
      </c>
      <c r="AB36" t="s">
        <v>354</v>
      </c>
      <c r="AC36">
        <v>50</v>
      </c>
      <c r="AD36" t="s">
        <v>217</v>
      </c>
      <c r="AE36">
        <v>1</v>
      </c>
    </row>
    <row r="37" spans="1:32" x14ac:dyDescent="0.3">
      <c r="A37" t="s">
        <v>348</v>
      </c>
      <c r="B37" t="s">
        <v>48</v>
      </c>
      <c r="C37" t="s">
        <v>68</v>
      </c>
      <c r="D37" t="s">
        <v>309</v>
      </c>
      <c r="E37" t="s">
        <v>1008</v>
      </c>
      <c r="F37" s="15">
        <v>46233.385277777779</v>
      </c>
      <c r="G37" t="s">
        <v>402</v>
      </c>
      <c r="H37">
        <v>1</v>
      </c>
      <c r="I37" t="s">
        <v>1009</v>
      </c>
      <c r="J37" s="15">
        <v>46239.651388888888</v>
      </c>
      <c r="K37" s="15">
        <v>46240.420138888891</v>
      </c>
      <c r="L37" s="15"/>
      <c r="M37">
        <v>1</v>
      </c>
      <c r="O37" t="s">
        <v>201</v>
      </c>
      <c r="P37" t="s">
        <v>1954</v>
      </c>
      <c r="S37" t="s">
        <v>354</v>
      </c>
      <c r="T37" t="s">
        <v>369</v>
      </c>
      <c r="U37" t="s">
        <v>239</v>
      </c>
      <c r="V37" t="s">
        <v>348</v>
      </c>
      <c r="W37" t="s">
        <v>369</v>
      </c>
      <c r="X37" t="s">
        <v>239</v>
      </c>
      <c r="Y37">
        <v>0</v>
      </c>
      <c r="AA37" t="s">
        <v>90</v>
      </c>
      <c r="AB37" t="s">
        <v>354</v>
      </c>
      <c r="AC37">
        <v>50</v>
      </c>
      <c r="AD37" t="s">
        <v>217</v>
      </c>
      <c r="AE37">
        <v>1</v>
      </c>
    </row>
    <row r="38" spans="1:32" x14ac:dyDescent="0.3">
      <c r="A38" t="s">
        <v>348</v>
      </c>
      <c r="B38" t="s">
        <v>45</v>
      </c>
      <c r="C38" t="s">
        <v>68</v>
      </c>
      <c r="D38" t="s">
        <v>309</v>
      </c>
      <c r="E38" t="s">
        <v>1010</v>
      </c>
      <c r="F38" s="15">
        <v>46225.311331018522</v>
      </c>
      <c r="G38" t="s">
        <v>399</v>
      </c>
      <c r="H38">
        <v>3</v>
      </c>
      <c r="I38" t="s">
        <v>1011</v>
      </c>
      <c r="J38" s="15">
        <v>46225.67083333333</v>
      </c>
      <c r="K38" s="15">
        <v>46227.42291666667</v>
      </c>
      <c r="L38" s="15"/>
      <c r="M38">
        <v>3</v>
      </c>
      <c r="O38" t="s">
        <v>201</v>
      </c>
      <c r="P38" t="s">
        <v>1956</v>
      </c>
      <c r="S38" t="s">
        <v>354</v>
      </c>
      <c r="T38" t="s">
        <v>369</v>
      </c>
      <c r="U38" t="s">
        <v>239</v>
      </c>
      <c r="V38" t="s">
        <v>348</v>
      </c>
      <c r="W38" t="s">
        <v>369</v>
      </c>
      <c r="X38" t="s">
        <v>239</v>
      </c>
      <c r="Y38">
        <v>0</v>
      </c>
      <c r="AA38" t="s">
        <v>67</v>
      </c>
      <c r="AB38" t="s">
        <v>354</v>
      </c>
      <c r="AC38">
        <v>50</v>
      </c>
      <c r="AD38" t="s">
        <v>217</v>
      </c>
      <c r="AE38">
        <v>1</v>
      </c>
      <c r="AF38">
        <v>1</v>
      </c>
    </row>
    <row r="39" spans="1:32" x14ac:dyDescent="0.3">
      <c r="A39" t="s">
        <v>348</v>
      </c>
      <c r="B39" t="s">
        <v>45</v>
      </c>
      <c r="C39" t="s">
        <v>68</v>
      </c>
      <c r="D39" t="s">
        <v>309</v>
      </c>
      <c r="E39" t="s">
        <v>1012</v>
      </c>
      <c r="F39" s="15">
        <v>46225.310555555552</v>
      </c>
      <c r="G39" t="s">
        <v>399</v>
      </c>
      <c r="H39">
        <v>4</v>
      </c>
      <c r="I39" t="s">
        <v>1011</v>
      </c>
      <c r="J39" s="15">
        <v>46225.67083333333</v>
      </c>
      <c r="K39" s="15">
        <v>46227.42291666667</v>
      </c>
      <c r="L39" s="15"/>
      <c r="M39">
        <v>4</v>
      </c>
      <c r="O39" t="s">
        <v>201</v>
      </c>
      <c r="P39" t="s">
        <v>1956</v>
      </c>
      <c r="S39" t="s">
        <v>354</v>
      </c>
      <c r="T39" t="s">
        <v>369</v>
      </c>
      <c r="U39" t="s">
        <v>239</v>
      </c>
      <c r="V39" t="s">
        <v>348</v>
      </c>
      <c r="W39" t="s">
        <v>369</v>
      </c>
      <c r="X39" t="s">
        <v>239</v>
      </c>
      <c r="AA39" t="s">
        <v>67</v>
      </c>
      <c r="AB39" t="s">
        <v>354</v>
      </c>
      <c r="AC39">
        <v>50</v>
      </c>
      <c r="AD39" t="s">
        <v>217</v>
      </c>
      <c r="AE39">
        <v>1</v>
      </c>
    </row>
    <row r="40" spans="1:32" x14ac:dyDescent="0.3">
      <c r="A40" t="s">
        <v>348</v>
      </c>
      <c r="B40" t="s">
        <v>48</v>
      </c>
      <c r="C40" t="s">
        <v>68</v>
      </c>
      <c r="D40" t="s">
        <v>309</v>
      </c>
      <c r="E40" t="s">
        <v>1013</v>
      </c>
      <c r="F40" s="15">
        <v>46225.384560185186</v>
      </c>
      <c r="G40" t="s">
        <v>402</v>
      </c>
      <c r="H40">
        <v>1</v>
      </c>
      <c r="I40" t="s">
        <v>1014</v>
      </c>
      <c r="J40" s="15">
        <v>46225.698611111111</v>
      </c>
      <c r="K40" s="15">
        <v>46227.40347222222</v>
      </c>
      <c r="L40" s="15"/>
      <c r="M40">
        <v>1</v>
      </c>
      <c r="O40" t="s">
        <v>201</v>
      </c>
      <c r="P40" t="s">
        <v>1956</v>
      </c>
      <c r="S40" t="s">
        <v>354</v>
      </c>
      <c r="T40" t="s">
        <v>369</v>
      </c>
      <c r="U40" t="s">
        <v>239</v>
      </c>
      <c r="V40" t="s">
        <v>348</v>
      </c>
      <c r="W40" t="s">
        <v>369</v>
      </c>
      <c r="X40" t="s">
        <v>239</v>
      </c>
      <c r="AA40" t="s">
        <v>90</v>
      </c>
      <c r="AB40" t="s">
        <v>354</v>
      </c>
      <c r="AC40">
        <v>50</v>
      </c>
      <c r="AD40" t="s">
        <v>217</v>
      </c>
      <c r="AE40">
        <v>1</v>
      </c>
    </row>
    <row r="41" spans="1:32" x14ac:dyDescent="0.3">
      <c r="A41" t="s">
        <v>348</v>
      </c>
      <c r="B41" t="s">
        <v>48</v>
      </c>
      <c r="C41" t="s">
        <v>68</v>
      </c>
      <c r="D41" t="s">
        <v>309</v>
      </c>
      <c r="E41" t="s">
        <v>1015</v>
      </c>
      <c r="F41" s="15">
        <v>46225.554189814815</v>
      </c>
      <c r="G41" t="s">
        <v>402</v>
      </c>
      <c r="H41">
        <v>1</v>
      </c>
      <c r="I41" t="s">
        <v>1016</v>
      </c>
      <c r="J41" s="15">
        <v>46225.708333333336</v>
      </c>
      <c r="K41" s="15">
        <v>46227.40347222222</v>
      </c>
      <c r="L41" s="15"/>
      <c r="M41">
        <v>1</v>
      </c>
      <c r="O41" t="s">
        <v>201</v>
      </c>
      <c r="P41" t="s">
        <v>1956</v>
      </c>
      <c r="S41" t="s">
        <v>354</v>
      </c>
      <c r="T41" t="s">
        <v>369</v>
      </c>
      <c r="U41" t="s">
        <v>239</v>
      </c>
      <c r="V41" t="s">
        <v>348</v>
      </c>
      <c r="W41" t="s">
        <v>369</v>
      </c>
      <c r="X41" t="s">
        <v>239</v>
      </c>
      <c r="AA41" t="s">
        <v>90</v>
      </c>
      <c r="AB41" t="s">
        <v>354</v>
      </c>
      <c r="AC41">
        <v>50</v>
      </c>
      <c r="AD41" t="s">
        <v>217</v>
      </c>
      <c r="AE41">
        <v>1</v>
      </c>
    </row>
    <row r="42" spans="1:32" x14ac:dyDescent="0.3">
      <c r="A42" t="s">
        <v>348</v>
      </c>
      <c r="B42" t="s">
        <v>43</v>
      </c>
      <c r="C42" t="s">
        <v>105</v>
      </c>
      <c r="D42" t="s">
        <v>309</v>
      </c>
      <c r="E42" t="s">
        <v>1017</v>
      </c>
      <c r="F42" s="15">
        <v>46226.328611111108</v>
      </c>
      <c r="G42" t="s">
        <v>402</v>
      </c>
      <c r="H42">
        <v>6</v>
      </c>
      <c r="I42" t="s">
        <v>1018</v>
      </c>
      <c r="J42" s="15">
        <v>46226.431250000001</v>
      </c>
      <c r="K42" s="15">
        <v>46227.40347222222</v>
      </c>
      <c r="L42" s="15"/>
      <c r="M42">
        <v>6</v>
      </c>
      <c r="O42" t="s">
        <v>201</v>
      </c>
      <c r="P42" t="s">
        <v>1954</v>
      </c>
      <c r="S42" t="s">
        <v>354</v>
      </c>
      <c r="T42" t="s">
        <v>369</v>
      </c>
      <c r="U42" t="s">
        <v>239</v>
      </c>
      <c r="V42" t="s">
        <v>348</v>
      </c>
      <c r="W42" t="s">
        <v>369</v>
      </c>
      <c r="X42" t="s">
        <v>239</v>
      </c>
      <c r="AA42" t="s">
        <v>67</v>
      </c>
      <c r="AB42" t="s">
        <v>354</v>
      </c>
      <c r="AC42">
        <v>50</v>
      </c>
      <c r="AD42" t="s">
        <v>217</v>
      </c>
      <c r="AE42">
        <v>1</v>
      </c>
    </row>
    <row r="43" spans="1:32" x14ac:dyDescent="0.3">
      <c r="A43" t="s">
        <v>348</v>
      </c>
      <c r="B43" t="s">
        <v>48</v>
      </c>
      <c r="C43" t="s">
        <v>68</v>
      </c>
      <c r="D43" t="s">
        <v>309</v>
      </c>
      <c r="E43" t="s">
        <v>745</v>
      </c>
      <c r="F43" s="15">
        <v>46252.400995370372</v>
      </c>
      <c r="G43" t="s">
        <v>402</v>
      </c>
      <c r="H43">
        <v>1</v>
      </c>
      <c r="I43" t="s">
        <v>1019</v>
      </c>
      <c r="J43" s="15">
        <v>46253.65</v>
      </c>
      <c r="K43" s="15">
        <v>46254.420138888891</v>
      </c>
      <c r="L43" s="15"/>
      <c r="M43">
        <v>1</v>
      </c>
      <c r="O43" t="s">
        <v>201</v>
      </c>
      <c r="P43" t="s">
        <v>1954</v>
      </c>
      <c r="S43" t="s">
        <v>354</v>
      </c>
      <c r="T43" t="s">
        <v>369</v>
      </c>
      <c r="U43" t="s">
        <v>239</v>
      </c>
      <c r="V43" t="s">
        <v>348</v>
      </c>
      <c r="W43" t="s">
        <v>369</v>
      </c>
      <c r="X43" t="s">
        <v>239</v>
      </c>
      <c r="Y43">
        <v>0</v>
      </c>
      <c r="AA43" t="s">
        <v>90</v>
      </c>
      <c r="AB43" t="s">
        <v>354</v>
      </c>
      <c r="AC43">
        <v>50</v>
      </c>
      <c r="AD43" t="s">
        <v>217</v>
      </c>
      <c r="AE43">
        <v>1</v>
      </c>
      <c r="AF43">
        <v>1</v>
      </c>
    </row>
    <row r="44" spans="1:32" x14ac:dyDescent="0.3">
      <c r="A44" t="s">
        <v>348</v>
      </c>
      <c r="B44" t="s">
        <v>48</v>
      </c>
      <c r="C44" t="s">
        <v>68</v>
      </c>
      <c r="D44" t="s">
        <v>309</v>
      </c>
      <c r="E44" t="s">
        <v>745</v>
      </c>
      <c r="F44" s="15">
        <v>46252.400995370372</v>
      </c>
      <c r="G44" t="s">
        <v>402</v>
      </c>
      <c r="H44">
        <v>1</v>
      </c>
      <c r="I44" t="s">
        <v>1020</v>
      </c>
      <c r="J44" s="15">
        <v>46253.374305555553</v>
      </c>
      <c r="K44" s="15">
        <v>46254.420138888891</v>
      </c>
      <c r="L44" s="15"/>
      <c r="M44">
        <v>1</v>
      </c>
      <c r="O44" t="s">
        <v>201</v>
      </c>
      <c r="P44" t="s">
        <v>1956</v>
      </c>
      <c r="S44" t="s">
        <v>354</v>
      </c>
      <c r="T44" t="s">
        <v>369</v>
      </c>
      <c r="U44" t="s">
        <v>239</v>
      </c>
      <c r="V44" t="s">
        <v>348</v>
      </c>
      <c r="W44" t="s">
        <v>369</v>
      </c>
      <c r="X44" t="s">
        <v>239</v>
      </c>
      <c r="AA44" t="s">
        <v>90</v>
      </c>
      <c r="AB44" t="s">
        <v>354</v>
      </c>
      <c r="AC44">
        <v>50</v>
      </c>
      <c r="AD44" t="s">
        <v>217</v>
      </c>
      <c r="AE44">
        <v>1</v>
      </c>
    </row>
    <row r="45" spans="1:32" x14ac:dyDescent="0.3">
      <c r="A45" t="s">
        <v>348</v>
      </c>
      <c r="B45" t="s">
        <v>48</v>
      </c>
      <c r="C45" t="s">
        <v>68</v>
      </c>
      <c r="D45" t="s">
        <v>309</v>
      </c>
      <c r="E45" t="s">
        <v>746</v>
      </c>
      <c r="F45" s="15">
        <v>46251.60728009259</v>
      </c>
      <c r="G45" t="s">
        <v>402</v>
      </c>
      <c r="H45">
        <v>1</v>
      </c>
      <c r="I45" t="s">
        <v>1021</v>
      </c>
      <c r="J45" s="15">
        <v>46252.679166666669</v>
      </c>
      <c r="K45" s="15">
        <v>46254.420138888891</v>
      </c>
      <c r="L45" s="15"/>
      <c r="M45">
        <v>1</v>
      </c>
      <c r="O45" t="s">
        <v>201</v>
      </c>
      <c r="P45" t="s">
        <v>1956</v>
      </c>
      <c r="S45" t="s">
        <v>354</v>
      </c>
      <c r="T45" t="s">
        <v>369</v>
      </c>
      <c r="U45" t="s">
        <v>239</v>
      </c>
      <c r="V45" t="s">
        <v>348</v>
      </c>
      <c r="W45" t="s">
        <v>369</v>
      </c>
      <c r="X45" t="s">
        <v>239</v>
      </c>
      <c r="Y45">
        <v>0</v>
      </c>
      <c r="AA45" t="s">
        <v>90</v>
      </c>
      <c r="AB45" t="s">
        <v>354</v>
      </c>
      <c r="AC45">
        <v>50</v>
      </c>
      <c r="AD45" t="s">
        <v>217</v>
      </c>
      <c r="AE45">
        <v>1</v>
      </c>
    </row>
    <row r="46" spans="1:32" x14ac:dyDescent="0.3">
      <c r="A46" t="s">
        <v>348</v>
      </c>
      <c r="B46" t="s">
        <v>48</v>
      </c>
      <c r="C46" t="s">
        <v>68</v>
      </c>
      <c r="D46" t="s">
        <v>309</v>
      </c>
      <c r="E46" t="s">
        <v>1022</v>
      </c>
      <c r="F46" s="15">
        <v>46237.403981481482</v>
      </c>
      <c r="G46" t="s">
        <v>402</v>
      </c>
      <c r="H46">
        <v>1</v>
      </c>
      <c r="I46" t="s">
        <v>1023</v>
      </c>
      <c r="J46" s="15">
        <v>46237.502083333333</v>
      </c>
      <c r="K46" s="15">
        <v>46239.458333333336</v>
      </c>
      <c r="L46" s="15"/>
      <c r="M46">
        <v>1</v>
      </c>
      <c r="O46" t="s">
        <v>201</v>
      </c>
      <c r="P46" t="s">
        <v>1956</v>
      </c>
      <c r="S46" t="s">
        <v>354</v>
      </c>
      <c r="T46" t="s">
        <v>369</v>
      </c>
      <c r="U46" t="s">
        <v>239</v>
      </c>
      <c r="V46" t="s">
        <v>348</v>
      </c>
      <c r="W46" t="s">
        <v>369</v>
      </c>
      <c r="X46" t="s">
        <v>239</v>
      </c>
      <c r="Y46">
        <v>0</v>
      </c>
      <c r="AA46" t="s">
        <v>90</v>
      </c>
      <c r="AB46" t="s">
        <v>354</v>
      </c>
      <c r="AC46">
        <v>50</v>
      </c>
      <c r="AD46" t="s">
        <v>217</v>
      </c>
      <c r="AE46">
        <v>1</v>
      </c>
      <c r="AF46">
        <v>1</v>
      </c>
    </row>
    <row r="47" spans="1:32" x14ac:dyDescent="0.3">
      <c r="A47" t="s">
        <v>348</v>
      </c>
      <c r="B47" t="s">
        <v>48</v>
      </c>
      <c r="C47" t="s">
        <v>68</v>
      </c>
      <c r="D47" t="s">
        <v>309</v>
      </c>
      <c r="E47" t="s">
        <v>1024</v>
      </c>
      <c r="F47" s="15">
        <v>46245.504618055558</v>
      </c>
      <c r="G47" t="s">
        <v>402</v>
      </c>
      <c r="H47">
        <v>1</v>
      </c>
      <c r="I47" t="s">
        <v>1025</v>
      </c>
      <c r="J47" s="15">
        <v>46251.37777777778</v>
      </c>
      <c r="K47" s="15">
        <v>46252.390972222223</v>
      </c>
      <c r="L47" s="15"/>
      <c r="M47">
        <v>1</v>
      </c>
      <c r="O47" t="s">
        <v>201</v>
      </c>
      <c r="P47" t="s">
        <v>1956</v>
      </c>
      <c r="S47" t="s">
        <v>354</v>
      </c>
      <c r="T47" t="s">
        <v>369</v>
      </c>
      <c r="U47" t="s">
        <v>239</v>
      </c>
      <c r="V47" t="s">
        <v>348</v>
      </c>
      <c r="W47" t="s">
        <v>369</v>
      </c>
      <c r="X47" t="s">
        <v>239</v>
      </c>
      <c r="Y47">
        <v>0</v>
      </c>
      <c r="AA47" t="s">
        <v>90</v>
      </c>
      <c r="AB47" t="s">
        <v>354</v>
      </c>
      <c r="AC47">
        <v>50</v>
      </c>
      <c r="AD47" t="s">
        <v>217</v>
      </c>
      <c r="AE47">
        <v>1</v>
      </c>
      <c r="AF47">
        <v>1</v>
      </c>
    </row>
    <row r="48" spans="1:32" x14ac:dyDescent="0.3">
      <c r="A48" t="s">
        <v>348</v>
      </c>
      <c r="B48" t="s">
        <v>48</v>
      </c>
      <c r="C48" t="s">
        <v>68</v>
      </c>
      <c r="D48" t="s">
        <v>309</v>
      </c>
      <c r="E48" t="s">
        <v>1026</v>
      </c>
      <c r="F48" s="15">
        <v>46224.674085648148</v>
      </c>
      <c r="G48" t="s">
        <v>402</v>
      </c>
      <c r="H48">
        <v>1</v>
      </c>
      <c r="I48" t="s">
        <v>1027</v>
      </c>
      <c r="J48" s="15">
        <v>46226.561562499999</v>
      </c>
      <c r="K48" s="15">
        <v>46230.489583333336</v>
      </c>
      <c r="L48" s="15"/>
      <c r="M48">
        <v>1</v>
      </c>
      <c r="O48" t="s">
        <v>201</v>
      </c>
      <c r="P48" t="s">
        <v>1956</v>
      </c>
      <c r="S48" t="s">
        <v>354</v>
      </c>
      <c r="T48" t="s">
        <v>369</v>
      </c>
      <c r="U48" t="s">
        <v>239</v>
      </c>
      <c r="V48" t="s">
        <v>348</v>
      </c>
      <c r="W48" t="s">
        <v>369</v>
      </c>
      <c r="X48" t="s">
        <v>239</v>
      </c>
      <c r="Y48">
        <v>0</v>
      </c>
      <c r="AA48" t="s">
        <v>90</v>
      </c>
      <c r="AB48" t="s">
        <v>354</v>
      </c>
      <c r="AC48">
        <v>50</v>
      </c>
      <c r="AD48" t="s">
        <v>217</v>
      </c>
      <c r="AE48">
        <v>1</v>
      </c>
      <c r="AF48">
        <v>1</v>
      </c>
    </row>
    <row r="49" spans="1:32" x14ac:dyDescent="0.3">
      <c r="A49" t="s">
        <v>348</v>
      </c>
      <c r="B49" t="s">
        <v>48</v>
      </c>
      <c r="C49" t="s">
        <v>68</v>
      </c>
      <c r="D49" t="s">
        <v>309</v>
      </c>
      <c r="E49" t="s">
        <v>1028</v>
      </c>
      <c r="F49" s="15">
        <v>46220.546053240738</v>
      </c>
      <c r="G49" t="s">
        <v>402</v>
      </c>
      <c r="H49">
        <v>1</v>
      </c>
      <c r="I49" t="s">
        <v>1029</v>
      </c>
      <c r="J49" s="15">
        <v>46224.709398148145</v>
      </c>
      <c r="K49" s="15">
        <v>46226.411805555559</v>
      </c>
      <c r="L49" s="15"/>
      <c r="M49">
        <v>1</v>
      </c>
      <c r="O49" t="s">
        <v>201</v>
      </c>
      <c r="P49" t="s">
        <v>1956</v>
      </c>
      <c r="S49" t="s">
        <v>354</v>
      </c>
      <c r="T49" t="s">
        <v>369</v>
      </c>
      <c r="U49" t="s">
        <v>239</v>
      </c>
      <c r="V49" t="s">
        <v>348</v>
      </c>
      <c r="W49" t="s">
        <v>369</v>
      </c>
      <c r="X49" t="s">
        <v>239</v>
      </c>
      <c r="Y49">
        <v>0</v>
      </c>
      <c r="AA49" t="s">
        <v>90</v>
      </c>
      <c r="AB49" t="s">
        <v>354</v>
      </c>
      <c r="AC49">
        <v>50</v>
      </c>
      <c r="AD49" t="s">
        <v>217</v>
      </c>
      <c r="AE49">
        <v>1</v>
      </c>
      <c r="AF49">
        <v>1</v>
      </c>
    </row>
    <row r="50" spans="1:32" x14ac:dyDescent="0.3">
      <c r="A50" t="s">
        <v>348</v>
      </c>
      <c r="B50" t="s">
        <v>51</v>
      </c>
      <c r="C50" t="s">
        <v>258</v>
      </c>
      <c r="D50" t="s">
        <v>309</v>
      </c>
      <c r="E50" t="s">
        <v>1030</v>
      </c>
      <c r="F50" s="15">
        <v>46232.614351851851</v>
      </c>
      <c r="G50" t="s">
        <v>402</v>
      </c>
      <c r="H50">
        <v>50</v>
      </c>
      <c r="I50" t="s">
        <v>1031</v>
      </c>
      <c r="J50" s="15">
        <v>46232.63958333333</v>
      </c>
      <c r="K50" s="15">
        <v>46233.408333333333</v>
      </c>
      <c r="L50" s="15"/>
      <c r="M50">
        <v>50</v>
      </c>
      <c r="O50" t="s">
        <v>201</v>
      </c>
      <c r="P50" t="s">
        <v>1954</v>
      </c>
      <c r="S50" t="s">
        <v>355</v>
      </c>
      <c r="T50" t="s">
        <v>369</v>
      </c>
      <c r="U50" t="s">
        <v>239</v>
      </c>
      <c r="V50" t="s">
        <v>7</v>
      </c>
      <c r="W50" t="s">
        <v>7</v>
      </c>
      <c r="X50" t="s">
        <v>7</v>
      </c>
      <c r="AA50" t="s">
        <v>238</v>
      </c>
      <c r="AB50" t="s">
        <v>355</v>
      </c>
      <c r="AC50">
        <v>2200</v>
      </c>
      <c r="AD50" t="s">
        <v>7</v>
      </c>
      <c r="AF50">
        <v>0</v>
      </c>
    </row>
    <row r="51" spans="1:32" x14ac:dyDescent="0.3">
      <c r="A51" t="s">
        <v>348</v>
      </c>
      <c r="B51" t="s">
        <v>51</v>
      </c>
      <c r="C51" t="s">
        <v>258</v>
      </c>
      <c r="D51" t="s">
        <v>309</v>
      </c>
      <c r="E51" t="s">
        <v>1032</v>
      </c>
      <c r="F51" s="15">
        <v>46252.483842592592</v>
      </c>
      <c r="G51" t="s">
        <v>402</v>
      </c>
      <c r="H51">
        <v>50</v>
      </c>
      <c r="I51" t="s">
        <v>1033</v>
      </c>
      <c r="J51" s="15">
        <v>46253.598611111112</v>
      </c>
      <c r="K51" s="15">
        <v>46254.503472222219</v>
      </c>
      <c r="L51" s="15"/>
      <c r="M51">
        <v>50</v>
      </c>
      <c r="O51" t="s">
        <v>201</v>
      </c>
      <c r="P51" t="s">
        <v>1954</v>
      </c>
      <c r="S51" t="s">
        <v>355</v>
      </c>
      <c r="T51" t="s">
        <v>369</v>
      </c>
      <c r="U51" t="s">
        <v>239</v>
      </c>
      <c r="V51" t="s">
        <v>7</v>
      </c>
      <c r="W51" t="s">
        <v>7</v>
      </c>
      <c r="X51" t="s">
        <v>7</v>
      </c>
      <c r="AA51" t="s">
        <v>238</v>
      </c>
      <c r="AB51" t="s">
        <v>355</v>
      </c>
      <c r="AC51">
        <v>2200</v>
      </c>
      <c r="AD51" t="s">
        <v>7</v>
      </c>
      <c r="AF51">
        <v>0</v>
      </c>
    </row>
    <row r="52" spans="1:32" x14ac:dyDescent="0.3">
      <c r="A52" t="s">
        <v>348</v>
      </c>
      <c r="B52" t="s">
        <v>51</v>
      </c>
      <c r="C52" t="s">
        <v>258</v>
      </c>
      <c r="D52" t="s">
        <v>309</v>
      </c>
      <c r="E52" t="s">
        <v>1034</v>
      </c>
      <c r="F52" s="15">
        <v>46252.480428240742</v>
      </c>
      <c r="G52" t="s">
        <v>402</v>
      </c>
      <c r="H52">
        <v>50</v>
      </c>
      <c r="I52" t="s">
        <v>1033</v>
      </c>
      <c r="J52" s="15">
        <v>46253.598611111112</v>
      </c>
      <c r="K52" s="15">
        <v>46254.503472222219</v>
      </c>
      <c r="L52" s="15"/>
      <c r="M52">
        <v>50</v>
      </c>
      <c r="O52" t="s">
        <v>201</v>
      </c>
      <c r="P52" t="s">
        <v>1954</v>
      </c>
      <c r="S52" t="s">
        <v>355</v>
      </c>
      <c r="T52" t="s">
        <v>369</v>
      </c>
      <c r="U52" t="s">
        <v>239</v>
      </c>
      <c r="V52" t="s">
        <v>7</v>
      </c>
      <c r="W52" t="s">
        <v>7</v>
      </c>
      <c r="X52" t="s">
        <v>7</v>
      </c>
      <c r="AA52" t="s">
        <v>238</v>
      </c>
      <c r="AB52" t="s">
        <v>355</v>
      </c>
      <c r="AC52">
        <v>2200</v>
      </c>
      <c r="AD52" t="s">
        <v>7</v>
      </c>
    </row>
    <row r="53" spans="1:32" x14ac:dyDescent="0.3">
      <c r="A53" t="s">
        <v>348</v>
      </c>
      <c r="B53" t="s">
        <v>51</v>
      </c>
      <c r="C53" t="s">
        <v>258</v>
      </c>
      <c r="D53" t="s">
        <v>309</v>
      </c>
      <c r="E53" t="s">
        <v>1035</v>
      </c>
      <c r="F53" s="15">
        <v>46252.482303240744</v>
      </c>
      <c r="G53" t="s">
        <v>402</v>
      </c>
      <c r="H53">
        <v>50</v>
      </c>
      <c r="I53" t="s">
        <v>1033</v>
      </c>
      <c r="J53" s="15">
        <v>46253.598611111112</v>
      </c>
      <c r="K53" s="15">
        <v>46254.503472222219</v>
      </c>
      <c r="L53" s="15"/>
      <c r="M53">
        <v>50</v>
      </c>
      <c r="O53" t="s">
        <v>201</v>
      </c>
      <c r="P53" t="s">
        <v>1954</v>
      </c>
      <c r="S53" t="s">
        <v>355</v>
      </c>
      <c r="T53" t="s">
        <v>369</v>
      </c>
      <c r="U53" t="s">
        <v>239</v>
      </c>
      <c r="V53" t="s">
        <v>7</v>
      </c>
      <c r="W53" t="s">
        <v>7</v>
      </c>
      <c r="X53" t="s">
        <v>7</v>
      </c>
      <c r="AA53" t="s">
        <v>238</v>
      </c>
      <c r="AB53" t="s">
        <v>355</v>
      </c>
      <c r="AC53">
        <v>2200</v>
      </c>
      <c r="AD53" t="s">
        <v>7</v>
      </c>
    </row>
    <row r="54" spans="1:32" x14ac:dyDescent="0.3">
      <c r="A54" t="s">
        <v>348</v>
      </c>
      <c r="B54" t="s">
        <v>51</v>
      </c>
      <c r="C54" t="s">
        <v>258</v>
      </c>
      <c r="D54" t="s">
        <v>309</v>
      </c>
      <c r="E54" t="s">
        <v>1036</v>
      </c>
      <c r="F54" s="15">
        <v>46227.419386574074</v>
      </c>
      <c r="G54" t="s">
        <v>402</v>
      </c>
      <c r="H54">
        <v>100</v>
      </c>
      <c r="I54" t="s">
        <v>1037</v>
      </c>
      <c r="J54" s="15">
        <v>46227.607638888891</v>
      </c>
      <c r="K54" s="15">
        <v>46231.386805555558</v>
      </c>
      <c r="L54" s="15"/>
      <c r="M54">
        <v>100</v>
      </c>
      <c r="O54" t="s">
        <v>201</v>
      </c>
      <c r="P54" t="s">
        <v>1956</v>
      </c>
      <c r="S54" t="s">
        <v>354</v>
      </c>
      <c r="T54" t="s">
        <v>369</v>
      </c>
      <c r="U54" t="s">
        <v>239</v>
      </c>
      <c r="V54" t="s">
        <v>7</v>
      </c>
      <c r="W54" t="s">
        <v>7</v>
      </c>
      <c r="X54" t="s">
        <v>7</v>
      </c>
      <c r="AA54" t="s">
        <v>238</v>
      </c>
      <c r="AB54" t="s">
        <v>354</v>
      </c>
      <c r="AC54">
        <v>50</v>
      </c>
      <c r="AD54" t="s">
        <v>7</v>
      </c>
      <c r="AF54">
        <v>0</v>
      </c>
    </row>
    <row r="55" spans="1:32" x14ac:dyDescent="0.3">
      <c r="A55" t="s">
        <v>348</v>
      </c>
      <c r="B55" t="s">
        <v>42</v>
      </c>
      <c r="C55" t="s">
        <v>68</v>
      </c>
      <c r="D55" t="s">
        <v>309</v>
      </c>
      <c r="E55" t="s">
        <v>1038</v>
      </c>
      <c r="F55" s="15">
        <v>46227.417442129627</v>
      </c>
      <c r="G55" t="s">
        <v>402</v>
      </c>
      <c r="H55">
        <v>1</v>
      </c>
      <c r="I55" t="s">
        <v>1039</v>
      </c>
      <c r="J55" s="15">
        <v>46230.382638888892</v>
      </c>
      <c r="K55" s="15">
        <v>46231.361111111109</v>
      </c>
      <c r="L55" s="15"/>
      <c r="M55">
        <v>1</v>
      </c>
      <c r="O55" t="s">
        <v>1957</v>
      </c>
      <c r="S55" t="s">
        <v>354</v>
      </c>
      <c r="T55" t="s">
        <v>369</v>
      </c>
      <c r="U55" t="s">
        <v>239</v>
      </c>
      <c r="V55" t="s">
        <v>7</v>
      </c>
      <c r="W55" t="s">
        <v>7</v>
      </c>
      <c r="X55" t="s">
        <v>7</v>
      </c>
      <c r="AA55" t="s">
        <v>67</v>
      </c>
      <c r="AB55" t="s">
        <v>354</v>
      </c>
      <c r="AC55">
        <v>50</v>
      </c>
      <c r="AD55" t="s">
        <v>7</v>
      </c>
    </row>
    <row r="56" spans="1:32" x14ac:dyDescent="0.3">
      <c r="A56" t="s">
        <v>348</v>
      </c>
      <c r="B56" t="s">
        <v>51</v>
      </c>
      <c r="C56" t="s">
        <v>258</v>
      </c>
      <c r="D56" t="s">
        <v>309</v>
      </c>
      <c r="E56" t="s">
        <v>1040</v>
      </c>
      <c r="F56" s="15">
        <v>46225.586296296293</v>
      </c>
      <c r="G56" t="s">
        <v>1041</v>
      </c>
      <c r="H56">
        <v>5</v>
      </c>
      <c r="I56" t="s">
        <v>1042</v>
      </c>
      <c r="J56" s="15">
        <v>46225.654861111114</v>
      </c>
      <c r="K56" s="15">
        <v>46230.291666666664</v>
      </c>
      <c r="L56" s="15"/>
      <c r="M56">
        <v>5</v>
      </c>
      <c r="O56" t="s">
        <v>201</v>
      </c>
      <c r="P56" t="s">
        <v>1956</v>
      </c>
      <c r="S56" t="s">
        <v>354</v>
      </c>
      <c r="T56" t="s">
        <v>369</v>
      </c>
      <c r="U56" t="s">
        <v>239</v>
      </c>
      <c r="V56" t="s">
        <v>7</v>
      </c>
      <c r="W56" t="s">
        <v>7</v>
      </c>
      <c r="X56" t="s">
        <v>7</v>
      </c>
      <c r="AA56" t="s">
        <v>238</v>
      </c>
      <c r="AB56" t="s">
        <v>354</v>
      </c>
      <c r="AC56">
        <v>50</v>
      </c>
      <c r="AD56" t="s">
        <v>7</v>
      </c>
      <c r="AF56">
        <v>0</v>
      </c>
    </row>
    <row r="57" spans="1:32" x14ac:dyDescent="0.3">
      <c r="A57" t="s">
        <v>348</v>
      </c>
      <c r="B57" t="s">
        <v>51</v>
      </c>
      <c r="C57" t="s">
        <v>258</v>
      </c>
      <c r="D57" t="s">
        <v>309</v>
      </c>
      <c r="E57" t="s">
        <v>1043</v>
      </c>
      <c r="F57" s="15">
        <v>46225.464629629627</v>
      </c>
      <c r="G57" t="s">
        <v>1044</v>
      </c>
      <c r="H57">
        <v>18</v>
      </c>
      <c r="I57" t="s">
        <v>1045</v>
      </c>
      <c r="J57" s="15">
        <v>46225.601388888892</v>
      </c>
      <c r="K57" s="15">
        <v>46231.378472222219</v>
      </c>
      <c r="L57" s="15"/>
      <c r="M57">
        <v>18</v>
      </c>
      <c r="O57" t="s">
        <v>201</v>
      </c>
      <c r="P57" t="s">
        <v>1956</v>
      </c>
      <c r="S57" t="s">
        <v>356</v>
      </c>
      <c r="T57" t="s">
        <v>369</v>
      </c>
      <c r="U57" t="s">
        <v>239</v>
      </c>
      <c r="V57" t="s">
        <v>7</v>
      </c>
      <c r="W57" t="s">
        <v>7</v>
      </c>
      <c r="X57" t="s">
        <v>7</v>
      </c>
      <c r="AA57" t="s">
        <v>238</v>
      </c>
      <c r="AB57" t="s">
        <v>356</v>
      </c>
      <c r="AC57">
        <v>109</v>
      </c>
      <c r="AD57" t="s">
        <v>7</v>
      </c>
      <c r="AF57">
        <v>0</v>
      </c>
    </row>
    <row r="58" spans="1:32" x14ac:dyDescent="0.3">
      <c r="A58" t="s">
        <v>347</v>
      </c>
      <c r="B58" t="s">
        <v>51</v>
      </c>
      <c r="C58" t="s">
        <v>258</v>
      </c>
      <c r="D58" t="s">
        <v>309</v>
      </c>
      <c r="E58" t="s">
        <v>1046</v>
      </c>
      <c r="F58" s="15">
        <v>46232.64707175926</v>
      </c>
      <c r="G58" t="s">
        <v>1047</v>
      </c>
      <c r="H58">
        <v>150</v>
      </c>
      <c r="I58" t="s">
        <v>1048</v>
      </c>
      <c r="J58" s="15">
        <v>46233.367361111108</v>
      </c>
      <c r="K58" s="15">
        <v>46234.420138888891</v>
      </c>
      <c r="L58" s="15"/>
      <c r="M58">
        <v>150</v>
      </c>
      <c r="O58" t="s">
        <v>201</v>
      </c>
      <c r="P58" t="s">
        <v>1954</v>
      </c>
      <c r="S58" t="s">
        <v>360</v>
      </c>
      <c r="T58" t="s">
        <v>371</v>
      </c>
      <c r="U58" t="s">
        <v>240</v>
      </c>
      <c r="V58" t="s">
        <v>7</v>
      </c>
      <c r="W58" t="s">
        <v>7</v>
      </c>
      <c r="X58" t="s">
        <v>7</v>
      </c>
      <c r="AA58" t="s">
        <v>238</v>
      </c>
      <c r="AB58" t="s">
        <v>360</v>
      </c>
      <c r="AC58">
        <v>2480</v>
      </c>
      <c r="AD58" t="s">
        <v>7</v>
      </c>
      <c r="AF58">
        <v>0</v>
      </c>
    </row>
    <row r="59" spans="1:32" x14ac:dyDescent="0.3">
      <c r="A59" t="s">
        <v>347</v>
      </c>
      <c r="B59" t="s">
        <v>51</v>
      </c>
      <c r="C59" t="s">
        <v>258</v>
      </c>
      <c r="D59" t="s">
        <v>309</v>
      </c>
      <c r="E59" t="s">
        <v>1049</v>
      </c>
      <c r="F59" s="15">
        <v>46232.645833333336</v>
      </c>
      <c r="G59" t="s">
        <v>1047</v>
      </c>
      <c r="H59">
        <v>150</v>
      </c>
      <c r="I59" t="s">
        <v>1050</v>
      </c>
      <c r="J59" s="15">
        <v>46232.686111111114</v>
      </c>
      <c r="K59" s="15">
        <v>46234.420138888891</v>
      </c>
      <c r="L59" s="15"/>
      <c r="M59">
        <v>150</v>
      </c>
      <c r="O59" t="s">
        <v>201</v>
      </c>
      <c r="P59" t="s">
        <v>1954</v>
      </c>
      <c r="S59" t="s">
        <v>360</v>
      </c>
      <c r="T59" t="s">
        <v>371</v>
      </c>
      <c r="U59" t="s">
        <v>240</v>
      </c>
      <c r="V59" t="s">
        <v>7</v>
      </c>
      <c r="W59" t="s">
        <v>7</v>
      </c>
      <c r="X59" t="s">
        <v>7</v>
      </c>
      <c r="AA59" t="s">
        <v>238</v>
      </c>
      <c r="AB59" t="s">
        <v>360</v>
      </c>
      <c r="AC59">
        <v>2480</v>
      </c>
      <c r="AD59" t="s">
        <v>7</v>
      </c>
    </row>
    <row r="60" spans="1:32" x14ac:dyDescent="0.3">
      <c r="A60" t="s">
        <v>348</v>
      </c>
      <c r="B60" t="s">
        <v>45</v>
      </c>
      <c r="C60" t="s">
        <v>68</v>
      </c>
      <c r="D60" t="s">
        <v>309</v>
      </c>
      <c r="E60" t="s">
        <v>1051</v>
      </c>
      <c r="F60" s="15">
        <v>46255.309004629627</v>
      </c>
      <c r="G60" t="s">
        <v>402</v>
      </c>
      <c r="H60">
        <v>9</v>
      </c>
      <c r="I60" t="s">
        <v>1052</v>
      </c>
      <c r="J60" s="15">
        <v>46255.447222222225</v>
      </c>
      <c r="K60" s="15">
        <v>46258.458333333336</v>
      </c>
      <c r="L60" s="15"/>
      <c r="M60">
        <v>9</v>
      </c>
      <c r="O60" t="s">
        <v>201</v>
      </c>
      <c r="P60" t="s">
        <v>1956</v>
      </c>
      <c r="S60" t="s">
        <v>355</v>
      </c>
      <c r="T60" t="s">
        <v>369</v>
      </c>
      <c r="U60" t="s">
        <v>239</v>
      </c>
      <c r="V60" t="s">
        <v>348</v>
      </c>
      <c r="W60" t="s">
        <v>369</v>
      </c>
      <c r="X60" t="s">
        <v>239</v>
      </c>
      <c r="Y60">
        <v>0</v>
      </c>
      <c r="AA60" t="s">
        <v>67</v>
      </c>
      <c r="AB60" t="s">
        <v>355</v>
      </c>
      <c r="AC60">
        <v>2200</v>
      </c>
      <c r="AD60" t="s">
        <v>217</v>
      </c>
      <c r="AE60">
        <v>1</v>
      </c>
      <c r="AF60">
        <v>1</v>
      </c>
    </row>
    <row r="61" spans="1:32" x14ac:dyDescent="0.3">
      <c r="A61" t="s">
        <v>348</v>
      </c>
      <c r="B61" t="s">
        <v>45</v>
      </c>
      <c r="C61" t="s">
        <v>68</v>
      </c>
      <c r="D61" t="s">
        <v>309</v>
      </c>
      <c r="E61" t="s">
        <v>1053</v>
      </c>
      <c r="F61" s="15">
        <v>46254.394618055558</v>
      </c>
      <c r="G61" t="s">
        <v>402</v>
      </c>
      <c r="H61">
        <v>3</v>
      </c>
      <c r="I61" t="s">
        <v>1054</v>
      </c>
      <c r="J61" s="15">
        <v>46254.607638888891</v>
      </c>
      <c r="K61" s="15">
        <v>46255.493055555555</v>
      </c>
      <c r="L61" s="15"/>
      <c r="M61">
        <v>3</v>
      </c>
      <c r="O61" t="s">
        <v>201</v>
      </c>
      <c r="P61" t="s">
        <v>1954</v>
      </c>
      <c r="S61" t="s">
        <v>355</v>
      </c>
      <c r="T61" t="s">
        <v>369</v>
      </c>
      <c r="U61" t="s">
        <v>239</v>
      </c>
      <c r="V61" t="s">
        <v>348</v>
      </c>
      <c r="W61" t="s">
        <v>369</v>
      </c>
      <c r="X61" t="s">
        <v>239</v>
      </c>
      <c r="Y61">
        <v>0</v>
      </c>
      <c r="AA61" t="s">
        <v>67</v>
      </c>
      <c r="AB61" t="s">
        <v>355</v>
      </c>
      <c r="AC61">
        <v>2200</v>
      </c>
      <c r="AD61" t="s">
        <v>217</v>
      </c>
      <c r="AE61">
        <v>1</v>
      </c>
      <c r="AF61">
        <v>1</v>
      </c>
    </row>
    <row r="62" spans="1:32" x14ac:dyDescent="0.3">
      <c r="A62" t="s">
        <v>348</v>
      </c>
      <c r="B62" t="s">
        <v>45</v>
      </c>
      <c r="C62" t="s">
        <v>68</v>
      </c>
      <c r="D62" t="s">
        <v>309</v>
      </c>
      <c r="E62" t="s">
        <v>1055</v>
      </c>
      <c r="F62" s="15">
        <v>46254.395497685182</v>
      </c>
      <c r="G62" t="s">
        <v>402</v>
      </c>
      <c r="H62">
        <v>7</v>
      </c>
      <c r="I62" t="s">
        <v>1054</v>
      </c>
      <c r="J62" s="15">
        <v>46254.607638888891</v>
      </c>
      <c r="K62" s="15">
        <v>46255.493055555555</v>
      </c>
      <c r="L62" s="15"/>
      <c r="M62">
        <v>7</v>
      </c>
      <c r="O62" t="s">
        <v>201</v>
      </c>
      <c r="P62" t="s">
        <v>1954</v>
      </c>
      <c r="S62" t="s">
        <v>355</v>
      </c>
      <c r="T62" t="s">
        <v>369</v>
      </c>
      <c r="U62" t="s">
        <v>239</v>
      </c>
      <c r="V62" t="s">
        <v>348</v>
      </c>
      <c r="W62" t="s">
        <v>369</v>
      </c>
      <c r="X62" t="s">
        <v>239</v>
      </c>
      <c r="AA62" t="s">
        <v>67</v>
      </c>
      <c r="AB62" t="s">
        <v>355</v>
      </c>
      <c r="AC62">
        <v>2200</v>
      </c>
      <c r="AD62" t="s">
        <v>217</v>
      </c>
      <c r="AE62">
        <v>1</v>
      </c>
    </row>
    <row r="63" spans="1:32" x14ac:dyDescent="0.3">
      <c r="A63" t="s">
        <v>348</v>
      </c>
      <c r="B63" t="s">
        <v>45</v>
      </c>
      <c r="C63" t="s">
        <v>68</v>
      </c>
      <c r="D63" t="s">
        <v>309</v>
      </c>
      <c r="E63" t="s">
        <v>1056</v>
      </c>
      <c r="F63" s="15">
        <v>46254.396273148152</v>
      </c>
      <c r="G63" t="s">
        <v>402</v>
      </c>
      <c r="H63">
        <v>6</v>
      </c>
      <c r="I63" t="s">
        <v>1054</v>
      </c>
      <c r="J63" s="15">
        <v>46254.607638888891</v>
      </c>
      <c r="K63" s="15">
        <v>46255.493055555555</v>
      </c>
      <c r="L63" s="15"/>
      <c r="M63">
        <v>6</v>
      </c>
      <c r="O63" t="s">
        <v>201</v>
      </c>
      <c r="P63" t="s">
        <v>1954</v>
      </c>
      <c r="S63" t="s">
        <v>355</v>
      </c>
      <c r="T63" t="s">
        <v>369</v>
      </c>
      <c r="U63" t="s">
        <v>239</v>
      </c>
      <c r="V63" t="s">
        <v>348</v>
      </c>
      <c r="W63" t="s">
        <v>369</v>
      </c>
      <c r="X63" t="s">
        <v>239</v>
      </c>
      <c r="AA63" t="s">
        <v>67</v>
      </c>
      <c r="AB63" t="s">
        <v>355</v>
      </c>
      <c r="AC63">
        <v>2200</v>
      </c>
      <c r="AD63" t="s">
        <v>217</v>
      </c>
      <c r="AE63">
        <v>1</v>
      </c>
    </row>
    <row r="64" spans="1:32" x14ac:dyDescent="0.3">
      <c r="A64" t="s">
        <v>348</v>
      </c>
      <c r="B64" t="s">
        <v>45</v>
      </c>
      <c r="C64" t="s">
        <v>68</v>
      </c>
      <c r="D64" t="s">
        <v>309</v>
      </c>
      <c r="E64" t="s">
        <v>1057</v>
      </c>
      <c r="F64" s="15">
        <v>46231.659247685187</v>
      </c>
      <c r="G64" t="s">
        <v>1058</v>
      </c>
      <c r="H64">
        <v>13</v>
      </c>
      <c r="I64" t="s">
        <v>1059</v>
      </c>
      <c r="J64" s="15">
        <v>46231.713194444441</v>
      </c>
      <c r="K64" s="15">
        <v>46233.416666666664</v>
      </c>
      <c r="L64" s="15"/>
      <c r="M64">
        <v>13</v>
      </c>
      <c r="O64" t="s">
        <v>201</v>
      </c>
      <c r="P64" t="s">
        <v>1956</v>
      </c>
      <c r="S64" t="s">
        <v>355</v>
      </c>
      <c r="T64" t="s">
        <v>369</v>
      </c>
      <c r="U64" t="s">
        <v>239</v>
      </c>
      <c r="V64" t="s">
        <v>348</v>
      </c>
      <c r="W64" t="s">
        <v>369</v>
      </c>
      <c r="X64" t="s">
        <v>239</v>
      </c>
      <c r="Y64">
        <v>0</v>
      </c>
      <c r="AA64" t="s">
        <v>67</v>
      </c>
      <c r="AB64" t="s">
        <v>355</v>
      </c>
      <c r="AC64">
        <v>2200</v>
      </c>
      <c r="AD64" t="s">
        <v>217</v>
      </c>
      <c r="AE64">
        <v>1.3</v>
      </c>
      <c r="AF64">
        <v>1</v>
      </c>
    </row>
    <row r="65" spans="1:32" x14ac:dyDescent="0.3">
      <c r="A65" t="s">
        <v>348</v>
      </c>
      <c r="B65" t="s">
        <v>45</v>
      </c>
      <c r="C65" t="s">
        <v>68</v>
      </c>
      <c r="D65" t="s">
        <v>309</v>
      </c>
      <c r="E65" t="s">
        <v>1060</v>
      </c>
      <c r="F65" s="15">
        <v>46231.635254629633</v>
      </c>
      <c r="G65" t="s">
        <v>1058</v>
      </c>
      <c r="H65">
        <v>6</v>
      </c>
      <c r="I65" t="s">
        <v>1059</v>
      </c>
      <c r="J65" s="15">
        <v>46231.713194444441</v>
      </c>
      <c r="K65" s="15">
        <v>46233.416666666664</v>
      </c>
      <c r="L65" s="15"/>
      <c r="M65">
        <v>6</v>
      </c>
      <c r="O65" t="s">
        <v>201</v>
      </c>
      <c r="P65" t="s">
        <v>1956</v>
      </c>
      <c r="S65" t="s">
        <v>355</v>
      </c>
      <c r="T65" t="s">
        <v>369</v>
      </c>
      <c r="U65" t="s">
        <v>239</v>
      </c>
      <c r="V65" t="s">
        <v>348</v>
      </c>
      <c r="W65" t="s">
        <v>369</v>
      </c>
      <c r="X65" t="s">
        <v>239</v>
      </c>
      <c r="AA65" t="s">
        <v>67</v>
      </c>
      <c r="AB65" t="s">
        <v>355</v>
      </c>
      <c r="AC65">
        <v>2200</v>
      </c>
      <c r="AD65" t="s">
        <v>217</v>
      </c>
      <c r="AE65">
        <v>1</v>
      </c>
    </row>
    <row r="66" spans="1:32" x14ac:dyDescent="0.3">
      <c r="A66" t="s">
        <v>348</v>
      </c>
      <c r="B66" t="s">
        <v>45</v>
      </c>
      <c r="C66" t="s">
        <v>68</v>
      </c>
      <c r="D66" t="s">
        <v>309</v>
      </c>
      <c r="E66" t="s">
        <v>1061</v>
      </c>
      <c r="F66" s="15">
        <v>46231.634583333333</v>
      </c>
      <c r="G66" t="s">
        <v>1058</v>
      </c>
      <c r="H66">
        <v>4</v>
      </c>
      <c r="I66" t="s">
        <v>1059</v>
      </c>
      <c r="J66" s="15">
        <v>46231.713194444441</v>
      </c>
      <c r="K66" s="15">
        <v>46233.416666666664</v>
      </c>
      <c r="L66" s="15"/>
      <c r="M66">
        <v>4</v>
      </c>
      <c r="O66" t="s">
        <v>201</v>
      </c>
      <c r="P66" t="s">
        <v>1956</v>
      </c>
      <c r="S66" t="s">
        <v>355</v>
      </c>
      <c r="T66" t="s">
        <v>369</v>
      </c>
      <c r="U66" t="s">
        <v>239</v>
      </c>
      <c r="V66" t="s">
        <v>348</v>
      </c>
      <c r="W66" t="s">
        <v>369</v>
      </c>
      <c r="X66" t="s">
        <v>239</v>
      </c>
      <c r="AA66" t="s">
        <v>67</v>
      </c>
      <c r="AB66" t="s">
        <v>355</v>
      </c>
      <c r="AC66">
        <v>2200</v>
      </c>
      <c r="AD66" t="s">
        <v>217</v>
      </c>
      <c r="AE66">
        <v>1</v>
      </c>
    </row>
    <row r="67" spans="1:32" x14ac:dyDescent="0.3">
      <c r="A67" t="s">
        <v>348</v>
      </c>
      <c r="B67" t="s">
        <v>45</v>
      </c>
      <c r="C67" t="s">
        <v>68</v>
      </c>
      <c r="D67" t="s">
        <v>309</v>
      </c>
      <c r="E67" t="s">
        <v>1062</v>
      </c>
      <c r="F67" s="15">
        <v>46231.633784722224</v>
      </c>
      <c r="G67" t="s">
        <v>1058</v>
      </c>
      <c r="H67">
        <v>4</v>
      </c>
      <c r="I67" t="s">
        <v>1059</v>
      </c>
      <c r="J67" s="15">
        <v>46231.713194444441</v>
      </c>
      <c r="K67" s="15">
        <v>46233.416666666664</v>
      </c>
      <c r="L67" s="15"/>
      <c r="M67">
        <v>4</v>
      </c>
      <c r="O67" t="s">
        <v>201</v>
      </c>
      <c r="P67" t="s">
        <v>1956</v>
      </c>
      <c r="S67" t="s">
        <v>355</v>
      </c>
      <c r="T67" t="s">
        <v>369</v>
      </c>
      <c r="U67" t="s">
        <v>239</v>
      </c>
      <c r="V67" t="s">
        <v>348</v>
      </c>
      <c r="W67" t="s">
        <v>369</v>
      </c>
      <c r="X67" t="s">
        <v>239</v>
      </c>
      <c r="AA67" t="s">
        <v>67</v>
      </c>
      <c r="AB67" t="s">
        <v>355</v>
      </c>
      <c r="AC67">
        <v>2200</v>
      </c>
      <c r="AD67" t="s">
        <v>217</v>
      </c>
      <c r="AE67">
        <v>1</v>
      </c>
    </row>
    <row r="68" spans="1:32" x14ac:dyDescent="0.3">
      <c r="A68" t="s">
        <v>348</v>
      </c>
      <c r="B68" t="s">
        <v>45</v>
      </c>
      <c r="C68" t="s">
        <v>68</v>
      </c>
      <c r="D68" t="s">
        <v>309</v>
      </c>
      <c r="E68" t="s">
        <v>1063</v>
      </c>
      <c r="F68" s="15">
        <v>46231.632465277777</v>
      </c>
      <c r="G68" t="s">
        <v>1058</v>
      </c>
      <c r="H68">
        <v>1</v>
      </c>
      <c r="I68" t="s">
        <v>1059</v>
      </c>
      <c r="J68" s="15">
        <v>46231.713194444441</v>
      </c>
      <c r="K68" s="15">
        <v>46233.416666666664</v>
      </c>
      <c r="L68" s="15"/>
      <c r="M68">
        <v>1</v>
      </c>
      <c r="O68" t="s">
        <v>201</v>
      </c>
      <c r="P68" t="s">
        <v>1956</v>
      </c>
      <c r="S68" t="s">
        <v>355</v>
      </c>
      <c r="T68" t="s">
        <v>369</v>
      </c>
      <c r="U68" t="s">
        <v>239</v>
      </c>
      <c r="V68" t="s">
        <v>348</v>
      </c>
      <c r="W68" t="s">
        <v>369</v>
      </c>
      <c r="X68" t="s">
        <v>239</v>
      </c>
      <c r="AA68" t="s">
        <v>67</v>
      </c>
      <c r="AB68" t="s">
        <v>355</v>
      </c>
      <c r="AC68">
        <v>2200</v>
      </c>
      <c r="AD68" t="s">
        <v>217</v>
      </c>
      <c r="AE68">
        <v>1</v>
      </c>
    </row>
    <row r="69" spans="1:32" x14ac:dyDescent="0.3">
      <c r="A69" t="s">
        <v>348</v>
      </c>
      <c r="B69" t="s">
        <v>45</v>
      </c>
      <c r="C69" t="s">
        <v>68</v>
      </c>
      <c r="D69" t="s">
        <v>309</v>
      </c>
      <c r="E69" t="s">
        <v>1064</v>
      </c>
      <c r="F69" s="15">
        <v>46231.631620370368</v>
      </c>
      <c r="G69" t="s">
        <v>402</v>
      </c>
      <c r="H69">
        <v>1</v>
      </c>
      <c r="I69" t="s">
        <v>1065</v>
      </c>
      <c r="J69" s="15">
        <v>46231.706250000003</v>
      </c>
      <c r="K69" s="15">
        <v>46233.416666666664</v>
      </c>
      <c r="L69" s="15"/>
      <c r="M69">
        <v>1</v>
      </c>
      <c r="O69" t="s">
        <v>201</v>
      </c>
      <c r="P69" t="s">
        <v>1956</v>
      </c>
      <c r="S69" t="s">
        <v>355</v>
      </c>
      <c r="T69" t="s">
        <v>369</v>
      </c>
      <c r="U69" t="s">
        <v>239</v>
      </c>
      <c r="V69" t="s">
        <v>348</v>
      </c>
      <c r="W69" t="s">
        <v>369</v>
      </c>
      <c r="X69" t="s">
        <v>239</v>
      </c>
      <c r="AA69" t="s">
        <v>67</v>
      </c>
      <c r="AB69" t="s">
        <v>355</v>
      </c>
      <c r="AC69">
        <v>2200</v>
      </c>
      <c r="AD69" t="s">
        <v>217</v>
      </c>
      <c r="AE69">
        <v>1</v>
      </c>
    </row>
    <row r="70" spans="1:32" x14ac:dyDescent="0.3">
      <c r="A70" t="s">
        <v>348</v>
      </c>
      <c r="B70" t="s">
        <v>48</v>
      </c>
      <c r="C70" t="s">
        <v>68</v>
      </c>
      <c r="D70" t="s">
        <v>309</v>
      </c>
      <c r="E70" t="s">
        <v>1066</v>
      </c>
      <c r="F70" s="15">
        <v>46245.434259259258</v>
      </c>
      <c r="G70" t="s">
        <v>402</v>
      </c>
      <c r="H70">
        <v>3</v>
      </c>
      <c r="I70" t="s">
        <v>1067</v>
      </c>
      <c r="J70" s="15">
        <v>46246.470138888886</v>
      </c>
      <c r="K70" s="15">
        <v>46247.425694444442</v>
      </c>
      <c r="L70" s="15"/>
      <c r="M70">
        <v>3</v>
      </c>
      <c r="O70" t="s">
        <v>201</v>
      </c>
      <c r="P70" t="s">
        <v>1954</v>
      </c>
      <c r="S70" t="s">
        <v>355</v>
      </c>
      <c r="T70" t="s">
        <v>369</v>
      </c>
      <c r="U70" t="s">
        <v>239</v>
      </c>
      <c r="V70" t="s">
        <v>348</v>
      </c>
      <c r="W70" t="s">
        <v>369</v>
      </c>
      <c r="X70" t="s">
        <v>239</v>
      </c>
      <c r="Y70">
        <v>0</v>
      </c>
      <c r="AA70" t="s">
        <v>90</v>
      </c>
      <c r="AB70" t="s">
        <v>355</v>
      </c>
      <c r="AC70">
        <v>2200</v>
      </c>
      <c r="AD70" t="s">
        <v>217</v>
      </c>
      <c r="AE70">
        <v>1</v>
      </c>
      <c r="AF70">
        <v>1</v>
      </c>
    </row>
    <row r="71" spans="1:32" x14ac:dyDescent="0.3">
      <c r="A71" t="s">
        <v>348</v>
      </c>
      <c r="B71" t="s">
        <v>48</v>
      </c>
      <c r="C71" t="s">
        <v>68</v>
      </c>
      <c r="D71" t="s">
        <v>309</v>
      </c>
      <c r="E71" t="s">
        <v>1066</v>
      </c>
      <c r="F71" s="15">
        <v>46245.434259259258</v>
      </c>
      <c r="G71" t="s">
        <v>402</v>
      </c>
      <c r="H71">
        <v>1</v>
      </c>
      <c r="I71" t="s">
        <v>1068</v>
      </c>
      <c r="J71" s="15">
        <v>46252.685416666667</v>
      </c>
      <c r="K71" s="15">
        <v>46254.503472222219</v>
      </c>
      <c r="L71" s="15"/>
      <c r="M71">
        <v>1</v>
      </c>
      <c r="O71" t="s">
        <v>201</v>
      </c>
      <c r="P71" t="s">
        <v>1956</v>
      </c>
      <c r="S71" t="s">
        <v>355</v>
      </c>
      <c r="T71" t="s">
        <v>369</v>
      </c>
      <c r="U71" t="s">
        <v>239</v>
      </c>
      <c r="V71" t="s">
        <v>348</v>
      </c>
      <c r="W71" t="s">
        <v>369</v>
      </c>
      <c r="X71" t="s">
        <v>239</v>
      </c>
      <c r="Y71">
        <v>0</v>
      </c>
      <c r="AA71" t="s">
        <v>90</v>
      </c>
      <c r="AB71" t="s">
        <v>355</v>
      </c>
      <c r="AC71">
        <v>2200</v>
      </c>
      <c r="AD71" t="s">
        <v>217</v>
      </c>
      <c r="AE71">
        <v>1</v>
      </c>
      <c r="AF71">
        <v>1</v>
      </c>
    </row>
    <row r="72" spans="1:32" x14ac:dyDescent="0.3">
      <c r="A72" t="s">
        <v>348</v>
      </c>
      <c r="B72" t="s">
        <v>48</v>
      </c>
      <c r="C72" t="s">
        <v>68</v>
      </c>
      <c r="D72" t="s">
        <v>309</v>
      </c>
      <c r="E72" t="s">
        <v>1069</v>
      </c>
      <c r="F72" s="15">
        <v>46213.750648148147</v>
      </c>
      <c r="G72" t="s">
        <v>402</v>
      </c>
      <c r="H72">
        <v>5</v>
      </c>
      <c r="I72" t="s">
        <v>1070</v>
      </c>
      <c r="J72" s="15">
        <v>46230.428946759261</v>
      </c>
      <c r="K72" s="15">
        <v>46231.397222222222</v>
      </c>
      <c r="L72" s="15"/>
      <c r="M72">
        <v>5</v>
      </c>
      <c r="O72" t="s">
        <v>201</v>
      </c>
      <c r="P72" t="s">
        <v>1954</v>
      </c>
      <c r="S72" t="s">
        <v>355</v>
      </c>
      <c r="T72" t="s">
        <v>369</v>
      </c>
      <c r="U72" t="s">
        <v>239</v>
      </c>
      <c r="V72" t="s">
        <v>348</v>
      </c>
      <c r="W72" t="s">
        <v>369</v>
      </c>
      <c r="X72" t="s">
        <v>239</v>
      </c>
      <c r="Y72">
        <v>0</v>
      </c>
      <c r="AA72" t="s">
        <v>90</v>
      </c>
      <c r="AB72" t="s">
        <v>355</v>
      </c>
      <c r="AC72">
        <v>2200</v>
      </c>
      <c r="AD72" t="s">
        <v>217</v>
      </c>
      <c r="AE72">
        <v>1</v>
      </c>
      <c r="AF72">
        <v>1</v>
      </c>
    </row>
    <row r="73" spans="1:32" x14ac:dyDescent="0.3">
      <c r="A73" t="s">
        <v>348</v>
      </c>
      <c r="B73" t="s">
        <v>45</v>
      </c>
      <c r="C73" t="s">
        <v>68</v>
      </c>
      <c r="D73" t="s">
        <v>309</v>
      </c>
      <c r="E73" t="s">
        <v>1071</v>
      </c>
      <c r="F73" s="15">
        <v>46251.387743055559</v>
      </c>
      <c r="G73" t="s">
        <v>403</v>
      </c>
      <c r="H73">
        <v>15</v>
      </c>
      <c r="I73" t="s">
        <v>1072</v>
      </c>
      <c r="J73" s="15">
        <v>46251.49722222222</v>
      </c>
      <c r="K73" s="15">
        <v>46252.638888888891</v>
      </c>
      <c r="L73" s="15"/>
      <c r="M73">
        <v>15</v>
      </c>
      <c r="O73" t="s">
        <v>201</v>
      </c>
      <c r="P73" t="s">
        <v>1956</v>
      </c>
      <c r="S73" t="s">
        <v>356</v>
      </c>
      <c r="T73" t="s">
        <v>369</v>
      </c>
      <c r="U73" t="s">
        <v>239</v>
      </c>
      <c r="V73" t="s">
        <v>348</v>
      </c>
      <c r="W73" t="s">
        <v>369</v>
      </c>
      <c r="X73" t="s">
        <v>239</v>
      </c>
      <c r="Y73">
        <v>0</v>
      </c>
      <c r="AA73" t="s">
        <v>67</v>
      </c>
      <c r="AB73" t="s">
        <v>356</v>
      </c>
      <c r="AC73">
        <v>109</v>
      </c>
      <c r="AD73" t="s">
        <v>217</v>
      </c>
      <c r="AE73">
        <v>1.5</v>
      </c>
      <c r="AF73">
        <v>1</v>
      </c>
    </row>
    <row r="74" spans="1:32" x14ac:dyDescent="0.3">
      <c r="A74" t="s">
        <v>348</v>
      </c>
      <c r="B74" t="s">
        <v>45</v>
      </c>
      <c r="C74" t="s">
        <v>68</v>
      </c>
      <c r="D74" t="s">
        <v>309</v>
      </c>
      <c r="E74" t="s">
        <v>1073</v>
      </c>
      <c r="F74" s="15">
        <v>46230.391215277778</v>
      </c>
      <c r="G74" t="s">
        <v>403</v>
      </c>
      <c r="H74">
        <v>15</v>
      </c>
      <c r="I74" t="s">
        <v>1074</v>
      </c>
      <c r="J74" s="15">
        <v>46230.46465277778</v>
      </c>
      <c r="K74" s="15">
        <v>46231.458333333336</v>
      </c>
      <c r="L74" s="15"/>
      <c r="M74">
        <v>15</v>
      </c>
      <c r="O74" t="s">
        <v>201</v>
      </c>
      <c r="P74" t="s">
        <v>1954</v>
      </c>
      <c r="S74" t="s">
        <v>356</v>
      </c>
      <c r="T74" t="s">
        <v>369</v>
      </c>
      <c r="U74" t="s">
        <v>239</v>
      </c>
      <c r="V74" t="s">
        <v>348</v>
      </c>
      <c r="W74" t="s">
        <v>369</v>
      </c>
      <c r="X74" t="s">
        <v>239</v>
      </c>
      <c r="Y74">
        <v>0</v>
      </c>
      <c r="AA74" t="s">
        <v>67</v>
      </c>
      <c r="AB74" t="s">
        <v>356</v>
      </c>
      <c r="AC74">
        <v>109</v>
      </c>
      <c r="AD74" t="s">
        <v>217</v>
      </c>
      <c r="AE74">
        <v>1.5</v>
      </c>
      <c r="AF74">
        <v>1</v>
      </c>
    </row>
    <row r="75" spans="1:32" x14ac:dyDescent="0.3">
      <c r="A75" t="s">
        <v>348</v>
      </c>
      <c r="B75" t="s">
        <v>45</v>
      </c>
      <c r="C75" t="s">
        <v>68</v>
      </c>
      <c r="D75" t="s">
        <v>309</v>
      </c>
      <c r="E75" t="s">
        <v>1075</v>
      </c>
      <c r="F75" s="15">
        <v>46230.398877314816</v>
      </c>
      <c r="G75" t="s">
        <v>403</v>
      </c>
      <c r="H75">
        <v>10</v>
      </c>
      <c r="I75" t="s">
        <v>1076</v>
      </c>
      <c r="J75" s="15">
        <v>46230.632638888892</v>
      </c>
      <c r="K75" s="15">
        <v>46232.696527777778</v>
      </c>
      <c r="L75" s="15"/>
      <c r="M75">
        <v>10</v>
      </c>
      <c r="O75" t="s">
        <v>201</v>
      </c>
      <c r="P75" t="s">
        <v>1956</v>
      </c>
      <c r="S75" t="s">
        <v>356</v>
      </c>
      <c r="T75" t="s">
        <v>369</v>
      </c>
      <c r="U75" t="s">
        <v>239</v>
      </c>
      <c r="V75" t="s">
        <v>348</v>
      </c>
      <c r="W75" t="s">
        <v>369</v>
      </c>
      <c r="X75" t="s">
        <v>239</v>
      </c>
      <c r="AA75" t="s">
        <v>67</v>
      </c>
      <c r="AB75" t="s">
        <v>356</v>
      </c>
      <c r="AC75">
        <v>109</v>
      </c>
      <c r="AD75" t="s">
        <v>217</v>
      </c>
      <c r="AE75">
        <v>1</v>
      </c>
      <c r="AF75">
        <v>1</v>
      </c>
    </row>
    <row r="76" spans="1:32" x14ac:dyDescent="0.3">
      <c r="A76" t="s">
        <v>348</v>
      </c>
      <c r="B76" t="s">
        <v>48</v>
      </c>
      <c r="C76" t="s">
        <v>68</v>
      </c>
      <c r="D76" t="s">
        <v>309</v>
      </c>
      <c r="E76" t="s">
        <v>747</v>
      </c>
      <c r="F76" s="15">
        <v>46252.576365740744</v>
      </c>
      <c r="G76" t="s">
        <v>742</v>
      </c>
      <c r="H76">
        <v>25</v>
      </c>
      <c r="I76" t="s">
        <v>1077</v>
      </c>
      <c r="J76" s="15">
        <v>46253.647222222222</v>
      </c>
      <c r="K76" s="15">
        <v>46255.477083333331</v>
      </c>
      <c r="L76" s="15"/>
      <c r="M76">
        <v>25</v>
      </c>
      <c r="O76" t="s">
        <v>201</v>
      </c>
      <c r="P76" t="s">
        <v>1956</v>
      </c>
      <c r="S76" t="s">
        <v>356</v>
      </c>
      <c r="T76" t="s">
        <v>369</v>
      </c>
      <c r="U76" t="s">
        <v>239</v>
      </c>
      <c r="V76" t="s">
        <v>348</v>
      </c>
      <c r="W76" t="s">
        <v>369</v>
      </c>
      <c r="X76" t="s">
        <v>239</v>
      </c>
      <c r="Y76">
        <v>0</v>
      </c>
      <c r="AA76" t="s">
        <v>90</v>
      </c>
      <c r="AB76" t="s">
        <v>356</v>
      </c>
      <c r="AC76">
        <v>109</v>
      </c>
      <c r="AD76" t="s">
        <v>217</v>
      </c>
      <c r="AE76">
        <v>2.5</v>
      </c>
      <c r="AF76">
        <v>1</v>
      </c>
    </row>
    <row r="77" spans="1:32" x14ac:dyDescent="0.3">
      <c r="A77" t="s">
        <v>348</v>
      </c>
      <c r="B77" t="s">
        <v>48</v>
      </c>
      <c r="C77" t="s">
        <v>68</v>
      </c>
      <c r="D77" t="s">
        <v>309</v>
      </c>
      <c r="E77" t="s">
        <v>748</v>
      </c>
      <c r="F77" s="15">
        <v>46252.581203703703</v>
      </c>
      <c r="G77" t="s">
        <v>742</v>
      </c>
      <c r="H77">
        <v>15</v>
      </c>
      <c r="I77" t="s">
        <v>1078</v>
      </c>
      <c r="J77" s="15">
        <v>46254.392361111109</v>
      </c>
      <c r="K77" s="15">
        <v>46255.477083333331</v>
      </c>
      <c r="L77" s="15"/>
      <c r="M77">
        <v>15</v>
      </c>
      <c r="O77" t="s">
        <v>201</v>
      </c>
      <c r="P77" t="s">
        <v>1956</v>
      </c>
      <c r="S77" t="s">
        <v>356</v>
      </c>
      <c r="T77" t="s">
        <v>369</v>
      </c>
      <c r="U77" t="s">
        <v>239</v>
      </c>
      <c r="V77" t="s">
        <v>348</v>
      </c>
      <c r="W77" t="s">
        <v>369</v>
      </c>
      <c r="X77" t="s">
        <v>239</v>
      </c>
      <c r="Y77">
        <v>0</v>
      </c>
      <c r="AA77" t="s">
        <v>90</v>
      </c>
      <c r="AB77" t="s">
        <v>356</v>
      </c>
      <c r="AC77">
        <v>109</v>
      </c>
      <c r="AD77" t="s">
        <v>217</v>
      </c>
      <c r="AE77">
        <v>1.5</v>
      </c>
    </row>
    <row r="78" spans="1:32" x14ac:dyDescent="0.3">
      <c r="A78" t="s">
        <v>348</v>
      </c>
      <c r="B78" t="s">
        <v>48</v>
      </c>
      <c r="C78" t="s">
        <v>68</v>
      </c>
      <c r="D78" t="s">
        <v>309</v>
      </c>
      <c r="E78" t="s">
        <v>1079</v>
      </c>
      <c r="F78" s="15">
        <v>46231.625231481485</v>
      </c>
      <c r="G78" t="s">
        <v>749</v>
      </c>
      <c r="H78">
        <v>10</v>
      </c>
      <c r="I78" t="s">
        <v>1080</v>
      </c>
      <c r="J78" s="15">
        <v>46234.652581018519</v>
      </c>
      <c r="K78" s="15">
        <v>46238.509722222225</v>
      </c>
      <c r="L78" s="15"/>
      <c r="M78">
        <v>10</v>
      </c>
      <c r="O78" t="s">
        <v>201</v>
      </c>
      <c r="P78" t="s">
        <v>1956</v>
      </c>
      <c r="S78" t="s">
        <v>356</v>
      </c>
      <c r="T78" t="s">
        <v>369</v>
      </c>
      <c r="U78" t="s">
        <v>239</v>
      </c>
      <c r="V78" t="s">
        <v>348</v>
      </c>
      <c r="W78" t="s">
        <v>369</v>
      </c>
      <c r="X78" t="s">
        <v>239</v>
      </c>
      <c r="Y78">
        <v>0</v>
      </c>
      <c r="AA78" t="s">
        <v>90</v>
      </c>
      <c r="AB78" t="s">
        <v>356</v>
      </c>
      <c r="AC78">
        <v>109</v>
      </c>
      <c r="AD78" t="s">
        <v>217</v>
      </c>
      <c r="AE78">
        <v>1</v>
      </c>
      <c r="AF78">
        <v>1</v>
      </c>
    </row>
    <row r="79" spans="1:32" x14ac:dyDescent="0.3">
      <c r="A79" t="s">
        <v>348</v>
      </c>
      <c r="B79" t="s">
        <v>48</v>
      </c>
      <c r="C79" t="s">
        <v>68</v>
      </c>
      <c r="D79" t="s">
        <v>309</v>
      </c>
      <c r="E79" t="s">
        <v>1081</v>
      </c>
      <c r="F79" s="15">
        <v>46227.725787037038</v>
      </c>
      <c r="G79" t="s">
        <v>403</v>
      </c>
      <c r="H79">
        <v>16</v>
      </c>
      <c r="I79" t="s">
        <v>1082</v>
      </c>
      <c r="J79" s="15">
        <v>46232.603437500002</v>
      </c>
      <c r="K79" s="15">
        <v>46234.413194444445</v>
      </c>
      <c r="L79" s="15"/>
      <c r="M79">
        <v>16</v>
      </c>
      <c r="O79" t="s">
        <v>201</v>
      </c>
      <c r="P79" t="s">
        <v>1956</v>
      </c>
      <c r="S79" t="s">
        <v>356</v>
      </c>
      <c r="T79" t="s">
        <v>369</v>
      </c>
      <c r="U79" t="s">
        <v>239</v>
      </c>
      <c r="V79" t="s">
        <v>348</v>
      </c>
      <c r="W79" t="s">
        <v>369</v>
      </c>
      <c r="X79" t="s">
        <v>239</v>
      </c>
      <c r="Y79">
        <v>0</v>
      </c>
      <c r="AA79" t="s">
        <v>90</v>
      </c>
      <c r="AB79" t="s">
        <v>356</v>
      </c>
      <c r="AC79">
        <v>109</v>
      </c>
      <c r="AD79" t="s">
        <v>217</v>
      </c>
      <c r="AE79">
        <v>1.6</v>
      </c>
      <c r="AF79">
        <v>1</v>
      </c>
    </row>
    <row r="80" spans="1:32" x14ac:dyDescent="0.3">
      <c r="A80" t="s">
        <v>348</v>
      </c>
      <c r="B80" t="s">
        <v>45</v>
      </c>
      <c r="C80" t="s">
        <v>68</v>
      </c>
      <c r="D80" t="s">
        <v>309</v>
      </c>
      <c r="E80" t="s">
        <v>1083</v>
      </c>
      <c r="F80" s="15">
        <v>46245.50304398148</v>
      </c>
      <c r="G80" t="s">
        <v>407</v>
      </c>
      <c r="H80">
        <v>5</v>
      </c>
      <c r="I80" t="s">
        <v>1084</v>
      </c>
      <c r="J80" s="15">
        <v>46245.540277777778</v>
      </c>
      <c r="K80" s="15">
        <v>46247.46875</v>
      </c>
      <c r="L80" s="15"/>
      <c r="M80">
        <v>5</v>
      </c>
      <c r="O80" t="s">
        <v>201</v>
      </c>
      <c r="P80" t="s">
        <v>1956</v>
      </c>
      <c r="S80" t="s">
        <v>464</v>
      </c>
      <c r="T80" t="s">
        <v>369</v>
      </c>
      <c r="U80" t="s">
        <v>239</v>
      </c>
      <c r="V80" t="s">
        <v>348</v>
      </c>
      <c r="W80" t="s">
        <v>369</v>
      </c>
      <c r="X80" t="s">
        <v>239</v>
      </c>
      <c r="AA80" t="s">
        <v>67</v>
      </c>
      <c r="AB80" t="s">
        <v>464</v>
      </c>
      <c r="AC80">
        <v>288</v>
      </c>
      <c r="AD80" t="s">
        <v>217</v>
      </c>
      <c r="AE80">
        <v>1</v>
      </c>
      <c r="AF80">
        <v>1</v>
      </c>
    </row>
    <row r="81" spans="1:32" x14ac:dyDescent="0.3">
      <c r="A81" t="s">
        <v>348</v>
      </c>
      <c r="B81" t="s">
        <v>45</v>
      </c>
      <c r="C81" t="s">
        <v>68</v>
      </c>
      <c r="D81" t="s">
        <v>309</v>
      </c>
      <c r="E81" t="s">
        <v>1085</v>
      </c>
      <c r="F81" s="15">
        <v>46245.502650462964</v>
      </c>
      <c r="G81" t="s">
        <v>407</v>
      </c>
      <c r="H81">
        <v>11</v>
      </c>
      <c r="I81" t="s">
        <v>1086</v>
      </c>
      <c r="J81" s="15">
        <v>46245.53125</v>
      </c>
      <c r="K81" s="15">
        <v>46247.46875</v>
      </c>
      <c r="L81" s="15"/>
      <c r="M81">
        <v>11</v>
      </c>
      <c r="O81" t="s">
        <v>201</v>
      </c>
      <c r="P81" t="s">
        <v>1956</v>
      </c>
      <c r="S81" t="s">
        <v>464</v>
      </c>
      <c r="T81" t="s">
        <v>369</v>
      </c>
      <c r="U81" t="s">
        <v>239</v>
      </c>
      <c r="V81" t="s">
        <v>348</v>
      </c>
      <c r="W81" t="s">
        <v>369</v>
      </c>
      <c r="X81" t="s">
        <v>239</v>
      </c>
      <c r="AA81" t="s">
        <v>67</v>
      </c>
      <c r="AB81" t="s">
        <v>464</v>
      </c>
      <c r="AC81">
        <v>288</v>
      </c>
      <c r="AD81" t="s">
        <v>217</v>
      </c>
      <c r="AE81">
        <v>1.1000000000000001</v>
      </c>
    </row>
    <row r="82" spans="1:32" x14ac:dyDescent="0.3">
      <c r="A82" t="s">
        <v>348</v>
      </c>
      <c r="B82" t="s">
        <v>48</v>
      </c>
      <c r="C82" t="s">
        <v>68</v>
      </c>
      <c r="D82" t="s">
        <v>309</v>
      </c>
      <c r="E82" t="s">
        <v>1087</v>
      </c>
      <c r="F82" s="15">
        <v>46252.486481481479</v>
      </c>
      <c r="G82" t="s">
        <v>407</v>
      </c>
      <c r="H82">
        <v>5</v>
      </c>
      <c r="I82" t="s">
        <v>1088</v>
      </c>
      <c r="J82" s="15">
        <v>46253.540277777778</v>
      </c>
      <c r="K82" s="15">
        <v>46254.458333333336</v>
      </c>
      <c r="L82" s="15"/>
      <c r="M82">
        <v>5</v>
      </c>
      <c r="O82" t="s">
        <v>201</v>
      </c>
      <c r="P82" t="s">
        <v>1954</v>
      </c>
      <c r="S82" t="s">
        <v>464</v>
      </c>
      <c r="T82" t="s">
        <v>369</v>
      </c>
      <c r="U82" t="s">
        <v>239</v>
      </c>
      <c r="V82" t="s">
        <v>348</v>
      </c>
      <c r="W82" t="s">
        <v>369</v>
      </c>
      <c r="X82" t="s">
        <v>239</v>
      </c>
      <c r="AA82" t="s">
        <v>90</v>
      </c>
      <c r="AB82" t="s">
        <v>464</v>
      </c>
      <c r="AC82">
        <v>288</v>
      </c>
      <c r="AD82" t="s">
        <v>217</v>
      </c>
      <c r="AE82">
        <v>1</v>
      </c>
      <c r="AF82">
        <v>1</v>
      </c>
    </row>
    <row r="83" spans="1:32" x14ac:dyDescent="0.3">
      <c r="A83" t="s">
        <v>348</v>
      </c>
      <c r="B83" t="s">
        <v>48</v>
      </c>
      <c r="C83" t="s">
        <v>68</v>
      </c>
      <c r="D83" t="s">
        <v>309</v>
      </c>
      <c r="E83" t="s">
        <v>1089</v>
      </c>
      <c r="F83" s="15">
        <v>46231.743472222224</v>
      </c>
      <c r="G83" t="s">
        <v>402</v>
      </c>
      <c r="H83">
        <v>1</v>
      </c>
      <c r="I83" t="s">
        <v>1090</v>
      </c>
      <c r="J83" s="15">
        <v>46239.520138888889</v>
      </c>
      <c r="K83" s="15">
        <v>46240.513194444444</v>
      </c>
      <c r="L83" s="15"/>
      <c r="M83">
        <v>1</v>
      </c>
      <c r="O83" t="s">
        <v>201</v>
      </c>
      <c r="P83" t="s">
        <v>1956</v>
      </c>
      <c r="S83" t="s">
        <v>355</v>
      </c>
      <c r="T83" t="s">
        <v>369</v>
      </c>
      <c r="U83" t="s">
        <v>239</v>
      </c>
      <c r="V83" t="s">
        <v>348</v>
      </c>
      <c r="W83" t="s">
        <v>369</v>
      </c>
      <c r="X83" t="s">
        <v>239</v>
      </c>
      <c r="Y83">
        <v>0</v>
      </c>
      <c r="AA83" t="s">
        <v>90</v>
      </c>
      <c r="AB83" t="s">
        <v>355</v>
      </c>
      <c r="AC83">
        <v>2200</v>
      </c>
      <c r="AD83" t="s">
        <v>217</v>
      </c>
      <c r="AE83">
        <v>1</v>
      </c>
      <c r="AF83">
        <v>1</v>
      </c>
    </row>
    <row r="84" spans="1:32" x14ac:dyDescent="0.3">
      <c r="A84" t="s">
        <v>348</v>
      </c>
      <c r="B84" t="s">
        <v>48</v>
      </c>
      <c r="C84" t="s">
        <v>68</v>
      </c>
      <c r="D84" t="s">
        <v>309</v>
      </c>
      <c r="E84" t="s">
        <v>1091</v>
      </c>
      <c r="F84" s="15">
        <v>46231.307928240742</v>
      </c>
      <c r="G84" t="s">
        <v>401</v>
      </c>
      <c r="H84">
        <v>1</v>
      </c>
      <c r="I84" t="s">
        <v>1092</v>
      </c>
      <c r="J84" s="15">
        <v>46231.367361111108</v>
      </c>
      <c r="K84" s="15">
        <v>46232.486111111109</v>
      </c>
      <c r="L84" s="15"/>
      <c r="M84">
        <v>1</v>
      </c>
      <c r="O84" t="s">
        <v>201</v>
      </c>
      <c r="P84" t="s">
        <v>1956</v>
      </c>
      <c r="S84" t="s">
        <v>357</v>
      </c>
      <c r="T84" t="s">
        <v>369</v>
      </c>
      <c r="U84" t="s">
        <v>239</v>
      </c>
      <c r="V84" t="s">
        <v>348</v>
      </c>
      <c r="W84" t="s">
        <v>369</v>
      </c>
      <c r="X84" t="s">
        <v>239</v>
      </c>
      <c r="Y84">
        <v>0</v>
      </c>
      <c r="AA84" t="s">
        <v>90</v>
      </c>
      <c r="AB84" t="s">
        <v>357</v>
      </c>
      <c r="AC84">
        <v>101</v>
      </c>
      <c r="AD84" t="s">
        <v>217</v>
      </c>
      <c r="AE84">
        <v>1</v>
      </c>
      <c r="AF84">
        <v>1</v>
      </c>
    </row>
    <row r="85" spans="1:32" x14ac:dyDescent="0.3">
      <c r="A85" t="s">
        <v>348</v>
      </c>
      <c r="B85" t="s">
        <v>48</v>
      </c>
      <c r="C85" t="s">
        <v>68</v>
      </c>
      <c r="D85" t="s">
        <v>309</v>
      </c>
      <c r="E85" t="s">
        <v>1093</v>
      </c>
      <c r="F85" s="15">
        <v>46227.576932870368</v>
      </c>
      <c r="G85" t="s">
        <v>402</v>
      </c>
      <c r="H85">
        <v>1</v>
      </c>
      <c r="I85" t="s">
        <v>1094</v>
      </c>
      <c r="J85" s="15">
        <v>46233.393819444442</v>
      </c>
      <c r="K85" s="15">
        <v>46234.439583333333</v>
      </c>
      <c r="L85" s="15"/>
      <c r="M85">
        <v>1</v>
      </c>
      <c r="O85" t="s">
        <v>201</v>
      </c>
      <c r="P85" t="s">
        <v>1956</v>
      </c>
      <c r="S85" t="s">
        <v>354</v>
      </c>
      <c r="T85" t="s">
        <v>369</v>
      </c>
      <c r="U85" t="s">
        <v>239</v>
      </c>
      <c r="V85" t="s">
        <v>348</v>
      </c>
      <c r="W85" t="s">
        <v>369</v>
      </c>
      <c r="X85" t="s">
        <v>239</v>
      </c>
      <c r="Y85">
        <v>0</v>
      </c>
      <c r="AA85" t="s">
        <v>90</v>
      </c>
      <c r="AB85" t="s">
        <v>354</v>
      </c>
      <c r="AC85">
        <v>50</v>
      </c>
      <c r="AD85" t="s">
        <v>217</v>
      </c>
      <c r="AE85">
        <v>1</v>
      </c>
      <c r="AF85">
        <v>1</v>
      </c>
    </row>
    <row r="86" spans="1:32" x14ac:dyDescent="0.3">
      <c r="A86" t="s">
        <v>348</v>
      </c>
      <c r="B86" t="s">
        <v>57</v>
      </c>
      <c r="C86" t="s">
        <v>117</v>
      </c>
      <c r="D86" t="s">
        <v>309</v>
      </c>
      <c r="E86" t="s">
        <v>741</v>
      </c>
      <c r="F86" s="15">
        <v>46248.437847222223</v>
      </c>
      <c r="G86" t="s">
        <v>401</v>
      </c>
      <c r="H86">
        <v>1</v>
      </c>
      <c r="I86" t="s">
        <v>1095</v>
      </c>
      <c r="J86" s="15">
        <v>46248.662499999999</v>
      </c>
      <c r="K86" s="15">
        <v>46253.628472222219</v>
      </c>
      <c r="L86" s="15"/>
      <c r="M86">
        <v>1</v>
      </c>
      <c r="O86" t="s">
        <v>201</v>
      </c>
      <c r="P86" t="s">
        <v>1954</v>
      </c>
      <c r="S86" t="s">
        <v>357</v>
      </c>
      <c r="T86" t="s">
        <v>369</v>
      </c>
      <c r="U86" t="s">
        <v>239</v>
      </c>
      <c r="V86" t="s">
        <v>7</v>
      </c>
      <c r="W86" t="s">
        <v>7</v>
      </c>
      <c r="X86" t="s">
        <v>7</v>
      </c>
      <c r="AA86" t="s">
        <v>127</v>
      </c>
      <c r="AB86" t="s">
        <v>357</v>
      </c>
      <c r="AC86">
        <v>101</v>
      </c>
      <c r="AD86" t="s">
        <v>233</v>
      </c>
      <c r="AE86">
        <v>1</v>
      </c>
      <c r="AF86">
        <v>1</v>
      </c>
    </row>
    <row r="87" spans="1:32" x14ac:dyDescent="0.3">
      <c r="A87" t="s">
        <v>348</v>
      </c>
      <c r="B87" t="s">
        <v>57</v>
      </c>
      <c r="C87" t="s">
        <v>117</v>
      </c>
      <c r="D87" t="s">
        <v>309</v>
      </c>
      <c r="E87" t="s">
        <v>1096</v>
      </c>
      <c r="F87" s="15">
        <v>46239.634884259256</v>
      </c>
      <c r="G87" t="s">
        <v>401</v>
      </c>
      <c r="H87">
        <v>1</v>
      </c>
      <c r="I87" t="s">
        <v>1097</v>
      </c>
      <c r="J87" s="15">
        <v>46240.408333333333</v>
      </c>
      <c r="K87" s="15">
        <v>46246.645833333336</v>
      </c>
      <c r="L87" s="15"/>
      <c r="M87">
        <v>1</v>
      </c>
      <c r="O87" t="s">
        <v>201</v>
      </c>
      <c r="P87" t="s">
        <v>1954</v>
      </c>
      <c r="S87" t="s">
        <v>357</v>
      </c>
      <c r="T87" t="s">
        <v>369</v>
      </c>
      <c r="U87" t="s">
        <v>239</v>
      </c>
      <c r="V87" t="s">
        <v>7</v>
      </c>
      <c r="W87" t="s">
        <v>7</v>
      </c>
      <c r="X87" t="s">
        <v>7</v>
      </c>
      <c r="AA87" t="s">
        <v>127</v>
      </c>
      <c r="AB87" t="s">
        <v>357</v>
      </c>
      <c r="AC87">
        <v>101</v>
      </c>
      <c r="AD87" t="s">
        <v>233</v>
      </c>
      <c r="AE87">
        <v>1</v>
      </c>
      <c r="AF87">
        <v>1</v>
      </c>
    </row>
    <row r="88" spans="1:32" x14ac:dyDescent="0.3">
      <c r="A88" t="s">
        <v>348</v>
      </c>
      <c r="B88" t="s">
        <v>57</v>
      </c>
      <c r="C88" t="s">
        <v>117</v>
      </c>
      <c r="D88" t="s">
        <v>309</v>
      </c>
      <c r="E88" t="s">
        <v>1098</v>
      </c>
      <c r="F88" s="15">
        <v>46245.601261574076</v>
      </c>
      <c r="G88" t="s">
        <v>405</v>
      </c>
      <c r="H88">
        <v>1</v>
      </c>
      <c r="I88" t="s">
        <v>1099</v>
      </c>
      <c r="J88" s="15">
        <v>46246.638194444444</v>
      </c>
      <c r="K88" s="15">
        <v>46252.386805555558</v>
      </c>
      <c r="L88" s="15"/>
      <c r="M88">
        <v>1</v>
      </c>
      <c r="O88" t="s">
        <v>201</v>
      </c>
      <c r="P88" t="s">
        <v>1954</v>
      </c>
      <c r="S88" t="s">
        <v>355</v>
      </c>
      <c r="T88" t="s">
        <v>369</v>
      </c>
      <c r="U88" t="s">
        <v>239</v>
      </c>
      <c r="V88" t="s">
        <v>7</v>
      </c>
      <c r="W88" t="s">
        <v>7</v>
      </c>
      <c r="X88" t="s">
        <v>7</v>
      </c>
      <c r="AA88" t="s">
        <v>127</v>
      </c>
      <c r="AB88" t="s">
        <v>355</v>
      </c>
      <c r="AC88">
        <v>2200</v>
      </c>
      <c r="AD88" t="s">
        <v>233</v>
      </c>
      <c r="AE88">
        <v>1</v>
      </c>
      <c r="AF88">
        <v>1</v>
      </c>
    </row>
    <row r="89" spans="1:32" x14ac:dyDescent="0.3">
      <c r="A89" t="s">
        <v>348</v>
      </c>
      <c r="B89" t="s">
        <v>57</v>
      </c>
      <c r="C89" t="s">
        <v>117</v>
      </c>
      <c r="D89" t="s">
        <v>309</v>
      </c>
      <c r="E89" t="s">
        <v>1100</v>
      </c>
      <c r="F89" s="15">
        <v>46245.375648148147</v>
      </c>
      <c r="G89" t="s">
        <v>402</v>
      </c>
      <c r="H89">
        <v>5</v>
      </c>
      <c r="I89" t="s">
        <v>1101</v>
      </c>
      <c r="J89" s="15">
        <v>46246.395138888889</v>
      </c>
      <c r="K89" s="15">
        <v>46248.681250000001</v>
      </c>
      <c r="L89" s="15"/>
      <c r="M89">
        <v>5</v>
      </c>
      <c r="O89" t="s">
        <v>201</v>
      </c>
      <c r="P89" t="s">
        <v>1954</v>
      </c>
      <c r="S89" t="s">
        <v>355</v>
      </c>
      <c r="T89" t="s">
        <v>369</v>
      </c>
      <c r="U89" t="s">
        <v>239</v>
      </c>
      <c r="V89" t="s">
        <v>7</v>
      </c>
      <c r="W89" t="s">
        <v>7</v>
      </c>
      <c r="X89" t="s">
        <v>7</v>
      </c>
      <c r="AA89" t="s">
        <v>127</v>
      </c>
      <c r="AB89" t="s">
        <v>355</v>
      </c>
      <c r="AC89">
        <v>2200</v>
      </c>
      <c r="AD89" t="s">
        <v>233</v>
      </c>
      <c r="AE89">
        <v>1</v>
      </c>
      <c r="AF89">
        <v>1</v>
      </c>
    </row>
    <row r="90" spans="1:32" x14ac:dyDescent="0.3">
      <c r="A90" t="s">
        <v>348</v>
      </c>
      <c r="B90" t="s">
        <v>57</v>
      </c>
      <c r="C90" t="s">
        <v>117</v>
      </c>
      <c r="D90" t="s">
        <v>309</v>
      </c>
      <c r="E90" t="s">
        <v>1102</v>
      </c>
      <c r="F90" s="15">
        <v>46239.715613425928</v>
      </c>
      <c r="G90" t="s">
        <v>402</v>
      </c>
      <c r="H90">
        <v>3</v>
      </c>
      <c r="I90" t="s">
        <v>1103</v>
      </c>
      <c r="J90" s="15">
        <v>46241.71597222222</v>
      </c>
      <c r="K90" s="15">
        <v>46246.671527777777</v>
      </c>
      <c r="L90" s="15"/>
      <c r="M90">
        <v>3</v>
      </c>
      <c r="O90" t="s">
        <v>201</v>
      </c>
      <c r="P90" t="s">
        <v>1954</v>
      </c>
      <c r="S90" t="s">
        <v>355</v>
      </c>
      <c r="T90" t="s">
        <v>369</v>
      </c>
      <c r="U90" t="s">
        <v>239</v>
      </c>
      <c r="V90" t="s">
        <v>7</v>
      </c>
      <c r="W90" t="s">
        <v>7</v>
      </c>
      <c r="X90" t="s">
        <v>7</v>
      </c>
      <c r="AA90" t="s">
        <v>127</v>
      </c>
      <c r="AB90" t="s">
        <v>355</v>
      </c>
      <c r="AC90">
        <v>2200</v>
      </c>
      <c r="AD90" t="s">
        <v>233</v>
      </c>
      <c r="AE90">
        <v>1</v>
      </c>
      <c r="AF90">
        <v>1</v>
      </c>
    </row>
    <row r="91" spans="1:32" x14ac:dyDescent="0.3">
      <c r="A91" t="s">
        <v>348</v>
      </c>
      <c r="B91" t="s">
        <v>57</v>
      </c>
      <c r="C91" t="s">
        <v>117</v>
      </c>
      <c r="D91" t="s">
        <v>309</v>
      </c>
      <c r="E91" t="s">
        <v>1104</v>
      </c>
      <c r="F91" s="15">
        <v>46238.474398148152</v>
      </c>
      <c r="G91" t="s">
        <v>402</v>
      </c>
      <c r="H91">
        <v>1</v>
      </c>
      <c r="I91" t="s">
        <v>1105</v>
      </c>
      <c r="J91" s="15">
        <v>46238.659722222219</v>
      </c>
      <c r="K91" s="15">
        <v>46241.456944444442</v>
      </c>
      <c r="L91" s="15"/>
      <c r="M91">
        <v>1</v>
      </c>
      <c r="O91" t="s">
        <v>201</v>
      </c>
      <c r="P91" t="s">
        <v>1954</v>
      </c>
      <c r="S91" t="s">
        <v>355</v>
      </c>
      <c r="T91" t="s">
        <v>369</v>
      </c>
      <c r="U91" t="s">
        <v>239</v>
      </c>
      <c r="V91" t="s">
        <v>7</v>
      </c>
      <c r="W91" t="s">
        <v>7</v>
      </c>
      <c r="X91" t="s">
        <v>7</v>
      </c>
      <c r="AA91" t="s">
        <v>127</v>
      </c>
      <c r="AB91" t="s">
        <v>355</v>
      </c>
      <c r="AC91">
        <v>2200</v>
      </c>
      <c r="AD91" t="s">
        <v>233</v>
      </c>
      <c r="AE91">
        <v>1</v>
      </c>
      <c r="AF91">
        <v>1</v>
      </c>
    </row>
    <row r="92" spans="1:32" x14ac:dyDescent="0.3">
      <c r="A92" t="s">
        <v>348</v>
      </c>
      <c r="B92" t="s">
        <v>57</v>
      </c>
      <c r="C92" t="s">
        <v>117</v>
      </c>
      <c r="D92" t="s">
        <v>309</v>
      </c>
      <c r="E92" t="s">
        <v>1106</v>
      </c>
      <c r="F92" s="15">
        <v>46244.43917824074</v>
      </c>
      <c r="G92" t="s">
        <v>406</v>
      </c>
      <c r="H92">
        <v>1</v>
      </c>
      <c r="I92" t="s">
        <v>1107</v>
      </c>
      <c r="J92" s="15">
        <v>46245.671527777777</v>
      </c>
      <c r="K92" s="15">
        <v>46251.602083333331</v>
      </c>
      <c r="L92" s="15"/>
      <c r="M92">
        <v>1</v>
      </c>
      <c r="O92" t="s">
        <v>201</v>
      </c>
      <c r="P92" t="s">
        <v>1954</v>
      </c>
      <c r="S92" t="s">
        <v>354</v>
      </c>
      <c r="T92" t="s">
        <v>369</v>
      </c>
      <c r="U92" t="s">
        <v>239</v>
      </c>
      <c r="V92" t="s">
        <v>7</v>
      </c>
      <c r="W92" t="s">
        <v>7</v>
      </c>
      <c r="X92" t="s">
        <v>7</v>
      </c>
      <c r="AA92" t="s">
        <v>127</v>
      </c>
      <c r="AB92" t="s">
        <v>354</v>
      </c>
      <c r="AC92">
        <v>50</v>
      </c>
      <c r="AD92" t="s">
        <v>233</v>
      </c>
      <c r="AE92">
        <v>1</v>
      </c>
      <c r="AF92">
        <v>1</v>
      </c>
    </row>
    <row r="93" spans="1:32" x14ac:dyDescent="0.3">
      <c r="A93" t="s">
        <v>348</v>
      </c>
      <c r="B93" t="s">
        <v>57</v>
      </c>
      <c r="C93" t="s">
        <v>117</v>
      </c>
      <c r="D93" t="s">
        <v>309</v>
      </c>
      <c r="E93" t="s">
        <v>1106</v>
      </c>
      <c r="F93" s="15">
        <v>46244.43917824074</v>
      </c>
      <c r="G93" t="s">
        <v>406</v>
      </c>
      <c r="H93">
        <v>2</v>
      </c>
      <c r="I93" t="s">
        <v>1107</v>
      </c>
      <c r="J93" s="15">
        <v>46245.671527777777</v>
      </c>
      <c r="K93" s="15">
        <v>46251.602083333331</v>
      </c>
      <c r="L93" s="15"/>
      <c r="M93">
        <v>2</v>
      </c>
      <c r="O93" t="s">
        <v>1958</v>
      </c>
      <c r="S93" t="s">
        <v>354</v>
      </c>
      <c r="T93" t="s">
        <v>369</v>
      </c>
      <c r="U93" t="s">
        <v>239</v>
      </c>
      <c r="V93" t="s">
        <v>7</v>
      </c>
      <c r="W93" t="s">
        <v>7</v>
      </c>
      <c r="X93" t="s">
        <v>7</v>
      </c>
      <c r="AA93" t="s">
        <v>127</v>
      </c>
      <c r="AB93" t="s">
        <v>354</v>
      </c>
      <c r="AC93">
        <v>50</v>
      </c>
      <c r="AD93" t="s">
        <v>233</v>
      </c>
      <c r="AE93">
        <v>1</v>
      </c>
    </row>
    <row r="94" spans="1:32" x14ac:dyDescent="0.3">
      <c r="A94" t="s">
        <v>348</v>
      </c>
      <c r="B94" t="s">
        <v>57</v>
      </c>
      <c r="C94" t="s">
        <v>117</v>
      </c>
      <c r="D94" t="s">
        <v>309</v>
      </c>
      <c r="E94" t="s">
        <v>1106</v>
      </c>
      <c r="F94" s="15">
        <v>46244.43917824074</v>
      </c>
      <c r="G94" t="s">
        <v>406</v>
      </c>
      <c r="H94">
        <v>4</v>
      </c>
      <c r="I94" t="s">
        <v>1107</v>
      </c>
      <c r="J94" s="15">
        <v>46245.671527777777</v>
      </c>
      <c r="K94" s="15">
        <v>46251.602083333331</v>
      </c>
      <c r="L94" s="15"/>
      <c r="M94">
        <v>4</v>
      </c>
      <c r="O94" t="s">
        <v>1958</v>
      </c>
      <c r="S94" t="s">
        <v>354</v>
      </c>
      <c r="T94" t="s">
        <v>369</v>
      </c>
      <c r="U94" t="s">
        <v>239</v>
      </c>
      <c r="V94" t="s">
        <v>7</v>
      </c>
      <c r="W94" t="s">
        <v>7</v>
      </c>
      <c r="X94" t="s">
        <v>7</v>
      </c>
      <c r="AA94" t="s">
        <v>127</v>
      </c>
      <c r="AB94" t="s">
        <v>354</v>
      </c>
      <c r="AC94">
        <v>50</v>
      </c>
      <c r="AD94" t="s">
        <v>233</v>
      </c>
      <c r="AE94">
        <v>1</v>
      </c>
    </row>
    <row r="95" spans="1:32" x14ac:dyDescent="0.3">
      <c r="A95" t="s">
        <v>348</v>
      </c>
      <c r="B95" t="s">
        <v>57</v>
      </c>
      <c r="C95" t="s">
        <v>117</v>
      </c>
      <c r="D95" t="s">
        <v>309</v>
      </c>
      <c r="E95" t="s">
        <v>1106</v>
      </c>
      <c r="F95" s="15">
        <v>46244.43917824074</v>
      </c>
      <c r="G95" t="s">
        <v>406</v>
      </c>
      <c r="H95">
        <v>1</v>
      </c>
      <c r="I95" t="s">
        <v>1107</v>
      </c>
      <c r="J95" s="15">
        <v>46245.671527777777</v>
      </c>
      <c r="K95" s="15">
        <v>46251.602083333331</v>
      </c>
      <c r="L95" s="15"/>
      <c r="M95">
        <v>1</v>
      </c>
      <c r="O95" t="s">
        <v>1958</v>
      </c>
      <c r="S95" t="s">
        <v>354</v>
      </c>
      <c r="T95" t="s">
        <v>369</v>
      </c>
      <c r="U95" t="s">
        <v>239</v>
      </c>
      <c r="V95" t="s">
        <v>7</v>
      </c>
      <c r="W95" t="s">
        <v>7</v>
      </c>
      <c r="X95" t="s">
        <v>7</v>
      </c>
      <c r="AA95" t="s">
        <v>127</v>
      </c>
      <c r="AB95" t="s">
        <v>354</v>
      </c>
      <c r="AC95">
        <v>50</v>
      </c>
      <c r="AD95" t="s">
        <v>233</v>
      </c>
      <c r="AE95">
        <v>1</v>
      </c>
    </row>
    <row r="96" spans="1:32" x14ac:dyDescent="0.3">
      <c r="A96" t="s">
        <v>348</v>
      </c>
      <c r="B96" t="s">
        <v>57</v>
      </c>
      <c r="C96" t="s">
        <v>117</v>
      </c>
      <c r="D96" t="s">
        <v>309</v>
      </c>
      <c r="E96" t="s">
        <v>1106</v>
      </c>
      <c r="F96" s="15">
        <v>46244.43917824074</v>
      </c>
      <c r="G96" t="s">
        <v>406</v>
      </c>
      <c r="H96">
        <v>3</v>
      </c>
      <c r="I96" t="s">
        <v>1107</v>
      </c>
      <c r="J96" s="15">
        <v>46245.671527777777</v>
      </c>
      <c r="K96" s="15">
        <v>46251.602083333331</v>
      </c>
      <c r="L96" s="15"/>
      <c r="M96">
        <v>3</v>
      </c>
      <c r="O96" t="s">
        <v>1958</v>
      </c>
      <c r="S96" t="s">
        <v>354</v>
      </c>
      <c r="T96" t="s">
        <v>369</v>
      </c>
      <c r="U96" t="s">
        <v>239</v>
      </c>
      <c r="V96" t="s">
        <v>7</v>
      </c>
      <c r="W96" t="s">
        <v>7</v>
      </c>
      <c r="X96" t="s">
        <v>7</v>
      </c>
      <c r="AA96" t="s">
        <v>127</v>
      </c>
      <c r="AB96" t="s">
        <v>354</v>
      </c>
      <c r="AC96">
        <v>50</v>
      </c>
      <c r="AD96" t="s">
        <v>233</v>
      </c>
      <c r="AE96">
        <v>1</v>
      </c>
    </row>
    <row r="97" spans="1:32" x14ac:dyDescent="0.3">
      <c r="A97" t="s">
        <v>348</v>
      </c>
      <c r="B97" t="s">
        <v>57</v>
      </c>
      <c r="C97" t="s">
        <v>117</v>
      </c>
      <c r="D97" t="s">
        <v>309</v>
      </c>
      <c r="E97" t="s">
        <v>1106</v>
      </c>
      <c r="F97" s="15">
        <v>46244.43917824074</v>
      </c>
      <c r="G97" t="s">
        <v>406</v>
      </c>
      <c r="H97">
        <v>4</v>
      </c>
      <c r="I97" t="s">
        <v>1107</v>
      </c>
      <c r="J97" s="15">
        <v>46245.671527777777</v>
      </c>
      <c r="K97" s="15">
        <v>46251.602083333331</v>
      </c>
      <c r="L97" s="15"/>
      <c r="M97">
        <v>4</v>
      </c>
      <c r="O97" t="s">
        <v>1958</v>
      </c>
      <c r="S97" t="s">
        <v>354</v>
      </c>
      <c r="T97" t="s">
        <v>369</v>
      </c>
      <c r="U97" t="s">
        <v>239</v>
      </c>
      <c r="V97" t="s">
        <v>7</v>
      </c>
      <c r="W97" t="s">
        <v>7</v>
      </c>
      <c r="X97" t="s">
        <v>7</v>
      </c>
      <c r="AA97" t="s">
        <v>127</v>
      </c>
      <c r="AB97" t="s">
        <v>354</v>
      </c>
      <c r="AC97">
        <v>50</v>
      </c>
      <c r="AD97" t="s">
        <v>233</v>
      </c>
      <c r="AE97">
        <v>1</v>
      </c>
    </row>
    <row r="98" spans="1:32" x14ac:dyDescent="0.3">
      <c r="A98" t="s">
        <v>348</v>
      </c>
      <c r="B98" t="s">
        <v>57</v>
      </c>
      <c r="C98" t="s">
        <v>117</v>
      </c>
      <c r="D98" t="s">
        <v>309</v>
      </c>
      <c r="E98" t="s">
        <v>1106</v>
      </c>
      <c r="F98" s="15">
        <v>46244.43917824074</v>
      </c>
      <c r="G98" t="s">
        <v>406</v>
      </c>
      <c r="H98">
        <v>2</v>
      </c>
      <c r="I98" t="s">
        <v>1107</v>
      </c>
      <c r="J98" s="15">
        <v>46245.671527777777</v>
      </c>
      <c r="K98" s="15">
        <v>46251.602083333331</v>
      </c>
      <c r="L98" s="15"/>
      <c r="M98">
        <v>2</v>
      </c>
      <c r="O98" t="s">
        <v>1958</v>
      </c>
      <c r="S98" t="s">
        <v>354</v>
      </c>
      <c r="T98" t="s">
        <v>369</v>
      </c>
      <c r="U98" t="s">
        <v>239</v>
      </c>
      <c r="V98" t="s">
        <v>7</v>
      </c>
      <c r="W98" t="s">
        <v>7</v>
      </c>
      <c r="X98" t="s">
        <v>7</v>
      </c>
      <c r="AA98" t="s">
        <v>127</v>
      </c>
      <c r="AB98" t="s">
        <v>354</v>
      </c>
      <c r="AC98">
        <v>50</v>
      </c>
      <c r="AD98" t="s">
        <v>233</v>
      </c>
      <c r="AE98">
        <v>1</v>
      </c>
    </row>
    <row r="99" spans="1:32" x14ac:dyDescent="0.3">
      <c r="A99" t="s">
        <v>348</v>
      </c>
      <c r="B99" t="s">
        <v>57</v>
      </c>
      <c r="C99" t="s">
        <v>117</v>
      </c>
      <c r="D99" t="s">
        <v>309</v>
      </c>
      <c r="E99" t="s">
        <v>1106</v>
      </c>
      <c r="F99" s="15">
        <v>46244.43917824074</v>
      </c>
      <c r="G99" t="s">
        <v>406</v>
      </c>
      <c r="H99">
        <v>2</v>
      </c>
      <c r="I99" t="s">
        <v>1107</v>
      </c>
      <c r="J99" s="15">
        <v>46245.671527777777</v>
      </c>
      <c r="K99" s="15">
        <v>46251.602083333331</v>
      </c>
      <c r="L99" s="15"/>
      <c r="M99">
        <v>2</v>
      </c>
      <c r="O99" t="s">
        <v>1958</v>
      </c>
      <c r="S99" t="s">
        <v>354</v>
      </c>
      <c r="T99" t="s">
        <v>369</v>
      </c>
      <c r="U99" t="s">
        <v>239</v>
      </c>
      <c r="V99" t="s">
        <v>7</v>
      </c>
      <c r="W99" t="s">
        <v>7</v>
      </c>
      <c r="X99" t="s">
        <v>7</v>
      </c>
      <c r="AA99" t="s">
        <v>127</v>
      </c>
      <c r="AB99" t="s">
        <v>354</v>
      </c>
      <c r="AC99">
        <v>50</v>
      </c>
      <c r="AD99" t="s">
        <v>233</v>
      </c>
      <c r="AE99">
        <v>1</v>
      </c>
    </row>
    <row r="100" spans="1:32" x14ac:dyDescent="0.3">
      <c r="A100" t="s">
        <v>348</v>
      </c>
      <c r="B100" t="s">
        <v>57</v>
      </c>
      <c r="C100" t="s">
        <v>117</v>
      </c>
      <c r="D100" t="s">
        <v>309</v>
      </c>
      <c r="E100" t="s">
        <v>1106</v>
      </c>
      <c r="F100" s="15">
        <v>46244.43917824074</v>
      </c>
      <c r="G100" t="s">
        <v>406</v>
      </c>
      <c r="H100">
        <v>2</v>
      </c>
      <c r="I100" t="s">
        <v>1107</v>
      </c>
      <c r="J100" s="15">
        <v>46245.671527777777</v>
      </c>
      <c r="K100" s="15">
        <v>46251.602083333331</v>
      </c>
      <c r="L100" s="15"/>
      <c r="M100">
        <v>2</v>
      </c>
      <c r="O100" t="s">
        <v>1958</v>
      </c>
      <c r="S100" t="s">
        <v>354</v>
      </c>
      <c r="T100" t="s">
        <v>369</v>
      </c>
      <c r="U100" t="s">
        <v>239</v>
      </c>
      <c r="V100" t="s">
        <v>7</v>
      </c>
      <c r="W100" t="s">
        <v>7</v>
      </c>
      <c r="X100" t="s">
        <v>7</v>
      </c>
      <c r="AA100" t="s">
        <v>127</v>
      </c>
      <c r="AB100" t="s">
        <v>354</v>
      </c>
      <c r="AC100">
        <v>50</v>
      </c>
      <c r="AD100" t="s">
        <v>233</v>
      </c>
      <c r="AE100">
        <v>1</v>
      </c>
    </row>
    <row r="101" spans="1:32" x14ac:dyDescent="0.3">
      <c r="A101" t="s">
        <v>348</v>
      </c>
      <c r="B101" t="s">
        <v>57</v>
      </c>
      <c r="C101" t="s">
        <v>117</v>
      </c>
      <c r="D101" t="s">
        <v>309</v>
      </c>
      <c r="E101" t="s">
        <v>1108</v>
      </c>
      <c r="F101" s="15">
        <v>46244.468541666669</v>
      </c>
      <c r="G101" t="s">
        <v>399</v>
      </c>
      <c r="H101">
        <v>1</v>
      </c>
      <c r="I101" t="s">
        <v>1109</v>
      </c>
      <c r="J101" s="15">
        <v>46244.694444444445</v>
      </c>
      <c r="K101" s="15">
        <v>46248.702777777777</v>
      </c>
      <c r="L101" s="15"/>
      <c r="M101">
        <v>1</v>
      </c>
      <c r="O101" t="s">
        <v>201</v>
      </c>
      <c r="P101" t="s">
        <v>1954</v>
      </c>
      <c r="S101" t="s">
        <v>354</v>
      </c>
      <c r="T101" t="s">
        <v>369</v>
      </c>
      <c r="U101" t="s">
        <v>239</v>
      </c>
      <c r="V101" t="s">
        <v>7</v>
      </c>
      <c r="W101" t="s">
        <v>7</v>
      </c>
      <c r="X101" t="s">
        <v>7</v>
      </c>
      <c r="AA101" t="s">
        <v>127</v>
      </c>
      <c r="AB101" t="s">
        <v>354</v>
      </c>
      <c r="AC101">
        <v>50</v>
      </c>
      <c r="AD101" t="s">
        <v>233</v>
      </c>
      <c r="AE101">
        <v>1</v>
      </c>
      <c r="AF101">
        <v>1</v>
      </c>
    </row>
    <row r="102" spans="1:32" x14ac:dyDescent="0.3">
      <c r="A102" t="s">
        <v>348</v>
      </c>
      <c r="B102" t="s">
        <v>57</v>
      </c>
      <c r="C102" t="s">
        <v>117</v>
      </c>
      <c r="D102" t="s">
        <v>309</v>
      </c>
      <c r="E102" t="s">
        <v>1110</v>
      </c>
      <c r="F102" s="15">
        <v>46244.466851851852</v>
      </c>
      <c r="G102" t="s">
        <v>399</v>
      </c>
      <c r="H102">
        <v>1</v>
      </c>
      <c r="I102" t="s">
        <v>1111</v>
      </c>
      <c r="J102" s="15">
        <v>46247.593055555553</v>
      </c>
      <c r="K102" s="15">
        <v>46252.873611111114</v>
      </c>
      <c r="L102" s="15"/>
      <c r="M102">
        <v>1</v>
      </c>
      <c r="O102" t="s">
        <v>201</v>
      </c>
      <c r="P102" t="s">
        <v>1954</v>
      </c>
      <c r="S102" t="s">
        <v>354</v>
      </c>
      <c r="T102" t="s">
        <v>369</v>
      </c>
      <c r="U102" t="s">
        <v>239</v>
      </c>
      <c r="V102" t="s">
        <v>7</v>
      </c>
      <c r="W102" t="s">
        <v>7</v>
      </c>
      <c r="X102" t="s">
        <v>7</v>
      </c>
      <c r="AA102" t="s">
        <v>127</v>
      </c>
      <c r="AB102" t="s">
        <v>354</v>
      </c>
      <c r="AC102">
        <v>50</v>
      </c>
      <c r="AD102" t="s">
        <v>233</v>
      </c>
      <c r="AE102">
        <v>1</v>
      </c>
      <c r="AF102">
        <v>1</v>
      </c>
    </row>
    <row r="103" spans="1:32" x14ac:dyDescent="0.3">
      <c r="A103" t="s">
        <v>348</v>
      </c>
      <c r="B103" t="s">
        <v>57</v>
      </c>
      <c r="C103" t="s">
        <v>117</v>
      </c>
      <c r="D103" t="s">
        <v>309</v>
      </c>
      <c r="E103" t="s">
        <v>1112</v>
      </c>
      <c r="F103" s="15">
        <v>46241.40283564815</v>
      </c>
      <c r="G103" t="s">
        <v>742</v>
      </c>
      <c r="H103">
        <v>1</v>
      </c>
      <c r="I103" t="s">
        <v>1113</v>
      </c>
      <c r="J103" s="15">
        <v>46241.429861111108</v>
      </c>
      <c r="K103" s="15">
        <v>46246.593055555553</v>
      </c>
      <c r="L103" s="15"/>
      <c r="M103">
        <v>1</v>
      </c>
      <c r="O103" t="s">
        <v>201</v>
      </c>
      <c r="P103" t="s">
        <v>1954</v>
      </c>
      <c r="S103" t="s">
        <v>356</v>
      </c>
      <c r="T103" t="s">
        <v>369</v>
      </c>
      <c r="U103" t="s">
        <v>239</v>
      </c>
      <c r="V103" t="s">
        <v>7</v>
      </c>
      <c r="W103" t="s">
        <v>7</v>
      </c>
      <c r="X103" t="s">
        <v>7</v>
      </c>
      <c r="AA103" t="s">
        <v>127</v>
      </c>
      <c r="AB103" t="s">
        <v>356</v>
      </c>
      <c r="AC103">
        <v>109</v>
      </c>
      <c r="AD103" t="s">
        <v>233</v>
      </c>
      <c r="AE103">
        <v>1</v>
      </c>
      <c r="AF103">
        <v>1</v>
      </c>
    </row>
    <row r="104" spans="1:32" x14ac:dyDescent="0.3">
      <c r="A104" t="s">
        <v>348</v>
      </c>
      <c r="B104" t="s">
        <v>57</v>
      </c>
      <c r="C104" t="s">
        <v>117</v>
      </c>
      <c r="D104" t="s">
        <v>309</v>
      </c>
      <c r="E104" t="s">
        <v>1114</v>
      </c>
      <c r="F104" s="15">
        <v>46202.512337962966</v>
      </c>
      <c r="G104" t="s">
        <v>419</v>
      </c>
      <c r="H104">
        <v>2</v>
      </c>
      <c r="I104" t="s">
        <v>1115</v>
      </c>
      <c r="J104" s="15">
        <v>46241.424259259256</v>
      </c>
      <c r="K104" s="15">
        <v>46248.483460648145</v>
      </c>
      <c r="L104" s="15"/>
      <c r="M104">
        <v>2</v>
      </c>
      <c r="O104" t="s">
        <v>201</v>
      </c>
      <c r="P104" t="s">
        <v>1954</v>
      </c>
      <c r="S104" t="s">
        <v>356</v>
      </c>
      <c r="T104" t="s">
        <v>369</v>
      </c>
      <c r="U104" t="s">
        <v>239</v>
      </c>
      <c r="V104" t="s">
        <v>7</v>
      </c>
      <c r="W104" t="s">
        <v>7</v>
      </c>
      <c r="X104" t="s">
        <v>7</v>
      </c>
      <c r="AA104" t="s">
        <v>127</v>
      </c>
      <c r="AB104" t="s">
        <v>356</v>
      </c>
      <c r="AC104">
        <v>109</v>
      </c>
      <c r="AD104" t="s">
        <v>233</v>
      </c>
      <c r="AE104">
        <v>1</v>
      </c>
      <c r="AF104">
        <v>1</v>
      </c>
    </row>
    <row r="105" spans="1:32" x14ac:dyDescent="0.3">
      <c r="A105" t="s">
        <v>348</v>
      </c>
      <c r="B105" t="s">
        <v>57</v>
      </c>
      <c r="C105" t="s">
        <v>117</v>
      </c>
      <c r="D105" t="s">
        <v>309</v>
      </c>
      <c r="E105" t="s">
        <v>1116</v>
      </c>
      <c r="F105" s="15">
        <v>46230.40084490741</v>
      </c>
      <c r="G105" t="s">
        <v>1117</v>
      </c>
      <c r="H105">
        <v>6</v>
      </c>
      <c r="I105" t="s">
        <v>1118</v>
      </c>
      <c r="J105" s="15">
        <v>46233.454386574071</v>
      </c>
      <c r="K105" s="15">
        <v>46238.481249999997</v>
      </c>
      <c r="L105" s="15"/>
      <c r="M105">
        <v>6</v>
      </c>
      <c r="O105" t="s">
        <v>201</v>
      </c>
      <c r="P105" t="s">
        <v>1954</v>
      </c>
      <c r="S105" t="s">
        <v>356</v>
      </c>
      <c r="T105" t="s">
        <v>369</v>
      </c>
      <c r="U105" t="s">
        <v>239</v>
      </c>
      <c r="V105" t="s">
        <v>7</v>
      </c>
      <c r="W105" t="s">
        <v>7</v>
      </c>
      <c r="X105" t="s">
        <v>7</v>
      </c>
      <c r="AA105" t="s">
        <v>127</v>
      </c>
      <c r="AB105" t="s">
        <v>356</v>
      </c>
      <c r="AC105">
        <v>109</v>
      </c>
      <c r="AD105" t="s">
        <v>233</v>
      </c>
      <c r="AE105">
        <v>1</v>
      </c>
      <c r="AF105">
        <v>1</v>
      </c>
    </row>
    <row r="106" spans="1:32" x14ac:dyDescent="0.3">
      <c r="A106" t="s">
        <v>348</v>
      </c>
      <c r="B106" t="s">
        <v>57</v>
      </c>
      <c r="C106" t="s">
        <v>117</v>
      </c>
      <c r="D106" t="s">
        <v>309</v>
      </c>
      <c r="E106" t="s">
        <v>1116</v>
      </c>
      <c r="F106" s="15">
        <v>46230.40084490741</v>
      </c>
      <c r="G106" t="s">
        <v>1117</v>
      </c>
      <c r="H106">
        <v>4</v>
      </c>
      <c r="I106" t="s">
        <v>1118</v>
      </c>
      <c r="J106" s="15">
        <v>46233.454386574071</v>
      </c>
      <c r="K106" s="15">
        <v>46238.481249999997</v>
      </c>
      <c r="L106" s="15"/>
      <c r="M106">
        <v>4</v>
      </c>
      <c r="O106" t="s">
        <v>1958</v>
      </c>
      <c r="S106" t="s">
        <v>356</v>
      </c>
      <c r="T106" t="s">
        <v>369</v>
      </c>
      <c r="U106" t="s">
        <v>239</v>
      </c>
      <c r="V106" t="s">
        <v>7</v>
      </c>
      <c r="W106" t="s">
        <v>7</v>
      </c>
      <c r="X106" t="s">
        <v>7</v>
      </c>
      <c r="AA106" t="s">
        <v>127</v>
      </c>
      <c r="AB106" t="s">
        <v>356</v>
      </c>
      <c r="AC106">
        <v>109</v>
      </c>
      <c r="AD106" t="s">
        <v>233</v>
      </c>
      <c r="AE106">
        <v>1</v>
      </c>
    </row>
    <row r="107" spans="1:32" x14ac:dyDescent="0.3">
      <c r="A107" t="s">
        <v>348</v>
      </c>
      <c r="B107" t="s">
        <v>57</v>
      </c>
      <c r="C107" t="s">
        <v>117</v>
      </c>
      <c r="D107" t="s">
        <v>309</v>
      </c>
      <c r="E107" t="s">
        <v>1116</v>
      </c>
      <c r="F107" s="15">
        <v>46230.40084490741</v>
      </c>
      <c r="G107" t="s">
        <v>1117</v>
      </c>
      <c r="H107">
        <v>5</v>
      </c>
      <c r="I107" t="s">
        <v>1118</v>
      </c>
      <c r="J107" s="15">
        <v>46233.454386574071</v>
      </c>
      <c r="K107" s="15">
        <v>46238.481249999997</v>
      </c>
      <c r="L107" s="15"/>
      <c r="M107">
        <v>5</v>
      </c>
      <c r="O107" t="s">
        <v>1958</v>
      </c>
      <c r="S107" t="s">
        <v>356</v>
      </c>
      <c r="T107" t="s">
        <v>369</v>
      </c>
      <c r="U107" t="s">
        <v>239</v>
      </c>
      <c r="V107" t="s">
        <v>7</v>
      </c>
      <c r="W107" t="s">
        <v>7</v>
      </c>
      <c r="X107" t="s">
        <v>7</v>
      </c>
      <c r="AA107" t="s">
        <v>127</v>
      </c>
      <c r="AB107" t="s">
        <v>356</v>
      </c>
      <c r="AC107">
        <v>109</v>
      </c>
      <c r="AD107" t="s">
        <v>233</v>
      </c>
      <c r="AE107">
        <v>1</v>
      </c>
    </row>
    <row r="108" spans="1:32" x14ac:dyDescent="0.3">
      <c r="A108" t="s">
        <v>348</v>
      </c>
      <c r="B108" t="s">
        <v>57</v>
      </c>
      <c r="C108" t="s">
        <v>117</v>
      </c>
      <c r="D108" t="s">
        <v>309</v>
      </c>
      <c r="E108" t="s">
        <v>1116</v>
      </c>
      <c r="F108" s="15">
        <v>46230.40084490741</v>
      </c>
      <c r="G108" t="s">
        <v>1117</v>
      </c>
      <c r="H108">
        <v>6</v>
      </c>
      <c r="I108" t="s">
        <v>1118</v>
      </c>
      <c r="J108" s="15">
        <v>46233.454386574071</v>
      </c>
      <c r="K108" s="15">
        <v>46238.481249999997</v>
      </c>
      <c r="L108" s="15"/>
      <c r="M108">
        <v>6</v>
      </c>
      <c r="O108" t="s">
        <v>1958</v>
      </c>
      <c r="S108" t="s">
        <v>356</v>
      </c>
      <c r="T108" t="s">
        <v>369</v>
      </c>
      <c r="U108" t="s">
        <v>239</v>
      </c>
      <c r="V108" t="s">
        <v>7</v>
      </c>
      <c r="W108" t="s">
        <v>7</v>
      </c>
      <c r="X108" t="s">
        <v>7</v>
      </c>
      <c r="AA108" t="s">
        <v>127</v>
      </c>
      <c r="AB108" t="s">
        <v>356</v>
      </c>
      <c r="AC108">
        <v>109</v>
      </c>
      <c r="AD108" t="s">
        <v>233</v>
      </c>
      <c r="AE108">
        <v>1</v>
      </c>
    </row>
    <row r="109" spans="1:32" x14ac:dyDescent="0.3">
      <c r="A109" t="s">
        <v>348</v>
      </c>
      <c r="B109" t="s">
        <v>57</v>
      </c>
      <c r="C109" t="s">
        <v>117</v>
      </c>
      <c r="D109" t="s">
        <v>309</v>
      </c>
      <c r="E109" t="s">
        <v>1116</v>
      </c>
      <c r="F109" s="15">
        <v>46230.40084490741</v>
      </c>
      <c r="G109" t="s">
        <v>1117</v>
      </c>
      <c r="H109">
        <v>4</v>
      </c>
      <c r="I109" t="s">
        <v>1118</v>
      </c>
      <c r="J109" s="15">
        <v>46233.454386574071</v>
      </c>
      <c r="K109" s="15">
        <v>46238.481249999997</v>
      </c>
      <c r="L109" s="15"/>
      <c r="M109">
        <v>4</v>
      </c>
      <c r="O109" t="s">
        <v>1958</v>
      </c>
      <c r="S109" t="s">
        <v>356</v>
      </c>
      <c r="T109" t="s">
        <v>369</v>
      </c>
      <c r="U109" t="s">
        <v>239</v>
      </c>
      <c r="V109" t="s">
        <v>7</v>
      </c>
      <c r="W109" t="s">
        <v>7</v>
      </c>
      <c r="X109" t="s">
        <v>7</v>
      </c>
      <c r="AA109" t="s">
        <v>127</v>
      </c>
      <c r="AB109" t="s">
        <v>356</v>
      </c>
      <c r="AC109">
        <v>109</v>
      </c>
      <c r="AD109" t="s">
        <v>233</v>
      </c>
      <c r="AE109">
        <v>1</v>
      </c>
    </row>
    <row r="110" spans="1:32" x14ac:dyDescent="0.3">
      <c r="A110" t="s">
        <v>348</v>
      </c>
      <c r="B110" t="s">
        <v>57</v>
      </c>
      <c r="C110" t="s">
        <v>117</v>
      </c>
      <c r="D110" t="s">
        <v>309</v>
      </c>
      <c r="E110" t="s">
        <v>1116</v>
      </c>
      <c r="F110" s="15">
        <v>46230.40084490741</v>
      </c>
      <c r="G110" t="s">
        <v>1117</v>
      </c>
      <c r="H110">
        <v>5</v>
      </c>
      <c r="I110" t="s">
        <v>1118</v>
      </c>
      <c r="J110" s="15">
        <v>46233.454386574071</v>
      </c>
      <c r="K110" s="15">
        <v>46238.481249999997</v>
      </c>
      <c r="L110" s="15"/>
      <c r="M110">
        <v>5</v>
      </c>
      <c r="O110" t="s">
        <v>1958</v>
      </c>
      <c r="S110" t="s">
        <v>356</v>
      </c>
      <c r="T110" t="s">
        <v>369</v>
      </c>
      <c r="U110" t="s">
        <v>239</v>
      </c>
      <c r="V110" t="s">
        <v>7</v>
      </c>
      <c r="W110" t="s">
        <v>7</v>
      </c>
      <c r="X110" t="s">
        <v>7</v>
      </c>
      <c r="AA110" t="s">
        <v>127</v>
      </c>
      <c r="AB110" t="s">
        <v>356</v>
      </c>
      <c r="AC110">
        <v>109</v>
      </c>
      <c r="AD110" t="s">
        <v>233</v>
      </c>
      <c r="AE110">
        <v>1</v>
      </c>
    </row>
    <row r="111" spans="1:32" x14ac:dyDescent="0.3">
      <c r="A111" t="s">
        <v>348</v>
      </c>
      <c r="B111" t="s">
        <v>57</v>
      </c>
      <c r="C111" t="s">
        <v>117</v>
      </c>
      <c r="D111" t="s">
        <v>309</v>
      </c>
      <c r="E111" t="s">
        <v>1116</v>
      </c>
      <c r="F111" s="15">
        <v>46230.40084490741</v>
      </c>
      <c r="G111" t="s">
        <v>1117</v>
      </c>
      <c r="H111">
        <v>6</v>
      </c>
      <c r="I111" t="s">
        <v>1118</v>
      </c>
      <c r="J111" s="15">
        <v>46233.454386574071</v>
      </c>
      <c r="K111" s="15">
        <v>46238.481249999997</v>
      </c>
      <c r="L111" s="15"/>
      <c r="M111">
        <v>6</v>
      </c>
      <c r="O111" t="s">
        <v>1958</v>
      </c>
      <c r="S111" t="s">
        <v>356</v>
      </c>
      <c r="T111" t="s">
        <v>369</v>
      </c>
      <c r="U111" t="s">
        <v>239</v>
      </c>
      <c r="V111" t="s">
        <v>7</v>
      </c>
      <c r="W111" t="s">
        <v>7</v>
      </c>
      <c r="X111" t="s">
        <v>7</v>
      </c>
      <c r="AA111" t="s">
        <v>127</v>
      </c>
      <c r="AB111" t="s">
        <v>356</v>
      </c>
      <c r="AC111">
        <v>109</v>
      </c>
      <c r="AD111" t="s">
        <v>233</v>
      </c>
      <c r="AE111">
        <v>1</v>
      </c>
    </row>
    <row r="112" spans="1:32" x14ac:dyDescent="0.3">
      <c r="A112" t="s">
        <v>348</v>
      </c>
      <c r="B112" t="s">
        <v>57</v>
      </c>
      <c r="C112" t="s">
        <v>117</v>
      </c>
      <c r="D112" t="s">
        <v>309</v>
      </c>
      <c r="E112" t="s">
        <v>1116</v>
      </c>
      <c r="F112" s="15">
        <v>46230.40084490741</v>
      </c>
      <c r="G112" t="s">
        <v>1117</v>
      </c>
      <c r="H112">
        <v>6</v>
      </c>
      <c r="I112" t="s">
        <v>1118</v>
      </c>
      <c r="J112" s="15">
        <v>46233.454386574071</v>
      </c>
      <c r="K112" s="15">
        <v>46238.481249999997</v>
      </c>
      <c r="L112" s="15"/>
      <c r="M112">
        <v>6</v>
      </c>
      <c r="O112" t="s">
        <v>1958</v>
      </c>
      <c r="S112" t="s">
        <v>356</v>
      </c>
      <c r="T112" t="s">
        <v>369</v>
      </c>
      <c r="U112" t="s">
        <v>239</v>
      </c>
      <c r="V112" t="s">
        <v>7</v>
      </c>
      <c r="W112" t="s">
        <v>7</v>
      </c>
      <c r="X112" t="s">
        <v>7</v>
      </c>
      <c r="AA112" t="s">
        <v>127</v>
      </c>
      <c r="AB112" t="s">
        <v>356</v>
      </c>
      <c r="AC112">
        <v>109</v>
      </c>
      <c r="AD112" t="s">
        <v>233</v>
      </c>
      <c r="AE112">
        <v>1</v>
      </c>
    </row>
    <row r="113" spans="1:32" x14ac:dyDescent="0.3">
      <c r="A113" t="s">
        <v>348</v>
      </c>
      <c r="B113" t="s">
        <v>57</v>
      </c>
      <c r="C113" t="s">
        <v>117</v>
      </c>
      <c r="D113" t="s">
        <v>309</v>
      </c>
      <c r="E113" t="s">
        <v>1116</v>
      </c>
      <c r="F113" s="15">
        <v>46230.40084490741</v>
      </c>
      <c r="G113" t="s">
        <v>1117</v>
      </c>
      <c r="H113">
        <v>3</v>
      </c>
      <c r="I113" t="s">
        <v>1118</v>
      </c>
      <c r="J113" s="15">
        <v>46233.454386574071</v>
      </c>
      <c r="K113" s="15">
        <v>46238.481249999997</v>
      </c>
      <c r="L113" s="15"/>
      <c r="M113">
        <v>3</v>
      </c>
      <c r="O113" t="s">
        <v>1958</v>
      </c>
      <c r="S113" t="s">
        <v>356</v>
      </c>
      <c r="T113" t="s">
        <v>369</v>
      </c>
      <c r="U113" t="s">
        <v>239</v>
      </c>
      <c r="V113" t="s">
        <v>7</v>
      </c>
      <c r="W113" t="s">
        <v>7</v>
      </c>
      <c r="X113" t="s">
        <v>7</v>
      </c>
      <c r="AA113" t="s">
        <v>127</v>
      </c>
      <c r="AB113" t="s">
        <v>356</v>
      </c>
      <c r="AC113">
        <v>109</v>
      </c>
      <c r="AD113" t="s">
        <v>233</v>
      </c>
      <c r="AE113">
        <v>1</v>
      </c>
    </row>
    <row r="114" spans="1:32" x14ac:dyDescent="0.3">
      <c r="A114" t="s">
        <v>348</v>
      </c>
      <c r="B114" t="s">
        <v>57</v>
      </c>
      <c r="C114" t="s">
        <v>117</v>
      </c>
      <c r="D114" t="s">
        <v>309</v>
      </c>
      <c r="E114" t="s">
        <v>1116</v>
      </c>
      <c r="F114" s="15">
        <v>46230.40084490741</v>
      </c>
      <c r="G114" t="s">
        <v>1117</v>
      </c>
      <c r="H114">
        <v>5</v>
      </c>
      <c r="I114" t="s">
        <v>1118</v>
      </c>
      <c r="J114" s="15">
        <v>46233.454386574071</v>
      </c>
      <c r="K114" s="15">
        <v>46238.481249999997</v>
      </c>
      <c r="L114" s="15"/>
      <c r="M114">
        <v>5</v>
      </c>
      <c r="O114" t="s">
        <v>1958</v>
      </c>
      <c r="S114" t="s">
        <v>356</v>
      </c>
      <c r="T114" t="s">
        <v>369</v>
      </c>
      <c r="U114" t="s">
        <v>239</v>
      </c>
      <c r="V114" t="s">
        <v>7</v>
      </c>
      <c r="W114" t="s">
        <v>7</v>
      </c>
      <c r="X114" t="s">
        <v>7</v>
      </c>
      <c r="AA114" t="s">
        <v>127</v>
      </c>
      <c r="AB114" t="s">
        <v>356</v>
      </c>
      <c r="AC114">
        <v>109</v>
      </c>
      <c r="AD114" t="s">
        <v>233</v>
      </c>
      <c r="AE114">
        <v>1</v>
      </c>
    </row>
    <row r="115" spans="1:32" x14ac:dyDescent="0.3">
      <c r="A115" t="s">
        <v>348</v>
      </c>
      <c r="B115" t="s">
        <v>57</v>
      </c>
      <c r="C115" t="s">
        <v>117</v>
      </c>
      <c r="D115" t="s">
        <v>309</v>
      </c>
      <c r="E115" t="s">
        <v>1119</v>
      </c>
      <c r="F115" s="15">
        <v>46232.31826388889</v>
      </c>
      <c r="G115" t="s">
        <v>401</v>
      </c>
      <c r="H115">
        <v>1</v>
      </c>
      <c r="I115" t="s">
        <v>1120</v>
      </c>
      <c r="J115" s="15">
        <v>46232.407094907408</v>
      </c>
      <c r="K115" s="15">
        <v>46238.423611111109</v>
      </c>
      <c r="L115" s="15"/>
      <c r="M115">
        <v>1</v>
      </c>
      <c r="O115" t="s">
        <v>201</v>
      </c>
      <c r="P115" t="s">
        <v>1954</v>
      </c>
      <c r="S115" t="s">
        <v>357</v>
      </c>
      <c r="T115" t="s">
        <v>369</v>
      </c>
      <c r="U115" t="s">
        <v>239</v>
      </c>
      <c r="V115" t="s">
        <v>7</v>
      </c>
      <c r="W115" t="s">
        <v>7</v>
      </c>
      <c r="X115" t="s">
        <v>7</v>
      </c>
      <c r="AA115" t="s">
        <v>127</v>
      </c>
      <c r="AB115" t="s">
        <v>357</v>
      </c>
      <c r="AC115">
        <v>101</v>
      </c>
      <c r="AD115" t="s">
        <v>233</v>
      </c>
      <c r="AE115">
        <v>1</v>
      </c>
      <c r="AF115">
        <v>1</v>
      </c>
    </row>
    <row r="116" spans="1:32" x14ac:dyDescent="0.3">
      <c r="A116" t="s">
        <v>348</v>
      </c>
      <c r="B116" t="s">
        <v>57</v>
      </c>
      <c r="C116" t="s">
        <v>117</v>
      </c>
      <c r="D116" t="s">
        <v>309</v>
      </c>
      <c r="E116" t="s">
        <v>1121</v>
      </c>
      <c r="F116" s="15">
        <v>46212.717303240737</v>
      </c>
      <c r="G116" t="s">
        <v>402</v>
      </c>
      <c r="H116">
        <v>2</v>
      </c>
      <c r="I116" t="s">
        <v>1122</v>
      </c>
      <c r="J116" s="15">
        <v>46231.477627314816</v>
      </c>
      <c r="K116" s="15">
        <v>46238.444444444445</v>
      </c>
      <c r="L116" s="15"/>
      <c r="M116">
        <v>2</v>
      </c>
      <c r="O116" t="s">
        <v>201</v>
      </c>
      <c r="P116" t="s">
        <v>1954</v>
      </c>
      <c r="S116" t="s">
        <v>355</v>
      </c>
      <c r="T116" t="s">
        <v>369</v>
      </c>
      <c r="U116" t="s">
        <v>239</v>
      </c>
      <c r="V116" t="s">
        <v>7</v>
      </c>
      <c r="W116" t="s">
        <v>7</v>
      </c>
      <c r="X116" t="s">
        <v>7</v>
      </c>
      <c r="AA116" t="s">
        <v>127</v>
      </c>
      <c r="AB116" t="s">
        <v>355</v>
      </c>
      <c r="AC116">
        <v>2200</v>
      </c>
      <c r="AD116" t="s">
        <v>233</v>
      </c>
      <c r="AE116">
        <v>1</v>
      </c>
      <c r="AF116">
        <v>1</v>
      </c>
    </row>
    <row r="117" spans="1:32" x14ac:dyDescent="0.3">
      <c r="A117" t="s">
        <v>348</v>
      </c>
      <c r="B117" t="s">
        <v>57</v>
      </c>
      <c r="C117" t="s">
        <v>117</v>
      </c>
      <c r="D117" t="s">
        <v>309</v>
      </c>
      <c r="E117" t="s">
        <v>1121</v>
      </c>
      <c r="F117" s="15">
        <v>46212.717303240737</v>
      </c>
      <c r="G117" t="s">
        <v>402</v>
      </c>
      <c r="H117">
        <v>2</v>
      </c>
      <c r="I117" t="s">
        <v>1122</v>
      </c>
      <c r="J117" s="15">
        <v>46231.477627314816</v>
      </c>
      <c r="K117" s="15">
        <v>46238.444444444445</v>
      </c>
      <c r="L117" s="15"/>
      <c r="M117">
        <v>2</v>
      </c>
      <c r="O117" t="s">
        <v>1958</v>
      </c>
      <c r="S117" t="s">
        <v>355</v>
      </c>
      <c r="T117" t="s">
        <v>369</v>
      </c>
      <c r="U117" t="s">
        <v>239</v>
      </c>
      <c r="V117" t="s">
        <v>7</v>
      </c>
      <c r="W117" t="s">
        <v>7</v>
      </c>
      <c r="X117" t="s">
        <v>7</v>
      </c>
      <c r="AA117" t="s">
        <v>127</v>
      </c>
      <c r="AB117" t="s">
        <v>355</v>
      </c>
      <c r="AC117">
        <v>2200</v>
      </c>
      <c r="AD117" t="s">
        <v>233</v>
      </c>
      <c r="AE117">
        <v>1</v>
      </c>
    </row>
    <row r="118" spans="1:32" x14ac:dyDescent="0.3">
      <c r="A118" t="s">
        <v>348</v>
      </c>
      <c r="B118" t="s">
        <v>57</v>
      </c>
      <c r="C118" t="s">
        <v>117</v>
      </c>
      <c r="D118" t="s">
        <v>309</v>
      </c>
      <c r="E118" t="s">
        <v>1123</v>
      </c>
      <c r="F118" s="15">
        <v>46223.754212962966</v>
      </c>
      <c r="G118" t="s">
        <v>402</v>
      </c>
      <c r="H118">
        <v>1</v>
      </c>
      <c r="I118" t="s">
        <v>1124</v>
      </c>
      <c r="J118" s="15">
        <v>46232.484236111108</v>
      </c>
      <c r="K118" s="15">
        <v>46238.427083333336</v>
      </c>
      <c r="L118" s="15"/>
      <c r="M118">
        <v>1</v>
      </c>
      <c r="O118" t="s">
        <v>201</v>
      </c>
      <c r="P118" t="s">
        <v>1954</v>
      </c>
      <c r="S118" t="s">
        <v>355</v>
      </c>
      <c r="T118" t="s">
        <v>369</v>
      </c>
      <c r="U118" t="s">
        <v>239</v>
      </c>
      <c r="V118" t="s">
        <v>7</v>
      </c>
      <c r="W118" t="s">
        <v>7</v>
      </c>
      <c r="X118" t="s">
        <v>7</v>
      </c>
      <c r="AA118" t="s">
        <v>127</v>
      </c>
      <c r="AB118" t="s">
        <v>355</v>
      </c>
      <c r="AC118">
        <v>2200</v>
      </c>
      <c r="AD118" t="s">
        <v>233</v>
      </c>
      <c r="AE118">
        <v>1</v>
      </c>
    </row>
    <row r="119" spans="1:32" x14ac:dyDescent="0.3">
      <c r="A119" t="s">
        <v>348</v>
      </c>
      <c r="B119" t="s">
        <v>57</v>
      </c>
      <c r="C119" t="s">
        <v>117</v>
      </c>
      <c r="D119" t="s">
        <v>309</v>
      </c>
      <c r="E119" t="s">
        <v>1125</v>
      </c>
      <c r="F119" s="15">
        <v>46233.719895833332</v>
      </c>
      <c r="G119" t="s">
        <v>420</v>
      </c>
      <c r="H119">
        <v>6</v>
      </c>
      <c r="I119" t="s">
        <v>1126</v>
      </c>
      <c r="J119" s="15">
        <v>46234.410682870373</v>
      </c>
      <c r="K119" s="15">
        <v>46238.434027777781</v>
      </c>
      <c r="L119" s="15"/>
      <c r="M119">
        <v>6</v>
      </c>
      <c r="O119" t="s">
        <v>201</v>
      </c>
      <c r="P119" t="s">
        <v>1954</v>
      </c>
      <c r="S119" t="s">
        <v>355</v>
      </c>
      <c r="T119" t="s">
        <v>369</v>
      </c>
      <c r="U119" t="s">
        <v>239</v>
      </c>
      <c r="V119" t="s">
        <v>7</v>
      </c>
      <c r="W119" t="s">
        <v>7</v>
      </c>
      <c r="X119" t="s">
        <v>7</v>
      </c>
      <c r="AA119" t="s">
        <v>127</v>
      </c>
      <c r="AB119" t="s">
        <v>355</v>
      </c>
      <c r="AC119">
        <v>2200</v>
      </c>
      <c r="AD119" t="s">
        <v>233</v>
      </c>
      <c r="AE119">
        <v>1</v>
      </c>
    </row>
    <row r="120" spans="1:32" x14ac:dyDescent="0.3">
      <c r="A120" t="s">
        <v>348</v>
      </c>
      <c r="B120" t="s">
        <v>57</v>
      </c>
      <c r="C120" t="s">
        <v>117</v>
      </c>
      <c r="D120" t="s">
        <v>309</v>
      </c>
      <c r="E120" t="s">
        <v>1125</v>
      </c>
      <c r="F120" s="15">
        <v>46233.719895833332</v>
      </c>
      <c r="G120" t="s">
        <v>420</v>
      </c>
      <c r="H120">
        <v>2</v>
      </c>
      <c r="I120" t="s">
        <v>1127</v>
      </c>
      <c r="J120" s="15">
        <v>46234.408483796295</v>
      </c>
      <c r="K120" s="15">
        <v>46238.436805555553</v>
      </c>
      <c r="L120" s="15"/>
      <c r="M120">
        <v>2</v>
      </c>
      <c r="O120" t="s">
        <v>201</v>
      </c>
      <c r="P120" t="s">
        <v>1954</v>
      </c>
      <c r="S120" t="s">
        <v>355</v>
      </c>
      <c r="T120" t="s">
        <v>369</v>
      </c>
      <c r="U120" t="s">
        <v>239</v>
      </c>
      <c r="V120" t="s">
        <v>7</v>
      </c>
      <c r="W120" t="s">
        <v>7</v>
      </c>
      <c r="X120" t="s">
        <v>7</v>
      </c>
      <c r="AA120" t="s">
        <v>127</v>
      </c>
      <c r="AB120" t="s">
        <v>355</v>
      </c>
      <c r="AC120">
        <v>2200</v>
      </c>
      <c r="AD120" t="s">
        <v>233</v>
      </c>
      <c r="AE120">
        <v>1</v>
      </c>
    </row>
    <row r="121" spans="1:32" x14ac:dyDescent="0.3">
      <c r="A121" t="s">
        <v>348</v>
      </c>
      <c r="B121" t="s">
        <v>57</v>
      </c>
      <c r="C121" t="s">
        <v>117</v>
      </c>
      <c r="D121" t="s">
        <v>309</v>
      </c>
      <c r="E121" t="s">
        <v>1125</v>
      </c>
      <c r="F121" s="15">
        <v>46233.719895833332</v>
      </c>
      <c r="G121" t="s">
        <v>420</v>
      </c>
      <c r="H121">
        <v>6</v>
      </c>
      <c r="I121" t="s">
        <v>1126</v>
      </c>
      <c r="J121" s="15">
        <v>46234.410682870373</v>
      </c>
      <c r="K121" s="15">
        <v>46238.434027777781</v>
      </c>
      <c r="L121" s="15"/>
      <c r="M121">
        <v>6</v>
      </c>
      <c r="O121" t="s">
        <v>1958</v>
      </c>
      <c r="S121" t="s">
        <v>355</v>
      </c>
      <c r="T121" t="s">
        <v>369</v>
      </c>
      <c r="U121" t="s">
        <v>239</v>
      </c>
      <c r="V121" t="s">
        <v>7</v>
      </c>
      <c r="W121" t="s">
        <v>7</v>
      </c>
      <c r="X121" t="s">
        <v>7</v>
      </c>
      <c r="AA121" t="s">
        <v>127</v>
      </c>
      <c r="AB121" t="s">
        <v>355</v>
      </c>
      <c r="AC121">
        <v>2200</v>
      </c>
      <c r="AD121" t="s">
        <v>233</v>
      </c>
      <c r="AE121">
        <v>1</v>
      </c>
    </row>
    <row r="122" spans="1:32" x14ac:dyDescent="0.3">
      <c r="A122" t="s">
        <v>348</v>
      </c>
      <c r="B122" t="s">
        <v>57</v>
      </c>
      <c r="C122" t="s">
        <v>117</v>
      </c>
      <c r="D122" t="s">
        <v>309</v>
      </c>
      <c r="E122" t="s">
        <v>1114</v>
      </c>
      <c r="F122" s="15">
        <v>46202.512337962966</v>
      </c>
      <c r="G122" t="s">
        <v>419</v>
      </c>
      <c r="H122">
        <v>26</v>
      </c>
      <c r="I122" t="s">
        <v>1128</v>
      </c>
      <c r="J122" s="15">
        <v>46203.361828703702</v>
      </c>
      <c r="K122" s="15">
        <v>46212.739201388889</v>
      </c>
      <c r="L122" s="15"/>
      <c r="M122">
        <v>26</v>
      </c>
      <c r="O122" t="s">
        <v>201</v>
      </c>
      <c r="P122" t="s">
        <v>1954</v>
      </c>
      <c r="S122" t="s">
        <v>356</v>
      </c>
      <c r="T122" t="s">
        <v>369</v>
      </c>
      <c r="U122" t="s">
        <v>239</v>
      </c>
      <c r="V122" t="s">
        <v>7</v>
      </c>
      <c r="W122" t="s">
        <v>7</v>
      </c>
      <c r="X122" t="s">
        <v>7</v>
      </c>
      <c r="AA122" t="s">
        <v>127</v>
      </c>
      <c r="AB122" t="s">
        <v>356</v>
      </c>
      <c r="AC122">
        <v>109</v>
      </c>
      <c r="AD122" t="s">
        <v>233</v>
      </c>
      <c r="AE122">
        <v>2.6</v>
      </c>
      <c r="AF122">
        <v>1</v>
      </c>
    </row>
    <row r="123" spans="1:32" x14ac:dyDescent="0.3">
      <c r="A123" t="s">
        <v>348</v>
      </c>
      <c r="B123" t="s">
        <v>57</v>
      </c>
      <c r="C123" t="s">
        <v>117</v>
      </c>
      <c r="D123" t="s">
        <v>309</v>
      </c>
      <c r="E123" t="s">
        <v>1114</v>
      </c>
      <c r="F123" s="15">
        <v>46202.512337962966</v>
      </c>
      <c r="G123" t="s">
        <v>419</v>
      </c>
      <c r="H123">
        <v>13</v>
      </c>
      <c r="I123" t="s">
        <v>1128</v>
      </c>
      <c r="J123" s="15">
        <v>46203.361828703702</v>
      </c>
      <c r="K123" s="15">
        <v>46212.739201388889</v>
      </c>
      <c r="L123" s="15"/>
      <c r="M123">
        <v>13</v>
      </c>
      <c r="O123" t="s">
        <v>1958</v>
      </c>
      <c r="S123" t="s">
        <v>356</v>
      </c>
      <c r="T123" t="s">
        <v>369</v>
      </c>
      <c r="U123" t="s">
        <v>239</v>
      </c>
      <c r="V123" t="s">
        <v>7</v>
      </c>
      <c r="W123" t="s">
        <v>7</v>
      </c>
      <c r="X123" t="s">
        <v>7</v>
      </c>
      <c r="AA123" t="s">
        <v>127</v>
      </c>
      <c r="AB123" t="s">
        <v>356</v>
      </c>
      <c r="AC123">
        <v>109</v>
      </c>
      <c r="AD123" t="s">
        <v>233</v>
      </c>
      <c r="AE123">
        <v>1.3</v>
      </c>
    </row>
    <row r="124" spans="1:32" x14ac:dyDescent="0.3">
      <c r="A124" t="s">
        <v>348</v>
      </c>
      <c r="B124" t="s">
        <v>57</v>
      </c>
      <c r="C124" t="s">
        <v>117</v>
      </c>
      <c r="D124" t="s">
        <v>309</v>
      </c>
      <c r="E124" t="s">
        <v>1114</v>
      </c>
      <c r="F124" s="15">
        <v>46202.512337962966</v>
      </c>
      <c r="G124" t="s">
        <v>419</v>
      </c>
      <c r="H124">
        <v>30</v>
      </c>
      <c r="I124" t="s">
        <v>1129</v>
      </c>
      <c r="J124" s="15">
        <v>46239.591469907406</v>
      </c>
      <c r="K124" s="15">
        <v>46241.497916666667</v>
      </c>
      <c r="L124" s="15"/>
      <c r="M124">
        <v>30</v>
      </c>
      <c r="O124" t="s">
        <v>201</v>
      </c>
      <c r="P124" t="s">
        <v>1954</v>
      </c>
      <c r="S124" t="s">
        <v>356</v>
      </c>
      <c r="T124" t="s">
        <v>369</v>
      </c>
      <c r="U124" t="s">
        <v>239</v>
      </c>
      <c r="V124" t="s">
        <v>7</v>
      </c>
      <c r="W124" t="s">
        <v>7</v>
      </c>
      <c r="X124" t="s">
        <v>7</v>
      </c>
      <c r="AA124" t="s">
        <v>127</v>
      </c>
      <c r="AB124" t="s">
        <v>356</v>
      </c>
      <c r="AC124">
        <v>109</v>
      </c>
      <c r="AD124" t="s">
        <v>233</v>
      </c>
      <c r="AE124">
        <v>3</v>
      </c>
      <c r="AF124">
        <v>1</v>
      </c>
    </row>
    <row r="125" spans="1:32" x14ac:dyDescent="0.3">
      <c r="A125" t="s">
        <v>348</v>
      </c>
      <c r="B125" t="s">
        <v>57</v>
      </c>
      <c r="C125" t="s">
        <v>117</v>
      </c>
      <c r="D125" t="s">
        <v>309</v>
      </c>
      <c r="E125" t="s">
        <v>1130</v>
      </c>
      <c r="F125" s="15">
        <v>46253.45040509259</v>
      </c>
      <c r="G125" t="s">
        <v>402</v>
      </c>
      <c r="H125">
        <v>1</v>
      </c>
      <c r="I125" t="s">
        <v>1131</v>
      </c>
      <c r="J125" s="15">
        <v>46255.393750000003</v>
      </c>
      <c r="K125" s="15">
        <v>46258.414583333331</v>
      </c>
      <c r="L125" s="15"/>
      <c r="M125">
        <v>1</v>
      </c>
      <c r="O125" t="s">
        <v>201</v>
      </c>
      <c r="P125" t="s">
        <v>1954</v>
      </c>
      <c r="S125" t="s">
        <v>355</v>
      </c>
      <c r="T125" t="s">
        <v>369</v>
      </c>
      <c r="U125" t="s">
        <v>239</v>
      </c>
      <c r="V125" t="s">
        <v>7</v>
      </c>
      <c r="W125" t="s">
        <v>7</v>
      </c>
      <c r="X125" t="s">
        <v>7</v>
      </c>
      <c r="AA125" t="s">
        <v>127</v>
      </c>
      <c r="AB125" t="s">
        <v>355</v>
      </c>
      <c r="AC125">
        <v>2200</v>
      </c>
      <c r="AD125" t="s">
        <v>233</v>
      </c>
      <c r="AE125">
        <v>1</v>
      </c>
      <c r="AF125">
        <v>1</v>
      </c>
    </row>
    <row r="126" spans="1:32" x14ac:dyDescent="0.3">
      <c r="A126" t="s">
        <v>348</v>
      </c>
      <c r="B126" t="s">
        <v>57</v>
      </c>
      <c r="C126" t="s">
        <v>117</v>
      </c>
      <c r="D126" t="s">
        <v>309</v>
      </c>
      <c r="E126" t="s">
        <v>1132</v>
      </c>
      <c r="F126" s="15">
        <v>46225.356817129628</v>
      </c>
      <c r="G126" t="s">
        <v>399</v>
      </c>
      <c r="H126">
        <v>1</v>
      </c>
      <c r="I126" t="s">
        <v>1133</v>
      </c>
      <c r="J126" s="15">
        <v>46233.380069444444</v>
      </c>
      <c r="K126" s="15">
        <v>46238.463194444441</v>
      </c>
      <c r="L126" s="15"/>
      <c r="M126">
        <v>1</v>
      </c>
      <c r="O126" t="s">
        <v>201</v>
      </c>
      <c r="P126" t="s">
        <v>1954</v>
      </c>
      <c r="S126" t="s">
        <v>354</v>
      </c>
      <c r="T126" t="s">
        <v>369</v>
      </c>
      <c r="U126" t="s">
        <v>239</v>
      </c>
      <c r="V126" t="s">
        <v>7</v>
      </c>
      <c r="W126" t="s">
        <v>7</v>
      </c>
      <c r="X126" t="s">
        <v>7</v>
      </c>
      <c r="AA126" t="s">
        <v>127</v>
      </c>
      <c r="AB126" t="s">
        <v>354</v>
      </c>
      <c r="AC126">
        <v>50</v>
      </c>
      <c r="AD126" t="s">
        <v>233</v>
      </c>
      <c r="AE126">
        <v>1</v>
      </c>
      <c r="AF126">
        <v>1</v>
      </c>
    </row>
    <row r="127" spans="1:32" x14ac:dyDescent="0.3">
      <c r="A127" t="s">
        <v>348</v>
      </c>
      <c r="B127" t="s">
        <v>57</v>
      </c>
      <c r="C127" t="s">
        <v>117</v>
      </c>
      <c r="D127" t="s">
        <v>309</v>
      </c>
      <c r="E127" t="s">
        <v>1134</v>
      </c>
      <c r="F127" s="15">
        <v>46223.623645833337</v>
      </c>
      <c r="G127" t="s">
        <v>402</v>
      </c>
      <c r="H127">
        <v>1</v>
      </c>
      <c r="I127" t="s">
        <v>1135</v>
      </c>
      <c r="J127" s="15">
        <v>46224.351388888892</v>
      </c>
      <c r="K127" s="15">
        <v>46227.68472222222</v>
      </c>
      <c r="L127" s="15">
        <v>46234.655555555553</v>
      </c>
      <c r="M127">
        <v>1</v>
      </c>
      <c r="O127" t="s">
        <v>201</v>
      </c>
      <c r="P127" t="s">
        <v>1954</v>
      </c>
      <c r="S127" t="s">
        <v>355</v>
      </c>
      <c r="T127" t="s">
        <v>369</v>
      </c>
      <c r="U127" t="s">
        <v>239</v>
      </c>
      <c r="V127" t="s">
        <v>7</v>
      </c>
      <c r="W127" t="s">
        <v>7</v>
      </c>
      <c r="X127" t="s">
        <v>7</v>
      </c>
      <c r="AA127" t="s">
        <v>127</v>
      </c>
      <c r="AB127" t="s">
        <v>355</v>
      </c>
      <c r="AC127">
        <v>2200</v>
      </c>
      <c r="AD127" t="s">
        <v>233</v>
      </c>
      <c r="AE127">
        <v>1</v>
      </c>
      <c r="AF127">
        <v>1</v>
      </c>
    </row>
    <row r="128" spans="1:32" x14ac:dyDescent="0.3">
      <c r="A128" t="s">
        <v>348</v>
      </c>
      <c r="B128" t="s">
        <v>57</v>
      </c>
      <c r="C128" t="s">
        <v>117</v>
      </c>
      <c r="D128" t="s">
        <v>309</v>
      </c>
      <c r="E128" t="s">
        <v>1134</v>
      </c>
      <c r="F128" s="15">
        <v>46223.623645833337</v>
      </c>
      <c r="G128" t="s">
        <v>402</v>
      </c>
      <c r="H128">
        <v>1</v>
      </c>
      <c r="I128" t="s">
        <v>1135</v>
      </c>
      <c r="J128" s="15">
        <v>46224.351388888892</v>
      </c>
      <c r="K128" s="15">
        <v>46227.68472222222</v>
      </c>
      <c r="L128" s="15">
        <v>46234.655555555553</v>
      </c>
      <c r="M128">
        <v>1</v>
      </c>
      <c r="O128" t="s">
        <v>1958</v>
      </c>
      <c r="S128" t="s">
        <v>355</v>
      </c>
      <c r="T128" t="s">
        <v>369</v>
      </c>
      <c r="U128" t="s">
        <v>239</v>
      </c>
      <c r="V128" t="s">
        <v>7</v>
      </c>
      <c r="W128" t="s">
        <v>7</v>
      </c>
      <c r="X128" t="s">
        <v>7</v>
      </c>
      <c r="AA128" t="s">
        <v>127</v>
      </c>
      <c r="AB128" t="s">
        <v>355</v>
      </c>
      <c r="AC128">
        <v>2200</v>
      </c>
      <c r="AD128" t="s">
        <v>233</v>
      </c>
      <c r="AE128">
        <v>1</v>
      </c>
    </row>
    <row r="129" spans="1:32" x14ac:dyDescent="0.3">
      <c r="A129" t="s">
        <v>348</v>
      </c>
      <c r="B129" t="s">
        <v>57</v>
      </c>
      <c r="C129" t="s">
        <v>117</v>
      </c>
      <c r="D129" t="s">
        <v>309</v>
      </c>
      <c r="E129" t="s">
        <v>1134</v>
      </c>
      <c r="F129" s="15">
        <v>46223.623645833337</v>
      </c>
      <c r="G129" t="s">
        <v>402</v>
      </c>
      <c r="H129">
        <v>3</v>
      </c>
      <c r="I129" t="s">
        <v>1136</v>
      </c>
      <c r="J129" s="15">
        <v>46224.351388888892</v>
      </c>
      <c r="K129" s="15">
        <v>46227.68472222222</v>
      </c>
      <c r="L129" s="15"/>
      <c r="M129">
        <v>3</v>
      </c>
      <c r="O129" t="s">
        <v>201</v>
      </c>
      <c r="P129" t="s">
        <v>1954</v>
      </c>
      <c r="S129" t="s">
        <v>355</v>
      </c>
      <c r="T129" t="s">
        <v>369</v>
      </c>
      <c r="U129" t="s">
        <v>239</v>
      </c>
      <c r="V129" t="s">
        <v>7</v>
      </c>
      <c r="W129" t="s">
        <v>7</v>
      </c>
      <c r="X129" t="s">
        <v>7</v>
      </c>
      <c r="AA129" t="s">
        <v>127</v>
      </c>
      <c r="AB129" t="s">
        <v>355</v>
      </c>
      <c r="AC129">
        <v>2200</v>
      </c>
      <c r="AD129" t="s">
        <v>233</v>
      </c>
      <c r="AE129">
        <v>1</v>
      </c>
    </row>
    <row r="130" spans="1:32" x14ac:dyDescent="0.3">
      <c r="A130" t="s">
        <v>348</v>
      </c>
      <c r="B130" t="s">
        <v>57</v>
      </c>
      <c r="C130" t="s">
        <v>117</v>
      </c>
      <c r="D130" t="s">
        <v>309</v>
      </c>
      <c r="E130" t="s">
        <v>1137</v>
      </c>
      <c r="F130" s="15">
        <v>46217.60359953704</v>
      </c>
      <c r="G130" t="s">
        <v>420</v>
      </c>
      <c r="H130">
        <v>1</v>
      </c>
      <c r="I130" t="s">
        <v>1138</v>
      </c>
      <c r="J130" s="15">
        <v>46220.352083333331</v>
      </c>
      <c r="K130" s="15">
        <v>46227.702777777777</v>
      </c>
      <c r="L130" s="15"/>
      <c r="M130">
        <v>1</v>
      </c>
      <c r="O130" t="s">
        <v>201</v>
      </c>
      <c r="P130" t="s">
        <v>1954</v>
      </c>
      <c r="S130" t="s">
        <v>357</v>
      </c>
      <c r="T130" t="s">
        <v>369</v>
      </c>
      <c r="U130" t="s">
        <v>239</v>
      </c>
      <c r="V130" t="s">
        <v>7</v>
      </c>
      <c r="W130" t="s">
        <v>7</v>
      </c>
      <c r="X130" t="s">
        <v>7</v>
      </c>
      <c r="AA130" t="s">
        <v>127</v>
      </c>
      <c r="AB130" t="s">
        <v>357</v>
      </c>
      <c r="AC130">
        <v>101</v>
      </c>
      <c r="AD130" t="s">
        <v>233</v>
      </c>
      <c r="AE130">
        <v>1</v>
      </c>
      <c r="AF130">
        <v>1</v>
      </c>
    </row>
    <row r="131" spans="1:32" x14ac:dyDescent="0.3">
      <c r="A131" t="s">
        <v>348</v>
      </c>
      <c r="B131" t="s">
        <v>57</v>
      </c>
      <c r="C131" t="s">
        <v>117</v>
      </c>
      <c r="D131" t="s">
        <v>309</v>
      </c>
      <c r="E131" t="s">
        <v>1137</v>
      </c>
      <c r="F131" s="15">
        <v>46217.60359953704</v>
      </c>
      <c r="G131" t="s">
        <v>420</v>
      </c>
      <c r="H131">
        <v>4</v>
      </c>
      <c r="I131" t="s">
        <v>1138</v>
      </c>
      <c r="J131" s="15">
        <v>46220.352083333331</v>
      </c>
      <c r="K131" s="15">
        <v>46227.702777777777</v>
      </c>
      <c r="L131" s="15"/>
      <c r="M131">
        <v>4</v>
      </c>
      <c r="O131" t="s">
        <v>1958</v>
      </c>
      <c r="S131" t="s">
        <v>357</v>
      </c>
      <c r="T131" t="s">
        <v>369</v>
      </c>
      <c r="U131" t="s">
        <v>239</v>
      </c>
      <c r="V131" t="s">
        <v>7</v>
      </c>
      <c r="W131" t="s">
        <v>7</v>
      </c>
      <c r="X131" t="s">
        <v>7</v>
      </c>
      <c r="AA131" t="s">
        <v>127</v>
      </c>
      <c r="AB131" t="s">
        <v>357</v>
      </c>
      <c r="AC131">
        <v>101</v>
      </c>
      <c r="AD131" t="s">
        <v>233</v>
      </c>
      <c r="AE131">
        <v>1</v>
      </c>
    </row>
    <row r="132" spans="1:32" x14ac:dyDescent="0.3">
      <c r="A132" t="s">
        <v>348</v>
      </c>
      <c r="B132" t="s">
        <v>57</v>
      </c>
      <c r="C132" t="s">
        <v>117</v>
      </c>
      <c r="D132" t="s">
        <v>309</v>
      </c>
      <c r="E132" t="s">
        <v>1137</v>
      </c>
      <c r="F132" s="15">
        <v>46217.60359953704</v>
      </c>
      <c r="G132" t="s">
        <v>420</v>
      </c>
      <c r="H132">
        <v>1</v>
      </c>
      <c r="I132" t="s">
        <v>1138</v>
      </c>
      <c r="J132" s="15">
        <v>46220.352083333331</v>
      </c>
      <c r="K132" s="15">
        <v>46227.702777777777</v>
      </c>
      <c r="L132" s="15"/>
      <c r="M132">
        <v>1</v>
      </c>
      <c r="O132" t="s">
        <v>1958</v>
      </c>
      <c r="S132" t="s">
        <v>357</v>
      </c>
      <c r="T132" t="s">
        <v>369</v>
      </c>
      <c r="U132" t="s">
        <v>239</v>
      </c>
      <c r="V132" t="s">
        <v>7</v>
      </c>
      <c r="W132" t="s">
        <v>7</v>
      </c>
      <c r="X132" t="s">
        <v>7</v>
      </c>
      <c r="AA132" t="s">
        <v>127</v>
      </c>
      <c r="AB132" t="s">
        <v>357</v>
      </c>
      <c r="AC132">
        <v>101</v>
      </c>
      <c r="AD132" t="s">
        <v>233</v>
      </c>
      <c r="AE132">
        <v>1</v>
      </c>
    </row>
    <row r="133" spans="1:32" x14ac:dyDescent="0.3">
      <c r="A133" t="s">
        <v>348</v>
      </c>
      <c r="B133" t="s">
        <v>279</v>
      </c>
      <c r="C133" t="s">
        <v>192</v>
      </c>
      <c r="D133" t="s">
        <v>309</v>
      </c>
      <c r="E133" t="s">
        <v>741</v>
      </c>
      <c r="F133" s="15">
        <v>46248.437847222223</v>
      </c>
      <c r="G133" t="s">
        <v>401</v>
      </c>
      <c r="H133">
        <v>8</v>
      </c>
      <c r="I133" t="s">
        <v>1095</v>
      </c>
      <c r="J133" s="15">
        <v>46248.662499999999</v>
      </c>
      <c r="K133" s="15">
        <v>46253.628472222219</v>
      </c>
      <c r="L133" s="15"/>
      <c r="M133">
        <v>8</v>
      </c>
      <c r="O133" t="s">
        <v>201</v>
      </c>
      <c r="P133" t="s">
        <v>1954</v>
      </c>
      <c r="S133" t="s">
        <v>357</v>
      </c>
      <c r="T133" t="s">
        <v>369</v>
      </c>
      <c r="U133" t="s">
        <v>239</v>
      </c>
      <c r="V133" t="s">
        <v>7</v>
      </c>
      <c r="W133" t="s">
        <v>7</v>
      </c>
      <c r="X133" t="s">
        <v>7</v>
      </c>
      <c r="Z133">
        <v>1</v>
      </c>
      <c r="AA133" t="s">
        <v>122</v>
      </c>
      <c r="AB133" t="s">
        <v>357</v>
      </c>
      <c r="AC133">
        <v>101</v>
      </c>
      <c r="AD133" t="s">
        <v>232</v>
      </c>
      <c r="AE133">
        <v>8</v>
      </c>
      <c r="AF133">
        <v>1</v>
      </c>
    </row>
    <row r="134" spans="1:32" x14ac:dyDescent="0.3">
      <c r="A134" t="s">
        <v>348</v>
      </c>
      <c r="B134" t="s">
        <v>279</v>
      </c>
      <c r="C134" t="s">
        <v>192</v>
      </c>
      <c r="D134" t="s">
        <v>309</v>
      </c>
      <c r="E134" t="s">
        <v>1096</v>
      </c>
      <c r="F134" s="15">
        <v>46239.634884259256</v>
      </c>
      <c r="G134" t="s">
        <v>401</v>
      </c>
      <c r="H134">
        <v>350</v>
      </c>
      <c r="I134" t="s">
        <v>1097</v>
      </c>
      <c r="J134" s="15">
        <v>46240.408333333333</v>
      </c>
      <c r="K134" s="15">
        <v>46246.645833333336</v>
      </c>
      <c r="L134" s="15"/>
      <c r="M134">
        <v>350</v>
      </c>
      <c r="O134" t="s">
        <v>201</v>
      </c>
      <c r="P134" t="s">
        <v>1956</v>
      </c>
      <c r="S134" t="s">
        <v>357</v>
      </c>
      <c r="T134" t="s">
        <v>369</v>
      </c>
      <c r="U134" t="s">
        <v>239</v>
      </c>
      <c r="V134" t="s">
        <v>7</v>
      </c>
      <c r="W134" t="s">
        <v>7</v>
      </c>
      <c r="X134" t="s">
        <v>7</v>
      </c>
      <c r="Z134">
        <v>1</v>
      </c>
      <c r="AA134" t="s">
        <v>122</v>
      </c>
      <c r="AB134" t="s">
        <v>357</v>
      </c>
      <c r="AC134">
        <v>101</v>
      </c>
      <c r="AD134" t="s">
        <v>232</v>
      </c>
      <c r="AE134">
        <v>350</v>
      </c>
      <c r="AF134">
        <v>35</v>
      </c>
    </row>
    <row r="135" spans="1:32" x14ac:dyDescent="0.3">
      <c r="A135" t="s">
        <v>348</v>
      </c>
      <c r="B135" t="s">
        <v>279</v>
      </c>
      <c r="C135" t="s">
        <v>192</v>
      </c>
      <c r="D135" t="s">
        <v>309</v>
      </c>
      <c r="E135" t="s">
        <v>1098</v>
      </c>
      <c r="F135" s="15">
        <v>46245.601261574076</v>
      </c>
      <c r="G135" t="s">
        <v>405</v>
      </c>
      <c r="H135">
        <v>471</v>
      </c>
      <c r="I135" t="s">
        <v>1099</v>
      </c>
      <c r="J135" s="15">
        <v>46246.638194444444</v>
      </c>
      <c r="K135" s="15">
        <v>46252.386805555558</v>
      </c>
      <c r="L135" s="15"/>
      <c r="M135">
        <v>471</v>
      </c>
      <c r="O135" t="s">
        <v>201</v>
      </c>
      <c r="P135" t="s">
        <v>1956</v>
      </c>
      <c r="S135" t="s">
        <v>355</v>
      </c>
      <c r="T135" t="s">
        <v>369</v>
      </c>
      <c r="U135" t="s">
        <v>239</v>
      </c>
      <c r="V135" t="s">
        <v>7</v>
      </c>
      <c r="W135" t="s">
        <v>7</v>
      </c>
      <c r="X135" t="s">
        <v>7</v>
      </c>
      <c r="Z135">
        <v>1</v>
      </c>
      <c r="AA135" t="s">
        <v>122</v>
      </c>
      <c r="AB135" t="s">
        <v>355</v>
      </c>
      <c r="AC135">
        <v>2200</v>
      </c>
      <c r="AD135" t="s">
        <v>232</v>
      </c>
      <c r="AE135">
        <v>471</v>
      </c>
      <c r="AF135">
        <v>47.1</v>
      </c>
    </row>
    <row r="136" spans="1:32" x14ac:dyDescent="0.3">
      <c r="A136" t="s">
        <v>348</v>
      </c>
      <c r="B136" t="s">
        <v>279</v>
      </c>
      <c r="C136" t="s">
        <v>192</v>
      </c>
      <c r="D136" t="s">
        <v>309</v>
      </c>
      <c r="E136" t="s">
        <v>1100</v>
      </c>
      <c r="F136" s="15">
        <v>46245.375648148147</v>
      </c>
      <c r="G136" t="s">
        <v>402</v>
      </c>
      <c r="H136">
        <v>1805</v>
      </c>
      <c r="I136" t="s">
        <v>1101</v>
      </c>
      <c r="J136" s="15">
        <v>46246.395138888889</v>
      </c>
      <c r="K136" s="15">
        <v>46248.681250000001</v>
      </c>
      <c r="L136" s="15"/>
      <c r="M136">
        <v>1805</v>
      </c>
      <c r="O136" t="s">
        <v>201</v>
      </c>
      <c r="P136" t="s">
        <v>1954</v>
      </c>
      <c r="S136" t="s">
        <v>355</v>
      </c>
      <c r="T136" t="s">
        <v>369</v>
      </c>
      <c r="U136" t="s">
        <v>239</v>
      </c>
      <c r="V136" t="s">
        <v>7</v>
      </c>
      <c r="W136" t="s">
        <v>7</v>
      </c>
      <c r="X136" t="s">
        <v>7</v>
      </c>
      <c r="Z136">
        <v>1</v>
      </c>
      <c r="AA136" t="s">
        <v>122</v>
      </c>
      <c r="AB136" t="s">
        <v>355</v>
      </c>
      <c r="AC136">
        <v>2200</v>
      </c>
      <c r="AD136" t="s">
        <v>232</v>
      </c>
      <c r="AE136">
        <v>1805</v>
      </c>
      <c r="AF136">
        <v>180.5</v>
      </c>
    </row>
    <row r="137" spans="1:32" x14ac:dyDescent="0.3">
      <c r="A137" t="s">
        <v>348</v>
      </c>
      <c r="B137" t="s">
        <v>279</v>
      </c>
      <c r="C137" t="s">
        <v>192</v>
      </c>
      <c r="D137" t="s">
        <v>309</v>
      </c>
      <c r="E137" t="s">
        <v>1102</v>
      </c>
      <c r="F137" s="15">
        <v>46239.715613425928</v>
      </c>
      <c r="G137" t="s">
        <v>402</v>
      </c>
      <c r="H137">
        <v>1580</v>
      </c>
      <c r="I137" t="s">
        <v>1103</v>
      </c>
      <c r="J137" s="15">
        <v>46241.71597222222</v>
      </c>
      <c r="K137" s="15">
        <v>46246.671527777777</v>
      </c>
      <c r="L137" s="15"/>
      <c r="M137">
        <v>1580</v>
      </c>
      <c r="O137" t="s">
        <v>201</v>
      </c>
      <c r="P137" t="s">
        <v>1954</v>
      </c>
      <c r="S137" t="s">
        <v>355</v>
      </c>
      <c r="T137" t="s">
        <v>369</v>
      </c>
      <c r="U137" t="s">
        <v>239</v>
      </c>
      <c r="V137" t="s">
        <v>7</v>
      </c>
      <c r="W137" t="s">
        <v>7</v>
      </c>
      <c r="X137" t="s">
        <v>7</v>
      </c>
      <c r="Z137">
        <v>1</v>
      </c>
      <c r="AA137" t="s">
        <v>122</v>
      </c>
      <c r="AB137" t="s">
        <v>355</v>
      </c>
      <c r="AC137">
        <v>2200</v>
      </c>
      <c r="AD137" t="s">
        <v>232</v>
      </c>
      <c r="AE137">
        <v>1580</v>
      </c>
      <c r="AF137">
        <v>282.60000000000002</v>
      </c>
    </row>
    <row r="138" spans="1:32" x14ac:dyDescent="0.3">
      <c r="A138" t="s">
        <v>348</v>
      </c>
      <c r="B138" t="s">
        <v>279</v>
      </c>
      <c r="C138" t="s">
        <v>192</v>
      </c>
      <c r="D138" t="s">
        <v>309</v>
      </c>
      <c r="E138" t="s">
        <v>1104</v>
      </c>
      <c r="F138" s="15">
        <v>46238.474398148152</v>
      </c>
      <c r="G138" t="s">
        <v>402</v>
      </c>
      <c r="H138">
        <v>13</v>
      </c>
      <c r="I138" t="s">
        <v>1105</v>
      </c>
      <c r="J138" s="15">
        <v>46238.659722222219</v>
      </c>
      <c r="K138" s="15">
        <v>46241.456944444442</v>
      </c>
      <c r="L138" s="15"/>
      <c r="M138">
        <v>13</v>
      </c>
      <c r="O138" t="s">
        <v>201</v>
      </c>
      <c r="P138" t="s">
        <v>1954</v>
      </c>
      <c r="S138" t="s">
        <v>355</v>
      </c>
      <c r="T138" t="s">
        <v>369</v>
      </c>
      <c r="U138" t="s">
        <v>239</v>
      </c>
      <c r="V138" t="s">
        <v>7</v>
      </c>
      <c r="W138" t="s">
        <v>7</v>
      </c>
      <c r="X138" t="s">
        <v>7</v>
      </c>
      <c r="Z138">
        <v>1</v>
      </c>
      <c r="AA138" t="s">
        <v>122</v>
      </c>
      <c r="AB138" t="s">
        <v>355</v>
      </c>
      <c r="AC138">
        <v>2200</v>
      </c>
      <c r="AD138" t="s">
        <v>232</v>
      </c>
      <c r="AE138">
        <v>13</v>
      </c>
      <c r="AF138">
        <v>1.3</v>
      </c>
    </row>
    <row r="139" spans="1:32" x14ac:dyDescent="0.3">
      <c r="A139" t="s">
        <v>348</v>
      </c>
      <c r="B139" t="s">
        <v>279</v>
      </c>
      <c r="C139" t="s">
        <v>192</v>
      </c>
      <c r="D139" t="s">
        <v>309</v>
      </c>
      <c r="E139" t="s">
        <v>1106</v>
      </c>
      <c r="F139" s="15">
        <v>46244.43917824074</v>
      </c>
      <c r="G139" t="s">
        <v>406</v>
      </c>
      <c r="H139">
        <v>1096</v>
      </c>
      <c r="I139" t="s">
        <v>1107</v>
      </c>
      <c r="J139" s="15">
        <v>46245.671527777777</v>
      </c>
      <c r="K139" s="15">
        <v>46251.602083333331</v>
      </c>
      <c r="L139" s="15"/>
      <c r="M139">
        <v>1096</v>
      </c>
      <c r="O139" t="s">
        <v>201</v>
      </c>
      <c r="P139" t="s">
        <v>1956</v>
      </c>
      <c r="S139" t="s">
        <v>354</v>
      </c>
      <c r="T139" t="s">
        <v>369</v>
      </c>
      <c r="U139" t="s">
        <v>239</v>
      </c>
      <c r="V139" t="s">
        <v>7</v>
      </c>
      <c r="W139" t="s">
        <v>7</v>
      </c>
      <c r="X139" t="s">
        <v>7</v>
      </c>
      <c r="Z139">
        <v>1</v>
      </c>
      <c r="AA139" t="s">
        <v>122</v>
      </c>
      <c r="AB139" t="s">
        <v>354</v>
      </c>
      <c r="AC139">
        <v>50</v>
      </c>
      <c r="AD139" t="s">
        <v>232</v>
      </c>
      <c r="AE139">
        <v>1096</v>
      </c>
      <c r="AF139">
        <v>1745.2</v>
      </c>
    </row>
    <row r="140" spans="1:32" x14ac:dyDescent="0.3">
      <c r="A140" t="s">
        <v>348</v>
      </c>
      <c r="B140" t="s">
        <v>279</v>
      </c>
      <c r="C140" t="s">
        <v>192</v>
      </c>
      <c r="D140" t="s">
        <v>309</v>
      </c>
      <c r="E140" t="s">
        <v>1106</v>
      </c>
      <c r="F140" s="15">
        <v>46244.43917824074</v>
      </c>
      <c r="G140" t="s">
        <v>406</v>
      </c>
      <c r="H140">
        <v>2343</v>
      </c>
      <c r="I140" t="s">
        <v>1107</v>
      </c>
      <c r="J140" s="15">
        <v>46245.671527777777</v>
      </c>
      <c r="K140" s="15">
        <v>46251.602083333331</v>
      </c>
      <c r="L140" s="15"/>
      <c r="M140">
        <v>2343</v>
      </c>
      <c r="O140" t="s">
        <v>1958</v>
      </c>
      <c r="S140" t="s">
        <v>354</v>
      </c>
      <c r="T140" t="s">
        <v>369</v>
      </c>
      <c r="U140" t="s">
        <v>239</v>
      </c>
      <c r="V140" t="s">
        <v>7</v>
      </c>
      <c r="W140" t="s">
        <v>7</v>
      </c>
      <c r="X140" t="s">
        <v>7</v>
      </c>
      <c r="Z140">
        <v>1</v>
      </c>
      <c r="AA140" t="s">
        <v>122</v>
      </c>
      <c r="AB140" t="s">
        <v>354</v>
      </c>
      <c r="AC140">
        <v>50</v>
      </c>
      <c r="AD140" t="s">
        <v>232</v>
      </c>
      <c r="AE140">
        <v>2343</v>
      </c>
    </row>
    <row r="141" spans="1:32" x14ac:dyDescent="0.3">
      <c r="A141" t="s">
        <v>348</v>
      </c>
      <c r="B141" t="s">
        <v>279</v>
      </c>
      <c r="C141" t="s">
        <v>192</v>
      </c>
      <c r="D141" t="s">
        <v>309</v>
      </c>
      <c r="E141" t="s">
        <v>1106</v>
      </c>
      <c r="F141" s="15">
        <v>46244.43917824074</v>
      </c>
      <c r="G141" t="s">
        <v>406</v>
      </c>
      <c r="H141">
        <v>2913</v>
      </c>
      <c r="I141" t="s">
        <v>1107</v>
      </c>
      <c r="J141" s="15">
        <v>46245.671527777777</v>
      </c>
      <c r="K141" s="15">
        <v>46251.602083333331</v>
      </c>
      <c r="L141" s="15"/>
      <c r="M141">
        <v>2913</v>
      </c>
      <c r="O141" t="s">
        <v>1958</v>
      </c>
      <c r="S141" t="s">
        <v>354</v>
      </c>
      <c r="T141" t="s">
        <v>369</v>
      </c>
      <c r="U141" t="s">
        <v>239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354</v>
      </c>
      <c r="AC141">
        <v>50</v>
      </c>
      <c r="AD141" t="s">
        <v>232</v>
      </c>
      <c r="AE141">
        <v>2913</v>
      </c>
    </row>
    <row r="142" spans="1:32" x14ac:dyDescent="0.3">
      <c r="A142" t="s">
        <v>348</v>
      </c>
      <c r="B142" t="s">
        <v>279</v>
      </c>
      <c r="C142" t="s">
        <v>192</v>
      </c>
      <c r="D142" t="s">
        <v>309</v>
      </c>
      <c r="E142" t="s">
        <v>1106</v>
      </c>
      <c r="F142" s="15">
        <v>46244.43917824074</v>
      </c>
      <c r="G142" t="s">
        <v>406</v>
      </c>
      <c r="H142">
        <v>1562</v>
      </c>
      <c r="I142" t="s">
        <v>1107</v>
      </c>
      <c r="J142" s="15">
        <v>46245.671527777777</v>
      </c>
      <c r="K142" s="15">
        <v>46251.602083333331</v>
      </c>
      <c r="L142" s="15"/>
      <c r="M142">
        <v>1562</v>
      </c>
      <c r="O142" t="s">
        <v>1958</v>
      </c>
      <c r="S142" t="s">
        <v>354</v>
      </c>
      <c r="T142" t="s">
        <v>369</v>
      </c>
      <c r="U142" t="s">
        <v>239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354</v>
      </c>
      <c r="AC142">
        <v>50</v>
      </c>
      <c r="AD142" t="s">
        <v>232</v>
      </c>
      <c r="AE142">
        <v>1562</v>
      </c>
    </row>
    <row r="143" spans="1:32" x14ac:dyDescent="0.3">
      <c r="A143" t="s">
        <v>348</v>
      </c>
      <c r="B143" t="s">
        <v>279</v>
      </c>
      <c r="C143" t="s">
        <v>192</v>
      </c>
      <c r="D143" t="s">
        <v>309</v>
      </c>
      <c r="E143" t="s">
        <v>1106</v>
      </c>
      <c r="F143" s="15">
        <v>46244.43917824074</v>
      </c>
      <c r="G143" t="s">
        <v>406</v>
      </c>
      <c r="H143">
        <v>1816</v>
      </c>
      <c r="I143" t="s">
        <v>1107</v>
      </c>
      <c r="J143" s="15">
        <v>46245.671527777777</v>
      </c>
      <c r="K143" s="15">
        <v>46251.602083333331</v>
      </c>
      <c r="L143" s="15"/>
      <c r="M143">
        <v>1816</v>
      </c>
      <c r="O143" t="s">
        <v>1958</v>
      </c>
      <c r="S143" t="s">
        <v>354</v>
      </c>
      <c r="T143" t="s">
        <v>369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354</v>
      </c>
      <c r="AC143">
        <v>50</v>
      </c>
      <c r="AD143" t="s">
        <v>232</v>
      </c>
      <c r="AE143">
        <v>1816</v>
      </c>
    </row>
    <row r="144" spans="1:32" x14ac:dyDescent="0.3">
      <c r="A144" t="s">
        <v>348</v>
      </c>
      <c r="B144" t="s">
        <v>279</v>
      </c>
      <c r="C144" t="s">
        <v>192</v>
      </c>
      <c r="D144" t="s">
        <v>309</v>
      </c>
      <c r="E144" t="s">
        <v>1106</v>
      </c>
      <c r="F144" s="15">
        <v>46244.43917824074</v>
      </c>
      <c r="G144" t="s">
        <v>406</v>
      </c>
      <c r="H144">
        <v>1842</v>
      </c>
      <c r="I144" t="s">
        <v>1107</v>
      </c>
      <c r="J144" s="15">
        <v>46245.671527777777</v>
      </c>
      <c r="K144" s="15">
        <v>46251.602083333331</v>
      </c>
      <c r="L144" s="15"/>
      <c r="M144">
        <v>1842</v>
      </c>
      <c r="O144" t="s">
        <v>1958</v>
      </c>
      <c r="S144" t="s">
        <v>354</v>
      </c>
      <c r="T144" t="s">
        <v>369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354</v>
      </c>
      <c r="AC144">
        <v>50</v>
      </c>
      <c r="AD144" t="s">
        <v>232</v>
      </c>
      <c r="AE144">
        <v>1842</v>
      </c>
    </row>
    <row r="145" spans="1:32" x14ac:dyDescent="0.3">
      <c r="A145" t="s">
        <v>348</v>
      </c>
      <c r="B145" t="s">
        <v>279</v>
      </c>
      <c r="C145" t="s">
        <v>192</v>
      </c>
      <c r="D145" t="s">
        <v>309</v>
      </c>
      <c r="E145" t="s">
        <v>1106</v>
      </c>
      <c r="F145" s="15">
        <v>46244.43917824074</v>
      </c>
      <c r="G145" t="s">
        <v>406</v>
      </c>
      <c r="H145">
        <v>2221</v>
      </c>
      <c r="I145" t="s">
        <v>1107</v>
      </c>
      <c r="J145" s="15">
        <v>46245.671527777777</v>
      </c>
      <c r="K145" s="15">
        <v>46251.602083333331</v>
      </c>
      <c r="L145" s="15"/>
      <c r="M145">
        <v>2221</v>
      </c>
      <c r="O145" t="s">
        <v>1958</v>
      </c>
      <c r="S145" t="s">
        <v>354</v>
      </c>
      <c r="T145" t="s">
        <v>369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354</v>
      </c>
      <c r="AC145">
        <v>50</v>
      </c>
      <c r="AD145" t="s">
        <v>232</v>
      </c>
      <c r="AE145">
        <v>2221</v>
      </c>
    </row>
    <row r="146" spans="1:32" x14ac:dyDescent="0.3">
      <c r="A146" t="s">
        <v>348</v>
      </c>
      <c r="B146" t="s">
        <v>279</v>
      </c>
      <c r="C146" t="s">
        <v>192</v>
      </c>
      <c r="D146" t="s">
        <v>309</v>
      </c>
      <c r="E146" t="s">
        <v>1106</v>
      </c>
      <c r="F146" s="15">
        <v>46244.43917824074</v>
      </c>
      <c r="G146" t="s">
        <v>406</v>
      </c>
      <c r="H146">
        <v>1702</v>
      </c>
      <c r="I146" t="s">
        <v>1107</v>
      </c>
      <c r="J146" s="15">
        <v>46245.671527777777</v>
      </c>
      <c r="K146" s="15">
        <v>46251.602083333331</v>
      </c>
      <c r="L146" s="15"/>
      <c r="M146">
        <v>1702</v>
      </c>
      <c r="O146" t="s">
        <v>1958</v>
      </c>
      <c r="S146" t="s">
        <v>354</v>
      </c>
      <c r="T146" t="s">
        <v>369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354</v>
      </c>
      <c r="AC146">
        <v>50</v>
      </c>
      <c r="AD146" t="s">
        <v>232</v>
      </c>
      <c r="AE146">
        <v>1702</v>
      </c>
    </row>
    <row r="147" spans="1:32" x14ac:dyDescent="0.3">
      <c r="A147" t="s">
        <v>348</v>
      </c>
      <c r="B147" t="s">
        <v>279</v>
      </c>
      <c r="C147" t="s">
        <v>192</v>
      </c>
      <c r="D147" t="s">
        <v>309</v>
      </c>
      <c r="E147" t="s">
        <v>1106</v>
      </c>
      <c r="F147" s="15">
        <v>46244.43917824074</v>
      </c>
      <c r="G147" t="s">
        <v>406</v>
      </c>
      <c r="H147">
        <v>1957</v>
      </c>
      <c r="I147" t="s">
        <v>1107</v>
      </c>
      <c r="J147" s="15">
        <v>46245.671527777777</v>
      </c>
      <c r="K147" s="15">
        <v>46251.602083333331</v>
      </c>
      <c r="L147" s="15"/>
      <c r="M147">
        <v>1957</v>
      </c>
      <c r="O147" t="s">
        <v>1958</v>
      </c>
      <c r="S147" t="s">
        <v>354</v>
      </c>
      <c r="T147" t="s">
        <v>369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354</v>
      </c>
      <c r="AC147">
        <v>50</v>
      </c>
      <c r="AD147" t="s">
        <v>232</v>
      </c>
      <c r="AE147">
        <v>1957</v>
      </c>
    </row>
    <row r="148" spans="1:32" x14ac:dyDescent="0.3">
      <c r="A148" t="s">
        <v>348</v>
      </c>
      <c r="B148" t="s">
        <v>279</v>
      </c>
      <c r="C148" t="s">
        <v>192</v>
      </c>
      <c r="D148" t="s">
        <v>309</v>
      </c>
      <c r="E148" t="s">
        <v>1108</v>
      </c>
      <c r="F148" s="15">
        <v>46244.468541666669</v>
      </c>
      <c r="G148" t="s">
        <v>399</v>
      </c>
      <c r="H148">
        <v>580</v>
      </c>
      <c r="I148" t="s">
        <v>1109</v>
      </c>
      <c r="J148" s="15">
        <v>46244.694444444445</v>
      </c>
      <c r="K148" s="15">
        <v>46248.702777777777</v>
      </c>
      <c r="L148" s="15"/>
      <c r="M148">
        <v>580</v>
      </c>
      <c r="O148" t="s">
        <v>201</v>
      </c>
      <c r="P148" t="s">
        <v>1956</v>
      </c>
      <c r="S148" t="s">
        <v>354</v>
      </c>
      <c r="T148" t="s">
        <v>369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354</v>
      </c>
      <c r="AC148">
        <v>50</v>
      </c>
      <c r="AD148" t="s">
        <v>232</v>
      </c>
      <c r="AE148">
        <v>580</v>
      </c>
      <c r="AF148">
        <v>58</v>
      </c>
    </row>
    <row r="149" spans="1:32" x14ac:dyDescent="0.3">
      <c r="A149" t="s">
        <v>348</v>
      </c>
      <c r="B149" t="s">
        <v>279</v>
      </c>
      <c r="C149" t="s">
        <v>192</v>
      </c>
      <c r="D149" t="s">
        <v>309</v>
      </c>
      <c r="E149" t="s">
        <v>1110</v>
      </c>
      <c r="F149" s="15">
        <v>46244.466851851852</v>
      </c>
      <c r="G149" t="s">
        <v>399</v>
      </c>
      <c r="H149">
        <v>156</v>
      </c>
      <c r="I149" t="s">
        <v>1111</v>
      </c>
      <c r="J149" s="15">
        <v>46247.593055555553</v>
      </c>
      <c r="K149" s="15">
        <v>46252.873611111114</v>
      </c>
      <c r="L149" s="15"/>
      <c r="M149">
        <v>156</v>
      </c>
      <c r="O149" t="s">
        <v>201</v>
      </c>
      <c r="P149" t="s">
        <v>1956</v>
      </c>
      <c r="S149" t="s">
        <v>354</v>
      </c>
      <c r="T149" t="s">
        <v>369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354</v>
      </c>
      <c r="AC149">
        <v>50</v>
      </c>
      <c r="AD149" t="s">
        <v>232</v>
      </c>
      <c r="AE149">
        <v>156</v>
      </c>
      <c r="AF149">
        <v>15.6</v>
      </c>
    </row>
    <row r="150" spans="1:32" x14ac:dyDescent="0.3">
      <c r="A150" t="s">
        <v>348</v>
      </c>
      <c r="B150" t="s">
        <v>279</v>
      </c>
      <c r="C150" t="s">
        <v>192</v>
      </c>
      <c r="D150" t="s">
        <v>309</v>
      </c>
      <c r="E150" t="s">
        <v>1112</v>
      </c>
      <c r="F150" s="15">
        <v>46241.40283564815</v>
      </c>
      <c r="G150" t="s">
        <v>742</v>
      </c>
      <c r="H150">
        <v>741</v>
      </c>
      <c r="I150" t="s">
        <v>1113</v>
      </c>
      <c r="J150" s="15">
        <v>46241.429861111108</v>
      </c>
      <c r="K150" s="15">
        <v>46246.593055555553</v>
      </c>
      <c r="L150" s="15"/>
      <c r="M150">
        <v>741</v>
      </c>
      <c r="O150" t="s">
        <v>201</v>
      </c>
      <c r="P150" t="s">
        <v>1956</v>
      </c>
      <c r="S150" t="s">
        <v>356</v>
      </c>
      <c r="T150" t="s">
        <v>369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356</v>
      </c>
      <c r="AC150">
        <v>109</v>
      </c>
      <c r="AD150" t="s">
        <v>232</v>
      </c>
      <c r="AE150">
        <v>741</v>
      </c>
      <c r="AF150">
        <v>74.099999999999994</v>
      </c>
    </row>
    <row r="151" spans="1:32" x14ac:dyDescent="0.3">
      <c r="A151" t="s">
        <v>348</v>
      </c>
      <c r="B151" t="s">
        <v>279</v>
      </c>
      <c r="C151" t="s">
        <v>192</v>
      </c>
      <c r="D151" t="s">
        <v>309</v>
      </c>
      <c r="E151" t="s">
        <v>1114</v>
      </c>
      <c r="F151" s="15">
        <v>46202.512337962966</v>
      </c>
      <c r="G151" t="s">
        <v>419</v>
      </c>
      <c r="H151">
        <v>641</v>
      </c>
      <c r="I151" t="s">
        <v>1115</v>
      </c>
      <c r="J151" s="15">
        <v>46241.424259259256</v>
      </c>
      <c r="K151" s="15">
        <v>46248.483460648145</v>
      </c>
      <c r="L151" s="15"/>
      <c r="M151">
        <v>641</v>
      </c>
      <c r="O151" t="s">
        <v>201</v>
      </c>
      <c r="P151" t="s">
        <v>1956</v>
      </c>
      <c r="S151" t="s">
        <v>356</v>
      </c>
      <c r="T151" t="s">
        <v>369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356</v>
      </c>
      <c r="AC151">
        <v>109</v>
      </c>
      <c r="AD151" t="s">
        <v>232</v>
      </c>
      <c r="AE151">
        <v>641</v>
      </c>
      <c r="AF151">
        <v>64.099999999999994</v>
      </c>
    </row>
    <row r="152" spans="1:32" x14ac:dyDescent="0.3">
      <c r="A152" t="s">
        <v>348</v>
      </c>
      <c r="B152" t="s">
        <v>279</v>
      </c>
      <c r="C152" t="s">
        <v>192</v>
      </c>
      <c r="D152" t="s">
        <v>309</v>
      </c>
      <c r="E152" t="s">
        <v>1116</v>
      </c>
      <c r="F152" s="15">
        <v>46230.40084490741</v>
      </c>
      <c r="G152" t="s">
        <v>1117</v>
      </c>
      <c r="H152">
        <v>3027</v>
      </c>
      <c r="I152" t="s">
        <v>1118</v>
      </c>
      <c r="J152" s="15">
        <v>46233.454386574071</v>
      </c>
      <c r="K152" s="15">
        <v>46238.481249999997</v>
      </c>
      <c r="L152" s="15"/>
      <c r="M152">
        <v>3027</v>
      </c>
      <c r="O152" t="s">
        <v>201</v>
      </c>
      <c r="P152" t="s">
        <v>1956</v>
      </c>
      <c r="S152" t="s">
        <v>356</v>
      </c>
      <c r="T152" t="s">
        <v>369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356</v>
      </c>
      <c r="AC152">
        <v>109</v>
      </c>
      <c r="AD152" t="s">
        <v>232</v>
      </c>
      <c r="AE152">
        <v>3027</v>
      </c>
      <c r="AF152">
        <v>1580.5</v>
      </c>
    </row>
    <row r="153" spans="1:32" x14ac:dyDescent="0.3">
      <c r="A153" t="s">
        <v>348</v>
      </c>
      <c r="B153" t="s">
        <v>279</v>
      </c>
      <c r="C153" t="s">
        <v>192</v>
      </c>
      <c r="D153" t="s">
        <v>309</v>
      </c>
      <c r="E153" t="s">
        <v>1116</v>
      </c>
      <c r="F153" s="15">
        <v>46230.40084490741</v>
      </c>
      <c r="G153" t="s">
        <v>1117</v>
      </c>
      <c r="H153">
        <v>687</v>
      </c>
      <c r="I153" t="s">
        <v>1118</v>
      </c>
      <c r="J153" s="15">
        <v>46233.454386574071</v>
      </c>
      <c r="K153" s="15">
        <v>46238.481249999997</v>
      </c>
      <c r="L153" s="15"/>
      <c r="M153">
        <v>687</v>
      </c>
      <c r="O153" t="s">
        <v>1958</v>
      </c>
      <c r="S153" t="s">
        <v>356</v>
      </c>
      <c r="T153" t="s">
        <v>369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356</v>
      </c>
      <c r="AC153">
        <v>109</v>
      </c>
      <c r="AD153" t="s">
        <v>232</v>
      </c>
      <c r="AE153">
        <v>687</v>
      </c>
    </row>
    <row r="154" spans="1:32" x14ac:dyDescent="0.3">
      <c r="A154" t="s">
        <v>348</v>
      </c>
      <c r="B154" t="s">
        <v>279</v>
      </c>
      <c r="C154" t="s">
        <v>192</v>
      </c>
      <c r="D154" t="s">
        <v>309</v>
      </c>
      <c r="E154" t="s">
        <v>1116</v>
      </c>
      <c r="F154" s="15">
        <v>46230.40084490741</v>
      </c>
      <c r="G154" t="s">
        <v>1117</v>
      </c>
      <c r="H154">
        <v>1378</v>
      </c>
      <c r="I154" t="s">
        <v>1118</v>
      </c>
      <c r="J154" s="15">
        <v>46233.454386574071</v>
      </c>
      <c r="K154" s="15">
        <v>46238.481249999997</v>
      </c>
      <c r="L154" s="15"/>
      <c r="M154">
        <v>1378</v>
      </c>
      <c r="O154" t="s">
        <v>1958</v>
      </c>
      <c r="S154" t="s">
        <v>356</v>
      </c>
      <c r="T154" t="s">
        <v>369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356</v>
      </c>
      <c r="AC154">
        <v>109</v>
      </c>
      <c r="AD154" t="s">
        <v>232</v>
      </c>
      <c r="AE154">
        <v>1378</v>
      </c>
    </row>
    <row r="155" spans="1:32" x14ac:dyDescent="0.3">
      <c r="A155" t="s">
        <v>348</v>
      </c>
      <c r="B155" t="s">
        <v>279</v>
      </c>
      <c r="C155" t="s">
        <v>192</v>
      </c>
      <c r="D155" t="s">
        <v>309</v>
      </c>
      <c r="E155" t="s">
        <v>1116</v>
      </c>
      <c r="F155" s="15">
        <v>46230.40084490741</v>
      </c>
      <c r="G155" t="s">
        <v>1117</v>
      </c>
      <c r="H155">
        <v>1789</v>
      </c>
      <c r="I155" t="s">
        <v>1118</v>
      </c>
      <c r="J155" s="15">
        <v>46233.454386574071</v>
      </c>
      <c r="K155" s="15">
        <v>46238.481249999997</v>
      </c>
      <c r="L155" s="15"/>
      <c r="M155">
        <v>1789</v>
      </c>
      <c r="O155" t="s">
        <v>1958</v>
      </c>
      <c r="S155" t="s">
        <v>356</v>
      </c>
      <c r="T155" t="s">
        <v>369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356</v>
      </c>
      <c r="AC155">
        <v>109</v>
      </c>
      <c r="AD155" t="s">
        <v>232</v>
      </c>
      <c r="AE155">
        <v>1789</v>
      </c>
    </row>
    <row r="156" spans="1:32" x14ac:dyDescent="0.3">
      <c r="A156" t="s">
        <v>348</v>
      </c>
      <c r="B156" t="s">
        <v>279</v>
      </c>
      <c r="C156" t="s">
        <v>192</v>
      </c>
      <c r="D156" t="s">
        <v>309</v>
      </c>
      <c r="E156" t="s">
        <v>1116</v>
      </c>
      <c r="F156" s="15">
        <v>46230.40084490741</v>
      </c>
      <c r="G156" t="s">
        <v>1117</v>
      </c>
      <c r="H156">
        <v>1710</v>
      </c>
      <c r="I156" t="s">
        <v>1118</v>
      </c>
      <c r="J156" s="15">
        <v>46233.454386574071</v>
      </c>
      <c r="K156" s="15">
        <v>46238.481249999997</v>
      </c>
      <c r="L156" s="15"/>
      <c r="M156">
        <v>1710</v>
      </c>
      <c r="O156" t="s">
        <v>1958</v>
      </c>
      <c r="S156" t="s">
        <v>356</v>
      </c>
      <c r="T156" t="s">
        <v>369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356</v>
      </c>
      <c r="AC156">
        <v>109</v>
      </c>
      <c r="AD156" t="s">
        <v>232</v>
      </c>
      <c r="AE156">
        <v>1710</v>
      </c>
    </row>
    <row r="157" spans="1:32" x14ac:dyDescent="0.3">
      <c r="A157" t="s">
        <v>348</v>
      </c>
      <c r="B157" t="s">
        <v>279</v>
      </c>
      <c r="C157" t="s">
        <v>192</v>
      </c>
      <c r="D157" t="s">
        <v>309</v>
      </c>
      <c r="E157" t="s">
        <v>1116</v>
      </c>
      <c r="F157" s="15">
        <v>46230.40084490741</v>
      </c>
      <c r="G157" t="s">
        <v>1117</v>
      </c>
      <c r="H157">
        <v>1421</v>
      </c>
      <c r="I157" t="s">
        <v>1118</v>
      </c>
      <c r="J157" s="15">
        <v>46233.454386574071</v>
      </c>
      <c r="K157" s="15">
        <v>46238.481249999997</v>
      </c>
      <c r="L157" s="15"/>
      <c r="M157">
        <v>1421</v>
      </c>
      <c r="O157" t="s">
        <v>1958</v>
      </c>
      <c r="S157" t="s">
        <v>356</v>
      </c>
      <c r="T157" t="s">
        <v>369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356</v>
      </c>
      <c r="AC157">
        <v>109</v>
      </c>
      <c r="AD157" t="s">
        <v>232</v>
      </c>
      <c r="AE157">
        <v>1421</v>
      </c>
    </row>
    <row r="158" spans="1:32" x14ac:dyDescent="0.3">
      <c r="A158" t="s">
        <v>348</v>
      </c>
      <c r="B158" t="s">
        <v>279</v>
      </c>
      <c r="C158" t="s">
        <v>192</v>
      </c>
      <c r="D158" t="s">
        <v>309</v>
      </c>
      <c r="E158" t="s">
        <v>1116</v>
      </c>
      <c r="F158" s="15">
        <v>46230.40084490741</v>
      </c>
      <c r="G158" t="s">
        <v>1117</v>
      </c>
      <c r="H158">
        <v>1299</v>
      </c>
      <c r="I158" t="s">
        <v>1118</v>
      </c>
      <c r="J158" s="15">
        <v>46233.454386574071</v>
      </c>
      <c r="K158" s="15">
        <v>46238.481249999997</v>
      </c>
      <c r="L158" s="15"/>
      <c r="M158">
        <v>1299</v>
      </c>
      <c r="O158" t="s">
        <v>1958</v>
      </c>
      <c r="S158" t="s">
        <v>356</v>
      </c>
      <c r="T158" t="s">
        <v>369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356</v>
      </c>
      <c r="AC158">
        <v>109</v>
      </c>
      <c r="AD158" t="s">
        <v>232</v>
      </c>
      <c r="AE158">
        <v>1299</v>
      </c>
    </row>
    <row r="159" spans="1:32" x14ac:dyDescent="0.3">
      <c r="A159" t="s">
        <v>348</v>
      </c>
      <c r="B159" t="s">
        <v>279</v>
      </c>
      <c r="C159" t="s">
        <v>192</v>
      </c>
      <c r="D159" t="s">
        <v>309</v>
      </c>
      <c r="E159" t="s">
        <v>1116</v>
      </c>
      <c r="F159" s="15">
        <v>46230.40084490741</v>
      </c>
      <c r="G159" t="s">
        <v>1117</v>
      </c>
      <c r="H159">
        <v>1459</v>
      </c>
      <c r="I159" t="s">
        <v>1118</v>
      </c>
      <c r="J159" s="15">
        <v>46233.454386574071</v>
      </c>
      <c r="K159" s="15">
        <v>46238.481249999997</v>
      </c>
      <c r="L159" s="15"/>
      <c r="M159">
        <v>1459</v>
      </c>
      <c r="O159" t="s">
        <v>1958</v>
      </c>
      <c r="S159" t="s">
        <v>356</v>
      </c>
      <c r="T159" t="s">
        <v>369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356</v>
      </c>
      <c r="AC159">
        <v>109</v>
      </c>
      <c r="AD159" t="s">
        <v>232</v>
      </c>
      <c r="AE159">
        <v>1459</v>
      </c>
    </row>
    <row r="160" spans="1:32" x14ac:dyDescent="0.3">
      <c r="A160" t="s">
        <v>348</v>
      </c>
      <c r="B160" t="s">
        <v>279</v>
      </c>
      <c r="C160" t="s">
        <v>192</v>
      </c>
      <c r="D160" t="s">
        <v>309</v>
      </c>
      <c r="E160" t="s">
        <v>1116</v>
      </c>
      <c r="F160" s="15">
        <v>46230.40084490741</v>
      </c>
      <c r="G160" t="s">
        <v>1117</v>
      </c>
      <c r="H160">
        <v>1476</v>
      </c>
      <c r="I160" t="s">
        <v>1118</v>
      </c>
      <c r="J160" s="15">
        <v>46233.454386574071</v>
      </c>
      <c r="K160" s="15">
        <v>46238.481249999997</v>
      </c>
      <c r="L160" s="15"/>
      <c r="M160">
        <v>1476</v>
      </c>
      <c r="O160" t="s">
        <v>1958</v>
      </c>
      <c r="S160" t="s">
        <v>356</v>
      </c>
      <c r="T160" t="s">
        <v>369</v>
      </c>
      <c r="U160" t="s">
        <v>239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356</v>
      </c>
      <c r="AC160">
        <v>109</v>
      </c>
      <c r="AD160" t="s">
        <v>232</v>
      </c>
      <c r="AE160">
        <v>1476</v>
      </c>
    </row>
    <row r="161" spans="1:32" x14ac:dyDescent="0.3">
      <c r="A161" t="s">
        <v>348</v>
      </c>
      <c r="B161" t="s">
        <v>279</v>
      </c>
      <c r="C161" t="s">
        <v>192</v>
      </c>
      <c r="D161" t="s">
        <v>309</v>
      </c>
      <c r="E161" t="s">
        <v>1116</v>
      </c>
      <c r="F161" s="15">
        <v>46230.40084490741</v>
      </c>
      <c r="G161" t="s">
        <v>1117</v>
      </c>
      <c r="H161">
        <v>1559</v>
      </c>
      <c r="I161" t="s">
        <v>1118</v>
      </c>
      <c r="J161" s="15">
        <v>46233.454386574071</v>
      </c>
      <c r="K161" s="15">
        <v>46238.481249999997</v>
      </c>
      <c r="L161" s="15"/>
      <c r="M161">
        <v>1559</v>
      </c>
      <c r="O161" t="s">
        <v>1958</v>
      </c>
      <c r="S161" t="s">
        <v>356</v>
      </c>
      <c r="T161" t="s">
        <v>369</v>
      </c>
      <c r="U161" t="s">
        <v>239</v>
      </c>
      <c r="V161" t="s">
        <v>7</v>
      </c>
      <c r="W161" t="s">
        <v>7</v>
      </c>
      <c r="X161" t="s">
        <v>7</v>
      </c>
      <c r="Z161">
        <v>1</v>
      </c>
      <c r="AA161" t="s">
        <v>122</v>
      </c>
      <c r="AB161" t="s">
        <v>356</v>
      </c>
      <c r="AC161">
        <v>109</v>
      </c>
      <c r="AD161" t="s">
        <v>232</v>
      </c>
      <c r="AE161">
        <v>1559</v>
      </c>
    </row>
    <row r="162" spans="1:32" x14ac:dyDescent="0.3">
      <c r="A162" t="s">
        <v>348</v>
      </c>
      <c r="B162" t="s">
        <v>279</v>
      </c>
      <c r="C162" t="s">
        <v>192</v>
      </c>
      <c r="D162" t="s">
        <v>309</v>
      </c>
      <c r="E162" t="s">
        <v>1119</v>
      </c>
      <c r="F162" s="15">
        <v>46232.31826388889</v>
      </c>
      <c r="G162" t="s">
        <v>401</v>
      </c>
      <c r="H162">
        <v>6</v>
      </c>
      <c r="I162" t="s">
        <v>1120</v>
      </c>
      <c r="J162" s="15">
        <v>46232.407094907408</v>
      </c>
      <c r="K162" s="15">
        <v>46238.423611111109</v>
      </c>
      <c r="L162" s="15"/>
      <c r="M162">
        <v>6</v>
      </c>
      <c r="O162" t="s">
        <v>201</v>
      </c>
      <c r="P162" t="s">
        <v>1956</v>
      </c>
      <c r="S162" t="s">
        <v>357</v>
      </c>
      <c r="T162" t="s">
        <v>369</v>
      </c>
      <c r="U162" t="s">
        <v>239</v>
      </c>
      <c r="V162" t="s">
        <v>7</v>
      </c>
      <c r="W162" t="s">
        <v>7</v>
      </c>
      <c r="X162" t="s">
        <v>7</v>
      </c>
      <c r="Z162">
        <v>1</v>
      </c>
      <c r="AA162" t="s">
        <v>122</v>
      </c>
      <c r="AB162" t="s">
        <v>357</v>
      </c>
      <c r="AC162">
        <v>101</v>
      </c>
      <c r="AD162" t="s">
        <v>232</v>
      </c>
      <c r="AE162">
        <v>6</v>
      </c>
      <c r="AF162">
        <v>1</v>
      </c>
    </row>
    <row r="163" spans="1:32" x14ac:dyDescent="0.3">
      <c r="A163" t="s">
        <v>348</v>
      </c>
      <c r="B163" t="s">
        <v>279</v>
      </c>
      <c r="C163" t="s">
        <v>192</v>
      </c>
      <c r="D163" t="s">
        <v>309</v>
      </c>
      <c r="E163" t="s">
        <v>1130</v>
      </c>
      <c r="F163" s="15">
        <v>46253.45040509259</v>
      </c>
      <c r="G163" t="s">
        <v>402</v>
      </c>
      <c r="H163">
        <v>568</v>
      </c>
      <c r="I163" t="s">
        <v>1131</v>
      </c>
      <c r="J163" s="15">
        <v>46255.393750000003</v>
      </c>
      <c r="K163" s="15">
        <v>46258.414583333331</v>
      </c>
      <c r="L163" s="15"/>
      <c r="M163">
        <v>568</v>
      </c>
      <c r="O163" t="s">
        <v>201</v>
      </c>
      <c r="P163" t="s">
        <v>1954</v>
      </c>
      <c r="S163" t="s">
        <v>355</v>
      </c>
      <c r="T163" t="s">
        <v>369</v>
      </c>
      <c r="U163" t="s">
        <v>239</v>
      </c>
      <c r="V163" t="s">
        <v>7</v>
      </c>
      <c r="W163" t="s">
        <v>7</v>
      </c>
      <c r="X163" t="s">
        <v>7</v>
      </c>
      <c r="Z163">
        <v>1</v>
      </c>
      <c r="AA163" t="s">
        <v>122</v>
      </c>
      <c r="AB163" t="s">
        <v>355</v>
      </c>
      <c r="AC163">
        <v>2200</v>
      </c>
      <c r="AD163" t="s">
        <v>232</v>
      </c>
      <c r="AE163">
        <v>568</v>
      </c>
      <c r="AF163">
        <v>56.8</v>
      </c>
    </row>
    <row r="164" spans="1:32" x14ac:dyDescent="0.3">
      <c r="A164" t="s">
        <v>348</v>
      </c>
      <c r="B164" t="s">
        <v>279</v>
      </c>
      <c r="C164" t="s">
        <v>192</v>
      </c>
      <c r="D164" t="s">
        <v>309</v>
      </c>
      <c r="E164" t="s">
        <v>1132</v>
      </c>
      <c r="F164" s="15">
        <v>46225.356817129628</v>
      </c>
      <c r="G164" t="s">
        <v>399</v>
      </c>
      <c r="H164">
        <v>191</v>
      </c>
      <c r="I164" t="s">
        <v>1133</v>
      </c>
      <c r="J164" s="15">
        <v>46233.380069444444</v>
      </c>
      <c r="K164" s="15">
        <v>46238.463194444441</v>
      </c>
      <c r="L164" s="15"/>
      <c r="M164">
        <v>191</v>
      </c>
      <c r="O164" t="s">
        <v>201</v>
      </c>
      <c r="P164" t="s">
        <v>1956</v>
      </c>
      <c r="S164" t="s">
        <v>354</v>
      </c>
      <c r="T164" t="s">
        <v>369</v>
      </c>
      <c r="U164" t="s">
        <v>239</v>
      </c>
      <c r="V164" t="s">
        <v>7</v>
      </c>
      <c r="W164" t="s">
        <v>7</v>
      </c>
      <c r="X164" t="s">
        <v>7</v>
      </c>
      <c r="Z164">
        <v>1</v>
      </c>
      <c r="AA164" t="s">
        <v>122</v>
      </c>
      <c r="AB164" t="s">
        <v>354</v>
      </c>
      <c r="AC164">
        <v>50</v>
      </c>
      <c r="AD164" t="s">
        <v>232</v>
      </c>
      <c r="AE164">
        <v>191</v>
      </c>
      <c r="AF164">
        <v>19.100000000000001</v>
      </c>
    </row>
    <row r="165" spans="1:32" x14ac:dyDescent="0.3">
      <c r="A165" t="s">
        <v>348</v>
      </c>
      <c r="B165" t="s">
        <v>279</v>
      </c>
      <c r="C165" t="s">
        <v>192</v>
      </c>
      <c r="D165" t="s">
        <v>309</v>
      </c>
      <c r="E165" t="s">
        <v>1123</v>
      </c>
      <c r="F165" s="15">
        <v>46223.754212962966</v>
      </c>
      <c r="G165" t="s">
        <v>402</v>
      </c>
      <c r="H165">
        <v>42</v>
      </c>
      <c r="I165" t="s">
        <v>1124</v>
      </c>
      <c r="J165" s="15">
        <v>46232.484236111108</v>
      </c>
      <c r="K165" s="15">
        <v>46238.427083333336</v>
      </c>
      <c r="L165" s="15"/>
      <c r="M165">
        <v>42</v>
      </c>
      <c r="O165" t="s">
        <v>201</v>
      </c>
      <c r="P165" t="s">
        <v>1956</v>
      </c>
      <c r="S165" t="s">
        <v>355</v>
      </c>
      <c r="T165" t="s">
        <v>369</v>
      </c>
      <c r="U165" t="s">
        <v>239</v>
      </c>
      <c r="V165" t="s">
        <v>7</v>
      </c>
      <c r="W165" t="s">
        <v>7</v>
      </c>
      <c r="X165" t="s">
        <v>7</v>
      </c>
      <c r="Z165">
        <v>1</v>
      </c>
      <c r="AA165" t="s">
        <v>122</v>
      </c>
      <c r="AB165" t="s">
        <v>355</v>
      </c>
      <c r="AC165">
        <v>2200</v>
      </c>
      <c r="AD165" t="s">
        <v>232</v>
      </c>
      <c r="AE165">
        <v>42</v>
      </c>
      <c r="AF165">
        <v>132.19999999999999</v>
      </c>
    </row>
    <row r="166" spans="1:32" x14ac:dyDescent="0.3">
      <c r="A166" t="s">
        <v>348</v>
      </c>
      <c r="B166" t="s">
        <v>279</v>
      </c>
      <c r="C166" t="s">
        <v>197</v>
      </c>
      <c r="D166" t="s">
        <v>309</v>
      </c>
      <c r="E166" t="s">
        <v>1125</v>
      </c>
      <c r="F166" s="15">
        <v>46233.719895833332</v>
      </c>
      <c r="G166" t="s">
        <v>420</v>
      </c>
      <c r="H166">
        <v>31</v>
      </c>
      <c r="I166" t="s">
        <v>1126</v>
      </c>
      <c r="J166" s="15">
        <v>46234.410682870373</v>
      </c>
      <c r="K166" s="15">
        <v>46238.434027777781</v>
      </c>
      <c r="L166" s="15"/>
      <c r="M166">
        <v>31</v>
      </c>
      <c r="O166" t="s">
        <v>201</v>
      </c>
      <c r="P166" t="s">
        <v>1954</v>
      </c>
      <c r="S166" t="s">
        <v>355</v>
      </c>
      <c r="T166" t="s">
        <v>369</v>
      </c>
      <c r="U166" t="s">
        <v>239</v>
      </c>
      <c r="V166" t="s">
        <v>7</v>
      </c>
      <c r="W166" t="s">
        <v>7</v>
      </c>
      <c r="X166" t="s">
        <v>7</v>
      </c>
      <c r="Z166">
        <v>16</v>
      </c>
      <c r="AA166" t="s">
        <v>122</v>
      </c>
      <c r="AB166" t="s">
        <v>355</v>
      </c>
      <c r="AC166">
        <v>2200</v>
      </c>
      <c r="AD166" t="s">
        <v>232</v>
      </c>
      <c r="AE166">
        <v>496</v>
      </c>
    </row>
    <row r="167" spans="1:32" x14ac:dyDescent="0.3">
      <c r="A167" t="s">
        <v>348</v>
      </c>
      <c r="B167" t="s">
        <v>279</v>
      </c>
      <c r="C167" t="s">
        <v>197</v>
      </c>
      <c r="D167" t="s">
        <v>309</v>
      </c>
      <c r="E167" t="s">
        <v>1125</v>
      </c>
      <c r="F167" s="15">
        <v>46233.719895833332</v>
      </c>
      <c r="G167" t="s">
        <v>420</v>
      </c>
      <c r="H167">
        <v>11</v>
      </c>
      <c r="I167" t="s">
        <v>1126</v>
      </c>
      <c r="J167" s="15">
        <v>46234.410682870373</v>
      </c>
      <c r="K167" s="15">
        <v>46238.434027777781</v>
      </c>
      <c r="L167" s="15"/>
      <c r="M167">
        <v>11</v>
      </c>
      <c r="O167" t="s">
        <v>1958</v>
      </c>
      <c r="S167" t="s">
        <v>355</v>
      </c>
      <c r="T167" t="s">
        <v>369</v>
      </c>
      <c r="U167" t="s">
        <v>239</v>
      </c>
      <c r="V167" t="s">
        <v>7</v>
      </c>
      <c r="W167" t="s">
        <v>7</v>
      </c>
      <c r="X167" t="s">
        <v>7</v>
      </c>
      <c r="Z167">
        <v>16</v>
      </c>
      <c r="AA167" t="s">
        <v>122</v>
      </c>
      <c r="AB167" t="s">
        <v>355</v>
      </c>
      <c r="AC167">
        <v>2200</v>
      </c>
      <c r="AD167" t="s">
        <v>232</v>
      </c>
      <c r="AE167">
        <v>176</v>
      </c>
    </row>
    <row r="168" spans="1:32" x14ac:dyDescent="0.3">
      <c r="A168" t="s">
        <v>348</v>
      </c>
      <c r="B168" t="s">
        <v>279</v>
      </c>
      <c r="C168" t="s">
        <v>197</v>
      </c>
      <c r="D168" t="s">
        <v>309</v>
      </c>
      <c r="E168" t="s">
        <v>1121</v>
      </c>
      <c r="F168" s="15">
        <v>46212.717303240737</v>
      </c>
      <c r="G168" t="s">
        <v>402</v>
      </c>
      <c r="H168">
        <v>24</v>
      </c>
      <c r="I168" t="s">
        <v>1122</v>
      </c>
      <c r="J168" s="15">
        <v>46231.477627314816</v>
      </c>
      <c r="K168" s="15">
        <v>46238.444444444445</v>
      </c>
      <c r="L168" s="15"/>
      <c r="M168">
        <v>24</v>
      </c>
      <c r="O168" t="s">
        <v>201</v>
      </c>
      <c r="P168" t="s">
        <v>1956</v>
      </c>
      <c r="S168" t="s">
        <v>355</v>
      </c>
      <c r="T168" t="s">
        <v>369</v>
      </c>
      <c r="U168" t="s">
        <v>239</v>
      </c>
      <c r="V168" t="s">
        <v>7</v>
      </c>
      <c r="W168" t="s">
        <v>7</v>
      </c>
      <c r="X168" t="s">
        <v>7</v>
      </c>
      <c r="Z168">
        <v>16</v>
      </c>
      <c r="AA168" t="s">
        <v>122</v>
      </c>
      <c r="AB168" t="s">
        <v>355</v>
      </c>
      <c r="AC168">
        <v>2200</v>
      </c>
      <c r="AD168" t="s">
        <v>232</v>
      </c>
      <c r="AE168">
        <v>384</v>
      </c>
    </row>
    <row r="169" spans="1:32" x14ac:dyDescent="0.3">
      <c r="A169" t="s">
        <v>348</v>
      </c>
      <c r="B169" t="s">
        <v>279</v>
      </c>
      <c r="C169" t="s">
        <v>197</v>
      </c>
      <c r="D169" t="s">
        <v>309</v>
      </c>
      <c r="E169" t="s">
        <v>1121</v>
      </c>
      <c r="F169" s="15">
        <v>46212.717303240737</v>
      </c>
      <c r="G169" t="s">
        <v>402</v>
      </c>
      <c r="H169">
        <v>14</v>
      </c>
      <c r="I169" t="s">
        <v>1122</v>
      </c>
      <c r="J169" s="15">
        <v>46231.477627314816</v>
      </c>
      <c r="K169" s="15">
        <v>46238.444444444445</v>
      </c>
      <c r="L169" s="15"/>
      <c r="M169">
        <v>14</v>
      </c>
      <c r="O169" t="s">
        <v>1958</v>
      </c>
      <c r="S169" t="s">
        <v>355</v>
      </c>
      <c r="T169" t="s">
        <v>369</v>
      </c>
      <c r="U169" t="s">
        <v>239</v>
      </c>
      <c r="V169" t="s">
        <v>7</v>
      </c>
      <c r="W169" t="s">
        <v>7</v>
      </c>
      <c r="X169" t="s">
        <v>7</v>
      </c>
      <c r="Z169">
        <v>16</v>
      </c>
      <c r="AA169" t="s">
        <v>122</v>
      </c>
      <c r="AB169" t="s">
        <v>355</v>
      </c>
      <c r="AC169">
        <v>2200</v>
      </c>
      <c r="AD169" t="s">
        <v>232</v>
      </c>
      <c r="AE169">
        <v>224</v>
      </c>
    </row>
    <row r="170" spans="1:32" x14ac:dyDescent="0.3">
      <c r="A170" t="s">
        <v>348</v>
      </c>
      <c r="B170" t="s">
        <v>279</v>
      </c>
      <c r="C170" t="s">
        <v>192</v>
      </c>
      <c r="D170" t="s">
        <v>309</v>
      </c>
      <c r="E170" t="s">
        <v>1134</v>
      </c>
      <c r="F170" s="15">
        <v>46223.623645833337</v>
      </c>
      <c r="G170" t="s">
        <v>402</v>
      </c>
      <c r="H170">
        <v>2</v>
      </c>
      <c r="I170" t="s">
        <v>1135</v>
      </c>
      <c r="J170" s="15">
        <v>46224.351388888892</v>
      </c>
      <c r="K170" s="15">
        <v>46227.68472222222</v>
      </c>
      <c r="L170" s="15">
        <v>46234.655555555553</v>
      </c>
      <c r="M170">
        <v>2</v>
      </c>
      <c r="O170" t="s">
        <v>201</v>
      </c>
      <c r="P170" t="s">
        <v>1956</v>
      </c>
      <c r="S170" t="s">
        <v>355</v>
      </c>
      <c r="T170" t="s">
        <v>369</v>
      </c>
      <c r="U170" t="s">
        <v>239</v>
      </c>
      <c r="V170" t="s">
        <v>7</v>
      </c>
      <c r="W170" t="s">
        <v>7</v>
      </c>
      <c r="X170" t="s">
        <v>7</v>
      </c>
      <c r="Z170">
        <v>1</v>
      </c>
      <c r="AA170" t="s">
        <v>122</v>
      </c>
      <c r="AB170" t="s">
        <v>355</v>
      </c>
      <c r="AC170">
        <v>2200</v>
      </c>
      <c r="AD170" t="s">
        <v>232</v>
      </c>
      <c r="AE170">
        <v>2</v>
      </c>
      <c r="AF170">
        <v>373.3</v>
      </c>
    </row>
    <row r="171" spans="1:32" x14ac:dyDescent="0.3">
      <c r="A171" t="s">
        <v>348</v>
      </c>
      <c r="B171" t="s">
        <v>279</v>
      </c>
      <c r="C171" t="s">
        <v>192</v>
      </c>
      <c r="D171" t="s">
        <v>309</v>
      </c>
      <c r="E171" t="s">
        <v>1134</v>
      </c>
      <c r="F171" s="15">
        <v>46223.623645833337</v>
      </c>
      <c r="G171" t="s">
        <v>402</v>
      </c>
      <c r="H171">
        <v>560</v>
      </c>
      <c r="I171" t="s">
        <v>1135</v>
      </c>
      <c r="J171" s="15">
        <v>46224.351388888892</v>
      </c>
      <c r="K171" s="15">
        <v>46227.68472222222</v>
      </c>
      <c r="L171" s="15">
        <v>46234.655555555553</v>
      </c>
      <c r="M171">
        <v>560</v>
      </c>
      <c r="O171" t="s">
        <v>1958</v>
      </c>
      <c r="S171" t="s">
        <v>355</v>
      </c>
      <c r="T171" t="s">
        <v>369</v>
      </c>
      <c r="U171" t="s">
        <v>239</v>
      </c>
      <c r="V171" t="s">
        <v>7</v>
      </c>
      <c r="W171" t="s">
        <v>7</v>
      </c>
      <c r="X171" t="s">
        <v>7</v>
      </c>
      <c r="Z171">
        <v>1</v>
      </c>
      <c r="AA171" t="s">
        <v>122</v>
      </c>
      <c r="AB171" t="s">
        <v>355</v>
      </c>
      <c r="AC171">
        <v>2200</v>
      </c>
      <c r="AD171" t="s">
        <v>232</v>
      </c>
      <c r="AE171">
        <v>560</v>
      </c>
    </row>
    <row r="172" spans="1:32" x14ac:dyDescent="0.3">
      <c r="A172" t="s">
        <v>348</v>
      </c>
      <c r="B172" t="s">
        <v>279</v>
      </c>
      <c r="C172" t="s">
        <v>192</v>
      </c>
      <c r="D172" t="s">
        <v>309</v>
      </c>
      <c r="E172" t="s">
        <v>1134</v>
      </c>
      <c r="F172" s="15">
        <v>46223.623645833337</v>
      </c>
      <c r="G172" t="s">
        <v>402</v>
      </c>
      <c r="H172">
        <v>3171</v>
      </c>
      <c r="I172" t="s">
        <v>1136</v>
      </c>
      <c r="J172" s="15">
        <v>46224.351388888892</v>
      </c>
      <c r="K172" s="15">
        <v>46227.68472222222</v>
      </c>
      <c r="L172" s="15"/>
      <c r="M172">
        <v>3171</v>
      </c>
      <c r="O172" t="s">
        <v>201</v>
      </c>
      <c r="P172" t="s">
        <v>1956</v>
      </c>
      <c r="S172" t="s">
        <v>355</v>
      </c>
      <c r="T172" t="s">
        <v>369</v>
      </c>
      <c r="U172" t="s">
        <v>239</v>
      </c>
      <c r="V172" t="s">
        <v>7</v>
      </c>
      <c r="W172" t="s">
        <v>7</v>
      </c>
      <c r="X172" t="s">
        <v>7</v>
      </c>
      <c r="Z172">
        <v>1</v>
      </c>
      <c r="AA172" t="s">
        <v>122</v>
      </c>
      <c r="AB172" t="s">
        <v>355</v>
      </c>
      <c r="AC172">
        <v>2200</v>
      </c>
      <c r="AD172" t="s">
        <v>232</v>
      </c>
      <c r="AE172">
        <v>3171</v>
      </c>
    </row>
    <row r="173" spans="1:32" x14ac:dyDescent="0.3">
      <c r="A173" t="s">
        <v>348</v>
      </c>
      <c r="B173" t="s">
        <v>63</v>
      </c>
      <c r="C173" t="s">
        <v>95</v>
      </c>
      <c r="D173" t="s">
        <v>309</v>
      </c>
      <c r="E173" t="s">
        <v>741</v>
      </c>
      <c r="F173" s="15">
        <v>46248.437847222223</v>
      </c>
      <c r="G173" t="s">
        <v>401</v>
      </c>
      <c r="H173">
        <v>1</v>
      </c>
      <c r="I173" t="s">
        <v>1095</v>
      </c>
      <c r="J173" s="15">
        <v>46248.662499999999</v>
      </c>
      <c r="K173" s="15">
        <v>46253.628472222219</v>
      </c>
      <c r="L173" s="15"/>
      <c r="M173">
        <v>1</v>
      </c>
      <c r="O173" t="s">
        <v>201</v>
      </c>
      <c r="P173" t="s">
        <v>1954</v>
      </c>
      <c r="S173" t="s">
        <v>357</v>
      </c>
      <c r="T173" t="s">
        <v>369</v>
      </c>
      <c r="U173" t="s">
        <v>239</v>
      </c>
      <c r="V173" t="s">
        <v>7</v>
      </c>
      <c r="W173" t="s">
        <v>7</v>
      </c>
      <c r="X173" t="s">
        <v>7</v>
      </c>
      <c r="AA173" t="s">
        <v>96</v>
      </c>
      <c r="AB173" t="s">
        <v>357</v>
      </c>
      <c r="AC173">
        <v>101</v>
      </c>
      <c r="AD173" t="s">
        <v>225</v>
      </c>
      <c r="AE173">
        <v>1</v>
      </c>
      <c r="AF173">
        <v>1</v>
      </c>
    </row>
    <row r="174" spans="1:32" x14ac:dyDescent="0.3">
      <c r="A174" t="s">
        <v>348</v>
      </c>
      <c r="B174" t="s">
        <v>63</v>
      </c>
      <c r="C174" t="s">
        <v>95</v>
      </c>
      <c r="D174" t="s">
        <v>309</v>
      </c>
      <c r="E174" t="s">
        <v>1096</v>
      </c>
      <c r="F174" s="15">
        <v>46239.634884259256</v>
      </c>
      <c r="G174" t="s">
        <v>401</v>
      </c>
      <c r="H174">
        <v>1</v>
      </c>
      <c r="I174" t="s">
        <v>1097</v>
      </c>
      <c r="J174" s="15">
        <v>46240.408333333333</v>
      </c>
      <c r="K174" s="15">
        <v>46246.645833333336</v>
      </c>
      <c r="L174" s="15"/>
      <c r="M174">
        <v>1</v>
      </c>
      <c r="O174" t="s">
        <v>201</v>
      </c>
      <c r="P174" t="s">
        <v>1954</v>
      </c>
      <c r="S174" t="s">
        <v>357</v>
      </c>
      <c r="T174" t="s">
        <v>369</v>
      </c>
      <c r="U174" t="s">
        <v>239</v>
      </c>
      <c r="V174" t="s">
        <v>7</v>
      </c>
      <c r="W174" t="s">
        <v>7</v>
      </c>
      <c r="X174" t="s">
        <v>7</v>
      </c>
      <c r="AA174" t="s">
        <v>96</v>
      </c>
      <c r="AB174" t="s">
        <v>357</v>
      </c>
      <c r="AC174">
        <v>101</v>
      </c>
      <c r="AD174" t="s">
        <v>225</v>
      </c>
      <c r="AE174">
        <v>1</v>
      </c>
      <c r="AF174">
        <v>1</v>
      </c>
    </row>
    <row r="175" spans="1:32" x14ac:dyDescent="0.3">
      <c r="A175" t="s">
        <v>348</v>
      </c>
      <c r="B175" t="s">
        <v>63</v>
      </c>
      <c r="C175" t="s">
        <v>95</v>
      </c>
      <c r="D175" t="s">
        <v>309</v>
      </c>
      <c r="E175" t="s">
        <v>1098</v>
      </c>
      <c r="F175" s="15">
        <v>46245.601261574076</v>
      </c>
      <c r="G175" t="s">
        <v>405</v>
      </c>
      <c r="H175">
        <v>1</v>
      </c>
      <c r="I175" t="s">
        <v>1099</v>
      </c>
      <c r="J175" s="15">
        <v>46246.638194444444</v>
      </c>
      <c r="K175" s="15">
        <v>46252.386805555558</v>
      </c>
      <c r="L175" s="15"/>
      <c r="M175">
        <v>1</v>
      </c>
      <c r="O175" t="s">
        <v>201</v>
      </c>
      <c r="P175" t="s">
        <v>1954</v>
      </c>
      <c r="S175" t="s">
        <v>355</v>
      </c>
      <c r="T175" t="s">
        <v>369</v>
      </c>
      <c r="U175" t="s">
        <v>239</v>
      </c>
      <c r="V175" t="s">
        <v>7</v>
      </c>
      <c r="W175" t="s">
        <v>7</v>
      </c>
      <c r="X175" t="s">
        <v>7</v>
      </c>
      <c r="AA175" t="s">
        <v>96</v>
      </c>
      <c r="AB175" t="s">
        <v>355</v>
      </c>
      <c r="AC175">
        <v>2200</v>
      </c>
      <c r="AD175" t="s">
        <v>225</v>
      </c>
      <c r="AE175">
        <v>1</v>
      </c>
      <c r="AF175">
        <v>1</v>
      </c>
    </row>
    <row r="176" spans="1:32" x14ac:dyDescent="0.3">
      <c r="A176" t="s">
        <v>348</v>
      </c>
      <c r="B176" t="s">
        <v>63</v>
      </c>
      <c r="C176" t="s">
        <v>95</v>
      </c>
      <c r="D176" t="s">
        <v>309</v>
      </c>
      <c r="E176" t="s">
        <v>1100</v>
      </c>
      <c r="F176" s="15">
        <v>46245.375648148147</v>
      </c>
      <c r="G176" t="s">
        <v>402</v>
      </c>
      <c r="H176">
        <v>5</v>
      </c>
      <c r="I176" t="s">
        <v>1101</v>
      </c>
      <c r="J176" s="15">
        <v>46246.395138888889</v>
      </c>
      <c r="K176" s="15">
        <v>46248.681250000001</v>
      </c>
      <c r="L176" s="15"/>
      <c r="M176">
        <v>5</v>
      </c>
      <c r="O176" t="s">
        <v>201</v>
      </c>
      <c r="P176" t="s">
        <v>1954</v>
      </c>
      <c r="S176" t="s">
        <v>355</v>
      </c>
      <c r="T176" t="s">
        <v>369</v>
      </c>
      <c r="U176" t="s">
        <v>239</v>
      </c>
      <c r="V176" t="s">
        <v>7</v>
      </c>
      <c r="W176" t="s">
        <v>7</v>
      </c>
      <c r="X176" t="s">
        <v>7</v>
      </c>
      <c r="AA176" t="s">
        <v>96</v>
      </c>
      <c r="AB176" t="s">
        <v>355</v>
      </c>
      <c r="AC176">
        <v>2200</v>
      </c>
      <c r="AD176" t="s">
        <v>225</v>
      </c>
      <c r="AE176">
        <v>5</v>
      </c>
      <c r="AF176">
        <v>1</v>
      </c>
    </row>
    <row r="177" spans="1:32" x14ac:dyDescent="0.3">
      <c r="A177" t="s">
        <v>348</v>
      </c>
      <c r="B177" t="s">
        <v>63</v>
      </c>
      <c r="C177" t="s">
        <v>95</v>
      </c>
      <c r="D177" t="s">
        <v>309</v>
      </c>
      <c r="E177" t="s">
        <v>1102</v>
      </c>
      <c r="F177" s="15">
        <v>46239.715613425928</v>
      </c>
      <c r="G177" t="s">
        <v>402</v>
      </c>
      <c r="H177">
        <v>3</v>
      </c>
      <c r="I177" t="s">
        <v>1103</v>
      </c>
      <c r="J177" s="15">
        <v>46241.71597222222</v>
      </c>
      <c r="K177" s="15">
        <v>46246.671527777777</v>
      </c>
      <c r="L177" s="15"/>
      <c r="M177">
        <v>3</v>
      </c>
      <c r="O177" t="s">
        <v>201</v>
      </c>
      <c r="P177" t="s">
        <v>1954</v>
      </c>
      <c r="S177" t="s">
        <v>355</v>
      </c>
      <c r="T177" t="s">
        <v>369</v>
      </c>
      <c r="U177" t="s">
        <v>239</v>
      </c>
      <c r="V177" t="s">
        <v>7</v>
      </c>
      <c r="W177" t="s">
        <v>7</v>
      </c>
      <c r="X177" t="s">
        <v>7</v>
      </c>
      <c r="AA177" t="s">
        <v>96</v>
      </c>
      <c r="AB177" t="s">
        <v>355</v>
      </c>
      <c r="AC177">
        <v>2200</v>
      </c>
      <c r="AD177" t="s">
        <v>225</v>
      </c>
      <c r="AE177">
        <v>3</v>
      </c>
      <c r="AF177">
        <v>1</v>
      </c>
    </row>
    <row r="178" spans="1:32" x14ac:dyDescent="0.3">
      <c r="A178" t="s">
        <v>348</v>
      </c>
      <c r="B178" t="s">
        <v>63</v>
      </c>
      <c r="C178" t="s">
        <v>95</v>
      </c>
      <c r="D178" t="s">
        <v>309</v>
      </c>
      <c r="E178" t="s">
        <v>1104</v>
      </c>
      <c r="F178" s="15">
        <v>46238.474398148152</v>
      </c>
      <c r="G178" t="s">
        <v>402</v>
      </c>
      <c r="H178">
        <v>1</v>
      </c>
      <c r="I178" t="s">
        <v>1105</v>
      </c>
      <c r="J178" s="15">
        <v>46238.659722222219</v>
      </c>
      <c r="K178" s="15">
        <v>46241.456944444442</v>
      </c>
      <c r="L178" s="15"/>
      <c r="M178">
        <v>1</v>
      </c>
      <c r="O178" t="s">
        <v>201</v>
      </c>
      <c r="P178" t="s">
        <v>1954</v>
      </c>
      <c r="S178" t="s">
        <v>355</v>
      </c>
      <c r="T178" t="s">
        <v>369</v>
      </c>
      <c r="U178" t="s">
        <v>239</v>
      </c>
      <c r="V178" t="s">
        <v>7</v>
      </c>
      <c r="W178" t="s">
        <v>7</v>
      </c>
      <c r="X178" t="s">
        <v>7</v>
      </c>
      <c r="AA178" t="s">
        <v>96</v>
      </c>
      <c r="AB178" t="s">
        <v>355</v>
      </c>
      <c r="AC178">
        <v>2200</v>
      </c>
      <c r="AD178" t="s">
        <v>225</v>
      </c>
      <c r="AE178">
        <v>1</v>
      </c>
      <c r="AF178">
        <v>1</v>
      </c>
    </row>
    <row r="179" spans="1:32" x14ac:dyDescent="0.3">
      <c r="A179" t="s">
        <v>348</v>
      </c>
      <c r="B179" t="s">
        <v>63</v>
      </c>
      <c r="C179" t="s">
        <v>95</v>
      </c>
      <c r="D179" t="s">
        <v>309</v>
      </c>
      <c r="E179" t="s">
        <v>1106</v>
      </c>
      <c r="F179" s="15">
        <v>46244.43917824074</v>
      </c>
      <c r="G179" t="s">
        <v>406</v>
      </c>
      <c r="H179">
        <v>1</v>
      </c>
      <c r="I179" t="s">
        <v>1107</v>
      </c>
      <c r="J179" s="15">
        <v>46245.671527777777</v>
      </c>
      <c r="K179" s="15">
        <v>46251.602083333331</v>
      </c>
      <c r="L179" s="15"/>
      <c r="M179">
        <v>1</v>
      </c>
      <c r="O179" t="s">
        <v>201</v>
      </c>
      <c r="P179" t="s">
        <v>1954</v>
      </c>
      <c r="S179" t="s">
        <v>354</v>
      </c>
      <c r="T179" t="s">
        <v>369</v>
      </c>
      <c r="U179" t="s">
        <v>239</v>
      </c>
      <c r="V179" t="s">
        <v>7</v>
      </c>
      <c r="W179" t="s">
        <v>7</v>
      </c>
      <c r="X179" t="s">
        <v>7</v>
      </c>
      <c r="AA179" t="s">
        <v>96</v>
      </c>
      <c r="AB179" t="s">
        <v>354</v>
      </c>
      <c r="AC179">
        <v>50</v>
      </c>
      <c r="AD179" t="s">
        <v>225</v>
      </c>
      <c r="AE179">
        <v>1</v>
      </c>
      <c r="AF179">
        <v>2.1</v>
      </c>
    </row>
    <row r="180" spans="1:32" x14ac:dyDescent="0.3">
      <c r="A180" t="s">
        <v>348</v>
      </c>
      <c r="B180" t="s">
        <v>63</v>
      </c>
      <c r="C180" t="s">
        <v>95</v>
      </c>
      <c r="D180" t="s">
        <v>309</v>
      </c>
      <c r="E180" t="s">
        <v>1106</v>
      </c>
      <c r="F180" s="15">
        <v>46244.43917824074</v>
      </c>
      <c r="G180" t="s">
        <v>406</v>
      </c>
      <c r="H180">
        <v>2</v>
      </c>
      <c r="I180" t="s">
        <v>1107</v>
      </c>
      <c r="J180" s="15">
        <v>46245.671527777777</v>
      </c>
      <c r="K180" s="15">
        <v>46251.602083333331</v>
      </c>
      <c r="L180" s="15"/>
      <c r="M180">
        <v>2</v>
      </c>
      <c r="O180" t="s">
        <v>1958</v>
      </c>
      <c r="S180" t="s">
        <v>354</v>
      </c>
      <c r="T180" t="s">
        <v>369</v>
      </c>
      <c r="U180" t="s">
        <v>239</v>
      </c>
      <c r="V180" t="s">
        <v>7</v>
      </c>
      <c r="W180" t="s">
        <v>7</v>
      </c>
      <c r="X180" t="s">
        <v>7</v>
      </c>
      <c r="AA180" t="s">
        <v>96</v>
      </c>
      <c r="AB180" t="s">
        <v>354</v>
      </c>
      <c r="AC180">
        <v>50</v>
      </c>
      <c r="AD180" t="s">
        <v>225</v>
      </c>
      <c r="AE180">
        <v>2</v>
      </c>
    </row>
    <row r="181" spans="1:32" x14ac:dyDescent="0.3">
      <c r="A181" t="s">
        <v>348</v>
      </c>
      <c r="B181" t="s">
        <v>63</v>
      </c>
      <c r="C181" t="s">
        <v>95</v>
      </c>
      <c r="D181" t="s">
        <v>309</v>
      </c>
      <c r="E181" t="s">
        <v>1106</v>
      </c>
      <c r="F181" s="15">
        <v>46244.43917824074</v>
      </c>
      <c r="G181" t="s">
        <v>406</v>
      </c>
      <c r="H181">
        <v>4</v>
      </c>
      <c r="I181" t="s">
        <v>1107</v>
      </c>
      <c r="J181" s="15">
        <v>46245.671527777777</v>
      </c>
      <c r="K181" s="15">
        <v>46251.602083333331</v>
      </c>
      <c r="L181" s="15"/>
      <c r="M181">
        <v>4</v>
      </c>
      <c r="O181" t="s">
        <v>1958</v>
      </c>
      <c r="S181" t="s">
        <v>354</v>
      </c>
      <c r="T181" t="s">
        <v>369</v>
      </c>
      <c r="U181" t="s">
        <v>239</v>
      </c>
      <c r="V181" t="s">
        <v>7</v>
      </c>
      <c r="W181" t="s">
        <v>7</v>
      </c>
      <c r="X181" t="s">
        <v>7</v>
      </c>
      <c r="AA181" t="s">
        <v>96</v>
      </c>
      <c r="AB181" t="s">
        <v>354</v>
      </c>
      <c r="AC181">
        <v>50</v>
      </c>
      <c r="AD181" t="s">
        <v>225</v>
      </c>
      <c r="AE181">
        <v>4</v>
      </c>
    </row>
    <row r="182" spans="1:32" x14ac:dyDescent="0.3">
      <c r="A182" t="s">
        <v>348</v>
      </c>
      <c r="B182" t="s">
        <v>63</v>
      </c>
      <c r="C182" t="s">
        <v>95</v>
      </c>
      <c r="D182" t="s">
        <v>309</v>
      </c>
      <c r="E182" t="s">
        <v>1106</v>
      </c>
      <c r="F182" s="15">
        <v>46244.43917824074</v>
      </c>
      <c r="G182" t="s">
        <v>406</v>
      </c>
      <c r="H182">
        <v>1</v>
      </c>
      <c r="I182" t="s">
        <v>1107</v>
      </c>
      <c r="J182" s="15">
        <v>46245.671527777777</v>
      </c>
      <c r="K182" s="15">
        <v>46251.602083333331</v>
      </c>
      <c r="L182" s="15"/>
      <c r="M182">
        <v>1</v>
      </c>
      <c r="O182" t="s">
        <v>1958</v>
      </c>
      <c r="S182" t="s">
        <v>354</v>
      </c>
      <c r="T182" t="s">
        <v>369</v>
      </c>
      <c r="U182" t="s">
        <v>239</v>
      </c>
      <c r="V182" t="s">
        <v>7</v>
      </c>
      <c r="W182" t="s">
        <v>7</v>
      </c>
      <c r="X182" t="s">
        <v>7</v>
      </c>
      <c r="AA182" t="s">
        <v>96</v>
      </c>
      <c r="AB182" t="s">
        <v>354</v>
      </c>
      <c r="AC182">
        <v>50</v>
      </c>
      <c r="AD182" t="s">
        <v>225</v>
      </c>
      <c r="AE182">
        <v>1</v>
      </c>
    </row>
    <row r="183" spans="1:32" x14ac:dyDescent="0.3">
      <c r="A183" t="s">
        <v>348</v>
      </c>
      <c r="B183" t="s">
        <v>63</v>
      </c>
      <c r="C183" t="s">
        <v>95</v>
      </c>
      <c r="D183" t="s">
        <v>309</v>
      </c>
      <c r="E183" t="s">
        <v>1106</v>
      </c>
      <c r="F183" s="15">
        <v>46244.43917824074</v>
      </c>
      <c r="G183" t="s">
        <v>406</v>
      </c>
      <c r="H183">
        <v>3</v>
      </c>
      <c r="I183" t="s">
        <v>1107</v>
      </c>
      <c r="J183" s="15">
        <v>46245.671527777777</v>
      </c>
      <c r="K183" s="15">
        <v>46251.602083333331</v>
      </c>
      <c r="L183" s="15"/>
      <c r="M183">
        <v>3</v>
      </c>
      <c r="O183" t="s">
        <v>1958</v>
      </c>
      <c r="S183" t="s">
        <v>354</v>
      </c>
      <c r="T183" t="s">
        <v>369</v>
      </c>
      <c r="U183" t="s">
        <v>239</v>
      </c>
      <c r="V183" t="s">
        <v>7</v>
      </c>
      <c r="W183" t="s">
        <v>7</v>
      </c>
      <c r="X183" t="s">
        <v>7</v>
      </c>
      <c r="AA183" t="s">
        <v>96</v>
      </c>
      <c r="AB183" t="s">
        <v>354</v>
      </c>
      <c r="AC183">
        <v>50</v>
      </c>
      <c r="AD183" t="s">
        <v>225</v>
      </c>
      <c r="AE183">
        <v>3</v>
      </c>
    </row>
    <row r="184" spans="1:32" x14ac:dyDescent="0.3">
      <c r="A184" t="s">
        <v>348</v>
      </c>
      <c r="B184" t="s">
        <v>63</v>
      </c>
      <c r="C184" t="s">
        <v>95</v>
      </c>
      <c r="D184" t="s">
        <v>309</v>
      </c>
      <c r="E184" t="s">
        <v>1106</v>
      </c>
      <c r="F184" s="15">
        <v>46244.43917824074</v>
      </c>
      <c r="G184" t="s">
        <v>406</v>
      </c>
      <c r="H184">
        <v>4</v>
      </c>
      <c r="I184" t="s">
        <v>1107</v>
      </c>
      <c r="J184" s="15">
        <v>46245.671527777777</v>
      </c>
      <c r="K184" s="15">
        <v>46251.602083333331</v>
      </c>
      <c r="L184" s="15"/>
      <c r="M184">
        <v>4</v>
      </c>
      <c r="O184" t="s">
        <v>1958</v>
      </c>
      <c r="S184" t="s">
        <v>354</v>
      </c>
      <c r="T184" t="s">
        <v>369</v>
      </c>
      <c r="U184" t="s">
        <v>239</v>
      </c>
      <c r="V184" t="s">
        <v>7</v>
      </c>
      <c r="W184" t="s">
        <v>7</v>
      </c>
      <c r="X184" t="s">
        <v>7</v>
      </c>
      <c r="AA184" t="s">
        <v>96</v>
      </c>
      <c r="AB184" t="s">
        <v>354</v>
      </c>
      <c r="AC184">
        <v>50</v>
      </c>
      <c r="AD184" t="s">
        <v>225</v>
      </c>
      <c r="AE184">
        <v>4</v>
      </c>
    </row>
    <row r="185" spans="1:32" x14ac:dyDescent="0.3">
      <c r="A185" t="s">
        <v>348</v>
      </c>
      <c r="B185" t="s">
        <v>63</v>
      </c>
      <c r="C185" t="s">
        <v>95</v>
      </c>
      <c r="D185" t="s">
        <v>309</v>
      </c>
      <c r="E185" t="s">
        <v>1106</v>
      </c>
      <c r="F185" s="15">
        <v>46244.43917824074</v>
      </c>
      <c r="G185" t="s">
        <v>406</v>
      </c>
      <c r="H185">
        <v>2</v>
      </c>
      <c r="I185" t="s">
        <v>1107</v>
      </c>
      <c r="J185" s="15">
        <v>46245.671527777777</v>
      </c>
      <c r="K185" s="15">
        <v>46251.602083333331</v>
      </c>
      <c r="L185" s="15"/>
      <c r="M185">
        <v>2</v>
      </c>
      <c r="O185" t="s">
        <v>1958</v>
      </c>
      <c r="S185" t="s">
        <v>354</v>
      </c>
      <c r="T185" t="s">
        <v>369</v>
      </c>
      <c r="U185" t="s">
        <v>239</v>
      </c>
      <c r="V185" t="s">
        <v>7</v>
      </c>
      <c r="W185" t="s">
        <v>7</v>
      </c>
      <c r="X185" t="s">
        <v>7</v>
      </c>
      <c r="AA185" t="s">
        <v>96</v>
      </c>
      <c r="AB185" t="s">
        <v>354</v>
      </c>
      <c r="AC185">
        <v>50</v>
      </c>
      <c r="AD185" t="s">
        <v>225</v>
      </c>
      <c r="AE185">
        <v>2</v>
      </c>
    </row>
    <row r="186" spans="1:32" x14ac:dyDescent="0.3">
      <c r="A186" t="s">
        <v>348</v>
      </c>
      <c r="B186" t="s">
        <v>63</v>
      </c>
      <c r="C186" t="s">
        <v>95</v>
      </c>
      <c r="D186" t="s">
        <v>309</v>
      </c>
      <c r="E186" t="s">
        <v>1106</v>
      </c>
      <c r="F186" s="15">
        <v>46244.43917824074</v>
      </c>
      <c r="G186" t="s">
        <v>406</v>
      </c>
      <c r="H186">
        <v>2</v>
      </c>
      <c r="I186" t="s">
        <v>1107</v>
      </c>
      <c r="J186" s="15">
        <v>46245.671527777777</v>
      </c>
      <c r="K186" s="15">
        <v>46251.602083333331</v>
      </c>
      <c r="L186" s="15"/>
      <c r="M186">
        <v>2</v>
      </c>
      <c r="O186" t="s">
        <v>1958</v>
      </c>
      <c r="S186" t="s">
        <v>354</v>
      </c>
      <c r="T186" t="s">
        <v>369</v>
      </c>
      <c r="U186" t="s">
        <v>239</v>
      </c>
      <c r="V186" t="s">
        <v>7</v>
      </c>
      <c r="W186" t="s">
        <v>7</v>
      </c>
      <c r="X186" t="s">
        <v>7</v>
      </c>
      <c r="AA186" t="s">
        <v>96</v>
      </c>
      <c r="AB186" t="s">
        <v>354</v>
      </c>
      <c r="AC186">
        <v>50</v>
      </c>
      <c r="AD186" t="s">
        <v>225</v>
      </c>
      <c r="AE186">
        <v>2</v>
      </c>
    </row>
    <row r="187" spans="1:32" x14ac:dyDescent="0.3">
      <c r="A187" t="s">
        <v>348</v>
      </c>
      <c r="B187" t="s">
        <v>63</v>
      </c>
      <c r="C187" t="s">
        <v>95</v>
      </c>
      <c r="D187" t="s">
        <v>309</v>
      </c>
      <c r="E187" t="s">
        <v>1106</v>
      </c>
      <c r="F187" s="15">
        <v>46244.43917824074</v>
      </c>
      <c r="G187" t="s">
        <v>406</v>
      </c>
      <c r="H187">
        <v>2</v>
      </c>
      <c r="I187" t="s">
        <v>1107</v>
      </c>
      <c r="J187" s="15">
        <v>46245.671527777777</v>
      </c>
      <c r="K187" s="15">
        <v>46251.602083333331</v>
      </c>
      <c r="L187" s="15"/>
      <c r="M187">
        <v>2</v>
      </c>
      <c r="O187" t="s">
        <v>1958</v>
      </c>
      <c r="S187" t="s">
        <v>354</v>
      </c>
      <c r="T187" t="s">
        <v>369</v>
      </c>
      <c r="U187" t="s">
        <v>239</v>
      </c>
      <c r="V187" t="s">
        <v>7</v>
      </c>
      <c r="W187" t="s">
        <v>7</v>
      </c>
      <c r="X187" t="s">
        <v>7</v>
      </c>
      <c r="AA187" t="s">
        <v>96</v>
      </c>
      <c r="AB187" t="s">
        <v>354</v>
      </c>
      <c r="AC187">
        <v>50</v>
      </c>
      <c r="AD187" t="s">
        <v>225</v>
      </c>
      <c r="AE187">
        <v>2</v>
      </c>
    </row>
    <row r="188" spans="1:32" x14ac:dyDescent="0.3">
      <c r="A188" t="s">
        <v>348</v>
      </c>
      <c r="B188" t="s">
        <v>63</v>
      </c>
      <c r="C188" t="s">
        <v>95</v>
      </c>
      <c r="D188" t="s">
        <v>309</v>
      </c>
      <c r="E188" t="s">
        <v>1108</v>
      </c>
      <c r="F188" s="15">
        <v>46244.468541666669</v>
      </c>
      <c r="G188" t="s">
        <v>399</v>
      </c>
      <c r="H188">
        <v>1</v>
      </c>
      <c r="I188" t="s">
        <v>1109</v>
      </c>
      <c r="J188" s="15">
        <v>46244.694444444445</v>
      </c>
      <c r="K188" s="15">
        <v>46248.702777777777</v>
      </c>
      <c r="L188" s="15"/>
      <c r="M188">
        <v>1</v>
      </c>
      <c r="O188" t="s">
        <v>201</v>
      </c>
      <c r="P188" t="s">
        <v>1954</v>
      </c>
      <c r="S188" t="s">
        <v>354</v>
      </c>
      <c r="T188" t="s">
        <v>369</v>
      </c>
      <c r="U188" t="s">
        <v>239</v>
      </c>
      <c r="V188" t="s">
        <v>7</v>
      </c>
      <c r="W188" t="s">
        <v>7</v>
      </c>
      <c r="X188" t="s">
        <v>7</v>
      </c>
      <c r="AA188" t="s">
        <v>96</v>
      </c>
      <c r="AB188" t="s">
        <v>354</v>
      </c>
      <c r="AC188">
        <v>50</v>
      </c>
      <c r="AD188" t="s">
        <v>225</v>
      </c>
      <c r="AE188">
        <v>1</v>
      </c>
      <c r="AF188">
        <v>1</v>
      </c>
    </row>
    <row r="189" spans="1:32" x14ac:dyDescent="0.3">
      <c r="A189" t="s">
        <v>348</v>
      </c>
      <c r="B189" t="s">
        <v>63</v>
      </c>
      <c r="C189" t="s">
        <v>95</v>
      </c>
      <c r="D189" t="s">
        <v>309</v>
      </c>
      <c r="E189" t="s">
        <v>1110</v>
      </c>
      <c r="F189" s="15">
        <v>46244.466851851852</v>
      </c>
      <c r="G189" t="s">
        <v>399</v>
      </c>
      <c r="H189">
        <v>1</v>
      </c>
      <c r="I189" t="s">
        <v>1111</v>
      </c>
      <c r="J189" s="15">
        <v>46247.593055555553</v>
      </c>
      <c r="K189" s="15">
        <v>46252.873611111114</v>
      </c>
      <c r="L189" s="15"/>
      <c r="M189">
        <v>1</v>
      </c>
      <c r="O189" t="s">
        <v>201</v>
      </c>
      <c r="P189" t="s">
        <v>1954</v>
      </c>
      <c r="S189" t="s">
        <v>354</v>
      </c>
      <c r="T189" t="s">
        <v>369</v>
      </c>
      <c r="U189" t="s">
        <v>239</v>
      </c>
      <c r="V189" t="s">
        <v>7</v>
      </c>
      <c r="W189" t="s">
        <v>7</v>
      </c>
      <c r="X189" t="s">
        <v>7</v>
      </c>
      <c r="AA189" t="s">
        <v>96</v>
      </c>
      <c r="AB189" t="s">
        <v>354</v>
      </c>
      <c r="AC189">
        <v>50</v>
      </c>
      <c r="AD189" t="s">
        <v>225</v>
      </c>
      <c r="AE189">
        <v>1</v>
      </c>
      <c r="AF189">
        <v>1</v>
      </c>
    </row>
    <row r="190" spans="1:32" x14ac:dyDescent="0.3">
      <c r="A190" t="s">
        <v>348</v>
      </c>
      <c r="B190" t="s">
        <v>63</v>
      </c>
      <c r="C190" t="s">
        <v>95</v>
      </c>
      <c r="D190" t="s">
        <v>309</v>
      </c>
      <c r="E190" t="s">
        <v>1112</v>
      </c>
      <c r="F190" s="15">
        <v>46241.40283564815</v>
      </c>
      <c r="G190" t="s">
        <v>742</v>
      </c>
      <c r="H190">
        <v>1</v>
      </c>
      <c r="I190" t="s">
        <v>1113</v>
      </c>
      <c r="J190" s="15">
        <v>46241.429861111108</v>
      </c>
      <c r="K190" s="15">
        <v>46246.593055555553</v>
      </c>
      <c r="L190" s="15"/>
      <c r="M190">
        <v>1</v>
      </c>
      <c r="O190" t="s">
        <v>201</v>
      </c>
      <c r="P190" t="s">
        <v>1954</v>
      </c>
      <c r="S190" t="s">
        <v>356</v>
      </c>
      <c r="T190" t="s">
        <v>369</v>
      </c>
      <c r="U190" t="s">
        <v>239</v>
      </c>
      <c r="V190" t="s">
        <v>7</v>
      </c>
      <c r="W190" t="s">
        <v>7</v>
      </c>
      <c r="X190" t="s">
        <v>7</v>
      </c>
      <c r="AA190" t="s">
        <v>96</v>
      </c>
      <c r="AB190" t="s">
        <v>356</v>
      </c>
      <c r="AC190">
        <v>109</v>
      </c>
      <c r="AD190" t="s">
        <v>225</v>
      </c>
      <c r="AE190">
        <v>1</v>
      </c>
      <c r="AF190">
        <v>1</v>
      </c>
    </row>
    <row r="191" spans="1:32" x14ac:dyDescent="0.3">
      <c r="A191" t="s">
        <v>348</v>
      </c>
      <c r="B191" t="s">
        <v>63</v>
      </c>
      <c r="C191" t="s">
        <v>95</v>
      </c>
      <c r="D191" t="s">
        <v>309</v>
      </c>
      <c r="E191" t="s">
        <v>1114</v>
      </c>
      <c r="F191" s="15">
        <v>46202.512337962966</v>
      </c>
      <c r="G191" t="s">
        <v>419</v>
      </c>
      <c r="H191">
        <v>2</v>
      </c>
      <c r="I191" t="s">
        <v>1115</v>
      </c>
      <c r="J191" s="15">
        <v>46241.424259259256</v>
      </c>
      <c r="K191" s="15">
        <v>46248.483460648145</v>
      </c>
      <c r="L191" s="15"/>
      <c r="M191">
        <v>2</v>
      </c>
      <c r="O191" t="s">
        <v>201</v>
      </c>
      <c r="P191" t="s">
        <v>1954</v>
      </c>
      <c r="S191" t="s">
        <v>356</v>
      </c>
      <c r="T191" t="s">
        <v>369</v>
      </c>
      <c r="U191" t="s">
        <v>239</v>
      </c>
      <c r="V191" t="s">
        <v>7</v>
      </c>
      <c r="W191" t="s">
        <v>7</v>
      </c>
      <c r="X191" t="s">
        <v>7</v>
      </c>
      <c r="AA191" t="s">
        <v>96</v>
      </c>
      <c r="AB191" t="s">
        <v>356</v>
      </c>
      <c r="AC191">
        <v>109</v>
      </c>
      <c r="AD191" t="s">
        <v>225</v>
      </c>
      <c r="AE191">
        <v>2</v>
      </c>
      <c r="AF191">
        <v>1</v>
      </c>
    </row>
    <row r="192" spans="1:32" x14ac:dyDescent="0.3">
      <c r="A192" t="s">
        <v>348</v>
      </c>
      <c r="B192" t="s">
        <v>63</v>
      </c>
      <c r="C192" t="s">
        <v>95</v>
      </c>
      <c r="D192" t="s">
        <v>309</v>
      </c>
      <c r="E192" t="s">
        <v>1116</v>
      </c>
      <c r="F192" s="15">
        <v>46230.40084490741</v>
      </c>
      <c r="G192" t="s">
        <v>1117</v>
      </c>
      <c r="H192">
        <v>6</v>
      </c>
      <c r="I192" t="s">
        <v>1118</v>
      </c>
      <c r="J192" s="15">
        <v>46233.454386574071</v>
      </c>
      <c r="K192" s="15">
        <v>46238.481249999997</v>
      </c>
      <c r="L192" s="15"/>
      <c r="M192">
        <v>6</v>
      </c>
      <c r="O192" t="s">
        <v>201</v>
      </c>
      <c r="P192" t="s">
        <v>1954</v>
      </c>
      <c r="S192" t="s">
        <v>356</v>
      </c>
      <c r="T192" t="s">
        <v>369</v>
      </c>
      <c r="U192" t="s">
        <v>239</v>
      </c>
      <c r="V192" t="s">
        <v>7</v>
      </c>
      <c r="W192" t="s">
        <v>7</v>
      </c>
      <c r="X192" t="s">
        <v>7</v>
      </c>
      <c r="AA192" t="s">
        <v>96</v>
      </c>
      <c r="AB192" t="s">
        <v>356</v>
      </c>
      <c r="AC192">
        <v>109</v>
      </c>
      <c r="AD192" t="s">
        <v>225</v>
      </c>
      <c r="AE192">
        <v>6</v>
      </c>
      <c r="AF192">
        <v>5</v>
      </c>
    </row>
    <row r="193" spans="1:32" x14ac:dyDescent="0.3">
      <c r="A193" t="s">
        <v>348</v>
      </c>
      <c r="B193" t="s">
        <v>63</v>
      </c>
      <c r="C193" t="s">
        <v>95</v>
      </c>
      <c r="D193" t="s">
        <v>309</v>
      </c>
      <c r="E193" t="s">
        <v>1116</v>
      </c>
      <c r="F193" s="15">
        <v>46230.40084490741</v>
      </c>
      <c r="G193" t="s">
        <v>1117</v>
      </c>
      <c r="H193">
        <v>4</v>
      </c>
      <c r="I193" t="s">
        <v>1118</v>
      </c>
      <c r="J193" s="15">
        <v>46233.454386574071</v>
      </c>
      <c r="K193" s="15">
        <v>46238.481249999997</v>
      </c>
      <c r="L193" s="15"/>
      <c r="M193">
        <v>4</v>
      </c>
      <c r="O193" t="s">
        <v>1958</v>
      </c>
      <c r="S193" t="s">
        <v>356</v>
      </c>
      <c r="T193" t="s">
        <v>369</v>
      </c>
      <c r="U193" t="s">
        <v>239</v>
      </c>
      <c r="V193" t="s">
        <v>7</v>
      </c>
      <c r="W193" t="s">
        <v>7</v>
      </c>
      <c r="X193" t="s">
        <v>7</v>
      </c>
      <c r="AA193" t="s">
        <v>96</v>
      </c>
      <c r="AB193" t="s">
        <v>356</v>
      </c>
      <c r="AC193">
        <v>109</v>
      </c>
      <c r="AD193" t="s">
        <v>225</v>
      </c>
      <c r="AE193">
        <v>4</v>
      </c>
    </row>
    <row r="194" spans="1:32" x14ac:dyDescent="0.3">
      <c r="A194" t="s">
        <v>348</v>
      </c>
      <c r="B194" t="s">
        <v>63</v>
      </c>
      <c r="C194" t="s">
        <v>95</v>
      </c>
      <c r="D194" t="s">
        <v>309</v>
      </c>
      <c r="E194" t="s">
        <v>1116</v>
      </c>
      <c r="F194" s="15">
        <v>46230.40084490741</v>
      </c>
      <c r="G194" t="s">
        <v>1117</v>
      </c>
      <c r="H194">
        <v>5</v>
      </c>
      <c r="I194" t="s">
        <v>1118</v>
      </c>
      <c r="J194" s="15">
        <v>46233.454386574071</v>
      </c>
      <c r="K194" s="15">
        <v>46238.481249999997</v>
      </c>
      <c r="L194" s="15"/>
      <c r="M194">
        <v>5</v>
      </c>
      <c r="O194" t="s">
        <v>1958</v>
      </c>
      <c r="S194" t="s">
        <v>356</v>
      </c>
      <c r="T194" t="s">
        <v>369</v>
      </c>
      <c r="U194" t="s">
        <v>239</v>
      </c>
      <c r="V194" t="s">
        <v>7</v>
      </c>
      <c r="W194" t="s">
        <v>7</v>
      </c>
      <c r="X194" t="s">
        <v>7</v>
      </c>
      <c r="AA194" t="s">
        <v>96</v>
      </c>
      <c r="AB194" t="s">
        <v>356</v>
      </c>
      <c r="AC194">
        <v>109</v>
      </c>
      <c r="AD194" t="s">
        <v>225</v>
      </c>
      <c r="AE194">
        <v>5</v>
      </c>
    </row>
    <row r="195" spans="1:32" x14ac:dyDescent="0.3">
      <c r="A195" t="s">
        <v>348</v>
      </c>
      <c r="B195" t="s">
        <v>63</v>
      </c>
      <c r="C195" t="s">
        <v>95</v>
      </c>
      <c r="D195" t="s">
        <v>309</v>
      </c>
      <c r="E195" t="s">
        <v>1116</v>
      </c>
      <c r="F195" s="15">
        <v>46230.40084490741</v>
      </c>
      <c r="G195" t="s">
        <v>1117</v>
      </c>
      <c r="H195">
        <v>5</v>
      </c>
      <c r="I195" t="s">
        <v>1118</v>
      </c>
      <c r="J195" s="15">
        <v>46233.454386574071</v>
      </c>
      <c r="K195" s="15">
        <v>46238.481249999997</v>
      </c>
      <c r="L195" s="15"/>
      <c r="M195">
        <v>5</v>
      </c>
      <c r="O195" t="s">
        <v>1958</v>
      </c>
      <c r="S195" t="s">
        <v>356</v>
      </c>
      <c r="T195" t="s">
        <v>369</v>
      </c>
      <c r="U195" t="s">
        <v>239</v>
      </c>
      <c r="V195" t="s">
        <v>7</v>
      </c>
      <c r="W195" t="s">
        <v>7</v>
      </c>
      <c r="X195" t="s">
        <v>7</v>
      </c>
      <c r="AA195" t="s">
        <v>96</v>
      </c>
      <c r="AB195" t="s">
        <v>356</v>
      </c>
      <c r="AC195">
        <v>109</v>
      </c>
      <c r="AD195" t="s">
        <v>225</v>
      </c>
      <c r="AE195">
        <v>5</v>
      </c>
    </row>
    <row r="196" spans="1:32" x14ac:dyDescent="0.3">
      <c r="A196" t="s">
        <v>348</v>
      </c>
      <c r="B196" t="s">
        <v>63</v>
      </c>
      <c r="C196" t="s">
        <v>95</v>
      </c>
      <c r="D196" t="s">
        <v>309</v>
      </c>
      <c r="E196" t="s">
        <v>1116</v>
      </c>
      <c r="F196" s="15">
        <v>46230.40084490741</v>
      </c>
      <c r="G196" t="s">
        <v>1117</v>
      </c>
      <c r="H196">
        <v>6</v>
      </c>
      <c r="I196" t="s">
        <v>1118</v>
      </c>
      <c r="J196" s="15">
        <v>46233.454386574071</v>
      </c>
      <c r="K196" s="15">
        <v>46238.481249999997</v>
      </c>
      <c r="L196" s="15"/>
      <c r="M196">
        <v>6</v>
      </c>
      <c r="O196" t="s">
        <v>1958</v>
      </c>
      <c r="S196" t="s">
        <v>356</v>
      </c>
      <c r="T196" t="s">
        <v>369</v>
      </c>
      <c r="U196" t="s">
        <v>239</v>
      </c>
      <c r="V196" t="s">
        <v>7</v>
      </c>
      <c r="W196" t="s">
        <v>7</v>
      </c>
      <c r="X196" t="s">
        <v>7</v>
      </c>
      <c r="AA196" t="s">
        <v>96</v>
      </c>
      <c r="AB196" t="s">
        <v>356</v>
      </c>
      <c r="AC196">
        <v>109</v>
      </c>
      <c r="AD196" t="s">
        <v>225</v>
      </c>
      <c r="AE196">
        <v>6</v>
      </c>
    </row>
    <row r="197" spans="1:32" x14ac:dyDescent="0.3">
      <c r="A197" t="s">
        <v>348</v>
      </c>
      <c r="B197" t="s">
        <v>63</v>
      </c>
      <c r="C197" t="s">
        <v>95</v>
      </c>
      <c r="D197" t="s">
        <v>309</v>
      </c>
      <c r="E197" t="s">
        <v>1116</v>
      </c>
      <c r="F197" s="15">
        <v>46230.40084490741</v>
      </c>
      <c r="G197" t="s">
        <v>1117</v>
      </c>
      <c r="H197">
        <v>4</v>
      </c>
      <c r="I197" t="s">
        <v>1118</v>
      </c>
      <c r="J197" s="15">
        <v>46233.454386574071</v>
      </c>
      <c r="K197" s="15">
        <v>46238.481249999997</v>
      </c>
      <c r="L197" s="15"/>
      <c r="M197">
        <v>4</v>
      </c>
      <c r="O197" t="s">
        <v>1958</v>
      </c>
      <c r="S197" t="s">
        <v>356</v>
      </c>
      <c r="T197" t="s">
        <v>369</v>
      </c>
      <c r="U197" t="s">
        <v>239</v>
      </c>
      <c r="V197" t="s">
        <v>7</v>
      </c>
      <c r="W197" t="s">
        <v>7</v>
      </c>
      <c r="X197" t="s">
        <v>7</v>
      </c>
      <c r="AA197" t="s">
        <v>96</v>
      </c>
      <c r="AB197" t="s">
        <v>356</v>
      </c>
      <c r="AC197">
        <v>109</v>
      </c>
      <c r="AD197" t="s">
        <v>225</v>
      </c>
      <c r="AE197">
        <v>4</v>
      </c>
    </row>
    <row r="198" spans="1:32" x14ac:dyDescent="0.3">
      <c r="A198" t="s">
        <v>348</v>
      </c>
      <c r="B198" t="s">
        <v>63</v>
      </c>
      <c r="C198" t="s">
        <v>95</v>
      </c>
      <c r="D198" t="s">
        <v>309</v>
      </c>
      <c r="E198" t="s">
        <v>1116</v>
      </c>
      <c r="F198" s="15">
        <v>46230.40084490741</v>
      </c>
      <c r="G198" t="s">
        <v>1117</v>
      </c>
      <c r="H198">
        <v>6</v>
      </c>
      <c r="I198" t="s">
        <v>1118</v>
      </c>
      <c r="J198" s="15">
        <v>46233.454386574071</v>
      </c>
      <c r="K198" s="15">
        <v>46238.481249999997</v>
      </c>
      <c r="L198" s="15"/>
      <c r="M198">
        <v>6</v>
      </c>
      <c r="O198" t="s">
        <v>1958</v>
      </c>
      <c r="S198" t="s">
        <v>356</v>
      </c>
      <c r="T198" t="s">
        <v>369</v>
      </c>
      <c r="U198" t="s">
        <v>239</v>
      </c>
      <c r="V198" t="s">
        <v>7</v>
      </c>
      <c r="W198" t="s">
        <v>7</v>
      </c>
      <c r="X198" t="s">
        <v>7</v>
      </c>
      <c r="AA198" t="s">
        <v>96</v>
      </c>
      <c r="AB198" t="s">
        <v>356</v>
      </c>
      <c r="AC198">
        <v>109</v>
      </c>
      <c r="AD198" t="s">
        <v>225</v>
      </c>
      <c r="AE198">
        <v>6</v>
      </c>
    </row>
    <row r="199" spans="1:32" x14ac:dyDescent="0.3">
      <c r="A199" t="s">
        <v>348</v>
      </c>
      <c r="B199" t="s">
        <v>63</v>
      </c>
      <c r="C199" t="s">
        <v>95</v>
      </c>
      <c r="D199" t="s">
        <v>309</v>
      </c>
      <c r="E199" t="s">
        <v>1116</v>
      </c>
      <c r="F199" s="15">
        <v>46230.40084490741</v>
      </c>
      <c r="G199" t="s">
        <v>1117</v>
      </c>
      <c r="H199">
        <v>3</v>
      </c>
      <c r="I199" t="s">
        <v>1118</v>
      </c>
      <c r="J199" s="15">
        <v>46233.454386574071</v>
      </c>
      <c r="K199" s="15">
        <v>46238.481249999997</v>
      </c>
      <c r="L199" s="15"/>
      <c r="M199">
        <v>3</v>
      </c>
      <c r="O199" t="s">
        <v>1958</v>
      </c>
      <c r="S199" t="s">
        <v>356</v>
      </c>
      <c r="T199" t="s">
        <v>369</v>
      </c>
      <c r="U199" t="s">
        <v>239</v>
      </c>
      <c r="V199" t="s">
        <v>7</v>
      </c>
      <c r="W199" t="s">
        <v>7</v>
      </c>
      <c r="X199" t="s">
        <v>7</v>
      </c>
      <c r="AA199" t="s">
        <v>96</v>
      </c>
      <c r="AB199" t="s">
        <v>356</v>
      </c>
      <c r="AC199">
        <v>109</v>
      </c>
      <c r="AD199" t="s">
        <v>225</v>
      </c>
      <c r="AE199">
        <v>3</v>
      </c>
    </row>
    <row r="200" spans="1:32" x14ac:dyDescent="0.3">
      <c r="A200" t="s">
        <v>348</v>
      </c>
      <c r="B200" t="s">
        <v>63</v>
      </c>
      <c r="C200" t="s">
        <v>95</v>
      </c>
      <c r="D200" t="s">
        <v>309</v>
      </c>
      <c r="E200" t="s">
        <v>1116</v>
      </c>
      <c r="F200" s="15">
        <v>46230.40084490741</v>
      </c>
      <c r="G200" t="s">
        <v>1117</v>
      </c>
      <c r="H200">
        <v>5</v>
      </c>
      <c r="I200" t="s">
        <v>1118</v>
      </c>
      <c r="J200" s="15">
        <v>46233.454386574071</v>
      </c>
      <c r="K200" s="15">
        <v>46238.481249999997</v>
      </c>
      <c r="L200" s="15"/>
      <c r="M200">
        <v>5</v>
      </c>
      <c r="O200" t="s">
        <v>1958</v>
      </c>
      <c r="S200" t="s">
        <v>356</v>
      </c>
      <c r="T200" t="s">
        <v>369</v>
      </c>
      <c r="U200" t="s">
        <v>239</v>
      </c>
      <c r="V200" t="s">
        <v>7</v>
      </c>
      <c r="W200" t="s">
        <v>7</v>
      </c>
      <c r="X200" t="s">
        <v>7</v>
      </c>
      <c r="AA200" t="s">
        <v>96</v>
      </c>
      <c r="AB200" t="s">
        <v>356</v>
      </c>
      <c r="AC200">
        <v>109</v>
      </c>
      <c r="AD200" t="s">
        <v>225</v>
      </c>
      <c r="AE200">
        <v>5</v>
      </c>
    </row>
    <row r="201" spans="1:32" x14ac:dyDescent="0.3">
      <c r="A201" t="s">
        <v>348</v>
      </c>
      <c r="B201" t="s">
        <v>63</v>
      </c>
      <c r="C201" t="s">
        <v>95</v>
      </c>
      <c r="D201" t="s">
        <v>309</v>
      </c>
      <c r="E201" t="s">
        <v>1116</v>
      </c>
      <c r="F201" s="15">
        <v>46230.40084490741</v>
      </c>
      <c r="G201" t="s">
        <v>1117</v>
      </c>
      <c r="H201">
        <v>6</v>
      </c>
      <c r="I201" t="s">
        <v>1118</v>
      </c>
      <c r="J201" s="15">
        <v>46233.454386574071</v>
      </c>
      <c r="K201" s="15">
        <v>46238.481249999997</v>
      </c>
      <c r="L201" s="15"/>
      <c r="M201">
        <v>6</v>
      </c>
      <c r="O201" t="s">
        <v>1958</v>
      </c>
      <c r="S201" t="s">
        <v>356</v>
      </c>
      <c r="T201" t="s">
        <v>369</v>
      </c>
      <c r="U201" t="s">
        <v>239</v>
      </c>
      <c r="V201" t="s">
        <v>7</v>
      </c>
      <c r="W201" t="s">
        <v>7</v>
      </c>
      <c r="X201" t="s">
        <v>7</v>
      </c>
      <c r="AA201" t="s">
        <v>96</v>
      </c>
      <c r="AB201" t="s">
        <v>356</v>
      </c>
      <c r="AC201">
        <v>109</v>
      </c>
      <c r="AD201" t="s">
        <v>225</v>
      </c>
      <c r="AE201">
        <v>6</v>
      </c>
    </row>
    <row r="202" spans="1:32" x14ac:dyDescent="0.3">
      <c r="A202" t="s">
        <v>348</v>
      </c>
      <c r="B202" t="s">
        <v>63</v>
      </c>
      <c r="C202" t="s">
        <v>95</v>
      </c>
      <c r="D202" t="s">
        <v>309</v>
      </c>
      <c r="E202" t="s">
        <v>1121</v>
      </c>
      <c r="F202" s="15">
        <v>46212.717303240737</v>
      </c>
      <c r="G202" t="s">
        <v>402</v>
      </c>
      <c r="H202">
        <v>2</v>
      </c>
      <c r="I202" t="s">
        <v>1122</v>
      </c>
      <c r="J202" s="15">
        <v>46231.477627314816</v>
      </c>
      <c r="K202" s="15">
        <v>46238.444444444445</v>
      </c>
      <c r="L202" s="15"/>
      <c r="M202">
        <v>2</v>
      </c>
      <c r="O202" t="s">
        <v>201</v>
      </c>
      <c r="P202" t="s">
        <v>1954</v>
      </c>
      <c r="S202" t="s">
        <v>355</v>
      </c>
      <c r="T202" t="s">
        <v>369</v>
      </c>
      <c r="U202" t="s">
        <v>239</v>
      </c>
      <c r="V202" t="s">
        <v>7</v>
      </c>
      <c r="W202" t="s">
        <v>7</v>
      </c>
      <c r="X202" t="s">
        <v>7</v>
      </c>
      <c r="AA202" t="s">
        <v>96</v>
      </c>
      <c r="AB202" t="s">
        <v>355</v>
      </c>
      <c r="AC202">
        <v>2200</v>
      </c>
      <c r="AD202" t="s">
        <v>225</v>
      </c>
      <c r="AE202">
        <v>2</v>
      </c>
      <c r="AF202">
        <v>1.9</v>
      </c>
    </row>
    <row r="203" spans="1:32" x14ac:dyDescent="0.3">
      <c r="A203" t="s">
        <v>348</v>
      </c>
      <c r="B203" t="s">
        <v>63</v>
      </c>
      <c r="C203" t="s">
        <v>95</v>
      </c>
      <c r="D203" t="s">
        <v>309</v>
      </c>
      <c r="E203" t="s">
        <v>1121</v>
      </c>
      <c r="F203" s="15">
        <v>46212.717303240737</v>
      </c>
      <c r="G203" t="s">
        <v>402</v>
      </c>
      <c r="H203">
        <v>2</v>
      </c>
      <c r="I203" t="s">
        <v>1122</v>
      </c>
      <c r="J203" s="15">
        <v>46231.477627314816</v>
      </c>
      <c r="K203" s="15">
        <v>46238.444444444445</v>
      </c>
      <c r="L203" s="15"/>
      <c r="M203">
        <v>2</v>
      </c>
      <c r="O203" t="s">
        <v>1958</v>
      </c>
      <c r="S203" t="s">
        <v>355</v>
      </c>
      <c r="T203" t="s">
        <v>369</v>
      </c>
      <c r="U203" t="s">
        <v>239</v>
      </c>
      <c r="V203" t="s">
        <v>7</v>
      </c>
      <c r="W203" t="s">
        <v>7</v>
      </c>
      <c r="X203" t="s">
        <v>7</v>
      </c>
      <c r="AA203" t="s">
        <v>96</v>
      </c>
      <c r="AB203" t="s">
        <v>355</v>
      </c>
      <c r="AC203">
        <v>2200</v>
      </c>
      <c r="AD203" t="s">
        <v>225</v>
      </c>
      <c r="AE203">
        <v>2</v>
      </c>
    </row>
    <row r="204" spans="1:32" x14ac:dyDescent="0.3">
      <c r="A204" t="s">
        <v>348</v>
      </c>
      <c r="B204" t="s">
        <v>63</v>
      </c>
      <c r="C204" t="s">
        <v>95</v>
      </c>
      <c r="D204" t="s">
        <v>309</v>
      </c>
      <c r="E204" t="s">
        <v>1123</v>
      </c>
      <c r="F204" s="15">
        <v>46223.754212962966</v>
      </c>
      <c r="G204" t="s">
        <v>402</v>
      </c>
      <c r="H204">
        <v>1</v>
      </c>
      <c r="I204" t="s">
        <v>1124</v>
      </c>
      <c r="J204" s="15">
        <v>46232.484236111108</v>
      </c>
      <c r="K204" s="15">
        <v>46238.427083333336</v>
      </c>
      <c r="L204" s="15"/>
      <c r="M204">
        <v>1</v>
      </c>
      <c r="O204" t="s">
        <v>201</v>
      </c>
      <c r="P204" t="s">
        <v>1954</v>
      </c>
      <c r="S204" t="s">
        <v>355</v>
      </c>
      <c r="T204" t="s">
        <v>369</v>
      </c>
      <c r="U204" t="s">
        <v>239</v>
      </c>
      <c r="V204" t="s">
        <v>7</v>
      </c>
      <c r="W204" t="s">
        <v>7</v>
      </c>
      <c r="X204" t="s">
        <v>7</v>
      </c>
      <c r="AA204" t="s">
        <v>96</v>
      </c>
      <c r="AB204" t="s">
        <v>355</v>
      </c>
      <c r="AC204">
        <v>2200</v>
      </c>
      <c r="AD204" t="s">
        <v>225</v>
      </c>
      <c r="AE204">
        <v>1</v>
      </c>
    </row>
    <row r="205" spans="1:32" x14ac:dyDescent="0.3">
      <c r="A205" t="s">
        <v>348</v>
      </c>
      <c r="B205" t="s">
        <v>63</v>
      </c>
      <c r="C205" t="s">
        <v>95</v>
      </c>
      <c r="D205" t="s">
        <v>309</v>
      </c>
      <c r="E205" t="s">
        <v>1125</v>
      </c>
      <c r="F205" s="15">
        <v>46233.719895833332</v>
      </c>
      <c r="G205" t="s">
        <v>420</v>
      </c>
      <c r="H205">
        <v>6</v>
      </c>
      <c r="I205" t="s">
        <v>1126</v>
      </c>
      <c r="J205" s="15">
        <v>46234.410682870373</v>
      </c>
      <c r="K205" s="15">
        <v>46238.434027777781</v>
      </c>
      <c r="L205" s="15"/>
      <c r="M205">
        <v>6</v>
      </c>
      <c r="O205" t="s">
        <v>201</v>
      </c>
      <c r="P205" t="s">
        <v>1954</v>
      </c>
      <c r="S205" t="s">
        <v>355</v>
      </c>
      <c r="T205" t="s">
        <v>369</v>
      </c>
      <c r="U205" t="s">
        <v>239</v>
      </c>
      <c r="V205" t="s">
        <v>7</v>
      </c>
      <c r="W205" t="s">
        <v>7</v>
      </c>
      <c r="X205" t="s">
        <v>7</v>
      </c>
      <c r="AA205" t="s">
        <v>96</v>
      </c>
      <c r="AB205" t="s">
        <v>355</v>
      </c>
      <c r="AC205">
        <v>2200</v>
      </c>
      <c r="AD205" t="s">
        <v>225</v>
      </c>
      <c r="AE205">
        <v>6</v>
      </c>
    </row>
    <row r="206" spans="1:32" x14ac:dyDescent="0.3">
      <c r="A206" t="s">
        <v>348</v>
      </c>
      <c r="B206" t="s">
        <v>63</v>
      </c>
      <c r="C206" t="s">
        <v>95</v>
      </c>
      <c r="D206" t="s">
        <v>309</v>
      </c>
      <c r="E206" t="s">
        <v>1125</v>
      </c>
      <c r="F206" s="15">
        <v>46233.719895833332</v>
      </c>
      <c r="G206" t="s">
        <v>420</v>
      </c>
      <c r="H206">
        <v>2</v>
      </c>
      <c r="I206" t="s">
        <v>1127</v>
      </c>
      <c r="J206" s="15">
        <v>46234.408483796295</v>
      </c>
      <c r="K206" s="15">
        <v>46238.436805555553</v>
      </c>
      <c r="L206" s="15"/>
      <c r="M206">
        <v>2</v>
      </c>
      <c r="O206" t="s">
        <v>201</v>
      </c>
      <c r="P206" t="s">
        <v>1954</v>
      </c>
      <c r="S206" t="s">
        <v>355</v>
      </c>
      <c r="T206" t="s">
        <v>369</v>
      </c>
      <c r="U206" t="s">
        <v>239</v>
      </c>
      <c r="V206" t="s">
        <v>7</v>
      </c>
      <c r="W206" t="s">
        <v>7</v>
      </c>
      <c r="X206" t="s">
        <v>7</v>
      </c>
      <c r="AA206" t="s">
        <v>96</v>
      </c>
      <c r="AB206" t="s">
        <v>355</v>
      </c>
      <c r="AC206">
        <v>2200</v>
      </c>
      <c r="AD206" t="s">
        <v>225</v>
      </c>
      <c r="AE206">
        <v>2</v>
      </c>
    </row>
    <row r="207" spans="1:32" x14ac:dyDescent="0.3">
      <c r="A207" t="s">
        <v>348</v>
      </c>
      <c r="B207" t="s">
        <v>63</v>
      </c>
      <c r="C207" t="s">
        <v>95</v>
      </c>
      <c r="D207" t="s">
        <v>309</v>
      </c>
      <c r="E207" t="s">
        <v>1125</v>
      </c>
      <c r="F207" s="15">
        <v>46233.719895833332</v>
      </c>
      <c r="G207" t="s">
        <v>420</v>
      </c>
      <c r="H207">
        <v>6</v>
      </c>
      <c r="I207" t="s">
        <v>1126</v>
      </c>
      <c r="J207" s="15">
        <v>46234.410682870373</v>
      </c>
      <c r="K207" s="15">
        <v>46238.434027777781</v>
      </c>
      <c r="L207" s="15"/>
      <c r="M207">
        <v>6</v>
      </c>
      <c r="O207" t="s">
        <v>1958</v>
      </c>
      <c r="S207" t="s">
        <v>355</v>
      </c>
      <c r="T207" t="s">
        <v>369</v>
      </c>
      <c r="U207" t="s">
        <v>239</v>
      </c>
      <c r="V207" t="s">
        <v>7</v>
      </c>
      <c r="W207" t="s">
        <v>7</v>
      </c>
      <c r="X207" t="s">
        <v>7</v>
      </c>
      <c r="AA207" t="s">
        <v>96</v>
      </c>
      <c r="AB207" t="s">
        <v>355</v>
      </c>
      <c r="AC207">
        <v>2200</v>
      </c>
      <c r="AD207" t="s">
        <v>225</v>
      </c>
      <c r="AE207">
        <v>6</v>
      </c>
    </row>
    <row r="208" spans="1:32" x14ac:dyDescent="0.3">
      <c r="A208" t="s">
        <v>348</v>
      </c>
      <c r="B208" t="s">
        <v>63</v>
      </c>
      <c r="C208" t="s">
        <v>95</v>
      </c>
      <c r="D208" t="s">
        <v>309</v>
      </c>
      <c r="E208" t="s">
        <v>1114</v>
      </c>
      <c r="F208" s="15">
        <v>46202.512337962966</v>
      </c>
      <c r="G208" t="s">
        <v>419</v>
      </c>
      <c r="H208">
        <v>26</v>
      </c>
      <c r="I208" t="s">
        <v>1128</v>
      </c>
      <c r="J208" s="15">
        <v>46203.361828703702</v>
      </c>
      <c r="K208" s="15">
        <v>46212.739201388889</v>
      </c>
      <c r="L208" s="15"/>
      <c r="M208">
        <v>26</v>
      </c>
      <c r="O208" t="s">
        <v>201</v>
      </c>
      <c r="P208" t="s">
        <v>1954</v>
      </c>
      <c r="S208" t="s">
        <v>356</v>
      </c>
      <c r="T208" t="s">
        <v>369</v>
      </c>
      <c r="U208" t="s">
        <v>239</v>
      </c>
      <c r="V208" t="s">
        <v>7</v>
      </c>
      <c r="W208" t="s">
        <v>7</v>
      </c>
      <c r="X208" t="s">
        <v>7</v>
      </c>
      <c r="AA208" t="s">
        <v>96</v>
      </c>
      <c r="AB208" t="s">
        <v>356</v>
      </c>
      <c r="AC208">
        <v>109</v>
      </c>
      <c r="AD208" t="s">
        <v>225</v>
      </c>
      <c r="AE208">
        <v>26</v>
      </c>
      <c r="AF208">
        <v>3.9</v>
      </c>
    </row>
    <row r="209" spans="1:32" x14ac:dyDescent="0.3">
      <c r="A209" t="s">
        <v>348</v>
      </c>
      <c r="B209" t="s">
        <v>63</v>
      </c>
      <c r="C209" t="s">
        <v>95</v>
      </c>
      <c r="D209" t="s">
        <v>309</v>
      </c>
      <c r="E209" t="s">
        <v>1114</v>
      </c>
      <c r="F209" s="15">
        <v>46202.512337962966</v>
      </c>
      <c r="G209" t="s">
        <v>419</v>
      </c>
      <c r="H209">
        <v>13</v>
      </c>
      <c r="I209" t="s">
        <v>1128</v>
      </c>
      <c r="J209" s="15">
        <v>46203.361828703702</v>
      </c>
      <c r="K209" s="15">
        <v>46212.739201388889</v>
      </c>
      <c r="L209" s="15"/>
      <c r="M209">
        <v>13</v>
      </c>
      <c r="O209" t="s">
        <v>1958</v>
      </c>
      <c r="S209" t="s">
        <v>356</v>
      </c>
      <c r="T209" t="s">
        <v>369</v>
      </c>
      <c r="U209" t="s">
        <v>239</v>
      </c>
      <c r="V209" t="s">
        <v>7</v>
      </c>
      <c r="W209" t="s">
        <v>7</v>
      </c>
      <c r="X209" t="s">
        <v>7</v>
      </c>
      <c r="AA209" t="s">
        <v>96</v>
      </c>
      <c r="AB209" t="s">
        <v>356</v>
      </c>
      <c r="AC209">
        <v>109</v>
      </c>
      <c r="AD209" t="s">
        <v>225</v>
      </c>
      <c r="AE209">
        <v>13</v>
      </c>
    </row>
    <row r="210" spans="1:32" x14ac:dyDescent="0.3">
      <c r="A210" t="s">
        <v>348</v>
      </c>
      <c r="B210" t="s">
        <v>63</v>
      </c>
      <c r="C210" t="s">
        <v>95</v>
      </c>
      <c r="D210" t="s">
        <v>309</v>
      </c>
      <c r="E210" t="s">
        <v>1114</v>
      </c>
      <c r="F210" s="15">
        <v>46202.512337962966</v>
      </c>
      <c r="G210" t="s">
        <v>419</v>
      </c>
      <c r="H210">
        <v>30</v>
      </c>
      <c r="I210" t="s">
        <v>1129</v>
      </c>
      <c r="J210" s="15">
        <v>46239.591469907406</v>
      </c>
      <c r="K210" s="15">
        <v>46241.497916666667</v>
      </c>
      <c r="L210" s="15"/>
      <c r="M210">
        <v>30</v>
      </c>
      <c r="O210" t="s">
        <v>201</v>
      </c>
      <c r="P210" t="s">
        <v>1954</v>
      </c>
      <c r="S210" t="s">
        <v>356</v>
      </c>
      <c r="T210" t="s">
        <v>369</v>
      </c>
      <c r="U210" t="s">
        <v>239</v>
      </c>
      <c r="V210" t="s">
        <v>7</v>
      </c>
      <c r="W210" t="s">
        <v>7</v>
      </c>
      <c r="X210" t="s">
        <v>7</v>
      </c>
      <c r="AA210" t="s">
        <v>96</v>
      </c>
      <c r="AB210" t="s">
        <v>356</v>
      </c>
      <c r="AC210">
        <v>109</v>
      </c>
      <c r="AD210" t="s">
        <v>225</v>
      </c>
      <c r="AE210">
        <v>30</v>
      </c>
      <c r="AF210">
        <v>3</v>
      </c>
    </row>
    <row r="211" spans="1:32" x14ac:dyDescent="0.3">
      <c r="A211" t="s">
        <v>348</v>
      </c>
      <c r="B211" t="s">
        <v>63</v>
      </c>
      <c r="C211" t="s">
        <v>95</v>
      </c>
      <c r="D211" t="s">
        <v>309</v>
      </c>
      <c r="E211" t="s">
        <v>1130</v>
      </c>
      <c r="F211" s="15">
        <v>46253.45040509259</v>
      </c>
      <c r="G211" t="s">
        <v>402</v>
      </c>
      <c r="H211">
        <v>1</v>
      </c>
      <c r="I211" t="s">
        <v>1131</v>
      </c>
      <c r="J211" s="15">
        <v>46255.393750000003</v>
      </c>
      <c r="K211" s="15">
        <v>46258.414583333331</v>
      </c>
      <c r="L211" s="15"/>
      <c r="M211">
        <v>1</v>
      </c>
      <c r="O211" t="s">
        <v>201</v>
      </c>
      <c r="P211" t="s">
        <v>1954</v>
      </c>
      <c r="S211" t="s">
        <v>355</v>
      </c>
      <c r="T211" t="s">
        <v>369</v>
      </c>
      <c r="U211" t="s">
        <v>239</v>
      </c>
      <c r="V211" t="s">
        <v>7</v>
      </c>
      <c r="W211" t="s">
        <v>7</v>
      </c>
      <c r="X211" t="s">
        <v>7</v>
      </c>
      <c r="AA211" t="s">
        <v>96</v>
      </c>
      <c r="AB211" t="s">
        <v>355</v>
      </c>
      <c r="AC211">
        <v>2200</v>
      </c>
      <c r="AD211" t="s">
        <v>225</v>
      </c>
      <c r="AE211">
        <v>1</v>
      </c>
      <c r="AF211">
        <v>1</v>
      </c>
    </row>
    <row r="212" spans="1:32" x14ac:dyDescent="0.3">
      <c r="A212" t="s">
        <v>348</v>
      </c>
      <c r="B212" t="s">
        <v>63</v>
      </c>
      <c r="C212" t="s">
        <v>95</v>
      </c>
      <c r="D212" t="s">
        <v>309</v>
      </c>
      <c r="E212" t="s">
        <v>1132</v>
      </c>
      <c r="F212" s="15">
        <v>46225.356817129628</v>
      </c>
      <c r="G212" t="s">
        <v>399</v>
      </c>
      <c r="H212">
        <v>1</v>
      </c>
      <c r="I212" t="s">
        <v>1133</v>
      </c>
      <c r="J212" s="15">
        <v>46233.380069444444</v>
      </c>
      <c r="K212" s="15">
        <v>46238.463194444441</v>
      </c>
      <c r="L212" s="15"/>
      <c r="M212">
        <v>1</v>
      </c>
      <c r="O212" t="s">
        <v>201</v>
      </c>
      <c r="P212" t="s">
        <v>1954</v>
      </c>
      <c r="S212" t="s">
        <v>354</v>
      </c>
      <c r="T212" t="s">
        <v>369</v>
      </c>
      <c r="U212" t="s">
        <v>239</v>
      </c>
      <c r="V212" t="s">
        <v>7</v>
      </c>
      <c r="W212" t="s">
        <v>7</v>
      </c>
      <c r="X212" t="s">
        <v>7</v>
      </c>
      <c r="AA212" t="s">
        <v>96</v>
      </c>
      <c r="AB212" t="s">
        <v>354</v>
      </c>
      <c r="AC212">
        <v>50</v>
      </c>
      <c r="AD212" t="s">
        <v>225</v>
      </c>
      <c r="AE212">
        <v>1</v>
      </c>
      <c r="AF212">
        <v>1</v>
      </c>
    </row>
    <row r="213" spans="1:32" x14ac:dyDescent="0.3">
      <c r="A213" t="s">
        <v>348</v>
      </c>
      <c r="B213" t="s">
        <v>63</v>
      </c>
      <c r="C213" t="s">
        <v>95</v>
      </c>
      <c r="D213" t="s">
        <v>309</v>
      </c>
      <c r="E213" t="s">
        <v>1119</v>
      </c>
      <c r="F213" s="15">
        <v>46232.31826388889</v>
      </c>
      <c r="G213" t="s">
        <v>401</v>
      </c>
      <c r="H213">
        <v>1</v>
      </c>
      <c r="I213" t="s">
        <v>1120</v>
      </c>
      <c r="J213" s="15">
        <v>46232.407094907408</v>
      </c>
      <c r="K213" s="15">
        <v>46238.423611111109</v>
      </c>
      <c r="L213" s="15"/>
      <c r="M213">
        <v>1</v>
      </c>
      <c r="O213" t="s">
        <v>201</v>
      </c>
      <c r="P213" t="s">
        <v>1954</v>
      </c>
      <c r="S213" t="s">
        <v>357</v>
      </c>
      <c r="T213" t="s">
        <v>369</v>
      </c>
      <c r="U213" t="s">
        <v>239</v>
      </c>
      <c r="V213" t="s">
        <v>7</v>
      </c>
      <c r="W213" t="s">
        <v>7</v>
      </c>
      <c r="X213" t="s">
        <v>7</v>
      </c>
      <c r="AA213" t="s">
        <v>96</v>
      </c>
      <c r="AB213" t="s">
        <v>357</v>
      </c>
      <c r="AC213">
        <v>101</v>
      </c>
      <c r="AD213" t="s">
        <v>225</v>
      </c>
      <c r="AE213">
        <v>1</v>
      </c>
      <c r="AF213">
        <v>1</v>
      </c>
    </row>
    <row r="214" spans="1:32" x14ac:dyDescent="0.3">
      <c r="A214" t="s">
        <v>348</v>
      </c>
      <c r="B214" t="s">
        <v>63</v>
      </c>
      <c r="C214" t="s">
        <v>95</v>
      </c>
      <c r="D214" t="s">
        <v>309</v>
      </c>
      <c r="E214" t="s">
        <v>1134</v>
      </c>
      <c r="F214" s="15">
        <v>46223.623645833337</v>
      </c>
      <c r="G214" t="s">
        <v>402</v>
      </c>
      <c r="H214">
        <v>1</v>
      </c>
      <c r="I214" t="s">
        <v>1135</v>
      </c>
      <c r="J214" s="15">
        <v>46224.351388888892</v>
      </c>
      <c r="K214" s="15">
        <v>46227.68472222222</v>
      </c>
      <c r="L214" s="15">
        <v>46234.655555555553</v>
      </c>
      <c r="M214">
        <v>1</v>
      </c>
      <c r="O214" t="s">
        <v>201</v>
      </c>
      <c r="P214" t="s">
        <v>1954</v>
      </c>
      <c r="S214" t="s">
        <v>355</v>
      </c>
      <c r="T214" t="s">
        <v>369</v>
      </c>
      <c r="U214" t="s">
        <v>239</v>
      </c>
      <c r="V214" t="s">
        <v>7</v>
      </c>
      <c r="W214" t="s">
        <v>7</v>
      </c>
      <c r="X214" t="s">
        <v>7</v>
      </c>
      <c r="AA214" t="s">
        <v>96</v>
      </c>
      <c r="AB214" t="s">
        <v>355</v>
      </c>
      <c r="AC214">
        <v>2200</v>
      </c>
      <c r="AD214" t="s">
        <v>225</v>
      </c>
      <c r="AE214">
        <v>1</v>
      </c>
      <c r="AF214">
        <v>1</v>
      </c>
    </row>
    <row r="215" spans="1:32" x14ac:dyDescent="0.3">
      <c r="A215" t="s">
        <v>348</v>
      </c>
      <c r="B215" t="s">
        <v>63</v>
      </c>
      <c r="C215" t="s">
        <v>95</v>
      </c>
      <c r="D215" t="s">
        <v>309</v>
      </c>
      <c r="E215" t="s">
        <v>1134</v>
      </c>
      <c r="F215" s="15">
        <v>46223.623645833337</v>
      </c>
      <c r="G215" t="s">
        <v>402</v>
      </c>
      <c r="H215">
        <v>1</v>
      </c>
      <c r="I215" t="s">
        <v>1135</v>
      </c>
      <c r="J215" s="15">
        <v>46224.351388888892</v>
      </c>
      <c r="K215" s="15">
        <v>46227.68472222222</v>
      </c>
      <c r="L215" s="15">
        <v>46234.655555555553</v>
      </c>
      <c r="M215">
        <v>1</v>
      </c>
      <c r="O215" t="s">
        <v>1958</v>
      </c>
      <c r="S215" t="s">
        <v>355</v>
      </c>
      <c r="T215" t="s">
        <v>369</v>
      </c>
      <c r="U215" t="s">
        <v>239</v>
      </c>
      <c r="V215" t="s">
        <v>7</v>
      </c>
      <c r="W215" t="s">
        <v>7</v>
      </c>
      <c r="X215" t="s">
        <v>7</v>
      </c>
      <c r="AA215" t="s">
        <v>96</v>
      </c>
      <c r="AB215" t="s">
        <v>355</v>
      </c>
      <c r="AC215">
        <v>2200</v>
      </c>
      <c r="AD215" t="s">
        <v>225</v>
      </c>
      <c r="AE215">
        <v>1</v>
      </c>
    </row>
    <row r="216" spans="1:32" x14ac:dyDescent="0.3">
      <c r="A216" t="s">
        <v>348</v>
      </c>
      <c r="B216" t="s">
        <v>63</v>
      </c>
      <c r="C216" t="s">
        <v>95</v>
      </c>
      <c r="D216" t="s">
        <v>309</v>
      </c>
      <c r="E216" t="s">
        <v>1134</v>
      </c>
      <c r="F216" s="15">
        <v>46223.623645833337</v>
      </c>
      <c r="G216" t="s">
        <v>402</v>
      </c>
      <c r="H216">
        <v>3</v>
      </c>
      <c r="I216" t="s">
        <v>1136</v>
      </c>
      <c r="J216" s="15">
        <v>46224.351388888892</v>
      </c>
      <c r="K216" s="15">
        <v>46227.68472222222</v>
      </c>
      <c r="L216" s="15"/>
      <c r="M216">
        <v>3</v>
      </c>
      <c r="O216" t="s">
        <v>201</v>
      </c>
      <c r="P216" t="s">
        <v>1954</v>
      </c>
      <c r="S216" t="s">
        <v>355</v>
      </c>
      <c r="T216" t="s">
        <v>369</v>
      </c>
      <c r="U216" t="s">
        <v>239</v>
      </c>
      <c r="V216" t="s">
        <v>7</v>
      </c>
      <c r="W216" t="s">
        <v>7</v>
      </c>
      <c r="X216" t="s">
        <v>7</v>
      </c>
      <c r="AA216" t="s">
        <v>96</v>
      </c>
      <c r="AB216" t="s">
        <v>355</v>
      </c>
      <c r="AC216">
        <v>2200</v>
      </c>
      <c r="AD216" t="s">
        <v>225</v>
      </c>
      <c r="AE216">
        <v>3</v>
      </c>
    </row>
    <row r="217" spans="1:32" x14ac:dyDescent="0.3">
      <c r="A217" t="s">
        <v>348</v>
      </c>
      <c r="B217" t="s">
        <v>63</v>
      </c>
      <c r="C217" t="s">
        <v>95</v>
      </c>
      <c r="D217" t="s">
        <v>309</v>
      </c>
      <c r="E217" t="s">
        <v>1137</v>
      </c>
      <c r="F217" s="15">
        <v>46217.60359953704</v>
      </c>
      <c r="G217" t="s">
        <v>420</v>
      </c>
      <c r="H217">
        <v>1</v>
      </c>
      <c r="I217" t="s">
        <v>1138</v>
      </c>
      <c r="J217" s="15">
        <v>46220.352083333331</v>
      </c>
      <c r="K217" s="15">
        <v>46227.702777777777</v>
      </c>
      <c r="L217" s="15"/>
      <c r="M217">
        <v>1</v>
      </c>
      <c r="O217" t="s">
        <v>201</v>
      </c>
      <c r="P217" t="s">
        <v>1954</v>
      </c>
      <c r="S217" t="s">
        <v>357</v>
      </c>
      <c r="T217" t="s">
        <v>369</v>
      </c>
      <c r="U217" t="s">
        <v>239</v>
      </c>
      <c r="V217" t="s">
        <v>7</v>
      </c>
      <c r="W217" t="s">
        <v>7</v>
      </c>
      <c r="X217" t="s">
        <v>7</v>
      </c>
      <c r="AA217" t="s">
        <v>96</v>
      </c>
      <c r="AB217" t="s">
        <v>357</v>
      </c>
      <c r="AC217">
        <v>101</v>
      </c>
      <c r="AD217" t="s">
        <v>225</v>
      </c>
      <c r="AE217">
        <v>1</v>
      </c>
      <c r="AF217">
        <v>1</v>
      </c>
    </row>
    <row r="218" spans="1:32" x14ac:dyDescent="0.3">
      <c r="A218" t="s">
        <v>348</v>
      </c>
      <c r="B218" t="s">
        <v>63</v>
      </c>
      <c r="C218" t="s">
        <v>95</v>
      </c>
      <c r="D218" t="s">
        <v>309</v>
      </c>
      <c r="E218" t="s">
        <v>1137</v>
      </c>
      <c r="F218" s="15">
        <v>46217.60359953704</v>
      </c>
      <c r="G218" t="s">
        <v>420</v>
      </c>
      <c r="H218">
        <v>4</v>
      </c>
      <c r="I218" t="s">
        <v>1138</v>
      </c>
      <c r="J218" s="15">
        <v>46220.352083333331</v>
      </c>
      <c r="K218" s="15">
        <v>46227.702777777777</v>
      </c>
      <c r="L218" s="15"/>
      <c r="M218">
        <v>4</v>
      </c>
      <c r="O218" t="s">
        <v>1958</v>
      </c>
      <c r="S218" t="s">
        <v>357</v>
      </c>
      <c r="T218" t="s">
        <v>369</v>
      </c>
      <c r="U218" t="s">
        <v>239</v>
      </c>
      <c r="V218" t="s">
        <v>7</v>
      </c>
      <c r="W218" t="s">
        <v>7</v>
      </c>
      <c r="X218" t="s">
        <v>7</v>
      </c>
      <c r="AA218" t="s">
        <v>96</v>
      </c>
      <c r="AB218" t="s">
        <v>357</v>
      </c>
      <c r="AC218">
        <v>101</v>
      </c>
      <c r="AD218" t="s">
        <v>225</v>
      </c>
      <c r="AE218">
        <v>4</v>
      </c>
    </row>
    <row r="219" spans="1:32" x14ac:dyDescent="0.3">
      <c r="A219" t="s">
        <v>348</v>
      </c>
      <c r="B219" t="s">
        <v>63</v>
      </c>
      <c r="C219" t="s">
        <v>95</v>
      </c>
      <c r="D219" t="s">
        <v>309</v>
      </c>
      <c r="E219" t="s">
        <v>1137</v>
      </c>
      <c r="F219" s="15">
        <v>46217.60359953704</v>
      </c>
      <c r="G219" t="s">
        <v>420</v>
      </c>
      <c r="H219">
        <v>1</v>
      </c>
      <c r="I219" t="s">
        <v>1138</v>
      </c>
      <c r="J219" s="15">
        <v>46220.352083333331</v>
      </c>
      <c r="K219" s="15">
        <v>46227.702777777777</v>
      </c>
      <c r="L219" s="15"/>
      <c r="M219">
        <v>1</v>
      </c>
      <c r="O219" t="s">
        <v>1958</v>
      </c>
      <c r="S219" t="s">
        <v>357</v>
      </c>
      <c r="T219" t="s">
        <v>369</v>
      </c>
      <c r="U219" t="s">
        <v>239</v>
      </c>
      <c r="V219" t="s">
        <v>7</v>
      </c>
      <c r="W219" t="s">
        <v>7</v>
      </c>
      <c r="X219" t="s">
        <v>7</v>
      </c>
      <c r="AA219" t="s">
        <v>96</v>
      </c>
      <c r="AB219" t="s">
        <v>357</v>
      </c>
      <c r="AC219">
        <v>101</v>
      </c>
      <c r="AD219" t="s">
        <v>225</v>
      </c>
      <c r="AE219">
        <v>1</v>
      </c>
    </row>
    <row r="220" spans="1:32" x14ac:dyDescent="0.3">
      <c r="A220" t="s">
        <v>348</v>
      </c>
      <c r="B220" t="s">
        <v>281</v>
      </c>
      <c r="C220" t="s">
        <v>85</v>
      </c>
      <c r="D220" t="s">
        <v>309</v>
      </c>
      <c r="E220" t="s">
        <v>1137</v>
      </c>
      <c r="F220" s="15">
        <v>46217.60359953704</v>
      </c>
      <c r="G220" t="s">
        <v>420</v>
      </c>
      <c r="H220">
        <v>1</v>
      </c>
      <c r="I220" t="s">
        <v>1138</v>
      </c>
      <c r="J220" s="15">
        <v>46220.352083333331</v>
      </c>
      <c r="K220" s="15">
        <v>46227.702777777777</v>
      </c>
      <c r="L220" s="15"/>
      <c r="M220">
        <v>1</v>
      </c>
      <c r="O220" t="s">
        <v>201</v>
      </c>
      <c r="P220" t="s">
        <v>1956</v>
      </c>
      <c r="S220" t="s">
        <v>357</v>
      </c>
      <c r="T220" t="s">
        <v>369</v>
      </c>
      <c r="U220" t="s">
        <v>239</v>
      </c>
      <c r="V220" t="s">
        <v>7</v>
      </c>
      <c r="W220" t="s">
        <v>7</v>
      </c>
      <c r="X220" t="s">
        <v>7</v>
      </c>
      <c r="Z220">
        <v>1</v>
      </c>
      <c r="AA220" t="s">
        <v>122</v>
      </c>
      <c r="AB220" t="s">
        <v>357</v>
      </c>
      <c r="AC220">
        <v>101</v>
      </c>
      <c r="AD220" t="s">
        <v>231</v>
      </c>
      <c r="AE220">
        <v>1</v>
      </c>
      <c r="AF220">
        <v>1.6</v>
      </c>
    </row>
    <row r="221" spans="1:32" x14ac:dyDescent="0.3">
      <c r="A221" t="s">
        <v>348</v>
      </c>
      <c r="B221" t="s">
        <v>281</v>
      </c>
      <c r="C221" t="s">
        <v>85</v>
      </c>
      <c r="D221" t="s">
        <v>309</v>
      </c>
      <c r="E221" t="s">
        <v>1137</v>
      </c>
      <c r="F221" s="15">
        <v>46217.60359953704</v>
      </c>
      <c r="G221" t="s">
        <v>420</v>
      </c>
      <c r="H221">
        <v>14</v>
      </c>
      <c r="I221" t="s">
        <v>1138</v>
      </c>
      <c r="J221" s="15">
        <v>46220.352083333331</v>
      </c>
      <c r="K221" s="15">
        <v>46227.702777777777</v>
      </c>
      <c r="L221" s="15"/>
      <c r="M221">
        <v>14</v>
      </c>
      <c r="O221" t="s">
        <v>1958</v>
      </c>
      <c r="S221" t="s">
        <v>357</v>
      </c>
      <c r="T221" t="s">
        <v>369</v>
      </c>
      <c r="U221" t="s">
        <v>239</v>
      </c>
      <c r="V221" t="s">
        <v>7</v>
      </c>
      <c r="W221" t="s">
        <v>7</v>
      </c>
      <c r="X221" t="s">
        <v>7</v>
      </c>
      <c r="Z221">
        <v>1</v>
      </c>
      <c r="AA221" t="s">
        <v>122</v>
      </c>
      <c r="AB221" t="s">
        <v>357</v>
      </c>
      <c r="AC221">
        <v>101</v>
      </c>
      <c r="AD221" t="s">
        <v>231</v>
      </c>
      <c r="AE221">
        <v>14</v>
      </c>
    </row>
    <row r="222" spans="1:32" x14ac:dyDescent="0.3">
      <c r="A222" t="s">
        <v>348</v>
      </c>
      <c r="B222" t="s">
        <v>279</v>
      </c>
      <c r="C222" t="s">
        <v>197</v>
      </c>
      <c r="D222" t="s">
        <v>309</v>
      </c>
      <c r="E222" t="s">
        <v>1114</v>
      </c>
      <c r="F222" s="15">
        <v>46202.512337962966</v>
      </c>
      <c r="G222" t="s">
        <v>419</v>
      </c>
      <c r="H222">
        <v>30</v>
      </c>
      <c r="I222" t="s">
        <v>1129</v>
      </c>
      <c r="J222" s="15">
        <v>46239.591469907406</v>
      </c>
      <c r="K222" s="15">
        <v>46241.497916666667</v>
      </c>
      <c r="L222" s="15"/>
      <c r="M222">
        <v>30</v>
      </c>
      <c r="O222" t="s">
        <v>201</v>
      </c>
      <c r="P222" t="s">
        <v>1954</v>
      </c>
      <c r="S222" t="s">
        <v>356</v>
      </c>
      <c r="T222" t="s">
        <v>369</v>
      </c>
      <c r="U222" t="s">
        <v>239</v>
      </c>
      <c r="V222" t="s">
        <v>7</v>
      </c>
      <c r="W222" t="s">
        <v>7</v>
      </c>
      <c r="X222" t="s">
        <v>7</v>
      </c>
      <c r="Z222">
        <v>16</v>
      </c>
      <c r="AA222" t="s">
        <v>122</v>
      </c>
      <c r="AB222" t="s">
        <v>356</v>
      </c>
      <c r="AC222">
        <v>109</v>
      </c>
      <c r="AD222" t="s">
        <v>232</v>
      </c>
      <c r="AE222">
        <v>480</v>
      </c>
      <c r="AF222">
        <v>48</v>
      </c>
    </row>
    <row r="223" spans="1:32" x14ac:dyDescent="0.3">
      <c r="A223" t="s">
        <v>348</v>
      </c>
      <c r="B223" t="s">
        <v>60</v>
      </c>
      <c r="C223" t="s">
        <v>92</v>
      </c>
      <c r="D223" t="s">
        <v>309</v>
      </c>
      <c r="E223" t="s">
        <v>1114</v>
      </c>
      <c r="F223" s="15">
        <v>46202.512337962966</v>
      </c>
      <c r="G223" t="s">
        <v>419</v>
      </c>
      <c r="H223">
        <v>736</v>
      </c>
      <c r="I223" t="s">
        <v>1128</v>
      </c>
      <c r="J223" s="15">
        <v>46203.361828703702</v>
      </c>
      <c r="K223" s="15">
        <v>46212.739201388889</v>
      </c>
      <c r="L223" s="15"/>
      <c r="M223">
        <v>736</v>
      </c>
      <c r="O223" t="s">
        <v>201</v>
      </c>
      <c r="P223" t="s">
        <v>1954</v>
      </c>
      <c r="S223" t="s">
        <v>356</v>
      </c>
      <c r="T223" t="s">
        <v>369</v>
      </c>
      <c r="U223" t="s">
        <v>239</v>
      </c>
      <c r="V223" t="s">
        <v>7</v>
      </c>
      <c r="W223" t="s">
        <v>7</v>
      </c>
      <c r="X223" t="s">
        <v>7</v>
      </c>
      <c r="AA223" t="s">
        <v>92</v>
      </c>
      <c r="AB223" t="s">
        <v>356</v>
      </c>
      <c r="AC223">
        <v>109</v>
      </c>
      <c r="AD223" t="s">
        <v>236</v>
      </c>
      <c r="AE223">
        <v>736</v>
      </c>
      <c r="AF223">
        <v>79.599999999999994</v>
      </c>
    </row>
    <row r="224" spans="1:32" x14ac:dyDescent="0.3">
      <c r="A224" t="s">
        <v>348</v>
      </c>
      <c r="B224" t="s">
        <v>60</v>
      </c>
      <c r="C224" t="s">
        <v>92</v>
      </c>
      <c r="D224" t="s">
        <v>309</v>
      </c>
      <c r="E224" t="s">
        <v>1114</v>
      </c>
      <c r="F224" s="15">
        <v>46202.512337962966</v>
      </c>
      <c r="G224" t="s">
        <v>419</v>
      </c>
      <c r="H224">
        <v>60</v>
      </c>
      <c r="I224" t="s">
        <v>1128</v>
      </c>
      <c r="J224" s="15">
        <v>46203.361828703702</v>
      </c>
      <c r="K224" s="15">
        <v>46212.739201388889</v>
      </c>
      <c r="L224" s="15"/>
      <c r="M224">
        <v>60</v>
      </c>
      <c r="O224" t="s">
        <v>1958</v>
      </c>
      <c r="S224" t="s">
        <v>356</v>
      </c>
      <c r="T224" t="s">
        <v>369</v>
      </c>
      <c r="U224" t="s">
        <v>239</v>
      </c>
      <c r="V224" t="s">
        <v>7</v>
      </c>
      <c r="W224" t="s">
        <v>7</v>
      </c>
      <c r="X224" t="s">
        <v>7</v>
      </c>
      <c r="AA224" t="s">
        <v>92</v>
      </c>
      <c r="AB224" t="s">
        <v>356</v>
      </c>
      <c r="AC224">
        <v>109</v>
      </c>
      <c r="AD224" t="s">
        <v>236</v>
      </c>
      <c r="AE224">
        <v>60</v>
      </c>
    </row>
    <row r="225" spans="1:32" x14ac:dyDescent="0.3">
      <c r="A225" t="s">
        <v>348</v>
      </c>
      <c r="B225" t="s">
        <v>281</v>
      </c>
      <c r="C225" t="s">
        <v>85</v>
      </c>
      <c r="D225" t="s">
        <v>309</v>
      </c>
      <c r="E225" t="s">
        <v>1139</v>
      </c>
      <c r="F225" s="15">
        <v>46238.326192129629</v>
      </c>
      <c r="G225" t="s">
        <v>401</v>
      </c>
      <c r="H225">
        <v>5</v>
      </c>
      <c r="I225" t="s">
        <v>1140</v>
      </c>
      <c r="J225" s="15">
        <v>46238.341504629629</v>
      </c>
      <c r="K225" s="15">
        <v>46239.65625</v>
      </c>
      <c r="L225" s="15"/>
      <c r="M225">
        <v>5</v>
      </c>
      <c r="O225" t="s">
        <v>201</v>
      </c>
      <c r="P225" t="s">
        <v>1954</v>
      </c>
      <c r="S225" t="s">
        <v>357</v>
      </c>
      <c r="T225" t="s">
        <v>369</v>
      </c>
      <c r="U225" t="s">
        <v>239</v>
      </c>
      <c r="V225" t="s">
        <v>7</v>
      </c>
      <c r="W225" t="s">
        <v>7</v>
      </c>
      <c r="X225" t="s">
        <v>7</v>
      </c>
      <c r="Z225">
        <v>1</v>
      </c>
      <c r="AA225" t="s">
        <v>122</v>
      </c>
      <c r="AB225" t="s">
        <v>357</v>
      </c>
      <c r="AC225">
        <v>101</v>
      </c>
      <c r="AD225" t="s">
        <v>231</v>
      </c>
      <c r="AE225">
        <v>5</v>
      </c>
      <c r="AF225">
        <v>1</v>
      </c>
    </row>
    <row r="226" spans="1:32" x14ac:dyDescent="0.3">
      <c r="A226" t="s">
        <v>348</v>
      </c>
      <c r="B226" t="s">
        <v>281</v>
      </c>
      <c r="C226" t="s">
        <v>85</v>
      </c>
      <c r="D226" t="s">
        <v>309</v>
      </c>
      <c r="E226" t="s">
        <v>1139</v>
      </c>
      <c r="F226" s="15">
        <v>46238.326192129629</v>
      </c>
      <c r="G226" t="s">
        <v>401</v>
      </c>
      <c r="H226">
        <v>5</v>
      </c>
      <c r="I226" t="s">
        <v>1140</v>
      </c>
      <c r="J226" s="15">
        <v>46238.341504629629</v>
      </c>
      <c r="K226" s="15">
        <v>46239.65625</v>
      </c>
      <c r="L226" s="15"/>
      <c r="M226">
        <v>5</v>
      </c>
      <c r="O226" t="s">
        <v>1958</v>
      </c>
      <c r="S226" t="s">
        <v>357</v>
      </c>
      <c r="T226" t="s">
        <v>369</v>
      </c>
      <c r="U226" t="s">
        <v>239</v>
      </c>
      <c r="V226" t="s">
        <v>7</v>
      </c>
      <c r="W226" t="s">
        <v>7</v>
      </c>
      <c r="X226" t="s">
        <v>7</v>
      </c>
      <c r="Z226">
        <v>1</v>
      </c>
      <c r="AA226" t="s">
        <v>122</v>
      </c>
      <c r="AB226" t="s">
        <v>357</v>
      </c>
      <c r="AC226">
        <v>101</v>
      </c>
      <c r="AD226" t="s">
        <v>231</v>
      </c>
      <c r="AE226">
        <v>5</v>
      </c>
    </row>
    <row r="227" spans="1:32" x14ac:dyDescent="0.3">
      <c r="A227" t="s">
        <v>348</v>
      </c>
      <c r="B227" t="s">
        <v>63</v>
      </c>
      <c r="C227" t="s">
        <v>95</v>
      </c>
      <c r="D227" t="s">
        <v>309</v>
      </c>
      <c r="E227" t="s">
        <v>1139</v>
      </c>
      <c r="F227" s="15">
        <v>46238.326192129629</v>
      </c>
      <c r="G227" t="s">
        <v>401</v>
      </c>
      <c r="H227">
        <v>1</v>
      </c>
      <c r="I227" t="s">
        <v>1140</v>
      </c>
      <c r="J227" s="15">
        <v>46238.341504629629</v>
      </c>
      <c r="K227" s="15">
        <v>46239.65625</v>
      </c>
      <c r="L227" s="15"/>
      <c r="M227">
        <v>1</v>
      </c>
      <c r="O227" t="s">
        <v>201</v>
      </c>
      <c r="P227" t="s">
        <v>1954</v>
      </c>
      <c r="S227" t="s">
        <v>357</v>
      </c>
      <c r="T227" t="s">
        <v>369</v>
      </c>
      <c r="U227" t="s">
        <v>239</v>
      </c>
      <c r="V227" t="s">
        <v>7</v>
      </c>
      <c r="W227" t="s">
        <v>7</v>
      </c>
      <c r="X227" t="s">
        <v>7</v>
      </c>
      <c r="AA227" t="s">
        <v>96</v>
      </c>
      <c r="AB227" t="s">
        <v>357</v>
      </c>
      <c r="AC227">
        <v>101</v>
      </c>
      <c r="AD227" t="s">
        <v>225</v>
      </c>
      <c r="AE227">
        <v>1</v>
      </c>
      <c r="AF227">
        <v>1.5</v>
      </c>
    </row>
    <row r="228" spans="1:32" x14ac:dyDescent="0.3">
      <c r="A228" t="s">
        <v>348</v>
      </c>
      <c r="B228" t="s">
        <v>63</v>
      </c>
      <c r="C228" t="s">
        <v>95</v>
      </c>
      <c r="D228" t="s">
        <v>309</v>
      </c>
      <c r="E228" t="s">
        <v>1139</v>
      </c>
      <c r="F228" s="15">
        <v>46238.326192129629</v>
      </c>
      <c r="G228" t="s">
        <v>401</v>
      </c>
      <c r="H228">
        <v>1</v>
      </c>
      <c r="I228" t="s">
        <v>1140</v>
      </c>
      <c r="J228" s="15">
        <v>46238.341504629629</v>
      </c>
      <c r="K228" s="15">
        <v>46239.65625</v>
      </c>
      <c r="L228" s="15"/>
      <c r="M228">
        <v>1</v>
      </c>
      <c r="O228" t="s">
        <v>1958</v>
      </c>
      <c r="S228" t="s">
        <v>357</v>
      </c>
      <c r="T228" t="s">
        <v>369</v>
      </c>
      <c r="U228" t="s">
        <v>239</v>
      </c>
      <c r="V228" t="s">
        <v>7</v>
      </c>
      <c r="W228" t="s">
        <v>7</v>
      </c>
      <c r="X228" t="s">
        <v>7</v>
      </c>
      <c r="AA228" t="s">
        <v>96</v>
      </c>
      <c r="AB228" t="s">
        <v>357</v>
      </c>
      <c r="AC228">
        <v>101</v>
      </c>
      <c r="AD228" t="s">
        <v>225</v>
      </c>
      <c r="AE228">
        <v>1</v>
      </c>
    </row>
    <row r="229" spans="1:32" x14ac:dyDescent="0.3">
      <c r="A229" t="s">
        <v>348</v>
      </c>
      <c r="B229" t="s">
        <v>57</v>
      </c>
      <c r="C229" t="s">
        <v>117</v>
      </c>
      <c r="D229" t="s">
        <v>309</v>
      </c>
      <c r="E229" t="s">
        <v>1139</v>
      </c>
      <c r="F229" s="15">
        <v>46238.326192129629</v>
      </c>
      <c r="G229" t="s">
        <v>401</v>
      </c>
      <c r="H229">
        <v>1</v>
      </c>
      <c r="I229" t="s">
        <v>1140</v>
      </c>
      <c r="J229" s="15">
        <v>46238.341504629629</v>
      </c>
      <c r="K229" s="15">
        <v>46239.65625</v>
      </c>
      <c r="L229" s="15"/>
      <c r="M229">
        <v>1</v>
      </c>
      <c r="O229" t="s">
        <v>201</v>
      </c>
      <c r="P229" t="s">
        <v>1954</v>
      </c>
      <c r="S229" t="s">
        <v>357</v>
      </c>
      <c r="T229" t="s">
        <v>369</v>
      </c>
      <c r="U229" t="s">
        <v>239</v>
      </c>
      <c r="V229" t="s">
        <v>7</v>
      </c>
      <c r="W229" t="s">
        <v>7</v>
      </c>
      <c r="X229" t="s">
        <v>7</v>
      </c>
      <c r="AA229" t="s">
        <v>127</v>
      </c>
      <c r="AB229" t="s">
        <v>357</v>
      </c>
      <c r="AC229">
        <v>101</v>
      </c>
      <c r="AD229" t="s">
        <v>233</v>
      </c>
      <c r="AE229">
        <v>1</v>
      </c>
      <c r="AF229">
        <v>1</v>
      </c>
    </row>
    <row r="230" spans="1:32" x14ac:dyDescent="0.3">
      <c r="A230" t="s">
        <v>348</v>
      </c>
      <c r="B230" t="s">
        <v>57</v>
      </c>
      <c r="C230" t="s">
        <v>117</v>
      </c>
      <c r="D230" t="s">
        <v>309</v>
      </c>
      <c r="E230" t="s">
        <v>1139</v>
      </c>
      <c r="F230" s="15">
        <v>46238.326192129629</v>
      </c>
      <c r="G230" t="s">
        <v>401</v>
      </c>
      <c r="H230">
        <v>1</v>
      </c>
      <c r="I230" t="s">
        <v>1140</v>
      </c>
      <c r="J230" s="15">
        <v>46238.341504629629</v>
      </c>
      <c r="K230" s="15">
        <v>46239.65625</v>
      </c>
      <c r="L230" s="15"/>
      <c r="M230">
        <v>1</v>
      </c>
      <c r="O230" t="s">
        <v>1958</v>
      </c>
      <c r="S230" t="s">
        <v>357</v>
      </c>
      <c r="T230" t="s">
        <v>369</v>
      </c>
      <c r="U230" t="s">
        <v>239</v>
      </c>
      <c r="V230" t="s">
        <v>7</v>
      </c>
      <c r="W230" t="s">
        <v>7</v>
      </c>
      <c r="X230" t="s">
        <v>7</v>
      </c>
      <c r="AA230" t="s">
        <v>127</v>
      </c>
      <c r="AB230" t="s">
        <v>357</v>
      </c>
      <c r="AC230">
        <v>101</v>
      </c>
      <c r="AD230" t="s">
        <v>233</v>
      </c>
      <c r="AE230">
        <v>1</v>
      </c>
    </row>
    <row r="231" spans="1:32" x14ac:dyDescent="0.3">
      <c r="A231" t="s">
        <v>348</v>
      </c>
      <c r="B231" t="s">
        <v>63</v>
      </c>
      <c r="C231" t="s">
        <v>95</v>
      </c>
      <c r="D231" t="s">
        <v>309</v>
      </c>
      <c r="E231" t="s">
        <v>1125</v>
      </c>
      <c r="F231" s="15">
        <v>46233.719895833332</v>
      </c>
      <c r="G231" t="s">
        <v>420</v>
      </c>
      <c r="H231">
        <v>108</v>
      </c>
      <c r="I231" t="s">
        <v>1141</v>
      </c>
      <c r="J231" s="15">
        <v>46244.494745370372</v>
      </c>
      <c r="K231" s="15">
        <v>46247.731863425928</v>
      </c>
      <c r="L231" s="15"/>
      <c r="M231">
        <v>108</v>
      </c>
      <c r="O231" t="s">
        <v>201</v>
      </c>
      <c r="P231" t="s">
        <v>1954</v>
      </c>
      <c r="S231" t="s">
        <v>355</v>
      </c>
      <c r="T231" t="s">
        <v>369</v>
      </c>
      <c r="U231" t="s">
        <v>239</v>
      </c>
      <c r="V231" t="s">
        <v>7</v>
      </c>
      <c r="W231" t="s">
        <v>7</v>
      </c>
      <c r="X231" t="s">
        <v>7</v>
      </c>
      <c r="AA231" t="s">
        <v>96</v>
      </c>
      <c r="AB231" t="s">
        <v>355</v>
      </c>
      <c r="AC231">
        <v>2200</v>
      </c>
      <c r="AD231" t="s">
        <v>225</v>
      </c>
      <c r="AE231">
        <v>108</v>
      </c>
      <c r="AF231">
        <v>10.8</v>
      </c>
    </row>
    <row r="232" spans="1:32" x14ac:dyDescent="0.3">
      <c r="A232" t="s">
        <v>348</v>
      </c>
      <c r="B232" t="s">
        <v>57</v>
      </c>
      <c r="C232" t="s">
        <v>117</v>
      </c>
      <c r="D232" t="s">
        <v>309</v>
      </c>
      <c r="E232" t="s">
        <v>1125</v>
      </c>
      <c r="F232" s="15">
        <v>46233.719895833332</v>
      </c>
      <c r="G232" t="s">
        <v>420</v>
      </c>
      <c r="H232">
        <v>108</v>
      </c>
      <c r="I232" t="s">
        <v>1141</v>
      </c>
      <c r="J232" s="15">
        <v>46244.494745370372</v>
      </c>
      <c r="K232" s="15">
        <v>46247.731863425928</v>
      </c>
      <c r="L232" s="15"/>
      <c r="M232">
        <v>108</v>
      </c>
      <c r="O232" t="s">
        <v>201</v>
      </c>
      <c r="P232" t="s">
        <v>1954</v>
      </c>
      <c r="S232" t="s">
        <v>355</v>
      </c>
      <c r="T232" t="s">
        <v>369</v>
      </c>
      <c r="U232" t="s">
        <v>239</v>
      </c>
      <c r="V232" t="s">
        <v>7</v>
      </c>
      <c r="W232" t="s">
        <v>7</v>
      </c>
      <c r="X232" t="s">
        <v>7</v>
      </c>
      <c r="AA232" t="s">
        <v>127</v>
      </c>
      <c r="AB232" t="s">
        <v>355</v>
      </c>
      <c r="AC232">
        <v>2200</v>
      </c>
      <c r="AD232" t="s">
        <v>233</v>
      </c>
      <c r="AE232">
        <v>10.8</v>
      </c>
      <c r="AF232">
        <v>1.08</v>
      </c>
    </row>
    <row r="233" spans="1:32" x14ac:dyDescent="0.3">
      <c r="A233" t="s">
        <v>348</v>
      </c>
      <c r="B233" t="s">
        <v>63</v>
      </c>
      <c r="C233" t="s">
        <v>95</v>
      </c>
      <c r="D233" t="s">
        <v>309</v>
      </c>
      <c r="E233" t="s">
        <v>1125</v>
      </c>
      <c r="F233" s="15">
        <v>46233.719895833332</v>
      </c>
      <c r="G233" t="s">
        <v>420</v>
      </c>
      <c r="H233">
        <v>12</v>
      </c>
      <c r="I233" t="s">
        <v>1142</v>
      </c>
      <c r="J233" s="15">
        <v>46237.708252314813</v>
      </c>
      <c r="K233" s="15">
        <v>46240.458333333336</v>
      </c>
      <c r="L233" s="15"/>
      <c r="M233">
        <v>12</v>
      </c>
      <c r="O233" t="s">
        <v>201</v>
      </c>
      <c r="P233" t="s">
        <v>1954</v>
      </c>
      <c r="S233" t="s">
        <v>355</v>
      </c>
      <c r="T233" t="s">
        <v>369</v>
      </c>
      <c r="U233" t="s">
        <v>239</v>
      </c>
      <c r="V233" t="s">
        <v>7</v>
      </c>
      <c r="W233" t="s">
        <v>7</v>
      </c>
      <c r="X233" t="s">
        <v>7</v>
      </c>
      <c r="AA233" t="s">
        <v>96</v>
      </c>
      <c r="AB233" t="s">
        <v>355</v>
      </c>
      <c r="AC233">
        <v>2200</v>
      </c>
      <c r="AD233" t="s">
        <v>225</v>
      </c>
      <c r="AE233">
        <v>12</v>
      </c>
      <c r="AF233">
        <v>1.2</v>
      </c>
    </row>
    <row r="234" spans="1:32" x14ac:dyDescent="0.3">
      <c r="A234" t="s">
        <v>348</v>
      </c>
      <c r="B234" t="s">
        <v>57</v>
      </c>
      <c r="C234" t="s">
        <v>117</v>
      </c>
      <c r="D234" t="s">
        <v>309</v>
      </c>
      <c r="E234" t="s">
        <v>1125</v>
      </c>
      <c r="F234" s="15">
        <v>46233.719895833332</v>
      </c>
      <c r="G234" t="s">
        <v>420</v>
      </c>
      <c r="H234">
        <v>12</v>
      </c>
      <c r="I234" t="s">
        <v>1142</v>
      </c>
      <c r="J234" s="15">
        <v>46237.708252314813</v>
      </c>
      <c r="K234" s="15">
        <v>46240.458333333336</v>
      </c>
      <c r="L234" s="15"/>
      <c r="M234">
        <v>12</v>
      </c>
      <c r="O234" t="s">
        <v>201</v>
      </c>
      <c r="P234" t="s">
        <v>1954</v>
      </c>
      <c r="S234" t="s">
        <v>355</v>
      </c>
      <c r="T234" t="s">
        <v>369</v>
      </c>
      <c r="U234" t="s">
        <v>239</v>
      </c>
      <c r="V234" t="s">
        <v>7</v>
      </c>
      <c r="W234" t="s">
        <v>7</v>
      </c>
      <c r="X234" t="s">
        <v>7</v>
      </c>
      <c r="AA234" t="s">
        <v>127</v>
      </c>
      <c r="AB234" t="s">
        <v>355</v>
      </c>
      <c r="AC234">
        <v>2200</v>
      </c>
      <c r="AD234" t="s">
        <v>233</v>
      </c>
      <c r="AE234">
        <v>1.2</v>
      </c>
      <c r="AF234">
        <v>1</v>
      </c>
    </row>
    <row r="235" spans="1:32" x14ac:dyDescent="0.3">
      <c r="A235" t="s">
        <v>348</v>
      </c>
      <c r="B235" t="s">
        <v>279</v>
      </c>
      <c r="C235" t="s">
        <v>197</v>
      </c>
      <c r="D235" t="s">
        <v>309</v>
      </c>
      <c r="E235" t="s">
        <v>1125</v>
      </c>
      <c r="F235" s="15">
        <v>46233.719895833332</v>
      </c>
      <c r="G235" t="s">
        <v>420</v>
      </c>
      <c r="H235">
        <v>12</v>
      </c>
      <c r="I235" t="s">
        <v>1142</v>
      </c>
      <c r="J235" s="15">
        <v>46237.708252314813</v>
      </c>
      <c r="K235" s="15">
        <v>46240.458333333336</v>
      </c>
      <c r="L235" s="15"/>
      <c r="M235">
        <v>12</v>
      </c>
      <c r="O235" t="s">
        <v>201</v>
      </c>
      <c r="P235" t="s">
        <v>1954</v>
      </c>
      <c r="S235" t="s">
        <v>355</v>
      </c>
      <c r="T235" t="s">
        <v>369</v>
      </c>
      <c r="U235" t="s">
        <v>239</v>
      </c>
      <c r="V235" t="s">
        <v>7</v>
      </c>
      <c r="W235" t="s">
        <v>7</v>
      </c>
      <c r="X235" t="s">
        <v>7</v>
      </c>
      <c r="Z235">
        <v>16</v>
      </c>
      <c r="AA235" t="s">
        <v>122</v>
      </c>
      <c r="AB235" t="s">
        <v>355</v>
      </c>
      <c r="AC235">
        <v>2200</v>
      </c>
      <c r="AD235" t="s">
        <v>232</v>
      </c>
      <c r="AE235">
        <v>192</v>
      </c>
      <c r="AF235">
        <v>19.2</v>
      </c>
    </row>
    <row r="236" spans="1:32" x14ac:dyDescent="0.3">
      <c r="A236" t="s">
        <v>348</v>
      </c>
      <c r="B236" t="s">
        <v>281</v>
      </c>
      <c r="C236" t="s">
        <v>85</v>
      </c>
      <c r="D236" t="s">
        <v>309</v>
      </c>
      <c r="E236" t="s">
        <v>1125</v>
      </c>
      <c r="F236" s="15">
        <v>46233.719895833332</v>
      </c>
      <c r="G236" t="s">
        <v>420</v>
      </c>
      <c r="H236">
        <v>2</v>
      </c>
      <c r="I236" t="s">
        <v>1127</v>
      </c>
      <c r="J236" s="15">
        <v>46234.408483796295</v>
      </c>
      <c r="K236" s="15">
        <v>46238.436805555553</v>
      </c>
      <c r="L236" s="15"/>
      <c r="M236">
        <v>2</v>
      </c>
      <c r="O236" t="s">
        <v>201</v>
      </c>
      <c r="P236" t="s">
        <v>1954</v>
      </c>
      <c r="S236" t="s">
        <v>355</v>
      </c>
      <c r="T236" t="s">
        <v>369</v>
      </c>
      <c r="U236" t="s">
        <v>239</v>
      </c>
      <c r="V236" t="s">
        <v>7</v>
      </c>
      <c r="W236" t="s">
        <v>7</v>
      </c>
      <c r="X236" t="s">
        <v>7</v>
      </c>
      <c r="Z236">
        <v>1</v>
      </c>
      <c r="AA236" t="s">
        <v>122</v>
      </c>
      <c r="AB236" t="s">
        <v>355</v>
      </c>
      <c r="AC236">
        <v>2200</v>
      </c>
      <c r="AD236" t="s">
        <v>231</v>
      </c>
      <c r="AE236">
        <v>2</v>
      </c>
      <c r="AF236">
        <v>1</v>
      </c>
    </row>
    <row r="237" spans="1:32" x14ac:dyDescent="0.3">
      <c r="A237" t="s">
        <v>348</v>
      </c>
      <c r="B237" t="s">
        <v>279</v>
      </c>
      <c r="C237" t="s">
        <v>197</v>
      </c>
      <c r="D237" t="s">
        <v>309</v>
      </c>
      <c r="E237" t="s">
        <v>1125</v>
      </c>
      <c r="F237" s="15">
        <v>46233.719895833332</v>
      </c>
      <c r="G237" t="s">
        <v>420</v>
      </c>
      <c r="H237">
        <v>108</v>
      </c>
      <c r="I237" t="s">
        <v>1141</v>
      </c>
      <c r="J237" s="15">
        <v>46244.494745370372</v>
      </c>
      <c r="K237" s="15">
        <v>46247.731863425928</v>
      </c>
      <c r="L237" s="15"/>
      <c r="M237">
        <v>108</v>
      </c>
      <c r="O237" t="s">
        <v>201</v>
      </c>
      <c r="P237" t="s">
        <v>1956</v>
      </c>
      <c r="S237" t="s">
        <v>355</v>
      </c>
      <c r="T237" t="s">
        <v>369</v>
      </c>
      <c r="U237" t="s">
        <v>239</v>
      </c>
      <c r="V237" t="s">
        <v>7</v>
      </c>
      <c r="W237" t="s">
        <v>7</v>
      </c>
      <c r="X237" t="s">
        <v>7</v>
      </c>
      <c r="Z237">
        <v>16</v>
      </c>
      <c r="AA237" t="s">
        <v>122</v>
      </c>
      <c r="AB237" t="s">
        <v>355</v>
      </c>
      <c r="AC237">
        <v>2200</v>
      </c>
      <c r="AD237" t="s">
        <v>232</v>
      </c>
      <c r="AE237">
        <v>1728</v>
      </c>
      <c r="AF237">
        <v>172.8</v>
      </c>
    </row>
    <row r="238" spans="1:32" x14ac:dyDescent="0.3">
      <c r="A238" t="s">
        <v>348</v>
      </c>
      <c r="B238" t="s">
        <v>47</v>
      </c>
      <c r="C238" t="s">
        <v>68</v>
      </c>
      <c r="D238" t="s">
        <v>309</v>
      </c>
      <c r="E238" t="s">
        <v>1143</v>
      </c>
      <c r="F238" s="15">
        <v>46211.698680555557</v>
      </c>
      <c r="G238" t="s">
        <v>403</v>
      </c>
      <c r="H238">
        <v>2</v>
      </c>
      <c r="I238" t="s">
        <v>1144</v>
      </c>
      <c r="J238" s="15">
        <v>46219.448703703703</v>
      </c>
      <c r="K238" s="15">
        <v>46220.459722222222</v>
      </c>
      <c r="L238" s="15"/>
      <c r="M238">
        <v>2</v>
      </c>
      <c r="O238" t="s">
        <v>201</v>
      </c>
      <c r="P238" t="s">
        <v>1956</v>
      </c>
      <c r="S238" t="s">
        <v>356</v>
      </c>
      <c r="T238" t="s">
        <v>369</v>
      </c>
      <c r="U238" t="s">
        <v>239</v>
      </c>
      <c r="V238" t="s">
        <v>348</v>
      </c>
      <c r="W238" t="s">
        <v>369</v>
      </c>
      <c r="X238" t="s">
        <v>239</v>
      </c>
      <c r="Y238">
        <v>0</v>
      </c>
      <c r="AA238" t="s">
        <v>90</v>
      </c>
      <c r="AB238" t="s">
        <v>356</v>
      </c>
      <c r="AC238">
        <v>109</v>
      </c>
      <c r="AD238" t="s">
        <v>218</v>
      </c>
      <c r="AE238">
        <v>1</v>
      </c>
      <c r="AF238">
        <v>1</v>
      </c>
    </row>
    <row r="239" spans="1:32" x14ac:dyDescent="0.3">
      <c r="A239" t="s">
        <v>348</v>
      </c>
      <c r="B239" t="s">
        <v>279</v>
      </c>
      <c r="C239" t="s">
        <v>197</v>
      </c>
      <c r="D239" t="s">
        <v>309</v>
      </c>
      <c r="E239" t="s">
        <v>1137</v>
      </c>
      <c r="F239" s="15">
        <v>46217.60359953704</v>
      </c>
      <c r="G239" t="s">
        <v>420</v>
      </c>
      <c r="H239">
        <v>13</v>
      </c>
      <c r="I239" t="s">
        <v>1145</v>
      </c>
      <c r="J239" s="15">
        <v>46237.518055555556</v>
      </c>
      <c r="K239" s="15">
        <v>46239.647916666669</v>
      </c>
      <c r="L239" s="15"/>
      <c r="M239">
        <v>13</v>
      </c>
      <c r="O239" t="s">
        <v>201</v>
      </c>
      <c r="P239" t="s">
        <v>1954</v>
      </c>
      <c r="S239" t="s">
        <v>357</v>
      </c>
      <c r="T239" t="s">
        <v>369</v>
      </c>
      <c r="U239" t="s">
        <v>239</v>
      </c>
      <c r="V239" t="s">
        <v>7</v>
      </c>
      <c r="W239" t="s">
        <v>7</v>
      </c>
      <c r="X239" t="s">
        <v>7</v>
      </c>
      <c r="Z239">
        <v>16</v>
      </c>
      <c r="AA239" t="s">
        <v>122</v>
      </c>
      <c r="AB239" t="s">
        <v>357</v>
      </c>
      <c r="AC239">
        <v>101</v>
      </c>
      <c r="AD239" t="s">
        <v>232</v>
      </c>
      <c r="AE239">
        <v>208</v>
      </c>
      <c r="AF239">
        <v>20.8</v>
      </c>
    </row>
    <row r="240" spans="1:32" x14ac:dyDescent="0.3">
      <c r="A240" t="s">
        <v>348</v>
      </c>
      <c r="B240" t="s">
        <v>57</v>
      </c>
      <c r="C240" t="s">
        <v>117</v>
      </c>
      <c r="D240" t="s">
        <v>309</v>
      </c>
      <c r="E240" t="s">
        <v>1146</v>
      </c>
      <c r="F240" s="15">
        <v>46247.424131944441</v>
      </c>
      <c r="G240" t="s">
        <v>399</v>
      </c>
      <c r="H240">
        <v>1</v>
      </c>
      <c r="I240" t="s">
        <v>1147</v>
      </c>
      <c r="J240" s="15">
        <v>46247.640277777777</v>
      </c>
      <c r="K240" s="15">
        <v>46253.622916666667</v>
      </c>
      <c r="L240" s="15"/>
      <c r="M240">
        <v>1</v>
      </c>
      <c r="O240" t="s">
        <v>201</v>
      </c>
      <c r="P240" t="s">
        <v>1954</v>
      </c>
      <c r="S240" t="s">
        <v>353</v>
      </c>
      <c r="T240" t="s">
        <v>368</v>
      </c>
      <c r="U240" t="s">
        <v>239</v>
      </c>
      <c r="V240" t="s">
        <v>7</v>
      </c>
      <c r="W240" t="s">
        <v>7</v>
      </c>
      <c r="X240" t="s">
        <v>7</v>
      </c>
      <c r="AA240" t="s">
        <v>127</v>
      </c>
      <c r="AB240" t="s">
        <v>353</v>
      </c>
      <c r="AC240">
        <v>2100</v>
      </c>
      <c r="AD240" t="s">
        <v>233</v>
      </c>
      <c r="AE240">
        <v>1</v>
      </c>
      <c r="AF240">
        <v>1</v>
      </c>
    </row>
    <row r="241" spans="1:32" x14ac:dyDescent="0.3">
      <c r="A241" t="s">
        <v>348</v>
      </c>
      <c r="B241" t="s">
        <v>57</v>
      </c>
      <c r="C241" t="s">
        <v>117</v>
      </c>
      <c r="D241" t="s">
        <v>309</v>
      </c>
      <c r="E241" t="s">
        <v>1148</v>
      </c>
      <c r="F241" s="15">
        <v>46241.653622685182</v>
      </c>
      <c r="G241" t="s">
        <v>399</v>
      </c>
      <c r="H241">
        <v>1</v>
      </c>
      <c r="I241" t="s">
        <v>1149</v>
      </c>
      <c r="J241" s="15">
        <v>46247.673611111109</v>
      </c>
      <c r="K241" s="15">
        <v>46253.618055555555</v>
      </c>
      <c r="L241" s="15"/>
      <c r="M241">
        <v>1</v>
      </c>
      <c r="O241" t="s">
        <v>201</v>
      </c>
      <c r="P241" t="s">
        <v>1954</v>
      </c>
      <c r="S241" t="s">
        <v>353</v>
      </c>
      <c r="T241" t="s">
        <v>368</v>
      </c>
      <c r="U241" t="s">
        <v>239</v>
      </c>
      <c r="V241" t="s">
        <v>7</v>
      </c>
      <c r="W241" t="s">
        <v>7</v>
      </c>
      <c r="X241" t="s">
        <v>7</v>
      </c>
      <c r="AA241" t="s">
        <v>127</v>
      </c>
      <c r="AB241" t="s">
        <v>353</v>
      </c>
      <c r="AC241">
        <v>2100</v>
      </c>
      <c r="AD241" t="s">
        <v>233</v>
      </c>
      <c r="AE241">
        <v>1</v>
      </c>
    </row>
    <row r="242" spans="1:32" x14ac:dyDescent="0.3">
      <c r="A242" t="s">
        <v>348</v>
      </c>
      <c r="B242" t="s">
        <v>57</v>
      </c>
      <c r="C242" t="s">
        <v>117</v>
      </c>
      <c r="D242" t="s">
        <v>309</v>
      </c>
      <c r="E242" t="s">
        <v>1150</v>
      </c>
      <c r="F242" s="15">
        <v>46238.350578703707</v>
      </c>
      <c r="G242" t="s">
        <v>399</v>
      </c>
      <c r="H242">
        <v>1</v>
      </c>
      <c r="I242" t="s">
        <v>1151</v>
      </c>
      <c r="J242" s="15">
        <v>46238.650694444441</v>
      </c>
      <c r="K242" s="15">
        <v>46241.494444444441</v>
      </c>
      <c r="L242" s="15"/>
      <c r="M242">
        <v>1</v>
      </c>
      <c r="O242" t="s">
        <v>201</v>
      </c>
      <c r="P242" t="s">
        <v>1954</v>
      </c>
      <c r="S242" t="s">
        <v>353</v>
      </c>
      <c r="T242" t="s">
        <v>368</v>
      </c>
      <c r="U242" t="s">
        <v>239</v>
      </c>
      <c r="V242" t="s">
        <v>7</v>
      </c>
      <c r="W242" t="s">
        <v>7</v>
      </c>
      <c r="X242" t="s">
        <v>7</v>
      </c>
      <c r="AA242" t="s">
        <v>127</v>
      </c>
      <c r="AB242" t="s">
        <v>353</v>
      </c>
      <c r="AC242">
        <v>2100</v>
      </c>
      <c r="AD242" t="s">
        <v>233</v>
      </c>
      <c r="AE242">
        <v>1</v>
      </c>
      <c r="AF242">
        <v>1</v>
      </c>
    </row>
    <row r="243" spans="1:32" x14ac:dyDescent="0.3">
      <c r="A243" t="s">
        <v>348</v>
      </c>
      <c r="B243" t="s">
        <v>279</v>
      </c>
      <c r="C243" t="s">
        <v>192</v>
      </c>
      <c r="D243" t="s">
        <v>309</v>
      </c>
      <c r="E243" t="s">
        <v>1146</v>
      </c>
      <c r="F243" s="15">
        <v>46247.424131944441</v>
      </c>
      <c r="G243" t="s">
        <v>399</v>
      </c>
      <c r="H243">
        <v>557</v>
      </c>
      <c r="I243" t="s">
        <v>1147</v>
      </c>
      <c r="J243" s="15">
        <v>46247.640277777777</v>
      </c>
      <c r="K243" s="15">
        <v>46253.622916666667</v>
      </c>
      <c r="L243" s="15"/>
      <c r="M243">
        <v>557</v>
      </c>
      <c r="O243" t="s">
        <v>201</v>
      </c>
      <c r="P243" t="s">
        <v>1956</v>
      </c>
      <c r="S243" t="s">
        <v>353</v>
      </c>
      <c r="T243" t="s">
        <v>368</v>
      </c>
      <c r="U243" t="s">
        <v>239</v>
      </c>
      <c r="V243" t="s">
        <v>7</v>
      </c>
      <c r="W243" t="s">
        <v>7</v>
      </c>
      <c r="X243" t="s">
        <v>7</v>
      </c>
      <c r="Z243">
        <v>1</v>
      </c>
      <c r="AA243" t="s">
        <v>122</v>
      </c>
      <c r="AB243" t="s">
        <v>353</v>
      </c>
      <c r="AC243">
        <v>2100</v>
      </c>
      <c r="AD243" t="s">
        <v>232</v>
      </c>
      <c r="AE243">
        <v>557</v>
      </c>
      <c r="AF243">
        <v>95</v>
      </c>
    </row>
    <row r="244" spans="1:32" x14ac:dyDescent="0.3">
      <c r="A244" t="s">
        <v>348</v>
      </c>
      <c r="B244" t="s">
        <v>279</v>
      </c>
      <c r="C244" t="s">
        <v>192</v>
      </c>
      <c r="D244" t="s">
        <v>309</v>
      </c>
      <c r="E244" t="s">
        <v>1148</v>
      </c>
      <c r="F244" s="15">
        <v>46241.653622685182</v>
      </c>
      <c r="G244" t="s">
        <v>399</v>
      </c>
      <c r="H244">
        <v>393</v>
      </c>
      <c r="I244" t="s">
        <v>1149</v>
      </c>
      <c r="J244" s="15">
        <v>46247.673611111109</v>
      </c>
      <c r="K244" s="15">
        <v>46253.618055555555</v>
      </c>
      <c r="L244" s="15"/>
      <c r="M244">
        <v>393</v>
      </c>
      <c r="O244" t="s">
        <v>201</v>
      </c>
      <c r="P244" t="s">
        <v>1956</v>
      </c>
      <c r="S244" t="s">
        <v>353</v>
      </c>
      <c r="T244" t="s">
        <v>368</v>
      </c>
      <c r="U244" t="s">
        <v>239</v>
      </c>
      <c r="V244" t="s">
        <v>7</v>
      </c>
      <c r="W244" t="s">
        <v>7</v>
      </c>
      <c r="X244" t="s">
        <v>7</v>
      </c>
      <c r="Z244">
        <v>1</v>
      </c>
      <c r="AA244" t="s">
        <v>122</v>
      </c>
      <c r="AB244" t="s">
        <v>353</v>
      </c>
      <c r="AC244">
        <v>2100</v>
      </c>
      <c r="AD244" t="s">
        <v>232</v>
      </c>
      <c r="AE244">
        <v>393</v>
      </c>
    </row>
    <row r="245" spans="1:32" x14ac:dyDescent="0.3">
      <c r="A245" t="s">
        <v>348</v>
      </c>
      <c r="B245" t="s">
        <v>279</v>
      </c>
      <c r="C245" t="s">
        <v>192</v>
      </c>
      <c r="D245" t="s">
        <v>309</v>
      </c>
      <c r="E245" t="s">
        <v>1150</v>
      </c>
      <c r="F245" s="15">
        <v>46238.350578703707</v>
      </c>
      <c r="G245" t="s">
        <v>399</v>
      </c>
      <c r="H245">
        <v>224</v>
      </c>
      <c r="I245" t="s">
        <v>1151</v>
      </c>
      <c r="J245" s="15">
        <v>46238.650694444441</v>
      </c>
      <c r="K245" s="15">
        <v>46241.494444444441</v>
      </c>
      <c r="L245" s="15"/>
      <c r="M245">
        <v>224</v>
      </c>
      <c r="O245" t="s">
        <v>201</v>
      </c>
      <c r="P245" t="s">
        <v>1954</v>
      </c>
      <c r="S245" t="s">
        <v>353</v>
      </c>
      <c r="T245" t="s">
        <v>368</v>
      </c>
      <c r="U245" t="s">
        <v>239</v>
      </c>
      <c r="V245" t="s">
        <v>7</v>
      </c>
      <c r="W245" t="s">
        <v>7</v>
      </c>
      <c r="X245" t="s">
        <v>7</v>
      </c>
      <c r="Z245">
        <v>1</v>
      </c>
      <c r="AA245" t="s">
        <v>122</v>
      </c>
      <c r="AB245" t="s">
        <v>353</v>
      </c>
      <c r="AC245">
        <v>2100</v>
      </c>
      <c r="AD245" t="s">
        <v>232</v>
      </c>
      <c r="AE245">
        <v>224</v>
      </c>
      <c r="AF245">
        <v>22.4</v>
      </c>
    </row>
    <row r="246" spans="1:32" x14ac:dyDescent="0.3">
      <c r="A246" t="s">
        <v>348</v>
      </c>
      <c r="B246" t="s">
        <v>63</v>
      </c>
      <c r="C246" t="s">
        <v>95</v>
      </c>
      <c r="D246" t="s">
        <v>309</v>
      </c>
      <c r="E246" t="s">
        <v>1146</v>
      </c>
      <c r="F246" s="15">
        <v>46247.424131944441</v>
      </c>
      <c r="G246" t="s">
        <v>399</v>
      </c>
      <c r="H246">
        <v>1</v>
      </c>
      <c r="I246" t="s">
        <v>1147</v>
      </c>
      <c r="J246" s="15">
        <v>46247.640277777777</v>
      </c>
      <c r="K246" s="15">
        <v>46253.622916666667</v>
      </c>
      <c r="L246" s="15"/>
      <c r="M246">
        <v>1</v>
      </c>
      <c r="O246" t="s">
        <v>201</v>
      </c>
      <c r="P246" t="s">
        <v>1954</v>
      </c>
      <c r="S246" t="s">
        <v>353</v>
      </c>
      <c r="T246" t="s">
        <v>368</v>
      </c>
      <c r="U246" t="s">
        <v>239</v>
      </c>
      <c r="V246" t="s">
        <v>7</v>
      </c>
      <c r="W246" t="s">
        <v>7</v>
      </c>
      <c r="X246" t="s">
        <v>7</v>
      </c>
      <c r="AA246" t="s">
        <v>96</v>
      </c>
      <c r="AB246" t="s">
        <v>353</v>
      </c>
      <c r="AC246">
        <v>2100</v>
      </c>
      <c r="AD246" t="s">
        <v>225</v>
      </c>
      <c r="AE246">
        <v>1</v>
      </c>
      <c r="AF246">
        <v>1</v>
      </c>
    </row>
    <row r="247" spans="1:32" x14ac:dyDescent="0.3">
      <c r="A247" t="s">
        <v>348</v>
      </c>
      <c r="B247" t="s">
        <v>63</v>
      </c>
      <c r="C247" t="s">
        <v>95</v>
      </c>
      <c r="D247" t="s">
        <v>309</v>
      </c>
      <c r="E247" t="s">
        <v>1148</v>
      </c>
      <c r="F247" s="15">
        <v>46241.653622685182</v>
      </c>
      <c r="G247" t="s">
        <v>399</v>
      </c>
      <c r="H247">
        <v>1</v>
      </c>
      <c r="I247" t="s">
        <v>1149</v>
      </c>
      <c r="J247" s="15">
        <v>46247.673611111109</v>
      </c>
      <c r="K247" s="15">
        <v>46253.618055555555</v>
      </c>
      <c r="L247" s="15"/>
      <c r="M247">
        <v>1</v>
      </c>
      <c r="O247" t="s">
        <v>201</v>
      </c>
      <c r="P247" t="s">
        <v>1954</v>
      </c>
      <c r="S247" t="s">
        <v>353</v>
      </c>
      <c r="T247" t="s">
        <v>368</v>
      </c>
      <c r="U247" t="s">
        <v>239</v>
      </c>
      <c r="V247" t="s">
        <v>7</v>
      </c>
      <c r="W247" t="s">
        <v>7</v>
      </c>
      <c r="X247" t="s">
        <v>7</v>
      </c>
      <c r="AA247" t="s">
        <v>96</v>
      </c>
      <c r="AB247" t="s">
        <v>353</v>
      </c>
      <c r="AC247">
        <v>2100</v>
      </c>
      <c r="AD247" t="s">
        <v>225</v>
      </c>
      <c r="AE247">
        <v>1</v>
      </c>
    </row>
    <row r="248" spans="1:32" x14ac:dyDescent="0.3">
      <c r="A248" t="s">
        <v>348</v>
      </c>
      <c r="B248" t="s">
        <v>63</v>
      </c>
      <c r="C248" t="s">
        <v>95</v>
      </c>
      <c r="D248" t="s">
        <v>309</v>
      </c>
      <c r="E248" t="s">
        <v>1150</v>
      </c>
      <c r="F248" s="15">
        <v>46238.350578703707</v>
      </c>
      <c r="G248" t="s">
        <v>399</v>
      </c>
      <c r="H248">
        <v>1</v>
      </c>
      <c r="I248" t="s">
        <v>1151</v>
      </c>
      <c r="J248" s="15">
        <v>46238.650694444441</v>
      </c>
      <c r="K248" s="15">
        <v>46241.494444444441</v>
      </c>
      <c r="L248" s="15"/>
      <c r="M248">
        <v>1</v>
      </c>
      <c r="O248" t="s">
        <v>201</v>
      </c>
      <c r="P248" t="s">
        <v>1954</v>
      </c>
      <c r="S248" t="s">
        <v>353</v>
      </c>
      <c r="T248" t="s">
        <v>368</v>
      </c>
      <c r="U248" t="s">
        <v>239</v>
      </c>
      <c r="V248" t="s">
        <v>7</v>
      </c>
      <c r="W248" t="s">
        <v>7</v>
      </c>
      <c r="X248" t="s">
        <v>7</v>
      </c>
      <c r="AA248" t="s">
        <v>96</v>
      </c>
      <c r="AB248" t="s">
        <v>353</v>
      </c>
      <c r="AC248">
        <v>2100</v>
      </c>
      <c r="AD248" t="s">
        <v>225</v>
      </c>
      <c r="AE248">
        <v>1</v>
      </c>
      <c r="AF248">
        <v>1</v>
      </c>
    </row>
    <row r="249" spans="1:32" x14ac:dyDescent="0.3">
      <c r="A249" t="s">
        <v>348</v>
      </c>
      <c r="B249" t="s">
        <v>45</v>
      </c>
      <c r="C249" t="s">
        <v>68</v>
      </c>
      <c r="D249" t="s">
        <v>309</v>
      </c>
      <c r="E249" t="s">
        <v>1152</v>
      </c>
      <c r="F249" s="15">
        <v>46234.569490740738</v>
      </c>
      <c r="G249" t="s">
        <v>398</v>
      </c>
      <c r="H249">
        <v>5</v>
      </c>
      <c r="I249" t="s">
        <v>1153</v>
      </c>
      <c r="J249" s="15">
        <v>46234.710416666669</v>
      </c>
      <c r="K249" s="15">
        <v>46239.541666666664</v>
      </c>
      <c r="L249" s="15"/>
      <c r="M249">
        <v>5</v>
      </c>
      <c r="O249" t="s">
        <v>201</v>
      </c>
      <c r="P249" t="s">
        <v>1956</v>
      </c>
      <c r="S249" t="s">
        <v>353</v>
      </c>
      <c r="T249" t="s">
        <v>368</v>
      </c>
      <c r="U249" t="s">
        <v>239</v>
      </c>
      <c r="V249" t="s">
        <v>348</v>
      </c>
      <c r="W249" t="s">
        <v>369</v>
      </c>
      <c r="X249" t="s">
        <v>239</v>
      </c>
      <c r="Y249">
        <v>103</v>
      </c>
      <c r="AA249" t="s">
        <v>67</v>
      </c>
      <c r="AB249" t="s">
        <v>353</v>
      </c>
      <c r="AC249">
        <v>2100</v>
      </c>
      <c r="AD249" t="s">
        <v>217</v>
      </c>
      <c r="AE249">
        <v>1</v>
      </c>
      <c r="AF249">
        <v>1</v>
      </c>
    </row>
    <row r="250" spans="1:32" x14ac:dyDescent="0.3">
      <c r="A250" t="s">
        <v>348</v>
      </c>
      <c r="B250" t="s">
        <v>45</v>
      </c>
      <c r="C250" t="s">
        <v>68</v>
      </c>
      <c r="D250" t="s">
        <v>309</v>
      </c>
      <c r="E250" t="s">
        <v>1154</v>
      </c>
      <c r="F250" s="15">
        <v>46233.473078703704</v>
      </c>
      <c r="G250" t="s">
        <v>398</v>
      </c>
      <c r="H250">
        <v>3</v>
      </c>
      <c r="I250" t="s">
        <v>1155</v>
      </c>
      <c r="J250" s="15">
        <v>46233.640972222223</v>
      </c>
      <c r="K250" s="15">
        <v>46237.458333333336</v>
      </c>
      <c r="L250" s="15"/>
      <c r="M250">
        <v>3</v>
      </c>
      <c r="O250" t="s">
        <v>201</v>
      </c>
      <c r="P250" t="s">
        <v>1954</v>
      </c>
      <c r="S250" t="s">
        <v>353</v>
      </c>
      <c r="T250" t="s">
        <v>368</v>
      </c>
      <c r="U250" t="s">
        <v>239</v>
      </c>
      <c r="V250" t="s">
        <v>348</v>
      </c>
      <c r="W250" t="s">
        <v>369</v>
      </c>
      <c r="X250" t="s">
        <v>239</v>
      </c>
      <c r="Y250">
        <v>103</v>
      </c>
      <c r="AA250" t="s">
        <v>67</v>
      </c>
      <c r="AB250" t="s">
        <v>353</v>
      </c>
      <c r="AC250">
        <v>2100</v>
      </c>
      <c r="AD250" t="s">
        <v>217</v>
      </c>
      <c r="AE250">
        <v>1</v>
      </c>
      <c r="AF250">
        <v>1</v>
      </c>
    </row>
    <row r="251" spans="1:32" x14ac:dyDescent="0.3">
      <c r="A251" t="s">
        <v>348</v>
      </c>
      <c r="B251" t="s">
        <v>45</v>
      </c>
      <c r="C251" t="s">
        <v>68</v>
      </c>
      <c r="D251" t="s">
        <v>309</v>
      </c>
      <c r="E251" t="s">
        <v>1156</v>
      </c>
      <c r="F251" s="15">
        <v>46233.472222222219</v>
      </c>
      <c r="G251" t="s">
        <v>398</v>
      </c>
      <c r="H251">
        <v>2</v>
      </c>
      <c r="I251" t="s">
        <v>1155</v>
      </c>
      <c r="J251" s="15">
        <v>46233.640972222223</v>
      </c>
      <c r="K251" s="15">
        <v>46237.458333333336</v>
      </c>
      <c r="L251" s="15"/>
      <c r="M251">
        <v>2</v>
      </c>
      <c r="O251" t="s">
        <v>201</v>
      </c>
      <c r="P251" t="s">
        <v>1954</v>
      </c>
      <c r="S251" t="s">
        <v>353</v>
      </c>
      <c r="T251" t="s">
        <v>368</v>
      </c>
      <c r="U251" t="s">
        <v>239</v>
      </c>
      <c r="V251" t="s">
        <v>348</v>
      </c>
      <c r="W251" t="s">
        <v>369</v>
      </c>
      <c r="X251" t="s">
        <v>239</v>
      </c>
      <c r="AA251" t="s">
        <v>67</v>
      </c>
      <c r="AB251" t="s">
        <v>353</v>
      </c>
      <c r="AC251">
        <v>2100</v>
      </c>
      <c r="AD251" t="s">
        <v>217</v>
      </c>
      <c r="AE251">
        <v>1</v>
      </c>
    </row>
    <row r="252" spans="1:32" x14ac:dyDescent="0.3">
      <c r="A252" t="s">
        <v>348</v>
      </c>
      <c r="B252" t="s">
        <v>45</v>
      </c>
      <c r="C252" t="s">
        <v>68</v>
      </c>
      <c r="D252" t="s">
        <v>309</v>
      </c>
      <c r="E252" t="s">
        <v>1157</v>
      </c>
      <c r="F252" s="15">
        <v>46233.471770833334</v>
      </c>
      <c r="G252" t="s">
        <v>398</v>
      </c>
      <c r="H252">
        <v>3</v>
      </c>
      <c r="I252" t="s">
        <v>1155</v>
      </c>
      <c r="J252" s="15">
        <v>46233.640972222223</v>
      </c>
      <c r="K252" s="15">
        <v>46237.458333333336</v>
      </c>
      <c r="L252" s="15"/>
      <c r="M252">
        <v>3</v>
      </c>
      <c r="O252" t="s">
        <v>201</v>
      </c>
      <c r="P252" t="s">
        <v>1954</v>
      </c>
      <c r="S252" t="s">
        <v>353</v>
      </c>
      <c r="T252" t="s">
        <v>368</v>
      </c>
      <c r="U252" t="s">
        <v>239</v>
      </c>
      <c r="V252" t="s">
        <v>348</v>
      </c>
      <c r="W252" t="s">
        <v>369</v>
      </c>
      <c r="X252" t="s">
        <v>239</v>
      </c>
      <c r="AA252" t="s">
        <v>67</v>
      </c>
      <c r="AB252" t="s">
        <v>353</v>
      </c>
      <c r="AC252">
        <v>2100</v>
      </c>
      <c r="AD252" t="s">
        <v>217</v>
      </c>
      <c r="AE252">
        <v>1</v>
      </c>
    </row>
    <row r="253" spans="1:32" x14ac:dyDescent="0.3">
      <c r="A253" t="s">
        <v>348</v>
      </c>
      <c r="B253" t="s">
        <v>279</v>
      </c>
      <c r="C253" t="s">
        <v>197</v>
      </c>
      <c r="D253" t="s">
        <v>309</v>
      </c>
      <c r="E253" t="s">
        <v>1158</v>
      </c>
      <c r="F253" s="15">
        <v>46239.427071759259</v>
      </c>
      <c r="G253" t="s">
        <v>402</v>
      </c>
      <c r="H253">
        <v>1</v>
      </c>
      <c r="I253" t="s">
        <v>1159</v>
      </c>
      <c r="J253" s="15">
        <v>46240.368750000001</v>
      </c>
      <c r="K253" s="15">
        <v>46246.47152777778</v>
      </c>
      <c r="L253" s="15"/>
      <c r="M253">
        <v>1</v>
      </c>
      <c r="O253" t="s">
        <v>201</v>
      </c>
      <c r="P253" t="s">
        <v>1956</v>
      </c>
      <c r="S253" t="s">
        <v>353</v>
      </c>
      <c r="T253" t="s">
        <v>368</v>
      </c>
      <c r="U253" t="s">
        <v>239</v>
      </c>
      <c r="V253" t="s">
        <v>7</v>
      </c>
      <c r="W253" t="s">
        <v>7</v>
      </c>
      <c r="X253" t="s">
        <v>7</v>
      </c>
      <c r="Z253">
        <v>16</v>
      </c>
      <c r="AA253" t="s">
        <v>122</v>
      </c>
      <c r="AB253" t="s">
        <v>353</v>
      </c>
      <c r="AC253">
        <v>2100</v>
      </c>
      <c r="AD253" t="s">
        <v>232</v>
      </c>
      <c r="AE253">
        <v>16</v>
      </c>
      <c r="AF253">
        <v>60.8</v>
      </c>
    </row>
    <row r="254" spans="1:32" x14ac:dyDescent="0.3">
      <c r="A254" t="s">
        <v>348</v>
      </c>
      <c r="B254" t="s">
        <v>279</v>
      </c>
      <c r="C254" t="s">
        <v>197</v>
      </c>
      <c r="D254" t="s">
        <v>309</v>
      </c>
      <c r="E254" t="s">
        <v>1158</v>
      </c>
      <c r="F254" s="15">
        <v>46239.427071759259</v>
      </c>
      <c r="G254" t="s">
        <v>402</v>
      </c>
      <c r="H254">
        <v>9</v>
      </c>
      <c r="I254" t="s">
        <v>1159</v>
      </c>
      <c r="J254" s="15">
        <v>46240.368750000001</v>
      </c>
      <c r="K254" s="15">
        <v>46246.47152777778</v>
      </c>
      <c r="L254" s="15"/>
      <c r="M254">
        <v>9</v>
      </c>
      <c r="O254" t="s">
        <v>1958</v>
      </c>
      <c r="S254" t="s">
        <v>353</v>
      </c>
      <c r="T254" t="s">
        <v>368</v>
      </c>
      <c r="U254" t="s">
        <v>239</v>
      </c>
      <c r="V254" t="s">
        <v>7</v>
      </c>
      <c r="W254" t="s">
        <v>7</v>
      </c>
      <c r="X254" t="s">
        <v>7</v>
      </c>
      <c r="Z254">
        <v>16</v>
      </c>
      <c r="AA254" t="s">
        <v>122</v>
      </c>
      <c r="AB254" t="s">
        <v>353</v>
      </c>
      <c r="AC254">
        <v>2100</v>
      </c>
      <c r="AD254" t="s">
        <v>232</v>
      </c>
      <c r="AE254">
        <v>144</v>
      </c>
    </row>
    <row r="255" spans="1:32" x14ac:dyDescent="0.3">
      <c r="A255" t="s">
        <v>348</v>
      </c>
      <c r="B255" t="s">
        <v>279</v>
      </c>
      <c r="C255" t="s">
        <v>197</v>
      </c>
      <c r="D255" t="s">
        <v>309</v>
      </c>
      <c r="E255" t="s">
        <v>1158</v>
      </c>
      <c r="F255" s="15">
        <v>46239.427071759259</v>
      </c>
      <c r="G255" t="s">
        <v>402</v>
      </c>
      <c r="H255">
        <v>25</v>
      </c>
      <c r="I255" t="s">
        <v>1159</v>
      </c>
      <c r="J255" s="15">
        <v>46240.368750000001</v>
      </c>
      <c r="K255" s="15">
        <v>46246.47152777778</v>
      </c>
      <c r="L255" s="15"/>
      <c r="M255">
        <v>25</v>
      </c>
      <c r="O255" t="s">
        <v>1958</v>
      </c>
      <c r="S255" t="s">
        <v>353</v>
      </c>
      <c r="T255" t="s">
        <v>368</v>
      </c>
      <c r="U255" t="s">
        <v>239</v>
      </c>
      <c r="V255" t="s">
        <v>7</v>
      </c>
      <c r="W255" t="s">
        <v>7</v>
      </c>
      <c r="X255" t="s">
        <v>7</v>
      </c>
      <c r="Z255">
        <v>16</v>
      </c>
      <c r="AA255" t="s">
        <v>122</v>
      </c>
      <c r="AB255" t="s">
        <v>353</v>
      </c>
      <c r="AC255">
        <v>2100</v>
      </c>
      <c r="AD255" t="s">
        <v>232</v>
      </c>
      <c r="AE255">
        <v>400</v>
      </c>
    </row>
    <row r="256" spans="1:32" x14ac:dyDescent="0.3">
      <c r="A256" t="s">
        <v>348</v>
      </c>
      <c r="B256" t="s">
        <v>279</v>
      </c>
      <c r="C256" t="s">
        <v>197</v>
      </c>
      <c r="D256" t="s">
        <v>309</v>
      </c>
      <c r="E256" t="s">
        <v>1158</v>
      </c>
      <c r="F256" s="15">
        <v>46239.427071759259</v>
      </c>
      <c r="G256" t="s">
        <v>402</v>
      </c>
      <c r="H256">
        <v>1</v>
      </c>
      <c r="I256" t="s">
        <v>1159</v>
      </c>
      <c r="J256" s="15">
        <v>46240.368750000001</v>
      </c>
      <c r="K256" s="15">
        <v>46246.47152777778</v>
      </c>
      <c r="L256" s="15"/>
      <c r="M256">
        <v>1</v>
      </c>
      <c r="O256" t="s">
        <v>1958</v>
      </c>
      <c r="S256" t="s">
        <v>353</v>
      </c>
      <c r="T256" t="s">
        <v>368</v>
      </c>
      <c r="U256" t="s">
        <v>239</v>
      </c>
      <c r="V256" t="s">
        <v>7</v>
      </c>
      <c r="W256" t="s">
        <v>7</v>
      </c>
      <c r="X256" t="s">
        <v>7</v>
      </c>
      <c r="Z256">
        <v>16</v>
      </c>
      <c r="AA256" t="s">
        <v>122</v>
      </c>
      <c r="AB256" t="s">
        <v>353</v>
      </c>
      <c r="AC256">
        <v>2100</v>
      </c>
      <c r="AD256" t="s">
        <v>232</v>
      </c>
      <c r="AE256">
        <v>16</v>
      </c>
    </row>
    <row r="257" spans="1:32" x14ac:dyDescent="0.3">
      <c r="A257" t="s">
        <v>348</v>
      </c>
      <c r="B257" t="s">
        <v>279</v>
      </c>
      <c r="C257" t="s">
        <v>197</v>
      </c>
      <c r="D257" t="s">
        <v>309</v>
      </c>
      <c r="E257" t="s">
        <v>1158</v>
      </c>
      <c r="F257" s="15">
        <v>46239.427071759259</v>
      </c>
      <c r="G257" t="s">
        <v>402</v>
      </c>
      <c r="H257">
        <v>2</v>
      </c>
      <c r="I257" t="s">
        <v>1159</v>
      </c>
      <c r="J257" s="15">
        <v>46240.368750000001</v>
      </c>
      <c r="K257" s="15">
        <v>46246.47152777778</v>
      </c>
      <c r="L257" s="15"/>
      <c r="M257">
        <v>2</v>
      </c>
      <c r="O257" t="s">
        <v>1958</v>
      </c>
      <c r="S257" t="s">
        <v>353</v>
      </c>
      <c r="T257" t="s">
        <v>368</v>
      </c>
      <c r="U257" t="s">
        <v>239</v>
      </c>
      <c r="V257" t="s">
        <v>7</v>
      </c>
      <c r="W257" t="s">
        <v>7</v>
      </c>
      <c r="X257" t="s">
        <v>7</v>
      </c>
      <c r="Z257">
        <v>16</v>
      </c>
      <c r="AA257" t="s">
        <v>122</v>
      </c>
      <c r="AB257" t="s">
        <v>353</v>
      </c>
      <c r="AC257">
        <v>2100</v>
      </c>
      <c r="AD257" t="s">
        <v>232</v>
      </c>
      <c r="AE257">
        <v>32</v>
      </c>
    </row>
    <row r="258" spans="1:32" x14ac:dyDescent="0.3">
      <c r="A258" t="s">
        <v>348</v>
      </c>
      <c r="B258" t="s">
        <v>63</v>
      </c>
      <c r="C258" t="s">
        <v>95</v>
      </c>
      <c r="D258" t="s">
        <v>309</v>
      </c>
      <c r="E258" t="s">
        <v>1158</v>
      </c>
      <c r="F258" s="15">
        <v>46239.427071759259</v>
      </c>
      <c r="G258" t="s">
        <v>402</v>
      </c>
      <c r="H258">
        <v>9</v>
      </c>
      <c r="I258" t="s">
        <v>1159</v>
      </c>
      <c r="J258" s="15">
        <v>46240.368750000001</v>
      </c>
      <c r="K258" s="15">
        <v>46246.47152777778</v>
      </c>
      <c r="L258" s="15"/>
      <c r="M258">
        <v>9</v>
      </c>
      <c r="O258" t="s">
        <v>201</v>
      </c>
      <c r="P258" t="s">
        <v>1954</v>
      </c>
      <c r="S258" t="s">
        <v>353</v>
      </c>
      <c r="T258" t="s">
        <v>368</v>
      </c>
      <c r="U258" t="s">
        <v>239</v>
      </c>
      <c r="V258" t="s">
        <v>7</v>
      </c>
      <c r="W258" t="s">
        <v>7</v>
      </c>
      <c r="X258" t="s">
        <v>7</v>
      </c>
      <c r="AA258" t="s">
        <v>96</v>
      </c>
      <c r="AB258" t="s">
        <v>353</v>
      </c>
      <c r="AC258">
        <v>2100</v>
      </c>
      <c r="AD258" t="s">
        <v>225</v>
      </c>
      <c r="AE258">
        <v>9</v>
      </c>
      <c r="AF258">
        <v>3.8</v>
      </c>
    </row>
    <row r="259" spans="1:32" x14ac:dyDescent="0.3">
      <c r="A259" t="s">
        <v>348</v>
      </c>
      <c r="B259" t="s">
        <v>63</v>
      </c>
      <c r="C259" t="s">
        <v>95</v>
      </c>
      <c r="D259" t="s">
        <v>309</v>
      </c>
      <c r="E259" t="s">
        <v>1158</v>
      </c>
      <c r="F259" s="15">
        <v>46239.427071759259</v>
      </c>
      <c r="G259" t="s">
        <v>402</v>
      </c>
      <c r="H259">
        <v>25</v>
      </c>
      <c r="I259" t="s">
        <v>1159</v>
      </c>
      <c r="J259" s="15">
        <v>46240.368750000001</v>
      </c>
      <c r="K259" s="15">
        <v>46246.47152777778</v>
      </c>
      <c r="L259" s="15"/>
      <c r="M259">
        <v>25</v>
      </c>
      <c r="O259" t="s">
        <v>1958</v>
      </c>
      <c r="S259" t="s">
        <v>353</v>
      </c>
      <c r="T259" t="s">
        <v>368</v>
      </c>
      <c r="U259" t="s">
        <v>239</v>
      </c>
      <c r="V259" t="s">
        <v>7</v>
      </c>
      <c r="W259" t="s">
        <v>7</v>
      </c>
      <c r="X259" t="s">
        <v>7</v>
      </c>
      <c r="AA259" t="s">
        <v>96</v>
      </c>
      <c r="AB259" t="s">
        <v>353</v>
      </c>
      <c r="AC259">
        <v>2100</v>
      </c>
      <c r="AD259" t="s">
        <v>225</v>
      </c>
      <c r="AE259">
        <v>25</v>
      </c>
    </row>
    <row r="260" spans="1:32" x14ac:dyDescent="0.3">
      <c r="A260" t="s">
        <v>348</v>
      </c>
      <c r="B260" t="s">
        <v>63</v>
      </c>
      <c r="C260" t="s">
        <v>95</v>
      </c>
      <c r="D260" t="s">
        <v>309</v>
      </c>
      <c r="E260" t="s">
        <v>1158</v>
      </c>
      <c r="F260" s="15">
        <v>46239.427071759259</v>
      </c>
      <c r="G260" t="s">
        <v>402</v>
      </c>
      <c r="H260">
        <v>1</v>
      </c>
      <c r="I260" t="s">
        <v>1159</v>
      </c>
      <c r="J260" s="15">
        <v>46240.368750000001</v>
      </c>
      <c r="K260" s="15">
        <v>46246.47152777778</v>
      </c>
      <c r="L260" s="15"/>
      <c r="M260">
        <v>1</v>
      </c>
      <c r="O260" t="s">
        <v>1958</v>
      </c>
      <c r="S260" t="s">
        <v>353</v>
      </c>
      <c r="T260" t="s">
        <v>368</v>
      </c>
      <c r="U260" t="s">
        <v>239</v>
      </c>
      <c r="V260" t="s">
        <v>7</v>
      </c>
      <c r="W260" t="s">
        <v>7</v>
      </c>
      <c r="X260" t="s">
        <v>7</v>
      </c>
      <c r="AA260" t="s">
        <v>96</v>
      </c>
      <c r="AB260" t="s">
        <v>353</v>
      </c>
      <c r="AC260">
        <v>2100</v>
      </c>
      <c r="AD260" t="s">
        <v>225</v>
      </c>
      <c r="AE260">
        <v>1</v>
      </c>
    </row>
    <row r="261" spans="1:32" x14ac:dyDescent="0.3">
      <c r="A261" t="s">
        <v>348</v>
      </c>
      <c r="B261" t="s">
        <v>63</v>
      </c>
      <c r="C261" t="s">
        <v>95</v>
      </c>
      <c r="D261" t="s">
        <v>309</v>
      </c>
      <c r="E261" t="s">
        <v>1158</v>
      </c>
      <c r="F261" s="15">
        <v>46239.427071759259</v>
      </c>
      <c r="G261" t="s">
        <v>402</v>
      </c>
      <c r="H261">
        <v>2</v>
      </c>
      <c r="I261" t="s">
        <v>1159</v>
      </c>
      <c r="J261" s="15">
        <v>46240.368750000001</v>
      </c>
      <c r="K261" s="15">
        <v>46246.47152777778</v>
      </c>
      <c r="L261" s="15"/>
      <c r="M261">
        <v>2</v>
      </c>
      <c r="O261" t="s">
        <v>1958</v>
      </c>
      <c r="S261" t="s">
        <v>353</v>
      </c>
      <c r="T261" t="s">
        <v>368</v>
      </c>
      <c r="U261" t="s">
        <v>239</v>
      </c>
      <c r="V261" t="s">
        <v>7</v>
      </c>
      <c r="W261" t="s">
        <v>7</v>
      </c>
      <c r="X261" t="s">
        <v>7</v>
      </c>
      <c r="AA261" t="s">
        <v>96</v>
      </c>
      <c r="AB261" t="s">
        <v>353</v>
      </c>
      <c r="AC261">
        <v>2100</v>
      </c>
      <c r="AD261" t="s">
        <v>225</v>
      </c>
      <c r="AE261">
        <v>2</v>
      </c>
    </row>
    <row r="262" spans="1:32" x14ac:dyDescent="0.3">
      <c r="A262" t="s">
        <v>348</v>
      </c>
      <c r="B262" t="s">
        <v>63</v>
      </c>
      <c r="C262" t="s">
        <v>95</v>
      </c>
      <c r="D262" t="s">
        <v>309</v>
      </c>
      <c r="E262" t="s">
        <v>1158</v>
      </c>
      <c r="F262" s="15">
        <v>46239.427071759259</v>
      </c>
      <c r="G262" t="s">
        <v>402</v>
      </c>
      <c r="H262">
        <v>1</v>
      </c>
      <c r="I262" t="s">
        <v>1159</v>
      </c>
      <c r="J262" s="15">
        <v>46240.368750000001</v>
      </c>
      <c r="K262" s="15">
        <v>46246.47152777778</v>
      </c>
      <c r="L262" s="15"/>
      <c r="M262">
        <v>1</v>
      </c>
      <c r="O262" t="s">
        <v>1958</v>
      </c>
      <c r="S262" t="s">
        <v>353</v>
      </c>
      <c r="T262" t="s">
        <v>368</v>
      </c>
      <c r="U262" t="s">
        <v>239</v>
      </c>
      <c r="V262" t="s">
        <v>7</v>
      </c>
      <c r="W262" t="s">
        <v>7</v>
      </c>
      <c r="X262" t="s">
        <v>7</v>
      </c>
      <c r="AA262" t="s">
        <v>96</v>
      </c>
      <c r="AB262" t="s">
        <v>353</v>
      </c>
      <c r="AC262">
        <v>2100</v>
      </c>
      <c r="AD262" t="s">
        <v>225</v>
      </c>
      <c r="AE262">
        <v>1</v>
      </c>
    </row>
    <row r="263" spans="1:32" x14ac:dyDescent="0.3">
      <c r="A263" t="s">
        <v>348</v>
      </c>
      <c r="B263" t="s">
        <v>57</v>
      </c>
      <c r="C263" t="s">
        <v>117</v>
      </c>
      <c r="D263" t="s">
        <v>309</v>
      </c>
      <c r="E263" t="s">
        <v>1158</v>
      </c>
      <c r="F263" s="15">
        <v>46239.427071759259</v>
      </c>
      <c r="G263" t="s">
        <v>402</v>
      </c>
      <c r="H263">
        <v>9</v>
      </c>
      <c r="I263" t="s">
        <v>1159</v>
      </c>
      <c r="J263" s="15">
        <v>46240.368750000001</v>
      </c>
      <c r="K263" s="15">
        <v>46246.47152777778</v>
      </c>
      <c r="L263" s="15"/>
      <c r="M263">
        <v>9</v>
      </c>
      <c r="O263" t="s">
        <v>201</v>
      </c>
      <c r="P263" t="s">
        <v>1954</v>
      </c>
      <c r="S263" t="s">
        <v>353</v>
      </c>
      <c r="T263" t="s">
        <v>368</v>
      </c>
      <c r="U263" t="s">
        <v>239</v>
      </c>
      <c r="V263" t="s">
        <v>7</v>
      </c>
      <c r="W263" t="s">
        <v>7</v>
      </c>
      <c r="X263" t="s">
        <v>7</v>
      </c>
      <c r="AA263" t="s">
        <v>127</v>
      </c>
      <c r="AB263" t="s">
        <v>353</v>
      </c>
      <c r="AC263">
        <v>2100</v>
      </c>
      <c r="AD263" t="s">
        <v>233</v>
      </c>
      <c r="AE263">
        <v>1</v>
      </c>
      <c r="AF263">
        <v>1</v>
      </c>
    </row>
    <row r="264" spans="1:32" x14ac:dyDescent="0.3">
      <c r="A264" t="s">
        <v>348</v>
      </c>
      <c r="B264" t="s">
        <v>57</v>
      </c>
      <c r="C264" t="s">
        <v>117</v>
      </c>
      <c r="D264" t="s">
        <v>309</v>
      </c>
      <c r="E264" t="s">
        <v>1158</v>
      </c>
      <c r="F264" s="15">
        <v>46239.427071759259</v>
      </c>
      <c r="G264" t="s">
        <v>402</v>
      </c>
      <c r="H264">
        <v>25</v>
      </c>
      <c r="I264" t="s">
        <v>1159</v>
      </c>
      <c r="J264" s="15">
        <v>46240.368750000001</v>
      </c>
      <c r="K264" s="15">
        <v>46246.47152777778</v>
      </c>
      <c r="L264" s="15"/>
      <c r="M264">
        <v>25</v>
      </c>
      <c r="O264" t="s">
        <v>1958</v>
      </c>
      <c r="S264" t="s">
        <v>353</v>
      </c>
      <c r="T264" t="s">
        <v>368</v>
      </c>
      <c r="U264" t="s">
        <v>239</v>
      </c>
      <c r="V264" t="s">
        <v>7</v>
      </c>
      <c r="W264" t="s">
        <v>7</v>
      </c>
      <c r="X264" t="s">
        <v>7</v>
      </c>
      <c r="AA264" t="s">
        <v>127</v>
      </c>
      <c r="AB264" t="s">
        <v>353</v>
      </c>
      <c r="AC264">
        <v>2100</v>
      </c>
      <c r="AD264" t="s">
        <v>233</v>
      </c>
      <c r="AE264">
        <v>2.5</v>
      </c>
    </row>
    <row r="265" spans="1:32" x14ac:dyDescent="0.3">
      <c r="A265" t="s">
        <v>348</v>
      </c>
      <c r="B265" t="s">
        <v>57</v>
      </c>
      <c r="C265" t="s">
        <v>117</v>
      </c>
      <c r="D265" t="s">
        <v>309</v>
      </c>
      <c r="E265" t="s">
        <v>1158</v>
      </c>
      <c r="F265" s="15">
        <v>46239.427071759259</v>
      </c>
      <c r="G265" t="s">
        <v>402</v>
      </c>
      <c r="H265">
        <v>1</v>
      </c>
      <c r="I265" t="s">
        <v>1159</v>
      </c>
      <c r="J265" s="15">
        <v>46240.368750000001</v>
      </c>
      <c r="K265" s="15">
        <v>46246.47152777778</v>
      </c>
      <c r="L265" s="15"/>
      <c r="M265">
        <v>1</v>
      </c>
      <c r="O265" t="s">
        <v>1958</v>
      </c>
      <c r="S265" t="s">
        <v>353</v>
      </c>
      <c r="T265" t="s">
        <v>368</v>
      </c>
      <c r="U265" t="s">
        <v>239</v>
      </c>
      <c r="V265" t="s">
        <v>7</v>
      </c>
      <c r="W265" t="s">
        <v>7</v>
      </c>
      <c r="X265" t="s">
        <v>7</v>
      </c>
      <c r="AA265" t="s">
        <v>127</v>
      </c>
      <c r="AB265" t="s">
        <v>353</v>
      </c>
      <c r="AC265">
        <v>2100</v>
      </c>
      <c r="AD265" t="s">
        <v>233</v>
      </c>
      <c r="AE265">
        <v>1</v>
      </c>
    </row>
    <row r="266" spans="1:32" x14ac:dyDescent="0.3">
      <c r="A266" t="s">
        <v>348</v>
      </c>
      <c r="B266" t="s">
        <v>57</v>
      </c>
      <c r="C266" t="s">
        <v>117</v>
      </c>
      <c r="D266" t="s">
        <v>309</v>
      </c>
      <c r="E266" t="s">
        <v>1158</v>
      </c>
      <c r="F266" s="15">
        <v>46239.427071759259</v>
      </c>
      <c r="G266" t="s">
        <v>402</v>
      </c>
      <c r="H266">
        <v>1</v>
      </c>
      <c r="I266" t="s">
        <v>1159</v>
      </c>
      <c r="J266" s="15">
        <v>46240.368750000001</v>
      </c>
      <c r="K266" s="15">
        <v>46246.47152777778</v>
      </c>
      <c r="L266" s="15"/>
      <c r="M266">
        <v>1</v>
      </c>
      <c r="O266" t="s">
        <v>1958</v>
      </c>
      <c r="S266" t="s">
        <v>353</v>
      </c>
      <c r="T266" t="s">
        <v>368</v>
      </c>
      <c r="U266" t="s">
        <v>239</v>
      </c>
      <c r="V266" t="s">
        <v>7</v>
      </c>
      <c r="W266" t="s">
        <v>7</v>
      </c>
      <c r="X266" t="s">
        <v>7</v>
      </c>
      <c r="AA266" t="s">
        <v>127</v>
      </c>
      <c r="AB266" t="s">
        <v>353</v>
      </c>
      <c r="AC266">
        <v>2100</v>
      </c>
      <c r="AD266" t="s">
        <v>233</v>
      </c>
      <c r="AE266">
        <v>1</v>
      </c>
    </row>
    <row r="267" spans="1:32" x14ac:dyDescent="0.3">
      <c r="A267" t="s">
        <v>348</v>
      </c>
      <c r="B267" t="s">
        <v>57</v>
      </c>
      <c r="C267" t="s">
        <v>117</v>
      </c>
      <c r="D267" t="s">
        <v>309</v>
      </c>
      <c r="E267" t="s">
        <v>1158</v>
      </c>
      <c r="F267" s="15">
        <v>46239.427071759259</v>
      </c>
      <c r="G267" t="s">
        <v>402</v>
      </c>
      <c r="H267">
        <v>2</v>
      </c>
      <c r="I267" t="s">
        <v>1159</v>
      </c>
      <c r="J267" s="15">
        <v>46240.368750000001</v>
      </c>
      <c r="K267" s="15">
        <v>46246.47152777778</v>
      </c>
      <c r="L267" s="15"/>
      <c r="M267">
        <v>2</v>
      </c>
      <c r="O267" t="s">
        <v>1958</v>
      </c>
      <c r="S267" t="s">
        <v>353</v>
      </c>
      <c r="T267" t="s">
        <v>368</v>
      </c>
      <c r="U267" t="s">
        <v>239</v>
      </c>
      <c r="V267" t="s">
        <v>7</v>
      </c>
      <c r="W267" t="s">
        <v>7</v>
      </c>
      <c r="X267" t="s">
        <v>7</v>
      </c>
      <c r="AA267" t="s">
        <v>127</v>
      </c>
      <c r="AB267" t="s">
        <v>353</v>
      </c>
      <c r="AC267">
        <v>2100</v>
      </c>
      <c r="AD267" t="s">
        <v>233</v>
      </c>
      <c r="AE267">
        <v>1</v>
      </c>
    </row>
    <row r="268" spans="1:32" x14ac:dyDescent="0.3">
      <c r="A268" t="s">
        <v>348</v>
      </c>
      <c r="B268" t="s">
        <v>45</v>
      </c>
      <c r="C268" t="s">
        <v>68</v>
      </c>
      <c r="D268" t="s">
        <v>309</v>
      </c>
      <c r="E268" t="s">
        <v>1160</v>
      </c>
      <c r="F268" s="15">
        <v>46244.473298611112</v>
      </c>
      <c r="G268" t="s">
        <v>398</v>
      </c>
      <c r="H268">
        <v>2</v>
      </c>
      <c r="I268" t="s">
        <v>1161</v>
      </c>
      <c r="J268" s="15">
        <v>46245.607638888891</v>
      </c>
      <c r="K268" s="15">
        <v>46246.458333333336</v>
      </c>
      <c r="L268" s="15"/>
      <c r="M268">
        <v>2</v>
      </c>
      <c r="O268" t="s">
        <v>201</v>
      </c>
      <c r="P268" t="s">
        <v>1954</v>
      </c>
      <c r="S268" t="s">
        <v>353</v>
      </c>
      <c r="T268" t="s">
        <v>368</v>
      </c>
      <c r="U268" t="s">
        <v>239</v>
      </c>
      <c r="V268" t="s">
        <v>348</v>
      </c>
      <c r="W268" t="s">
        <v>369</v>
      </c>
      <c r="X268" t="s">
        <v>239</v>
      </c>
      <c r="Y268">
        <v>103</v>
      </c>
      <c r="AA268" t="s">
        <v>67</v>
      </c>
      <c r="AB268" t="s">
        <v>353</v>
      </c>
      <c r="AC268">
        <v>2100</v>
      </c>
      <c r="AD268" t="s">
        <v>217</v>
      </c>
      <c r="AE268">
        <v>1</v>
      </c>
      <c r="AF268">
        <v>1</v>
      </c>
    </row>
    <row r="269" spans="1:32" x14ac:dyDescent="0.3">
      <c r="A269" t="s">
        <v>348</v>
      </c>
      <c r="B269" t="s">
        <v>45</v>
      </c>
      <c r="C269" t="s">
        <v>68</v>
      </c>
      <c r="D269" t="s">
        <v>309</v>
      </c>
      <c r="E269" t="s">
        <v>1162</v>
      </c>
      <c r="F269" s="15">
        <v>46246.66033564815</v>
      </c>
      <c r="G269" t="s">
        <v>398</v>
      </c>
      <c r="H269">
        <v>3</v>
      </c>
      <c r="I269" t="s">
        <v>1163</v>
      </c>
      <c r="J269" s="15">
        <v>46246.69027777778</v>
      </c>
      <c r="K269" s="15">
        <v>46252.458333333336</v>
      </c>
      <c r="L269" s="15"/>
      <c r="M269">
        <v>3</v>
      </c>
      <c r="O269" t="s">
        <v>201</v>
      </c>
      <c r="P269" t="s">
        <v>1956</v>
      </c>
      <c r="S269" t="s">
        <v>353</v>
      </c>
      <c r="T269" t="s">
        <v>368</v>
      </c>
      <c r="U269" t="s">
        <v>239</v>
      </c>
      <c r="V269" t="s">
        <v>348</v>
      </c>
      <c r="W269" t="s">
        <v>369</v>
      </c>
      <c r="X269" t="s">
        <v>239</v>
      </c>
      <c r="Y269">
        <v>103</v>
      </c>
      <c r="AA269" t="s">
        <v>67</v>
      </c>
      <c r="AB269" t="s">
        <v>353</v>
      </c>
      <c r="AC269">
        <v>2100</v>
      </c>
      <c r="AD269" t="s">
        <v>217</v>
      </c>
      <c r="AE269">
        <v>1</v>
      </c>
      <c r="AF269">
        <v>1</v>
      </c>
    </row>
    <row r="270" spans="1:32" x14ac:dyDescent="0.3">
      <c r="A270" t="s">
        <v>348</v>
      </c>
      <c r="B270" t="s">
        <v>45</v>
      </c>
      <c r="C270" t="s">
        <v>68</v>
      </c>
      <c r="D270" t="s">
        <v>309</v>
      </c>
      <c r="E270" t="s">
        <v>1164</v>
      </c>
      <c r="F270" s="15">
        <v>46246.659872685188</v>
      </c>
      <c r="G270" t="s">
        <v>1165</v>
      </c>
      <c r="H270">
        <v>3</v>
      </c>
      <c r="I270" t="s">
        <v>1163</v>
      </c>
      <c r="J270" s="15">
        <v>46246.69027777778</v>
      </c>
      <c r="K270" s="15">
        <v>46252.458333333336</v>
      </c>
      <c r="L270" s="15"/>
      <c r="M270">
        <v>3</v>
      </c>
      <c r="O270" t="s">
        <v>201</v>
      </c>
      <c r="P270" t="s">
        <v>1956</v>
      </c>
      <c r="S270" t="s">
        <v>353</v>
      </c>
      <c r="T270" t="s">
        <v>368</v>
      </c>
      <c r="U270" t="s">
        <v>239</v>
      </c>
      <c r="V270" t="s">
        <v>348</v>
      </c>
      <c r="W270" t="s">
        <v>369</v>
      </c>
      <c r="X270" t="s">
        <v>239</v>
      </c>
      <c r="AA270" t="s">
        <v>67</v>
      </c>
      <c r="AB270" t="s">
        <v>353</v>
      </c>
      <c r="AC270">
        <v>2100</v>
      </c>
      <c r="AD270" t="s">
        <v>217</v>
      </c>
      <c r="AE270">
        <v>1</v>
      </c>
    </row>
    <row r="271" spans="1:32" x14ac:dyDescent="0.3">
      <c r="A271" t="s">
        <v>348</v>
      </c>
      <c r="B271" t="s">
        <v>45</v>
      </c>
      <c r="C271" t="s">
        <v>68</v>
      </c>
      <c r="D271" t="s">
        <v>309</v>
      </c>
      <c r="E271" t="s">
        <v>1166</v>
      </c>
      <c r="F271" s="15">
        <v>46245.574305555558</v>
      </c>
      <c r="G271" t="s">
        <v>398</v>
      </c>
      <c r="H271">
        <v>3</v>
      </c>
      <c r="I271" t="s">
        <v>1167</v>
      </c>
      <c r="J271" s="15">
        <v>46245.65902777778</v>
      </c>
      <c r="K271" s="15">
        <v>46246.458333333336</v>
      </c>
      <c r="L271" s="15"/>
      <c r="M271">
        <v>3</v>
      </c>
      <c r="O271" t="s">
        <v>201</v>
      </c>
      <c r="P271" t="s">
        <v>1954</v>
      </c>
      <c r="S271" t="s">
        <v>353</v>
      </c>
      <c r="T271" t="s">
        <v>368</v>
      </c>
      <c r="U271" t="s">
        <v>239</v>
      </c>
      <c r="V271" t="s">
        <v>348</v>
      </c>
      <c r="W271" t="s">
        <v>369</v>
      </c>
      <c r="X271" t="s">
        <v>239</v>
      </c>
      <c r="AA271" t="s">
        <v>67</v>
      </c>
      <c r="AB271" t="s">
        <v>353</v>
      </c>
      <c r="AC271">
        <v>2100</v>
      </c>
      <c r="AD271" t="s">
        <v>217</v>
      </c>
      <c r="AE271">
        <v>1</v>
      </c>
    </row>
    <row r="272" spans="1:32" x14ac:dyDescent="0.3">
      <c r="A272" t="s">
        <v>348</v>
      </c>
      <c r="B272" t="s">
        <v>45</v>
      </c>
      <c r="C272" t="s">
        <v>68</v>
      </c>
      <c r="D272" t="s">
        <v>309</v>
      </c>
      <c r="E272" t="s">
        <v>1168</v>
      </c>
      <c r="F272" s="15">
        <v>46244.657546296294</v>
      </c>
      <c r="G272" t="s">
        <v>398</v>
      </c>
      <c r="H272">
        <v>5</v>
      </c>
      <c r="I272" t="s">
        <v>1169</v>
      </c>
      <c r="J272" s="15">
        <v>46245.393750000003</v>
      </c>
      <c r="K272" s="15">
        <v>46246.458333333336</v>
      </c>
      <c r="L272" s="15"/>
      <c r="M272">
        <v>5</v>
      </c>
      <c r="O272" t="s">
        <v>201</v>
      </c>
      <c r="P272" t="s">
        <v>1954</v>
      </c>
      <c r="S272" t="s">
        <v>353</v>
      </c>
      <c r="T272" t="s">
        <v>368</v>
      </c>
      <c r="U272" t="s">
        <v>239</v>
      </c>
      <c r="V272" t="s">
        <v>348</v>
      </c>
      <c r="W272" t="s">
        <v>369</v>
      </c>
      <c r="X272" t="s">
        <v>239</v>
      </c>
      <c r="AA272" t="s">
        <v>67</v>
      </c>
      <c r="AB272" t="s">
        <v>353</v>
      </c>
      <c r="AC272">
        <v>2100</v>
      </c>
      <c r="AD272" t="s">
        <v>217</v>
      </c>
      <c r="AE272">
        <v>1</v>
      </c>
    </row>
    <row r="273" spans="1:32" x14ac:dyDescent="0.3">
      <c r="A273" t="s">
        <v>348</v>
      </c>
      <c r="B273" t="s">
        <v>45</v>
      </c>
      <c r="C273" t="s">
        <v>68</v>
      </c>
      <c r="D273" t="s">
        <v>309</v>
      </c>
      <c r="E273" t="s">
        <v>1170</v>
      </c>
      <c r="F273" s="15">
        <v>46244.47451388889</v>
      </c>
      <c r="G273" t="s">
        <v>398</v>
      </c>
      <c r="H273">
        <v>3</v>
      </c>
      <c r="I273" t="s">
        <v>1171</v>
      </c>
      <c r="J273" s="15">
        <v>46244.695833333331</v>
      </c>
      <c r="K273" s="15">
        <v>46246.458333333336</v>
      </c>
      <c r="L273" s="15"/>
      <c r="M273">
        <v>3</v>
      </c>
      <c r="O273" t="s">
        <v>201</v>
      </c>
      <c r="P273" t="s">
        <v>1954</v>
      </c>
      <c r="S273" t="s">
        <v>353</v>
      </c>
      <c r="T273" t="s">
        <v>368</v>
      </c>
      <c r="U273" t="s">
        <v>239</v>
      </c>
      <c r="V273" t="s">
        <v>348</v>
      </c>
      <c r="W273" t="s">
        <v>369</v>
      </c>
      <c r="X273" t="s">
        <v>239</v>
      </c>
      <c r="Y273">
        <v>103</v>
      </c>
      <c r="AA273" t="s">
        <v>67</v>
      </c>
      <c r="AB273" t="s">
        <v>353</v>
      </c>
      <c r="AC273">
        <v>2100</v>
      </c>
      <c r="AD273" t="s">
        <v>217</v>
      </c>
      <c r="AE273">
        <v>1</v>
      </c>
    </row>
    <row r="274" spans="1:32" x14ac:dyDescent="0.3">
      <c r="A274" t="s">
        <v>348</v>
      </c>
      <c r="B274" t="s">
        <v>45</v>
      </c>
      <c r="C274" t="s">
        <v>68</v>
      </c>
      <c r="D274" t="s">
        <v>309</v>
      </c>
      <c r="E274" t="s">
        <v>1172</v>
      </c>
      <c r="F274" s="15">
        <v>46246.658784722225</v>
      </c>
      <c r="G274" t="s">
        <v>398</v>
      </c>
      <c r="H274">
        <v>1</v>
      </c>
      <c r="I274" t="s">
        <v>1163</v>
      </c>
      <c r="J274" s="15">
        <v>46246.69027777778</v>
      </c>
      <c r="K274" s="15">
        <v>46252.458333333336</v>
      </c>
      <c r="L274" s="15"/>
      <c r="M274">
        <v>1</v>
      </c>
      <c r="O274" t="s">
        <v>201</v>
      </c>
      <c r="P274" t="s">
        <v>1956</v>
      </c>
      <c r="S274" t="s">
        <v>353</v>
      </c>
      <c r="T274" t="s">
        <v>368</v>
      </c>
      <c r="U274" t="s">
        <v>239</v>
      </c>
      <c r="V274" t="s">
        <v>348</v>
      </c>
      <c r="W274" t="s">
        <v>369</v>
      </c>
      <c r="X274" t="s">
        <v>239</v>
      </c>
      <c r="AA274" t="s">
        <v>67</v>
      </c>
      <c r="AB274" t="s">
        <v>353</v>
      </c>
      <c r="AC274">
        <v>2100</v>
      </c>
      <c r="AD274" t="s">
        <v>217</v>
      </c>
      <c r="AE274">
        <v>1</v>
      </c>
    </row>
    <row r="275" spans="1:32" x14ac:dyDescent="0.3">
      <c r="A275" t="s">
        <v>348</v>
      </c>
      <c r="B275" t="s">
        <v>45</v>
      </c>
      <c r="C275" t="s">
        <v>68</v>
      </c>
      <c r="D275" t="s">
        <v>309</v>
      </c>
      <c r="E275" t="s">
        <v>1173</v>
      </c>
      <c r="F275" s="15">
        <v>46244.477743055555</v>
      </c>
      <c r="G275" t="s">
        <v>398</v>
      </c>
      <c r="H275">
        <v>1</v>
      </c>
      <c r="I275" t="s">
        <v>1171</v>
      </c>
      <c r="J275" s="15">
        <v>46244.695833333331</v>
      </c>
      <c r="K275" s="15">
        <v>46246.458333333336</v>
      </c>
      <c r="L275" s="15"/>
      <c r="M275">
        <v>1</v>
      </c>
      <c r="O275" t="s">
        <v>201</v>
      </c>
      <c r="P275" t="s">
        <v>1954</v>
      </c>
      <c r="S275" t="s">
        <v>353</v>
      </c>
      <c r="T275" t="s">
        <v>368</v>
      </c>
      <c r="U275" t="s">
        <v>239</v>
      </c>
      <c r="V275" t="s">
        <v>348</v>
      </c>
      <c r="W275" t="s">
        <v>369</v>
      </c>
      <c r="X275" t="s">
        <v>239</v>
      </c>
      <c r="AA275" t="s">
        <v>67</v>
      </c>
      <c r="AB275" t="s">
        <v>353</v>
      </c>
      <c r="AC275">
        <v>2100</v>
      </c>
      <c r="AD275" t="s">
        <v>217</v>
      </c>
      <c r="AE275">
        <v>1</v>
      </c>
    </row>
    <row r="276" spans="1:32" x14ac:dyDescent="0.3">
      <c r="A276" t="s">
        <v>348</v>
      </c>
      <c r="B276" t="s">
        <v>45</v>
      </c>
      <c r="C276" t="s">
        <v>68</v>
      </c>
      <c r="D276" t="s">
        <v>309</v>
      </c>
      <c r="E276" t="s">
        <v>1174</v>
      </c>
      <c r="F276" s="15">
        <v>46244.473958333336</v>
      </c>
      <c r="G276" t="s">
        <v>398</v>
      </c>
      <c r="H276">
        <v>1</v>
      </c>
      <c r="I276" t="s">
        <v>1175</v>
      </c>
      <c r="J276" s="15">
        <v>46244.682638888888</v>
      </c>
      <c r="K276" s="15">
        <v>46246.458333333336</v>
      </c>
      <c r="L276" s="15"/>
      <c r="M276">
        <v>1</v>
      </c>
      <c r="O276" t="s">
        <v>201</v>
      </c>
      <c r="P276" t="s">
        <v>1954</v>
      </c>
      <c r="S276" t="s">
        <v>353</v>
      </c>
      <c r="T276" t="s">
        <v>368</v>
      </c>
      <c r="U276" t="s">
        <v>239</v>
      </c>
      <c r="V276" t="s">
        <v>348</v>
      </c>
      <c r="W276" t="s">
        <v>369</v>
      </c>
      <c r="X276" t="s">
        <v>239</v>
      </c>
      <c r="AA276" t="s">
        <v>67</v>
      </c>
      <c r="AB276" t="s">
        <v>353</v>
      </c>
      <c r="AC276">
        <v>2100</v>
      </c>
      <c r="AD276" t="s">
        <v>217</v>
      </c>
      <c r="AE276">
        <v>1</v>
      </c>
    </row>
    <row r="277" spans="1:32" x14ac:dyDescent="0.3">
      <c r="A277" t="s">
        <v>348</v>
      </c>
      <c r="B277" t="s">
        <v>45</v>
      </c>
      <c r="C277" t="s">
        <v>68</v>
      </c>
      <c r="D277" t="s">
        <v>309</v>
      </c>
      <c r="E277" t="s">
        <v>1176</v>
      </c>
      <c r="F277" s="15">
        <v>46244.476030092592</v>
      </c>
      <c r="G277" t="s">
        <v>398</v>
      </c>
      <c r="H277">
        <v>3</v>
      </c>
      <c r="I277" t="s">
        <v>1175</v>
      </c>
      <c r="J277" s="15">
        <v>46244.682638888888</v>
      </c>
      <c r="K277" s="15">
        <v>46246.458333333336</v>
      </c>
      <c r="L277" s="15"/>
      <c r="M277">
        <v>3</v>
      </c>
      <c r="O277" t="s">
        <v>201</v>
      </c>
      <c r="P277" t="s">
        <v>1954</v>
      </c>
      <c r="S277" t="s">
        <v>353</v>
      </c>
      <c r="T277" t="s">
        <v>368</v>
      </c>
      <c r="U277" t="s">
        <v>239</v>
      </c>
      <c r="V277" t="s">
        <v>348</v>
      </c>
      <c r="W277" t="s">
        <v>369</v>
      </c>
      <c r="X277" t="s">
        <v>239</v>
      </c>
      <c r="AA277" t="s">
        <v>67</v>
      </c>
      <c r="AB277" t="s">
        <v>353</v>
      </c>
      <c r="AC277">
        <v>2100</v>
      </c>
      <c r="AD277" t="s">
        <v>217</v>
      </c>
      <c r="AE277">
        <v>1</v>
      </c>
    </row>
    <row r="278" spans="1:32" x14ac:dyDescent="0.3">
      <c r="A278" t="s">
        <v>348</v>
      </c>
      <c r="B278" t="s">
        <v>45</v>
      </c>
      <c r="C278" t="s">
        <v>68</v>
      </c>
      <c r="D278" t="s">
        <v>309</v>
      </c>
      <c r="E278" t="s">
        <v>1177</v>
      </c>
      <c r="F278" s="15">
        <v>46237.458333333336</v>
      </c>
      <c r="G278" t="s">
        <v>398</v>
      </c>
      <c r="H278">
        <v>5</v>
      </c>
      <c r="I278" t="s">
        <v>1178</v>
      </c>
      <c r="J278" s="15">
        <v>46237.70208333333</v>
      </c>
      <c r="K278" s="15">
        <v>46239.5</v>
      </c>
      <c r="L278" s="15"/>
      <c r="M278">
        <v>5</v>
      </c>
      <c r="O278" t="s">
        <v>201</v>
      </c>
      <c r="P278" t="s">
        <v>1954</v>
      </c>
      <c r="S278" t="s">
        <v>353</v>
      </c>
      <c r="T278" t="s">
        <v>368</v>
      </c>
      <c r="U278" t="s">
        <v>239</v>
      </c>
      <c r="V278" t="s">
        <v>348</v>
      </c>
      <c r="W278" t="s">
        <v>369</v>
      </c>
      <c r="X278" t="s">
        <v>239</v>
      </c>
      <c r="Y278">
        <v>103</v>
      </c>
      <c r="AA278" t="s">
        <v>67</v>
      </c>
      <c r="AB278" t="s">
        <v>353</v>
      </c>
      <c r="AC278">
        <v>2100</v>
      </c>
      <c r="AD278" t="s">
        <v>217</v>
      </c>
      <c r="AE278">
        <v>1</v>
      </c>
    </row>
    <row r="279" spans="1:32" x14ac:dyDescent="0.3">
      <c r="A279" t="s">
        <v>348</v>
      </c>
      <c r="B279" t="s">
        <v>45</v>
      </c>
      <c r="C279" t="s">
        <v>68</v>
      </c>
      <c r="D279" t="s">
        <v>309</v>
      </c>
      <c r="E279" t="s">
        <v>1179</v>
      </c>
      <c r="F279" s="15">
        <v>46244.476921296293</v>
      </c>
      <c r="G279" t="s">
        <v>398</v>
      </c>
      <c r="H279">
        <v>3</v>
      </c>
      <c r="I279" t="s">
        <v>1175</v>
      </c>
      <c r="J279" s="15">
        <v>46244.682638888888</v>
      </c>
      <c r="K279" s="15">
        <v>46246.458333333336</v>
      </c>
      <c r="L279" s="15"/>
      <c r="M279">
        <v>3</v>
      </c>
      <c r="O279" t="s">
        <v>201</v>
      </c>
      <c r="P279" t="s">
        <v>1954</v>
      </c>
      <c r="S279" t="s">
        <v>353</v>
      </c>
      <c r="T279" t="s">
        <v>368</v>
      </c>
      <c r="U279" t="s">
        <v>239</v>
      </c>
      <c r="V279" t="s">
        <v>348</v>
      </c>
      <c r="W279" t="s">
        <v>369</v>
      </c>
      <c r="X279" t="s">
        <v>239</v>
      </c>
      <c r="AA279" t="s">
        <v>67</v>
      </c>
      <c r="AB279" t="s">
        <v>353</v>
      </c>
      <c r="AC279">
        <v>2100</v>
      </c>
      <c r="AD279" t="s">
        <v>217</v>
      </c>
      <c r="AE279">
        <v>1</v>
      </c>
    </row>
    <row r="280" spans="1:32" x14ac:dyDescent="0.3">
      <c r="A280" t="s">
        <v>348</v>
      </c>
      <c r="B280" t="s">
        <v>45</v>
      </c>
      <c r="C280" t="s">
        <v>68</v>
      </c>
      <c r="D280" t="s">
        <v>309</v>
      </c>
      <c r="E280" t="s">
        <v>1180</v>
      </c>
      <c r="F280" s="15">
        <v>46246.659317129626</v>
      </c>
      <c r="G280" t="s">
        <v>398</v>
      </c>
      <c r="H280">
        <v>3</v>
      </c>
      <c r="I280" t="s">
        <v>1163</v>
      </c>
      <c r="J280" s="15">
        <v>46246.69027777778</v>
      </c>
      <c r="K280" s="15">
        <v>46252.458333333336</v>
      </c>
      <c r="L280" s="15"/>
      <c r="M280">
        <v>3</v>
      </c>
      <c r="O280" t="s">
        <v>201</v>
      </c>
      <c r="P280" t="s">
        <v>1956</v>
      </c>
      <c r="S280" t="s">
        <v>353</v>
      </c>
      <c r="T280" t="s">
        <v>368</v>
      </c>
      <c r="U280" t="s">
        <v>239</v>
      </c>
      <c r="V280" t="s">
        <v>348</v>
      </c>
      <c r="W280" t="s">
        <v>369</v>
      </c>
      <c r="X280" t="s">
        <v>239</v>
      </c>
      <c r="AA280" t="s">
        <v>67</v>
      </c>
      <c r="AB280" t="s">
        <v>353</v>
      </c>
      <c r="AC280">
        <v>2100</v>
      </c>
      <c r="AD280" t="s">
        <v>217</v>
      </c>
      <c r="AE280">
        <v>1</v>
      </c>
    </row>
    <row r="281" spans="1:32" x14ac:dyDescent="0.3">
      <c r="A281" t="s">
        <v>348</v>
      </c>
      <c r="B281" t="s">
        <v>45</v>
      </c>
      <c r="C281" t="s">
        <v>68</v>
      </c>
      <c r="D281" t="s">
        <v>309</v>
      </c>
      <c r="E281" t="s">
        <v>1181</v>
      </c>
      <c r="F281" s="15">
        <v>46251.598506944443</v>
      </c>
      <c r="G281" t="s">
        <v>398</v>
      </c>
      <c r="H281">
        <v>3</v>
      </c>
      <c r="I281" t="s">
        <v>1182</v>
      </c>
      <c r="J281" s="15">
        <v>46253.477083333331</v>
      </c>
      <c r="K281" s="15">
        <v>46255.493055555555</v>
      </c>
      <c r="L281" s="15"/>
      <c r="M281">
        <v>3</v>
      </c>
      <c r="O281" t="s">
        <v>201</v>
      </c>
      <c r="P281" t="s">
        <v>1956</v>
      </c>
      <c r="S281" t="s">
        <v>353</v>
      </c>
      <c r="T281" t="s">
        <v>368</v>
      </c>
      <c r="U281" t="s">
        <v>239</v>
      </c>
      <c r="V281" t="s">
        <v>348</v>
      </c>
      <c r="W281" t="s">
        <v>369</v>
      </c>
      <c r="X281" t="s">
        <v>239</v>
      </c>
      <c r="Y281">
        <v>103</v>
      </c>
      <c r="AA281" t="s">
        <v>67</v>
      </c>
      <c r="AB281" t="s">
        <v>353</v>
      </c>
      <c r="AC281">
        <v>2100</v>
      </c>
      <c r="AD281" t="s">
        <v>217</v>
      </c>
      <c r="AE281">
        <v>1</v>
      </c>
      <c r="AF281">
        <v>1</v>
      </c>
    </row>
    <row r="282" spans="1:32" x14ac:dyDescent="0.3">
      <c r="A282" t="s">
        <v>348</v>
      </c>
      <c r="B282" t="s">
        <v>51</v>
      </c>
      <c r="C282" t="s">
        <v>258</v>
      </c>
      <c r="D282" t="s">
        <v>309</v>
      </c>
      <c r="E282" t="s">
        <v>1183</v>
      </c>
      <c r="F282" s="15">
        <v>46251.581516203703</v>
      </c>
      <c r="G282" t="s">
        <v>398</v>
      </c>
      <c r="H282">
        <v>100</v>
      </c>
      <c r="I282" t="s">
        <v>1184</v>
      </c>
      <c r="J282" s="15">
        <v>46253.445138888892</v>
      </c>
      <c r="K282" s="15">
        <v>46255.493055555555</v>
      </c>
      <c r="L282" s="15"/>
      <c r="M282">
        <v>100</v>
      </c>
      <c r="O282" t="s">
        <v>201</v>
      </c>
      <c r="P282" t="s">
        <v>1956</v>
      </c>
      <c r="S282" t="s">
        <v>353</v>
      </c>
      <c r="T282" t="s">
        <v>368</v>
      </c>
      <c r="U282" t="s">
        <v>239</v>
      </c>
      <c r="V282" t="s">
        <v>7</v>
      </c>
      <c r="W282" t="s">
        <v>7</v>
      </c>
      <c r="X282" t="s">
        <v>7</v>
      </c>
      <c r="AA282" t="s">
        <v>238</v>
      </c>
      <c r="AB282" t="s">
        <v>353</v>
      </c>
      <c r="AC282">
        <v>2100</v>
      </c>
      <c r="AD282" t="s">
        <v>7</v>
      </c>
      <c r="AF282">
        <v>0</v>
      </c>
    </row>
    <row r="283" spans="1:32" x14ac:dyDescent="0.3">
      <c r="A283" t="s">
        <v>348</v>
      </c>
      <c r="B283" t="s">
        <v>51</v>
      </c>
      <c r="C283" t="s">
        <v>258</v>
      </c>
      <c r="D283" t="s">
        <v>309</v>
      </c>
      <c r="E283" t="s">
        <v>1185</v>
      </c>
      <c r="F283" s="15">
        <v>46251.566979166666</v>
      </c>
      <c r="G283" t="s">
        <v>398</v>
      </c>
      <c r="H283">
        <v>450</v>
      </c>
      <c r="I283" t="s">
        <v>1184</v>
      </c>
      <c r="J283" s="15">
        <v>46253.445138888892</v>
      </c>
      <c r="K283" s="15">
        <v>46255.493055555555</v>
      </c>
      <c r="L283" s="15"/>
      <c r="M283">
        <v>450</v>
      </c>
      <c r="O283" t="s">
        <v>201</v>
      </c>
      <c r="P283" t="s">
        <v>1956</v>
      </c>
      <c r="S283" t="s">
        <v>353</v>
      </c>
      <c r="T283" t="s">
        <v>368</v>
      </c>
      <c r="U283" t="s">
        <v>239</v>
      </c>
      <c r="V283" t="s">
        <v>7</v>
      </c>
      <c r="W283" t="s">
        <v>7</v>
      </c>
      <c r="X283" t="s">
        <v>7</v>
      </c>
      <c r="AA283" t="s">
        <v>238</v>
      </c>
      <c r="AB283" t="s">
        <v>353</v>
      </c>
      <c r="AC283">
        <v>2100</v>
      </c>
      <c r="AD283" t="s">
        <v>7</v>
      </c>
    </row>
    <row r="284" spans="1:32" x14ac:dyDescent="0.3">
      <c r="A284" t="s">
        <v>348</v>
      </c>
      <c r="B284" t="s">
        <v>51</v>
      </c>
      <c r="C284" t="s">
        <v>258</v>
      </c>
      <c r="D284" t="s">
        <v>309</v>
      </c>
      <c r="E284" t="s">
        <v>1186</v>
      </c>
      <c r="F284" s="15">
        <v>46244.518692129626</v>
      </c>
      <c r="G284" t="s">
        <v>1187</v>
      </c>
      <c r="H284">
        <v>64</v>
      </c>
      <c r="I284" t="s">
        <v>1188</v>
      </c>
      <c r="J284" s="15">
        <v>46245.446527777778</v>
      </c>
      <c r="K284" s="15">
        <v>46246.4375</v>
      </c>
      <c r="L284" s="15"/>
      <c r="M284">
        <v>64</v>
      </c>
      <c r="O284" t="s">
        <v>201</v>
      </c>
      <c r="P284" t="s">
        <v>1954</v>
      </c>
      <c r="S284" t="s">
        <v>353</v>
      </c>
      <c r="T284" t="s">
        <v>368</v>
      </c>
      <c r="U284" t="s">
        <v>239</v>
      </c>
      <c r="V284" t="s">
        <v>7</v>
      </c>
      <c r="W284" t="s">
        <v>7</v>
      </c>
      <c r="X284" t="s">
        <v>7</v>
      </c>
      <c r="AA284" t="s">
        <v>238</v>
      </c>
      <c r="AB284" t="s">
        <v>353</v>
      </c>
      <c r="AC284">
        <v>2100</v>
      </c>
      <c r="AD284" t="s">
        <v>7</v>
      </c>
      <c r="AF284">
        <v>0</v>
      </c>
    </row>
    <row r="285" spans="1:32" x14ac:dyDescent="0.3">
      <c r="A285" t="s">
        <v>348</v>
      </c>
      <c r="B285" t="s">
        <v>51</v>
      </c>
      <c r="C285" t="s">
        <v>258</v>
      </c>
      <c r="D285" t="s">
        <v>309</v>
      </c>
      <c r="E285" t="s">
        <v>1189</v>
      </c>
      <c r="F285" s="15">
        <v>46240.542048611111</v>
      </c>
      <c r="G285" t="s">
        <v>402</v>
      </c>
      <c r="H285">
        <v>450</v>
      </c>
      <c r="I285" t="s">
        <v>1190</v>
      </c>
      <c r="J285" s="15">
        <v>46244.459722222222</v>
      </c>
      <c r="K285" s="15">
        <v>46246.4375</v>
      </c>
      <c r="L285" s="15"/>
      <c r="M285">
        <v>450</v>
      </c>
      <c r="O285" t="s">
        <v>201</v>
      </c>
      <c r="P285" t="s">
        <v>1954</v>
      </c>
      <c r="S285" t="s">
        <v>353</v>
      </c>
      <c r="T285" t="s">
        <v>368</v>
      </c>
      <c r="U285" t="s">
        <v>239</v>
      </c>
      <c r="V285" t="s">
        <v>7</v>
      </c>
      <c r="W285" t="s">
        <v>7</v>
      </c>
      <c r="X285" t="s">
        <v>7</v>
      </c>
      <c r="AA285" t="s">
        <v>238</v>
      </c>
      <c r="AB285" t="s">
        <v>353</v>
      </c>
      <c r="AC285">
        <v>2100</v>
      </c>
      <c r="AD285" t="s">
        <v>7</v>
      </c>
    </row>
    <row r="286" spans="1:32" x14ac:dyDescent="0.3">
      <c r="A286" t="s">
        <v>348</v>
      </c>
      <c r="B286" t="s">
        <v>45</v>
      </c>
      <c r="C286" t="s">
        <v>68</v>
      </c>
      <c r="D286" t="s">
        <v>309</v>
      </c>
      <c r="E286" t="s">
        <v>1191</v>
      </c>
      <c r="F286" s="15">
        <v>46254.355046296296</v>
      </c>
      <c r="G286" t="s">
        <v>412</v>
      </c>
      <c r="H286">
        <v>35</v>
      </c>
      <c r="I286" t="s">
        <v>1192</v>
      </c>
      <c r="J286" s="15">
        <v>46254.531944444447</v>
      </c>
      <c r="K286" s="15">
        <v>46258.410416666666</v>
      </c>
      <c r="L286" s="15"/>
      <c r="M286">
        <v>35</v>
      </c>
      <c r="O286" t="s">
        <v>201</v>
      </c>
      <c r="P286" t="s">
        <v>1954</v>
      </c>
      <c r="S286" t="s">
        <v>359</v>
      </c>
      <c r="T286" t="s">
        <v>368</v>
      </c>
      <c r="U286" t="s">
        <v>239</v>
      </c>
      <c r="V286" t="s">
        <v>348</v>
      </c>
      <c r="W286" t="s">
        <v>369</v>
      </c>
      <c r="X286" t="s">
        <v>239</v>
      </c>
      <c r="Y286">
        <v>93</v>
      </c>
      <c r="AA286" t="s">
        <v>67</v>
      </c>
      <c r="AB286" t="s">
        <v>465</v>
      </c>
      <c r="AC286">
        <v>289</v>
      </c>
      <c r="AD286" t="s">
        <v>217</v>
      </c>
      <c r="AE286">
        <v>3.5</v>
      </c>
      <c r="AF286">
        <v>1</v>
      </c>
    </row>
    <row r="287" spans="1:32" x14ac:dyDescent="0.3">
      <c r="A287" t="s">
        <v>348</v>
      </c>
      <c r="B287" t="s">
        <v>45</v>
      </c>
      <c r="C287" t="s">
        <v>68</v>
      </c>
      <c r="D287" t="s">
        <v>309</v>
      </c>
      <c r="E287" t="s">
        <v>1193</v>
      </c>
      <c r="F287" s="15">
        <v>46253.542812500003</v>
      </c>
      <c r="G287" t="s">
        <v>398</v>
      </c>
      <c r="H287">
        <v>3</v>
      </c>
      <c r="I287" t="s">
        <v>1194</v>
      </c>
      <c r="J287" s="15">
        <v>46254.361805555556</v>
      </c>
      <c r="K287" s="15">
        <v>46255.493055555555</v>
      </c>
      <c r="L287" s="15"/>
      <c r="M287">
        <v>3</v>
      </c>
      <c r="O287" t="s">
        <v>201</v>
      </c>
      <c r="P287" t="s">
        <v>1954</v>
      </c>
      <c r="S287" t="s">
        <v>353</v>
      </c>
      <c r="T287" t="s">
        <v>368</v>
      </c>
      <c r="U287" t="s">
        <v>239</v>
      </c>
      <c r="V287" t="s">
        <v>348</v>
      </c>
      <c r="W287" t="s">
        <v>369</v>
      </c>
      <c r="X287" t="s">
        <v>239</v>
      </c>
      <c r="Y287">
        <v>103</v>
      </c>
      <c r="AA287" t="s">
        <v>67</v>
      </c>
      <c r="AB287" t="s">
        <v>353</v>
      </c>
      <c r="AC287">
        <v>2100</v>
      </c>
      <c r="AD287" t="s">
        <v>217</v>
      </c>
      <c r="AE287">
        <v>1</v>
      </c>
    </row>
    <row r="288" spans="1:32" x14ac:dyDescent="0.3">
      <c r="A288" t="s">
        <v>348</v>
      </c>
      <c r="B288" t="s">
        <v>45</v>
      </c>
      <c r="C288" t="s">
        <v>68</v>
      </c>
      <c r="D288" t="s">
        <v>309</v>
      </c>
      <c r="E288" t="s">
        <v>1195</v>
      </c>
      <c r="F288" s="15">
        <v>46253.545694444445</v>
      </c>
      <c r="G288" t="s">
        <v>398</v>
      </c>
      <c r="H288">
        <v>3</v>
      </c>
      <c r="I288" t="s">
        <v>1194</v>
      </c>
      <c r="J288" s="15">
        <v>46254.361805555556</v>
      </c>
      <c r="K288" s="15">
        <v>46255.493055555555</v>
      </c>
      <c r="L288" s="15"/>
      <c r="M288">
        <v>3</v>
      </c>
      <c r="O288" t="s">
        <v>201</v>
      </c>
      <c r="P288" t="s">
        <v>1954</v>
      </c>
      <c r="S288" t="s">
        <v>353</v>
      </c>
      <c r="T288" t="s">
        <v>368</v>
      </c>
      <c r="U288" t="s">
        <v>239</v>
      </c>
      <c r="V288" t="s">
        <v>348</v>
      </c>
      <c r="W288" t="s">
        <v>369</v>
      </c>
      <c r="X288" t="s">
        <v>239</v>
      </c>
      <c r="AA288" t="s">
        <v>67</v>
      </c>
      <c r="AB288" t="s">
        <v>353</v>
      </c>
      <c r="AC288">
        <v>2100</v>
      </c>
      <c r="AD288" t="s">
        <v>217</v>
      </c>
      <c r="AE288">
        <v>1</v>
      </c>
    </row>
    <row r="289" spans="1:32" x14ac:dyDescent="0.3">
      <c r="A289" t="s">
        <v>348</v>
      </c>
      <c r="B289" t="s">
        <v>45</v>
      </c>
      <c r="C289" t="s">
        <v>68</v>
      </c>
      <c r="D289" t="s">
        <v>309</v>
      </c>
      <c r="E289" t="s">
        <v>1196</v>
      </c>
      <c r="F289" s="15">
        <v>46253.545173611114</v>
      </c>
      <c r="G289" t="s">
        <v>398</v>
      </c>
      <c r="H289">
        <v>3</v>
      </c>
      <c r="I289" t="s">
        <v>1194</v>
      </c>
      <c r="J289" s="15">
        <v>46254.361805555556</v>
      </c>
      <c r="K289" s="15">
        <v>46255.493055555555</v>
      </c>
      <c r="L289" s="15"/>
      <c r="M289">
        <v>3</v>
      </c>
      <c r="O289" t="s">
        <v>201</v>
      </c>
      <c r="P289" t="s">
        <v>1954</v>
      </c>
      <c r="S289" t="s">
        <v>353</v>
      </c>
      <c r="T289" t="s">
        <v>368</v>
      </c>
      <c r="U289" t="s">
        <v>239</v>
      </c>
      <c r="V289" t="s">
        <v>348</v>
      </c>
      <c r="W289" t="s">
        <v>369</v>
      </c>
      <c r="X289" t="s">
        <v>239</v>
      </c>
      <c r="AA289" t="s">
        <v>67</v>
      </c>
      <c r="AB289" t="s">
        <v>353</v>
      </c>
      <c r="AC289">
        <v>2100</v>
      </c>
      <c r="AD289" t="s">
        <v>217</v>
      </c>
      <c r="AE289">
        <v>1</v>
      </c>
    </row>
    <row r="290" spans="1:32" x14ac:dyDescent="0.3">
      <c r="A290" t="s">
        <v>348</v>
      </c>
      <c r="B290" t="s">
        <v>45</v>
      </c>
      <c r="C290" t="s">
        <v>68</v>
      </c>
      <c r="D290" t="s">
        <v>309</v>
      </c>
      <c r="E290" t="s">
        <v>1197</v>
      </c>
      <c r="F290" s="15">
        <v>46233.471192129633</v>
      </c>
      <c r="G290" t="s">
        <v>398</v>
      </c>
      <c r="H290">
        <v>3</v>
      </c>
      <c r="I290" t="s">
        <v>1198</v>
      </c>
      <c r="J290" s="15">
        <v>46233.615185185183</v>
      </c>
      <c r="K290" s="15">
        <v>46237.458333333336</v>
      </c>
      <c r="L290" s="15"/>
      <c r="M290">
        <v>3</v>
      </c>
      <c r="O290" t="s">
        <v>201</v>
      </c>
      <c r="P290" t="s">
        <v>1954</v>
      </c>
      <c r="S290" t="s">
        <v>353</v>
      </c>
      <c r="T290" t="s">
        <v>368</v>
      </c>
      <c r="U290" t="s">
        <v>239</v>
      </c>
      <c r="V290" t="s">
        <v>348</v>
      </c>
      <c r="W290" t="s">
        <v>369</v>
      </c>
      <c r="X290" t="s">
        <v>239</v>
      </c>
      <c r="AA290" t="s">
        <v>67</v>
      </c>
      <c r="AB290" t="s">
        <v>353</v>
      </c>
      <c r="AC290">
        <v>2100</v>
      </c>
      <c r="AD290" t="s">
        <v>217</v>
      </c>
      <c r="AE290">
        <v>1</v>
      </c>
    </row>
    <row r="291" spans="1:32" x14ac:dyDescent="0.3">
      <c r="A291" t="s">
        <v>348</v>
      </c>
      <c r="B291" t="s">
        <v>45</v>
      </c>
      <c r="C291" t="s">
        <v>68</v>
      </c>
      <c r="D291" t="s">
        <v>309</v>
      </c>
      <c r="E291" t="s">
        <v>1199</v>
      </c>
      <c r="F291" s="15">
        <v>46233.470659722225</v>
      </c>
      <c r="G291" t="s">
        <v>398</v>
      </c>
      <c r="H291">
        <v>3</v>
      </c>
      <c r="I291" t="s">
        <v>1198</v>
      </c>
      <c r="J291" s="15">
        <v>46233.615185185183</v>
      </c>
      <c r="K291" s="15">
        <v>46237.458333333336</v>
      </c>
      <c r="L291" s="15"/>
      <c r="M291">
        <v>3</v>
      </c>
      <c r="O291" t="s">
        <v>201</v>
      </c>
      <c r="P291" t="s">
        <v>1954</v>
      </c>
      <c r="S291" t="s">
        <v>353</v>
      </c>
      <c r="T291" t="s">
        <v>368</v>
      </c>
      <c r="U291" t="s">
        <v>239</v>
      </c>
      <c r="V291" t="s">
        <v>348</v>
      </c>
      <c r="W291" t="s">
        <v>369</v>
      </c>
      <c r="X291" t="s">
        <v>239</v>
      </c>
      <c r="AA291" t="s">
        <v>67</v>
      </c>
      <c r="AB291" t="s">
        <v>353</v>
      </c>
      <c r="AC291">
        <v>2100</v>
      </c>
      <c r="AD291" t="s">
        <v>217</v>
      </c>
      <c r="AE291">
        <v>1</v>
      </c>
    </row>
    <row r="292" spans="1:32" x14ac:dyDescent="0.3">
      <c r="A292" t="s">
        <v>348</v>
      </c>
      <c r="B292" t="s">
        <v>45</v>
      </c>
      <c r="C292" t="s">
        <v>68</v>
      </c>
      <c r="D292" t="s">
        <v>309</v>
      </c>
      <c r="E292" t="s">
        <v>1200</v>
      </c>
      <c r="F292" s="15">
        <v>46233.468287037038</v>
      </c>
      <c r="G292" t="s">
        <v>398</v>
      </c>
      <c r="H292">
        <v>3</v>
      </c>
      <c r="I292" t="s">
        <v>1198</v>
      </c>
      <c r="J292" s="15">
        <v>46233.615185185183</v>
      </c>
      <c r="K292" s="15">
        <v>46237.458333333336</v>
      </c>
      <c r="L292" s="15"/>
      <c r="M292">
        <v>3</v>
      </c>
      <c r="O292" t="s">
        <v>201</v>
      </c>
      <c r="P292" t="s">
        <v>1954</v>
      </c>
      <c r="S292" t="s">
        <v>353</v>
      </c>
      <c r="T292" t="s">
        <v>368</v>
      </c>
      <c r="U292" t="s">
        <v>239</v>
      </c>
      <c r="V292" t="s">
        <v>348</v>
      </c>
      <c r="W292" t="s">
        <v>369</v>
      </c>
      <c r="X292" t="s">
        <v>239</v>
      </c>
      <c r="AA292" t="s">
        <v>67</v>
      </c>
      <c r="AB292" t="s">
        <v>353</v>
      </c>
      <c r="AC292">
        <v>2100</v>
      </c>
      <c r="AD292" t="s">
        <v>217</v>
      </c>
      <c r="AE292">
        <v>1</v>
      </c>
    </row>
    <row r="293" spans="1:32" x14ac:dyDescent="0.3">
      <c r="A293" t="s">
        <v>348</v>
      </c>
      <c r="B293" t="s">
        <v>45</v>
      </c>
      <c r="C293" t="s">
        <v>68</v>
      </c>
      <c r="D293" t="s">
        <v>309</v>
      </c>
      <c r="E293" t="s">
        <v>1201</v>
      </c>
      <c r="F293" s="15">
        <v>46225.582372685189</v>
      </c>
      <c r="G293" t="s">
        <v>398</v>
      </c>
      <c r="H293">
        <v>3</v>
      </c>
      <c r="I293" t="s">
        <v>1202</v>
      </c>
      <c r="J293" s="15">
        <v>46226.429560185185</v>
      </c>
      <c r="K293" s="15">
        <v>46231.455555555556</v>
      </c>
      <c r="L293" s="15"/>
      <c r="M293">
        <v>3</v>
      </c>
      <c r="O293" t="s">
        <v>201</v>
      </c>
      <c r="P293" t="s">
        <v>1956</v>
      </c>
      <c r="S293" t="s">
        <v>353</v>
      </c>
      <c r="T293" t="s">
        <v>368</v>
      </c>
      <c r="U293" t="s">
        <v>239</v>
      </c>
      <c r="V293" t="s">
        <v>348</v>
      </c>
      <c r="W293" t="s">
        <v>369</v>
      </c>
      <c r="X293" t="s">
        <v>239</v>
      </c>
      <c r="Y293">
        <v>103</v>
      </c>
      <c r="AA293" t="s">
        <v>67</v>
      </c>
      <c r="AB293" t="s">
        <v>353</v>
      </c>
      <c r="AC293">
        <v>2100</v>
      </c>
      <c r="AD293" t="s">
        <v>217</v>
      </c>
      <c r="AE293">
        <v>1</v>
      </c>
      <c r="AF293">
        <v>1</v>
      </c>
    </row>
    <row r="294" spans="1:32" x14ac:dyDescent="0.3">
      <c r="A294" t="s">
        <v>348</v>
      </c>
      <c r="B294" t="s">
        <v>45</v>
      </c>
      <c r="C294" t="s">
        <v>68</v>
      </c>
      <c r="D294" t="s">
        <v>309</v>
      </c>
      <c r="E294" t="s">
        <v>1203</v>
      </c>
      <c r="F294" s="15">
        <v>46225.581944444442</v>
      </c>
      <c r="G294" t="s">
        <v>398</v>
      </c>
      <c r="H294">
        <v>1</v>
      </c>
      <c r="I294" t="s">
        <v>1202</v>
      </c>
      <c r="J294" s="15">
        <v>46226.429560185185</v>
      </c>
      <c r="K294" s="15">
        <v>46231.455555555556</v>
      </c>
      <c r="L294" s="15"/>
      <c r="M294">
        <v>1</v>
      </c>
      <c r="O294" t="s">
        <v>201</v>
      </c>
      <c r="P294" t="s">
        <v>1956</v>
      </c>
      <c r="S294" t="s">
        <v>353</v>
      </c>
      <c r="T294" t="s">
        <v>368</v>
      </c>
      <c r="U294" t="s">
        <v>239</v>
      </c>
      <c r="V294" t="s">
        <v>348</v>
      </c>
      <c r="W294" t="s">
        <v>369</v>
      </c>
      <c r="X294" t="s">
        <v>239</v>
      </c>
      <c r="AA294" t="s">
        <v>67</v>
      </c>
      <c r="AB294" t="s">
        <v>353</v>
      </c>
      <c r="AC294">
        <v>2100</v>
      </c>
      <c r="AD294" t="s">
        <v>217</v>
      </c>
      <c r="AE294">
        <v>1</v>
      </c>
    </row>
    <row r="295" spans="1:32" x14ac:dyDescent="0.3">
      <c r="A295" t="s">
        <v>348</v>
      </c>
      <c r="B295" t="s">
        <v>45</v>
      </c>
      <c r="C295" t="s">
        <v>68</v>
      </c>
      <c r="D295" t="s">
        <v>309</v>
      </c>
      <c r="E295" t="s">
        <v>1204</v>
      </c>
      <c r="F295" s="15">
        <v>46225.581226851849</v>
      </c>
      <c r="G295" t="s">
        <v>398</v>
      </c>
      <c r="H295">
        <v>3</v>
      </c>
      <c r="I295" t="s">
        <v>1202</v>
      </c>
      <c r="J295" s="15">
        <v>46226.429560185185</v>
      </c>
      <c r="K295" s="15">
        <v>46231.455555555556</v>
      </c>
      <c r="L295" s="15"/>
      <c r="M295">
        <v>3</v>
      </c>
      <c r="O295" t="s">
        <v>201</v>
      </c>
      <c r="P295" t="s">
        <v>1956</v>
      </c>
      <c r="S295" t="s">
        <v>353</v>
      </c>
      <c r="T295" t="s">
        <v>368</v>
      </c>
      <c r="U295" t="s">
        <v>239</v>
      </c>
      <c r="V295" t="s">
        <v>348</v>
      </c>
      <c r="W295" t="s">
        <v>369</v>
      </c>
      <c r="X295" t="s">
        <v>239</v>
      </c>
      <c r="AA295" t="s">
        <v>67</v>
      </c>
      <c r="AB295" t="s">
        <v>353</v>
      </c>
      <c r="AC295">
        <v>2100</v>
      </c>
      <c r="AD295" t="s">
        <v>217</v>
      </c>
      <c r="AE295">
        <v>1</v>
      </c>
    </row>
    <row r="296" spans="1:32" x14ac:dyDescent="0.3">
      <c r="A296" t="s">
        <v>348</v>
      </c>
      <c r="B296" t="s">
        <v>45</v>
      </c>
      <c r="C296" t="s">
        <v>68</v>
      </c>
      <c r="D296" t="s">
        <v>309</v>
      </c>
      <c r="E296" t="s">
        <v>1205</v>
      </c>
      <c r="F296" s="15">
        <v>46225.358090277776</v>
      </c>
      <c r="G296" t="s">
        <v>402</v>
      </c>
      <c r="H296">
        <v>26</v>
      </c>
      <c r="I296" t="s">
        <v>1206</v>
      </c>
      <c r="J296" s="15">
        <v>46226.397361111114</v>
      </c>
      <c r="K296" s="15">
        <v>46227.5</v>
      </c>
      <c r="L296" s="15"/>
      <c r="M296">
        <v>26</v>
      </c>
      <c r="O296" t="s">
        <v>201</v>
      </c>
      <c r="P296" t="s">
        <v>1954</v>
      </c>
      <c r="S296" t="s">
        <v>353</v>
      </c>
      <c r="T296" t="s">
        <v>368</v>
      </c>
      <c r="U296" t="s">
        <v>239</v>
      </c>
      <c r="V296" t="s">
        <v>348</v>
      </c>
      <c r="W296" t="s">
        <v>369</v>
      </c>
      <c r="X296" t="s">
        <v>239</v>
      </c>
      <c r="AA296" t="s">
        <v>67</v>
      </c>
      <c r="AB296" t="s">
        <v>353</v>
      </c>
      <c r="AC296">
        <v>2100</v>
      </c>
      <c r="AD296" t="s">
        <v>217</v>
      </c>
      <c r="AE296">
        <v>2.6</v>
      </c>
      <c r="AF296">
        <v>1.23</v>
      </c>
    </row>
    <row r="297" spans="1:32" x14ac:dyDescent="0.3">
      <c r="A297" t="s">
        <v>348</v>
      </c>
      <c r="B297" t="s">
        <v>45</v>
      </c>
      <c r="C297" t="s">
        <v>68</v>
      </c>
      <c r="D297" t="s">
        <v>309</v>
      </c>
      <c r="E297" t="s">
        <v>1207</v>
      </c>
      <c r="F297" s="15">
        <v>46225.333067129628</v>
      </c>
      <c r="G297" t="s">
        <v>413</v>
      </c>
      <c r="H297">
        <v>8</v>
      </c>
      <c r="I297" t="s">
        <v>1208</v>
      </c>
      <c r="J297" s="15">
        <v>46225.466446759259</v>
      </c>
      <c r="K297" s="15">
        <v>46227.5</v>
      </c>
      <c r="L297" s="15">
        <v>46227.5</v>
      </c>
      <c r="M297">
        <v>8</v>
      </c>
      <c r="O297" t="s">
        <v>201</v>
      </c>
      <c r="P297" t="s">
        <v>1956</v>
      </c>
      <c r="S297" t="s">
        <v>353</v>
      </c>
      <c r="T297" t="s">
        <v>368</v>
      </c>
      <c r="U297" t="s">
        <v>239</v>
      </c>
      <c r="V297" t="s">
        <v>348</v>
      </c>
      <c r="W297" t="s">
        <v>369</v>
      </c>
      <c r="X297" t="s">
        <v>239</v>
      </c>
      <c r="Y297">
        <v>103</v>
      </c>
      <c r="AA297" t="s">
        <v>67</v>
      </c>
      <c r="AB297" t="s">
        <v>353</v>
      </c>
      <c r="AC297">
        <v>2100</v>
      </c>
      <c r="AD297" t="s">
        <v>217</v>
      </c>
      <c r="AE297">
        <v>1</v>
      </c>
    </row>
    <row r="298" spans="1:32" x14ac:dyDescent="0.3">
      <c r="A298" t="s">
        <v>348</v>
      </c>
      <c r="B298" t="s">
        <v>45</v>
      </c>
      <c r="C298" t="s">
        <v>68</v>
      </c>
      <c r="D298" t="s">
        <v>309</v>
      </c>
      <c r="E298" t="s">
        <v>1209</v>
      </c>
      <c r="F298" s="15">
        <v>46223.488009259258</v>
      </c>
      <c r="G298" t="s">
        <v>398</v>
      </c>
      <c r="H298">
        <v>2</v>
      </c>
      <c r="I298" t="s">
        <v>1210</v>
      </c>
      <c r="J298" s="15">
        <v>46223.579861111109</v>
      </c>
      <c r="K298" s="15">
        <v>46231.451388888891</v>
      </c>
      <c r="L298" s="15">
        <v>46230.708333333336</v>
      </c>
      <c r="M298">
        <v>2</v>
      </c>
      <c r="O298" t="s">
        <v>201</v>
      </c>
      <c r="P298" t="s">
        <v>1956</v>
      </c>
      <c r="S298" t="s">
        <v>353</v>
      </c>
      <c r="T298" t="s">
        <v>368</v>
      </c>
      <c r="U298" t="s">
        <v>239</v>
      </c>
      <c r="V298" t="s">
        <v>348</v>
      </c>
      <c r="W298" t="s">
        <v>369</v>
      </c>
      <c r="X298" t="s">
        <v>239</v>
      </c>
      <c r="Y298">
        <v>103</v>
      </c>
      <c r="AA298" t="s">
        <v>67</v>
      </c>
      <c r="AB298" t="s">
        <v>353</v>
      </c>
      <c r="AC298">
        <v>2100</v>
      </c>
      <c r="AD298" t="s">
        <v>217</v>
      </c>
      <c r="AE298">
        <v>1</v>
      </c>
    </row>
    <row r="299" spans="1:32" x14ac:dyDescent="0.3">
      <c r="A299" t="s">
        <v>348</v>
      </c>
      <c r="B299" t="s">
        <v>45</v>
      </c>
      <c r="C299" t="s">
        <v>68</v>
      </c>
      <c r="D299" t="s">
        <v>309</v>
      </c>
      <c r="E299" t="s">
        <v>1211</v>
      </c>
      <c r="F299" s="15">
        <v>46223.487222222226</v>
      </c>
      <c r="G299" t="s">
        <v>398</v>
      </c>
      <c r="H299">
        <v>1</v>
      </c>
      <c r="I299" t="s">
        <v>1210</v>
      </c>
      <c r="J299" s="15">
        <v>46223.579861111109</v>
      </c>
      <c r="K299" s="15">
        <v>46231.451388888891</v>
      </c>
      <c r="L299" s="15">
        <v>46230.708333333336</v>
      </c>
      <c r="M299">
        <v>1</v>
      </c>
      <c r="O299" t="s">
        <v>201</v>
      </c>
      <c r="P299" t="s">
        <v>1956</v>
      </c>
      <c r="S299" t="s">
        <v>353</v>
      </c>
      <c r="T299" t="s">
        <v>368</v>
      </c>
      <c r="U299" t="s">
        <v>239</v>
      </c>
      <c r="V299" t="s">
        <v>348</v>
      </c>
      <c r="W299" t="s">
        <v>369</v>
      </c>
      <c r="X299" t="s">
        <v>239</v>
      </c>
      <c r="AA299" t="s">
        <v>67</v>
      </c>
      <c r="AB299" t="s">
        <v>353</v>
      </c>
      <c r="AC299">
        <v>2100</v>
      </c>
      <c r="AD299" t="s">
        <v>217</v>
      </c>
      <c r="AE299">
        <v>1</v>
      </c>
    </row>
    <row r="300" spans="1:32" x14ac:dyDescent="0.3">
      <c r="A300" t="s">
        <v>348</v>
      </c>
      <c r="B300" t="s">
        <v>45</v>
      </c>
      <c r="C300" t="s">
        <v>68</v>
      </c>
      <c r="D300" t="s">
        <v>309</v>
      </c>
      <c r="E300" t="s">
        <v>1212</v>
      </c>
      <c r="F300" s="15">
        <v>46225.339780092596</v>
      </c>
      <c r="G300" t="s">
        <v>402</v>
      </c>
      <c r="H300">
        <v>4</v>
      </c>
      <c r="I300" t="s">
        <v>1213</v>
      </c>
      <c r="J300" s="15">
        <v>46225.680555555555</v>
      </c>
      <c r="K300" s="15">
        <v>46227.5</v>
      </c>
      <c r="L300" s="15"/>
      <c r="M300">
        <v>4</v>
      </c>
      <c r="O300" t="s">
        <v>201</v>
      </c>
      <c r="P300" t="s">
        <v>1954</v>
      </c>
      <c r="S300" t="s">
        <v>353</v>
      </c>
      <c r="T300" t="s">
        <v>368</v>
      </c>
      <c r="U300" t="s">
        <v>239</v>
      </c>
      <c r="V300" t="s">
        <v>348</v>
      </c>
      <c r="W300" t="s">
        <v>369</v>
      </c>
      <c r="X300" t="s">
        <v>239</v>
      </c>
      <c r="AA300" t="s">
        <v>67</v>
      </c>
      <c r="AB300" t="s">
        <v>353</v>
      </c>
      <c r="AC300">
        <v>2100</v>
      </c>
      <c r="AD300" t="s">
        <v>217</v>
      </c>
      <c r="AE300">
        <v>1</v>
      </c>
    </row>
    <row r="301" spans="1:32" x14ac:dyDescent="0.3">
      <c r="A301" t="s">
        <v>348</v>
      </c>
      <c r="B301" t="s">
        <v>45</v>
      </c>
      <c r="C301" t="s">
        <v>68</v>
      </c>
      <c r="D301" t="s">
        <v>309</v>
      </c>
      <c r="E301" t="s">
        <v>1214</v>
      </c>
      <c r="F301" s="15">
        <v>46225.337905092594</v>
      </c>
      <c r="G301" t="s">
        <v>402</v>
      </c>
      <c r="H301">
        <v>2</v>
      </c>
      <c r="I301" t="s">
        <v>1213</v>
      </c>
      <c r="J301" s="15">
        <v>46225.680555555555</v>
      </c>
      <c r="K301" s="15">
        <v>46227.5</v>
      </c>
      <c r="L301" s="15"/>
      <c r="M301">
        <v>2</v>
      </c>
      <c r="O301" t="s">
        <v>201</v>
      </c>
      <c r="P301" t="s">
        <v>1954</v>
      </c>
      <c r="S301" t="s">
        <v>353</v>
      </c>
      <c r="T301" t="s">
        <v>368</v>
      </c>
      <c r="U301" t="s">
        <v>239</v>
      </c>
      <c r="V301" t="s">
        <v>348</v>
      </c>
      <c r="W301" t="s">
        <v>369</v>
      </c>
      <c r="X301" t="s">
        <v>239</v>
      </c>
      <c r="AA301" t="s">
        <v>67</v>
      </c>
      <c r="AB301" t="s">
        <v>353</v>
      </c>
      <c r="AC301">
        <v>2100</v>
      </c>
      <c r="AD301" t="s">
        <v>217</v>
      </c>
      <c r="AE301">
        <v>1</v>
      </c>
    </row>
    <row r="302" spans="1:32" x14ac:dyDescent="0.3">
      <c r="A302" t="s">
        <v>348</v>
      </c>
      <c r="B302" t="s">
        <v>45</v>
      </c>
      <c r="C302" t="s">
        <v>68</v>
      </c>
      <c r="D302" t="s">
        <v>309</v>
      </c>
      <c r="E302" t="s">
        <v>1215</v>
      </c>
      <c r="F302" s="15">
        <v>46225.337650462963</v>
      </c>
      <c r="G302" t="s">
        <v>402</v>
      </c>
      <c r="H302">
        <v>1</v>
      </c>
      <c r="I302" t="s">
        <v>1213</v>
      </c>
      <c r="J302" s="15">
        <v>46225.680555555555</v>
      </c>
      <c r="K302" s="15">
        <v>46227.5</v>
      </c>
      <c r="L302" s="15"/>
      <c r="M302">
        <v>1</v>
      </c>
      <c r="O302" t="s">
        <v>201</v>
      </c>
      <c r="P302" t="s">
        <v>1954</v>
      </c>
      <c r="S302" t="s">
        <v>353</v>
      </c>
      <c r="T302" t="s">
        <v>368</v>
      </c>
      <c r="U302" t="s">
        <v>239</v>
      </c>
      <c r="V302" t="s">
        <v>348</v>
      </c>
      <c r="W302" t="s">
        <v>369</v>
      </c>
      <c r="X302" t="s">
        <v>239</v>
      </c>
      <c r="AA302" t="s">
        <v>67</v>
      </c>
      <c r="AB302" t="s">
        <v>353</v>
      </c>
      <c r="AC302">
        <v>2100</v>
      </c>
      <c r="AD302" t="s">
        <v>217</v>
      </c>
      <c r="AE302">
        <v>1</v>
      </c>
    </row>
    <row r="303" spans="1:32" x14ac:dyDescent="0.3">
      <c r="A303" t="s">
        <v>348</v>
      </c>
      <c r="B303" t="s">
        <v>45</v>
      </c>
      <c r="C303" t="s">
        <v>68</v>
      </c>
      <c r="D303" t="s">
        <v>309</v>
      </c>
      <c r="E303" t="s">
        <v>1216</v>
      </c>
      <c r="F303" s="15">
        <v>46224.651469907411</v>
      </c>
      <c r="G303" t="s">
        <v>402</v>
      </c>
      <c r="H303">
        <v>16</v>
      </c>
      <c r="I303" t="s">
        <v>1217</v>
      </c>
      <c r="J303" s="15">
        <v>46225.65902777778</v>
      </c>
      <c r="K303" s="15">
        <v>46227.5</v>
      </c>
      <c r="L303" s="15">
        <v>46227</v>
      </c>
      <c r="M303">
        <v>16</v>
      </c>
      <c r="O303" t="s">
        <v>201</v>
      </c>
      <c r="P303" t="s">
        <v>1954</v>
      </c>
      <c r="S303" t="s">
        <v>353</v>
      </c>
      <c r="T303" t="s">
        <v>368</v>
      </c>
      <c r="U303" t="s">
        <v>239</v>
      </c>
      <c r="V303" t="s">
        <v>348</v>
      </c>
      <c r="W303" t="s">
        <v>369</v>
      </c>
      <c r="X303" t="s">
        <v>239</v>
      </c>
      <c r="AA303" t="s">
        <v>67</v>
      </c>
      <c r="AB303" t="s">
        <v>353</v>
      </c>
      <c r="AC303">
        <v>2100</v>
      </c>
      <c r="AD303" t="s">
        <v>217</v>
      </c>
      <c r="AE303">
        <v>1.6</v>
      </c>
    </row>
    <row r="304" spans="1:32" x14ac:dyDescent="0.3">
      <c r="A304" t="s">
        <v>348</v>
      </c>
      <c r="B304" t="s">
        <v>45</v>
      </c>
      <c r="C304" t="s">
        <v>68</v>
      </c>
      <c r="D304" t="s">
        <v>309</v>
      </c>
      <c r="E304" t="s">
        <v>1218</v>
      </c>
      <c r="F304" s="15">
        <v>46224.65053240741</v>
      </c>
      <c r="G304" t="s">
        <v>402</v>
      </c>
      <c r="H304">
        <v>6</v>
      </c>
      <c r="I304" t="s">
        <v>1217</v>
      </c>
      <c r="J304" s="15">
        <v>46225.65902777778</v>
      </c>
      <c r="K304" s="15">
        <v>46227.5</v>
      </c>
      <c r="L304" s="15">
        <v>46227</v>
      </c>
      <c r="M304">
        <v>6</v>
      </c>
      <c r="O304" t="s">
        <v>201</v>
      </c>
      <c r="P304" t="s">
        <v>1954</v>
      </c>
      <c r="S304" t="s">
        <v>353</v>
      </c>
      <c r="T304" t="s">
        <v>368</v>
      </c>
      <c r="U304" t="s">
        <v>239</v>
      </c>
      <c r="V304" t="s">
        <v>348</v>
      </c>
      <c r="W304" t="s">
        <v>369</v>
      </c>
      <c r="X304" t="s">
        <v>239</v>
      </c>
      <c r="AA304" t="s">
        <v>67</v>
      </c>
      <c r="AB304" t="s">
        <v>353</v>
      </c>
      <c r="AC304">
        <v>2100</v>
      </c>
      <c r="AD304" t="s">
        <v>217</v>
      </c>
      <c r="AE304">
        <v>1</v>
      </c>
    </row>
    <row r="305" spans="1:32" x14ac:dyDescent="0.3">
      <c r="A305" t="s">
        <v>348</v>
      </c>
      <c r="B305" t="s">
        <v>45</v>
      </c>
      <c r="C305" t="s">
        <v>68</v>
      </c>
      <c r="D305" t="s">
        <v>309</v>
      </c>
      <c r="E305" t="s">
        <v>1219</v>
      </c>
      <c r="F305" s="15">
        <v>46225.340196759258</v>
      </c>
      <c r="G305" t="s">
        <v>402</v>
      </c>
      <c r="H305">
        <v>3</v>
      </c>
      <c r="I305" t="s">
        <v>1213</v>
      </c>
      <c r="J305" s="15">
        <v>46225.680555555555</v>
      </c>
      <c r="K305" s="15">
        <v>46227.5</v>
      </c>
      <c r="L305" s="15"/>
      <c r="M305">
        <v>3</v>
      </c>
      <c r="O305" t="s">
        <v>201</v>
      </c>
      <c r="P305" t="s">
        <v>1954</v>
      </c>
      <c r="S305" t="s">
        <v>353</v>
      </c>
      <c r="T305" t="s">
        <v>368</v>
      </c>
      <c r="U305" t="s">
        <v>239</v>
      </c>
      <c r="V305" t="s">
        <v>348</v>
      </c>
      <c r="W305" t="s">
        <v>369</v>
      </c>
      <c r="X305" t="s">
        <v>239</v>
      </c>
      <c r="AA305" t="s">
        <v>67</v>
      </c>
      <c r="AB305" t="s">
        <v>353</v>
      </c>
      <c r="AC305">
        <v>2100</v>
      </c>
      <c r="AD305" t="s">
        <v>217</v>
      </c>
      <c r="AE305">
        <v>1</v>
      </c>
    </row>
    <row r="306" spans="1:32" x14ac:dyDescent="0.3">
      <c r="A306" t="s">
        <v>348</v>
      </c>
      <c r="B306" t="s">
        <v>45</v>
      </c>
      <c r="C306" t="s">
        <v>68</v>
      </c>
      <c r="D306" t="s">
        <v>309</v>
      </c>
      <c r="E306" t="s">
        <v>1220</v>
      </c>
      <c r="F306" s="15">
        <v>46225.340752314813</v>
      </c>
      <c r="G306" t="s">
        <v>402</v>
      </c>
      <c r="H306">
        <v>3</v>
      </c>
      <c r="I306" t="s">
        <v>1213</v>
      </c>
      <c r="J306" s="15">
        <v>46225.680555555555</v>
      </c>
      <c r="K306" s="15">
        <v>46227.5</v>
      </c>
      <c r="L306" s="15"/>
      <c r="M306">
        <v>3</v>
      </c>
      <c r="O306" t="s">
        <v>201</v>
      </c>
      <c r="P306" t="s">
        <v>1954</v>
      </c>
      <c r="S306" t="s">
        <v>353</v>
      </c>
      <c r="T306" t="s">
        <v>368</v>
      </c>
      <c r="U306" t="s">
        <v>239</v>
      </c>
      <c r="V306" t="s">
        <v>348</v>
      </c>
      <c r="W306" t="s">
        <v>369</v>
      </c>
      <c r="X306" t="s">
        <v>239</v>
      </c>
      <c r="AA306" t="s">
        <v>67</v>
      </c>
      <c r="AB306" t="s">
        <v>353</v>
      </c>
      <c r="AC306">
        <v>2100</v>
      </c>
      <c r="AD306" t="s">
        <v>217</v>
      </c>
      <c r="AE306">
        <v>1</v>
      </c>
    </row>
    <row r="307" spans="1:32" x14ac:dyDescent="0.3">
      <c r="A307" t="s">
        <v>348</v>
      </c>
      <c r="B307" t="s">
        <v>63</v>
      </c>
      <c r="C307" t="s">
        <v>95</v>
      </c>
      <c r="D307" t="s">
        <v>309</v>
      </c>
      <c r="E307" t="s">
        <v>1221</v>
      </c>
      <c r="F307" s="15">
        <v>46230.561921296299</v>
      </c>
      <c r="G307" t="s">
        <v>399</v>
      </c>
      <c r="H307">
        <v>1</v>
      </c>
      <c r="I307" t="s">
        <v>1222</v>
      </c>
      <c r="J307" s="15">
        <v>46231.383333333331</v>
      </c>
      <c r="K307" s="15">
        <v>46237.474999999999</v>
      </c>
      <c r="L307" s="15"/>
      <c r="M307">
        <v>1</v>
      </c>
      <c r="O307" t="s">
        <v>201</v>
      </c>
      <c r="P307" t="s">
        <v>1954</v>
      </c>
      <c r="S307" t="s">
        <v>353</v>
      </c>
      <c r="T307" t="s">
        <v>368</v>
      </c>
      <c r="U307" t="s">
        <v>239</v>
      </c>
      <c r="V307" t="s">
        <v>7</v>
      </c>
      <c r="W307" t="s">
        <v>7</v>
      </c>
      <c r="X307" t="s">
        <v>7</v>
      </c>
      <c r="AA307" t="s">
        <v>96</v>
      </c>
      <c r="AB307" t="s">
        <v>353</v>
      </c>
      <c r="AC307">
        <v>2100</v>
      </c>
      <c r="AD307" t="s">
        <v>225</v>
      </c>
      <c r="AE307">
        <v>1</v>
      </c>
      <c r="AF307">
        <v>1</v>
      </c>
    </row>
    <row r="308" spans="1:32" x14ac:dyDescent="0.3">
      <c r="A308" t="s">
        <v>348</v>
      </c>
      <c r="B308" t="s">
        <v>57</v>
      </c>
      <c r="C308" t="s">
        <v>117</v>
      </c>
      <c r="D308" t="s">
        <v>309</v>
      </c>
      <c r="E308" t="s">
        <v>1221</v>
      </c>
      <c r="F308" s="15">
        <v>46230.561921296299</v>
      </c>
      <c r="G308" t="s">
        <v>399</v>
      </c>
      <c r="H308">
        <v>1</v>
      </c>
      <c r="I308" t="s">
        <v>1222</v>
      </c>
      <c r="J308" s="15">
        <v>46231.383333333331</v>
      </c>
      <c r="K308" s="15">
        <v>46237.474999999999</v>
      </c>
      <c r="L308" s="15"/>
      <c r="M308">
        <v>1</v>
      </c>
      <c r="O308" t="s">
        <v>201</v>
      </c>
      <c r="P308" t="s">
        <v>1954</v>
      </c>
      <c r="S308" t="s">
        <v>353</v>
      </c>
      <c r="T308" t="s">
        <v>368</v>
      </c>
      <c r="U308" t="s">
        <v>239</v>
      </c>
      <c r="V308" t="s">
        <v>7</v>
      </c>
      <c r="W308" t="s">
        <v>7</v>
      </c>
      <c r="X308" t="s">
        <v>7</v>
      </c>
      <c r="AA308" t="s">
        <v>127</v>
      </c>
      <c r="AB308" t="s">
        <v>353</v>
      </c>
      <c r="AC308">
        <v>2100</v>
      </c>
      <c r="AD308" t="s">
        <v>233</v>
      </c>
      <c r="AE308">
        <v>1</v>
      </c>
      <c r="AF308">
        <v>1</v>
      </c>
    </row>
    <row r="309" spans="1:32" x14ac:dyDescent="0.3">
      <c r="A309" t="s">
        <v>348</v>
      </c>
      <c r="B309" t="s">
        <v>279</v>
      </c>
      <c r="C309" t="s">
        <v>192</v>
      </c>
      <c r="D309" t="s">
        <v>309</v>
      </c>
      <c r="E309" t="s">
        <v>1221</v>
      </c>
      <c r="F309" s="15">
        <v>46230.561921296299</v>
      </c>
      <c r="G309" t="s">
        <v>399</v>
      </c>
      <c r="H309">
        <v>245</v>
      </c>
      <c r="I309" t="s">
        <v>1222</v>
      </c>
      <c r="J309" s="15">
        <v>46231.383333333331</v>
      </c>
      <c r="K309" s="15">
        <v>46237.474999999999</v>
      </c>
      <c r="L309" s="15"/>
      <c r="M309">
        <v>245</v>
      </c>
      <c r="O309" t="s">
        <v>201</v>
      </c>
      <c r="P309" t="s">
        <v>1956</v>
      </c>
      <c r="S309" t="s">
        <v>353</v>
      </c>
      <c r="T309" t="s">
        <v>368</v>
      </c>
      <c r="U309" t="s">
        <v>239</v>
      </c>
      <c r="V309" t="s">
        <v>7</v>
      </c>
      <c r="W309" t="s">
        <v>7</v>
      </c>
      <c r="X309" t="s">
        <v>7</v>
      </c>
      <c r="Z309">
        <v>1</v>
      </c>
      <c r="AA309" t="s">
        <v>122</v>
      </c>
      <c r="AB309" t="s">
        <v>353</v>
      </c>
      <c r="AC309">
        <v>2100</v>
      </c>
      <c r="AD309" t="s">
        <v>232</v>
      </c>
      <c r="AE309">
        <v>245</v>
      </c>
      <c r="AF309">
        <v>24.5</v>
      </c>
    </row>
    <row r="310" spans="1:32" x14ac:dyDescent="0.3">
      <c r="A310" t="s">
        <v>348</v>
      </c>
      <c r="B310" t="s">
        <v>45</v>
      </c>
      <c r="C310" t="s">
        <v>68</v>
      </c>
      <c r="D310" t="s">
        <v>309</v>
      </c>
      <c r="E310" t="s">
        <v>1223</v>
      </c>
      <c r="F310" s="15">
        <v>46230.441238425927</v>
      </c>
      <c r="G310" t="s">
        <v>398</v>
      </c>
      <c r="H310">
        <v>3</v>
      </c>
      <c r="I310" t="s">
        <v>1224</v>
      </c>
      <c r="J310" s="15">
        <v>46230.705555555556</v>
      </c>
      <c r="K310" s="15">
        <v>46231.431944444441</v>
      </c>
      <c r="L310" s="15"/>
      <c r="M310">
        <v>3</v>
      </c>
      <c r="O310" t="s">
        <v>201</v>
      </c>
      <c r="P310" t="s">
        <v>1954</v>
      </c>
      <c r="S310" t="s">
        <v>353</v>
      </c>
      <c r="T310" t="s">
        <v>368</v>
      </c>
      <c r="U310" t="s">
        <v>239</v>
      </c>
      <c r="V310" t="s">
        <v>348</v>
      </c>
      <c r="W310" t="s">
        <v>369</v>
      </c>
      <c r="X310" t="s">
        <v>239</v>
      </c>
      <c r="Y310">
        <v>103</v>
      </c>
      <c r="AA310" t="s">
        <v>67</v>
      </c>
      <c r="AB310" t="s">
        <v>353</v>
      </c>
      <c r="AC310">
        <v>2100</v>
      </c>
      <c r="AD310" t="s">
        <v>217</v>
      </c>
      <c r="AE310">
        <v>1</v>
      </c>
    </row>
    <row r="311" spans="1:32" x14ac:dyDescent="0.3">
      <c r="A311" t="s">
        <v>348</v>
      </c>
      <c r="B311" t="s">
        <v>45</v>
      </c>
      <c r="C311" t="s">
        <v>68</v>
      </c>
      <c r="D311" t="s">
        <v>309</v>
      </c>
      <c r="E311" t="s">
        <v>1225</v>
      </c>
      <c r="F311" s="15">
        <v>46230.439814814818</v>
      </c>
      <c r="G311" t="s">
        <v>398</v>
      </c>
      <c r="H311">
        <v>4</v>
      </c>
      <c r="I311" t="s">
        <v>1224</v>
      </c>
      <c r="J311" s="15">
        <v>46230.705555555556</v>
      </c>
      <c r="K311" s="15">
        <v>46231.431944444441</v>
      </c>
      <c r="L311" s="15"/>
      <c r="M311">
        <v>4</v>
      </c>
      <c r="O311" t="s">
        <v>201</v>
      </c>
      <c r="P311" t="s">
        <v>1954</v>
      </c>
      <c r="S311" t="s">
        <v>353</v>
      </c>
      <c r="T311" t="s">
        <v>368</v>
      </c>
      <c r="U311" t="s">
        <v>239</v>
      </c>
      <c r="V311" t="s">
        <v>348</v>
      </c>
      <c r="W311" t="s">
        <v>369</v>
      </c>
      <c r="X311" t="s">
        <v>239</v>
      </c>
      <c r="AA311" t="s">
        <v>67</v>
      </c>
      <c r="AB311" t="s">
        <v>353</v>
      </c>
      <c r="AC311">
        <v>2100</v>
      </c>
      <c r="AD311" t="s">
        <v>217</v>
      </c>
      <c r="AE311">
        <v>1</v>
      </c>
    </row>
    <row r="312" spans="1:32" x14ac:dyDescent="0.3">
      <c r="A312" t="s">
        <v>348</v>
      </c>
      <c r="B312" t="s">
        <v>43</v>
      </c>
      <c r="C312" t="s">
        <v>105</v>
      </c>
      <c r="D312" t="s">
        <v>309</v>
      </c>
      <c r="E312" t="s">
        <v>1226</v>
      </c>
      <c r="F312" s="15">
        <v>46226.43414351852</v>
      </c>
      <c r="G312" t="s">
        <v>1227</v>
      </c>
      <c r="H312">
        <v>1</v>
      </c>
      <c r="I312" t="s">
        <v>1228</v>
      </c>
      <c r="J312" s="15">
        <v>46226.474999999999</v>
      </c>
      <c r="K312" s="15">
        <v>46231.455555555556</v>
      </c>
      <c r="L312" s="15"/>
      <c r="M312">
        <v>1</v>
      </c>
      <c r="O312" t="s">
        <v>201</v>
      </c>
      <c r="P312" t="s">
        <v>1956</v>
      </c>
      <c r="S312" t="s">
        <v>353</v>
      </c>
      <c r="T312" t="s">
        <v>368</v>
      </c>
      <c r="U312" t="s">
        <v>239</v>
      </c>
      <c r="V312" t="s">
        <v>348</v>
      </c>
      <c r="W312" t="s">
        <v>369</v>
      </c>
      <c r="X312" t="s">
        <v>239</v>
      </c>
      <c r="AA312" t="s">
        <v>67</v>
      </c>
      <c r="AB312" t="s">
        <v>353</v>
      </c>
      <c r="AC312">
        <v>2100</v>
      </c>
      <c r="AD312" t="s">
        <v>217</v>
      </c>
      <c r="AE312">
        <v>1</v>
      </c>
    </row>
    <row r="313" spans="1:32" x14ac:dyDescent="0.3">
      <c r="A313" t="s">
        <v>348</v>
      </c>
      <c r="B313" t="s">
        <v>45</v>
      </c>
      <c r="C313" t="s">
        <v>68</v>
      </c>
      <c r="D313" t="s">
        <v>309</v>
      </c>
      <c r="E313" t="s">
        <v>1229</v>
      </c>
      <c r="F313" s="15">
        <v>46225.341481481482</v>
      </c>
      <c r="G313" t="s">
        <v>402</v>
      </c>
      <c r="H313">
        <v>11</v>
      </c>
      <c r="I313" t="s">
        <v>1213</v>
      </c>
      <c r="J313" s="15">
        <v>46225.680555555555</v>
      </c>
      <c r="K313" s="15">
        <v>46227.5</v>
      </c>
      <c r="L313" s="15"/>
      <c r="M313">
        <v>11</v>
      </c>
      <c r="O313" t="s">
        <v>201</v>
      </c>
      <c r="P313" t="s">
        <v>1954</v>
      </c>
      <c r="S313" t="s">
        <v>353</v>
      </c>
      <c r="T313" t="s">
        <v>368</v>
      </c>
      <c r="U313" t="s">
        <v>239</v>
      </c>
      <c r="V313" t="s">
        <v>348</v>
      </c>
      <c r="W313" t="s">
        <v>369</v>
      </c>
      <c r="X313" t="s">
        <v>239</v>
      </c>
      <c r="AA313" t="s">
        <v>67</v>
      </c>
      <c r="AB313" t="s">
        <v>353</v>
      </c>
      <c r="AC313">
        <v>2100</v>
      </c>
      <c r="AD313" t="s">
        <v>217</v>
      </c>
      <c r="AE313">
        <v>1.1000000000000001</v>
      </c>
    </row>
    <row r="314" spans="1:32" x14ac:dyDescent="0.3">
      <c r="A314" t="s">
        <v>348</v>
      </c>
      <c r="B314" t="s">
        <v>45</v>
      </c>
      <c r="C314" t="s">
        <v>68</v>
      </c>
      <c r="D314" t="s">
        <v>309</v>
      </c>
      <c r="E314" t="s">
        <v>1230</v>
      </c>
      <c r="F314" s="15">
        <v>46244.522743055553</v>
      </c>
      <c r="G314" t="s">
        <v>408</v>
      </c>
      <c r="H314">
        <v>6</v>
      </c>
      <c r="I314" t="s">
        <v>1231</v>
      </c>
      <c r="J314" s="15">
        <v>46244.706250000003</v>
      </c>
      <c r="K314" s="15">
        <v>46247.409722222219</v>
      </c>
      <c r="L314" s="15"/>
      <c r="M314">
        <v>6</v>
      </c>
      <c r="O314" t="s">
        <v>201</v>
      </c>
      <c r="P314" t="s">
        <v>1956</v>
      </c>
      <c r="S314" t="s">
        <v>358</v>
      </c>
      <c r="T314" t="s">
        <v>370</v>
      </c>
      <c r="U314" t="s">
        <v>239</v>
      </c>
      <c r="V314" t="s">
        <v>348</v>
      </c>
      <c r="W314" t="s">
        <v>369</v>
      </c>
      <c r="X314" t="s">
        <v>239</v>
      </c>
      <c r="Y314">
        <v>0</v>
      </c>
      <c r="AA314" t="s">
        <v>67</v>
      </c>
      <c r="AB314" t="s">
        <v>358</v>
      </c>
      <c r="AC314">
        <v>1050</v>
      </c>
      <c r="AD314" t="s">
        <v>217</v>
      </c>
      <c r="AE314">
        <v>1</v>
      </c>
      <c r="AF314">
        <v>1</v>
      </c>
    </row>
    <row r="315" spans="1:32" x14ac:dyDescent="0.3">
      <c r="A315" t="s">
        <v>348</v>
      </c>
      <c r="B315" t="s">
        <v>51</v>
      </c>
      <c r="C315" t="s">
        <v>258</v>
      </c>
      <c r="D315" t="s">
        <v>309</v>
      </c>
      <c r="E315" t="s">
        <v>1232</v>
      </c>
      <c r="F315" s="15">
        <v>46247.655405092592</v>
      </c>
      <c r="G315" t="s">
        <v>408</v>
      </c>
      <c r="H315">
        <v>120</v>
      </c>
      <c r="I315" t="s">
        <v>1233</v>
      </c>
      <c r="J315" s="15">
        <v>46247.70208333333</v>
      </c>
      <c r="K315" s="15">
        <v>46253.604166666664</v>
      </c>
      <c r="L315" s="15"/>
      <c r="M315">
        <v>120</v>
      </c>
      <c r="O315" t="s">
        <v>201</v>
      </c>
      <c r="P315" t="s">
        <v>1956</v>
      </c>
      <c r="S315" t="s">
        <v>358</v>
      </c>
      <c r="T315" t="s">
        <v>370</v>
      </c>
      <c r="U315" t="s">
        <v>239</v>
      </c>
      <c r="V315" t="s">
        <v>7</v>
      </c>
      <c r="W315" t="s">
        <v>7</v>
      </c>
      <c r="X315" t="s">
        <v>7</v>
      </c>
      <c r="AA315" t="s">
        <v>238</v>
      </c>
      <c r="AB315" t="s">
        <v>358</v>
      </c>
      <c r="AC315">
        <v>1050</v>
      </c>
      <c r="AD315" t="s">
        <v>7</v>
      </c>
      <c r="AF315">
        <v>0</v>
      </c>
    </row>
    <row r="316" spans="1:32" x14ac:dyDescent="0.3">
      <c r="A316" t="s">
        <v>348</v>
      </c>
      <c r="B316" t="s">
        <v>45</v>
      </c>
      <c r="C316" t="s">
        <v>68</v>
      </c>
      <c r="D316" t="s">
        <v>309</v>
      </c>
      <c r="E316" t="s">
        <v>1234</v>
      </c>
      <c r="F316" s="15">
        <v>46252.385625000003</v>
      </c>
      <c r="G316" t="s">
        <v>404</v>
      </c>
      <c r="H316">
        <v>45</v>
      </c>
      <c r="I316" t="s">
        <v>1235</v>
      </c>
      <c r="J316" s="15">
        <v>46252.684027777781</v>
      </c>
      <c r="K316" s="15">
        <v>46254.560416666667</v>
      </c>
      <c r="L316" s="15"/>
      <c r="M316">
        <v>45</v>
      </c>
      <c r="O316" t="s">
        <v>201</v>
      </c>
      <c r="P316" t="s">
        <v>1956</v>
      </c>
      <c r="S316" t="s">
        <v>358</v>
      </c>
      <c r="T316" t="s">
        <v>370</v>
      </c>
      <c r="U316" t="s">
        <v>239</v>
      </c>
      <c r="V316" t="s">
        <v>348</v>
      </c>
      <c r="W316" t="s">
        <v>369</v>
      </c>
      <c r="X316" t="s">
        <v>239</v>
      </c>
      <c r="Y316">
        <v>0</v>
      </c>
      <c r="AA316" t="s">
        <v>67</v>
      </c>
      <c r="AB316" t="s">
        <v>358</v>
      </c>
      <c r="AC316">
        <v>1050</v>
      </c>
      <c r="AD316" t="s">
        <v>217</v>
      </c>
      <c r="AE316">
        <v>4.5</v>
      </c>
      <c r="AF316">
        <v>1</v>
      </c>
    </row>
    <row r="317" spans="1:32" x14ac:dyDescent="0.3">
      <c r="A317" t="s">
        <v>348</v>
      </c>
      <c r="B317" t="s">
        <v>45</v>
      </c>
      <c r="C317" t="s">
        <v>68</v>
      </c>
      <c r="D317" t="s">
        <v>309</v>
      </c>
      <c r="E317" t="s">
        <v>1236</v>
      </c>
      <c r="F317" s="15">
        <v>46251.574641203704</v>
      </c>
      <c r="G317" t="s">
        <v>408</v>
      </c>
      <c r="H317">
        <v>15</v>
      </c>
      <c r="I317" t="s">
        <v>1237</v>
      </c>
      <c r="J317" s="15">
        <v>46252.347222222219</v>
      </c>
      <c r="K317" s="15">
        <v>46253.486111111109</v>
      </c>
      <c r="L317" s="15"/>
      <c r="M317">
        <v>15</v>
      </c>
      <c r="O317" t="s">
        <v>201</v>
      </c>
      <c r="P317" t="s">
        <v>1956</v>
      </c>
      <c r="S317" t="s">
        <v>358</v>
      </c>
      <c r="T317" t="s">
        <v>370</v>
      </c>
      <c r="U317" t="s">
        <v>239</v>
      </c>
      <c r="V317" t="s">
        <v>348</v>
      </c>
      <c r="W317" t="s">
        <v>369</v>
      </c>
      <c r="X317" t="s">
        <v>239</v>
      </c>
      <c r="AA317" t="s">
        <v>67</v>
      </c>
      <c r="AB317" t="s">
        <v>358</v>
      </c>
      <c r="AC317">
        <v>1050</v>
      </c>
      <c r="AD317" t="s">
        <v>217</v>
      </c>
      <c r="AE317">
        <v>1.5</v>
      </c>
      <c r="AF317">
        <v>1</v>
      </c>
    </row>
    <row r="318" spans="1:32" x14ac:dyDescent="0.3">
      <c r="A318" t="s">
        <v>348</v>
      </c>
      <c r="B318" t="s">
        <v>45</v>
      </c>
      <c r="C318" t="s">
        <v>68</v>
      </c>
      <c r="D318" t="s">
        <v>309</v>
      </c>
      <c r="E318" t="s">
        <v>1238</v>
      </c>
      <c r="F318" s="15">
        <v>46224.403738425928</v>
      </c>
      <c r="G318" t="s">
        <v>404</v>
      </c>
      <c r="H318">
        <v>50</v>
      </c>
      <c r="I318" t="s">
        <v>1239</v>
      </c>
      <c r="J318" s="15">
        <v>46224.678472222222</v>
      </c>
      <c r="K318" s="15">
        <v>46227.503472222219</v>
      </c>
      <c r="L318" s="15"/>
      <c r="M318">
        <v>50</v>
      </c>
      <c r="O318" t="s">
        <v>201</v>
      </c>
      <c r="P318" t="s">
        <v>1956</v>
      </c>
      <c r="S318" t="s">
        <v>358</v>
      </c>
      <c r="T318" t="s">
        <v>370</v>
      </c>
      <c r="U318" t="s">
        <v>239</v>
      </c>
      <c r="V318" t="s">
        <v>348</v>
      </c>
      <c r="W318" t="s">
        <v>369</v>
      </c>
      <c r="X318" t="s">
        <v>239</v>
      </c>
      <c r="Y318">
        <v>0</v>
      </c>
      <c r="AA318" t="s">
        <v>67</v>
      </c>
      <c r="AB318" t="s">
        <v>358</v>
      </c>
      <c r="AC318">
        <v>1050</v>
      </c>
      <c r="AD318" t="s">
        <v>217</v>
      </c>
      <c r="AE318">
        <v>5</v>
      </c>
      <c r="AF318">
        <v>1</v>
      </c>
    </row>
    <row r="319" spans="1:32" x14ac:dyDescent="0.3">
      <c r="A319" t="s">
        <v>348</v>
      </c>
      <c r="B319" t="s">
        <v>45</v>
      </c>
      <c r="C319" t="s">
        <v>68</v>
      </c>
      <c r="D319" t="s">
        <v>309</v>
      </c>
      <c r="E319" t="s">
        <v>1240</v>
      </c>
      <c r="F319" s="15">
        <v>46230.325821759259</v>
      </c>
      <c r="G319" t="s">
        <v>408</v>
      </c>
      <c r="H319">
        <v>22</v>
      </c>
      <c r="I319" t="s">
        <v>1241</v>
      </c>
      <c r="J319" s="15">
        <v>46230.419444444444</v>
      </c>
      <c r="K319" s="15">
        <v>46232.520833333336</v>
      </c>
      <c r="L319" s="15"/>
      <c r="M319">
        <v>22</v>
      </c>
      <c r="O319" t="s">
        <v>201</v>
      </c>
      <c r="P319" t="s">
        <v>1956</v>
      </c>
      <c r="S319" t="s">
        <v>358</v>
      </c>
      <c r="T319" t="s">
        <v>370</v>
      </c>
      <c r="U319" t="s">
        <v>239</v>
      </c>
      <c r="V319" t="s">
        <v>348</v>
      </c>
      <c r="W319" t="s">
        <v>369</v>
      </c>
      <c r="X319" t="s">
        <v>239</v>
      </c>
      <c r="Y319">
        <v>0</v>
      </c>
      <c r="AA319" t="s">
        <v>67</v>
      </c>
      <c r="AB319" t="s">
        <v>358</v>
      </c>
      <c r="AC319">
        <v>1050</v>
      </c>
      <c r="AD319" t="s">
        <v>217</v>
      </c>
      <c r="AE319">
        <v>2.2000000000000002</v>
      </c>
      <c r="AF319">
        <v>1</v>
      </c>
    </row>
    <row r="320" spans="1:32" x14ac:dyDescent="0.3">
      <c r="A320" t="s">
        <v>348</v>
      </c>
      <c r="B320" t="s">
        <v>48</v>
      </c>
      <c r="C320" t="s">
        <v>68</v>
      </c>
      <c r="D320" t="s">
        <v>309</v>
      </c>
      <c r="E320" t="s">
        <v>1242</v>
      </c>
      <c r="F320" s="15">
        <v>46226.544976851852</v>
      </c>
      <c r="G320" t="s">
        <v>404</v>
      </c>
      <c r="H320">
        <v>1</v>
      </c>
      <c r="I320" t="s">
        <v>1243</v>
      </c>
      <c r="J320" s="15">
        <v>46227.467361111114</v>
      </c>
      <c r="K320" s="15">
        <v>46230.449305555558</v>
      </c>
      <c r="L320" s="15"/>
      <c r="M320">
        <v>1</v>
      </c>
      <c r="O320" t="s">
        <v>201</v>
      </c>
      <c r="P320" t="s">
        <v>1954</v>
      </c>
      <c r="S320" t="s">
        <v>358</v>
      </c>
      <c r="T320" t="s">
        <v>370</v>
      </c>
      <c r="U320" t="s">
        <v>239</v>
      </c>
      <c r="V320" t="s">
        <v>348</v>
      </c>
      <c r="W320" t="s">
        <v>369</v>
      </c>
      <c r="X320" t="s">
        <v>239</v>
      </c>
      <c r="Y320">
        <v>0</v>
      </c>
      <c r="AA320" t="s">
        <v>90</v>
      </c>
      <c r="AB320" t="s">
        <v>358</v>
      </c>
      <c r="AC320">
        <v>1050</v>
      </c>
      <c r="AD320" t="s">
        <v>217</v>
      </c>
      <c r="AE320">
        <v>1</v>
      </c>
      <c r="AF320">
        <v>1</v>
      </c>
    </row>
    <row r="321" spans="1:32" x14ac:dyDescent="0.3">
      <c r="A321" t="s">
        <v>349</v>
      </c>
      <c r="B321" t="s">
        <v>43</v>
      </c>
      <c r="C321" t="s">
        <v>105</v>
      </c>
      <c r="D321" t="s">
        <v>309</v>
      </c>
      <c r="E321" t="s">
        <v>1244</v>
      </c>
      <c r="F321" s="15">
        <v>46251.397696759261</v>
      </c>
      <c r="G321" t="s">
        <v>402</v>
      </c>
      <c r="H321">
        <v>1</v>
      </c>
      <c r="I321" t="s">
        <v>1245</v>
      </c>
      <c r="J321" s="15">
        <v>46252.372916666667</v>
      </c>
      <c r="K321" s="15">
        <v>46255.615277777775</v>
      </c>
      <c r="L321" s="15">
        <v>46255</v>
      </c>
      <c r="M321">
        <v>1</v>
      </c>
      <c r="O321" t="s">
        <v>201</v>
      </c>
      <c r="P321" t="s">
        <v>1956</v>
      </c>
      <c r="S321" t="s">
        <v>750</v>
      </c>
      <c r="T321" t="s">
        <v>751</v>
      </c>
      <c r="U321" t="s">
        <v>261</v>
      </c>
      <c r="V321" t="s">
        <v>349</v>
      </c>
      <c r="W321" t="s">
        <v>393</v>
      </c>
      <c r="X321" t="s">
        <v>261</v>
      </c>
      <c r="Y321">
        <v>0</v>
      </c>
      <c r="AA321" t="s">
        <v>67</v>
      </c>
      <c r="AB321" t="s">
        <v>750</v>
      </c>
      <c r="AC321">
        <v>2300</v>
      </c>
      <c r="AD321" t="s">
        <v>217</v>
      </c>
      <c r="AE321">
        <v>1</v>
      </c>
      <c r="AF321">
        <v>1</v>
      </c>
    </row>
    <row r="322" spans="1:32" x14ac:dyDescent="0.3">
      <c r="A322" t="s">
        <v>349</v>
      </c>
      <c r="B322" t="s">
        <v>63</v>
      </c>
      <c r="C322" t="s">
        <v>95</v>
      </c>
      <c r="D322" t="s">
        <v>309</v>
      </c>
      <c r="E322" t="s">
        <v>1158</v>
      </c>
      <c r="F322" s="15">
        <v>46239.427071759259</v>
      </c>
      <c r="G322" t="s">
        <v>402</v>
      </c>
      <c r="H322">
        <v>18</v>
      </c>
      <c r="I322" t="s">
        <v>1246</v>
      </c>
      <c r="J322" s="15">
        <v>46240.370833333334</v>
      </c>
      <c r="K322" s="15">
        <v>46253.495833333334</v>
      </c>
      <c r="L322" s="15"/>
      <c r="M322">
        <v>18</v>
      </c>
      <c r="O322" t="s">
        <v>201</v>
      </c>
      <c r="P322" t="s">
        <v>1954</v>
      </c>
      <c r="S322" t="s">
        <v>750</v>
      </c>
      <c r="T322" t="s">
        <v>751</v>
      </c>
      <c r="U322" t="s">
        <v>261</v>
      </c>
      <c r="V322" t="s">
        <v>7</v>
      </c>
      <c r="W322" t="s">
        <v>7</v>
      </c>
      <c r="X322" t="s">
        <v>7</v>
      </c>
      <c r="AA322" t="s">
        <v>96</v>
      </c>
      <c r="AB322" t="s">
        <v>750</v>
      </c>
      <c r="AC322">
        <v>2300</v>
      </c>
      <c r="AD322" t="s">
        <v>225</v>
      </c>
      <c r="AE322">
        <v>18</v>
      </c>
      <c r="AF322">
        <v>1.8</v>
      </c>
    </row>
    <row r="323" spans="1:32" x14ac:dyDescent="0.3">
      <c r="A323" t="s">
        <v>349</v>
      </c>
      <c r="B323" t="s">
        <v>57</v>
      </c>
      <c r="C323" t="s">
        <v>117</v>
      </c>
      <c r="D323" t="s">
        <v>309</v>
      </c>
      <c r="E323" t="s">
        <v>1158</v>
      </c>
      <c r="F323" s="15">
        <v>46239.427071759259</v>
      </c>
      <c r="G323" t="s">
        <v>402</v>
      </c>
      <c r="H323">
        <v>18</v>
      </c>
      <c r="I323" t="s">
        <v>1246</v>
      </c>
      <c r="J323" s="15">
        <v>46240.370833333334</v>
      </c>
      <c r="K323" s="15">
        <v>46253.495833333334</v>
      </c>
      <c r="L323" s="15"/>
      <c r="M323">
        <v>18</v>
      </c>
      <c r="O323" t="s">
        <v>201</v>
      </c>
      <c r="P323" t="s">
        <v>1954</v>
      </c>
      <c r="S323" t="s">
        <v>750</v>
      </c>
      <c r="T323" t="s">
        <v>751</v>
      </c>
      <c r="U323" t="s">
        <v>261</v>
      </c>
      <c r="V323" t="s">
        <v>7</v>
      </c>
      <c r="W323" t="s">
        <v>7</v>
      </c>
      <c r="X323" t="s">
        <v>7</v>
      </c>
      <c r="AA323" t="s">
        <v>127</v>
      </c>
      <c r="AB323" t="s">
        <v>750</v>
      </c>
      <c r="AC323">
        <v>2300</v>
      </c>
      <c r="AD323" t="s">
        <v>233</v>
      </c>
      <c r="AE323">
        <v>1.8</v>
      </c>
      <c r="AF323">
        <v>1</v>
      </c>
    </row>
    <row r="324" spans="1:32" x14ac:dyDescent="0.3">
      <c r="A324" t="s">
        <v>349</v>
      </c>
      <c r="B324" t="s">
        <v>279</v>
      </c>
      <c r="C324" t="s">
        <v>197</v>
      </c>
      <c r="D324" t="s">
        <v>309</v>
      </c>
      <c r="E324" t="s">
        <v>1158</v>
      </c>
      <c r="F324" s="15">
        <v>46239.427071759259</v>
      </c>
      <c r="G324" t="s">
        <v>402</v>
      </c>
      <c r="H324">
        <v>18</v>
      </c>
      <c r="I324" t="s">
        <v>1246</v>
      </c>
      <c r="J324" s="15">
        <v>46240.370833333334</v>
      </c>
      <c r="K324" s="15">
        <v>46253.495833333334</v>
      </c>
      <c r="L324" s="15"/>
      <c r="M324">
        <v>18</v>
      </c>
      <c r="O324" t="s">
        <v>201</v>
      </c>
      <c r="P324" t="s">
        <v>1956</v>
      </c>
      <c r="S324" t="s">
        <v>750</v>
      </c>
      <c r="T324" t="s">
        <v>751</v>
      </c>
      <c r="U324" t="s">
        <v>261</v>
      </c>
      <c r="V324" t="s">
        <v>7</v>
      </c>
      <c r="W324" t="s">
        <v>7</v>
      </c>
      <c r="X324" t="s">
        <v>7</v>
      </c>
      <c r="Z324">
        <v>16</v>
      </c>
      <c r="AA324" t="s">
        <v>122</v>
      </c>
      <c r="AB324" t="s">
        <v>750</v>
      </c>
      <c r="AC324">
        <v>2300</v>
      </c>
      <c r="AD324" t="s">
        <v>232</v>
      </c>
      <c r="AE324">
        <v>288</v>
      </c>
      <c r="AF324">
        <v>28.8</v>
      </c>
    </row>
    <row r="325" spans="1:32" x14ac:dyDescent="0.3">
      <c r="A325" t="s">
        <v>349</v>
      </c>
      <c r="B325" t="s">
        <v>45</v>
      </c>
      <c r="C325" t="s">
        <v>68</v>
      </c>
      <c r="D325" t="s">
        <v>309</v>
      </c>
      <c r="E325" t="s">
        <v>1247</v>
      </c>
      <c r="F325" s="15">
        <v>46251.388148148151</v>
      </c>
      <c r="G325" t="s">
        <v>752</v>
      </c>
      <c r="H325">
        <v>10</v>
      </c>
      <c r="I325" t="s">
        <v>1248</v>
      </c>
      <c r="J325" s="15">
        <v>46251.484722222223</v>
      </c>
      <c r="K325" s="15">
        <v>46255.618055555555</v>
      </c>
      <c r="L325" s="15">
        <v>46255.486111111109</v>
      </c>
      <c r="M325">
        <v>10</v>
      </c>
      <c r="O325" t="s">
        <v>201</v>
      </c>
      <c r="P325" t="s">
        <v>1956</v>
      </c>
      <c r="S325" t="s">
        <v>750</v>
      </c>
      <c r="T325" t="s">
        <v>751</v>
      </c>
      <c r="U325" t="s">
        <v>261</v>
      </c>
      <c r="V325" t="s">
        <v>349</v>
      </c>
      <c r="W325" t="s">
        <v>393</v>
      </c>
      <c r="X325" t="s">
        <v>261</v>
      </c>
      <c r="Y325">
        <v>0</v>
      </c>
      <c r="AA325" t="s">
        <v>67</v>
      </c>
      <c r="AB325" t="s">
        <v>750</v>
      </c>
      <c r="AC325">
        <v>2300</v>
      </c>
      <c r="AD325" t="s">
        <v>217</v>
      </c>
      <c r="AE325">
        <v>1</v>
      </c>
    </row>
    <row r="326" spans="1:32" x14ac:dyDescent="0.3">
      <c r="A326" t="s">
        <v>349</v>
      </c>
      <c r="B326" t="s">
        <v>51</v>
      </c>
      <c r="C326" t="s">
        <v>258</v>
      </c>
      <c r="D326" t="s">
        <v>309</v>
      </c>
      <c r="E326" t="s">
        <v>753</v>
      </c>
      <c r="F326" s="15">
        <v>46252.367824074077</v>
      </c>
      <c r="G326" t="s">
        <v>752</v>
      </c>
      <c r="H326">
        <v>150</v>
      </c>
      <c r="I326" t="s">
        <v>754</v>
      </c>
      <c r="J326" s="15">
        <v>46253.532638888886</v>
      </c>
      <c r="K326" s="15">
        <v>46255.618055555555</v>
      </c>
      <c r="L326" s="15"/>
      <c r="M326">
        <v>150</v>
      </c>
      <c r="O326" t="s">
        <v>201</v>
      </c>
      <c r="P326" t="s">
        <v>1956</v>
      </c>
      <c r="S326" t="s">
        <v>750</v>
      </c>
      <c r="T326" t="s">
        <v>751</v>
      </c>
      <c r="U326" t="s">
        <v>261</v>
      </c>
      <c r="V326" t="s">
        <v>7</v>
      </c>
      <c r="W326" t="s">
        <v>7</v>
      </c>
      <c r="X326" t="s">
        <v>7</v>
      </c>
      <c r="AA326" t="s">
        <v>238</v>
      </c>
      <c r="AB326" t="s">
        <v>750</v>
      </c>
      <c r="AC326">
        <v>2300</v>
      </c>
      <c r="AD326" t="s">
        <v>7</v>
      </c>
      <c r="AF326">
        <v>0</v>
      </c>
    </row>
    <row r="327" spans="1:32" x14ac:dyDescent="0.3">
      <c r="A327" t="s">
        <v>349</v>
      </c>
      <c r="B327" t="s">
        <v>45</v>
      </c>
      <c r="C327" t="s">
        <v>68</v>
      </c>
      <c r="D327" t="s">
        <v>309</v>
      </c>
      <c r="E327" t="s">
        <v>1249</v>
      </c>
      <c r="F327" s="15">
        <v>46251.394097222219</v>
      </c>
      <c r="G327" t="s">
        <v>752</v>
      </c>
      <c r="H327">
        <v>5</v>
      </c>
      <c r="I327" t="s">
        <v>1250</v>
      </c>
      <c r="J327" s="15">
        <v>46251.520138888889</v>
      </c>
      <c r="K327" s="15">
        <v>46255.615277777775</v>
      </c>
      <c r="L327" s="15">
        <v>46255.520138888889</v>
      </c>
      <c r="M327">
        <v>5</v>
      </c>
      <c r="O327" t="s">
        <v>201</v>
      </c>
      <c r="P327" t="s">
        <v>1956</v>
      </c>
      <c r="S327" t="s">
        <v>750</v>
      </c>
      <c r="T327" t="s">
        <v>751</v>
      </c>
      <c r="U327" t="s">
        <v>261</v>
      </c>
      <c r="V327" t="s">
        <v>349</v>
      </c>
      <c r="W327" t="s">
        <v>393</v>
      </c>
      <c r="X327" t="s">
        <v>261</v>
      </c>
      <c r="AA327" t="s">
        <v>67</v>
      </c>
      <c r="AB327" t="s">
        <v>750</v>
      </c>
      <c r="AC327">
        <v>2300</v>
      </c>
      <c r="AD327" t="s">
        <v>217</v>
      </c>
      <c r="AE327">
        <v>1</v>
      </c>
    </row>
    <row r="328" spans="1:32" x14ac:dyDescent="0.3">
      <c r="A328" t="s">
        <v>349</v>
      </c>
      <c r="B328" t="s">
        <v>48</v>
      </c>
      <c r="C328" t="s">
        <v>68</v>
      </c>
      <c r="D328" t="s">
        <v>309</v>
      </c>
      <c r="E328" t="s">
        <v>1251</v>
      </c>
      <c r="F328" s="15">
        <v>46226.72587962963</v>
      </c>
      <c r="G328" t="s">
        <v>402</v>
      </c>
      <c r="H328">
        <v>1</v>
      </c>
      <c r="I328" t="s">
        <v>1252</v>
      </c>
      <c r="J328" s="15">
        <v>46227.348449074074</v>
      </c>
      <c r="K328" s="15">
        <v>46232.441666666666</v>
      </c>
      <c r="L328" s="15">
        <v>46232.441666666666</v>
      </c>
      <c r="M328">
        <v>1</v>
      </c>
      <c r="O328" t="s">
        <v>201</v>
      </c>
      <c r="P328" t="s">
        <v>1956</v>
      </c>
      <c r="S328" t="s">
        <v>750</v>
      </c>
      <c r="T328" t="s">
        <v>751</v>
      </c>
      <c r="U328" t="s">
        <v>261</v>
      </c>
      <c r="V328" t="s">
        <v>349</v>
      </c>
      <c r="W328" t="s">
        <v>393</v>
      </c>
      <c r="X328" t="s">
        <v>261</v>
      </c>
      <c r="Y328">
        <v>0</v>
      </c>
      <c r="AA328" t="s">
        <v>90</v>
      </c>
      <c r="AB328" t="s">
        <v>750</v>
      </c>
      <c r="AC328">
        <v>2300</v>
      </c>
      <c r="AD328" t="s">
        <v>217</v>
      </c>
      <c r="AE328">
        <v>1</v>
      </c>
      <c r="AF328">
        <v>1</v>
      </c>
    </row>
    <row r="329" spans="1:32" x14ac:dyDescent="0.3">
      <c r="A329" t="s">
        <v>349</v>
      </c>
      <c r="B329" t="s">
        <v>45</v>
      </c>
      <c r="C329" t="s">
        <v>68</v>
      </c>
      <c r="D329" t="s">
        <v>309</v>
      </c>
      <c r="E329" t="s">
        <v>1253</v>
      </c>
      <c r="F329" s="15">
        <v>46219.31449074074</v>
      </c>
      <c r="G329" t="s">
        <v>752</v>
      </c>
      <c r="H329">
        <v>9</v>
      </c>
      <c r="I329" t="s">
        <v>1254</v>
      </c>
      <c r="J329" s="15">
        <v>46219.41547453704</v>
      </c>
      <c r="K329" s="15">
        <v>46232.447916666664</v>
      </c>
      <c r="L329" s="15">
        <v>46224.708333333336</v>
      </c>
      <c r="M329">
        <v>9</v>
      </c>
      <c r="O329" t="s">
        <v>201</v>
      </c>
      <c r="P329" t="s">
        <v>1956</v>
      </c>
      <c r="S329" t="s">
        <v>750</v>
      </c>
      <c r="T329" t="s">
        <v>751</v>
      </c>
      <c r="U329" t="s">
        <v>261</v>
      </c>
      <c r="V329" t="s">
        <v>349</v>
      </c>
      <c r="W329" t="s">
        <v>393</v>
      </c>
      <c r="X329" t="s">
        <v>261</v>
      </c>
      <c r="Y329">
        <v>0</v>
      </c>
      <c r="AA329" t="s">
        <v>67</v>
      </c>
      <c r="AB329" t="s">
        <v>750</v>
      </c>
      <c r="AC329">
        <v>2300</v>
      </c>
      <c r="AD329" t="s">
        <v>217</v>
      </c>
      <c r="AE329">
        <v>1</v>
      </c>
    </row>
    <row r="330" spans="1:32" x14ac:dyDescent="0.3">
      <c r="A330" t="s">
        <v>347</v>
      </c>
      <c r="B330" t="s">
        <v>51</v>
      </c>
      <c r="C330" t="s">
        <v>258</v>
      </c>
      <c r="D330" t="s">
        <v>309</v>
      </c>
      <c r="E330" t="s">
        <v>1255</v>
      </c>
      <c r="F330" s="15">
        <v>46253.364374999997</v>
      </c>
      <c r="G330" t="s">
        <v>759</v>
      </c>
      <c r="H330">
        <v>105</v>
      </c>
      <c r="I330" t="s">
        <v>1256</v>
      </c>
      <c r="J330" s="15">
        <v>46253.631249999999</v>
      </c>
      <c r="K330" s="15">
        <v>46254.472222222219</v>
      </c>
      <c r="L330" s="15"/>
      <c r="M330">
        <v>105</v>
      </c>
      <c r="O330" t="s">
        <v>201</v>
      </c>
      <c r="P330" t="s">
        <v>1954</v>
      </c>
      <c r="S330" t="s">
        <v>1257</v>
      </c>
      <c r="T330" t="s">
        <v>1258</v>
      </c>
      <c r="U330" t="s">
        <v>240</v>
      </c>
      <c r="V330" t="s">
        <v>7</v>
      </c>
      <c r="W330" t="s">
        <v>7</v>
      </c>
      <c r="X330" t="s">
        <v>7</v>
      </c>
      <c r="AA330" t="s">
        <v>238</v>
      </c>
      <c r="AB330" t="s">
        <v>1257</v>
      </c>
      <c r="AD330" t="s">
        <v>7</v>
      </c>
      <c r="AF330">
        <v>0</v>
      </c>
    </row>
    <row r="331" spans="1:32" x14ac:dyDescent="0.3">
      <c r="A331" t="s">
        <v>347</v>
      </c>
      <c r="B331" t="s">
        <v>51</v>
      </c>
      <c r="C331" t="s">
        <v>258</v>
      </c>
      <c r="D331" t="s">
        <v>309</v>
      </c>
      <c r="E331" t="s">
        <v>1259</v>
      </c>
      <c r="F331" s="15">
        <v>46252.495659722219</v>
      </c>
      <c r="G331" t="s">
        <v>1260</v>
      </c>
      <c r="H331">
        <v>220</v>
      </c>
      <c r="I331" t="s">
        <v>1261</v>
      </c>
      <c r="J331" s="15">
        <v>46253.654861111114</v>
      </c>
      <c r="K331" s="15">
        <v>46255.357638888891</v>
      </c>
      <c r="L331" s="15"/>
      <c r="M331">
        <v>220</v>
      </c>
      <c r="O331" t="s">
        <v>201</v>
      </c>
      <c r="P331" t="s">
        <v>1954</v>
      </c>
      <c r="S331" t="s">
        <v>1257</v>
      </c>
      <c r="T331" t="s">
        <v>1258</v>
      </c>
      <c r="U331" t="s">
        <v>240</v>
      </c>
      <c r="V331" t="s">
        <v>7</v>
      </c>
      <c r="W331" t="s">
        <v>7</v>
      </c>
      <c r="X331" t="s">
        <v>7</v>
      </c>
      <c r="AA331" t="s">
        <v>238</v>
      </c>
      <c r="AB331" t="s">
        <v>1257</v>
      </c>
      <c r="AD331" t="s">
        <v>7</v>
      </c>
      <c r="AF331">
        <v>0</v>
      </c>
    </row>
    <row r="332" spans="1:32" x14ac:dyDescent="0.3">
      <c r="A332" t="s">
        <v>347</v>
      </c>
      <c r="B332" t="s">
        <v>45</v>
      </c>
      <c r="C332" t="s">
        <v>68</v>
      </c>
      <c r="D332" t="s">
        <v>309</v>
      </c>
      <c r="E332" t="s">
        <v>1262</v>
      </c>
      <c r="F332" s="15">
        <v>46244.678773148145</v>
      </c>
      <c r="G332" t="s">
        <v>1260</v>
      </c>
      <c r="H332">
        <v>25</v>
      </c>
      <c r="I332" t="s">
        <v>1263</v>
      </c>
      <c r="J332" s="15">
        <v>46245.410416666666</v>
      </c>
      <c r="K332" s="15">
        <v>46246.395833333336</v>
      </c>
      <c r="L332" s="15"/>
      <c r="M332">
        <v>25</v>
      </c>
      <c r="O332" t="s">
        <v>201</v>
      </c>
      <c r="P332" t="s">
        <v>1954</v>
      </c>
      <c r="S332" t="s">
        <v>1257</v>
      </c>
      <c r="T332" t="s">
        <v>1258</v>
      </c>
      <c r="U332" t="s">
        <v>240</v>
      </c>
      <c r="V332" t="s">
        <v>347</v>
      </c>
      <c r="W332" t="s">
        <v>351</v>
      </c>
      <c r="X332" t="s">
        <v>240</v>
      </c>
      <c r="Y332">
        <v>3</v>
      </c>
      <c r="AA332" t="s">
        <v>67</v>
      </c>
      <c r="AB332" t="s">
        <v>1257</v>
      </c>
      <c r="AD332" t="s">
        <v>217</v>
      </c>
      <c r="AE332">
        <v>2.5</v>
      </c>
      <c r="AF332">
        <v>1</v>
      </c>
    </row>
    <row r="333" spans="1:32" x14ac:dyDescent="0.3">
      <c r="A333" t="s">
        <v>347</v>
      </c>
      <c r="B333" t="s">
        <v>45</v>
      </c>
      <c r="C333" t="s">
        <v>68</v>
      </c>
      <c r="D333" t="s">
        <v>309</v>
      </c>
      <c r="E333" t="s">
        <v>1264</v>
      </c>
      <c r="F333" s="15">
        <v>46252.494293981479</v>
      </c>
      <c r="G333" t="s">
        <v>1260</v>
      </c>
      <c r="H333">
        <v>25</v>
      </c>
      <c r="I333" t="s">
        <v>1265</v>
      </c>
      <c r="J333" s="15">
        <v>46252.644444444442</v>
      </c>
      <c r="K333" s="15">
        <v>46253.423611111109</v>
      </c>
      <c r="L333" s="15"/>
      <c r="M333">
        <v>25</v>
      </c>
      <c r="O333" t="s">
        <v>201</v>
      </c>
      <c r="P333" t="s">
        <v>1954</v>
      </c>
      <c r="S333" t="s">
        <v>1257</v>
      </c>
      <c r="T333" t="s">
        <v>1258</v>
      </c>
      <c r="U333" t="s">
        <v>240</v>
      </c>
      <c r="V333" t="s">
        <v>347</v>
      </c>
      <c r="W333" t="s">
        <v>351</v>
      </c>
      <c r="X333" t="s">
        <v>240</v>
      </c>
      <c r="Y333">
        <v>3</v>
      </c>
      <c r="AA333" t="s">
        <v>67</v>
      </c>
      <c r="AB333" t="s">
        <v>1257</v>
      </c>
      <c r="AD333" t="s">
        <v>217</v>
      </c>
      <c r="AE333">
        <v>2.5</v>
      </c>
      <c r="AF333">
        <v>1</v>
      </c>
    </row>
    <row r="334" spans="1:32" x14ac:dyDescent="0.3">
      <c r="A334" t="s">
        <v>347</v>
      </c>
      <c r="B334" t="s">
        <v>45</v>
      </c>
      <c r="C334" t="s">
        <v>68</v>
      </c>
      <c r="D334" t="s">
        <v>309</v>
      </c>
      <c r="E334" t="s">
        <v>1266</v>
      </c>
      <c r="F334" s="15">
        <v>46237.299120370371</v>
      </c>
      <c r="G334" t="s">
        <v>1260</v>
      </c>
      <c r="H334">
        <v>20</v>
      </c>
      <c r="I334" t="s">
        <v>1267</v>
      </c>
      <c r="J334" s="15">
        <v>46237.356944444444</v>
      </c>
      <c r="K334" s="15">
        <v>46239.371527777781</v>
      </c>
      <c r="L334" s="15"/>
      <c r="M334">
        <v>20</v>
      </c>
      <c r="O334" t="s">
        <v>201</v>
      </c>
      <c r="P334" t="s">
        <v>1956</v>
      </c>
      <c r="S334" t="s">
        <v>1257</v>
      </c>
      <c r="T334" t="s">
        <v>1258</v>
      </c>
      <c r="U334" t="s">
        <v>240</v>
      </c>
      <c r="V334" t="s">
        <v>347</v>
      </c>
      <c r="W334" t="s">
        <v>351</v>
      </c>
      <c r="X334" t="s">
        <v>240</v>
      </c>
      <c r="Y334">
        <v>3</v>
      </c>
      <c r="AA334" t="s">
        <v>67</v>
      </c>
      <c r="AB334" t="s">
        <v>1257</v>
      </c>
      <c r="AD334" t="s">
        <v>217</v>
      </c>
      <c r="AE334">
        <v>2</v>
      </c>
      <c r="AF334">
        <v>1</v>
      </c>
    </row>
    <row r="335" spans="1:32" x14ac:dyDescent="0.3">
      <c r="A335" t="s">
        <v>347</v>
      </c>
      <c r="B335" t="s">
        <v>51</v>
      </c>
      <c r="C335" t="s">
        <v>258</v>
      </c>
      <c r="D335" t="s">
        <v>309</v>
      </c>
      <c r="E335" t="s">
        <v>1268</v>
      </c>
      <c r="F335" s="15">
        <v>46218.456944444442</v>
      </c>
      <c r="G335" t="s">
        <v>1269</v>
      </c>
      <c r="H335">
        <v>6</v>
      </c>
      <c r="I335" t="s">
        <v>1270</v>
      </c>
      <c r="J335" s="15">
        <v>46218.598611111112</v>
      </c>
      <c r="K335" s="15">
        <v>46220.557638888888</v>
      </c>
      <c r="L335" s="15"/>
      <c r="M335">
        <v>6</v>
      </c>
      <c r="O335" t="s">
        <v>201</v>
      </c>
      <c r="P335" t="s">
        <v>1954</v>
      </c>
      <c r="S335" t="s">
        <v>361</v>
      </c>
      <c r="T335" t="s">
        <v>372</v>
      </c>
      <c r="U335" t="s">
        <v>240</v>
      </c>
      <c r="V335" t="s">
        <v>7</v>
      </c>
      <c r="W335" t="s">
        <v>7</v>
      </c>
      <c r="X335" t="s">
        <v>7</v>
      </c>
      <c r="AA335" t="s">
        <v>238</v>
      </c>
      <c r="AB335" t="s">
        <v>361</v>
      </c>
      <c r="AC335">
        <v>1100</v>
      </c>
      <c r="AD335" t="s">
        <v>7</v>
      </c>
      <c r="AF335">
        <v>0</v>
      </c>
    </row>
    <row r="336" spans="1:32" x14ac:dyDescent="0.3">
      <c r="A336" t="s">
        <v>347</v>
      </c>
      <c r="B336" t="s">
        <v>51</v>
      </c>
      <c r="C336" t="s">
        <v>258</v>
      </c>
      <c r="D336" t="s">
        <v>309</v>
      </c>
      <c r="E336" t="s">
        <v>1271</v>
      </c>
      <c r="F336" s="15">
        <v>46230.652881944443</v>
      </c>
      <c r="G336" t="s">
        <v>1269</v>
      </c>
      <c r="H336">
        <v>20</v>
      </c>
      <c r="I336" t="s">
        <v>1272</v>
      </c>
      <c r="J336" s="15">
        <v>46230.70208333333</v>
      </c>
      <c r="K336" s="15">
        <v>46232.451388888891</v>
      </c>
      <c r="L336" s="15"/>
      <c r="M336">
        <v>20</v>
      </c>
      <c r="O336" t="s">
        <v>201</v>
      </c>
      <c r="P336" t="s">
        <v>1954</v>
      </c>
      <c r="S336" t="s">
        <v>361</v>
      </c>
      <c r="T336" t="s">
        <v>372</v>
      </c>
      <c r="U336" t="s">
        <v>240</v>
      </c>
      <c r="V336" t="s">
        <v>7</v>
      </c>
      <c r="W336" t="s">
        <v>7</v>
      </c>
      <c r="X336" t="s">
        <v>7</v>
      </c>
      <c r="AA336" t="s">
        <v>238</v>
      </c>
      <c r="AB336" t="s">
        <v>361</v>
      </c>
      <c r="AC336">
        <v>1100</v>
      </c>
      <c r="AD336" t="s">
        <v>7</v>
      </c>
      <c r="AF336">
        <v>0</v>
      </c>
    </row>
    <row r="337" spans="1:32" x14ac:dyDescent="0.3">
      <c r="A337" t="s">
        <v>347</v>
      </c>
      <c r="B337" t="s">
        <v>63</v>
      </c>
      <c r="C337" t="s">
        <v>95</v>
      </c>
      <c r="D337" t="s">
        <v>309</v>
      </c>
      <c r="E337" t="s">
        <v>1273</v>
      </c>
      <c r="F337" s="15">
        <v>46248.469560185185</v>
      </c>
      <c r="G337" t="s">
        <v>411</v>
      </c>
      <c r="H337">
        <v>26</v>
      </c>
      <c r="I337" t="s">
        <v>1274</v>
      </c>
      <c r="J337" s="15">
        <v>46251.56527777778</v>
      </c>
      <c r="K337" s="15">
        <v>46254.506944444445</v>
      </c>
      <c r="L337" s="15"/>
      <c r="M337">
        <v>26</v>
      </c>
      <c r="O337" t="s">
        <v>201</v>
      </c>
      <c r="P337" t="s">
        <v>1954</v>
      </c>
      <c r="S337" t="s">
        <v>361</v>
      </c>
      <c r="T337" t="s">
        <v>372</v>
      </c>
      <c r="U337" t="s">
        <v>240</v>
      </c>
      <c r="V337" t="s">
        <v>7</v>
      </c>
      <c r="W337" t="s">
        <v>7</v>
      </c>
      <c r="X337" t="s">
        <v>7</v>
      </c>
      <c r="AA337" t="s">
        <v>96</v>
      </c>
      <c r="AB337" t="s">
        <v>361</v>
      </c>
      <c r="AC337">
        <v>1100</v>
      </c>
      <c r="AD337" t="s">
        <v>225</v>
      </c>
      <c r="AE337">
        <v>26</v>
      </c>
      <c r="AF337">
        <v>2.6</v>
      </c>
    </row>
    <row r="338" spans="1:32" x14ac:dyDescent="0.3">
      <c r="A338" t="s">
        <v>347</v>
      </c>
      <c r="B338" t="s">
        <v>279</v>
      </c>
      <c r="C338" t="s">
        <v>197</v>
      </c>
      <c r="D338" t="s">
        <v>309</v>
      </c>
      <c r="E338" t="s">
        <v>1273</v>
      </c>
      <c r="F338" s="15">
        <v>46248.469560185185</v>
      </c>
      <c r="G338" t="s">
        <v>411</v>
      </c>
      <c r="H338">
        <v>26</v>
      </c>
      <c r="I338" t="s">
        <v>1274</v>
      </c>
      <c r="J338" s="15">
        <v>46251.56527777778</v>
      </c>
      <c r="K338" s="15">
        <v>46254.506944444445</v>
      </c>
      <c r="L338" s="15"/>
      <c r="M338">
        <v>26</v>
      </c>
      <c r="O338" t="s">
        <v>201</v>
      </c>
      <c r="P338" t="s">
        <v>1954</v>
      </c>
      <c r="S338" t="s">
        <v>361</v>
      </c>
      <c r="T338" t="s">
        <v>372</v>
      </c>
      <c r="U338" t="s">
        <v>240</v>
      </c>
      <c r="V338" t="s">
        <v>7</v>
      </c>
      <c r="W338" t="s">
        <v>7</v>
      </c>
      <c r="X338" t="s">
        <v>7</v>
      </c>
      <c r="Z338">
        <v>16</v>
      </c>
      <c r="AA338" t="s">
        <v>122</v>
      </c>
      <c r="AB338" t="s">
        <v>361</v>
      </c>
      <c r="AC338">
        <v>1100</v>
      </c>
      <c r="AD338" t="s">
        <v>232</v>
      </c>
      <c r="AE338">
        <v>416</v>
      </c>
      <c r="AF338">
        <v>41.6</v>
      </c>
    </row>
    <row r="339" spans="1:32" x14ac:dyDescent="0.3">
      <c r="A339" t="s">
        <v>347</v>
      </c>
      <c r="B339" t="s">
        <v>57</v>
      </c>
      <c r="C339" t="s">
        <v>117</v>
      </c>
      <c r="D339" t="s">
        <v>309</v>
      </c>
      <c r="E339" t="s">
        <v>1273</v>
      </c>
      <c r="F339" s="15">
        <v>46248.469560185185</v>
      </c>
      <c r="G339" t="s">
        <v>411</v>
      </c>
      <c r="H339">
        <v>26</v>
      </c>
      <c r="I339" t="s">
        <v>1274</v>
      </c>
      <c r="J339" s="15">
        <v>46251.56527777778</v>
      </c>
      <c r="K339" s="15">
        <v>46254.506944444445</v>
      </c>
      <c r="L339" s="15"/>
      <c r="M339">
        <v>26</v>
      </c>
      <c r="O339" t="s">
        <v>201</v>
      </c>
      <c r="P339" t="s">
        <v>1954</v>
      </c>
      <c r="S339" t="s">
        <v>361</v>
      </c>
      <c r="T339" t="s">
        <v>372</v>
      </c>
      <c r="U339" t="s">
        <v>240</v>
      </c>
      <c r="V339" t="s">
        <v>7</v>
      </c>
      <c r="W339" t="s">
        <v>7</v>
      </c>
      <c r="X339" t="s">
        <v>7</v>
      </c>
      <c r="AA339" t="s">
        <v>127</v>
      </c>
      <c r="AB339" t="s">
        <v>361</v>
      </c>
      <c r="AC339">
        <v>1100</v>
      </c>
      <c r="AD339" t="s">
        <v>233</v>
      </c>
      <c r="AE339">
        <v>2.6</v>
      </c>
      <c r="AF339">
        <v>1</v>
      </c>
    </row>
    <row r="340" spans="1:32" x14ac:dyDescent="0.3">
      <c r="A340" t="s">
        <v>347</v>
      </c>
      <c r="B340" t="s">
        <v>51</v>
      </c>
      <c r="C340" t="s">
        <v>258</v>
      </c>
      <c r="D340" t="s">
        <v>309</v>
      </c>
      <c r="E340" t="s">
        <v>1275</v>
      </c>
      <c r="F340" s="15">
        <v>46253.319224537037</v>
      </c>
      <c r="G340" t="s">
        <v>400</v>
      </c>
      <c r="H340">
        <v>32</v>
      </c>
      <c r="I340" t="s">
        <v>1276</v>
      </c>
      <c r="J340" s="15">
        <v>46253.518750000003</v>
      </c>
      <c r="K340" s="15">
        <v>46254.46875</v>
      </c>
      <c r="L340" s="15"/>
      <c r="M340">
        <v>32</v>
      </c>
      <c r="O340" t="s">
        <v>201</v>
      </c>
      <c r="P340" t="s">
        <v>1954</v>
      </c>
      <c r="S340" t="s">
        <v>362</v>
      </c>
      <c r="T340" t="s">
        <v>373</v>
      </c>
      <c r="U340" t="s">
        <v>240</v>
      </c>
      <c r="V340" t="s">
        <v>7</v>
      </c>
      <c r="W340" t="s">
        <v>7</v>
      </c>
      <c r="X340" t="s">
        <v>7</v>
      </c>
      <c r="AA340" t="s">
        <v>238</v>
      </c>
      <c r="AB340" t="s">
        <v>362</v>
      </c>
      <c r="AD340" t="s">
        <v>7</v>
      </c>
      <c r="AF340">
        <v>0</v>
      </c>
    </row>
    <row r="341" spans="1:32" x14ac:dyDescent="0.3">
      <c r="A341" t="s">
        <v>347</v>
      </c>
      <c r="B341" t="s">
        <v>51</v>
      </c>
      <c r="C341" t="s">
        <v>258</v>
      </c>
      <c r="D341" t="s">
        <v>309</v>
      </c>
      <c r="E341" t="s">
        <v>1277</v>
      </c>
      <c r="F341" s="15">
        <v>46253.318599537037</v>
      </c>
      <c r="G341" t="s">
        <v>400</v>
      </c>
      <c r="H341">
        <v>32</v>
      </c>
      <c r="I341" t="s">
        <v>1276</v>
      </c>
      <c r="J341" s="15">
        <v>46253.518750000003</v>
      </c>
      <c r="K341" s="15">
        <v>46254.46875</v>
      </c>
      <c r="L341" s="15"/>
      <c r="M341">
        <v>32</v>
      </c>
      <c r="O341" t="s">
        <v>201</v>
      </c>
      <c r="P341" t="s">
        <v>1954</v>
      </c>
      <c r="S341" t="s">
        <v>362</v>
      </c>
      <c r="T341" t="s">
        <v>373</v>
      </c>
      <c r="U341" t="s">
        <v>240</v>
      </c>
      <c r="V341" t="s">
        <v>7</v>
      </c>
      <c r="W341" t="s">
        <v>7</v>
      </c>
      <c r="X341" t="s">
        <v>7</v>
      </c>
      <c r="AA341" t="s">
        <v>238</v>
      </c>
      <c r="AB341" t="s">
        <v>362</v>
      </c>
      <c r="AD341" t="s">
        <v>7</v>
      </c>
    </row>
    <row r="342" spans="1:32" x14ac:dyDescent="0.3">
      <c r="A342" t="s">
        <v>347</v>
      </c>
      <c r="B342" t="s">
        <v>51</v>
      </c>
      <c r="C342" t="s">
        <v>258</v>
      </c>
      <c r="D342" t="s">
        <v>309</v>
      </c>
      <c r="E342" t="s">
        <v>1278</v>
      </c>
      <c r="F342" s="15">
        <v>46253.319699074076</v>
      </c>
      <c r="G342" t="s">
        <v>400</v>
      </c>
      <c r="H342">
        <v>32</v>
      </c>
      <c r="I342" t="s">
        <v>1276</v>
      </c>
      <c r="J342" s="15">
        <v>46253.518750000003</v>
      </c>
      <c r="K342" s="15">
        <v>46254.46875</v>
      </c>
      <c r="L342" s="15"/>
      <c r="M342">
        <v>32</v>
      </c>
      <c r="O342" t="s">
        <v>201</v>
      </c>
      <c r="P342" t="s">
        <v>1954</v>
      </c>
      <c r="S342" t="s">
        <v>362</v>
      </c>
      <c r="T342" t="s">
        <v>373</v>
      </c>
      <c r="U342" t="s">
        <v>240</v>
      </c>
      <c r="V342" t="s">
        <v>7</v>
      </c>
      <c r="W342" t="s">
        <v>7</v>
      </c>
      <c r="X342" t="s">
        <v>7</v>
      </c>
      <c r="AA342" t="s">
        <v>238</v>
      </c>
      <c r="AB342" t="s">
        <v>362</v>
      </c>
      <c r="AD342" t="s">
        <v>7</v>
      </c>
    </row>
    <row r="343" spans="1:32" x14ac:dyDescent="0.3">
      <c r="A343" t="s">
        <v>347</v>
      </c>
      <c r="B343" t="s">
        <v>43</v>
      </c>
      <c r="C343" t="s">
        <v>105</v>
      </c>
      <c r="D343" t="s">
        <v>309</v>
      </c>
      <c r="E343" t="s">
        <v>1279</v>
      </c>
      <c r="F343" s="15">
        <v>46244.665532407409</v>
      </c>
      <c r="G343" t="s">
        <v>400</v>
      </c>
      <c r="H343">
        <v>3</v>
      </c>
      <c r="I343" t="s">
        <v>1280</v>
      </c>
      <c r="J343" s="15">
        <v>46246.388194444444</v>
      </c>
      <c r="K343" s="15">
        <v>46247.479166666664</v>
      </c>
      <c r="L343" s="15"/>
      <c r="M343">
        <v>3</v>
      </c>
      <c r="O343" t="s">
        <v>201</v>
      </c>
      <c r="P343" t="s">
        <v>1954</v>
      </c>
      <c r="S343" t="s">
        <v>362</v>
      </c>
      <c r="T343" t="s">
        <v>373</v>
      </c>
      <c r="U343" t="s">
        <v>240</v>
      </c>
      <c r="V343" t="s">
        <v>347</v>
      </c>
      <c r="W343" t="s">
        <v>351</v>
      </c>
      <c r="X343" t="s">
        <v>240</v>
      </c>
      <c r="Y343">
        <v>48</v>
      </c>
      <c r="AA343" t="s">
        <v>67</v>
      </c>
      <c r="AB343" t="s">
        <v>362</v>
      </c>
      <c r="AD343" t="s">
        <v>217</v>
      </c>
      <c r="AE343">
        <v>1</v>
      </c>
      <c r="AF343">
        <v>1</v>
      </c>
    </row>
    <row r="344" spans="1:32" x14ac:dyDescent="0.3">
      <c r="A344" t="s">
        <v>347</v>
      </c>
      <c r="B344" t="s">
        <v>45</v>
      </c>
      <c r="C344" t="s">
        <v>68</v>
      </c>
      <c r="D344" t="s">
        <v>309</v>
      </c>
      <c r="E344" t="s">
        <v>1281</v>
      </c>
      <c r="F344" s="15">
        <v>46244.660208333335</v>
      </c>
      <c r="G344" t="s">
        <v>400</v>
      </c>
      <c r="H344">
        <v>25</v>
      </c>
      <c r="I344" t="s">
        <v>1282</v>
      </c>
      <c r="J344" s="15">
        <v>46245.366666666669</v>
      </c>
      <c r="K344" s="15">
        <v>46246.611111111109</v>
      </c>
      <c r="L344" s="15"/>
      <c r="M344">
        <v>25</v>
      </c>
      <c r="O344" t="s">
        <v>201</v>
      </c>
      <c r="P344" t="s">
        <v>1954</v>
      </c>
      <c r="S344" t="s">
        <v>362</v>
      </c>
      <c r="T344" t="s">
        <v>373</v>
      </c>
      <c r="U344" t="s">
        <v>240</v>
      </c>
      <c r="V344" t="s">
        <v>347</v>
      </c>
      <c r="W344" t="s">
        <v>351</v>
      </c>
      <c r="X344" t="s">
        <v>240</v>
      </c>
      <c r="Y344">
        <v>48</v>
      </c>
      <c r="AA344" t="s">
        <v>67</v>
      </c>
      <c r="AB344" t="s">
        <v>362</v>
      </c>
      <c r="AD344" t="s">
        <v>217</v>
      </c>
      <c r="AE344">
        <v>2.5</v>
      </c>
      <c r="AF344">
        <v>1</v>
      </c>
    </row>
    <row r="345" spans="1:32" x14ac:dyDescent="0.3">
      <c r="A345" t="s">
        <v>347</v>
      </c>
      <c r="B345" t="s">
        <v>51</v>
      </c>
      <c r="C345" t="s">
        <v>258</v>
      </c>
      <c r="D345" t="s">
        <v>309</v>
      </c>
      <c r="E345" t="s">
        <v>1283</v>
      </c>
      <c r="F345" s="15">
        <v>46244.662893518522</v>
      </c>
      <c r="G345" t="s">
        <v>400</v>
      </c>
      <c r="H345">
        <v>25</v>
      </c>
      <c r="I345" t="s">
        <v>1284</v>
      </c>
      <c r="J345" s="15">
        <v>46245.432638888888</v>
      </c>
      <c r="K345" s="15">
        <v>46246.611111111109</v>
      </c>
      <c r="L345" s="15"/>
      <c r="M345">
        <v>25</v>
      </c>
      <c r="O345" t="s">
        <v>201</v>
      </c>
      <c r="P345" t="s">
        <v>1954</v>
      </c>
      <c r="S345" t="s">
        <v>362</v>
      </c>
      <c r="T345" t="s">
        <v>373</v>
      </c>
      <c r="U345" t="s">
        <v>240</v>
      </c>
      <c r="V345" t="s">
        <v>7</v>
      </c>
      <c r="W345" t="s">
        <v>7</v>
      </c>
      <c r="X345" t="s">
        <v>7</v>
      </c>
      <c r="AA345" t="s">
        <v>238</v>
      </c>
      <c r="AB345" t="s">
        <v>362</v>
      </c>
      <c r="AD345" t="s">
        <v>7</v>
      </c>
      <c r="AF345">
        <v>0</v>
      </c>
    </row>
    <row r="346" spans="1:32" x14ac:dyDescent="0.3">
      <c r="A346" t="s">
        <v>347</v>
      </c>
      <c r="B346" t="s">
        <v>51</v>
      </c>
      <c r="C346" t="s">
        <v>258</v>
      </c>
      <c r="D346" t="s">
        <v>309</v>
      </c>
      <c r="E346" t="s">
        <v>1285</v>
      </c>
      <c r="F346" s="15">
        <v>46244.662442129629</v>
      </c>
      <c r="G346" t="s">
        <v>400</v>
      </c>
      <c r="H346">
        <v>25</v>
      </c>
      <c r="I346" t="s">
        <v>1284</v>
      </c>
      <c r="J346" s="15">
        <v>46245.432638888888</v>
      </c>
      <c r="K346" s="15">
        <v>46246.611111111109</v>
      </c>
      <c r="L346" s="15"/>
      <c r="M346">
        <v>25</v>
      </c>
      <c r="O346" t="s">
        <v>201</v>
      </c>
      <c r="P346" t="s">
        <v>1954</v>
      </c>
      <c r="S346" t="s">
        <v>362</v>
      </c>
      <c r="T346" t="s">
        <v>373</v>
      </c>
      <c r="U346" t="s">
        <v>240</v>
      </c>
      <c r="V346" t="s">
        <v>7</v>
      </c>
      <c r="W346" t="s">
        <v>7</v>
      </c>
      <c r="X346" t="s">
        <v>7</v>
      </c>
      <c r="AA346" t="s">
        <v>238</v>
      </c>
      <c r="AB346" t="s">
        <v>362</v>
      </c>
      <c r="AD346" t="s">
        <v>7</v>
      </c>
    </row>
    <row r="347" spans="1:32" x14ac:dyDescent="0.3">
      <c r="A347" t="s">
        <v>347</v>
      </c>
      <c r="B347" t="s">
        <v>51</v>
      </c>
      <c r="C347" t="s">
        <v>258</v>
      </c>
      <c r="D347" t="s">
        <v>309</v>
      </c>
      <c r="E347" t="s">
        <v>1286</v>
      </c>
      <c r="F347" s="15">
        <v>46244.661898148152</v>
      </c>
      <c r="G347" t="s">
        <v>400</v>
      </c>
      <c r="H347">
        <v>25</v>
      </c>
      <c r="I347" t="s">
        <v>1284</v>
      </c>
      <c r="J347" s="15">
        <v>46245.432638888888</v>
      </c>
      <c r="K347" s="15">
        <v>46246.611111111109</v>
      </c>
      <c r="L347" s="15"/>
      <c r="M347">
        <v>25</v>
      </c>
      <c r="O347" t="s">
        <v>201</v>
      </c>
      <c r="P347" t="s">
        <v>1954</v>
      </c>
      <c r="S347" t="s">
        <v>362</v>
      </c>
      <c r="T347" t="s">
        <v>373</v>
      </c>
      <c r="U347" t="s">
        <v>240</v>
      </c>
      <c r="V347" t="s">
        <v>7</v>
      </c>
      <c r="W347" t="s">
        <v>7</v>
      </c>
      <c r="X347" t="s">
        <v>7</v>
      </c>
      <c r="AA347" t="s">
        <v>238</v>
      </c>
      <c r="AB347" t="s">
        <v>362</v>
      </c>
      <c r="AD347" t="s">
        <v>7</v>
      </c>
    </row>
    <row r="348" spans="1:32" x14ac:dyDescent="0.3">
      <c r="A348" t="s">
        <v>347</v>
      </c>
      <c r="B348" t="s">
        <v>45</v>
      </c>
      <c r="C348" t="s">
        <v>68</v>
      </c>
      <c r="D348" t="s">
        <v>309</v>
      </c>
      <c r="E348" t="s">
        <v>1287</v>
      </c>
      <c r="F348" s="15">
        <v>46253.320972222224</v>
      </c>
      <c r="G348" t="s">
        <v>400</v>
      </c>
      <c r="H348">
        <v>25</v>
      </c>
      <c r="I348" t="s">
        <v>1288</v>
      </c>
      <c r="J348" s="15">
        <v>46253.515277777777</v>
      </c>
      <c r="K348" s="15">
        <v>46255.638888888891</v>
      </c>
      <c r="L348" s="15"/>
      <c r="M348">
        <v>25</v>
      </c>
      <c r="O348" t="s">
        <v>201</v>
      </c>
      <c r="P348" t="s">
        <v>1956</v>
      </c>
      <c r="S348" t="s">
        <v>362</v>
      </c>
      <c r="T348" t="s">
        <v>373</v>
      </c>
      <c r="U348" t="s">
        <v>240</v>
      </c>
      <c r="V348" t="s">
        <v>347</v>
      </c>
      <c r="W348" t="s">
        <v>351</v>
      </c>
      <c r="X348" t="s">
        <v>240</v>
      </c>
      <c r="Y348">
        <v>48</v>
      </c>
      <c r="AA348" t="s">
        <v>67</v>
      </c>
      <c r="AB348" t="s">
        <v>362</v>
      </c>
      <c r="AD348" t="s">
        <v>217</v>
      </c>
      <c r="AE348">
        <v>2.5</v>
      </c>
      <c r="AF348">
        <v>1</v>
      </c>
    </row>
    <row r="349" spans="1:32" x14ac:dyDescent="0.3">
      <c r="A349" t="s">
        <v>347</v>
      </c>
      <c r="B349" t="s">
        <v>45</v>
      </c>
      <c r="C349" t="s">
        <v>68</v>
      </c>
      <c r="D349" t="s">
        <v>309</v>
      </c>
      <c r="E349" t="s">
        <v>1289</v>
      </c>
      <c r="F349" s="15">
        <v>46233.603067129632</v>
      </c>
      <c r="G349" t="s">
        <v>1290</v>
      </c>
      <c r="H349">
        <v>50</v>
      </c>
      <c r="I349" t="s">
        <v>1291</v>
      </c>
      <c r="J349" s="15">
        <v>46233.630254629628</v>
      </c>
      <c r="K349" s="15">
        <v>46237.586805555555</v>
      </c>
      <c r="L349" s="15"/>
      <c r="M349">
        <v>50</v>
      </c>
      <c r="O349" t="s">
        <v>201</v>
      </c>
      <c r="P349" t="s">
        <v>1954</v>
      </c>
      <c r="S349" t="s">
        <v>362</v>
      </c>
      <c r="T349" t="s">
        <v>373</v>
      </c>
      <c r="U349" t="s">
        <v>240</v>
      </c>
      <c r="V349" t="s">
        <v>347</v>
      </c>
      <c r="W349" t="s">
        <v>351</v>
      </c>
      <c r="X349" t="s">
        <v>240</v>
      </c>
      <c r="Y349">
        <v>48</v>
      </c>
      <c r="AA349" t="s">
        <v>67</v>
      </c>
      <c r="AB349" t="s">
        <v>362</v>
      </c>
      <c r="AD349" t="s">
        <v>217</v>
      </c>
      <c r="AE349">
        <v>5</v>
      </c>
      <c r="AF349">
        <v>1</v>
      </c>
    </row>
    <row r="350" spans="1:32" x14ac:dyDescent="0.3">
      <c r="A350" t="s">
        <v>347</v>
      </c>
      <c r="B350" t="s">
        <v>48</v>
      </c>
      <c r="C350" t="s">
        <v>68</v>
      </c>
      <c r="D350" t="s">
        <v>309</v>
      </c>
      <c r="E350" t="s">
        <v>1292</v>
      </c>
      <c r="F350" s="15">
        <v>46238.544641203705</v>
      </c>
      <c r="G350" t="s">
        <v>400</v>
      </c>
      <c r="H350">
        <v>3</v>
      </c>
      <c r="I350" t="s">
        <v>1293</v>
      </c>
      <c r="J350" s="15">
        <v>46238.632962962962</v>
      </c>
      <c r="K350" s="15">
        <v>46240.518055555556</v>
      </c>
      <c r="L350" s="15"/>
      <c r="M350">
        <v>3</v>
      </c>
      <c r="O350" t="s">
        <v>201</v>
      </c>
      <c r="P350" t="s">
        <v>1954</v>
      </c>
      <c r="S350" t="s">
        <v>362</v>
      </c>
      <c r="T350" t="s">
        <v>373</v>
      </c>
      <c r="U350" t="s">
        <v>240</v>
      </c>
      <c r="V350" t="s">
        <v>347</v>
      </c>
      <c r="W350" t="s">
        <v>351</v>
      </c>
      <c r="X350" t="s">
        <v>240</v>
      </c>
      <c r="Y350">
        <v>48</v>
      </c>
      <c r="AA350" t="s">
        <v>90</v>
      </c>
      <c r="AB350" t="s">
        <v>362</v>
      </c>
      <c r="AD350" t="s">
        <v>217</v>
      </c>
      <c r="AE350">
        <v>1</v>
      </c>
      <c r="AF350">
        <v>1</v>
      </c>
    </row>
    <row r="351" spans="1:32" x14ac:dyDescent="0.3">
      <c r="A351" t="s">
        <v>347</v>
      </c>
      <c r="B351" t="s">
        <v>63</v>
      </c>
      <c r="C351" t="s">
        <v>95</v>
      </c>
      <c r="D351" t="s">
        <v>309</v>
      </c>
      <c r="E351" t="s">
        <v>1294</v>
      </c>
      <c r="F351" s="15">
        <v>46231.685798611114</v>
      </c>
      <c r="G351" t="s">
        <v>399</v>
      </c>
      <c r="H351">
        <v>1</v>
      </c>
      <c r="I351" t="s">
        <v>1295</v>
      </c>
      <c r="J351" s="15">
        <v>46232.496759259258</v>
      </c>
      <c r="K351" s="15">
        <v>46237.791666666664</v>
      </c>
      <c r="L351" s="15"/>
      <c r="M351">
        <v>1</v>
      </c>
      <c r="O351" t="s">
        <v>201</v>
      </c>
      <c r="P351" t="s">
        <v>1954</v>
      </c>
      <c r="S351" t="s">
        <v>1296</v>
      </c>
      <c r="T351" t="s">
        <v>351</v>
      </c>
      <c r="U351" t="s">
        <v>240</v>
      </c>
      <c r="V351" t="s">
        <v>7</v>
      </c>
      <c r="W351" t="s">
        <v>7</v>
      </c>
      <c r="X351" t="s">
        <v>7</v>
      </c>
      <c r="AA351" t="s">
        <v>96</v>
      </c>
      <c r="AB351" t="s">
        <v>1296</v>
      </c>
      <c r="AC351">
        <v>200</v>
      </c>
      <c r="AD351" t="s">
        <v>225</v>
      </c>
      <c r="AE351">
        <v>1</v>
      </c>
      <c r="AF351">
        <v>1</v>
      </c>
    </row>
    <row r="352" spans="1:32" x14ac:dyDescent="0.3">
      <c r="A352" t="s">
        <v>347</v>
      </c>
      <c r="B352" t="s">
        <v>57</v>
      </c>
      <c r="C352" t="s">
        <v>117</v>
      </c>
      <c r="D352" t="s">
        <v>309</v>
      </c>
      <c r="E352" t="s">
        <v>1294</v>
      </c>
      <c r="F352" s="15">
        <v>46231.685798611114</v>
      </c>
      <c r="G352" t="s">
        <v>399</v>
      </c>
      <c r="H352">
        <v>1</v>
      </c>
      <c r="I352" t="s">
        <v>1295</v>
      </c>
      <c r="J352" s="15">
        <v>46232.496759259258</v>
      </c>
      <c r="K352" s="15">
        <v>46237.791666666664</v>
      </c>
      <c r="L352" s="15"/>
      <c r="M352">
        <v>1</v>
      </c>
      <c r="O352" t="s">
        <v>201</v>
      </c>
      <c r="P352" t="s">
        <v>1954</v>
      </c>
      <c r="S352" t="s">
        <v>1296</v>
      </c>
      <c r="T352" t="s">
        <v>351</v>
      </c>
      <c r="U352" t="s">
        <v>240</v>
      </c>
      <c r="V352" t="s">
        <v>7</v>
      </c>
      <c r="W352" t="s">
        <v>7</v>
      </c>
      <c r="X352" t="s">
        <v>7</v>
      </c>
      <c r="AA352" t="s">
        <v>127</v>
      </c>
      <c r="AB352" t="s">
        <v>1296</v>
      </c>
      <c r="AC352">
        <v>200</v>
      </c>
      <c r="AD352" t="s">
        <v>233</v>
      </c>
      <c r="AE352">
        <v>1</v>
      </c>
      <c r="AF352">
        <v>1</v>
      </c>
    </row>
    <row r="353" spans="1:32" x14ac:dyDescent="0.3">
      <c r="A353" t="s">
        <v>347</v>
      </c>
      <c r="B353" t="s">
        <v>279</v>
      </c>
      <c r="C353" t="s">
        <v>192</v>
      </c>
      <c r="D353" t="s">
        <v>309</v>
      </c>
      <c r="E353" t="s">
        <v>1294</v>
      </c>
      <c r="F353" s="15">
        <v>46231.685798611114</v>
      </c>
      <c r="G353" t="s">
        <v>399</v>
      </c>
      <c r="H353">
        <v>109</v>
      </c>
      <c r="I353" t="s">
        <v>1295</v>
      </c>
      <c r="J353" s="15">
        <v>46232.496759259258</v>
      </c>
      <c r="K353" s="15">
        <v>46237.791666666664</v>
      </c>
      <c r="L353" s="15"/>
      <c r="M353">
        <v>109</v>
      </c>
      <c r="O353" t="s">
        <v>201</v>
      </c>
      <c r="P353" t="s">
        <v>1956</v>
      </c>
      <c r="S353" t="s">
        <v>1296</v>
      </c>
      <c r="T353" t="s">
        <v>351</v>
      </c>
      <c r="U353" t="s">
        <v>240</v>
      </c>
      <c r="V353" t="s">
        <v>7</v>
      </c>
      <c r="W353" t="s">
        <v>7</v>
      </c>
      <c r="X353" t="s">
        <v>7</v>
      </c>
      <c r="Z353">
        <v>1</v>
      </c>
      <c r="AA353" t="s">
        <v>122</v>
      </c>
      <c r="AB353" t="s">
        <v>1296</v>
      </c>
      <c r="AC353">
        <v>200</v>
      </c>
      <c r="AD353" t="s">
        <v>232</v>
      </c>
      <c r="AE353">
        <v>109</v>
      </c>
      <c r="AF353">
        <v>10.9</v>
      </c>
    </row>
    <row r="354" spans="1:32" x14ac:dyDescent="0.3">
      <c r="A354" t="s">
        <v>347</v>
      </c>
      <c r="B354" t="s">
        <v>57</v>
      </c>
      <c r="C354" t="s">
        <v>117</v>
      </c>
      <c r="D354" t="s">
        <v>309</v>
      </c>
      <c r="E354" t="s">
        <v>1297</v>
      </c>
      <c r="F354" s="15">
        <v>46227.492546296293</v>
      </c>
      <c r="G354" t="s">
        <v>401</v>
      </c>
      <c r="H354">
        <v>1</v>
      </c>
      <c r="I354" t="s">
        <v>1298</v>
      </c>
      <c r="J354" s="15">
        <v>46227.612233796295</v>
      </c>
      <c r="K354" s="15">
        <v>46233.329861111109</v>
      </c>
      <c r="L354" s="15"/>
      <c r="M354">
        <v>1</v>
      </c>
      <c r="O354" t="s">
        <v>201</v>
      </c>
      <c r="P354" t="s">
        <v>1954</v>
      </c>
      <c r="S354" t="s">
        <v>1296</v>
      </c>
      <c r="T354" t="s">
        <v>351</v>
      </c>
      <c r="U354" t="s">
        <v>240</v>
      </c>
      <c r="V354" t="s">
        <v>7</v>
      </c>
      <c r="W354" t="s">
        <v>7</v>
      </c>
      <c r="X354" t="s">
        <v>7</v>
      </c>
      <c r="AA354" t="s">
        <v>127</v>
      </c>
      <c r="AB354" t="s">
        <v>1296</v>
      </c>
      <c r="AC354">
        <v>200</v>
      </c>
      <c r="AD354" t="s">
        <v>233</v>
      </c>
      <c r="AE354">
        <v>1</v>
      </c>
      <c r="AF354">
        <v>1</v>
      </c>
    </row>
    <row r="355" spans="1:32" x14ac:dyDescent="0.3">
      <c r="A355" t="s">
        <v>347</v>
      </c>
      <c r="B355" t="s">
        <v>279</v>
      </c>
      <c r="C355" t="s">
        <v>192</v>
      </c>
      <c r="D355" t="s">
        <v>309</v>
      </c>
      <c r="E355" t="s">
        <v>1297</v>
      </c>
      <c r="F355" s="15">
        <v>46227.492546296293</v>
      </c>
      <c r="G355" t="s">
        <v>401</v>
      </c>
      <c r="H355">
        <v>1</v>
      </c>
      <c r="I355" t="s">
        <v>1298</v>
      </c>
      <c r="J355" s="15">
        <v>46227.612233796295</v>
      </c>
      <c r="K355" s="15">
        <v>46233.329861111109</v>
      </c>
      <c r="L355" s="15"/>
      <c r="M355">
        <v>1</v>
      </c>
      <c r="O355" t="s">
        <v>201</v>
      </c>
      <c r="P355" t="s">
        <v>1956</v>
      </c>
      <c r="S355" t="s">
        <v>1296</v>
      </c>
      <c r="T355" t="s">
        <v>351</v>
      </c>
      <c r="U355" t="s">
        <v>240</v>
      </c>
      <c r="V355" t="s">
        <v>7</v>
      </c>
      <c r="W355" t="s">
        <v>7</v>
      </c>
      <c r="X355" t="s">
        <v>7</v>
      </c>
      <c r="Z355">
        <v>1</v>
      </c>
      <c r="AA355" t="s">
        <v>122</v>
      </c>
      <c r="AB355" t="s">
        <v>1296</v>
      </c>
      <c r="AC355">
        <v>200</v>
      </c>
      <c r="AD355" t="s">
        <v>232</v>
      </c>
      <c r="AE355">
        <v>1</v>
      </c>
      <c r="AF355">
        <v>1</v>
      </c>
    </row>
    <row r="356" spans="1:32" x14ac:dyDescent="0.3">
      <c r="A356" t="s">
        <v>347</v>
      </c>
      <c r="B356" t="s">
        <v>63</v>
      </c>
      <c r="C356" t="s">
        <v>95</v>
      </c>
      <c r="D356" t="s">
        <v>309</v>
      </c>
      <c r="E356" t="s">
        <v>1297</v>
      </c>
      <c r="F356" s="15">
        <v>46227.492546296293</v>
      </c>
      <c r="G356" t="s">
        <v>401</v>
      </c>
      <c r="H356">
        <v>1</v>
      </c>
      <c r="I356" t="s">
        <v>1298</v>
      </c>
      <c r="J356" s="15">
        <v>46227.612233796295</v>
      </c>
      <c r="K356" s="15">
        <v>46233.329861111109</v>
      </c>
      <c r="L356" s="15"/>
      <c r="M356">
        <v>1</v>
      </c>
      <c r="O356" t="s">
        <v>201</v>
      </c>
      <c r="P356" t="s">
        <v>1954</v>
      </c>
      <c r="S356" t="s">
        <v>1296</v>
      </c>
      <c r="T356" t="s">
        <v>351</v>
      </c>
      <c r="U356" t="s">
        <v>240</v>
      </c>
      <c r="V356" t="s">
        <v>7</v>
      </c>
      <c r="W356" t="s">
        <v>7</v>
      </c>
      <c r="X356" t="s">
        <v>7</v>
      </c>
      <c r="AA356" t="s">
        <v>96</v>
      </c>
      <c r="AB356" t="s">
        <v>1296</v>
      </c>
      <c r="AC356">
        <v>200</v>
      </c>
      <c r="AD356" t="s">
        <v>225</v>
      </c>
      <c r="AE356">
        <v>1</v>
      </c>
      <c r="AF356">
        <v>1</v>
      </c>
    </row>
    <row r="357" spans="1:32" x14ac:dyDescent="0.3">
      <c r="A357" t="s">
        <v>348</v>
      </c>
      <c r="B357" t="s">
        <v>45</v>
      </c>
      <c r="C357" t="s">
        <v>68</v>
      </c>
      <c r="D357" t="s">
        <v>309</v>
      </c>
      <c r="E357" t="s">
        <v>1299</v>
      </c>
      <c r="F357" s="15">
        <v>46224.647638888891</v>
      </c>
      <c r="G357" t="s">
        <v>1300</v>
      </c>
      <c r="H357">
        <v>1</v>
      </c>
      <c r="I357" t="s">
        <v>1301</v>
      </c>
      <c r="J357" s="15">
        <v>46225.434756944444</v>
      </c>
      <c r="K357" s="15">
        <v>46226.447916666664</v>
      </c>
      <c r="L357" s="15"/>
      <c r="M357">
        <v>1</v>
      </c>
      <c r="O357" t="s">
        <v>201</v>
      </c>
      <c r="P357" t="s">
        <v>1954</v>
      </c>
      <c r="S357" t="s">
        <v>1302</v>
      </c>
      <c r="T357" t="s">
        <v>1303</v>
      </c>
      <c r="U357" t="s">
        <v>287</v>
      </c>
      <c r="V357" t="s">
        <v>348</v>
      </c>
      <c r="W357" t="s">
        <v>369</v>
      </c>
      <c r="X357" t="s">
        <v>239</v>
      </c>
      <c r="Y357">
        <v>76</v>
      </c>
      <c r="AA357" t="s">
        <v>67</v>
      </c>
      <c r="AB357" t="s">
        <v>1302</v>
      </c>
      <c r="AD357" t="s">
        <v>217</v>
      </c>
      <c r="AE357">
        <v>1</v>
      </c>
      <c r="AF357">
        <v>1</v>
      </c>
    </row>
    <row r="358" spans="1:32" x14ac:dyDescent="0.3">
      <c r="A358" t="s">
        <v>348</v>
      </c>
      <c r="B358" t="s">
        <v>63</v>
      </c>
      <c r="C358" t="s">
        <v>95</v>
      </c>
      <c r="D358" t="s">
        <v>309</v>
      </c>
      <c r="E358" t="s">
        <v>1304</v>
      </c>
      <c r="F358" s="15">
        <v>46241.647488425922</v>
      </c>
      <c r="G358" t="s">
        <v>399</v>
      </c>
      <c r="H358">
        <v>1</v>
      </c>
      <c r="I358" t="s">
        <v>1305</v>
      </c>
      <c r="J358" s="15">
        <v>46244.369074074071</v>
      </c>
      <c r="K358" s="15">
        <v>46247.349988425929</v>
      </c>
      <c r="L358" s="15"/>
      <c r="M358">
        <v>1</v>
      </c>
      <c r="O358" t="s">
        <v>201</v>
      </c>
      <c r="P358" t="s">
        <v>1954</v>
      </c>
      <c r="S358" t="s">
        <v>353</v>
      </c>
      <c r="T358" t="s">
        <v>368</v>
      </c>
      <c r="U358" t="s">
        <v>239</v>
      </c>
      <c r="V358" t="s">
        <v>7</v>
      </c>
      <c r="W358" t="s">
        <v>7</v>
      </c>
      <c r="X358" t="s">
        <v>7</v>
      </c>
      <c r="AA358" t="s">
        <v>96</v>
      </c>
      <c r="AB358" t="s">
        <v>353</v>
      </c>
      <c r="AC358">
        <v>2100</v>
      </c>
      <c r="AD358" t="s">
        <v>225</v>
      </c>
      <c r="AE358">
        <v>1</v>
      </c>
      <c r="AF358">
        <v>1</v>
      </c>
    </row>
    <row r="359" spans="1:32" x14ac:dyDescent="0.3">
      <c r="A359" t="s">
        <v>348</v>
      </c>
      <c r="B359" t="s">
        <v>57</v>
      </c>
      <c r="C359" t="s">
        <v>117</v>
      </c>
      <c r="D359" t="s">
        <v>309</v>
      </c>
      <c r="E359" t="s">
        <v>1304</v>
      </c>
      <c r="F359" s="15">
        <v>46241.647488425922</v>
      </c>
      <c r="G359" t="s">
        <v>399</v>
      </c>
      <c r="H359">
        <v>1</v>
      </c>
      <c r="I359" t="s">
        <v>1305</v>
      </c>
      <c r="J359" s="15">
        <v>46244.369074074071</v>
      </c>
      <c r="K359" s="15">
        <v>46247.349988425929</v>
      </c>
      <c r="L359" s="15"/>
      <c r="M359">
        <v>1</v>
      </c>
      <c r="O359" t="s">
        <v>201</v>
      </c>
      <c r="P359" t="s">
        <v>1954</v>
      </c>
      <c r="S359" t="s">
        <v>353</v>
      </c>
      <c r="T359" t="s">
        <v>368</v>
      </c>
      <c r="U359" t="s">
        <v>239</v>
      </c>
      <c r="V359" t="s">
        <v>7</v>
      </c>
      <c r="W359" t="s">
        <v>7</v>
      </c>
      <c r="X359" t="s">
        <v>7</v>
      </c>
      <c r="AA359" t="s">
        <v>127</v>
      </c>
      <c r="AB359" t="s">
        <v>353</v>
      </c>
      <c r="AC359">
        <v>2100</v>
      </c>
      <c r="AD359" t="s">
        <v>233</v>
      </c>
      <c r="AE359">
        <v>1</v>
      </c>
      <c r="AF359">
        <v>1</v>
      </c>
    </row>
    <row r="360" spans="1:32" x14ac:dyDescent="0.3">
      <c r="A360" t="s">
        <v>348</v>
      </c>
      <c r="B360" t="s">
        <v>48</v>
      </c>
      <c r="C360" t="s">
        <v>68</v>
      </c>
      <c r="D360" t="s">
        <v>309</v>
      </c>
      <c r="E360" t="s">
        <v>1306</v>
      </c>
      <c r="F360" s="15">
        <v>46216.601365740738</v>
      </c>
      <c r="G360" t="s">
        <v>402</v>
      </c>
      <c r="H360">
        <v>1</v>
      </c>
      <c r="I360" t="s">
        <v>1307</v>
      </c>
      <c r="J360" s="15">
        <v>46220.410416666666</v>
      </c>
      <c r="K360" s="15">
        <v>46223.497916666667</v>
      </c>
      <c r="L360" s="15"/>
      <c r="M360">
        <v>1</v>
      </c>
      <c r="O360" t="s">
        <v>201</v>
      </c>
      <c r="P360" t="s">
        <v>1956</v>
      </c>
      <c r="S360" t="s">
        <v>354</v>
      </c>
      <c r="T360" t="s">
        <v>369</v>
      </c>
      <c r="U360" t="s">
        <v>239</v>
      </c>
      <c r="V360" t="s">
        <v>348</v>
      </c>
      <c r="W360" t="s">
        <v>369</v>
      </c>
      <c r="X360" t="s">
        <v>239</v>
      </c>
      <c r="Y360">
        <v>0</v>
      </c>
      <c r="AA360" t="s">
        <v>90</v>
      </c>
      <c r="AB360" t="s">
        <v>354</v>
      </c>
      <c r="AC360">
        <v>50</v>
      </c>
      <c r="AD360" t="s">
        <v>217</v>
      </c>
      <c r="AE360">
        <v>1</v>
      </c>
      <c r="AF360">
        <v>1</v>
      </c>
    </row>
    <row r="361" spans="1:32" x14ac:dyDescent="0.3">
      <c r="A361" t="s">
        <v>348</v>
      </c>
      <c r="B361" t="s">
        <v>57</v>
      </c>
      <c r="C361" t="s">
        <v>117</v>
      </c>
      <c r="D361" t="s">
        <v>309</v>
      </c>
      <c r="E361" t="s">
        <v>1137</v>
      </c>
      <c r="F361" s="15">
        <v>46217.60359953704</v>
      </c>
      <c r="G361" t="s">
        <v>420</v>
      </c>
      <c r="H361">
        <v>13</v>
      </c>
      <c r="I361" t="s">
        <v>1145</v>
      </c>
      <c r="J361" s="15">
        <v>46237.518055555556</v>
      </c>
      <c r="K361" s="15">
        <v>46239.647916666669</v>
      </c>
      <c r="L361" s="15"/>
      <c r="M361">
        <v>13</v>
      </c>
      <c r="O361" t="s">
        <v>201</v>
      </c>
      <c r="P361" t="s">
        <v>1954</v>
      </c>
      <c r="S361" t="s">
        <v>357</v>
      </c>
      <c r="T361" t="s">
        <v>369</v>
      </c>
      <c r="U361" t="s">
        <v>239</v>
      </c>
      <c r="V361" t="s">
        <v>7</v>
      </c>
      <c r="W361" t="s">
        <v>7</v>
      </c>
      <c r="X361" t="s">
        <v>7</v>
      </c>
      <c r="AA361" t="s">
        <v>127</v>
      </c>
      <c r="AB361" t="s">
        <v>357</v>
      </c>
      <c r="AC361">
        <v>101</v>
      </c>
      <c r="AD361" t="s">
        <v>233</v>
      </c>
      <c r="AE361">
        <v>1.3</v>
      </c>
    </row>
    <row r="362" spans="1:32" x14ac:dyDescent="0.3">
      <c r="A362" t="s">
        <v>348</v>
      </c>
      <c r="B362" t="s">
        <v>281</v>
      </c>
      <c r="C362" t="s">
        <v>85</v>
      </c>
      <c r="D362" t="s">
        <v>309</v>
      </c>
      <c r="E362" t="s">
        <v>1137</v>
      </c>
      <c r="F362" s="15">
        <v>46217.60359953704</v>
      </c>
      <c r="G362" t="s">
        <v>420</v>
      </c>
      <c r="H362">
        <v>1</v>
      </c>
      <c r="I362" t="s">
        <v>1138</v>
      </c>
      <c r="J362" s="15">
        <v>46220.352083333331</v>
      </c>
      <c r="K362" s="15">
        <v>46227.702777777777</v>
      </c>
      <c r="L362" s="15"/>
      <c r="M362">
        <v>1</v>
      </c>
      <c r="O362" t="s">
        <v>1958</v>
      </c>
      <c r="S362" t="s">
        <v>357</v>
      </c>
      <c r="T362" t="s">
        <v>369</v>
      </c>
      <c r="U362" t="s">
        <v>239</v>
      </c>
      <c r="V362" t="s">
        <v>7</v>
      </c>
      <c r="W362" t="s">
        <v>7</v>
      </c>
      <c r="X362" t="s">
        <v>7</v>
      </c>
      <c r="Z362">
        <v>1</v>
      </c>
      <c r="AA362" t="s">
        <v>122</v>
      </c>
      <c r="AB362" t="s">
        <v>357</v>
      </c>
      <c r="AC362">
        <v>101</v>
      </c>
      <c r="AD362" t="s">
        <v>231</v>
      </c>
      <c r="AE362">
        <v>1</v>
      </c>
    </row>
    <row r="363" spans="1:32" x14ac:dyDescent="0.3">
      <c r="A363" t="s">
        <v>348</v>
      </c>
      <c r="B363" t="s">
        <v>279</v>
      </c>
      <c r="C363" t="s">
        <v>192</v>
      </c>
      <c r="D363" t="s">
        <v>309</v>
      </c>
      <c r="E363" t="s">
        <v>1304</v>
      </c>
      <c r="F363" s="15">
        <v>46241.647488425922</v>
      </c>
      <c r="G363" t="s">
        <v>399</v>
      </c>
      <c r="H363">
        <v>340</v>
      </c>
      <c r="I363" t="s">
        <v>1305</v>
      </c>
      <c r="J363" s="15">
        <v>46244.369074074071</v>
      </c>
      <c r="K363" s="15">
        <v>46247.349988425929</v>
      </c>
      <c r="L363" s="15"/>
      <c r="M363">
        <v>340</v>
      </c>
      <c r="O363" t="s">
        <v>201</v>
      </c>
      <c r="P363" t="s">
        <v>1954</v>
      </c>
      <c r="S363" t="s">
        <v>353</v>
      </c>
      <c r="T363" t="s">
        <v>368</v>
      </c>
      <c r="U363" t="s">
        <v>239</v>
      </c>
      <c r="V363" t="s">
        <v>7</v>
      </c>
      <c r="W363" t="s">
        <v>7</v>
      </c>
      <c r="X363" t="s">
        <v>7</v>
      </c>
      <c r="Z363">
        <v>1</v>
      </c>
      <c r="AA363" t="s">
        <v>122</v>
      </c>
      <c r="AB363" t="s">
        <v>353</v>
      </c>
      <c r="AC363">
        <v>2100</v>
      </c>
      <c r="AD363" t="s">
        <v>232</v>
      </c>
      <c r="AE363">
        <v>340</v>
      </c>
      <c r="AF363">
        <v>34</v>
      </c>
    </row>
    <row r="364" spans="1:32" x14ac:dyDescent="0.3">
      <c r="A364" t="s">
        <v>348</v>
      </c>
      <c r="B364" t="s">
        <v>48</v>
      </c>
      <c r="C364" t="s">
        <v>68</v>
      </c>
      <c r="D364" t="s">
        <v>309</v>
      </c>
      <c r="E364" t="s">
        <v>1308</v>
      </c>
      <c r="F364" s="15">
        <v>46241.31753472222</v>
      </c>
      <c r="G364" t="s">
        <v>401</v>
      </c>
      <c r="H364">
        <v>2</v>
      </c>
      <c r="I364" t="s">
        <v>1309</v>
      </c>
      <c r="J364" s="15">
        <v>46241.34952546296</v>
      </c>
      <c r="K364" s="15">
        <v>46244.479166666664</v>
      </c>
      <c r="L364" s="15"/>
      <c r="M364">
        <v>2</v>
      </c>
      <c r="O364" t="s">
        <v>201</v>
      </c>
      <c r="P364" t="s">
        <v>1956</v>
      </c>
      <c r="S364" t="s">
        <v>357</v>
      </c>
      <c r="T364" t="s">
        <v>369</v>
      </c>
      <c r="U364" t="s">
        <v>239</v>
      </c>
      <c r="V364" t="s">
        <v>348</v>
      </c>
      <c r="W364" t="s">
        <v>369</v>
      </c>
      <c r="X364" t="s">
        <v>239</v>
      </c>
      <c r="AA364" t="s">
        <v>90</v>
      </c>
      <c r="AB364" t="s">
        <v>357</v>
      </c>
      <c r="AC364">
        <v>101</v>
      </c>
      <c r="AD364" t="s">
        <v>217</v>
      </c>
      <c r="AE364">
        <v>1</v>
      </c>
    </row>
    <row r="365" spans="1:32" x14ac:dyDescent="0.3">
      <c r="A365" t="s">
        <v>348</v>
      </c>
      <c r="B365" t="s">
        <v>63</v>
      </c>
      <c r="C365" t="s">
        <v>95</v>
      </c>
      <c r="D365" t="s">
        <v>309</v>
      </c>
      <c r="E365" t="s">
        <v>1310</v>
      </c>
      <c r="F365" s="15">
        <v>46239.716504629629</v>
      </c>
      <c r="G365" t="s">
        <v>402</v>
      </c>
      <c r="H365">
        <v>1</v>
      </c>
      <c r="I365" t="s">
        <v>1311</v>
      </c>
      <c r="J365" s="15">
        <v>46240.376805555556</v>
      </c>
      <c r="K365" s="15">
        <v>46246.703472222223</v>
      </c>
      <c r="L365" s="15"/>
      <c r="M365">
        <v>1</v>
      </c>
      <c r="O365" t="s">
        <v>201</v>
      </c>
      <c r="P365" t="s">
        <v>1954</v>
      </c>
      <c r="S365" t="s">
        <v>355</v>
      </c>
      <c r="T365" t="s">
        <v>369</v>
      </c>
      <c r="U365" t="s">
        <v>239</v>
      </c>
      <c r="V365" t="s">
        <v>7</v>
      </c>
      <c r="W365" t="s">
        <v>7</v>
      </c>
      <c r="X365" t="s">
        <v>7</v>
      </c>
      <c r="AA365" t="s">
        <v>96</v>
      </c>
      <c r="AB365" t="s">
        <v>355</v>
      </c>
      <c r="AC365">
        <v>2200</v>
      </c>
      <c r="AD365" t="s">
        <v>225</v>
      </c>
      <c r="AE365">
        <v>1</v>
      </c>
    </row>
    <row r="366" spans="1:32" x14ac:dyDescent="0.3">
      <c r="A366" t="s">
        <v>348</v>
      </c>
      <c r="B366" t="s">
        <v>57</v>
      </c>
      <c r="C366" t="s">
        <v>117</v>
      </c>
      <c r="D366" t="s">
        <v>309</v>
      </c>
      <c r="E366" t="s">
        <v>1310</v>
      </c>
      <c r="F366" s="15">
        <v>46239.716504629629</v>
      </c>
      <c r="G366" t="s">
        <v>402</v>
      </c>
      <c r="H366">
        <v>1</v>
      </c>
      <c r="I366" t="s">
        <v>1311</v>
      </c>
      <c r="J366" s="15">
        <v>46240.376805555556</v>
      </c>
      <c r="K366" s="15">
        <v>46246.703472222223</v>
      </c>
      <c r="L366" s="15"/>
      <c r="M366">
        <v>1</v>
      </c>
      <c r="O366" t="s">
        <v>201</v>
      </c>
      <c r="P366" t="s">
        <v>1954</v>
      </c>
      <c r="S366" t="s">
        <v>355</v>
      </c>
      <c r="T366" t="s">
        <v>369</v>
      </c>
      <c r="U366" t="s">
        <v>239</v>
      </c>
      <c r="V366" t="s">
        <v>7</v>
      </c>
      <c r="W366" t="s">
        <v>7</v>
      </c>
      <c r="X366" t="s">
        <v>7</v>
      </c>
      <c r="AA366" t="s">
        <v>127</v>
      </c>
      <c r="AB366" t="s">
        <v>355</v>
      </c>
      <c r="AC366">
        <v>2200</v>
      </c>
      <c r="AD366" t="s">
        <v>233</v>
      </c>
      <c r="AE366">
        <v>1</v>
      </c>
    </row>
    <row r="367" spans="1:32" x14ac:dyDescent="0.3">
      <c r="A367" t="s">
        <v>348</v>
      </c>
      <c r="B367" t="s">
        <v>279</v>
      </c>
      <c r="C367" t="s">
        <v>192</v>
      </c>
      <c r="D367" t="s">
        <v>309</v>
      </c>
      <c r="E367" t="s">
        <v>1310</v>
      </c>
      <c r="F367" s="15">
        <v>46239.716504629629</v>
      </c>
      <c r="G367" t="s">
        <v>402</v>
      </c>
      <c r="H367">
        <v>1246</v>
      </c>
      <c r="I367" t="s">
        <v>1311</v>
      </c>
      <c r="J367" s="15">
        <v>46240.376805555556</v>
      </c>
      <c r="K367" s="15">
        <v>46246.703472222223</v>
      </c>
      <c r="L367" s="15"/>
      <c r="M367">
        <v>1246</v>
      </c>
      <c r="O367" t="s">
        <v>201</v>
      </c>
      <c r="P367" t="s">
        <v>1956</v>
      </c>
      <c r="S367" t="s">
        <v>355</v>
      </c>
      <c r="T367" t="s">
        <v>369</v>
      </c>
      <c r="U367" t="s">
        <v>239</v>
      </c>
      <c r="V367" t="s">
        <v>7</v>
      </c>
      <c r="W367" t="s">
        <v>7</v>
      </c>
      <c r="X367" t="s">
        <v>7</v>
      </c>
      <c r="Z367">
        <v>1</v>
      </c>
      <c r="AA367" t="s">
        <v>122</v>
      </c>
      <c r="AB367" t="s">
        <v>355</v>
      </c>
      <c r="AC367">
        <v>2200</v>
      </c>
      <c r="AD367" t="s">
        <v>232</v>
      </c>
      <c r="AE367">
        <v>1246</v>
      </c>
    </row>
    <row r="368" spans="1:32" x14ac:dyDescent="0.3">
      <c r="A368" t="s">
        <v>348</v>
      </c>
      <c r="B368" t="s">
        <v>63</v>
      </c>
      <c r="C368" t="s">
        <v>95</v>
      </c>
      <c r="D368" t="s">
        <v>309</v>
      </c>
      <c r="E368" t="s">
        <v>1137</v>
      </c>
      <c r="F368" s="15">
        <v>46217.60359953704</v>
      </c>
      <c r="G368" t="s">
        <v>420</v>
      </c>
      <c r="H368">
        <v>13</v>
      </c>
      <c r="I368" t="s">
        <v>1145</v>
      </c>
      <c r="J368" s="15">
        <v>46237.518055555556</v>
      </c>
      <c r="K368" s="15">
        <v>46239.647916666669</v>
      </c>
      <c r="L368" s="15"/>
      <c r="M368">
        <v>13</v>
      </c>
      <c r="O368" t="s">
        <v>201</v>
      </c>
      <c r="P368" t="s">
        <v>1954</v>
      </c>
      <c r="S368" t="s">
        <v>357</v>
      </c>
      <c r="T368" t="s">
        <v>369</v>
      </c>
      <c r="U368" t="s">
        <v>239</v>
      </c>
      <c r="V368" t="s">
        <v>7</v>
      </c>
      <c r="W368" t="s">
        <v>7</v>
      </c>
      <c r="X368" t="s">
        <v>7</v>
      </c>
      <c r="AA368" t="s">
        <v>96</v>
      </c>
      <c r="AB368" t="s">
        <v>357</v>
      </c>
      <c r="AC368">
        <v>101</v>
      </c>
      <c r="AD368" t="s">
        <v>225</v>
      </c>
      <c r="AE368">
        <v>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41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628</v>
      </c>
      <c r="I1" t="s">
        <v>629</v>
      </c>
      <c r="J1" t="s">
        <v>630</v>
      </c>
      <c r="K1" t="s">
        <v>631</v>
      </c>
      <c r="L1" t="s">
        <v>632</v>
      </c>
      <c r="M1" t="s">
        <v>633</v>
      </c>
      <c r="N1" t="s">
        <v>524</v>
      </c>
      <c r="O1" t="s">
        <v>40</v>
      </c>
      <c r="P1" t="s">
        <v>367</v>
      </c>
      <c r="Q1" t="s">
        <v>210</v>
      </c>
      <c r="R1" t="s">
        <v>525</v>
      </c>
    </row>
    <row r="2" spans="1:18" x14ac:dyDescent="0.3">
      <c r="A2" t="s">
        <v>347</v>
      </c>
      <c r="B2" t="s">
        <v>43</v>
      </c>
      <c r="C2" t="s">
        <v>105</v>
      </c>
      <c r="D2" s="15">
        <v>46240.387291666666</v>
      </c>
      <c r="E2" t="s">
        <v>402</v>
      </c>
      <c r="F2">
        <v>2</v>
      </c>
      <c r="G2" s="15">
        <v>46241.395138888889</v>
      </c>
      <c r="H2" t="s">
        <v>360</v>
      </c>
      <c r="I2" t="s">
        <v>371</v>
      </c>
      <c r="J2" t="s">
        <v>240</v>
      </c>
      <c r="K2" t="s">
        <v>347</v>
      </c>
      <c r="L2" t="s">
        <v>351</v>
      </c>
      <c r="M2" t="s">
        <v>240</v>
      </c>
      <c r="N2">
        <v>13</v>
      </c>
      <c r="O2" t="s">
        <v>67</v>
      </c>
      <c r="P2" t="s">
        <v>360</v>
      </c>
      <c r="Q2" t="s">
        <v>217</v>
      </c>
      <c r="R2">
        <v>1</v>
      </c>
    </row>
    <row r="3" spans="1:18" x14ac:dyDescent="0.3">
      <c r="A3" t="s">
        <v>347</v>
      </c>
      <c r="B3" t="s">
        <v>47</v>
      </c>
      <c r="C3" t="s">
        <v>68</v>
      </c>
      <c r="D3" s="15">
        <v>46233.496469907404</v>
      </c>
      <c r="E3" t="s">
        <v>401</v>
      </c>
      <c r="F3">
        <v>2</v>
      </c>
      <c r="G3" s="15">
        <v>46234.427083333336</v>
      </c>
      <c r="H3" t="s">
        <v>360</v>
      </c>
      <c r="I3" t="s">
        <v>371</v>
      </c>
      <c r="J3" t="s">
        <v>240</v>
      </c>
      <c r="K3" t="s">
        <v>347</v>
      </c>
      <c r="L3" t="s">
        <v>351</v>
      </c>
      <c r="M3" t="s">
        <v>240</v>
      </c>
      <c r="N3">
        <v>13</v>
      </c>
      <c r="O3" t="s">
        <v>90</v>
      </c>
      <c r="P3" t="s">
        <v>360</v>
      </c>
      <c r="Q3" t="s">
        <v>218</v>
      </c>
      <c r="R3">
        <v>1</v>
      </c>
    </row>
    <row r="4" spans="1:18" x14ac:dyDescent="0.3">
      <c r="A4" t="s">
        <v>347</v>
      </c>
      <c r="B4" t="s">
        <v>45</v>
      </c>
      <c r="C4" t="s">
        <v>68</v>
      </c>
      <c r="D4" s="15">
        <v>46218.662442129629</v>
      </c>
      <c r="E4" t="s">
        <v>947</v>
      </c>
      <c r="F4">
        <v>50</v>
      </c>
      <c r="G4" s="15">
        <v>46224.486111111109</v>
      </c>
      <c r="H4" t="s">
        <v>360</v>
      </c>
      <c r="I4" t="s">
        <v>371</v>
      </c>
      <c r="J4" t="s">
        <v>240</v>
      </c>
      <c r="K4" t="s">
        <v>347</v>
      </c>
      <c r="L4" t="s">
        <v>351</v>
      </c>
      <c r="M4" t="s">
        <v>240</v>
      </c>
      <c r="N4">
        <v>13</v>
      </c>
      <c r="O4" t="s">
        <v>67</v>
      </c>
      <c r="P4" t="s">
        <v>360</v>
      </c>
      <c r="Q4" t="s">
        <v>217</v>
      </c>
      <c r="R4">
        <v>1</v>
      </c>
    </row>
    <row r="5" spans="1:18" x14ac:dyDescent="0.3">
      <c r="A5" t="s">
        <v>347</v>
      </c>
      <c r="B5" t="s">
        <v>45</v>
      </c>
      <c r="C5" t="s">
        <v>68</v>
      </c>
      <c r="D5" s="15">
        <v>46218.662719907406</v>
      </c>
      <c r="E5" t="s">
        <v>947</v>
      </c>
      <c r="F5">
        <v>50</v>
      </c>
      <c r="G5" s="15">
        <v>46224.486111111109</v>
      </c>
      <c r="H5" t="s">
        <v>360</v>
      </c>
      <c r="I5" t="s">
        <v>371</v>
      </c>
      <c r="J5" t="s">
        <v>240</v>
      </c>
      <c r="K5" t="s">
        <v>347</v>
      </c>
      <c r="L5" t="s">
        <v>351</v>
      </c>
      <c r="M5" t="s">
        <v>240</v>
      </c>
      <c r="O5" t="s">
        <v>67</v>
      </c>
      <c r="P5" t="s">
        <v>360</v>
      </c>
      <c r="Q5" t="s">
        <v>217</v>
      </c>
    </row>
    <row r="6" spans="1:18" x14ac:dyDescent="0.3">
      <c r="A6" t="s">
        <v>347</v>
      </c>
      <c r="B6" t="s">
        <v>48</v>
      </c>
      <c r="C6" t="s">
        <v>68</v>
      </c>
      <c r="D6" s="15">
        <v>46156.383645833332</v>
      </c>
      <c r="E6" t="s">
        <v>402</v>
      </c>
      <c r="F6">
        <v>1</v>
      </c>
      <c r="G6" s="15">
        <v>46230.438194444447</v>
      </c>
      <c r="H6" t="s">
        <v>360</v>
      </c>
      <c r="I6" t="s">
        <v>371</v>
      </c>
      <c r="J6" t="s">
        <v>240</v>
      </c>
      <c r="K6" t="s">
        <v>347</v>
      </c>
      <c r="L6" t="s">
        <v>351</v>
      </c>
      <c r="M6" t="s">
        <v>240</v>
      </c>
      <c r="N6">
        <v>13</v>
      </c>
      <c r="O6" t="s">
        <v>90</v>
      </c>
      <c r="P6" t="s">
        <v>360</v>
      </c>
      <c r="Q6" t="s">
        <v>217</v>
      </c>
      <c r="R6">
        <v>1</v>
      </c>
    </row>
    <row r="7" spans="1:18" x14ac:dyDescent="0.3">
      <c r="A7" t="s">
        <v>348</v>
      </c>
      <c r="B7" t="s">
        <v>43</v>
      </c>
      <c r="C7" t="s">
        <v>105</v>
      </c>
      <c r="D7" s="15">
        <v>46246.307928240742</v>
      </c>
      <c r="E7" t="s">
        <v>401</v>
      </c>
      <c r="F7">
        <v>1</v>
      </c>
      <c r="G7" s="15">
        <v>46247.461805555555</v>
      </c>
      <c r="H7" t="s">
        <v>357</v>
      </c>
      <c r="I7" t="s">
        <v>369</v>
      </c>
      <c r="J7" t="s">
        <v>239</v>
      </c>
      <c r="K7" t="s">
        <v>348</v>
      </c>
      <c r="L7" t="s">
        <v>369</v>
      </c>
      <c r="M7" t="s">
        <v>239</v>
      </c>
      <c r="N7">
        <v>0</v>
      </c>
      <c r="O7" t="s">
        <v>67</v>
      </c>
      <c r="P7" t="s">
        <v>357</v>
      </c>
      <c r="Q7" t="s">
        <v>217</v>
      </c>
      <c r="R7">
        <v>1</v>
      </c>
    </row>
    <row r="8" spans="1:18" x14ac:dyDescent="0.3">
      <c r="A8" t="s">
        <v>348</v>
      </c>
      <c r="B8" t="s">
        <v>43</v>
      </c>
      <c r="C8" t="s">
        <v>105</v>
      </c>
      <c r="D8" s="15">
        <v>46244.651597222219</v>
      </c>
      <c r="E8" t="s">
        <v>401</v>
      </c>
      <c r="F8">
        <v>2</v>
      </c>
      <c r="G8" s="15">
        <v>46246.481944444444</v>
      </c>
      <c r="H8" t="s">
        <v>357</v>
      </c>
      <c r="I8" t="s">
        <v>369</v>
      </c>
      <c r="J8" t="s">
        <v>239</v>
      </c>
      <c r="K8" t="s">
        <v>348</v>
      </c>
      <c r="L8" t="s">
        <v>369</v>
      </c>
      <c r="M8" t="s">
        <v>239</v>
      </c>
      <c r="N8">
        <v>0</v>
      </c>
      <c r="O8" t="s">
        <v>67</v>
      </c>
      <c r="P8" t="s">
        <v>357</v>
      </c>
      <c r="Q8" t="s">
        <v>217</v>
      </c>
      <c r="R8">
        <v>1</v>
      </c>
    </row>
    <row r="9" spans="1:18" x14ac:dyDescent="0.3">
      <c r="A9" t="s">
        <v>348</v>
      </c>
      <c r="B9" t="s">
        <v>43</v>
      </c>
      <c r="C9" t="s">
        <v>105</v>
      </c>
      <c r="D9" s="15">
        <v>46241.373356481483</v>
      </c>
      <c r="E9" t="s">
        <v>401</v>
      </c>
      <c r="F9">
        <v>2</v>
      </c>
      <c r="G9" s="15">
        <v>46244.479166666664</v>
      </c>
      <c r="H9" t="s">
        <v>357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N9">
        <v>0</v>
      </c>
      <c r="O9" t="s">
        <v>67</v>
      </c>
      <c r="P9" t="s">
        <v>357</v>
      </c>
      <c r="Q9" t="s">
        <v>217</v>
      </c>
      <c r="R9">
        <v>1</v>
      </c>
    </row>
    <row r="10" spans="1:18" x14ac:dyDescent="0.3">
      <c r="A10" t="s">
        <v>348</v>
      </c>
      <c r="B10" t="s">
        <v>43</v>
      </c>
      <c r="C10" t="s">
        <v>105</v>
      </c>
      <c r="D10" s="15">
        <v>46239.511006944442</v>
      </c>
      <c r="E10" t="s">
        <v>401</v>
      </c>
      <c r="F10">
        <v>3</v>
      </c>
      <c r="G10" s="15">
        <v>46240.486805555556</v>
      </c>
      <c r="H10" t="s">
        <v>357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N10">
        <v>0</v>
      </c>
      <c r="O10" t="s">
        <v>67</v>
      </c>
      <c r="P10" t="s">
        <v>357</v>
      </c>
      <c r="Q10" t="s">
        <v>217</v>
      </c>
      <c r="R10">
        <v>1</v>
      </c>
    </row>
    <row r="11" spans="1:18" x14ac:dyDescent="0.3">
      <c r="A11" t="s">
        <v>348</v>
      </c>
      <c r="B11" t="s">
        <v>45</v>
      </c>
      <c r="C11" t="s">
        <v>68</v>
      </c>
      <c r="D11" s="15">
        <v>46238.581493055557</v>
      </c>
      <c r="E11" t="s">
        <v>401</v>
      </c>
      <c r="F11">
        <v>9</v>
      </c>
      <c r="G11" s="15">
        <v>46240.479166666664</v>
      </c>
      <c r="H11" t="s">
        <v>357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67</v>
      </c>
      <c r="P11" t="s">
        <v>357</v>
      </c>
      <c r="Q11" t="s">
        <v>217</v>
      </c>
    </row>
    <row r="12" spans="1:18" x14ac:dyDescent="0.3">
      <c r="A12" t="s">
        <v>348</v>
      </c>
      <c r="B12" t="s">
        <v>43</v>
      </c>
      <c r="C12" t="s">
        <v>105</v>
      </c>
      <c r="D12" s="15">
        <v>46232.641296296293</v>
      </c>
      <c r="E12" t="s">
        <v>401</v>
      </c>
      <c r="F12">
        <v>3</v>
      </c>
      <c r="G12" s="15">
        <v>46233.513888888891</v>
      </c>
      <c r="H12" t="s">
        <v>357</v>
      </c>
      <c r="I12" t="s">
        <v>369</v>
      </c>
      <c r="J12" t="s">
        <v>239</v>
      </c>
      <c r="K12" t="s">
        <v>348</v>
      </c>
      <c r="L12" t="s">
        <v>369</v>
      </c>
      <c r="M12" t="s">
        <v>239</v>
      </c>
      <c r="N12">
        <v>0</v>
      </c>
      <c r="O12" t="s">
        <v>67</v>
      </c>
      <c r="P12" t="s">
        <v>357</v>
      </c>
      <c r="Q12" t="s">
        <v>217</v>
      </c>
      <c r="R12">
        <v>1</v>
      </c>
    </row>
    <row r="13" spans="1:18" x14ac:dyDescent="0.3">
      <c r="A13" t="s">
        <v>348</v>
      </c>
      <c r="B13" t="s">
        <v>43</v>
      </c>
      <c r="C13" t="s">
        <v>105</v>
      </c>
      <c r="D13" s="15">
        <v>46220.487835648149</v>
      </c>
      <c r="E13" t="s">
        <v>401</v>
      </c>
      <c r="F13">
        <v>3</v>
      </c>
      <c r="G13" s="15">
        <v>46224.423611111109</v>
      </c>
      <c r="H13" t="s">
        <v>357</v>
      </c>
      <c r="I13" t="s">
        <v>369</v>
      </c>
      <c r="J13" t="s">
        <v>239</v>
      </c>
      <c r="K13" t="s">
        <v>348</v>
      </c>
      <c r="L13" t="s">
        <v>369</v>
      </c>
      <c r="M13" t="s">
        <v>239</v>
      </c>
      <c r="N13">
        <v>0</v>
      </c>
      <c r="O13" t="s">
        <v>67</v>
      </c>
      <c r="P13" t="s">
        <v>357</v>
      </c>
      <c r="Q13" t="s">
        <v>217</v>
      </c>
      <c r="R13">
        <v>1</v>
      </c>
    </row>
    <row r="14" spans="1:18" x14ac:dyDescent="0.3">
      <c r="A14" t="s">
        <v>348</v>
      </c>
      <c r="B14" t="s">
        <v>47</v>
      </c>
      <c r="C14" t="s">
        <v>68</v>
      </c>
      <c r="D14" s="15">
        <v>46239.471967592595</v>
      </c>
      <c r="E14" t="s">
        <v>401</v>
      </c>
      <c r="F14">
        <v>1</v>
      </c>
      <c r="G14" s="15">
        <v>46240.488194444442</v>
      </c>
      <c r="H14" t="s">
        <v>357</v>
      </c>
      <c r="I14" t="s">
        <v>369</v>
      </c>
      <c r="J14" t="s">
        <v>239</v>
      </c>
      <c r="K14" t="s">
        <v>348</v>
      </c>
      <c r="L14" t="s">
        <v>369</v>
      </c>
      <c r="M14" t="s">
        <v>239</v>
      </c>
      <c r="N14">
        <v>0</v>
      </c>
      <c r="O14" t="s">
        <v>90</v>
      </c>
      <c r="P14" t="s">
        <v>357</v>
      </c>
      <c r="Q14" t="s">
        <v>218</v>
      </c>
      <c r="R14">
        <v>1</v>
      </c>
    </row>
    <row r="15" spans="1:18" x14ac:dyDescent="0.3">
      <c r="A15" t="s">
        <v>348</v>
      </c>
      <c r="B15" t="s">
        <v>47</v>
      </c>
      <c r="C15" t="s">
        <v>68</v>
      </c>
      <c r="D15" s="15">
        <v>46239.466099537036</v>
      </c>
      <c r="E15" t="s">
        <v>401</v>
      </c>
      <c r="F15">
        <v>1</v>
      </c>
      <c r="G15" s="15">
        <v>46240.467361111114</v>
      </c>
      <c r="H15" t="s">
        <v>357</v>
      </c>
      <c r="I15" t="s">
        <v>369</v>
      </c>
      <c r="J15" t="s">
        <v>239</v>
      </c>
      <c r="K15" t="s">
        <v>348</v>
      </c>
      <c r="L15" t="s">
        <v>369</v>
      </c>
      <c r="M15" t="s">
        <v>239</v>
      </c>
      <c r="O15" t="s">
        <v>90</v>
      </c>
      <c r="P15" t="s">
        <v>357</v>
      </c>
      <c r="Q15" t="s">
        <v>218</v>
      </c>
    </row>
    <row r="16" spans="1:18" x14ac:dyDescent="0.3">
      <c r="A16" t="s">
        <v>348</v>
      </c>
      <c r="B16" t="s">
        <v>47</v>
      </c>
      <c r="C16" t="s">
        <v>68</v>
      </c>
      <c r="D16" s="15">
        <v>46233.500243055554</v>
      </c>
      <c r="E16" t="s">
        <v>401</v>
      </c>
      <c r="F16">
        <v>2</v>
      </c>
      <c r="G16" s="15">
        <v>46234.449305555558</v>
      </c>
      <c r="H16" t="s">
        <v>357</v>
      </c>
      <c r="I16" t="s">
        <v>369</v>
      </c>
      <c r="J16" t="s">
        <v>239</v>
      </c>
      <c r="K16" t="s">
        <v>348</v>
      </c>
      <c r="L16" t="s">
        <v>369</v>
      </c>
      <c r="M16" t="s">
        <v>239</v>
      </c>
      <c r="N16">
        <v>0</v>
      </c>
      <c r="O16" t="s">
        <v>90</v>
      </c>
      <c r="P16" t="s">
        <v>357</v>
      </c>
      <c r="Q16" t="s">
        <v>218</v>
      </c>
      <c r="R16">
        <v>1</v>
      </c>
    </row>
    <row r="17" spans="1:18" x14ac:dyDescent="0.3">
      <c r="A17" t="s">
        <v>348</v>
      </c>
      <c r="B17" t="s">
        <v>47</v>
      </c>
      <c r="C17" t="s">
        <v>68</v>
      </c>
      <c r="D17" s="15">
        <v>46240.53496527778</v>
      </c>
      <c r="E17" t="s">
        <v>401</v>
      </c>
      <c r="F17">
        <v>1</v>
      </c>
      <c r="G17" s="15">
        <v>46241.430555555555</v>
      </c>
      <c r="H17" t="s">
        <v>357</v>
      </c>
      <c r="I17" t="s">
        <v>369</v>
      </c>
      <c r="J17" t="s">
        <v>239</v>
      </c>
      <c r="K17" t="s">
        <v>348</v>
      </c>
      <c r="L17" t="s">
        <v>369</v>
      </c>
      <c r="M17" t="s">
        <v>239</v>
      </c>
      <c r="N17">
        <v>0</v>
      </c>
      <c r="O17" t="s">
        <v>90</v>
      </c>
      <c r="P17" t="s">
        <v>357</v>
      </c>
      <c r="Q17" t="s">
        <v>218</v>
      </c>
      <c r="R17">
        <v>1</v>
      </c>
    </row>
    <row r="18" spans="1:18" x14ac:dyDescent="0.3">
      <c r="A18" t="s">
        <v>348</v>
      </c>
      <c r="B18" t="s">
        <v>48</v>
      </c>
      <c r="C18" t="s">
        <v>68</v>
      </c>
      <c r="D18" s="15">
        <v>46246.518310185187</v>
      </c>
      <c r="E18" t="s">
        <v>401</v>
      </c>
      <c r="F18">
        <v>1</v>
      </c>
      <c r="G18" s="15">
        <v>46254.573611111111</v>
      </c>
      <c r="H18" t="s">
        <v>357</v>
      </c>
      <c r="I18" t="s">
        <v>369</v>
      </c>
      <c r="J18" t="s">
        <v>239</v>
      </c>
      <c r="K18" t="s">
        <v>348</v>
      </c>
      <c r="L18" t="s">
        <v>369</v>
      </c>
      <c r="M18" t="s">
        <v>239</v>
      </c>
      <c r="N18">
        <v>0</v>
      </c>
      <c r="O18" t="s">
        <v>90</v>
      </c>
      <c r="P18" t="s">
        <v>357</v>
      </c>
      <c r="Q18" t="s">
        <v>217</v>
      </c>
      <c r="R18">
        <v>1</v>
      </c>
    </row>
    <row r="19" spans="1:18" x14ac:dyDescent="0.3">
      <c r="A19" t="s">
        <v>348</v>
      </c>
      <c r="B19" t="s">
        <v>48</v>
      </c>
      <c r="C19" t="s">
        <v>68</v>
      </c>
      <c r="D19" s="15">
        <v>46251.526550925926</v>
      </c>
      <c r="E19" t="s">
        <v>401</v>
      </c>
      <c r="F19">
        <v>1</v>
      </c>
      <c r="G19" s="15">
        <v>46254.573611111111</v>
      </c>
      <c r="H19" t="s">
        <v>357</v>
      </c>
      <c r="I19" t="s">
        <v>369</v>
      </c>
      <c r="J19" t="s">
        <v>239</v>
      </c>
      <c r="K19" t="s">
        <v>348</v>
      </c>
      <c r="L19" t="s">
        <v>369</v>
      </c>
      <c r="M19" t="s">
        <v>239</v>
      </c>
      <c r="O19" t="s">
        <v>90</v>
      </c>
      <c r="P19" t="s">
        <v>357</v>
      </c>
      <c r="Q19" t="s">
        <v>217</v>
      </c>
    </row>
    <row r="20" spans="1:18" x14ac:dyDescent="0.3">
      <c r="A20" t="s">
        <v>348</v>
      </c>
      <c r="B20" t="s">
        <v>48</v>
      </c>
      <c r="C20" t="s">
        <v>68</v>
      </c>
      <c r="D20" s="15">
        <v>46251.620995370373</v>
      </c>
      <c r="E20" t="s">
        <v>401</v>
      </c>
      <c r="F20">
        <v>2</v>
      </c>
      <c r="G20" s="15">
        <v>46254.573611111111</v>
      </c>
      <c r="H20" t="s">
        <v>357</v>
      </c>
      <c r="I20" t="s">
        <v>369</v>
      </c>
      <c r="J20" t="s">
        <v>239</v>
      </c>
      <c r="K20" t="s">
        <v>348</v>
      </c>
      <c r="L20" t="s">
        <v>369</v>
      </c>
      <c r="M20" t="s">
        <v>239</v>
      </c>
      <c r="O20" t="s">
        <v>90</v>
      </c>
      <c r="P20" t="s">
        <v>357</v>
      </c>
      <c r="Q20" t="s">
        <v>217</v>
      </c>
    </row>
    <row r="21" spans="1:18" x14ac:dyDescent="0.3">
      <c r="A21" t="s">
        <v>348</v>
      </c>
      <c r="B21" t="s">
        <v>48</v>
      </c>
      <c r="C21" t="s">
        <v>68</v>
      </c>
      <c r="D21" s="15">
        <v>46254.383645833332</v>
      </c>
      <c r="E21" t="s">
        <v>401</v>
      </c>
      <c r="F21">
        <v>1</v>
      </c>
      <c r="G21" s="15">
        <v>46258.484027777777</v>
      </c>
      <c r="H21" t="s">
        <v>357</v>
      </c>
      <c r="I21" t="s">
        <v>369</v>
      </c>
      <c r="J21" t="s">
        <v>239</v>
      </c>
      <c r="K21" t="s">
        <v>348</v>
      </c>
      <c r="L21" t="s">
        <v>369</v>
      </c>
      <c r="M21" t="s">
        <v>239</v>
      </c>
      <c r="N21">
        <v>0</v>
      </c>
      <c r="O21" t="s">
        <v>90</v>
      </c>
      <c r="P21" t="s">
        <v>357</v>
      </c>
      <c r="Q21" t="s">
        <v>217</v>
      </c>
      <c r="R21">
        <v>1</v>
      </c>
    </row>
    <row r="22" spans="1:18" x14ac:dyDescent="0.3">
      <c r="A22" t="s">
        <v>348</v>
      </c>
      <c r="B22" t="s">
        <v>48</v>
      </c>
      <c r="C22" t="s">
        <v>68</v>
      </c>
      <c r="D22" s="15">
        <v>46246.459398148145</v>
      </c>
      <c r="E22" t="s">
        <v>401</v>
      </c>
      <c r="F22">
        <v>1</v>
      </c>
      <c r="G22" s="15">
        <v>46258.484027777777</v>
      </c>
      <c r="H22" t="s">
        <v>357</v>
      </c>
      <c r="I22" t="s">
        <v>369</v>
      </c>
      <c r="J22" t="s">
        <v>239</v>
      </c>
      <c r="K22" t="s">
        <v>348</v>
      </c>
      <c r="L22" t="s">
        <v>369</v>
      </c>
      <c r="M22" t="s">
        <v>239</v>
      </c>
      <c r="O22" t="s">
        <v>90</v>
      </c>
      <c r="P22" t="s">
        <v>357</v>
      </c>
      <c r="Q22" t="s">
        <v>217</v>
      </c>
    </row>
    <row r="23" spans="1:18" x14ac:dyDescent="0.3">
      <c r="A23" t="s">
        <v>348</v>
      </c>
      <c r="B23" t="s">
        <v>48</v>
      </c>
      <c r="C23" t="s">
        <v>68</v>
      </c>
      <c r="D23" s="15">
        <v>46245.580497685187</v>
      </c>
      <c r="E23" t="s">
        <v>401</v>
      </c>
      <c r="F23">
        <v>1</v>
      </c>
      <c r="G23" s="15">
        <v>46258.484027777777</v>
      </c>
      <c r="H23" t="s">
        <v>357</v>
      </c>
      <c r="I23" t="s">
        <v>369</v>
      </c>
      <c r="J23" t="s">
        <v>239</v>
      </c>
      <c r="K23" t="s">
        <v>348</v>
      </c>
      <c r="L23" t="s">
        <v>369</v>
      </c>
      <c r="M23" t="s">
        <v>239</v>
      </c>
      <c r="O23" t="s">
        <v>90</v>
      </c>
      <c r="P23" t="s">
        <v>357</v>
      </c>
      <c r="Q23" t="s">
        <v>217</v>
      </c>
    </row>
    <row r="24" spans="1:18" x14ac:dyDescent="0.3">
      <c r="A24" t="s">
        <v>348</v>
      </c>
      <c r="B24" t="s">
        <v>48</v>
      </c>
      <c r="C24" t="s">
        <v>68</v>
      </c>
      <c r="D24" s="15">
        <v>46253.381192129629</v>
      </c>
      <c r="E24" t="s">
        <v>401</v>
      </c>
      <c r="F24">
        <v>1</v>
      </c>
      <c r="G24" s="15">
        <v>46255.386805555558</v>
      </c>
      <c r="H24" t="s">
        <v>357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N24">
        <v>0</v>
      </c>
      <c r="O24" t="s">
        <v>90</v>
      </c>
      <c r="P24" t="s">
        <v>357</v>
      </c>
      <c r="Q24" t="s">
        <v>217</v>
      </c>
      <c r="R24">
        <v>1</v>
      </c>
    </row>
    <row r="25" spans="1:18" x14ac:dyDescent="0.3">
      <c r="A25" t="s">
        <v>348</v>
      </c>
      <c r="B25" t="s">
        <v>48</v>
      </c>
      <c r="C25" t="s">
        <v>68</v>
      </c>
      <c r="D25" s="15">
        <v>46237.501354166663</v>
      </c>
      <c r="E25" t="s">
        <v>401</v>
      </c>
      <c r="F25">
        <v>1</v>
      </c>
      <c r="G25" s="15">
        <v>46239.477777777778</v>
      </c>
      <c r="H25" t="s">
        <v>357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N25">
        <v>0</v>
      </c>
      <c r="O25" t="s">
        <v>90</v>
      </c>
      <c r="P25" t="s">
        <v>357</v>
      </c>
      <c r="Q25" t="s">
        <v>217</v>
      </c>
      <c r="R25">
        <v>1</v>
      </c>
    </row>
    <row r="26" spans="1:18" x14ac:dyDescent="0.3">
      <c r="A26" t="s">
        <v>348</v>
      </c>
      <c r="B26" t="s">
        <v>48</v>
      </c>
      <c r="C26" t="s">
        <v>68</v>
      </c>
      <c r="D26" s="15">
        <v>46237.522916666669</v>
      </c>
      <c r="E26" t="s">
        <v>401</v>
      </c>
      <c r="F26">
        <v>2</v>
      </c>
      <c r="G26" s="15">
        <v>46239.477777777778</v>
      </c>
      <c r="H26" t="s">
        <v>357</v>
      </c>
      <c r="I26" t="s">
        <v>369</v>
      </c>
      <c r="J26" t="s">
        <v>239</v>
      </c>
      <c r="K26" t="s">
        <v>348</v>
      </c>
      <c r="L26" t="s">
        <v>369</v>
      </c>
      <c r="M26" t="s">
        <v>239</v>
      </c>
      <c r="O26" t="s">
        <v>90</v>
      </c>
      <c r="P26" t="s">
        <v>357</v>
      </c>
      <c r="Q26" t="s">
        <v>217</v>
      </c>
    </row>
    <row r="27" spans="1:18" x14ac:dyDescent="0.3">
      <c r="A27" t="s">
        <v>348</v>
      </c>
      <c r="B27" t="s">
        <v>48</v>
      </c>
      <c r="C27" t="s">
        <v>68</v>
      </c>
      <c r="D27" s="15">
        <v>46226.405069444445</v>
      </c>
      <c r="E27" t="s">
        <v>401</v>
      </c>
      <c r="F27">
        <v>2</v>
      </c>
      <c r="G27" s="15">
        <v>46230.652777777781</v>
      </c>
      <c r="H27" t="s">
        <v>357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90</v>
      </c>
      <c r="P27" t="s">
        <v>357</v>
      </c>
      <c r="Q27" t="s">
        <v>217</v>
      </c>
      <c r="R27">
        <v>1</v>
      </c>
    </row>
    <row r="28" spans="1:18" x14ac:dyDescent="0.3">
      <c r="A28" t="s">
        <v>348</v>
      </c>
      <c r="B28" t="s">
        <v>48</v>
      </c>
      <c r="C28" t="s">
        <v>68</v>
      </c>
      <c r="D28" s="15">
        <v>46224.393900462965</v>
      </c>
      <c r="E28" t="s">
        <v>401</v>
      </c>
      <c r="F28">
        <v>1</v>
      </c>
      <c r="G28" s="15">
        <v>46234.497916666667</v>
      </c>
      <c r="H28" t="s">
        <v>357</v>
      </c>
      <c r="I28" t="s">
        <v>369</v>
      </c>
      <c r="J28" t="s">
        <v>239</v>
      </c>
      <c r="K28" t="s">
        <v>348</v>
      </c>
      <c r="L28" t="s">
        <v>369</v>
      </c>
      <c r="M28" t="s">
        <v>239</v>
      </c>
      <c r="N28">
        <v>0</v>
      </c>
      <c r="O28" t="s">
        <v>90</v>
      </c>
      <c r="P28" t="s">
        <v>357</v>
      </c>
      <c r="Q28" t="s">
        <v>217</v>
      </c>
      <c r="R28">
        <v>1</v>
      </c>
    </row>
    <row r="29" spans="1:18" x14ac:dyDescent="0.3">
      <c r="A29" t="s">
        <v>348</v>
      </c>
      <c r="B29" t="s">
        <v>43</v>
      </c>
      <c r="C29" t="s">
        <v>105</v>
      </c>
      <c r="D29" s="15">
        <v>46244.369768518518</v>
      </c>
      <c r="E29" t="s">
        <v>402</v>
      </c>
      <c r="F29">
        <v>4</v>
      </c>
      <c r="G29" s="15">
        <v>46246.443055555559</v>
      </c>
      <c r="H29" t="s">
        <v>354</v>
      </c>
      <c r="I29" t="s">
        <v>369</v>
      </c>
      <c r="J29" t="s">
        <v>239</v>
      </c>
      <c r="K29" t="s">
        <v>348</v>
      </c>
      <c r="L29" t="s">
        <v>369</v>
      </c>
      <c r="M29" t="s">
        <v>239</v>
      </c>
      <c r="N29">
        <v>0</v>
      </c>
      <c r="O29" t="s">
        <v>67</v>
      </c>
      <c r="P29" t="s">
        <v>354</v>
      </c>
      <c r="Q29" t="s">
        <v>217</v>
      </c>
      <c r="R29">
        <v>1</v>
      </c>
    </row>
    <row r="30" spans="1:18" x14ac:dyDescent="0.3">
      <c r="A30" t="s">
        <v>348</v>
      </c>
      <c r="B30" t="s">
        <v>48</v>
      </c>
      <c r="C30" t="s">
        <v>68</v>
      </c>
      <c r="D30" s="15">
        <v>46244.381539351853</v>
      </c>
      <c r="E30" t="s">
        <v>402</v>
      </c>
      <c r="F30">
        <v>1</v>
      </c>
      <c r="G30" s="15">
        <v>46246.443055555559</v>
      </c>
      <c r="H30" t="s">
        <v>354</v>
      </c>
      <c r="I30" t="s">
        <v>369</v>
      </c>
      <c r="J30" t="s">
        <v>239</v>
      </c>
      <c r="K30" t="s">
        <v>348</v>
      </c>
      <c r="L30" t="s">
        <v>369</v>
      </c>
      <c r="M30" t="s">
        <v>239</v>
      </c>
      <c r="O30" t="s">
        <v>90</v>
      </c>
      <c r="P30" t="s">
        <v>354</v>
      </c>
      <c r="Q30" t="s">
        <v>217</v>
      </c>
    </row>
    <row r="31" spans="1:18" x14ac:dyDescent="0.3">
      <c r="A31" t="s">
        <v>348</v>
      </c>
      <c r="B31" t="s">
        <v>43</v>
      </c>
      <c r="C31" t="s">
        <v>105</v>
      </c>
      <c r="D31" s="15">
        <v>46227.579050925924</v>
      </c>
      <c r="E31" t="s">
        <v>402</v>
      </c>
      <c r="F31">
        <v>2</v>
      </c>
      <c r="G31" s="15">
        <v>46231.416666666664</v>
      </c>
      <c r="H31" t="s">
        <v>354</v>
      </c>
      <c r="I31" t="s">
        <v>369</v>
      </c>
      <c r="J31" t="s">
        <v>239</v>
      </c>
      <c r="K31" t="s">
        <v>348</v>
      </c>
      <c r="L31" t="s">
        <v>369</v>
      </c>
      <c r="M31" t="s">
        <v>239</v>
      </c>
      <c r="N31">
        <v>0</v>
      </c>
      <c r="O31" t="s">
        <v>67</v>
      </c>
      <c r="P31" t="s">
        <v>354</v>
      </c>
      <c r="Q31" t="s">
        <v>217</v>
      </c>
      <c r="R31">
        <v>1</v>
      </c>
    </row>
    <row r="32" spans="1:18" x14ac:dyDescent="0.3">
      <c r="A32" t="s">
        <v>348</v>
      </c>
      <c r="B32" t="s">
        <v>47</v>
      </c>
      <c r="C32" t="s">
        <v>68</v>
      </c>
      <c r="D32" s="15">
        <v>46240.53496527778</v>
      </c>
      <c r="E32" t="s">
        <v>401</v>
      </c>
      <c r="F32">
        <v>2</v>
      </c>
      <c r="G32" s="15">
        <v>46241.430555555555</v>
      </c>
      <c r="H32" t="s">
        <v>354</v>
      </c>
      <c r="I32" t="s">
        <v>369</v>
      </c>
      <c r="J32" t="s">
        <v>239</v>
      </c>
      <c r="K32" t="s">
        <v>348</v>
      </c>
      <c r="L32" t="s">
        <v>369</v>
      </c>
      <c r="M32" t="s">
        <v>239</v>
      </c>
      <c r="N32">
        <v>0</v>
      </c>
      <c r="O32" t="s">
        <v>90</v>
      </c>
      <c r="P32" t="s">
        <v>354</v>
      </c>
      <c r="Q32" t="s">
        <v>218</v>
      </c>
      <c r="R32">
        <v>1</v>
      </c>
    </row>
    <row r="33" spans="1:18" x14ac:dyDescent="0.3">
      <c r="A33" t="s">
        <v>348</v>
      </c>
      <c r="B33" t="s">
        <v>45</v>
      </c>
      <c r="C33" t="s">
        <v>68</v>
      </c>
      <c r="D33" s="15">
        <v>46238.415856481479</v>
      </c>
      <c r="E33" t="s">
        <v>406</v>
      </c>
      <c r="F33">
        <v>3</v>
      </c>
      <c r="G33" s="15">
        <v>46240.430555555555</v>
      </c>
      <c r="H33" t="s">
        <v>354</v>
      </c>
      <c r="I33" t="s">
        <v>369</v>
      </c>
      <c r="J33" t="s">
        <v>239</v>
      </c>
      <c r="K33" t="s">
        <v>348</v>
      </c>
      <c r="L33" t="s">
        <v>369</v>
      </c>
      <c r="M33" t="s">
        <v>239</v>
      </c>
      <c r="N33">
        <v>0</v>
      </c>
      <c r="O33" t="s">
        <v>67</v>
      </c>
      <c r="P33" t="s">
        <v>354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46238.416307870371</v>
      </c>
      <c r="E34" t="s">
        <v>406</v>
      </c>
      <c r="F34">
        <v>10</v>
      </c>
      <c r="G34" s="15">
        <v>46240.430555555555</v>
      </c>
      <c r="H34" t="s">
        <v>354</v>
      </c>
      <c r="I34" t="s">
        <v>369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354</v>
      </c>
      <c r="Q34" t="s">
        <v>217</v>
      </c>
    </row>
    <row r="35" spans="1:18" x14ac:dyDescent="0.3">
      <c r="A35" t="s">
        <v>348</v>
      </c>
      <c r="B35" t="s">
        <v>45</v>
      </c>
      <c r="C35" t="s">
        <v>68</v>
      </c>
      <c r="D35" s="15">
        <v>46238.415497685186</v>
      </c>
      <c r="E35" t="s">
        <v>406</v>
      </c>
      <c r="F35">
        <v>9</v>
      </c>
      <c r="G35" s="15">
        <v>46240.430555555555</v>
      </c>
      <c r="H35" t="s">
        <v>354</v>
      </c>
      <c r="I35" t="s">
        <v>369</v>
      </c>
      <c r="J35" t="s">
        <v>239</v>
      </c>
      <c r="K35" t="s">
        <v>348</v>
      </c>
      <c r="L35" t="s">
        <v>369</v>
      </c>
      <c r="M35" t="s">
        <v>239</v>
      </c>
      <c r="O35" t="s">
        <v>67</v>
      </c>
      <c r="P35" t="s">
        <v>354</v>
      </c>
      <c r="Q35" t="s">
        <v>217</v>
      </c>
    </row>
    <row r="36" spans="1:18" x14ac:dyDescent="0.3">
      <c r="A36" t="s">
        <v>348</v>
      </c>
      <c r="B36" t="s">
        <v>45</v>
      </c>
      <c r="C36" t="s">
        <v>68</v>
      </c>
      <c r="D36" s="15">
        <v>46237.469942129632</v>
      </c>
      <c r="E36" t="s">
        <v>402</v>
      </c>
      <c r="F36">
        <v>1</v>
      </c>
      <c r="G36" s="15">
        <v>46240.638888888891</v>
      </c>
      <c r="H36" t="s">
        <v>354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N36">
        <v>0</v>
      </c>
      <c r="O36" t="s">
        <v>67</v>
      </c>
      <c r="P36" t="s">
        <v>354</v>
      </c>
      <c r="Q36" t="s">
        <v>217</v>
      </c>
    </row>
    <row r="37" spans="1:18" x14ac:dyDescent="0.3">
      <c r="A37" t="s">
        <v>348</v>
      </c>
      <c r="B37" t="s">
        <v>48</v>
      </c>
      <c r="C37" t="s">
        <v>68</v>
      </c>
      <c r="D37" s="15">
        <v>46233.385277777779</v>
      </c>
      <c r="E37" t="s">
        <v>402</v>
      </c>
      <c r="F37">
        <v>1</v>
      </c>
      <c r="G37" s="15">
        <v>46240.420138888891</v>
      </c>
      <c r="H37" t="s">
        <v>354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N37">
        <v>0</v>
      </c>
      <c r="O37" t="s">
        <v>90</v>
      </c>
      <c r="P37" t="s">
        <v>354</v>
      </c>
      <c r="Q37" t="s">
        <v>217</v>
      </c>
    </row>
    <row r="38" spans="1:18" x14ac:dyDescent="0.3">
      <c r="A38" t="s">
        <v>348</v>
      </c>
      <c r="B38" t="s">
        <v>45</v>
      </c>
      <c r="C38" t="s">
        <v>68</v>
      </c>
      <c r="D38" s="15">
        <v>46225.311331018522</v>
      </c>
      <c r="E38" t="s">
        <v>399</v>
      </c>
      <c r="F38">
        <v>3</v>
      </c>
      <c r="G38" s="15">
        <v>46227.42291666667</v>
      </c>
      <c r="H38" t="s">
        <v>354</v>
      </c>
      <c r="I38" t="s">
        <v>369</v>
      </c>
      <c r="J38" t="s">
        <v>239</v>
      </c>
      <c r="K38" t="s">
        <v>348</v>
      </c>
      <c r="L38" t="s">
        <v>369</v>
      </c>
      <c r="M38" t="s">
        <v>239</v>
      </c>
      <c r="N38">
        <v>0</v>
      </c>
      <c r="O38" t="s">
        <v>67</v>
      </c>
      <c r="P38" t="s">
        <v>354</v>
      </c>
      <c r="Q38" t="s">
        <v>217</v>
      </c>
      <c r="R38">
        <v>1</v>
      </c>
    </row>
    <row r="39" spans="1:18" x14ac:dyDescent="0.3">
      <c r="A39" t="s">
        <v>348</v>
      </c>
      <c r="B39" t="s">
        <v>45</v>
      </c>
      <c r="C39" t="s">
        <v>68</v>
      </c>
      <c r="D39" s="15">
        <v>46225.310555555552</v>
      </c>
      <c r="E39" t="s">
        <v>399</v>
      </c>
      <c r="F39">
        <v>4</v>
      </c>
      <c r="G39" s="15">
        <v>46227.42291666667</v>
      </c>
      <c r="H39" t="s">
        <v>354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O39" t="s">
        <v>67</v>
      </c>
      <c r="P39" t="s">
        <v>354</v>
      </c>
      <c r="Q39" t="s">
        <v>217</v>
      </c>
    </row>
    <row r="40" spans="1:18" x14ac:dyDescent="0.3">
      <c r="A40" t="s">
        <v>348</v>
      </c>
      <c r="B40" t="s">
        <v>48</v>
      </c>
      <c r="C40" t="s">
        <v>68</v>
      </c>
      <c r="D40" s="15">
        <v>46225.384560185186</v>
      </c>
      <c r="E40" t="s">
        <v>402</v>
      </c>
      <c r="F40">
        <v>1</v>
      </c>
      <c r="G40" s="15">
        <v>46227.40347222222</v>
      </c>
      <c r="H40" t="s">
        <v>354</v>
      </c>
      <c r="I40" t="s">
        <v>369</v>
      </c>
      <c r="J40" t="s">
        <v>239</v>
      </c>
      <c r="K40" t="s">
        <v>348</v>
      </c>
      <c r="L40" t="s">
        <v>369</v>
      </c>
      <c r="M40" t="s">
        <v>239</v>
      </c>
      <c r="O40" t="s">
        <v>90</v>
      </c>
      <c r="P40" t="s">
        <v>354</v>
      </c>
      <c r="Q40" t="s">
        <v>217</v>
      </c>
    </row>
    <row r="41" spans="1:18" x14ac:dyDescent="0.3">
      <c r="A41" t="s">
        <v>348</v>
      </c>
      <c r="B41" t="s">
        <v>48</v>
      </c>
      <c r="C41" t="s">
        <v>68</v>
      </c>
      <c r="D41" s="15">
        <v>46225.554189814815</v>
      </c>
      <c r="E41" t="s">
        <v>402</v>
      </c>
      <c r="F41">
        <v>1</v>
      </c>
      <c r="G41" s="15">
        <v>46227.40347222222</v>
      </c>
      <c r="H41" t="s">
        <v>354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O41" t="s">
        <v>90</v>
      </c>
      <c r="P41" t="s">
        <v>354</v>
      </c>
      <c r="Q41" t="s">
        <v>217</v>
      </c>
    </row>
    <row r="42" spans="1:18" x14ac:dyDescent="0.3">
      <c r="A42" t="s">
        <v>348</v>
      </c>
      <c r="B42" t="s">
        <v>43</v>
      </c>
      <c r="C42" t="s">
        <v>105</v>
      </c>
      <c r="D42" s="15">
        <v>46226.328611111108</v>
      </c>
      <c r="E42" t="s">
        <v>402</v>
      </c>
      <c r="F42">
        <v>6</v>
      </c>
      <c r="G42" s="15">
        <v>46227.40347222222</v>
      </c>
      <c r="H42" t="s">
        <v>354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O42" t="s">
        <v>67</v>
      </c>
      <c r="P42" t="s">
        <v>354</v>
      </c>
      <c r="Q42" t="s">
        <v>217</v>
      </c>
    </row>
    <row r="43" spans="1:18" x14ac:dyDescent="0.3">
      <c r="A43" t="s">
        <v>348</v>
      </c>
      <c r="B43" t="s">
        <v>48</v>
      </c>
      <c r="C43" t="s">
        <v>68</v>
      </c>
      <c r="D43" s="15">
        <v>46252.400995370372</v>
      </c>
      <c r="E43" t="s">
        <v>402</v>
      </c>
      <c r="F43">
        <v>1</v>
      </c>
      <c r="G43" s="15">
        <v>46254.420138888891</v>
      </c>
      <c r="H43" t="s">
        <v>354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N43">
        <v>0</v>
      </c>
      <c r="O43" t="s">
        <v>90</v>
      </c>
      <c r="P43" t="s">
        <v>354</v>
      </c>
      <c r="Q43" t="s">
        <v>217</v>
      </c>
      <c r="R43">
        <v>1</v>
      </c>
    </row>
    <row r="44" spans="1:18" x14ac:dyDescent="0.3">
      <c r="A44" t="s">
        <v>348</v>
      </c>
      <c r="B44" t="s">
        <v>48</v>
      </c>
      <c r="C44" t="s">
        <v>68</v>
      </c>
      <c r="D44" s="15">
        <v>46252.400995370372</v>
      </c>
      <c r="E44" t="s">
        <v>402</v>
      </c>
      <c r="F44">
        <v>1</v>
      </c>
      <c r="G44" s="15">
        <v>46254.420138888891</v>
      </c>
      <c r="H44" t="s">
        <v>354</v>
      </c>
      <c r="I44" t="s">
        <v>369</v>
      </c>
      <c r="J44" t="s">
        <v>239</v>
      </c>
      <c r="K44" t="s">
        <v>348</v>
      </c>
      <c r="L44" t="s">
        <v>369</v>
      </c>
      <c r="M44" t="s">
        <v>239</v>
      </c>
      <c r="O44" t="s">
        <v>90</v>
      </c>
      <c r="P44" t="s">
        <v>354</v>
      </c>
      <c r="Q44" t="s">
        <v>217</v>
      </c>
    </row>
    <row r="45" spans="1:18" x14ac:dyDescent="0.3">
      <c r="A45" t="s">
        <v>348</v>
      </c>
      <c r="B45" t="s">
        <v>48</v>
      </c>
      <c r="C45" t="s">
        <v>68</v>
      </c>
      <c r="D45" s="15">
        <v>46251.60728009259</v>
      </c>
      <c r="E45" t="s">
        <v>402</v>
      </c>
      <c r="F45">
        <v>1</v>
      </c>
      <c r="G45" s="15">
        <v>46254.420138888891</v>
      </c>
      <c r="H45" t="s">
        <v>354</v>
      </c>
      <c r="I45" t="s">
        <v>369</v>
      </c>
      <c r="J45" t="s">
        <v>239</v>
      </c>
      <c r="K45" t="s">
        <v>348</v>
      </c>
      <c r="L45" t="s">
        <v>369</v>
      </c>
      <c r="M45" t="s">
        <v>239</v>
      </c>
      <c r="N45">
        <v>0</v>
      </c>
      <c r="O45" t="s">
        <v>90</v>
      </c>
      <c r="P45" t="s">
        <v>354</v>
      </c>
      <c r="Q45" t="s">
        <v>217</v>
      </c>
    </row>
    <row r="46" spans="1:18" x14ac:dyDescent="0.3">
      <c r="A46" t="s">
        <v>348</v>
      </c>
      <c r="B46" t="s">
        <v>48</v>
      </c>
      <c r="C46" t="s">
        <v>68</v>
      </c>
      <c r="D46" s="15">
        <v>46237.403981481482</v>
      </c>
      <c r="E46" t="s">
        <v>402</v>
      </c>
      <c r="F46">
        <v>1</v>
      </c>
      <c r="G46" s="15">
        <v>46239.458333333336</v>
      </c>
      <c r="H46" t="s">
        <v>354</v>
      </c>
      <c r="I46" t="s">
        <v>369</v>
      </c>
      <c r="J46" t="s">
        <v>239</v>
      </c>
      <c r="K46" t="s">
        <v>348</v>
      </c>
      <c r="L46" t="s">
        <v>369</v>
      </c>
      <c r="M46" t="s">
        <v>239</v>
      </c>
      <c r="N46">
        <v>0</v>
      </c>
      <c r="O46" t="s">
        <v>90</v>
      </c>
      <c r="P46" t="s">
        <v>354</v>
      </c>
      <c r="Q46" t="s">
        <v>217</v>
      </c>
      <c r="R46">
        <v>1</v>
      </c>
    </row>
    <row r="47" spans="1:18" x14ac:dyDescent="0.3">
      <c r="A47" t="s">
        <v>348</v>
      </c>
      <c r="B47" t="s">
        <v>48</v>
      </c>
      <c r="C47" t="s">
        <v>68</v>
      </c>
      <c r="D47" s="15">
        <v>46245.504618055558</v>
      </c>
      <c r="E47" t="s">
        <v>402</v>
      </c>
      <c r="F47">
        <v>1</v>
      </c>
      <c r="G47" s="15">
        <v>46252.390972222223</v>
      </c>
      <c r="H47" t="s">
        <v>354</v>
      </c>
      <c r="I47" t="s">
        <v>369</v>
      </c>
      <c r="J47" t="s">
        <v>239</v>
      </c>
      <c r="K47" t="s">
        <v>348</v>
      </c>
      <c r="L47" t="s">
        <v>369</v>
      </c>
      <c r="M47" t="s">
        <v>239</v>
      </c>
      <c r="N47">
        <v>0</v>
      </c>
      <c r="O47" t="s">
        <v>90</v>
      </c>
      <c r="P47" t="s">
        <v>354</v>
      </c>
      <c r="Q47" t="s">
        <v>217</v>
      </c>
      <c r="R47">
        <v>1</v>
      </c>
    </row>
    <row r="48" spans="1:18" x14ac:dyDescent="0.3">
      <c r="A48" t="s">
        <v>348</v>
      </c>
      <c r="B48" t="s">
        <v>48</v>
      </c>
      <c r="C48" t="s">
        <v>68</v>
      </c>
      <c r="D48" s="15">
        <v>46224.674085648148</v>
      </c>
      <c r="E48" t="s">
        <v>402</v>
      </c>
      <c r="F48">
        <v>1</v>
      </c>
      <c r="G48" s="15">
        <v>46230.489583333336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N48">
        <v>0</v>
      </c>
      <c r="O48" t="s">
        <v>90</v>
      </c>
      <c r="P48" t="s">
        <v>354</v>
      </c>
      <c r="Q48" t="s">
        <v>217</v>
      </c>
      <c r="R48">
        <v>1</v>
      </c>
    </row>
    <row r="49" spans="1:18" x14ac:dyDescent="0.3">
      <c r="A49" t="s">
        <v>348</v>
      </c>
      <c r="B49" t="s">
        <v>48</v>
      </c>
      <c r="C49" t="s">
        <v>68</v>
      </c>
      <c r="D49" s="15">
        <v>46220.546053240738</v>
      </c>
      <c r="E49" t="s">
        <v>402</v>
      </c>
      <c r="F49">
        <v>1</v>
      </c>
      <c r="G49" s="15">
        <v>46226.411805555559</v>
      </c>
      <c r="H49" t="s">
        <v>354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N49">
        <v>0</v>
      </c>
      <c r="O49" t="s">
        <v>90</v>
      </c>
      <c r="P49" t="s">
        <v>354</v>
      </c>
      <c r="Q49" t="s">
        <v>217</v>
      </c>
      <c r="R49">
        <v>1</v>
      </c>
    </row>
    <row r="50" spans="1:18" x14ac:dyDescent="0.3">
      <c r="A50" t="s">
        <v>348</v>
      </c>
      <c r="B50" t="s">
        <v>45</v>
      </c>
      <c r="C50" t="s">
        <v>68</v>
      </c>
      <c r="D50" s="15">
        <v>46255.309004629627</v>
      </c>
      <c r="E50" t="s">
        <v>402</v>
      </c>
      <c r="F50">
        <v>9</v>
      </c>
      <c r="G50" s="15">
        <v>46258.458333333336</v>
      </c>
      <c r="H50" t="s">
        <v>355</v>
      </c>
      <c r="I50" t="s">
        <v>369</v>
      </c>
      <c r="J50" t="s">
        <v>239</v>
      </c>
      <c r="K50" t="s">
        <v>348</v>
      </c>
      <c r="L50" t="s">
        <v>369</v>
      </c>
      <c r="M50" t="s">
        <v>239</v>
      </c>
      <c r="N50">
        <v>0</v>
      </c>
      <c r="O50" t="s">
        <v>67</v>
      </c>
      <c r="P50" t="s">
        <v>355</v>
      </c>
      <c r="Q50" t="s">
        <v>217</v>
      </c>
      <c r="R50">
        <v>1</v>
      </c>
    </row>
    <row r="51" spans="1:18" x14ac:dyDescent="0.3">
      <c r="A51" t="s">
        <v>348</v>
      </c>
      <c r="B51" t="s">
        <v>45</v>
      </c>
      <c r="C51" t="s">
        <v>68</v>
      </c>
      <c r="D51" s="15">
        <v>46254.394618055558</v>
      </c>
      <c r="E51" t="s">
        <v>402</v>
      </c>
      <c r="F51">
        <v>3</v>
      </c>
      <c r="G51" s="15">
        <v>46255.493055555555</v>
      </c>
      <c r="H51" t="s">
        <v>355</v>
      </c>
      <c r="I51" t="s">
        <v>369</v>
      </c>
      <c r="J51" t="s">
        <v>239</v>
      </c>
      <c r="K51" t="s">
        <v>348</v>
      </c>
      <c r="L51" t="s">
        <v>369</v>
      </c>
      <c r="M51" t="s">
        <v>239</v>
      </c>
      <c r="N51">
        <v>0</v>
      </c>
      <c r="O51" t="s">
        <v>67</v>
      </c>
      <c r="P51" t="s">
        <v>355</v>
      </c>
      <c r="Q51" t="s">
        <v>217</v>
      </c>
      <c r="R51">
        <v>1</v>
      </c>
    </row>
    <row r="52" spans="1:18" x14ac:dyDescent="0.3">
      <c r="A52" t="s">
        <v>348</v>
      </c>
      <c r="B52" t="s">
        <v>45</v>
      </c>
      <c r="C52" t="s">
        <v>68</v>
      </c>
      <c r="D52" s="15">
        <v>46254.395497685182</v>
      </c>
      <c r="E52" t="s">
        <v>402</v>
      </c>
      <c r="F52">
        <v>7</v>
      </c>
      <c r="G52" s="15">
        <v>46255.493055555555</v>
      </c>
      <c r="H52" t="s">
        <v>355</v>
      </c>
      <c r="I52" t="s">
        <v>369</v>
      </c>
      <c r="J52" t="s">
        <v>239</v>
      </c>
      <c r="K52" t="s">
        <v>348</v>
      </c>
      <c r="L52" t="s">
        <v>369</v>
      </c>
      <c r="M52" t="s">
        <v>239</v>
      </c>
      <c r="O52" t="s">
        <v>67</v>
      </c>
      <c r="P52" t="s">
        <v>355</v>
      </c>
      <c r="Q52" t="s">
        <v>217</v>
      </c>
    </row>
    <row r="53" spans="1:18" x14ac:dyDescent="0.3">
      <c r="A53" t="s">
        <v>348</v>
      </c>
      <c r="B53" t="s">
        <v>45</v>
      </c>
      <c r="C53" t="s">
        <v>68</v>
      </c>
      <c r="D53" s="15">
        <v>46254.396273148152</v>
      </c>
      <c r="E53" t="s">
        <v>402</v>
      </c>
      <c r="F53">
        <v>6</v>
      </c>
      <c r="G53" s="15">
        <v>46255.493055555555</v>
      </c>
      <c r="H53" t="s">
        <v>355</v>
      </c>
      <c r="I53" t="s">
        <v>369</v>
      </c>
      <c r="J53" t="s">
        <v>239</v>
      </c>
      <c r="K53" t="s">
        <v>348</v>
      </c>
      <c r="L53" t="s">
        <v>369</v>
      </c>
      <c r="M53" t="s">
        <v>239</v>
      </c>
      <c r="O53" t="s">
        <v>67</v>
      </c>
      <c r="P53" t="s">
        <v>355</v>
      </c>
      <c r="Q53" t="s">
        <v>217</v>
      </c>
    </row>
    <row r="54" spans="1:18" x14ac:dyDescent="0.3">
      <c r="A54" t="s">
        <v>348</v>
      </c>
      <c r="B54" t="s">
        <v>45</v>
      </c>
      <c r="C54" t="s">
        <v>68</v>
      </c>
      <c r="D54" s="15">
        <v>46231.659247685187</v>
      </c>
      <c r="E54" t="s">
        <v>1058</v>
      </c>
      <c r="F54">
        <v>13</v>
      </c>
      <c r="G54" s="15">
        <v>46233.416666666664</v>
      </c>
      <c r="H54" t="s">
        <v>355</v>
      </c>
      <c r="I54" t="s">
        <v>369</v>
      </c>
      <c r="J54" t="s">
        <v>239</v>
      </c>
      <c r="K54" t="s">
        <v>348</v>
      </c>
      <c r="L54" t="s">
        <v>369</v>
      </c>
      <c r="M54" t="s">
        <v>239</v>
      </c>
      <c r="N54">
        <v>0</v>
      </c>
      <c r="O54" t="s">
        <v>67</v>
      </c>
      <c r="P54" t="s">
        <v>355</v>
      </c>
      <c r="Q54" t="s">
        <v>217</v>
      </c>
      <c r="R54">
        <v>1</v>
      </c>
    </row>
    <row r="55" spans="1:18" x14ac:dyDescent="0.3">
      <c r="A55" t="s">
        <v>348</v>
      </c>
      <c r="B55" t="s">
        <v>45</v>
      </c>
      <c r="C55" t="s">
        <v>68</v>
      </c>
      <c r="D55" s="15">
        <v>46231.635254629633</v>
      </c>
      <c r="E55" t="s">
        <v>1058</v>
      </c>
      <c r="F55">
        <v>6</v>
      </c>
      <c r="G55" s="15">
        <v>46233.416666666664</v>
      </c>
      <c r="H55" t="s">
        <v>355</v>
      </c>
      <c r="I55" t="s">
        <v>369</v>
      </c>
      <c r="J55" t="s">
        <v>239</v>
      </c>
      <c r="K55" t="s">
        <v>348</v>
      </c>
      <c r="L55" t="s">
        <v>369</v>
      </c>
      <c r="M55" t="s">
        <v>239</v>
      </c>
      <c r="O55" t="s">
        <v>67</v>
      </c>
      <c r="P55" t="s">
        <v>355</v>
      </c>
      <c r="Q55" t="s">
        <v>217</v>
      </c>
    </row>
    <row r="56" spans="1:18" x14ac:dyDescent="0.3">
      <c r="A56" t="s">
        <v>348</v>
      </c>
      <c r="B56" t="s">
        <v>45</v>
      </c>
      <c r="C56" t="s">
        <v>68</v>
      </c>
      <c r="D56" s="15">
        <v>46231.634583333333</v>
      </c>
      <c r="E56" t="s">
        <v>1058</v>
      </c>
      <c r="F56">
        <v>4</v>
      </c>
      <c r="G56" s="15">
        <v>46233.416666666664</v>
      </c>
      <c r="H56" t="s">
        <v>355</v>
      </c>
      <c r="I56" t="s">
        <v>369</v>
      </c>
      <c r="J56" t="s">
        <v>239</v>
      </c>
      <c r="K56" t="s">
        <v>348</v>
      </c>
      <c r="L56" t="s">
        <v>369</v>
      </c>
      <c r="M56" t="s">
        <v>239</v>
      </c>
      <c r="O56" t="s">
        <v>67</v>
      </c>
      <c r="P56" t="s">
        <v>355</v>
      </c>
      <c r="Q56" t="s">
        <v>217</v>
      </c>
    </row>
    <row r="57" spans="1:18" x14ac:dyDescent="0.3">
      <c r="A57" t="s">
        <v>348</v>
      </c>
      <c r="B57" t="s">
        <v>45</v>
      </c>
      <c r="C57" t="s">
        <v>68</v>
      </c>
      <c r="D57" s="15">
        <v>46231.633784722224</v>
      </c>
      <c r="E57" t="s">
        <v>1058</v>
      </c>
      <c r="F57">
        <v>4</v>
      </c>
      <c r="G57" s="15">
        <v>46233.416666666664</v>
      </c>
      <c r="H57" t="s">
        <v>355</v>
      </c>
      <c r="I57" t="s">
        <v>369</v>
      </c>
      <c r="J57" t="s">
        <v>239</v>
      </c>
      <c r="K57" t="s">
        <v>348</v>
      </c>
      <c r="L57" t="s">
        <v>369</v>
      </c>
      <c r="M57" t="s">
        <v>239</v>
      </c>
      <c r="O57" t="s">
        <v>67</v>
      </c>
      <c r="P57" t="s">
        <v>355</v>
      </c>
      <c r="Q57" t="s">
        <v>217</v>
      </c>
    </row>
    <row r="58" spans="1:18" x14ac:dyDescent="0.3">
      <c r="A58" t="s">
        <v>348</v>
      </c>
      <c r="B58" t="s">
        <v>45</v>
      </c>
      <c r="C58" t="s">
        <v>68</v>
      </c>
      <c r="D58" s="15">
        <v>46231.632465277777</v>
      </c>
      <c r="E58" t="s">
        <v>1058</v>
      </c>
      <c r="F58">
        <v>1</v>
      </c>
      <c r="G58" s="15">
        <v>46233.416666666664</v>
      </c>
      <c r="H58" t="s">
        <v>355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O58" t="s">
        <v>67</v>
      </c>
      <c r="P58" t="s">
        <v>355</v>
      </c>
      <c r="Q58" t="s">
        <v>217</v>
      </c>
    </row>
    <row r="59" spans="1:18" x14ac:dyDescent="0.3">
      <c r="A59" t="s">
        <v>348</v>
      </c>
      <c r="B59" t="s">
        <v>45</v>
      </c>
      <c r="C59" t="s">
        <v>68</v>
      </c>
      <c r="D59" s="15">
        <v>46231.631620370368</v>
      </c>
      <c r="E59" t="s">
        <v>402</v>
      </c>
      <c r="F59">
        <v>1</v>
      </c>
      <c r="G59" s="15">
        <v>46233.416666666664</v>
      </c>
      <c r="H59" t="s">
        <v>355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O59" t="s">
        <v>67</v>
      </c>
      <c r="P59" t="s">
        <v>355</v>
      </c>
      <c r="Q59" t="s">
        <v>217</v>
      </c>
    </row>
    <row r="60" spans="1:18" x14ac:dyDescent="0.3">
      <c r="A60" t="s">
        <v>348</v>
      </c>
      <c r="B60" t="s">
        <v>48</v>
      </c>
      <c r="C60" t="s">
        <v>68</v>
      </c>
      <c r="D60" s="15">
        <v>46245.434259259258</v>
      </c>
      <c r="E60" t="s">
        <v>402</v>
      </c>
      <c r="F60">
        <v>3</v>
      </c>
      <c r="G60" s="15">
        <v>46247.425694444442</v>
      </c>
      <c r="H60" t="s">
        <v>355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N60">
        <v>0</v>
      </c>
      <c r="O60" t="s">
        <v>90</v>
      </c>
      <c r="P60" t="s">
        <v>355</v>
      </c>
      <c r="Q60" t="s">
        <v>217</v>
      </c>
      <c r="R60">
        <v>1</v>
      </c>
    </row>
    <row r="61" spans="1:18" x14ac:dyDescent="0.3">
      <c r="A61" t="s">
        <v>348</v>
      </c>
      <c r="B61" t="s">
        <v>48</v>
      </c>
      <c r="C61" t="s">
        <v>68</v>
      </c>
      <c r="D61" s="15">
        <v>46245.434259259258</v>
      </c>
      <c r="E61" t="s">
        <v>402</v>
      </c>
      <c r="F61">
        <v>1</v>
      </c>
      <c r="G61" s="15">
        <v>46254.503472222219</v>
      </c>
      <c r="H61" t="s">
        <v>355</v>
      </c>
      <c r="I61" t="s">
        <v>369</v>
      </c>
      <c r="J61" t="s">
        <v>239</v>
      </c>
      <c r="K61" t="s">
        <v>348</v>
      </c>
      <c r="L61" t="s">
        <v>369</v>
      </c>
      <c r="M61" t="s">
        <v>239</v>
      </c>
      <c r="N61">
        <v>0</v>
      </c>
      <c r="O61" t="s">
        <v>90</v>
      </c>
      <c r="P61" t="s">
        <v>355</v>
      </c>
      <c r="Q61" t="s">
        <v>217</v>
      </c>
      <c r="R61">
        <v>1</v>
      </c>
    </row>
    <row r="62" spans="1:18" x14ac:dyDescent="0.3">
      <c r="A62" t="s">
        <v>348</v>
      </c>
      <c r="B62" t="s">
        <v>48</v>
      </c>
      <c r="C62" t="s">
        <v>68</v>
      </c>
      <c r="D62" s="15">
        <v>46213.750648148147</v>
      </c>
      <c r="E62" t="s">
        <v>402</v>
      </c>
      <c r="F62">
        <v>5</v>
      </c>
      <c r="G62" s="15">
        <v>46231.397222222222</v>
      </c>
      <c r="H62" t="s">
        <v>355</v>
      </c>
      <c r="I62" t="s">
        <v>369</v>
      </c>
      <c r="J62" t="s">
        <v>239</v>
      </c>
      <c r="K62" t="s">
        <v>348</v>
      </c>
      <c r="L62" t="s">
        <v>369</v>
      </c>
      <c r="M62" t="s">
        <v>239</v>
      </c>
      <c r="N62">
        <v>0</v>
      </c>
      <c r="O62" t="s">
        <v>90</v>
      </c>
      <c r="P62" t="s">
        <v>355</v>
      </c>
      <c r="Q62" t="s">
        <v>217</v>
      </c>
      <c r="R62">
        <v>1</v>
      </c>
    </row>
    <row r="63" spans="1:18" x14ac:dyDescent="0.3">
      <c r="A63" t="s">
        <v>348</v>
      </c>
      <c r="B63" t="s">
        <v>45</v>
      </c>
      <c r="C63" t="s">
        <v>68</v>
      </c>
      <c r="D63" s="15">
        <v>46251.387743055559</v>
      </c>
      <c r="E63" t="s">
        <v>403</v>
      </c>
      <c r="F63">
        <v>15</v>
      </c>
      <c r="G63" s="15">
        <v>46252.638888888891</v>
      </c>
      <c r="H63" t="s">
        <v>356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N63">
        <v>0</v>
      </c>
      <c r="O63" t="s">
        <v>67</v>
      </c>
      <c r="P63" t="s">
        <v>356</v>
      </c>
      <c r="Q63" t="s">
        <v>217</v>
      </c>
      <c r="R63">
        <v>1</v>
      </c>
    </row>
    <row r="64" spans="1:18" x14ac:dyDescent="0.3">
      <c r="A64" t="s">
        <v>348</v>
      </c>
      <c r="B64" t="s">
        <v>45</v>
      </c>
      <c r="C64" t="s">
        <v>68</v>
      </c>
      <c r="D64" s="15">
        <v>46230.391215277778</v>
      </c>
      <c r="E64" t="s">
        <v>403</v>
      </c>
      <c r="F64">
        <v>15</v>
      </c>
      <c r="G64" s="15">
        <v>46231.458333333336</v>
      </c>
      <c r="H64" t="s">
        <v>356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N64">
        <v>0</v>
      </c>
      <c r="O64" t="s">
        <v>67</v>
      </c>
      <c r="P64" t="s">
        <v>356</v>
      </c>
      <c r="Q64" t="s">
        <v>217</v>
      </c>
      <c r="R64">
        <v>1</v>
      </c>
    </row>
    <row r="65" spans="1:18" x14ac:dyDescent="0.3">
      <c r="A65" t="s">
        <v>348</v>
      </c>
      <c r="B65" t="s">
        <v>45</v>
      </c>
      <c r="C65" t="s">
        <v>68</v>
      </c>
      <c r="D65" s="15">
        <v>46230.398877314816</v>
      </c>
      <c r="E65" t="s">
        <v>403</v>
      </c>
      <c r="F65">
        <v>10</v>
      </c>
      <c r="G65" s="15">
        <v>46232.696527777778</v>
      </c>
      <c r="H65" t="s">
        <v>356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67</v>
      </c>
      <c r="P65" t="s">
        <v>356</v>
      </c>
      <c r="Q65" t="s">
        <v>217</v>
      </c>
      <c r="R65">
        <v>1</v>
      </c>
    </row>
    <row r="66" spans="1:18" x14ac:dyDescent="0.3">
      <c r="A66" t="s">
        <v>348</v>
      </c>
      <c r="B66" t="s">
        <v>48</v>
      </c>
      <c r="C66" t="s">
        <v>68</v>
      </c>
      <c r="D66" s="15">
        <v>46252.576365740744</v>
      </c>
      <c r="E66" t="s">
        <v>742</v>
      </c>
      <c r="F66">
        <v>25</v>
      </c>
      <c r="G66" s="15">
        <v>46255.477083333331</v>
      </c>
      <c r="H66" t="s">
        <v>356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N66">
        <v>0</v>
      </c>
      <c r="O66" t="s">
        <v>90</v>
      </c>
      <c r="P66" t="s">
        <v>356</v>
      </c>
      <c r="Q66" t="s">
        <v>217</v>
      </c>
      <c r="R66">
        <v>1</v>
      </c>
    </row>
    <row r="67" spans="1:18" x14ac:dyDescent="0.3">
      <c r="A67" t="s">
        <v>348</v>
      </c>
      <c r="B67" t="s">
        <v>48</v>
      </c>
      <c r="C67" t="s">
        <v>68</v>
      </c>
      <c r="D67" s="15">
        <v>46252.581203703703</v>
      </c>
      <c r="E67" t="s">
        <v>742</v>
      </c>
      <c r="F67">
        <v>15</v>
      </c>
      <c r="G67" s="15">
        <v>46255.477083333331</v>
      </c>
      <c r="H67" t="s">
        <v>356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N67">
        <v>0</v>
      </c>
      <c r="O67" t="s">
        <v>90</v>
      </c>
      <c r="P67" t="s">
        <v>356</v>
      </c>
      <c r="Q67" t="s">
        <v>217</v>
      </c>
    </row>
    <row r="68" spans="1:18" x14ac:dyDescent="0.3">
      <c r="A68" t="s">
        <v>348</v>
      </c>
      <c r="B68" t="s">
        <v>48</v>
      </c>
      <c r="C68" t="s">
        <v>68</v>
      </c>
      <c r="D68" s="15">
        <v>46231.625231481485</v>
      </c>
      <c r="E68" t="s">
        <v>749</v>
      </c>
      <c r="F68">
        <v>10</v>
      </c>
      <c r="G68" s="15">
        <v>46238.509722222225</v>
      </c>
      <c r="H68" t="s">
        <v>356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N68">
        <v>0</v>
      </c>
      <c r="O68" t="s">
        <v>90</v>
      </c>
      <c r="P68" t="s">
        <v>356</v>
      </c>
      <c r="Q68" t="s">
        <v>217</v>
      </c>
      <c r="R68">
        <v>1</v>
      </c>
    </row>
    <row r="69" spans="1:18" x14ac:dyDescent="0.3">
      <c r="A69" t="s">
        <v>348</v>
      </c>
      <c r="B69" t="s">
        <v>48</v>
      </c>
      <c r="C69" t="s">
        <v>68</v>
      </c>
      <c r="D69" s="15">
        <v>46227.725787037038</v>
      </c>
      <c r="E69" t="s">
        <v>403</v>
      </c>
      <c r="F69">
        <v>16</v>
      </c>
      <c r="G69" s="15">
        <v>46234.413194444445</v>
      </c>
      <c r="H69" t="s">
        <v>356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N69">
        <v>0</v>
      </c>
      <c r="O69" t="s">
        <v>90</v>
      </c>
      <c r="P69" t="s">
        <v>356</v>
      </c>
      <c r="Q69" t="s">
        <v>217</v>
      </c>
      <c r="R69">
        <v>1</v>
      </c>
    </row>
    <row r="70" spans="1:18" x14ac:dyDescent="0.3">
      <c r="A70" t="s">
        <v>348</v>
      </c>
      <c r="B70" t="s">
        <v>45</v>
      </c>
      <c r="C70" t="s">
        <v>68</v>
      </c>
      <c r="D70" s="15">
        <v>46245.50304398148</v>
      </c>
      <c r="E70" t="s">
        <v>407</v>
      </c>
      <c r="F70">
        <v>5</v>
      </c>
      <c r="G70" s="15">
        <v>46247.46875</v>
      </c>
      <c r="H70" t="s">
        <v>464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O70" t="s">
        <v>67</v>
      </c>
      <c r="P70" t="s">
        <v>464</v>
      </c>
      <c r="Q70" t="s">
        <v>217</v>
      </c>
      <c r="R70">
        <v>1</v>
      </c>
    </row>
    <row r="71" spans="1:18" x14ac:dyDescent="0.3">
      <c r="A71" t="s">
        <v>348</v>
      </c>
      <c r="B71" t="s">
        <v>45</v>
      </c>
      <c r="C71" t="s">
        <v>68</v>
      </c>
      <c r="D71" s="15">
        <v>46245.502650462964</v>
      </c>
      <c r="E71" t="s">
        <v>407</v>
      </c>
      <c r="F71">
        <v>11</v>
      </c>
      <c r="G71" s="15">
        <v>46247.46875</v>
      </c>
      <c r="H71" t="s">
        <v>464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O71" t="s">
        <v>67</v>
      </c>
      <c r="P71" t="s">
        <v>464</v>
      </c>
      <c r="Q71" t="s">
        <v>217</v>
      </c>
    </row>
    <row r="72" spans="1:18" x14ac:dyDescent="0.3">
      <c r="A72" t="s">
        <v>348</v>
      </c>
      <c r="B72" t="s">
        <v>48</v>
      </c>
      <c r="C72" t="s">
        <v>68</v>
      </c>
      <c r="D72" s="15">
        <v>46252.486481481479</v>
      </c>
      <c r="E72" t="s">
        <v>407</v>
      </c>
      <c r="F72">
        <v>5</v>
      </c>
      <c r="G72" s="15">
        <v>46254.458333333336</v>
      </c>
      <c r="H72" t="s">
        <v>464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O72" t="s">
        <v>90</v>
      </c>
      <c r="P72" t="s">
        <v>464</v>
      </c>
      <c r="Q72" t="s">
        <v>217</v>
      </c>
      <c r="R72">
        <v>1</v>
      </c>
    </row>
    <row r="73" spans="1:18" x14ac:dyDescent="0.3">
      <c r="A73" t="s">
        <v>348</v>
      </c>
      <c r="B73" t="s">
        <v>48</v>
      </c>
      <c r="C73" t="s">
        <v>68</v>
      </c>
      <c r="D73" s="15">
        <v>46231.743472222224</v>
      </c>
      <c r="E73" t="s">
        <v>402</v>
      </c>
      <c r="F73">
        <v>1</v>
      </c>
      <c r="G73" s="15">
        <v>46240.513194444444</v>
      </c>
      <c r="H73" t="s">
        <v>355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355</v>
      </c>
      <c r="Q73" t="s">
        <v>217</v>
      </c>
      <c r="R73">
        <v>1</v>
      </c>
    </row>
    <row r="74" spans="1:18" x14ac:dyDescent="0.3">
      <c r="A74" t="s">
        <v>348</v>
      </c>
      <c r="B74" t="s">
        <v>48</v>
      </c>
      <c r="C74" t="s">
        <v>68</v>
      </c>
      <c r="D74" s="15">
        <v>46231.307928240742</v>
      </c>
      <c r="E74" t="s">
        <v>401</v>
      </c>
      <c r="F74">
        <v>1</v>
      </c>
      <c r="G74" s="15">
        <v>46232.486111111109</v>
      </c>
      <c r="H74" t="s">
        <v>357</v>
      </c>
      <c r="I74" t="s">
        <v>369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90</v>
      </c>
      <c r="P74" t="s">
        <v>357</v>
      </c>
      <c r="Q74" t="s">
        <v>217</v>
      </c>
      <c r="R74">
        <v>1</v>
      </c>
    </row>
    <row r="75" spans="1:18" x14ac:dyDescent="0.3">
      <c r="A75" t="s">
        <v>348</v>
      </c>
      <c r="B75" t="s">
        <v>48</v>
      </c>
      <c r="C75" t="s">
        <v>68</v>
      </c>
      <c r="D75" s="15">
        <v>46227.576932870368</v>
      </c>
      <c r="E75" t="s">
        <v>402</v>
      </c>
      <c r="F75">
        <v>1</v>
      </c>
      <c r="G75" s="15">
        <v>46234.439583333333</v>
      </c>
      <c r="H75" t="s">
        <v>354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N75">
        <v>0</v>
      </c>
      <c r="O75" t="s">
        <v>90</v>
      </c>
      <c r="P75" t="s">
        <v>354</v>
      </c>
      <c r="Q75" t="s">
        <v>217</v>
      </c>
      <c r="R75">
        <v>1</v>
      </c>
    </row>
    <row r="76" spans="1:18" x14ac:dyDescent="0.3">
      <c r="A76" t="s">
        <v>348</v>
      </c>
      <c r="B76" t="s">
        <v>47</v>
      </c>
      <c r="C76" t="s">
        <v>68</v>
      </c>
      <c r="D76" s="15">
        <v>46211.698680555557</v>
      </c>
      <c r="E76" t="s">
        <v>403</v>
      </c>
      <c r="F76">
        <v>2</v>
      </c>
      <c r="G76" s="15">
        <v>46220.459722222222</v>
      </c>
      <c r="H76" t="s">
        <v>356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N76">
        <v>0</v>
      </c>
      <c r="O76" t="s">
        <v>90</v>
      </c>
      <c r="P76" t="s">
        <v>356</v>
      </c>
      <c r="Q76" t="s">
        <v>218</v>
      </c>
      <c r="R76">
        <v>1</v>
      </c>
    </row>
    <row r="77" spans="1:18" x14ac:dyDescent="0.3">
      <c r="A77" t="s">
        <v>348</v>
      </c>
      <c r="B77" t="s">
        <v>45</v>
      </c>
      <c r="C77" t="s">
        <v>68</v>
      </c>
      <c r="D77" s="15">
        <v>46234.569490740738</v>
      </c>
      <c r="E77" t="s">
        <v>398</v>
      </c>
      <c r="F77">
        <v>5</v>
      </c>
      <c r="G77" s="15">
        <v>46239.541666666664</v>
      </c>
      <c r="H77" t="s">
        <v>353</v>
      </c>
      <c r="I77" t="s">
        <v>368</v>
      </c>
      <c r="J77" t="s">
        <v>239</v>
      </c>
      <c r="K77" t="s">
        <v>348</v>
      </c>
      <c r="L77" t="s">
        <v>369</v>
      </c>
      <c r="M77" t="s">
        <v>239</v>
      </c>
      <c r="N77">
        <v>103</v>
      </c>
      <c r="O77" t="s">
        <v>67</v>
      </c>
      <c r="P77" t="s">
        <v>353</v>
      </c>
      <c r="Q77" t="s">
        <v>217</v>
      </c>
      <c r="R77">
        <v>1</v>
      </c>
    </row>
    <row r="78" spans="1:18" x14ac:dyDescent="0.3">
      <c r="A78" t="s">
        <v>348</v>
      </c>
      <c r="B78" t="s">
        <v>45</v>
      </c>
      <c r="C78" t="s">
        <v>68</v>
      </c>
      <c r="D78" s="15">
        <v>46233.473078703704</v>
      </c>
      <c r="E78" t="s">
        <v>398</v>
      </c>
      <c r="F78">
        <v>3</v>
      </c>
      <c r="G78" s="15">
        <v>46237.458333333336</v>
      </c>
      <c r="H78" t="s">
        <v>353</v>
      </c>
      <c r="I78" t="s">
        <v>368</v>
      </c>
      <c r="J78" t="s">
        <v>239</v>
      </c>
      <c r="K78" t="s">
        <v>348</v>
      </c>
      <c r="L78" t="s">
        <v>369</v>
      </c>
      <c r="M78" t="s">
        <v>239</v>
      </c>
      <c r="N78">
        <v>103</v>
      </c>
      <c r="O78" t="s">
        <v>67</v>
      </c>
      <c r="P78" t="s">
        <v>353</v>
      </c>
      <c r="Q78" t="s">
        <v>217</v>
      </c>
      <c r="R78">
        <v>1</v>
      </c>
    </row>
    <row r="79" spans="1:18" x14ac:dyDescent="0.3">
      <c r="A79" t="s">
        <v>348</v>
      </c>
      <c r="B79" t="s">
        <v>45</v>
      </c>
      <c r="C79" t="s">
        <v>68</v>
      </c>
      <c r="D79" s="15">
        <v>46233.472222222219</v>
      </c>
      <c r="E79" t="s">
        <v>398</v>
      </c>
      <c r="F79">
        <v>2</v>
      </c>
      <c r="G79" s="15">
        <v>46237.458333333336</v>
      </c>
      <c r="H79" t="s">
        <v>353</v>
      </c>
      <c r="I79" t="s">
        <v>368</v>
      </c>
      <c r="J79" t="s">
        <v>239</v>
      </c>
      <c r="K79" t="s">
        <v>348</v>
      </c>
      <c r="L79" t="s">
        <v>369</v>
      </c>
      <c r="M79" t="s">
        <v>239</v>
      </c>
      <c r="O79" t="s">
        <v>67</v>
      </c>
      <c r="P79" t="s">
        <v>353</v>
      </c>
      <c r="Q79" t="s">
        <v>217</v>
      </c>
    </row>
    <row r="80" spans="1:18" x14ac:dyDescent="0.3">
      <c r="A80" t="s">
        <v>348</v>
      </c>
      <c r="B80" t="s">
        <v>45</v>
      </c>
      <c r="C80" t="s">
        <v>68</v>
      </c>
      <c r="D80" s="15">
        <v>46233.471770833334</v>
      </c>
      <c r="E80" t="s">
        <v>398</v>
      </c>
      <c r="F80">
        <v>3</v>
      </c>
      <c r="G80" s="15">
        <v>46237.458333333336</v>
      </c>
      <c r="H80" t="s">
        <v>353</v>
      </c>
      <c r="I80" t="s">
        <v>368</v>
      </c>
      <c r="J80" t="s">
        <v>239</v>
      </c>
      <c r="K80" t="s">
        <v>348</v>
      </c>
      <c r="L80" t="s">
        <v>369</v>
      </c>
      <c r="M80" t="s">
        <v>239</v>
      </c>
      <c r="O80" t="s">
        <v>67</v>
      </c>
      <c r="P80" t="s">
        <v>353</v>
      </c>
      <c r="Q80" t="s">
        <v>217</v>
      </c>
    </row>
    <row r="81" spans="1:18" x14ac:dyDescent="0.3">
      <c r="A81" t="s">
        <v>348</v>
      </c>
      <c r="B81" t="s">
        <v>45</v>
      </c>
      <c r="C81" t="s">
        <v>68</v>
      </c>
      <c r="D81" s="15">
        <v>46244.473298611112</v>
      </c>
      <c r="E81" t="s">
        <v>398</v>
      </c>
      <c r="F81">
        <v>2</v>
      </c>
      <c r="G81" s="15">
        <v>46246.458333333336</v>
      </c>
      <c r="H81" t="s">
        <v>353</v>
      </c>
      <c r="I81" t="s">
        <v>368</v>
      </c>
      <c r="J81" t="s">
        <v>239</v>
      </c>
      <c r="K81" t="s">
        <v>348</v>
      </c>
      <c r="L81" t="s">
        <v>369</v>
      </c>
      <c r="M81" t="s">
        <v>239</v>
      </c>
      <c r="N81">
        <v>103</v>
      </c>
      <c r="O81" t="s">
        <v>67</v>
      </c>
      <c r="P81" t="s">
        <v>353</v>
      </c>
      <c r="Q81" t="s">
        <v>217</v>
      </c>
      <c r="R81">
        <v>1</v>
      </c>
    </row>
    <row r="82" spans="1:18" x14ac:dyDescent="0.3">
      <c r="A82" t="s">
        <v>348</v>
      </c>
      <c r="B82" t="s">
        <v>45</v>
      </c>
      <c r="C82" t="s">
        <v>68</v>
      </c>
      <c r="D82" s="15">
        <v>46246.66033564815</v>
      </c>
      <c r="E82" t="s">
        <v>398</v>
      </c>
      <c r="F82">
        <v>3</v>
      </c>
      <c r="G82" s="15">
        <v>46252.458333333336</v>
      </c>
      <c r="H82" t="s">
        <v>353</v>
      </c>
      <c r="I82" t="s">
        <v>368</v>
      </c>
      <c r="J82" t="s">
        <v>239</v>
      </c>
      <c r="K82" t="s">
        <v>348</v>
      </c>
      <c r="L82" t="s">
        <v>369</v>
      </c>
      <c r="M82" t="s">
        <v>239</v>
      </c>
      <c r="N82">
        <v>103</v>
      </c>
      <c r="O82" t="s">
        <v>67</v>
      </c>
      <c r="P82" t="s">
        <v>353</v>
      </c>
      <c r="Q82" t="s">
        <v>217</v>
      </c>
      <c r="R82">
        <v>1</v>
      </c>
    </row>
    <row r="83" spans="1:18" x14ac:dyDescent="0.3">
      <c r="A83" t="s">
        <v>348</v>
      </c>
      <c r="B83" t="s">
        <v>45</v>
      </c>
      <c r="C83" t="s">
        <v>68</v>
      </c>
      <c r="D83" s="15">
        <v>46246.659872685188</v>
      </c>
      <c r="E83" t="s">
        <v>1165</v>
      </c>
      <c r="F83">
        <v>3</v>
      </c>
      <c r="G83" s="15">
        <v>46252.458333333336</v>
      </c>
      <c r="H83" t="s">
        <v>353</v>
      </c>
      <c r="I83" t="s">
        <v>368</v>
      </c>
      <c r="J83" t="s">
        <v>239</v>
      </c>
      <c r="K83" t="s">
        <v>348</v>
      </c>
      <c r="L83" t="s">
        <v>369</v>
      </c>
      <c r="M83" t="s">
        <v>239</v>
      </c>
      <c r="O83" t="s">
        <v>67</v>
      </c>
      <c r="P83" t="s">
        <v>353</v>
      </c>
      <c r="Q83" t="s">
        <v>217</v>
      </c>
    </row>
    <row r="84" spans="1:18" x14ac:dyDescent="0.3">
      <c r="A84" t="s">
        <v>348</v>
      </c>
      <c r="B84" t="s">
        <v>45</v>
      </c>
      <c r="C84" t="s">
        <v>68</v>
      </c>
      <c r="D84" s="15">
        <v>46245.574305555558</v>
      </c>
      <c r="E84" t="s">
        <v>398</v>
      </c>
      <c r="F84">
        <v>3</v>
      </c>
      <c r="G84" s="15">
        <v>46246.458333333336</v>
      </c>
      <c r="H84" t="s">
        <v>353</v>
      </c>
      <c r="I84" t="s">
        <v>368</v>
      </c>
      <c r="J84" t="s">
        <v>239</v>
      </c>
      <c r="K84" t="s">
        <v>348</v>
      </c>
      <c r="L84" t="s">
        <v>369</v>
      </c>
      <c r="M84" t="s">
        <v>239</v>
      </c>
      <c r="O84" t="s">
        <v>67</v>
      </c>
      <c r="P84" t="s">
        <v>353</v>
      </c>
      <c r="Q84" t="s">
        <v>217</v>
      </c>
    </row>
    <row r="85" spans="1:18" x14ac:dyDescent="0.3">
      <c r="A85" t="s">
        <v>348</v>
      </c>
      <c r="B85" t="s">
        <v>45</v>
      </c>
      <c r="C85" t="s">
        <v>68</v>
      </c>
      <c r="D85" s="15">
        <v>46244.657546296294</v>
      </c>
      <c r="E85" t="s">
        <v>398</v>
      </c>
      <c r="F85">
        <v>5</v>
      </c>
      <c r="G85" s="15">
        <v>46246.458333333336</v>
      </c>
      <c r="H85" t="s">
        <v>353</v>
      </c>
      <c r="I85" t="s">
        <v>368</v>
      </c>
      <c r="J85" t="s">
        <v>239</v>
      </c>
      <c r="K85" t="s">
        <v>348</v>
      </c>
      <c r="L85" t="s">
        <v>369</v>
      </c>
      <c r="M85" t="s">
        <v>239</v>
      </c>
      <c r="O85" t="s">
        <v>67</v>
      </c>
      <c r="P85" t="s">
        <v>353</v>
      </c>
      <c r="Q85" t="s">
        <v>217</v>
      </c>
    </row>
    <row r="86" spans="1:18" x14ac:dyDescent="0.3">
      <c r="A86" t="s">
        <v>348</v>
      </c>
      <c r="B86" t="s">
        <v>45</v>
      </c>
      <c r="C86" t="s">
        <v>68</v>
      </c>
      <c r="D86" s="15">
        <v>46244.47451388889</v>
      </c>
      <c r="E86" t="s">
        <v>398</v>
      </c>
      <c r="F86">
        <v>3</v>
      </c>
      <c r="G86" s="15">
        <v>46246.458333333336</v>
      </c>
      <c r="H86" t="s">
        <v>353</v>
      </c>
      <c r="I86" t="s">
        <v>368</v>
      </c>
      <c r="J86" t="s">
        <v>239</v>
      </c>
      <c r="K86" t="s">
        <v>348</v>
      </c>
      <c r="L86" t="s">
        <v>369</v>
      </c>
      <c r="M86" t="s">
        <v>239</v>
      </c>
      <c r="N86">
        <v>103</v>
      </c>
      <c r="O86" t="s">
        <v>67</v>
      </c>
      <c r="P86" t="s">
        <v>353</v>
      </c>
      <c r="Q86" t="s">
        <v>217</v>
      </c>
    </row>
    <row r="87" spans="1:18" x14ac:dyDescent="0.3">
      <c r="A87" t="s">
        <v>348</v>
      </c>
      <c r="B87" t="s">
        <v>45</v>
      </c>
      <c r="C87" t="s">
        <v>68</v>
      </c>
      <c r="D87" s="15">
        <v>46246.658784722225</v>
      </c>
      <c r="E87" t="s">
        <v>398</v>
      </c>
      <c r="F87">
        <v>1</v>
      </c>
      <c r="G87" s="15">
        <v>46252.458333333336</v>
      </c>
      <c r="H87" t="s">
        <v>353</v>
      </c>
      <c r="I87" t="s">
        <v>368</v>
      </c>
      <c r="J87" t="s">
        <v>239</v>
      </c>
      <c r="K87" t="s">
        <v>348</v>
      </c>
      <c r="L87" t="s">
        <v>369</v>
      </c>
      <c r="M87" t="s">
        <v>239</v>
      </c>
      <c r="O87" t="s">
        <v>67</v>
      </c>
      <c r="P87" t="s">
        <v>353</v>
      </c>
      <c r="Q87" t="s">
        <v>217</v>
      </c>
    </row>
    <row r="88" spans="1:18" x14ac:dyDescent="0.3">
      <c r="A88" t="s">
        <v>348</v>
      </c>
      <c r="B88" t="s">
        <v>45</v>
      </c>
      <c r="C88" t="s">
        <v>68</v>
      </c>
      <c r="D88" s="15">
        <v>46244.477743055555</v>
      </c>
      <c r="E88" t="s">
        <v>398</v>
      </c>
      <c r="F88">
        <v>1</v>
      </c>
      <c r="G88" s="15">
        <v>46246.458333333336</v>
      </c>
      <c r="H88" t="s">
        <v>353</v>
      </c>
      <c r="I88" t="s">
        <v>368</v>
      </c>
      <c r="J88" t="s">
        <v>239</v>
      </c>
      <c r="K88" t="s">
        <v>348</v>
      </c>
      <c r="L88" t="s">
        <v>369</v>
      </c>
      <c r="M88" t="s">
        <v>239</v>
      </c>
      <c r="O88" t="s">
        <v>67</v>
      </c>
      <c r="P88" t="s">
        <v>353</v>
      </c>
      <c r="Q88" t="s">
        <v>217</v>
      </c>
    </row>
    <row r="89" spans="1:18" x14ac:dyDescent="0.3">
      <c r="A89" t="s">
        <v>348</v>
      </c>
      <c r="B89" t="s">
        <v>45</v>
      </c>
      <c r="C89" t="s">
        <v>68</v>
      </c>
      <c r="D89" s="15">
        <v>46244.473958333336</v>
      </c>
      <c r="E89" t="s">
        <v>398</v>
      </c>
      <c r="F89">
        <v>1</v>
      </c>
      <c r="G89" s="15">
        <v>46246.458333333336</v>
      </c>
      <c r="H89" t="s">
        <v>353</v>
      </c>
      <c r="I89" t="s">
        <v>368</v>
      </c>
      <c r="J89" t="s">
        <v>239</v>
      </c>
      <c r="K89" t="s">
        <v>348</v>
      </c>
      <c r="L89" t="s">
        <v>369</v>
      </c>
      <c r="M89" t="s">
        <v>239</v>
      </c>
      <c r="O89" t="s">
        <v>67</v>
      </c>
      <c r="P89" t="s">
        <v>353</v>
      </c>
      <c r="Q89" t="s">
        <v>217</v>
      </c>
    </row>
    <row r="90" spans="1:18" x14ac:dyDescent="0.3">
      <c r="A90" t="s">
        <v>348</v>
      </c>
      <c r="B90" t="s">
        <v>45</v>
      </c>
      <c r="C90" t="s">
        <v>68</v>
      </c>
      <c r="D90" s="15">
        <v>46244.476030092592</v>
      </c>
      <c r="E90" t="s">
        <v>398</v>
      </c>
      <c r="F90">
        <v>3</v>
      </c>
      <c r="G90" s="15">
        <v>46246.458333333336</v>
      </c>
      <c r="H90" t="s">
        <v>353</v>
      </c>
      <c r="I90" t="s">
        <v>368</v>
      </c>
      <c r="J90" t="s">
        <v>239</v>
      </c>
      <c r="K90" t="s">
        <v>348</v>
      </c>
      <c r="L90" t="s">
        <v>369</v>
      </c>
      <c r="M90" t="s">
        <v>239</v>
      </c>
      <c r="O90" t="s">
        <v>67</v>
      </c>
      <c r="P90" t="s">
        <v>353</v>
      </c>
      <c r="Q90" t="s">
        <v>217</v>
      </c>
    </row>
    <row r="91" spans="1:18" x14ac:dyDescent="0.3">
      <c r="A91" t="s">
        <v>348</v>
      </c>
      <c r="B91" t="s">
        <v>45</v>
      </c>
      <c r="C91" t="s">
        <v>68</v>
      </c>
      <c r="D91" s="15">
        <v>46237.458333333336</v>
      </c>
      <c r="E91" t="s">
        <v>398</v>
      </c>
      <c r="F91">
        <v>5</v>
      </c>
      <c r="G91" s="15">
        <v>46239.5</v>
      </c>
      <c r="H91" t="s">
        <v>353</v>
      </c>
      <c r="I91" t="s">
        <v>368</v>
      </c>
      <c r="J91" t="s">
        <v>239</v>
      </c>
      <c r="K91" t="s">
        <v>348</v>
      </c>
      <c r="L91" t="s">
        <v>369</v>
      </c>
      <c r="M91" t="s">
        <v>239</v>
      </c>
      <c r="N91">
        <v>103</v>
      </c>
      <c r="O91" t="s">
        <v>67</v>
      </c>
      <c r="P91" t="s">
        <v>353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46244.476921296293</v>
      </c>
      <c r="E92" t="s">
        <v>398</v>
      </c>
      <c r="F92">
        <v>3</v>
      </c>
      <c r="G92" s="15">
        <v>46246.458333333336</v>
      </c>
      <c r="H92" t="s">
        <v>353</v>
      </c>
      <c r="I92" t="s">
        <v>368</v>
      </c>
      <c r="J92" t="s">
        <v>239</v>
      </c>
      <c r="K92" t="s">
        <v>348</v>
      </c>
      <c r="L92" t="s">
        <v>369</v>
      </c>
      <c r="M92" t="s">
        <v>239</v>
      </c>
      <c r="O92" t="s">
        <v>67</v>
      </c>
      <c r="P92" t="s">
        <v>353</v>
      </c>
      <c r="Q92" t="s">
        <v>217</v>
      </c>
    </row>
    <row r="93" spans="1:18" x14ac:dyDescent="0.3">
      <c r="A93" t="s">
        <v>348</v>
      </c>
      <c r="B93" t="s">
        <v>45</v>
      </c>
      <c r="C93" t="s">
        <v>68</v>
      </c>
      <c r="D93" s="15">
        <v>46246.659317129626</v>
      </c>
      <c r="E93" t="s">
        <v>398</v>
      </c>
      <c r="F93">
        <v>3</v>
      </c>
      <c r="G93" s="15">
        <v>46252.458333333336</v>
      </c>
      <c r="H93" t="s">
        <v>353</v>
      </c>
      <c r="I93" t="s">
        <v>368</v>
      </c>
      <c r="J93" t="s">
        <v>239</v>
      </c>
      <c r="K93" t="s">
        <v>348</v>
      </c>
      <c r="L93" t="s">
        <v>369</v>
      </c>
      <c r="M93" t="s">
        <v>239</v>
      </c>
      <c r="O93" t="s">
        <v>67</v>
      </c>
      <c r="P93" t="s">
        <v>353</v>
      </c>
      <c r="Q93" t="s">
        <v>217</v>
      </c>
    </row>
    <row r="94" spans="1:18" x14ac:dyDescent="0.3">
      <c r="A94" t="s">
        <v>348</v>
      </c>
      <c r="B94" t="s">
        <v>45</v>
      </c>
      <c r="C94" t="s">
        <v>68</v>
      </c>
      <c r="D94" s="15">
        <v>46251.598506944443</v>
      </c>
      <c r="E94" t="s">
        <v>398</v>
      </c>
      <c r="F94">
        <v>3</v>
      </c>
      <c r="G94" s="15">
        <v>46255.493055555555</v>
      </c>
      <c r="H94" t="s">
        <v>353</v>
      </c>
      <c r="I94" t="s">
        <v>368</v>
      </c>
      <c r="J94" t="s">
        <v>239</v>
      </c>
      <c r="K94" t="s">
        <v>348</v>
      </c>
      <c r="L94" t="s">
        <v>369</v>
      </c>
      <c r="M94" t="s">
        <v>239</v>
      </c>
      <c r="N94">
        <v>103</v>
      </c>
      <c r="O94" t="s">
        <v>67</v>
      </c>
      <c r="P94" t="s">
        <v>353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46254.355046296296</v>
      </c>
      <c r="E95" t="s">
        <v>412</v>
      </c>
      <c r="F95">
        <v>35</v>
      </c>
      <c r="G95" s="15">
        <v>46258.410416666666</v>
      </c>
      <c r="H95" t="s">
        <v>359</v>
      </c>
      <c r="I95" t="s">
        <v>368</v>
      </c>
      <c r="J95" t="s">
        <v>239</v>
      </c>
      <c r="K95" t="s">
        <v>348</v>
      </c>
      <c r="L95" t="s">
        <v>369</v>
      </c>
      <c r="M95" t="s">
        <v>239</v>
      </c>
      <c r="N95">
        <v>93</v>
      </c>
      <c r="O95" t="s">
        <v>67</v>
      </c>
      <c r="P95" t="s">
        <v>465</v>
      </c>
      <c r="Q95" t="s">
        <v>217</v>
      </c>
      <c r="R95">
        <v>1</v>
      </c>
    </row>
    <row r="96" spans="1:18" x14ac:dyDescent="0.3">
      <c r="A96" t="s">
        <v>348</v>
      </c>
      <c r="B96" t="s">
        <v>45</v>
      </c>
      <c r="C96" t="s">
        <v>68</v>
      </c>
      <c r="D96" s="15">
        <v>46253.542812500003</v>
      </c>
      <c r="E96" t="s">
        <v>398</v>
      </c>
      <c r="F96">
        <v>3</v>
      </c>
      <c r="G96" s="15">
        <v>46255.493055555555</v>
      </c>
      <c r="H96" t="s">
        <v>353</v>
      </c>
      <c r="I96" t="s">
        <v>368</v>
      </c>
      <c r="J96" t="s">
        <v>239</v>
      </c>
      <c r="K96" t="s">
        <v>348</v>
      </c>
      <c r="L96" t="s">
        <v>369</v>
      </c>
      <c r="M96" t="s">
        <v>239</v>
      </c>
      <c r="N96">
        <v>103</v>
      </c>
      <c r="O96" t="s">
        <v>67</v>
      </c>
      <c r="P96" t="s">
        <v>353</v>
      </c>
      <c r="Q96" t="s">
        <v>217</v>
      </c>
    </row>
    <row r="97" spans="1:18" x14ac:dyDescent="0.3">
      <c r="A97" t="s">
        <v>348</v>
      </c>
      <c r="B97" t="s">
        <v>45</v>
      </c>
      <c r="C97" t="s">
        <v>68</v>
      </c>
      <c r="D97" s="15">
        <v>46253.545694444445</v>
      </c>
      <c r="E97" t="s">
        <v>398</v>
      </c>
      <c r="F97">
        <v>3</v>
      </c>
      <c r="G97" s="15">
        <v>46255.493055555555</v>
      </c>
      <c r="H97" t="s">
        <v>353</v>
      </c>
      <c r="I97" t="s">
        <v>368</v>
      </c>
      <c r="J97" t="s">
        <v>239</v>
      </c>
      <c r="K97" t="s">
        <v>348</v>
      </c>
      <c r="L97" t="s">
        <v>369</v>
      </c>
      <c r="M97" t="s">
        <v>239</v>
      </c>
      <c r="O97" t="s">
        <v>67</v>
      </c>
      <c r="P97" t="s">
        <v>353</v>
      </c>
      <c r="Q97" t="s">
        <v>217</v>
      </c>
    </row>
    <row r="98" spans="1:18" x14ac:dyDescent="0.3">
      <c r="A98" t="s">
        <v>348</v>
      </c>
      <c r="B98" t="s">
        <v>45</v>
      </c>
      <c r="C98" t="s">
        <v>68</v>
      </c>
      <c r="D98" s="15">
        <v>46253.545173611114</v>
      </c>
      <c r="E98" t="s">
        <v>398</v>
      </c>
      <c r="F98">
        <v>3</v>
      </c>
      <c r="G98" s="15">
        <v>46255.493055555555</v>
      </c>
      <c r="H98" t="s">
        <v>353</v>
      </c>
      <c r="I98" t="s">
        <v>368</v>
      </c>
      <c r="J98" t="s">
        <v>239</v>
      </c>
      <c r="K98" t="s">
        <v>348</v>
      </c>
      <c r="L98" t="s">
        <v>369</v>
      </c>
      <c r="M98" t="s">
        <v>239</v>
      </c>
      <c r="O98" t="s">
        <v>67</v>
      </c>
      <c r="P98" t="s">
        <v>353</v>
      </c>
      <c r="Q98" t="s">
        <v>217</v>
      </c>
    </row>
    <row r="99" spans="1:18" x14ac:dyDescent="0.3">
      <c r="A99" t="s">
        <v>348</v>
      </c>
      <c r="B99" t="s">
        <v>45</v>
      </c>
      <c r="C99" t="s">
        <v>68</v>
      </c>
      <c r="D99" s="15">
        <v>46233.471192129633</v>
      </c>
      <c r="E99" t="s">
        <v>398</v>
      </c>
      <c r="F99">
        <v>3</v>
      </c>
      <c r="G99" s="15">
        <v>46237.458333333336</v>
      </c>
      <c r="H99" t="s">
        <v>353</v>
      </c>
      <c r="I99" t="s">
        <v>368</v>
      </c>
      <c r="J99" t="s">
        <v>239</v>
      </c>
      <c r="K99" t="s">
        <v>348</v>
      </c>
      <c r="L99" t="s">
        <v>369</v>
      </c>
      <c r="M99" t="s">
        <v>239</v>
      </c>
      <c r="O99" t="s">
        <v>67</v>
      </c>
      <c r="P99" t="s">
        <v>353</v>
      </c>
      <c r="Q99" t="s">
        <v>217</v>
      </c>
    </row>
    <row r="100" spans="1:18" x14ac:dyDescent="0.3">
      <c r="A100" t="s">
        <v>348</v>
      </c>
      <c r="B100" t="s">
        <v>45</v>
      </c>
      <c r="C100" t="s">
        <v>68</v>
      </c>
      <c r="D100" s="15">
        <v>46233.470659722225</v>
      </c>
      <c r="E100" t="s">
        <v>398</v>
      </c>
      <c r="F100">
        <v>3</v>
      </c>
      <c r="G100" s="15">
        <v>46237.458333333336</v>
      </c>
      <c r="H100" t="s">
        <v>353</v>
      </c>
      <c r="I100" t="s">
        <v>368</v>
      </c>
      <c r="J100" t="s">
        <v>239</v>
      </c>
      <c r="K100" t="s">
        <v>348</v>
      </c>
      <c r="L100" t="s">
        <v>369</v>
      </c>
      <c r="M100" t="s">
        <v>239</v>
      </c>
      <c r="O100" t="s">
        <v>67</v>
      </c>
      <c r="P100" t="s">
        <v>353</v>
      </c>
      <c r="Q100" t="s">
        <v>217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46233.468287037038</v>
      </c>
      <c r="E101" t="s">
        <v>398</v>
      </c>
      <c r="F101">
        <v>3</v>
      </c>
      <c r="G101" s="15">
        <v>46237.458333333336</v>
      </c>
      <c r="H101" t="s">
        <v>353</v>
      </c>
      <c r="I101" t="s">
        <v>368</v>
      </c>
      <c r="J101" t="s">
        <v>239</v>
      </c>
      <c r="K101" t="s">
        <v>348</v>
      </c>
      <c r="L101" t="s">
        <v>369</v>
      </c>
      <c r="M101" t="s">
        <v>239</v>
      </c>
      <c r="O101" t="s">
        <v>67</v>
      </c>
      <c r="P101" t="s">
        <v>353</v>
      </c>
      <c r="Q101" t="s">
        <v>217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46225.582372685189</v>
      </c>
      <c r="E102" t="s">
        <v>398</v>
      </c>
      <c r="F102">
        <v>3</v>
      </c>
      <c r="G102" s="15">
        <v>46231.455555555556</v>
      </c>
      <c r="H102" t="s">
        <v>353</v>
      </c>
      <c r="I102" t="s">
        <v>368</v>
      </c>
      <c r="J102" t="s">
        <v>239</v>
      </c>
      <c r="K102" t="s">
        <v>348</v>
      </c>
      <c r="L102" t="s">
        <v>369</v>
      </c>
      <c r="M102" t="s">
        <v>239</v>
      </c>
      <c r="N102">
        <v>103</v>
      </c>
      <c r="O102" t="s">
        <v>67</v>
      </c>
      <c r="P102" t="s">
        <v>353</v>
      </c>
      <c r="Q102" t="s">
        <v>217</v>
      </c>
      <c r="R102">
        <v>1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46225.581944444442</v>
      </c>
      <c r="E103" t="s">
        <v>398</v>
      </c>
      <c r="F103">
        <v>1</v>
      </c>
      <c r="G103" s="15">
        <v>46231.455555555556</v>
      </c>
      <c r="H103" t="s">
        <v>353</v>
      </c>
      <c r="I103" t="s">
        <v>368</v>
      </c>
      <c r="J103" t="s">
        <v>239</v>
      </c>
      <c r="K103" t="s">
        <v>348</v>
      </c>
      <c r="L103" t="s">
        <v>369</v>
      </c>
      <c r="M103" t="s">
        <v>239</v>
      </c>
      <c r="O103" t="s">
        <v>67</v>
      </c>
      <c r="P103" t="s">
        <v>353</v>
      </c>
      <c r="Q103" t="s">
        <v>217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46225.581226851849</v>
      </c>
      <c r="E104" t="s">
        <v>398</v>
      </c>
      <c r="F104">
        <v>3</v>
      </c>
      <c r="G104" s="15">
        <v>46231.455555555556</v>
      </c>
      <c r="H104" t="s">
        <v>353</v>
      </c>
      <c r="I104" t="s">
        <v>368</v>
      </c>
      <c r="J104" t="s">
        <v>239</v>
      </c>
      <c r="K104" t="s">
        <v>348</v>
      </c>
      <c r="L104" t="s">
        <v>369</v>
      </c>
      <c r="M104" t="s">
        <v>239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46225.358090277776</v>
      </c>
      <c r="E105" t="s">
        <v>402</v>
      </c>
      <c r="F105">
        <v>26</v>
      </c>
      <c r="G105" s="15">
        <v>46227.5</v>
      </c>
      <c r="H105" t="s">
        <v>353</v>
      </c>
      <c r="I105" t="s">
        <v>368</v>
      </c>
      <c r="J105" t="s">
        <v>239</v>
      </c>
      <c r="K105" t="s">
        <v>348</v>
      </c>
      <c r="L105" t="s">
        <v>369</v>
      </c>
      <c r="M105" t="s">
        <v>239</v>
      </c>
      <c r="O105" t="s">
        <v>67</v>
      </c>
      <c r="P105" t="s">
        <v>353</v>
      </c>
      <c r="Q105" t="s">
        <v>217</v>
      </c>
      <c r="R105">
        <v>1.23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46225.333067129628</v>
      </c>
      <c r="E106" t="s">
        <v>413</v>
      </c>
      <c r="F106">
        <v>8</v>
      </c>
      <c r="G106" s="15">
        <v>46227.5</v>
      </c>
      <c r="H106" t="s">
        <v>353</v>
      </c>
      <c r="I106" t="s">
        <v>368</v>
      </c>
      <c r="J106" t="s">
        <v>239</v>
      </c>
      <c r="K106" t="s">
        <v>348</v>
      </c>
      <c r="L106" t="s">
        <v>369</v>
      </c>
      <c r="M106" t="s">
        <v>239</v>
      </c>
      <c r="N106">
        <v>103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46223.488009259258</v>
      </c>
      <c r="E107" t="s">
        <v>398</v>
      </c>
      <c r="F107">
        <v>2</v>
      </c>
      <c r="G107" s="15">
        <v>46231.451388888891</v>
      </c>
      <c r="H107" t="s">
        <v>353</v>
      </c>
      <c r="I107" t="s">
        <v>368</v>
      </c>
      <c r="J107" t="s">
        <v>239</v>
      </c>
      <c r="K107" t="s">
        <v>348</v>
      </c>
      <c r="L107" t="s">
        <v>369</v>
      </c>
      <c r="M107" t="s">
        <v>239</v>
      </c>
      <c r="N107">
        <v>103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46223.487222222226</v>
      </c>
      <c r="E108" t="s">
        <v>398</v>
      </c>
      <c r="F108">
        <v>1</v>
      </c>
      <c r="G108" s="15">
        <v>46231.451388888891</v>
      </c>
      <c r="H108" t="s">
        <v>353</v>
      </c>
      <c r="I108" t="s">
        <v>368</v>
      </c>
      <c r="J108" t="s">
        <v>239</v>
      </c>
      <c r="K108" t="s">
        <v>348</v>
      </c>
      <c r="L108" t="s">
        <v>369</v>
      </c>
      <c r="M108" t="s">
        <v>239</v>
      </c>
      <c r="O108" t="s">
        <v>67</v>
      </c>
      <c r="P108" t="s">
        <v>353</v>
      </c>
      <c r="Q108" t="s">
        <v>217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46225.339780092596</v>
      </c>
      <c r="E109" t="s">
        <v>402</v>
      </c>
      <c r="F109">
        <v>4</v>
      </c>
      <c r="G109" s="15">
        <v>46227.5</v>
      </c>
      <c r="H109" t="s">
        <v>353</v>
      </c>
      <c r="I109" t="s">
        <v>368</v>
      </c>
      <c r="J109" t="s">
        <v>239</v>
      </c>
      <c r="K109" t="s">
        <v>348</v>
      </c>
      <c r="L109" t="s">
        <v>369</v>
      </c>
      <c r="M109" t="s">
        <v>239</v>
      </c>
      <c r="O109" t="s">
        <v>67</v>
      </c>
      <c r="P109" t="s">
        <v>353</v>
      </c>
      <c r="Q109" t="s">
        <v>217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46225.337905092594</v>
      </c>
      <c r="E110" t="s">
        <v>402</v>
      </c>
      <c r="F110">
        <v>2</v>
      </c>
      <c r="G110" s="15">
        <v>46227.5</v>
      </c>
      <c r="H110" t="s">
        <v>353</v>
      </c>
      <c r="I110" t="s">
        <v>368</v>
      </c>
      <c r="J110" t="s">
        <v>239</v>
      </c>
      <c r="K110" t="s">
        <v>348</v>
      </c>
      <c r="L110" t="s">
        <v>369</v>
      </c>
      <c r="M110" t="s">
        <v>239</v>
      </c>
      <c r="O110" t="s">
        <v>67</v>
      </c>
      <c r="P110" t="s">
        <v>353</v>
      </c>
      <c r="Q110" t="s">
        <v>217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46225.337650462963</v>
      </c>
      <c r="E111" t="s">
        <v>402</v>
      </c>
      <c r="F111">
        <v>1</v>
      </c>
      <c r="G111" s="15">
        <v>46227.5</v>
      </c>
      <c r="H111" t="s">
        <v>353</v>
      </c>
      <c r="I111" t="s">
        <v>368</v>
      </c>
      <c r="J111" t="s">
        <v>239</v>
      </c>
      <c r="K111" t="s">
        <v>348</v>
      </c>
      <c r="L111" t="s">
        <v>369</v>
      </c>
      <c r="M111" t="s">
        <v>239</v>
      </c>
      <c r="O111" t="s">
        <v>67</v>
      </c>
      <c r="P111" t="s">
        <v>353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46224.651469907411</v>
      </c>
      <c r="E112" t="s">
        <v>402</v>
      </c>
      <c r="F112">
        <v>16</v>
      </c>
      <c r="G112" s="15">
        <v>46227.5</v>
      </c>
      <c r="H112" t="s">
        <v>353</v>
      </c>
      <c r="I112" t="s">
        <v>368</v>
      </c>
      <c r="J112" t="s">
        <v>239</v>
      </c>
      <c r="K112" t="s">
        <v>348</v>
      </c>
      <c r="L112" t="s">
        <v>369</v>
      </c>
      <c r="M112" t="s">
        <v>239</v>
      </c>
      <c r="O112" t="s">
        <v>67</v>
      </c>
      <c r="P112" t="s">
        <v>353</v>
      </c>
      <c r="Q112" t="s">
        <v>217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46224.65053240741</v>
      </c>
      <c r="E113" t="s">
        <v>402</v>
      </c>
      <c r="F113">
        <v>6</v>
      </c>
      <c r="G113" s="15">
        <v>46227.5</v>
      </c>
      <c r="H113" t="s">
        <v>353</v>
      </c>
      <c r="I113" t="s">
        <v>368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353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46225.340196759258</v>
      </c>
      <c r="E114" t="s">
        <v>402</v>
      </c>
      <c r="F114">
        <v>3</v>
      </c>
      <c r="G114" s="15">
        <v>46227.5</v>
      </c>
      <c r="H114" t="s">
        <v>353</v>
      </c>
      <c r="I114" t="s">
        <v>368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353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46225.340752314813</v>
      </c>
      <c r="E115" t="s">
        <v>402</v>
      </c>
      <c r="F115">
        <v>3</v>
      </c>
      <c r="G115" s="15">
        <v>46227.5</v>
      </c>
      <c r="H115" t="s">
        <v>353</v>
      </c>
      <c r="I115" t="s">
        <v>368</v>
      </c>
      <c r="J115" t="s">
        <v>239</v>
      </c>
      <c r="K115" t="s">
        <v>348</v>
      </c>
      <c r="L115" t="s">
        <v>369</v>
      </c>
      <c r="M115" t="s">
        <v>239</v>
      </c>
      <c r="O115" t="s">
        <v>67</v>
      </c>
      <c r="P115" t="s">
        <v>353</v>
      </c>
      <c r="Q115" t="s">
        <v>217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46230.441238425927</v>
      </c>
      <c r="E116" t="s">
        <v>398</v>
      </c>
      <c r="F116">
        <v>3</v>
      </c>
      <c r="G116" s="15">
        <v>46231.431944444441</v>
      </c>
      <c r="H116" t="s">
        <v>353</v>
      </c>
      <c r="I116" t="s">
        <v>368</v>
      </c>
      <c r="J116" t="s">
        <v>239</v>
      </c>
      <c r="K116" t="s">
        <v>348</v>
      </c>
      <c r="L116" t="s">
        <v>369</v>
      </c>
      <c r="M116" t="s">
        <v>239</v>
      </c>
      <c r="N116">
        <v>103</v>
      </c>
      <c r="O116" t="s">
        <v>67</v>
      </c>
      <c r="P116" t="s">
        <v>353</v>
      </c>
      <c r="Q116" t="s">
        <v>217</v>
      </c>
    </row>
    <row r="117" spans="1:18" x14ac:dyDescent="0.3">
      <c r="A117" t="s">
        <v>348</v>
      </c>
      <c r="B117" t="s">
        <v>45</v>
      </c>
      <c r="C117" t="s">
        <v>68</v>
      </c>
      <c r="D117" s="15">
        <v>46230.439814814818</v>
      </c>
      <c r="E117" t="s">
        <v>398</v>
      </c>
      <c r="F117">
        <v>4</v>
      </c>
      <c r="G117" s="15">
        <v>46231.431944444441</v>
      </c>
      <c r="H117" t="s">
        <v>353</v>
      </c>
      <c r="I117" t="s">
        <v>368</v>
      </c>
      <c r="J117" t="s">
        <v>239</v>
      </c>
      <c r="K117" t="s">
        <v>348</v>
      </c>
      <c r="L117" t="s">
        <v>369</v>
      </c>
      <c r="M117" t="s">
        <v>239</v>
      </c>
      <c r="O117" t="s">
        <v>67</v>
      </c>
      <c r="P117" t="s">
        <v>353</v>
      </c>
      <c r="Q117" t="s">
        <v>217</v>
      </c>
    </row>
    <row r="118" spans="1:18" x14ac:dyDescent="0.3">
      <c r="A118" t="s">
        <v>348</v>
      </c>
      <c r="B118" t="s">
        <v>43</v>
      </c>
      <c r="C118" t="s">
        <v>105</v>
      </c>
      <c r="D118" s="15">
        <v>46226.43414351852</v>
      </c>
      <c r="E118" t="s">
        <v>1227</v>
      </c>
      <c r="F118">
        <v>1</v>
      </c>
      <c r="G118" s="15">
        <v>46231.455555555556</v>
      </c>
      <c r="H118" t="s">
        <v>353</v>
      </c>
      <c r="I118" t="s">
        <v>368</v>
      </c>
      <c r="J118" t="s">
        <v>239</v>
      </c>
      <c r="K118" t="s">
        <v>348</v>
      </c>
      <c r="L118" t="s">
        <v>369</v>
      </c>
      <c r="M118" t="s">
        <v>239</v>
      </c>
      <c r="O118" t="s">
        <v>67</v>
      </c>
      <c r="P118" t="s">
        <v>353</v>
      </c>
      <c r="Q118" t="s">
        <v>217</v>
      </c>
    </row>
    <row r="119" spans="1:18" x14ac:dyDescent="0.3">
      <c r="A119" t="s">
        <v>348</v>
      </c>
      <c r="B119" t="s">
        <v>45</v>
      </c>
      <c r="C119" t="s">
        <v>68</v>
      </c>
      <c r="D119" s="15">
        <v>46225.341481481482</v>
      </c>
      <c r="E119" t="s">
        <v>402</v>
      </c>
      <c r="F119">
        <v>11</v>
      </c>
      <c r="G119" s="15">
        <v>46227.5</v>
      </c>
      <c r="H119" t="s">
        <v>353</v>
      </c>
      <c r="I119" t="s">
        <v>368</v>
      </c>
      <c r="J119" t="s">
        <v>239</v>
      </c>
      <c r="K119" t="s">
        <v>348</v>
      </c>
      <c r="L119" t="s">
        <v>369</v>
      </c>
      <c r="M119" t="s">
        <v>239</v>
      </c>
      <c r="O119" t="s">
        <v>67</v>
      </c>
      <c r="P119" t="s">
        <v>353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46244.522743055553</v>
      </c>
      <c r="E120" t="s">
        <v>408</v>
      </c>
      <c r="F120">
        <v>6</v>
      </c>
      <c r="G120" s="15">
        <v>46247.409722222219</v>
      </c>
      <c r="H120" t="s">
        <v>358</v>
      </c>
      <c r="I120" t="s">
        <v>370</v>
      </c>
      <c r="J120" t="s">
        <v>239</v>
      </c>
      <c r="K120" t="s">
        <v>348</v>
      </c>
      <c r="L120" t="s">
        <v>369</v>
      </c>
      <c r="M120" t="s">
        <v>239</v>
      </c>
      <c r="N120">
        <v>0</v>
      </c>
      <c r="O120" t="s">
        <v>67</v>
      </c>
      <c r="P120" t="s">
        <v>358</v>
      </c>
      <c r="Q120" t="s">
        <v>217</v>
      </c>
      <c r="R120">
        <v>1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46252.385625000003</v>
      </c>
      <c r="E121" t="s">
        <v>404</v>
      </c>
      <c r="F121">
        <v>45</v>
      </c>
      <c r="G121" s="15">
        <v>46254.560416666667</v>
      </c>
      <c r="H121" t="s">
        <v>358</v>
      </c>
      <c r="I121" t="s">
        <v>370</v>
      </c>
      <c r="J121" t="s">
        <v>239</v>
      </c>
      <c r="K121" t="s">
        <v>348</v>
      </c>
      <c r="L121" t="s">
        <v>369</v>
      </c>
      <c r="M121" t="s">
        <v>239</v>
      </c>
      <c r="N121">
        <v>0</v>
      </c>
      <c r="O121" t="s">
        <v>67</v>
      </c>
      <c r="P121" t="s">
        <v>358</v>
      </c>
      <c r="Q121" t="s">
        <v>217</v>
      </c>
      <c r="R121">
        <v>1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46251.574641203704</v>
      </c>
      <c r="E122" t="s">
        <v>408</v>
      </c>
      <c r="F122">
        <v>15</v>
      </c>
      <c r="G122" s="15">
        <v>46253.486111111109</v>
      </c>
      <c r="H122" t="s">
        <v>358</v>
      </c>
      <c r="I122" t="s">
        <v>370</v>
      </c>
      <c r="J122" t="s">
        <v>239</v>
      </c>
      <c r="K122" t="s">
        <v>348</v>
      </c>
      <c r="L122" t="s">
        <v>369</v>
      </c>
      <c r="M122" t="s">
        <v>239</v>
      </c>
      <c r="O122" t="s">
        <v>67</v>
      </c>
      <c r="P122" t="s">
        <v>358</v>
      </c>
      <c r="Q122" t="s">
        <v>217</v>
      </c>
      <c r="R122">
        <v>1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46224.403738425928</v>
      </c>
      <c r="E123" t="s">
        <v>404</v>
      </c>
      <c r="F123">
        <v>50</v>
      </c>
      <c r="G123" s="15">
        <v>46227.503472222219</v>
      </c>
      <c r="H123" t="s">
        <v>358</v>
      </c>
      <c r="I123" t="s">
        <v>370</v>
      </c>
      <c r="J123" t="s">
        <v>239</v>
      </c>
      <c r="K123" t="s">
        <v>348</v>
      </c>
      <c r="L123" t="s">
        <v>369</v>
      </c>
      <c r="M123" t="s">
        <v>239</v>
      </c>
      <c r="N123">
        <v>0</v>
      </c>
      <c r="O123" t="s">
        <v>67</v>
      </c>
      <c r="P123" t="s">
        <v>358</v>
      </c>
      <c r="Q123" t="s">
        <v>217</v>
      </c>
      <c r="R123">
        <v>1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46230.325821759259</v>
      </c>
      <c r="E124" t="s">
        <v>408</v>
      </c>
      <c r="F124">
        <v>22</v>
      </c>
      <c r="G124" s="15">
        <v>46232.520833333336</v>
      </c>
      <c r="H124" t="s">
        <v>358</v>
      </c>
      <c r="I124" t="s">
        <v>370</v>
      </c>
      <c r="J124" t="s">
        <v>239</v>
      </c>
      <c r="K124" t="s">
        <v>348</v>
      </c>
      <c r="L124" t="s">
        <v>369</v>
      </c>
      <c r="M124" t="s">
        <v>239</v>
      </c>
      <c r="N124">
        <v>0</v>
      </c>
      <c r="O124" t="s">
        <v>67</v>
      </c>
      <c r="P124" t="s">
        <v>358</v>
      </c>
      <c r="Q124" t="s">
        <v>217</v>
      </c>
      <c r="R124">
        <v>1</v>
      </c>
    </row>
    <row r="125" spans="1:18" x14ac:dyDescent="0.3">
      <c r="A125" t="s">
        <v>348</v>
      </c>
      <c r="B125" t="s">
        <v>48</v>
      </c>
      <c r="C125" t="s">
        <v>68</v>
      </c>
      <c r="D125" s="15">
        <v>46226.544976851852</v>
      </c>
      <c r="E125" t="s">
        <v>404</v>
      </c>
      <c r="F125">
        <v>1</v>
      </c>
      <c r="G125" s="15">
        <v>46230.449305555558</v>
      </c>
      <c r="H125" t="s">
        <v>358</v>
      </c>
      <c r="I125" t="s">
        <v>370</v>
      </c>
      <c r="J125" t="s">
        <v>239</v>
      </c>
      <c r="K125" t="s">
        <v>348</v>
      </c>
      <c r="L125" t="s">
        <v>369</v>
      </c>
      <c r="M125" t="s">
        <v>239</v>
      </c>
      <c r="N125">
        <v>0</v>
      </c>
      <c r="O125" t="s">
        <v>90</v>
      </c>
      <c r="P125" t="s">
        <v>358</v>
      </c>
      <c r="Q125" t="s">
        <v>217</v>
      </c>
      <c r="R125">
        <v>1</v>
      </c>
    </row>
    <row r="126" spans="1:18" x14ac:dyDescent="0.3">
      <c r="A126" t="s">
        <v>349</v>
      </c>
      <c r="B126" t="s">
        <v>43</v>
      </c>
      <c r="C126" t="s">
        <v>105</v>
      </c>
      <c r="D126" s="15">
        <v>46251.397696759261</v>
      </c>
      <c r="E126" t="s">
        <v>402</v>
      </c>
      <c r="F126">
        <v>1</v>
      </c>
      <c r="G126" s="15">
        <v>46255.615277777775</v>
      </c>
      <c r="H126" t="s">
        <v>750</v>
      </c>
      <c r="I126" t="s">
        <v>751</v>
      </c>
      <c r="J126" t="s">
        <v>261</v>
      </c>
      <c r="K126" t="s">
        <v>349</v>
      </c>
      <c r="L126" t="s">
        <v>393</v>
      </c>
      <c r="M126" t="s">
        <v>261</v>
      </c>
      <c r="N126">
        <v>0</v>
      </c>
      <c r="O126" t="s">
        <v>67</v>
      </c>
      <c r="P126" t="s">
        <v>750</v>
      </c>
      <c r="Q126" t="s">
        <v>217</v>
      </c>
      <c r="R126">
        <v>1</v>
      </c>
    </row>
    <row r="127" spans="1:18" x14ac:dyDescent="0.3">
      <c r="A127" t="s">
        <v>349</v>
      </c>
      <c r="B127" t="s">
        <v>45</v>
      </c>
      <c r="C127" t="s">
        <v>68</v>
      </c>
      <c r="D127" s="15">
        <v>46251.388148148151</v>
      </c>
      <c r="E127" t="s">
        <v>752</v>
      </c>
      <c r="F127">
        <v>10</v>
      </c>
      <c r="G127" s="15">
        <v>46255.618055555555</v>
      </c>
      <c r="H127" t="s">
        <v>750</v>
      </c>
      <c r="I127" t="s">
        <v>751</v>
      </c>
      <c r="J127" t="s">
        <v>261</v>
      </c>
      <c r="K127" t="s">
        <v>349</v>
      </c>
      <c r="L127" t="s">
        <v>393</v>
      </c>
      <c r="M127" t="s">
        <v>261</v>
      </c>
      <c r="N127">
        <v>0</v>
      </c>
      <c r="O127" t="s">
        <v>67</v>
      </c>
      <c r="P127" t="s">
        <v>750</v>
      </c>
      <c r="Q127" t="s">
        <v>217</v>
      </c>
    </row>
    <row r="128" spans="1:18" x14ac:dyDescent="0.3">
      <c r="A128" t="s">
        <v>349</v>
      </c>
      <c r="B128" t="s">
        <v>45</v>
      </c>
      <c r="C128" t="s">
        <v>68</v>
      </c>
      <c r="D128" s="15">
        <v>46251.394097222219</v>
      </c>
      <c r="E128" t="s">
        <v>752</v>
      </c>
      <c r="F128">
        <v>5</v>
      </c>
      <c r="G128" s="15">
        <v>46255.615277777775</v>
      </c>
      <c r="H128" t="s">
        <v>750</v>
      </c>
      <c r="I128" t="s">
        <v>751</v>
      </c>
      <c r="J128" t="s">
        <v>261</v>
      </c>
      <c r="K128" t="s">
        <v>349</v>
      </c>
      <c r="L128" t="s">
        <v>393</v>
      </c>
      <c r="M128" t="s">
        <v>261</v>
      </c>
      <c r="O128" t="s">
        <v>67</v>
      </c>
      <c r="P128" t="s">
        <v>750</v>
      </c>
      <c r="Q128" t="s">
        <v>217</v>
      </c>
    </row>
    <row r="129" spans="1:18" x14ac:dyDescent="0.3">
      <c r="A129" t="s">
        <v>349</v>
      </c>
      <c r="B129" t="s">
        <v>48</v>
      </c>
      <c r="C129" t="s">
        <v>68</v>
      </c>
      <c r="D129" s="15">
        <v>46226.72587962963</v>
      </c>
      <c r="E129" t="s">
        <v>402</v>
      </c>
      <c r="F129">
        <v>1</v>
      </c>
      <c r="G129" s="15">
        <v>46232.441666666666</v>
      </c>
      <c r="H129" t="s">
        <v>750</v>
      </c>
      <c r="I129" t="s">
        <v>751</v>
      </c>
      <c r="J129" t="s">
        <v>261</v>
      </c>
      <c r="K129" t="s">
        <v>349</v>
      </c>
      <c r="L129" t="s">
        <v>393</v>
      </c>
      <c r="M129" t="s">
        <v>261</v>
      </c>
      <c r="N129">
        <v>0</v>
      </c>
      <c r="O129" t="s">
        <v>90</v>
      </c>
      <c r="P129" t="s">
        <v>750</v>
      </c>
      <c r="Q129" t="s">
        <v>217</v>
      </c>
      <c r="R129">
        <v>1</v>
      </c>
    </row>
    <row r="130" spans="1:18" x14ac:dyDescent="0.3">
      <c r="A130" t="s">
        <v>349</v>
      </c>
      <c r="B130" t="s">
        <v>45</v>
      </c>
      <c r="C130" t="s">
        <v>68</v>
      </c>
      <c r="D130" s="15">
        <v>46219.31449074074</v>
      </c>
      <c r="E130" t="s">
        <v>752</v>
      </c>
      <c r="F130">
        <v>9</v>
      </c>
      <c r="G130" s="15">
        <v>46232.447916666664</v>
      </c>
      <c r="H130" t="s">
        <v>750</v>
      </c>
      <c r="I130" t="s">
        <v>751</v>
      </c>
      <c r="J130" t="s">
        <v>261</v>
      </c>
      <c r="K130" t="s">
        <v>349</v>
      </c>
      <c r="L130" t="s">
        <v>393</v>
      </c>
      <c r="M130" t="s">
        <v>261</v>
      </c>
      <c r="N130">
        <v>0</v>
      </c>
      <c r="O130" t="s">
        <v>67</v>
      </c>
      <c r="P130" t="s">
        <v>750</v>
      </c>
      <c r="Q130" t="s">
        <v>217</v>
      </c>
    </row>
    <row r="131" spans="1:18" x14ac:dyDescent="0.3">
      <c r="A131" t="s">
        <v>347</v>
      </c>
      <c r="B131" t="s">
        <v>45</v>
      </c>
      <c r="C131" t="s">
        <v>68</v>
      </c>
      <c r="D131" s="15">
        <v>46244.678773148145</v>
      </c>
      <c r="E131" t="s">
        <v>1260</v>
      </c>
      <c r="F131">
        <v>25</v>
      </c>
      <c r="G131" s="15">
        <v>46246.395833333336</v>
      </c>
      <c r="H131" t="s">
        <v>1257</v>
      </c>
      <c r="I131" t="s">
        <v>1258</v>
      </c>
      <c r="J131" t="s">
        <v>240</v>
      </c>
      <c r="K131" t="s">
        <v>347</v>
      </c>
      <c r="L131" t="s">
        <v>351</v>
      </c>
      <c r="M131" t="s">
        <v>240</v>
      </c>
      <c r="N131">
        <v>3</v>
      </c>
      <c r="O131" t="s">
        <v>67</v>
      </c>
      <c r="P131" t="s">
        <v>1257</v>
      </c>
      <c r="Q131" t="s">
        <v>217</v>
      </c>
      <c r="R131">
        <v>1</v>
      </c>
    </row>
    <row r="132" spans="1:18" x14ac:dyDescent="0.3">
      <c r="A132" t="s">
        <v>347</v>
      </c>
      <c r="B132" t="s">
        <v>45</v>
      </c>
      <c r="C132" t="s">
        <v>68</v>
      </c>
      <c r="D132" s="15">
        <v>46252.494293981479</v>
      </c>
      <c r="E132" t="s">
        <v>1260</v>
      </c>
      <c r="F132">
        <v>25</v>
      </c>
      <c r="G132" s="15">
        <v>46253.423611111109</v>
      </c>
      <c r="H132" t="s">
        <v>1257</v>
      </c>
      <c r="I132" t="s">
        <v>1258</v>
      </c>
      <c r="J132" t="s">
        <v>240</v>
      </c>
      <c r="K132" t="s">
        <v>347</v>
      </c>
      <c r="L132" t="s">
        <v>351</v>
      </c>
      <c r="M132" t="s">
        <v>240</v>
      </c>
      <c r="N132">
        <v>3</v>
      </c>
      <c r="O132" t="s">
        <v>67</v>
      </c>
      <c r="P132" t="s">
        <v>1257</v>
      </c>
      <c r="Q132" t="s">
        <v>217</v>
      </c>
      <c r="R132">
        <v>1</v>
      </c>
    </row>
    <row r="133" spans="1:18" x14ac:dyDescent="0.3">
      <c r="A133" t="s">
        <v>347</v>
      </c>
      <c r="B133" t="s">
        <v>45</v>
      </c>
      <c r="C133" t="s">
        <v>68</v>
      </c>
      <c r="D133" s="15">
        <v>46237.299120370371</v>
      </c>
      <c r="E133" t="s">
        <v>1260</v>
      </c>
      <c r="F133">
        <v>20</v>
      </c>
      <c r="G133" s="15">
        <v>46239.371527777781</v>
      </c>
      <c r="H133" t="s">
        <v>1257</v>
      </c>
      <c r="I133" t="s">
        <v>1258</v>
      </c>
      <c r="J133" t="s">
        <v>240</v>
      </c>
      <c r="K133" t="s">
        <v>347</v>
      </c>
      <c r="L133" t="s">
        <v>351</v>
      </c>
      <c r="M133" t="s">
        <v>240</v>
      </c>
      <c r="N133">
        <v>3</v>
      </c>
      <c r="O133" t="s">
        <v>67</v>
      </c>
      <c r="P133" t="s">
        <v>1257</v>
      </c>
      <c r="Q133" t="s">
        <v>217</v>
      </c>
      <c r="R133">
        <v>1</v>
      </c>
    </row>
    <row r="134" spans="1:18" x14ac:dyDescent="0.3">
      <c r="A134" t="s">
        <v>347</v>
      </c>
      <c r="B134" t="s">
        <v>43</v>
      </c>
      <c r="C134" t="s">
        <v>105</v>
      </c>
      <c r="D134" s="15">
        <v>46244.665532407409</v>
      </c>
      <c r="E134" t="s">
        <v>400</v>
      </c>
      <c r="F134">
        <v>3</v>
      </c>
      <c r="G134" s="15">
        <v>46247.479166666664</v>
      </c>
      <c r="H134" t="s">
        <v>362</v>
      </c>
      <c r="I134" t="s">
        <v>373</v>
      </c>
      <c r="J134" t="s">
        <v>240</v>
      </c>
      <c r="K134" t="s">
        <v>347</v>
      </c>
      <c r="L134" t="s">
        <v>351</v>
      </c>
      <c r="M134" t="s">
        <v>240</v>
      </c>
      <c r="N134">
        <v>48</v>
      </c>
      <c r="O134" t="s">
        <v>67</v>
      </c>
      <c r="P134" t="s">
        <v>362</v>
      </c>
      <c r="Q134" t="s">
        <v>217</v>
      </c>
      <c r="R134">
        <v>1</v>
      </c>
    </row>
    <row r="135" spans="1:18" x14ac:dyDescent="0.3">
      <c r="A135" t="s">
        <v>347</v>
      </c>
      <c r="B135" t="s">
        <v>45</v>
      </c>
      <c r="C135" t="s">
        <v>68</v>
      </c>
      <c r="D135" s="15">
        <v>46244.660208333335</v>
      </c>
      <c r="E135" t="s">
        <v>400</v>
      </c>
      <c r="F135">
        <v>25</v>
      </c>
      <c r="G135" s="15">
        <v>46246.611111111109</v>
      </c>
      <c r="H135" t="s">
        <v>362</v>
      </c>
      <c r="I135" t="s">
        <v>373</v>
      </c>
      <c r="J135" t="s">
        <v>240</v>
      </c>
      <c r="K135" t="s">
        <v>347</v>
      </c>
      <c r="L135" t="s">
        <v>351</v>
      </c>
      <c r="M135" t="s">
        <v>240</v>
      </c>
      <c r="N135">
        <v>48</v>
      </c>
      <c r="O135" t="s">
        <v>67</v>
      </c>
      <c r="P135" t="s">
        <v>362</v>
      </c>
      <c r="Q135" t="s">
        <v>217</v>
      </c>
      <c r="R135">
        <v>1</v>
      </c>
    </row>
    <row r="136" spans="1:18" x14ac:dyDescent="0.3">
      <c r="A136" t="s">
        <v>347</v>
      </c>
      <c r="B136" t="s">
        <v>45</v>
      </c>
      <c r="C136" t="s">
        <v>68</v>
      </c>
      <c r="D136" s="15">
        <v>46253.320972222224</v>
      </c>
      <c r="E136" t="s">
        <v>400</v>
      </c>
      <c r="F136">
        <v>25</v>
      </c>
      <c r="G136" s="15">
        <v>46255.638888888891</v>
      </c>
      <c r="H136" t="s">
        <v>362</v>
      </c>
      <c r="I136" t="s">
        <v>373</v>
      </c>
      <c r="J136" t="s">
        <v>240</v>
      </c>
      <c r="K136" t="s">
        <v>347</v>
      </c>
      <c r="L136" t="s">
        <v>351</v>
      </c>
      <c r="M136" t="s">
        <v>240</v>
      </c>
      <c r="N136">
        <v>48</v>
      </c>
      <c r="O136" t="s">
        <v>67</v>
      </c>
      <c r="P136" t="s">
        <v>362</v>
      </c>
      <c r="Q136" t="s">
        <v>217</v>
      </c>
      <c r="R136">
        <v>1</v>
      </c>
    </row>
    <row r="137" spans="1:18" x14ac:dyDescent="0.3">
      <c r="A137" t="s">
        <v>347</v>
      </c>
      <c r="B137" t="s">
        <v>45</v>
      </c>
      <c r="C137" t="s">
        <v>68</v>
      </c>
      <c r="D137" s="15">
        <v>46233.603067129632</v>
      </c>
      <c r="E137" t="s">
        <v>1290</v>
      </c>
      <c r="F137">
        <v>50</v>
      </c>
      <c r="G137" s="15">
        <v>46237.586805555555</v>
      </c>
      <c r="H137" t="s">
        <v>362</v>
      </c>
      <c r="I137" t="s">
        <v>373</v>
      </c>
      <c r="J137" t="s">
        <v>240</v>
      </c>
      <c r="K137" t="s">
        <v>347</v>
      </c>
      <c r="L137" t="s">
        <v>351</v>
      </c>
      <c r="M137" t="s">
        <v>240</v>
      </c>
      <c r="N137">
        <v>48</v>
      </c>
      <c r="O137" t="s">
        <v>67</v>
      </c>
      <c r="P137" t="s">
        <v>362</v>
      </c>
      <c r="Q137" t="s">
        <v>217</v>
      </c>
      <c r="R137">
        <v>1</v>
      </c>
    </row>
    <row r="138" spans="1:18" x14ac:dyDescent="0.3">
      <c r="A138" t="s">
        <v>347</v>
      </c>
      <c r="B138" t="s">
        <v>48</v>
      </c>
      <c r="C138" t="s">
        <v>68</v>
      </c>
      <c r="D138" s="15">
        <v>46238.544641203705</v>
      </c>
      <c r="E138" t="s">
        <v>400</v>
      </c>
      <c r="F138">
        <v>3</v>
      </c>
      <c r="G138" s="15">
        <v>46240.518055555556</v>
      </c>
      <c r="H138" t="s">
        <v>362</v>
      </c>
      <c r="I138" t="s">
        <v>373</v>
      </c>
      <c r="J138" t="s">
        <v>240</v>
      </c>
      <c r="K138" t="s">
        <v>347</v>
      </c>
      <c r="L138" t="s">
        <v>351</v>
      </c>
      <c r="M138" t="s">
        <v>240</v>
      </c>
      <c r="N138">
        <v>48</v>
      </c>
      <c r="O138" t="s">
        <v>90</v>
      </c>
      <c r="P138" t="s">
        <v>362</v>
      </c>
      <c r="Q138" t="s">
        <v>217</v>
      </c>
      <c r="R138">
        <v>1</v>
      </c>
    </row>
    <row r="139" spans="1:18" x14ac:dyDescent="0.3">
      <c r="A139" t="s">
        <v>348</v>
      </c>
      <c r="B139" t="s">
        <v>45</v>
      </c>
      <c r="C139" t="s">
        <v>68</v>
      </c>
      <c r="D139" s="15">
        <v>46224.647638888891</v>
      </c>
      <c r="E139" t="s">
        <v>1300</v>
      </c>
      <c r="F139">
        <v>1</v>
      </c>
      <c r="G139" s="15">
        <v>46226.447916666664</v>
      </c>
      <c r="H139" t="s">
        <v>1302</v>
      </c>
      <c r="I139" t="s">
        <v>1303</v>
      </c>
      <c r="J139" t="s">
        <v>287</v>
      </c>
      <c r="K139" t="s">
        <v>348</v>
      </c>
      <c r="L139" t="s">
        <v>369</v>
      </c>
      <c r="M139" t="s">
        <v>239</v>
      </c>
      <c r="N139">
        <v>76</v>
      </c>
      <c r="O139" t="s">
        <v>67</v>
      </c>
      <c r="P139" t="s">
        <v>1302</v>
      </c>
      <c r="Q139" t="s">
        <v>217</v>
      </c>
      <c r="R139">
        <v>1</v>
      </c>
    </row>
    <row r="140" spans="1:18" x14ac:dyDescent="0.3">
      <c r="A140" t="s">
        <v>348</v>
      </c>
      <c r="B140" t="s">
        <v>48</v>
      </c>
      <c r="C140" t="s">
        <v>68</v>
      </c>
      <c r="D140" s="15">
        <v>46216.601365740738</v>
      </c>
      <c r="E140" t="s">
        <v>402</v>
      </c>
      <c r="F140">
        <v>1</v>
      </c>
      <c r="G140" s="15">
        <v>46223.497916666667</v>
      </c>
      <c r="H140" t="s">
        <v>354</v>
      </c>
      <c r="I140" t="s">
        <v>369</v>
      </c>
      <c r="J140" t="s">
        <v>239</v>
      </c>
      <c r="K140" t="s">
        <v>348</v>
      </c>
      <c r="L140" t="s">
        <v>369</v>
      </c>
      <c r="M140" t="s">
        <v>239</v>
      </c>
      <c r="N140">
        <v>0</v>
      </c>
      <c r="O140" t="s">
        <v>90</v>
      </c>
      <c r="P140" t="s">
        <v>354</v>
      </c>
      <c r="Q140" t="s">
        <v>217</v>
      </c>
      <c r="R140">
        <v>1</v>
      </c>
    </row>
    <row r="141" spans="1:18" x14ac:dyDescent="0.3">
      <c r="A141" t="s">
        <v>348</v>
      </c>
      <c r="B141" t="s">
        <v>48</v>
      </c>
      <c r="C141" t="s">
        <v>68</v>
      </c>
      <c r="D141" s="15">
        <v>46241.31753472222</v>
      </c>
      <c r="E141" t="s">
        <v>401</v>
      </c>
      <c r="F141">
        <v>2</v>
      </c>
      <c r="G141" s="15">
        <v>46244.479166666664</v>
      </c>
      <c r="H141" t="s">
        <v>357</v>
      </c>
      <c r="I141" t="s">
        <v>369</v>
      </c>
      <c r="J141" t="s">
        <v>239</v>
      </c>
      <c r="K141" t="s">
        <v>348</v>
      </c>
      <c r="L141" t="s">
        <v>369</v>
      </c>
      <c r="M141" t="s">
        <v>239</v>
      </c>
      <c r="O141" t="s">
        <v>90</v>
      </c>
      <c r="P141" t="s">
        <v>357</v>
      </c>
      <c r="Q141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69" t="s">
        <v>635</v>
      </c>
      <c r="C2" s="270"/>
      <c r="D2" s="270"/>
      <c r="E2" s="270"/>
      <c r="F2" s="270"/>
      <c r="G2" s="270"/>
      <c r="H2" s="270"/>
      <c r="I2" s="270"/>
      <c r="J2" s="270"/>
      <c r="K2" s="270"/>
      <c r="L2" s="270"/>
      <c r="M2" s="270"/>
      <c r="N2" s="270"/>
      <c r="O2" s="271"/>
      <c r="Q2" s="48"/>
    </row>
    <row r="3" spans="1:26" ht="14.25" customHeight="1" thickTop="1" thickBot="1" x14ac:dyDescent="0.35">
      <c r="B3" s="272" t="s">
        <v>636</v>
      </c>
      <c r="C3" s="270"/>
      <c r="D3" s="270"/>
      <c r="E3" s="270"/>
      <c r="F3" s="270"/>
      <c r="G3" s="270"/>
      <c r="H3" s="270"/>
      <c r="I3" s="270"/>
      <c r="J3" s="270"/>
      <c r="K3" s="270"/>
      <c r="L3" s="270"/>
      <c r="M3" s="270"/>
      <c r="N3" s="270"/>
      <c r="O3" s="271"/>
      <c r="Q3" s="49"/>
      <c r="R3" s="48"/>
    </row>
    <row r="4" spans="1:26" ht="14.25" customHeight="1" thickTop="1" x14ac:dyDescent="0.3">
      <c r="B4" s="273" t="s">
        <v>703</v>
      </c>
      <c r="C4" s="274"/>
      <c r="D4" s="50" t="s">
        <v>637</v>
      </c>
      <c r="E4" s="50"/>
      <c r="F4" s="47"/>
      <c r="G4" s="47"/>
      <c r="H4" s="46"/>
      <c r="I4" s="47" t="s">
        <v>704</v>
      </c>
      <c r="J4" s="51" t="s">
        <v>676</v>
      </c>
      <c r="K4" s="50"/>
      <c r="L4" s="275" t="s">
        <v>638</v>
      </c>
      <c r="M4" s="52" t="s">
        <v>639</v>
      </c>
      <c r="N4" s="169">
        <v>51.515151515151516</v>
      </c>
      <c r="O4" s="53"/>
      <c r="Q4" s="49"/>
      <c r="R4" s="48"/>
    </row>
    <row r="5" spans="1:26" ht="14.25" customHeight="1" x14ac:dyDescent="0.3">
      <c r="B5" s="277" t="s">
        <v>705</v>
      </c>
      <c r="C5" s="276"/>
      <c r="D5" s="54">
        <v>4600686987</v>
      </c>
      <c r="E5" s="54"/>
      <c r="F5" s="47"/>
      <c r="G5" s="47"/>
      <c r="H5" s="46"/>
      <c r="I5" s="55" t="s">
        <v>640</v>
      </c>
      <c r="J5" s="54" t="s">
        <v>678</v>
      </c>
      <c r="K5" s="56"/>
      <c r="L5" s="276"/>
      <c r="M5" s="57" t="s">
        <v>641</v>
      </c>
      <c r="N5" s="54">
        <v>0.97</v>
      </c>
      <c r="O5" s="58"/>
      <c r="Q5" s="49"/>
      <c r="R5" s="48"/>
    </row>
    <row r="6" spans="1:26" ht="14.25" customHeight="1" x14ac:dyDescent="0.3">
      <c r="B6" s="277" t="s">
        <v>706</v>
      </c>
      <c r="C6" s="276"/>
      <c r="D6" s="278" t="s">
        <v>680</v>
      </c>
      <c r="E6" s="276"/>
      <c r="F6" s="276"/>
      <c r="G6" s="276"/>
      <c r="H6" s="276"/>
      <c r="I6" s="55" t="s">
        <v>642</v>
      </c>
      <c r="J6" s="54" t="s">
        <v>681</v>
      </c>
      <c r="K6" s="54"/>
      <c r="L6" s="280" t="s">
        <v>643</v>
      </c>
      <c r="M6" s="57" t="s">
        <v>639</v>
      </c>
      <c r="N6" s="168">
        <v>78.861788617886177</v>
      </c>
      <c r="O6" s="59"/>
      <c r="Q6" s="49"/>
      <c r="R6" s="48"/>
    </row>
    <row r="7" spans="1:26" ht="14.25" customHeight="1" thickBot="1" x14ac:dyDescent="0.35">
      <c r="B7" s="281"/>
      <c r="C7" s="279"/>
      <c r="D7" s="279"/>
      <c r="E7" s="279"/>
      <c r="F7" s="279"/>
      <c r="G7" s="279"/>
      <c r="H7" s="279"/>
      <c r="I7" s="60" t="s">
        <v>644</v>
      </c>
      <c r="J7" s="61" t="s">
        <v>682</v>
      </c>
      <c r="K7" s="61"/>
      <c r="L7" s="279"/>
      <c r="M7" s="62" t="s">
        <v>641</v>
      </c>
      <c r="N7" s="63"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47" t="s">
        <v>0</v>
      </c>
      <c r="E10" s="252"/>
      <c r="F10" s="252"/>
      <c r="G10" s="252"/>
      <c r="H10" s="248"/>
      <c r="I10" s="68" t="s">
        <v>40</v>
      </c>
      <c r="J10" s="69" t="s">
        <v>521</v>
      </c>
      <c r="K10" s="69" t="s">
        <v>645</v>
      </c>
      <c r="L10" s="69" t="s">
        <v>646</v>
      </c>
      <c r="M10" s="70" t="s">
        <v>647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648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63" t="s">
        <v>683</v>
      </c>
      <c r="F12" s="256"/>
      <c r="G12" s="256"/>
      <c r="H12" s="256"/>
      <c r="I12" s="81"/>
      <c r="J12" s="82"/>
      <c r="K12" s="83"/>
      <c r="L12" s="84"/>
      <c r="M12" s="85"/>
      <c r="N12" s="264"/>
      <c r="Q12" s="48"/>
    </row>
    <row r="13" spans="1:26" ht="14.25" customHeight="1" x14ac:dyDescent="0.3">
      <c r="A13" s="45"/>
      <c r="B13" s="45"/>
      <c r="C13" s="86" t="s">
        <v>66</v>
      </c>
      <c r="D13" s="87" t="s">
        <v>504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SUMIF(ARM_IRON_LT1[Linha de serviço PPU], D12, ARM_IRON_LT1[QUA])</f>
        <v>264586</v>
      </c>
      <c r="K13" s="91">
        <f>J13*$N$5</f>
        <v>256648.41999999998</v>
      </c>
      <c r="L13" s="92">
        <f>VLOOKUP(D12,PPU_IRON_LT1[[Linha de Serviço]:[P. Unitário (R$)]],4,0)</f>
        <v>0.6</v>
      </c>
      <c r="M13" s="93">
        <f>J13*L13</f>
        <v>158751.6</v>
      </c>
      <c r="N13" s="265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ARM_IRON_LT1[Linha de serviço PPU], D12, ARM_IRON_LT1[QUAm-1])</f>
        <v>221844</v>
      </c>
      <c r="E14" s="96">
        <f>SUMIF(  ARM_IRON_LT1[Linha de serviço PPU], D12, ARM_IRON_LT1[QBm])</f>
        <v>0</v>
      </c>
      <c r="F14" s="96">
        <f>SUMIF(  ARM_IRON_LT1[Linha de serviço PPU], D12, ARM_IRON_LT1[QDm])</f>
        <v>0</v>
      </c>
      <c r="G14" s="97">
        <f>SUMIF(  ARM_IRON_LT1[Linha de serviço PPU], D12, ARM_IRON_LT1[QNm])</f>
        <v>42742</v>
      </c>
      <c r="H14" s="98">
        <f>(D14-E14-F14)+G14</f>
        <v>264586</v>
      </c>
      <c r="I14" s="99"/>
      <c r="J14" s="100"/>
      <c r="K14" s="101"/>
      <c r="L14" s="102"/>
      <c r="M14" s="103"/>
      <c r="N14" s="266"/>
      <c r="Q14" s="48"/>
    </row>
    <row r="15" spans="1:26" ht="15" customHeight="1" x14ac:dyDescent="0.3">
      <c r="A15" s="45"/>
      <c r="B15" s="45"/>
      <c r="C15" s="79"/>
      <c r="D15" s="80" t="s">
        <v>212</v>
      </c>
      <c r="E15" s="263" t="s">
        <v>684</v>
      </c>
      <c r="F15" s="256"/>
      <c r="G15" s="256"/>
      <c r="H15" s="256"/>
      <c r="I15" s="104"/>
      <c r="J15" s="105"/>
      <c r="K15" s="83"/>
      <c r="L15" s="106"/>
      <c r="M15" s="107"/>
      <c r="N15" s="264"/>
      <c r="Q15" s="48"/>
    </row>
    <row r="16" spans="1:26" ht="14.25" customHeight="1" x14ac:dyDescent="0.3">
      <c r="A16" s="45"/>
      <c r="B16" s="45"/>
      <c r="C16" s="86" t="s">
        <v>72</v>
      </c>
      <c r="D16" s="87" t="s">
        <v>504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SUMIF(ARM_IRON_LT1[Linha de serviço PPU], D15, ARM_IRON_LT1[QUA])</f>
        <v>1980</v>
      </c>
      <c r="K16" s="91">
        <f>J16*N5</f>
        <v>1920.6</v>
      </c>
      <c r="L16" s="92">
        <f>VLOOKUP(D15,PPU_IRON_LT1[[Linha de Serviço]:[P. Unitário (R$)]],4,0)</f>
        <v>3.55</v>
      </c>
      <c r="M16" s="93">
        <f>J16*L16</f>
        <v>7029</v>
      </c>
      <c r="N16" s="265"/>
      <c r="Q16" s="48"/>
    </row>
    <row r="17" spans="1:17" ht="14.25" customHeight="1" x14ac:dyDescent="0.3">
      <c r="A17" s="45"/>
      <c r="B17" s="45"/>
      <c r="C17" s="87"/>
      <c r="D17" s="95">
        <f>SUMIF(  ARM_IRON_LT1[Linha de serviço PPU], D15, ARM_IRON_LT1[QUAm-1])</f>
        <v>1879</v>
      </c>
      <c r="E17" s="96">
        <f>SUMIF(  ARM_IRON_LT1[Linha de serviço PPU], D15, ARM_IRON_LT1[QBm])</f>
        <v>0</v>
      </c>
      <c r="F17" s="96">
        <f>SUMIF(  ARM_IRON_LT1[Linha de serviço PPU], D15, ARM_IRON_LT1[QDm])</f>
        <v>0</v>
      </c>
      <c r="G17" s="97">
        <f>SUMIF(  ARM_IRON_LT1[Linha de serviço PPU], D15, ARM_IRON_LT1[QNm])</f>
        <v>101</v>
      </c>
      <c r="H17" s="108">
        <f>(D17-E17-F17)+G17</f>
        <v>1980</v>
      </c>
      <c r="I17" s="99"/>
      <c r="J17" s="100"/>
      <c r="K17" s="101"/>
      <c r="L17" s="102"/>
      <c r="M17" s="103"/>
      <c r="N17" s="266"/>
      <c r="Q17" s="48"/>
    </row>
    <row r="18" spans="1:17" ht="15" customHeight="1" x14ac:dyDescent="0.3">
      <c r="A18" s="45"/>
      <c r="B18" s="45"/>
      <c r="C18" s="79"/>
      <c r="D18" s="80" t="s">
        <v>213</v>
      </c>
      <c r="E18" s="263" t="s">
        <v>685</v>
      </c>
      <c r="F18" s="256"/>
      <c r="G18" s="256"/>
      <c r="H18" s="256"/>
      <c r="I18" s="104"/>
      <c r="J18" s="105"/>
      <c r="K18" s="83"/>
      <c r="M18" s="107"/>
      <c r="N18" s="264"/>
      <c r="Q18" s="48"/>
    </row>
    <row r="19" spans="1:17" ht="14.25" customHeight="1" x14ac:dyDescent="0.3">
      <c r="A19" s="45"/>
      <c r="B19" s="45"/>
      <c r="C19" s="86" t="s">
        <v>75</v>
      </c>
      <c r="D19" s="87" t="s">
        <v>504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SUMIF(ARM_IRON_LT1[Linha de serviço PPU], D18, ARM_IRON_LT1[QUA])</f>
        <v>19598</v>
      </c>
      <c r="K19" s="91">
        <f>J19*N5</f>
        <v>19010.059999999998</v>
      </c>
      <c r="L19" s="92">
        <f>VLOOKUP(D18,PPU_IRON_LT1[[Linha de Serviço]:[P. Unitário (R$)]],4,0)</f>
        <v>0.74</v>
      </c>
      <c r="M19" s="93">
        <f>J19*L19</f>
        <v>14502.52</v>
      </c>
      <c r="N19" s="265"/>
      <c r="Q19" s="48"/>
    </row>
    <row r="20" spans="1:17" ht="14.25" customHeight="1" x14ac:dyDescent="0.3">
      <c r="A20" s="45"/>
      <c r="B20" s="45"/>
      <c r="C20" s="87"/>
      <c r="D20" s="95">
        <f>SUMIF(  ARM_IRON_LT1[Linha de serviço PPU], D18, ARM_IRON_LT1[QUAm-1])</f>
        <v>19469</v>
      </c>
      <c r="E20" s="96">
        <f>SUMIF(  ARM_IRON_LT1[Linha de serviço PPU], D18, ARM_IRON_LT1[QBm])</f>
        <v>0</v>
      </c>
      <c r="F20" s="96">
        <f>SUMIF(  ARM_IRON_LT1[Linha de serviço PPU], D18, ARM_IRON_LT1[QDm])</f>
        <v>0</v>
      </c>
      <c r="G20" s="97">
        <f>SUMIF(  ARM_IRON_LT1[Linha de serviço PPU], D18, ARM_IRON_LT1[QNm])</f>
        <v>129</v>
      </c>
      <c r="H20" s="109">
        <f>(D20-E20-F20)+G20</f>
        <v>19598</v>
      </c>
      <c r="I20" s="99"/>
      <c r="J20" s="100"/>
      <c r="K20" s="101"/>
      <c r="L20" s="102"/>
      <c r="M20" s="103"/>
      <c r="N20" s="266"/>
      <c r="Q20" s="48"/>
    </row>
    <row r="21" spans="1:17" ht="15" customHeight="1" x14ac:dyDescent="0.3">
      <c r="A21" s="45"/>
      <c r="B21" s="45"/>
      <c r="C21" s="79"/>
      <c r="D21" s="80" t="s">
        <v>214</v>
      </c>
      <c r="E21" s="263" t="s">
        <v>686</v>
      </c>
      <c r="F21" s="256"/>
      <c r="G21" s="256"/>
      <c r="H21" s="256"/>
      <c r="I21" s="104"/>
      <c r="J21" s="105"/>
      <c r="K21" s="83"/>
      <c r="L21" s="106"/>
      <c r="M21" s="107"/>
      <c r="N21" s="264"/>
      <c r="Q21" s="48"/>
    </row>
    <row r="22" spans="1:17" ht="14.25" customHeight="1" x14ac:dyDescent="0.3">
      <c r="A22" s="45"/>
      <c r="B22" s="45"/>
      <c r="C22" s="86" t="s">
        <v>77</v>
      </c>
      <c r="D22" s="87" t="s">
        <v>504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SUMIF(ARM_IRON_LT1[Linha de serviço PPU], D21, ARM_IRON_LT1[QUA])</f>
        <v>17</v>
      </c>
      <c r="K22" s="91">
        <f>J22*N5</f>
        <v>16.489999999999998</v>
      </c>
      <c r="L22" s="92">
        <f>VLOOKUP(D21,PPU_IRON_LT1[[Linha de Serviço]:[P. Unitário (R$)]],4,0)</f>
        <v>56.11</v>
      </c>
      <c r="M22" s="93">
        <f>J22*L22</f>
        <v>953.87</v>
      </c>
      <c r="N22" s="265"/>
      <c r="Q22" s="48"/>
    </row>
    <row r="23" spans="1:17" ht="14.25" customHeight="1" x14ac:dyDescent="0.3">
      <c r="A23" s="45"/>
      <c r="B23" s="45"/>
      <c r="C23" s="87"/>
      <c r="D23" s="95">
        <f>SUMIF(  ARM_IRON_LT1[Linha de serviço PPU], D21, ARM_IRON_LT1[QUAm-1])</f>
        <v>17</v>
      </c>
      <c r="E23" s="96">
        <f>SUMIF(  ARM_IRON_LT1[Linha de serviço PPU], D21, ARM_IRON_LT1[QBm])</f>
        <v>0</v>
      </c>
      <c r="F23" s="96">
        <f>SUMIF(  ARM_IRON_LT1[Linha de serviço PPU], D21, ARM_IRON_LT1[QDm])</f>
        <v>0</v>
      </c>
      <c r="G23" s="97">
        <f>SUMIF(  ARM_IRON_LT1[Linha de serviço PPU], D21, ARM_IRON_LT1[QNm])</f>
        <v>0</v>
      </c>
      <c r="H23" s="109">
        <f>(D23-E23-F23)+G23</f>
        <v>17</v>
      </c>
      <c r="I23" s="99"/>
      <c r="J23" s="100"/>
      <c r="K23" s="101"/>
      <c r="L23" s="102"/>
      <c r="M23" s="103"/>
      <c r="N23" s="266"/>
      <c r="Q23" s="48"/>
    </row>
    <row r="24" spans="1:17" ht="15" customHeight="1" x14ac:dyDescent="0.3">
      <c r="A24" s="45"/>
      <c r="B24" s="45"/>
      <c r="C24" s="79"/>
      <c r="D24" s="80" t="s">
        <v>215</v>
      </c>
      <c r="E24" s="263" t="s">
        <v>687</v>
      </c>
      <c r="F24" s="256"/>
      <c r="G24" s="256"/>
      <c r="H24" s="256"/>
      <c r="I24" s="104"/>
      <c r="J24" s="105"/>
      <c r="K24" s="83"/>
      <c r="L24" s="106"/>
      <c r="M24" s="107"/>
      <c r="N24" s="264"/>
      <c r="Q24" s="48"/>
    </row>
    <row r="25" spans="1:17" ht="14.25" customHeight="1" x14ac:dyDescent="0.3">
      <c r="A25" s="45"/>
      <c r="B25" s="45"/>
      <c r="C25" s="86" t="s">
        <v>84</v>
      </c>
      <c r="D25" s="87" t="s">
        <v>504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SUMIF(ARM_IRON_LT1[Linha de serviço PPU], D24, ARM_IRON_LT1[QUA])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65"/>
      <c r="Q25" s="48"/>
    </row>
    <row r="26" spans="1:17" ht="14.25" customHeight="1" x14ac:dyDescent="0.3">
      <c r="A26" s="45"/>
      <c r="B26" s="45"/>
      <c r="C26" s="87"/>
      <c r="D26" s="95">
        <f>SUMIF(  ARM_IRON_LT1[Linha de serviço PPU], D24, ARM_IRON_LT1[QUAm-1])</f>
        <v>0</v>
      </c>
      <c r="E26" s="96">
        <f>SUMIF(  ARM_IRON_LT1[Linha de serviço PPU], D24, ARM_IRON_LT1[QBm])</f>
        <v>0</v>
      </c>
      <c r="F26" s="96">
        <f>SUMIF(  ARM_IRON_LT1[Linha de serviço PPU], D24, ARM_IRON_LT1[QDm])</f>
        <v>0</v>
      </c>
      <c r="G26" s="97">
        <f>SUMIF(  ARM_IRON_LT1[Linha de serviço PPU], D24, ARM_IRON_LT1[QNm])</f>
        <v>0</v>
      </c>
      <c r="H26" s="108">
        <f>(D26-E26-F26)+G26</f>
        <v>0</v>
      </c>
      <c r="I26" s="99"/>
      <c r="J26" s="100"/>
      <c r="K26" s="101"/>
      <c r="L26" s="102"/>
      <c r="M26" s="103"/>
      <c r="N26" s="266"/>
      <c r="Q26" s="48"/>
    </row>
    <row r="27" spans="1:17" ht="15" customHeight="1" x14ac:dyDescent="0.3">
      <c r="A27" s="45"/>
      <c r="B27" s="45"/>
      <c r="C27" s="79"/>
      <c r="D27" s="80" t="s">
        <v>216</v>
      </c>
      <c r="E27" s="263" t="s">
        <v>688</v>
      </c>
      <c r="F27" s="256"/>
      <c r="G27" s="256"/>
      <c r="H27" s="256"/>
      <c r="I27" s="110"/>
      <c r="J27" s="111"/>
      <c r="K27" s="91"/>
      <c r="L27" s="92"/>
      <c r="M27" s="93"/>
      <c r="N27" s="264"/>
      <c r="Q27" s="48"/>
    </row>
    <row r="28" spans="1:17" ht="14.25" customHeight="1" x14ac:dyDescent="0.3">
      <c r="A28" s="45"/>
      <c r="B28" s="45"/>
      <c r="C28" s="86" t="s">
        <v>87</v>
      </c>
      <c r="D28" s="87" t="s">
        <v>504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SUMIF(ARM_IRON_LT1[Linha de serviço PPU], D27, ARM_IRON_LT1[QUA])</f>
        <v>5193</v>
      </c>
      <c r="K28" s="91">
        <f>J28*N5</f>
        <v>5037.21</v>
      </c>
      <c r="L28" s="92">
        <f>VLOOKUP(D27,PPU_IRON_LT1[[Linha de Serviço]:[P. Unitário (R$)]],4,0)</f>
        <v>0.08</v>
      </c>
      <c r="M28" s="93">
        <f>J28*L28</f>
        <v>415.44</v>
      </c>
      <c r="N28" s="265"/>
      <c r="Q28" s="48"/>
    </row>
    <row r="29" spans="1:17" ht="14.25" customHeight="1" x14ac:dyDescent="0.3">
      <c r="A29" s="45"/>
      <c r="B29" s="45"/>
      <c r="C29" s="87"/>
      <c r="D29" s="95">
        <f>SUMIF(  ARM_IRON_LT1[Linha de serviço PPU], D27, ARM_IRON_LT1[QUAm-1])</f>
        <v>5193</v>
      </c>
      <c r="E29" s="96">
        <f>SUMIF(  ARM_IRON_LT1[Linha de serviço PPU], D27, ARM_IRON_LT1[QBm])</f>
        <v>0</v>
      </c>
      <c r="F29" s="96">
        <f>SUMIF(  ARM_IRON_LT1[Linha de serviço PPU], D27, ARM_IRON_LT1[QDm])</f>
        <v>0</v>
      </c>
      <c r="G29" s="97">
        <f>SUMIF(  ARM_IRON_LT1[Linha de serviço PPU], D27, ARM_IRON_LT1[QNm])</f>
        <v>0</v>
      </c>
      <c r="H29" s="112">
        <f>(D29-E29-F29)+G29</f>
        <v>5193</v>
      </c>
      <c r="I29" s="99"/>
      <c r="J29" s="111"/>
      <c r="K29" s="101"/>
      <c r="L29" s="92"/>
      <c r="M29" s="103"/>
      <c r="N29" s="266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67" t="s">
        <v>689</v>
      </c>
      <c r="F30" s="267"/>
      <c r="G30" s="267"/>
      <c r="H30" s="268"/>
      <c r="I30" s="162" t="s">
        <v>90</v>
      </c>
      <c r="J30" s="166">
        <f>SUMIF(  DADOS_IRON_LT1[Linha de serviço PPU], D30, DADOS_IRON_LT1[QExec])</f>
        <v>169.99999999999994</v>
      </c>
      <c r="K30" s="164">
        <f>J30*N5</f>
        <v>164.89999999999995</v>
      </c>
      <c r="L30" s="160">
        <f>VLOOKUP(D30,PPU_IRON_LT1[[Linha de Serviço]:[P. Unitário (R$)]],4,0)</f>
        <v>125.89</v>
      </c>
      <c r="M30" s="158">
        <f t="shared" ref="M30:M36" si="0">L30*J30</f>
        <v>21401.299999999992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6" t="s">
        <v>690</v>
      </c>
      <c r="F31" s="256"/>
      <c r="G31" s="256"/>
      <c r="H31" s="256"/>
      <c r="I31" s="163" t="s">
        <v>90</v>
      </c>
      <c r="J31" s="166">
        <f>SUMIF(  DADOS_IRON_LT1[Linha de serviço PPU], D31, DADOS_IRON_LT1[QExec])</f>
        <v>7</v>
      </c>
      <c r="K31" s="164">
        <f>J31*N5</f>
        <v>6.79</v>
      </c>
      <c r="L31" s="160">
        <f>VLOOKUP(D31,PPU_IRON_LT1[[Linha de Serviço]:[P. Unitário (R$)]],4,0)</f>
        <v>200</v>
      </c>
      <c r="M31" s="158">
        <f t="shared" si="0"/>
        <v>1400</v>
      </c>
      <c r="N31" s="115"/>
      <c r="Q31" s="48"/>
    </row>
    <row r="32" spans="1:17" ht="15" customHeight="1" x14ac:dyDescent="0.3">
      <c r="A32" s="45"/>
      <c r="B32" s="45"/>
      <c r="C32" s="116" t="s">
        <v>649</v>
      </c>
      <c r="D32" s="80" t="s">
        <v>691</v>
      </c>
      <c r="E32" s="256" t="s">
        <v>692</v>
      </c>
      <c r="F32" s="256"/>
      <c r="G32" s="256"/>
      <c r="H32" s="256"/>
      <c r="I32" s="163" t="s">
        <v>650</v>
      </c>
      <c r="J32" s="166">
        <f>SUM(DADOS_IRON_LT1[KM Adicional])</f>
        <v>1706</v>
      </c>
      <c r="K32" s="164">
        <f>J32*N5</f>
        <v>1654.82</v>
      </c>
      <c r="L32" s="160">
        <f>VLOOKUP(D32,PPU_IRON_LT1[[Linha de Serviço]:[P. Unitário (R$)]],4,0)</f>
        <v>0.5</v>
      </c>
      <c r="M32" s="158">
        <f t="shared" si="0"/>
        <v>853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57" t="s">
        <v>13</v>
      </c>
      <c r="F33" s="258"/>
      <c r="G33" s="258"/>
      <c r="H33" s="259"/>
      <c r="I33" s="163" t="s">
        <v>651</v>
      </c>
      <c r="J33" s="166">
        <f>SUMIF(  DADOS_IRON_LT1[Linha de serviço PPU], D33, DADOS_IRON_LT1[QExec])</f>
        <v>0</v>
      </c>
      <c r="K33" s="164">
        <f>J33*N5</f>
        <v>0</v>
      </c>
      <c r="L33" s="160">
        <f>VLOOKUP(D33,PPU_IRON_LT1[[Linha de Serviço]:[P. Unitário (R$)]],4,0)</f>
        <v>1.96</v>
      </c>
      <c r="M33" s="158">
        <f t="shared" si="0"/>
        <v>0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57" t="s">
        <v>15</v>
      </c>
      <c r="F34" s="258"/>
      <c r="G34" s="258"/>
      <c r="H34" s="259"/>
      <c r="I34" s="163" t="s">
        <v>651</v>
      </c>
      <c r="J34" s="166">
        <f>SUMIF(  DADOS_IRON_LT1[Linha de serviço PPU], D34, DADOS_IRON_LT1[QExec])</f>
        <v>0</v>
      </c>
      <c r="K34" s="164">
        <f>J34*N5</f>
        <v>0</v>
      </c>
      <c r="L34" s="160">
        <f>VLOOKUP(D34,PPU_IRON_LT1[[Linha de Serviço]:[P. Unitário (R$)]],4,0)</f>
        <v>1.35</v>
      </c>
      <c r="M34" s="158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57" t="s">
        <v>693</v>
      </c>
      <c r="F35" s="258"/>
      <c r="G35" s="258"/>
      <c r="H35" s="259"/>
      <c r="I35" s="163" t="s">
        <v>108</v>
      </c>
      <c r="J35" s="166">
        <f>SUMIF(  DADOS_IRON_LT1[Linha de serviço PPU], D35, DADOS_IRON_LT1[QExec])</f>
        <v>0</v>
      </c>
      <c r="K35" s="164">
        <f>J35*N5</f>
        <v>0</v>
      </c>
      <c r="L35" s="160">
        <f>VLOOKUP(D35,PPU_IRON_LT1[[Linha de Serviço]:[P. Unitário (R$)]],4,0)</f>
        <v>594488.34</v>
      </c>
      <c r="M35" s="158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57" t="s">
        <v>694</v>
      </c>
      <c r="F36" s="258"/>
      <c r="G36" s="258"/>
      <c r="H36" s="259"/>
      <c r="I36" s="163" t="s">
        <v>67</v>
      </c>
      <c r="J36" s="166">
        <f>SUMIF(  DADOS_IRON_LT1[Linha de serviço PPU], D36, DADOS_IRON_LT1[QExec])</f>
        <v>0</v>
      </c>
      <c r="K36" s="164">
        <f>J36*N5</f>
        <v>0</v>
      </c>
      <c r="L36" s="160">
        <f>VLOOKUP(D36,PPU_IRON_LT1[[Linha de Serviço]:[P. Unitário (R$)]],4,0)</f>
        <v>1.01</v>
      </c>
      <c r="M36" s="158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0" t="s">
        <v>652</v>
      </c>
      <c r="E37" s="261"/>
      <c r="F37" s="261"/>
      <c r="G37" s="261"/>
      <c r="H37" s="261"/>
      <c r="I37" s="119"/>
      <c r="J37" s="167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6" t="s">
        <v>695</v>
      </c>
      <c r="F38" s="256"/>
      <c r="G38" s="256"/>
      <c r="H38" s="256"/>
      <c r="I38" s="163" t="s">
        <v>696</v>
      </c>
      <c r="J38" s="166">
        <f>SUMIF(  DADOS_IRON_LT1[Linha de serviço PPU], D38, DADOS_IRON_LT1[QExec])</f>
        <v>415</v>
      </c>
      <c r="K38" s="165">
        <f>J38*N7</f>
        <v>402.55</v>
      </c>
      <c r="L38" s="160">
        <f>VLOOKUP(D38,PPU_IRON_LT1[[Linha de Serviço]:[P. Unitário (R$)]],4,0)</f>
        <v>0.44</v>
      </c>
      <c r="M38" s="159">
        <f t="shared" ref="M38:M47" si="1">J38*L38</f>
        <v>182.6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62" t="s">
        <v>697</v>
      </c>
      <c r="F39" s="262"/>
      <c r="G39" s="262"/>
      <c r="H39" s="262"/>
      <c r="I39" s="163" t="s">
        <v>67</v>
      </c>
      <c r="J39" s="166">
        <f>SUMIF(  DADOS_IRON_LT1[Linha de serviço PPU], D39, DADOS_IRON_LT1[QExec])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159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6" t="s">
        <v>698</v>
      </c>
      <c r="F40" s="256"/>
      <c r="G40" s="256"/>
      <c r="H40" s="256"/>
      <c r="I40" s="163" t="s">
        <v>122</v>
      </c>
      <c r="J40" s="166">
        <f>SUMIF(  DADOS_IRON_LT1[Linha de serviço PPU], D40, DADOS_IRON_LT1[QExec])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159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6" t="s">
        <v>699</v>
      </c>
      <c r="F41" s="256"/>
      <c r="G41" s="256"/>
      <c r="H41" s="256"/>
      <c r="I41" s="163" t="s">
        <v>122</v>
      </c>
      <c r="J41" s="166">
        <f>SUMIF(  DADOS_IRON_LT1[Linha de serviço PPU], D41, DADOS_IRON_LT1[QExec])</f>
        <v>28</v>
      </c>
      <c r="K41" s="165">
        <f>J41*N7</f>
        <v>27.16</v>
      </c>
      <c r="L41" s="160">
        <f>VLOOKUP(D41,PPU_IRON_LT1[[Linha de Serviço]:[P. Unitário (R$)]],4,0)</f>
        <v>0.06</v>
      </c>
      <c r="M41" s="159">
        <f t="shared" si="1"/>
        <v>1.68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6" t="s">
        <v>24</v>
      </c>
      <c r="F42" s="256"/>
      <c r="G42" s="256"/>
      <c r="H42" s="256"/>
      <c r="I42" s="163" t="s">
        <v>122</v>
      </c>
      <c r="J42" s="166">
        <f>SUMIF(  DADOS_IRON_LT1[Linha de serviço PPU], D42, DADOS_IRON_LT1[QExec])</f>
        <v>52457</v>
      </c>
      <c r="K42" s="165">
        <f>J42*N7</f>
        <v>50883.29</v>
      </c>
      <c r="L42" s="160">
        <f>VLOOKUP(D42,PPU_IRON_LT1[[Linha de Serviço]:[P. Unitário (R$)]],4,0)</f>
        <v>0.1</v>
      </c>
      <c r="M42" s="159">
        <f t="shared" si="1"/>
        <v>5245.7000000000007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6" t="s">
        <v>700</v>
      </c>
      <c r="F43" s="256"/>
      <c r="G43" s="256"/>
      <c r="H43" s="256"/>
      <c r="I43" s="163" t="s">
        <v>701</v>
      </c>
      <c r="J43" s="166">
        <f>SUMIF(  DADOS_IRON_LT1[Linha de serviço PPU], D43, DADOS_IRON_LT1[QExec])</f>
        <v>85.1</v>
      </c>
      <c r="K43" s="165">
        <f>J43*N7</f>
        <v>82.546999999999997</v>
      </c>
      <c r="L43" s="160">
        <f>VLOOKUP(D43,PPU_IRON_LT1[[Linha de Serviço]:[P. Unitário (R$)]],4,0)</f>
        <v>0.23</v>
      </c>
      <c r="M43" s="159">
        <f t="shared" si="1"/>
        <v>19.573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6" t="s">
        <v>28</v>
      </c>
      <c r="F44" s="256"/>
      <c r="G44" s="256"/>
      <c r="H44" s="256"/>
      <c r="I44" s="163" t="s">
        <v>92</v>
      </c>
      <c r="J44" s="166">
        <f>SUMIF(  DADOS_IRON_LT1[Linha de serviço PPU], D44, DADOS_IRON_LT1[QExec])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159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6" t="s">
        <v>30</v>
      </c>
      <c r="F45" s="256"/>
      <c r="G45" s="256"/>
      <c r="H45" s="256"/>
      <c r="I45" s="163" t="s">
        <v>92</v>
      </c>
      <c r="J45" s="166">
        <f>SUMIF(  DADOS_IRON_LT1[Linha de serviço PPU], D45, DADOS_IRON_LT1[QExec])</f>
        <v>0</v>
      </c>
      <c r="K45" s="165">
        <f>J45*N7</f>
        <v>0</v>
      </c>
      <c r="L45" s="160">
        <f>VLOOKUP(D45,PPU_IRON_LT1[[Linha de Serviço]:[P. Unitário (R$)]],4,0)</f>
        <v>39</v>
      </c>
      <c r="M45" s="159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6" t="s">
        <v>32</v>
      </c>
      <c r="F46" s="256"/>
      <c r="G46" s="256"/>
      <c r="H46" s="256"/>
      <c r="I46" s="163" t="s">
        <v>92</v>
      </c>
      <c r="J46" s="166">
        <f>SUMIF(  DADOS_IRON_LT1[Linha de serviço PPU], D46, DADOS_IRON_LT1[QExec])</f>
        <v>796</v>
      </c>
      <c r="K46" s="165">
        <f>J46*N7</f>
        <v>772.12</v>
      </c>
      <c r="L46" s="160">
        <f>VLOOKUP(D46,PPU_IRON_LT1[[Linha de Serviço]:[P. Unitário (R$)]],4,0)</f>
        <v>11.72</v>
      </c>
      <c r="M46" s="159">
        <f t="shared" si="1"/>
        <v>9329.1200000000008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6" t="s">
        <v>34</v>
      </c>
      <c r="F47" s="256"/>
      <c r="G47" s="256"/>
      <c r="H47" s="256"/>
      <c r="I47" s="163" t="s">
        <v>92</v>
      </c>
      <c r="J47" s="166">
        <f>SUMIF(  DADOS_IRON_LT1[Linha de serviço PPU], D47, DADOS_IRON_LT1[QExec])</f>
        <v>0</v>
      </c>
      <c r="K47" s="165">
        <f>J47*N7</f>
        <v>0</v>
      </c>
      <c r="L47" s="160">
        <f>VLOOKUP(D47,PPU_IRON_LT1[[Linha de Serviço]:[P. Unitário (R$)]],4,0)</f>
        <v>2.44</v>
      </c>
      <c r="M47" s="159">
        <f t="shared" si="1"/>
        <v>0</v>
      </c>
      <c r="N47" s="115"/>
      <c r="Q47" s="48"/>
    </row>
    <row r="48" spans="1:17" ht="30" customHeight="1" x14ac:dyDescent="0.3">
      <c r="A48" s="45"/>
      <c r="B48" s="45"/>
      <c r="C48" s="249" t="s">
        <v>653</v>
      </c>
      <c r="D48" s="250"/>
      <c r="E48" s="250"/>
      <c r="F48" s="250"/>
      <c r="G48" s="250"/>
      <c r="H48" s="250"/>
      <c r="I48" s="248"/>
      <c r="J48" s="123"/>
      <c r="K48" s="123"/>
      <c r="L48" s="123"/>
      <c r="M48" s="124">
        <f>SUM(M12:M47)</f>
        <v>220085.40299999999</v>
      </c>
      <c r="N48" s="115"/>
      <c r="Q48" s="48"/>
    </row>
    <row r="49" spans="1:17" ht="14.25" customHeight="1" x14ac:dyDescent="0.3">
      <c r="A49" s="45"/>
      <c r="B49" s="45"/>
      <c r="C49" s="251" t="s">
        <v>654</v>
      </c>
      <c r="D49" s="252"/>
      <c r="E49" s="252"/>
      <c r="F49" s="252"/>
      <c r="G49" s="252"/>
      <c r="H49" s="252"/>
      <c r="I49" s="248"/>
      <c r="J49" s="253" t="s">
        <v>655</v>
      </c>
      <c r="K49" s="252"/>
      <c r="L49" s="252"/>
      <c r="M49" s="252"/>
      <c r="N49" s="248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53" t="s">
        <v>702</v>
      </c>
      <c r="K50" s="252"/>
      <c r="L50" s="252"/>
      <c r="M50" s="252"/>
      <c r="N50" s="248"/>
      <c r="Q50" s="48"/>
    </row>
    <row r="51" spans="1:17" ht="16.5" customHeight="1" x14ac:dyDescent="0.3">
      <c r="A51" s="45"/>
      <c r="B51" s="45"/>
      <c r="C51" s="254" t="s">
        <v>656</v>
      </c>
      <c r="D51" s="252"/>
      <c r="E51" s="252"/>
      <c r="F51" s="252"/>
      <c r="G51" s="252"/>
      <c r="H51" s="252"/>
      <c r="I51" s="252"/>
      <c r="J51" s="252"/>
      <c r="K51" s="252"/>
      <c r="L51" s="252"/>
      <c r="M51" s="252"/>
      <c r="N51" s="248"/>
      <c r="Q51" s="48"/>
    </row>
    <row r="52" spans="1:17" ht="60" customHeight="1" x14ac:dyDescent="0.3">
      <c r="A52" s="45"/>
      <c r="B52" s="45"/>
      <c r="C52" s="255"/>
      <c r="D52" s="252"/>
      <c r="E52" s="252"/>
      <c r="F52" s="252"/>
      <c r="G52" s="252"/>
      <c r="H52" s="252"/>
      <c r="I52" s="252"/>
      <c r="J52" s="252"/>
      <c r="K52" s="252"/>
      <c r="L52" s="252"/>
      <c r="M52" s="252"/>
      <c r="N52" s="248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657</v>
      </c>
      <c r="E54" s="67" t="s">
        <v>658</v>
      </c>
      <c r="F54" s="67" t="s">
        <v>659</v>
      </c>
      <c r="G54" s="67" t="s">
        <v>660</v>
      </c>
      <c r="H54" s="67"/>
      <c r="I54" s="67" t="s">
        <v>661</v>
      </c>
      <c r="J54" s="247" t="s">
        <v>662</v>
      </c>
      <c r="K54" s="248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4:H34"/>
    <mergeCell ref="E35:H35"/>
    <mergeCell ref="E36:H36"/>
    <mergeCell ref="E38:H38"/>
    <mergeCell ref="E39:H39"/>
    <mergeCell ref="D37:H37"/>
    <mergeCell ref="E40:H40"/>
    <mergeCell ref="E41:H41"/>
    <mergeCell ref="E42:H42"/>
    <mergeCell ref="E43:H43"/>
    <mergeCell ref="E44:H4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7D223-07D1-41AF-8051-F6EB74113273}">
  <sheetPr codeName="Planilha20">
    <tabColor theme="8"/>
  </sheetPr>
  <dimension ref="A1:R123"/>
  <sheetViews>
    <sheetView topLeftCell="G112" workbookViewId="0">
      <selection activeCell="S103" sqref="S10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s="205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628</v>
      </c>
      <c r="I1" t="s">
        <v>629</v>
      </c>
      <c r="J1" t="s">
        <v>630</v>
      </c>
      <c r="K1" t="s">
        <v>631</v>
      </c>
      <c r="L1" t="s">
        <v>632</v>
      </c>
      <c r="M1" t="s">
        <v>633</v>
      </c>
      <c r="N1" t="s">
        <v>524</v>
      </c>
      <c r="O1" t="s">
        <v>40</v>
      </c>
      <c r="P1" t="s">
        <v>367</v>
      </c>
      <c r="Q1" t="s">
        <v>210</v>
      </c>
      <c r="R1" t="s">
        <v>525</v>
      </c>
    </row>
    <row r="2" spans="1:18" x14ac:dyDescent="0.3">
      <c r="A2" t="s">
        <v>348</v>
      </c>
      <c r="B2" t="s">
        <v>47</v>
      </c>
      <c r="C2" t="s">
        <v>68</v>
      </c>
      <c r="D2" s="15">
        <v>46211.698680555557</v>
      </c>
      <c r="E2" t="s">
        <v>403</v>
      </c>
      <c r="F2">
        <v>2</v>
      </c>
      <c r="G2" s="15">
        <v>46220.459722222222</v>
      </c>
      <c r="H2" t="s">
        <v>356</v>
      </c>
      <c r="I2" t="s">
        <v>369</v>
      </c>
      <c r="J2" t="s">
        <v>239</v>
      </c>
      <c r="K2" t="s">
        <v>348</v>
      </c>
      <c r="L2" t="s">
        <v>369</v>
      </c>
      <c r="M2" t="s">
        <v>239</v>
      </c>
      <c r="N2">
        <v>0</v>
      </c>
      <c r="O2" t="s">
        <v>90</v>
      </c>
      <c r="P2" t="s">
        <v>356</v>
      </c>
      <c r="Q2" t="s">
        <v>218</v>
      </c>
      <c r="R2">
        <v>1</v>
      </c>
    </row>
    <row r="3" spans="1:18" x14ac:dyDescent="0.3">
      <c r="A3" t="s">
        <v>348</v>
      </c>
      <c r="B3" t="s">
        <v>48</v>
      </c>
      <c r="C3" t="s">
        <v>68</v>
      </c>
      <c r="D3" s="15">
        <v>46216.601365740738</v>
      </c>
      <c r="E3" t="s">
        <v>402</v>
      </c>
      <c r="F3">
        <v>1</v>
      </c>
      <c r="G3" s="15">
        <v>46223.497916666667</v>
      </c>
      <c r="H3" t="s">
        <v>354</v>
      </c>
      <c r="I3" t="s">
        <v>369</v>
      </c>
      <c r="J3" t="s">
        <v>239</v>
      </c>
      <c r="K3" t="s">
        <v>348</v>
      </c>
      <c r="L3" t="s">
        <v>369</v>
      </c>
      <c r="M3" t="s">
        <v>239</v>
      </c>
      <c r="N3">
        <v>0</v>
      </c>
      <c r="O3" t="s">
        <v>90</v>
      </c>
      <c r="P3" t="s">
        <v>354</v>
      </c>
      <c r="Q3" t="s">
        <v>217</v>
      </c>
      <c r="R3">
        <v>1</v>
      </c>
    </row>
    <row r="4" spans="1:18" x14ac:dyDescent="0.3">
      <c r="A4" t="s">
        <v>348</v>
      </c>
      <c r="B4" t="s">
        <v>43</v>
      </c>
      <c r="C4" t="s">
        <v>105</v>
      </c>
      <c r="D4" s="15">
        <v>46220.487835648149</v>
      </c>
      <c r="E4" t="s">
        <v>401</v>
      </c>
      <c r="F4">
        <v>3</v>
      </c>
      <c r="G4" s="15">
        <v>46224.423611111109</v>
      </c>
      <c r="H4" t="s">
        <v>357</v>
      </c>
      <c r="I4" t="s">
        <v>369</v>
      </c>
      <c r="J4" t="s">
        <v>239</v>
      </c>
      <c r="K4" t="s">
        <v>348</v>
      </c>
      <c r="L4" t="s">
        <v>369</v>
      </c>
      <c r="M4" t="s">
        <v>239</v>
      </c>
      <c r="N4">
        <v>0</v>
      </c>
      <c r="O4" t="s">
        <v>67</v>
      </c>
      <c r="P4" t="s">
        <v>357</v>
      </c>
      <c r="Q4" t="s">
        <v>217</v>
      </c>
      <c r="R4">
        <v>1</v>
      </c>
    </row>
    <row r="5" spans="1:18" x14ac:dyDescent="0.3">
      <c r="A5" t="s">
        <v>348</v>
      </c>
      <c r="B5" t="s">
        <v>48</v>
      </c>
      <c r="C5" t="s">
        <v>68</v>
      </c>
      <c r="D5" s="15">
        <v>46220.546053240738</v>
      </c>
      <c r="E5" t="s">
        <v>402</v>
      </c>
      <c r="F5">
        <v>1</v>
      </c>
      <c r="G5" s="15">
        <v>46226.411805555559</v>
      </c>
      <c r="H5" t="s">
        <v>354</v>
      </c>
      <c r="I5" t="s">
        <v>369</v>
      </c>
      <c r="J5" t="s">
        <v>239</v>
      </c>
      <c r="K5" t="s">
        <v>348</v>
      </c>
      <c r="L5" t="s">
        <v>369</v>
      </c>
      <c r="M5" t="s">
        <v>239</v>
      </c>
      <c r="N5">
        <v>0</v>
      </c>
      <c r="O5" t="s">
        <v>90</v>
      </c>
      <c r="P5" t="s">
        <v>354</v>
      </c>
      <c r="Q5" t="s">
        <v>217</v>
      </c>
      <c r="R5">
        <v>1</v>
      </c>
    </row>
    <row r="6" spans="1:18" x14ac:dyDescent="0.3">
      <c r="A6" t="s">
        <v>348</v>
      </c>
      <c r="B6" t="s">
        <v>45</v>
      </c>
      <c r="C6" t="s">
        <v>68</v>
      </c>
      <c r="D6" s="15">
        <v>46224.647638888891</v>
      </c>
      <c r="E6" t="s">
        <v>1300</v>
      </c>
      <c r="F6">
        <v>1</v>
      </c>
      <c r="G6" s="15">
        <v>46226.447916666664</v>
      </c>
      <c r="H6" t="s">
        <v>1302</v>
      </c>
      <c r="I6" t="s">
        <v>1303</v>
      </c>
      <c r="J6" t="s">
        <v>287</v>
      </c>
      <c r="K6" t="s">
        <v>348</v>
      </c>
      <c r="L6" t="s">
        <v>369</v>
      </c>
      <c r="M6" t="s">
        <v>239</v>
      </c>
      <c r="N6">
        <v>76</v>
      </c>
      <c r="O6" t="s">
        <v>67</v>
      </c>
      <c r="P6" t="s">
        <v>1302</v>
      </c>
      <c r="Q6" t="s">
        <v>217</v>
      </c>
      <c r="R6">
        <v>1</v>
      </c>
    </row>
    <row r="7" spans="1:18" x14ac:dyDescent="0.3">
      <c r="A7" t="s">
        <v>348</v>
      </c>
      <c r="B7" t="s">
        <v>48</v>
      </c>
      <c r="C7" t="s">
        <v>68</v>
      </c>
      <c r="D7" s="15">
        <v>46225.384560185186</v>
      </c>
      <c r="E7" t="s">
        <v>402</v>
      </c>
      <c r="F7">
        <v>1</v>
      </c>
      <c r="G7" s="15">
        <v>46227.40347222222</v>
      </c>
      <c r="H7" t="s">
        <v>354</v>
      </c>
      <c r="I7" t="s">
        <v>369</v>
      </c>
      <c r="J7" t="s">
        <v>239</v>
      </c>
      <c r="K7" t="s">
        <v>348</v>
      </c>
      <c r="L7" t="s">
        <v>369</v>
      </c>
      <c r="M7" t="s">
        <v>239</v>
      </c>
      <c r="O7" t="s">
        <v>90</v>
      </c>
      <c r="P7" t="s">
        <v>354</v>
      </c>
      <c r="Q7" t="s">
        <v>217</v>
      </c>
    </row>
    <row r="8" spans="1:18" x14ac:dyDescent="0.3">
      <c r="A8" t="s">
        <v>348</v>
      </c>
      <c r="B8" t="s">
        <v>48</v>
      </c>
      <c r="C8" t="s">
        <v>68</v>
      </c>
      <c r="D8" s="15">
        <v>46225.554189814815</v>
      </c>
      <c r="E8" t="s">
        <v>402</v>
      </c>
      <c r="F8">
        <v>1</v>
      </c>
      <c r="G8" s="15">
        <v>46227.40347222222</v>
      </c>
      <c r="H8" t="s">
        <v>354</v>
      </c>
      <c r="I8" t="s">
        <v>369</v>
      </c>
      <c r="J8" t="s">
        <v>239</v>
      </c>
      <c r="K8" t="s">
        <v>348</v>
      </c>
      <c r="L8" t="s">
        <v>369</v>
      </c>
      <c r="M8" t="s">
        <v>239</v>
      </c>
      <c r="O8" t="s">
        <v>90</v>
      </c>
      <c r="P8" t="s">
        <v>354</v>
      </c>
      <c r="Q8" t="s">
        <v>217</v>
      </c>
    </row>
    <row r="9" spans="1:18" x14ac:dyDescent="0.3">
      <c r="A9" t="s">
        <v>348</v>
      </c>
      <c r="B9" t="s">
        <v>43</v>
      </c>
      <c r="C9" t="s">
        <v>105</v>
      </c>
      <c r="D9" s="15">
        <v>46226.328611111108</v>
      </c>
      <c r="E9" t="s">
        <v>402</v>
      </c>
      <c r="F9">
        <v>6</v>
      </c>
      <c r="G9" s="15">
        <v>46227.40347222222</v>
      </c>
      <c r="H9" t="s">
        <v>354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O9" t="s">
        <v>67</v>
      </c>
      <c r="P9" t="s">
        <v>354</v>
      </c>
      <c r="Q9" t="s">
        <v>217</v>
      </c>
    </row>
    <row r="10" spans="1:18" x14ac:dyDescent="0.3">
      <c r="A10" t="s">
        <v>348</v>
      </c>
      <c r="B10" t="s">
        <v>45</v>
      </c>
      <c r="C10" t="s">
        <v>68</v>
      </c>
      <c r="D10" s="15">
        <v>46225.311331018522</v>
      </c>
      <c r="E10" t="s">
        <v>399</v>
      </c>
      <c r="F10">
        <v>3</v>
      </c>
      <c r="G10" s="15">
        <v>46227.42291666667</v>
      </c>
      <c r="H10" t="s">
        <v>354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N10">
        <v>0</v>
      </c>
      <c r="O10" t="s">
        <v>67</v>
      </c>
      <c r="P10" t="s">
        <v>354</v>
      </c>
      <c r="Q10" t="s">
        <v>217</v>
      </c>
      <c r="R10">
        <v>1</v>
      </c>
    </row>
    <row r="11" spans="1:18" x14ac:dyDescent="0.3">
      <c r="A11" t="s">
        <v>348</v>
      </c>
      <c r="B11" t="s">
        <v>45</v>
      </c>
      <c r="C11" t="s">
        <v>68</v>
      </c>
      <c r="D11" s="15">
        <v>46225.310555555552</v>
      </c>
      <c r="E11" t="s">
        <v>399</v>
      </c>
      <c r="F11">
        <v>4</v>
      </c>
      <c r="G11" s="15">
        <v>46227.42291666667</v>
      </c>
      <c r="H11" t="s">
        <v>354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67</v>
      </c>
      <c r="P11" t="s">
        <v>354</v>
      </c>
      <c r="Q11" t="s">
        <v>217</v>
      </c>
    </row>
    <row r="12" spans="1:18" x14ac:dyDescent="0.3">
      <c r="A12" t="s">
        <v>348</v>
      </c>
      <c r="B12" t="s">
        <v>45</v>
      </c>
      <c r="C12" t="s">
        <v>68</v>
      </c>
      <c r="D12" s="15">
        <v>46225.358090277776</v>
      </c>
      <c r="E12" t="s">
        <v>402</v>
      </c>
      <c r="F12">
        <v>26</v>
      </c>
      <c r="G12" s="15">
        <v>46227.5</v>
      </c>
      <c r="H12" t="s">
        <v>353</v>
      </c>
      <c r="I12" t="s">
        <v>368</v>
      </c>
      <c r="J12" t="s">
        <v>239</v>
      </c>
      <c r="K12" t="s">
        <v>348</v>
      </c>
      <c r="L12" t="s">
        <v>369</v>
      </c>
      <c r="M12" t="s">
        <v>239</v>
      </c>
      <c r="O12" t="s">
        <v>67</v>
      </c>
      <c r="P12" t="s">
        <v>353</v>
      </c>
      <c r="Q12" t="s">
        <v>217</v>
      </c>
      <c r="R12">
        <v>1.23</v>
      </c>
    </row>
    <row r="13" spans="1:18" x14ac:dyDescent="0.3">
      <c r="A13" t="s">
        <v>348</v>
      </c>
      <c r="B13" t="s">
        <v>45</v>
      </c>
      <c r="C13" t="s">
        <v>68</v>
      </c>
      <c r="D13" s="15">
        <v>46225.333067129628</v>
      </c>
      <c r="E13" t="s">
        <v>413</v>
      </c>
      <c r="F13">
        <v>8</v>
      </c>
      <c r="G13" s="15">
        <v>46227.5</v>
      </c>
      <c r="H13" t="s">
        <v>353</v>
      </c>
      <c r="I13" t="s">
        <v>368</v>
      </c>
      <c r="J13" t="s">
        <v>239</v>
      </c>
      <c r="K13" t="s">
        <v>348</v>
      </c>
      <c r="L13" t="s">
        <v>369</v>
      </c>
      <c r="M13" t="s">
        <v>239</v>
      </c>
      <c r="N13">
        <v>103</v>
      </c>
      <c r="O13" t="s">
        <v>67</v>
      </c>
      <c r="P13" t="s">
        <v>353</v>
      </c>
      <c r="Q13" t="s">
        <v>217</v>
      </c>
    </row>
    <row r="14" spans="1:18" x14ac:dyDescent="0.3">
      <c r="A14" t="s">
        <v>348</v>
      </c>
      <c r="B14" t="s">
        <v>45</v>
      </c>
      <c r="C14" t="s">
        <v>68</v>
      </c>
      <c r="D14" s="15">
        <v>46225.339780092596</v>
      </c>
      <c r="E14" t="s">
        <v>402</v>
      </c>
      <c r="F14">
        <v>4</v>
      </c>
      <c r="G14" s="15">
        <v>46227.5</v>
      </c>
      <c r="H14" t="s">
        <v>353</v>
      </c>
      <c r="I14" t="s">
        <v>368</v>
      </c>
      <c r="J14" t="s">
        <v>239</v>
      </c>
      <c r="K14" t="s">
        <v>348</v>
      </c>
      <c r="L14" t="s">
        <v>369</v>
      </c>
      <c r="M14" t="s">
        <v>239</v>
      </c>
      <c r="O14" t="s">
        <v>67</v>
      </c>
      <c r="P14" t="s">
        <v>353</v>
      </c>
      <c r="Q14" t="s">
        <v>217</v>
      </c>
    </row>
    <row r="15" spans="1:18" x14ac:dyDescent="0.3">
      <c r="A15" t="s">
        <v>348</v>
      </c>
      <c r="B15" t="s">
        <v>45</v>
      </c>
      <c r="C15" t="s">
        <v>68</v>
      </c>
      <c r="D15" s="15">
        <v>46225.337905092594</v>
      </c>
      <c r="E15" t="s">
        <v>402</v>
      </c>
      <c r="F15">
        <v>2</v>
      </c>
      <c r="G15" s="15">
        <v>46227.5</v>
      </c>
      <c r="H15" t="s">
        <v>353</v>
      </c>
      <c r="I15" t="s">
        <v>368</v>
      </c>
      <c r="J15" t="s">
        <v>239</v>
      </c>
      <c r="K15" t="s">
        <v>348</v>
      </c>
      <c r="L15" t="s">
        <v>369</v>
      </c>
      <c r="M15" t="s">
        <v>239</v>
      </c>
      <c r="O15" t="s">
        <v>67</v>
      </c>
      <c r="P15" t="s">
        <v>353</v>
      </c>
      <c r="Q15" t="s">
        <v>217</v>
      </c>
    </row>
    <row r="16" spans="1:18" x14ac:dyDescent="0.3">
      <c r="A16" t="s">
        <v>348</v>
      </c>
      <c r="B16" t="s">
        <v>45</v>
      </c>
      <c r="C16" t="s">
        <v>68</v>
      </c>
      <c r="D16" s="15">
        <v>46225.337650462963</v>
      </c>
      <c r="E16" t="s">
        <v>402</v>
      </c>
      <c r="F16">
        <v>1</v>
      </c>
      <c r="G16" s="15">
        <v>46227.5</v>
      </c>
      <c r="H16" t="s">
        <v>353</v>
      </c>
      <c r="I16" t="s">
        <v>368</v>
      </c>
      <c r="J16" t="s">
        <v>239</v>
      </c>
      <c r="K16" t="s">
        <v>348</v>
      </c>
      <c r="L16" t="s">
        <v>369</v>
      </c>
      <c r="M16" t="s">
        <v>239</v>
      </c>
      <c r="O16" t="s">
        <v>67</v>
      </c>
      <c r="P16" t="s">
        <v>353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46224.651469907411</v>
      </c>
      <c r="E17" t="s">
        <v>402</v>
      </c>
      <c r="F17">
        <v>16</v>
      </c>
      <c r="G17" s="15">
        <v>46227.5</v>
      </c>
      <c r="H17" t="s">
        <v>353</v>
      </c>
      <c r="I17" t="s">
        <v>368</v>
      </c>
      <c r="J17" t="s">
        <v>239</v>
      </c>
      <c r="K17" t="s">
        <v>348</v>
      </c>
      <c r="L17" t="s">
        <v>369</v>
      </c>
      <c r="M17" t="s">
        <v>239</v>
      </c>
      <c r="O17" t="s">
        <v>67</v>
      </c>
      <c r="P17" t="s">
        <v>353</v>
      </c>
      <c r="Q17" t="s">
        <v>217</v>
      </c>
    </row>
    <row r="18" spans="1:18" x14ac:dyDescent="0.3">
      <c r="A18" t="s">
        <v>348</v>
      </c>
      <c r="B18" t="s">
        <v>45</v>
      </c>
      <c r="C18" t="s">
        <v>68</v>
      </c>
      <c r="D18" s="15">
        <v>46224.65053240741</v>
      </c>
      <c r="E18" t="s">
        <v>402</v>
      </c>
      <c r="F18">
        <v>6</v>
      </c>
      <c r="G18" s="15">
        <v>46227.5</v>
      </c>
      <c r="H18" t="s">
        <v>353</v>
      </c>
      <c r="I18" t="s">
        <v>368</v>
      </c>
      <c r="J18" t="s">
        <v>239</v>
      </c>
      <c r="K18" t="s">
        <v>348</v>
      </c>
      <c r="L18" t="s">
        <v>369</v>
      </c>
      <c r="M18" t="s">
        <v>239</v>
      </c>
      <c r="O18" t="s">
        <v>67</v>
      </c>
      <c r="P18" t="s">
        <v>353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46225.340196759258</v>
      </c>
      <c r="E19" t="s">
        <v>402</v>
      </c>
      <c r="F19">
        <v>3</v>
      </c>
      <c r="G19" s="15">
        <v>46227.5</v>
      </c>
      <c r="H19" t="s">
        <v>353</v>
      </c>
      <c r="I19" t="s">
        <v>368</v>
      </c>
      <c r="J19" t="s">
        <v>239</v>
      </c>
      <c r="K19" t="s">
        <v>348</v>
      </c>
      <c r="L19" t="s">
        <v>369</v>
      </c>
      <c r="M19" t="s">
        <v>239</v>
      </c>
      <c r="O19" t="s">
        <v>67</v>
      </c>
      <c r="P19" t="s">
        <v>353</v>
      </c>
      <c r="Q19" t="s">
        <v>217</v>
      </c>
    </row>
    <row r="20" spans="1:18" x14ac:dyDescent="0.3">
      <c r="A20" t="s">
        <v>348</v>
      </c>
      <c r="B20" t="s">
        <v>45</v>
      </c>
      <c r="C20" t="s">
        <v>68</v>
      </c>
      <c r="D20" s="15">
        <v>46225.340752314813</v>
      </c>
      <c r="E20" t="s">
        <v>402</v>
      </c>
      <c r="F20">
        <v>3</v>
      </c>
      <c r="G20" s="15">
        <v>46227.5</v>
      </c>
      <c r="H20" t="s">
        <v>353</v>
      </c>
      <c r="I20" t="s">
        <v>368</v>
      </c>
      <c r="J20" t="s">
        <v>239</v>
      </c>
      <c r="K20" t="s">
        <v>348</v>
      </c>
      <c r="L20" t="s">
        <v>369</v>
      </c>
      <c r="M20" t="s">
        <v>239</v>
      </c>
      <c r="O20" t="s">
        <v>67</v>
      </c>
      <c r="P20" t="s">
        <v>353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46225.341481481482</v>
      </c>
      <c r="E21" t="s">
        <v>402</v>
      </c>
      <c r="F21">
        <v>11</v>
      </c>
      <c r="G21" s="15">
        <v>46227.5</v>
      </c>
      <c r="H21" t="s">
        <v>353</v>
      </c>
      <c r="I21" t="s">
        <v>368</v>
      </c>
      <c r="J21" t="s">
        <v>239</v>
      </c>
      <c r="K21" t="s">
        <v>348</v>
      </c>
      <c r="L21" t="s">
        <v>369</v>
      </c>
      <c r="M21" t="s">
        <v>239</v>
      </c>
      <c r="O21" t="s">
        <v>67</v>
      </c>
      <c r="P21" t="s">
        <v>353</v>
      </c>
      <c r="Q21" t="s">
        <v>217</v>
      </c>
    </row>
    <row r="22" spans="1:18" x14ac:dyDescent="0.3">
      <c r="A22" t="s">
        <v>348</v>
      </c>
      <c r="B22" t="s">
        <v>45</v>
      </c>
      <c r="C22" t="s">
        <v>68</v>
      </c>
      <c r="D22" s="15">
        <v>46224.403738425928</v>
      </c>
      <c r="E22" t="s">
        <v>404</v>
      </c>
      <c r="F22">
        <v>50</v>
      </c>
      <c r="G22" s="15">
        <v>46227.503472222219</v>
      </c>
      <c r="H22" t="s">
        <v>358</v>
      </c>
      <c r="I22" t="s">
        <v>370</v>
      </c>
      <c r="J22" t="s">
        <v>239</v>
      </c>
      <c r="K22" t="s">
        <v>348</v>
      </c>
      <c r="L22" t="s">
        <v>369</v>
      </c>
      <c r="M22" t="s">
        <v>239</v>
      </c>
      <c r="N22">
        <v>0</v>
      </c>
      <c r="O22" t="s">
        <v>67</v>
      </c>
      <c r="P22" t="s">
        <v>358</v>
      </c>
      <c r="Q22" t="s">
        <v>217</v>
      </c>
      <c r="R22">
        <v>1</v>
      </c>
    </row>
    <row r="23" spans="1:18" x14ac:dyDescent="0.3">
      <c r="A23" t="s">
        <v>348</v>
      </c>
      <c r="B23" t="s">
        <v>48</v>
      </c>
      <c r="C23" t="s">
        <v>68</v>
      </c>
      <c r="D23" s="15">
        <v>46226.544976851852</v>
      </c>
      <c r="E23" t="s">
        <v>404</v>
      </c>
      <c r="F23">
        <v>1</v>
      </c>
      <c r="G23" s="15">
        <v>46230.449305555558</v>
      </c>
      <c r="H23" t="s">
        <v>358</v>
      </c>
      <c r="I23" t="s">
        <v>370</v>
      </c>
      <c r="J23" t="s">
        <v>239</v>
      </c>
      <c r="K23" t="s">
        <v>348</v>
      </c>
      <c r="L23" t="s">
        <v>369</v>
      </c>
      <c r="M23" t="s">
        <v>239</v>
      </c>
      <c r="N23">
        <v>0</v>
      </c>
      <c r="O23" t="s">
        <v>90</v>
      </c>
      <c r="P23" t="s">
        <v>358</v>
      </c>
      <c r="Q23" t="s">
        <v>217</v>
      </c>
      <c r="R23">
        <v>1</v>
      </c>
    </row>
    <row r="24" spans="1:18" x14ac:dyDescent="0.3">
      <c r="A24" t="s">
        <v>348</v>
      </c>
      <c r="B24" t="s">
        <v>48</v>
      </c>
      <c r="C24" t="s">
        <v>68</v>
      </c>
      <c r="D24" s="15">
        <v>46224.674085648148</v>
      </c>
      <c r="E24" t="s">
        <v>402</v>
      </c>
      <c r="F24">
        <v>1</v>
      </c>
      <c r="G24" s="15">
        <v>46230.489583333336</v>
      </c>
      <c r="H24" t="s">
        <v>354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N24">
        <v>0</v>
      </c>
      <c r="O24" t="s">
        <v>90</v>
      </c>
      <c r="P24" t="s">
        <v>354</v>
      </c>
      <c r="Q24" t="s">
        <v>217</v>
      </c>
      <c r="R24">
        <v>1</v>
      </c>
    </row>
    <row r="25" spans="1:18" x14ac:dyDescent="0.3">
      <c r="A25" t="s">
        <v>348</v>
      </c>
      <c r="B25" t="s">
        <v>48</v>
      </c>
      <c r="C25" t="s">
        <v>68</v>
      </c>
      <c r="D25" s="15">
        <v>46226.405069444445</v>
      </c>
      <c r="E25" t="s">
        <v>401</v>
      </c>
      <c r="F25">
        <v>2</v>
      </c>
      <c r="G25" s="15">
        <v>46230.652777777781</v>
      </c>
      <c r="H25" t="s">
        <v>357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N25">
        <v>0</v>
      </c>
      <c r="O25" t="s">
        <v>90</v>
      </c>
      <c r="P25" t="s">
        <v>357</v>
      </c>
      <c r="Q25" t="s">
        <v>217</v>
      </c>
      <c r="R25">
        <v>1</v>
      </c>
    </row>
    <row r="26" spans="1:18" x14ac:dyDescent="0.3">
      <c r="A26" t="s">
        <v>348</v>
      </c>
      <c r="B26" t="s">
        <v>48</v>
      </c>
      <c r="C26" t="s">
        <v>68</v>
      </c>
      <c r="D26" s="15">
        <v>46213.750648148147</v>
      </c>
      <c r="E26" t="s">
        <v>402</v>
      </c>
      <c r="F26">
        <v>5</v>
      </c>
      <c r="G26" s="15">
        <v>46231.397222222222</v>
      </c>
      <c r="H26" t="s">
        <v>355</v>
      </c>
      <c r="I26" t="s">
        <v>369</v>
      </c>
      <c r="J26" t="s">
        <v>239</v>
      </c>
      <c r="K26" t="s">
        <v>348</v>
      </c>
      <c r="L26" t="s">
        <v>369</v>
      </c>
      <c r="M26" t="s">
        <v>239</v>
      </c>
      <c r="N26">
        <v>0</v>
      </c>
      <c r="O26" t="s">
        <v>90</v>
      </c>
      <c r="P26" t="s">
        <v>355</v>
      </c>
      <c r="Q26" t="s">
        <v>217</v>
      </c>
      <c r="R26">
        <v>1</v>
      </c>
    </row>
    <row r="27" spans="1:18" x14ac:dyDescent="0.3">
      <c r="A27" t="s">
        <v>348</v>
      </c>
      <c r="B27" t="s">
        <v>43</v>
      </c>
      <c r="C27" t="s">
        <v>105</v>
      </c>
      <c r="D27" s="15">
        <v>46227.579050925924</v>
      </c>
      <c r="E27" t="s">
        <v>402</v>
      </c>
      <c r="F27">
        <v>2</v>
      </c>
      <c r="G27" s="15">
        <v>46231.416666666664</v>
      </c>
      <c r="H27" t="s">
        <v>354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67</v>
      </c>
      <c r="P27" t="s">
        <v>354</v>
      </c>
      <c r="Q27" t="s">
        <v>217</v>
      </c>
      <c r="R27">
        <v>1</v>
      </c>
    </row>
    <row r="28" spans="1:18" x14ac:dyDescent="0.3">
      <c r="A28" t="s">
        <v>348</v>
      </c>
      <c r="B28" t="s">
        <v>45</v>
      </c>
      <c r="C28" t="s">
        <v>68</v>
      </c>
      <c r="D28" s="15">
        <v>46230.441238425927</v>
      </c>
      <c r="E28" t="s">
        <v>398</v>
      </c>
      <c r="F28">
        <v>3</v>
      </c>
      <c r="G28" s="15">
        <v>46231.431944444441</v>
      </c>
      <c r="H28" t="s">
        <v>353</v>
      </c>
      <c r="I28" t="s">
        <v>368</v>
      </c>
      <c r="J28" t="s">
        <v>239</v>
      </c>
      <c r="K28" t="s">
        <v>348</v>
      </c>
      <c r="L28" t="s">
        <v>369</v>
      </c>
      <c r="M28" t="s">
        <v>239</v>
      </c>
      <c r="N28">
        <v>103</v>
      </c>
      <c r="O28" t="s">
        <v>67</v>
      </c>
      <c r="P28" t="s">
        <v>353</v>
      </c>
      <c r="Q28" t="s">
        <v>217</v>
      </c>
    </row>
    <row r="29" spans="1:18" x14ac:dyDescent="0.3">
      <c r="A29" t="s">
        <v>348</v>
      </c>
      <c r="B29" t="s">
        <v>45</v>
      </c>
      <c r="C29" t="s">
        <v>68</v>
      </c>
      <c r="D29" s="15">
        <v>46230.439814814818</v>
      </c>
      <c r="E29" t="s">
        <v>398</v>
      </c>
      <c r="F29">
        <v>4</v>
      </c>
      <c r="G29" s="15">
        <v>46231.431944444441</v>
      </c>
      <c r="H29" t="s">
        <v>353</v>
      </c>
      <c r="I29" t="s">
        <v>368</v>
      </c>
      <c r="J29" t="s">
        <v>239</v>
      </c>
      <c r="K29" t="s">
        <v>348</v>
      </c>
      <c r="L29" t="s">
        <v>369</v>
      </c>
      <c r="M29" t="s">
        <v>239</v>
      </c>
      <c r="O29" t="s">
        <v>67</v>
      </c>
      <c r="P29" t="s">
        <v>353</v>
      </c>
      <c r="Q29" t="s">
        <v>217</v>
      </c>
    </row>
    <row r="30" spans="1:18" x14ac:dyDescent="0.3">
      <c r="A30" t="s">
        <v>348</v>
      </c>
      <c r="B30" t="s">
        <v>45</v>
      </c>
      <c r="C30" t="s">
        <v>68</v>
      </c>
      <c r="D30" s="15">
        <v>46223.488009259258</v>
      </c>
      <c r="E30" t="s">
        <v>398</v>
      </c>
      <c r="F30">
        <v>2</v>
      </c>
      <c r="G30" s="15">
        <v>46231.451388888891</v>
      </c>
      <c r="H30" t="s">
        <v>353</v>
      </c>
      <c r="I30" t="s">
        <v>368</v>
      </c>
      <c r="J30" t="s">
        <v>239</v>
      </c>
      <c r="K30" t="s">
        <v>348</v>
      </c>
      <c r="L30" t="s">
        <v>369</v>
      </c>
      <c r="M30" t="s">
        <v>239</v>
      </c>
      <c r="N30">
        <v>103</v>
      </c>
      <c r="O30" t="s">
        <v>67</v>
      </c>
      <c r="P30" t="s">
        <v>353</v>
      </c>
      <c r="Q30" t="s">
        <v>217</v>
      </c>
    </row>
    <row r="31" spans="1:18" x14ac:dyDescent="0.3">
      <c r="A31" t="s">
        <v>348</v>
      </c>
      <c r="B31" t="s">
        <v>45</v>
      </c>
      <c r="C31" t="s">
        <v>68</v>
      </c>
      <c r="D31" s="15">
        <v>46223.487222222226</v>
      </c>
      <c r="E31" t="s">
        <v>398</v>
      </c>
      <c r="F31">
        <v>1</v>
      </c>
      <c r="G31" s="15">
        <v>46231.451388888891</v>
      </c>
      <c r="H31" t="s">
        <v>353</v>
      </c>
      <c r="I31" t="s">
        <v>368</v>
      </c>
      <c r="J31" t="s">
        <v>239</v>
      </c>
      <c r="K31" t="s">
        <v>348</v>
      </c>
      <c r="L31" t="s">
        <v>369</v>
      </c>
      <c r="M31" t="s">
        <v>239</v>
      </c>
      <c r="O31" t="s">
        <v>67</v>
      </c>
      <c r="P31" t="s">
        <v>353</v>
      </c>
      <c r="Q31" t="s">
        <v>217</v>
      </c>
    </row>
    <row r="32" spans="1:18" x14ac:dyDescent="0.3">
      <c r="A32" t="s">
        <v>348</v>
      </c>
      <c r="B32" t="s">
        <v>45</v>
      </c>
      <c r="C32" t="s">
        <v>68</v>
      </c>
      <c r="D32" s="15">
        <v>46225.582372685189</v>
      </c>
      <c r="E32" t="s">
        <v>398</v>
      </c>
      <c r="F32">
        <v>3</v>
      </c>
      <c r="G32" s="15">
        <v>46231.455555555556</v>
      </c>
      <c r="H32" t="s">
        <v>353</v>
      </c>
      <c r="I32" t="s">
        <v>368</v>
      </c>
      <c r="J32" t="s">
        <v>239</v>
      </c>
      <c r="K32" t="s">
        <v>348</v>
      </c>
      <c r="L32" t="s">
        <v>369</v>
      </c>
      <c r="M32" t="s">
        <v>239</v>
      </c>
      <c r="N32">
        <v>103</v>
      </c>
      <c r="O32" t="s">
        <v>67</v>
      </c>
      <c r="P32" t="s">
        <v>353</v>
      </c>
      <c r="Q32" t="s">
        <v>217</v>
      </c>
      <c r="R32">
        <v>1</v>
      </c>
    </row>
    <row r="33" spans="1:18" x14ac:dyDescent="0.3">
      <c r="A33" t="s">
        <v>348</v>
      </c>
      <c r="B33" t="s">
        <v>45</v>
      </c>
      <c r="C33" t="s">
        <v>68</v>
      </c>
      <c r="D33" s="15">
        <v>46225.581944444442</v>
      </c>
      <c r="E33" t="s">
        <v>398</v>
      </c>
      <c r="F33">
        <v>1</v>
      </c>
      <c r="G33" s="15">
        <v>46231.455555555556</v>
      </c>
      <c r="H33" t="s">
        <v>353</v>
      </c>
      <c r="I33" t="s">
        <v>368</v>
      </c>
      <c r="J33" t="s">
        <v>239</v>
      </c>
      <c r="K33" t="s">
        <v>348</v>
      </c>
      <c r="L33" t="s">
        <v>369</v>
      </c>
      <c r="M33" t="s">
        <v>239</v>
      </c>
      <c r="O33" t="s">
        <v>67</v>
      </c>
      <c r="P33" t="s">
        <v>353</v>
      </c>
      <c r="Q33" t="s">
        <v>217</v>
      </c>
    </row>
    <row r="34" spans="1:18" x14ac:dyDescent="0.3">
      <c r="A34" t="s">
        <v>348</v>
      </c>
      <c r="B34" t="s">
        <v>45</v>
      </c>
      <c r="C34" t="s">
        <v>68</v>
      </c>
      <c r="D34" s="15">
        <v>46225.581226851849</v>
      </c>
      <c r="E34" t="s">
        <v>398</v>
      </c>
      <c r="F34">
        <v>3</v>
      </c>
      <c r="G34" s="15">
        <v>46231.455555555556</v>
      </c>
      <c r="H34" t="s">
        <v>353</v>
      </c>
      <c r="I34" t="s">
        <v>368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353</v>
      </c>
      <c r="Q34" t="s">
        <v>217</v>
      </c>
    </row>
    <row r="35" spans="1:18" x14ac:dyDescent="0.3">
      <c r="A35" t="s">
        <v>348</v>
      </c>
      <c r="B35" t="s">
        <v>43</v>
      </c>
      <c r="C35" t="s">
        <v>105</v>
      </c>
      <c r="D35" s="15">
        <v>46226.43414351852</v>
      </c>
      <c r="E35" t="s">
        <v>1227</v>
      </c>
      <c r="F35">
        <v>1</v>
      </c>
      <c r="G35" s="15">
        <v>46231.455555555556</v>
      </c>
      <c r="H35" t="s">
        <v>353</v>
      </c>
      <c r="I35" t="s">
        <v>368</v>
      </c>
      <c r="J35" t="s">
        <v>239</v>
      </c>
      <c r="K35" t="s">
        <v>348</v>
      </c>
      <c r="L35" t="s">
        <v>369</v>
      </c>
      <c r="M35" t="s">
        <v>239</v>
      </c>
      <c r="O35" t="s">
        <v>67</v>
      </c>
      <c r="P35" t="s">
        <v>353</v>
      </c>
      <c r="Q35" t="s">
        <v>217</v>
      </c>
    </row>
    <row r="36" spans="1:18" x14ac:dyDescent="0.3">
      <c r="A36" t="s">
        <v>348</v>
      </c>
      <c r="B36" t="s">
        <v>45</v>
      </c>
      <c r="C36" t="s">
        <v>68</v>
      </c>
      <c r="D36" s="15">
        <v>46230.391215277778</v>
      </c>
      <c r="E36" t="s">
        <v>403</v>
      </c>
      <c r="F36">
        <v>15</v>
      </c>
      <c r="G36" s="15">
        <v>46231.458333333336</v>
      </c>
      <c r="H36" t="s">
        <v>356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N36">
        <v>0</v>
      </c>
      <c r="O36" t="s">
        <v>67</v>
      </c>
      <c r="P36" t="s">
        <v>356</v>
      </c>
      <c r="Q36" t="s">
        <v>217</v>
      </c>
      <c r="R36">
        <v>1</v>
      </c>
    </row>
    <row r="37" spans="1:18" x14ac:dyDescent="0.3">
      <c r="A37" t="s">
        <v>348</v>
      </c>
      <c r="B37" t="s">
        <v>48</v>
      </c>
      <c r="C37" t="s">
        <v>68</v>
      </c>
      <c r="D37" s="15">
        <v>46231.307928240742</v>
      </c>
      <c r="E37" t="s">
        <v>401</v>
      </c>
      <c r="F37">
        <v>1</v>
      </c>
      <c r="G37" s="15">
        <v>46232.486111111109</v>
      </c>
      <c r="H37" t="s">
        <v>357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N37">
        <v>0</v>
      </c>
      <c r="O37" t="s">
        <v>90</v>
      </c>
      <c r="P37" t="s">
        <v>357</v>
      </c>
      <c r="Q37" t="s">
        <v>217</v>
      </c>
      <c r="R37">
        <v>1</v>
      </c>
    </row>
    <row r="38" spans="1:18" x14ac:dyDescent="0.3">
      <c r="A38" t="s">
        <v>348</v>
      </c>
      <c r="B38" t="s">
        <v>45</v>
      </c>
      <c r="C38" t="s">
        <v>68</v>
      </c>
      <c r="D38" s="15">
        <v>46230.325821759259</v>
      </c>
      <c r="E38" t="s">
        <v>408</v>
      </c>
      <c r="F38">
        <v>22</v>
      </c>
      <c r="G38" s="15">
        <v>46232.520833333336</v>
      </c>
      <c r="H38" t="s">
        <v>358</v>
      </c>
      <c r="I38" t="s">
        <v>370</v>
      </c>
      <c r="J38" t="s">
        <v>239</v>
      </c>
      <c r="K38" t="s">
        <v>348</v>
      </c>
      <c r="L38" t="s">
        <v>369</v>
      </c>
      <c r="M38" t="s">
        <v>239</v>
      </c>
      <c r="N38">
        <v>0</v>
      </c>
      <c r="O38" t="s">
        <v>67</v>
      </c>
      <c r="P38" t="s">
        <v>358</v>
      </c>
      <c r="Q38" t="s">
        <v>217</v>
      </c>
      <c r="R38">
        <v>1</v>
      </c>
    </row>
    <row r="39" spans="1:18" x14ac:dyDescent="0.3">
      <c r="A39" t="s">
        <v>348</v>
      </c>
      <c r="B39" t="s">
        <v>45</v>
      </c>
      <c r="C39" t="s">
        <v>68</v>
      </c>
      <c r="D39" s="15">
        <v>46230.398877314816</v>
      </c>
      <c r="E39" t="s">
        <v>403</v>
      </c>
      <c r="F39">
        <v>10</v>
      </c>
      <c r="G39" s="15">
        <v>46232.696527777778</v>
      </c>
      <c r="H39" t="s">
        <v>356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O39" t="s">
        <v>67</v>
      </c>
      <c r="P39" t="s">
        <v>356</v>
      </c>
      <c r="Q39" t="s">
        <v>217</v>
      </c>
      <c r="R39">
        <v>1</v>
      </c>
    </row>
    <row r="40" spans="1:18" x14ac:dyDescent="0.3">
      <c r="A40" t="s">
        <v>348</v>
      </c>
      <c r="B40" t="s">
        <v>45</v>
      </c>
      <c r="C40" t="s">
        <v>68</v>
      </c>
      <c r="D40" s="15">
        <v>46231.659247685187</v>
      </c>
      <c r="E40" t="s">
        <v>1058</v>
      </c>
      <c r="F40">
        <v>13</v>
      </c>
      <c r="G40" s="15">
        <v>46233.416666666664</v>
      </c>
      <c r="H40" t="s">
        <v>355</v>
      </c>
      <c r="I40" t="s">
        <v>369</v>
      </c>
      <c r="J40" t="s">
        <v>239</v>
      </c>
      <c r="K40" t="s">
        <v>348</v>
      </c>
      <c r="L40" t="s">
        <v>369</v>
      </c>
      <c r="M40" t="s">
        <v>239</v>
      </c>
      <c r="N40">
        <v>0</v>
      </c>
      <c r="O40" t="s">
        <v>67</v>
      </c>
      <c r="P40" t="s">
        <v>355</v>
      </c>
      <c r="Q40" t="s">
        <v>217</v>
      </c>
      <c r="R40">
        <v>1</v>
      </c>
    </row>
    <row r="41" spans="1:18" x14ac:dyDescent="0.3">
      <c r="A41" t="s">
        <v>348</v>
      </c>
      <c r="B41" t="s">
        <v>45</v>
      </c>
      <c r="C41" t="s">
        <v>68</v>
      </c>
      <c r="D41" s="15">
        <v>46231.635254629633</v>
      </c>
      <c r="E41" t="s">
        <v>1058</v>
      </c>
      <c r="F41">
        <v>6</v>
      </c>
      <c r="G41" s="15">
        <v>46233.416666666664</v>
      </c>
      <c r="H41" t="s">
        <v>355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O41" t="s">
        <v>67</v>
      </c>
      <c r="P41" t="s">
        <v>355</v>
      </c>
      <c r="Q41" t="s">
        <v>217</v>
      </c>
    </row>
    <row r="42" spans="1:18" x14ac:dyDescent="0.3">
      <c r="A42" t="s">
        <v>348</v>
      </c>
      <c r="B42" t="s">
        <v>45</v>
      </c>
      <c r="C42" t="s">
        <v>68</v>
      </c>
      <c r="D42" s="15">
        <v>46231.634583333333</v>
      </c>
      <c r="E42" t="s">
        <v>1058</v>
      </c>
      <c r="F42">
        <v>4</v>
      </c>
      <c r="G42" s="15">
        <v>46233.416666666664</v>
      </c>
      <c r="H42" t="s">
        <v>355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O42" t="s">
        <v>67</v>
      </c>
      <c r="P42" t="s">
        <v>355</v>
      </c>
      <c r="Q42" t="s">
        <v>217</v>
      </c>
    </row>
    <row r="43" spans="1:18" x14ac:dyDescent="0.3">
      <c r="A43" t="s">
        <v>348</v>
      </c>
      <c r="B43" t="s">
        <v>45</v>
      </c>
      <c r="C43" t="s">
        <v>68</v>
      </c>
      <c r="D43" s="15">
        <v>46231.633784722224</v>
      </c>
      <c r="E43" t="s">
        <v>1058</v>
      </c>
      <c r="F43">
        <v>4</v>
      </c>
      <c r="G43" s="15">
        <v>46233.416666666664</v>
      </c>
      <c r="H43" t="s">
        <v>355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O43" t="s">
        <v>67</v>
      </c>
      <c r="P43" t="s">
        <v>355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46231.632465277777</v>
      </c>
      <c r="E44" t="s">
        <v>1058</v>
      </c>
      <c r="F44">
        <v>1</v>
      </c>
      <c r="G44" s="15">
        <v>46233.416666666664</v>
      </c>
      <c r="H44" t="s">
        <v>355</v>
      </c>
      <c r="I44" t="s">
        <v>369</v>
      </c>
      <c r="J44" t="s">
        <v>239</v>
      </c>
      <c r="K44" t="s">
        <v>348</v>
      </c>
      <c r="L44" t="s">
        <v>369</v>
      </c>
      <c r="M44" t="s">
        <v>239</v>
      </c>
      <c r="O44" t="s">
        <v>67</v>
      </c>
      <c r="P44" t="s">
        <v>355</v>
      </c>
      <c r="Q44" t="s">
        <v>217</v>
      </c>
    </row>
    <row r="45" spans="1:18" x14ac:dyDescent="0.3">
      <c r="A45" t="s">
        <v>348</v>
      </c>
      <c r="B45" t="s">
        <v>45</v>
      </c>
      <c r="C45" t="s">
        <v>68</v>
      </c>
      <c r="D45" s="15">
        <v>46231.631620370368</v>
      </c>
      <c r="E45" t="s">
        <v>402</v>
      </c>
      <c r="F45">
        <v>1</v>
      </c>
      <c r="G45" s="15">
        <v>46233.416666666664</v>
      </c>
      <c r="H45" t="s">
        <v>355</v>
      </c>
      <c r="I45" t="s">
        <v>369</v>
      </c>
      <c r="J45" t="s">
        <v>239</v>
      </c>
      <c r="K45" t="s">
        <v>348</v>
      </c>
      <c r="L45" t="s">
        <v>369</v>
      </c>
      <c r="M45" t="s">
        <v>239</v>
      </c>
      <c r="O45" t="s">
        <v>67</v>
      </c>
      <c r="P45" t="s">
        <v>355</v>
      </c>
      <c r="Q45" t="s">
        <v>217</v>
      </c>
    </row>
    <row r="46" spans="1:18" x14ac:dyDescent="0.3">
      <c r="A46" t="s">
        <v>348</v>
      </c>
      <c r="B46" t="s">
        <v>43</v>
      </c>
      <c r="C46" t="s">
        <v>105</v>
      </c>
      <c r="D46" s="15">
        <v>46232.641296296293</v>
      </c>
      <c r="E46" t="s">
        <v>401</v>
      </c>
      <c r="F46">
        <v>3</v>
      </c>
      <c r="G46" s="15">
        <v>46233.513888888891</v>
      </c>
      <c r="H46" t="s">
        <v>357</v>
      </c>
      <c r="I46" t="s">
        <v>369</v>
      </c>
      <c r="J46" t="s">
        <v>239</v>
      </c>
      <c r="K46" t="s">
        <v>348</v>
      </c>
      <c r="L46" t="s">
        <v>369</v>
      </c>
      <c r="M46" t="s">
        <v>239</v>
      </c>
      <c r="N46">
        <v>0</v>
      </c>
      <c r="O46" t="s">
        <v>67</v>
      </c>
      <c r="P46" t="s">
        <v>357</v>
      </c>
      <c r="Q46" t="s">
        <v>217</v>
      </c>
      <c r="R46">
        <v>1</v>
      </c>
    </row>
    <row r="47" spans="1:18" x14ac:dyDescent="0.3">
      <c r="A47" t="s">
        <v>348</v>
      </c>
      <c r="B47" t="s">
        <v>48</v>
      </c>
      <c r="C47" t="s">
        <v>68</v>
      </c>
      <c r="D47" s="15">
        <v>46227.725787037038</v>
      </c>
      <c r="E47" t="s">
        <v>403</v>
      </c>
      <c r="F47">
        <v>16</v>
      </c>
      <c r="G47" s="15">
        <v>46234.413194444445</v>
      </c>
      <c r="H47" t="s">
        <v>356</v>
      </c>
      <c r="I47" t="s">
        <v>369</v>
      </c>
      <c r="J47" t="s">
        <v>239</v>
      </c>
      <c r="K47" t="s">
        <v>348</v>
      </c>
      <c r="L47" t="s">
        <v>369</v>
      </c>
      <c r="M47" t="s">
        <v>239</v>
      </c>
      <c r="N47">
        <v>0</v>
      </c>
      <c r="O47" t="s">
        <v>90</v>
      </c>
      <c r="P47" t="s">
        <v>356</v>
      </c>
      <c r="Q47" t="s">
        <v>217</v>
      </c>
      <c r="R47">
        <v>1</v>
      </c>
    </row>
    <row r="48" spans="1:18" x14ac:dyDescent="0.3">
      <c r="A48" t="s">
        <v>348</v>
      </c>
      <c r="B48" t="s">
        <v>48</v>
      </c>
      <c r="C48" t="s">
        <v>68</v>
      </c>
      <c r="D48" s="15">
        <v>46227.576932870368</v>
      </c>
      <c r="E48" t="s">
        <v>402</v>
      </c>
      <c r="F48">
        <v>1</v>
      </c>
      <c r="G48" s="15">
        <v>46234.439583333333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N48">
        <v>0</v>
      </c>
      <c r="O48" t="s">
        <v>90</v>
      </c>
      <c r="P48" t="s">
        <v>354</v>
      </c>
      <c r="Q48" t="s">
        <v>217</v>
      </c>
      <c r="R48">
        <v>1</v>
      </c>
    </row>
    <row r="49" spans="1:18" x14ac:dyDescent="0.3">
      <c r="A49" t="s">
        <v>348</v>
      </c>
      <c r="B49" t="s">
        <v>47</v>
      </c>
      <c r="C49" t="s">
        <v>68</v>
      </c>
      <c r="D49" s="15">
        <v>46233.500243055554</v>
      </c>
      <c r="E49" t="s">
        <v>401</v>
      </c>
      <c r="F49">
        <v>2</v>
      </c>
      <c r="G49" s="15">
        <v>46234.449305555558</v>
      </c>
      <c r="H49" t="s">
        <v>357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N49">
        <v>0</v>
      </c>
      <c r="O49" t="s">
        <v>90</v>
      </c>
      <c r="P49" t="s">
        <v>357</v>
      </c>
      <c r="Q49" t="s">
        <v>218</v>
      </c>
      <c r="R49">
        <v>1</v>
      </c>
    </row>
    <row r="50" spans="1:18" x14ac:dyDescent="0.3">
      <c r="A50" t="s">
        <v>348</v>
      </c>
      <c r="B50" t="s">
        <v>48</v>
      </c>
      <c r="C50" t="s">
        <v>68</v>
      </c>
      <c r="D50" s="15">
        <v>46224.393900462965</v>
      </c>
      <c r="E50" t="s">
        <v>401</v>
      </c>
      <c r="F50">
        <v>1</v>
      </c>
      <c r="G50" s="15">
        <v>46234.497916666667</v>
      </c>
      <c r="H50" t="s">
        <v>357</v>
      </c>
      <c r="I50" t="s">
        <v>369</v>
      </c>
      <c r="J50" t="s">
        <v>239</v>
      </c>
      <c r="K50" t="s">
        <v>348</v>
      </c>
      <c r="L50" t="s">
        <v>369</v>
      </c>
      <c r="M50" t="s">
        <v>239</v>
      </c>
      <c r="N50">
        <v>0</v>
      </c>
      <c r="O50" t="s">
        <v>90</v>
      </c>
      <c r="P50" t="s">
        <v>357</v>
      </c>
      <c r="Q50" t="s">
        <v>217</v>
      </c>
      <c r="R50">
        <v>1</v>
      </c>
    </row>
    <row r="51" spans="1:18" x14ac:dyDescent="0.3">
      <c r="A51" t="s">
        <v>348</v>
      </c>
      <c r="B51" t="s">
        <v>45</v>
      </c>
      <c r="C51" t="s">
        <v>68</v>
      </c>
      <c r="D51" s="15">
        <v>46233.473078703704</v>
      </c>
      <c r="E51" t="s">
        <v>398</v>
      </c>
      <c r="F51">
        <v>3</v>
      </c>
      <c r="G51" s="15">
        <v>46237.458333333336</v>
      </c>
      <c r="H51" t="s">
        <v>353</v>
      </c>
      <c r="I51" t="s">
        <v>368</v>
      </c>
      <c r="J51" t="s">
        <v>239</v>
      </c>
      <c r="K51" t="s">
        <v>348</v>
      </c>
      <c r="L51" t="s">
        <v>369</v>
      </c>
      <c r="M51" t="s">
        <v>239</v>
      </c>
      <c r="N51">
        <v>103</v>
      </c>
      <c r="O51" t="s">
        <v>67</v>
      </c>
      <c r="P51" t="s">
        <v>353</v>
      </c>
      <c r="Q51" t="s">
        <v>217</v>
      </c>
      <c r="R51">
        <v>1</v>
      </c>
    </row>
    <row r="52" spans="1:18" x14ac:dyDescent="0.3">
      <c r="A52" t="s">
        <v>348</v>
      </c>
      <c r="B52" t="s">
        <v>45</v>
      </c>
      <c r="C52" t="s">
        <v>68</v>
      </c>
      <c r="D52" s="15">
        <v>46233.472222222219</v>
      </c>
      <c r="E52" t="s">
        <v>398</v>
      </c>
      <c r="F52">
        <v>2</v>
      </c>
      <c r="G52" s="15">
        <v>46237.458333333336</v>
      </c>
      <c r="H52" t="s">
        <v>353</v>
      </c>
      <c r="I52" t="s">
        <v>368</v>
      </c>
      <c r="J52" t="s">
        <v>239</v>
      </c>
      <c r="K52" t="s">
        <v>348</v>
      </c>
      <c r="L52" t="s">
        <v>369</v>
      </c>
      <c r="M52" t="s">
        <v>239</v>
      </c>
      <c r="O52" t="s">
        <v>67</v>
      </c>
      <c r="P52" t="s">
        <v>353</v>
      </c>
      <c r="Q52" t="s">
        <v>217</v>
      </c>
    </row>
    <row r="53" spans="1:18" x14ac:dyDescent="0.3">
      <c r="A53" t="s">
        <v>348</v>
      </c>
      <c r="B53" t="s">
        <v>45</v>
      </c>
      <c r="C53" t="s">
        <v>68</v>
      </c>
      <c r="D53" s="15">
        <v>46233.471770833334</v>
      </c>
      <c r="E53" t="s">
        <v>398</v>
      </c>
      <c r="F53">
        <v>3</v>
      </c>
      <c r="G53" s="15">
        <v>46237.458333333336</v>
      </c>
      <c r="H53" t="s">
        <v>353</v>
      </c>
      <c r="I53" t="s">
        <v>368</v>
      </c>
      <c r="J53" t="s">
        <v>239</v>
      </c>
      <c r="K53" t="s">
        <v>348</v>
      </c>
      <c r="L53" t="s">
        <v>369</v>
      </c>
      <c r="M53" t="s">
        <v>239</v>
      </c>
      <c r="O53" t="s">
        <v>67</v>
      </c>
      <c r="P53" t="s">
        <v>353</v>
      </c>
      <c r="Q53" t="s">
        <v>217</v>
      </c>
    </row>
    <row r="54" spans="1:18" x14ac:dyDescent="0.3">
      <c r="A54" t="s">
        <v>348</v>
      </c>
      <c r="B54" t="s">
        <v>45</v>
      </c>
      <c r="C54" t="s">
        <v>68</v>
      </c>
      <c r="D54" s="15">
        <v>46233.471192129633</v>
      </c>
      <c r="E54" t="s">
        <v>398</v>
      </c>
      <c r="F54">
        <v>3</v>
      </c>
      <c r="G54" s="15">
        <v>46237.458333333336</v>
      </c>
      <c r="H54" t="s">
        <v>353</v>
      </c>
      <c r="I54" t="s">
        <v>368</v>
      </c>
      <c r="J54" t="s">
        <v>239</v>
      </c>
      <c r="K54" t="s">
        <v>348</v>
      </c>
      <c r="L54" t="s">
        <v>369</v>
      </c>
      <c r="M54" t="s">
        <v>239</v>
      </c>
      <c r="O54" t="s">
        <v>67</v>
      </c>
      <c r="P54" t="s">
        <v>353</v>
      </c>
      <c r="Q54" t="s">
        <v>217</v>
      </c>
    </row>
    <row r="55" spans="1:18" x14ac:dyDescent="0.3">
      <c r="A55" t="s">
        <v>348</v>
      </c>
      <c r="B55" t="s">
        <v>45</v>
      </c>
      <c r="C55" t="s">
        <v>68</v>
      </c>
      <c r="D55" s="15">
        <v>46233.470659722225</v>
      </c>
      <c r="E55" t="s">
        <v>398</v>
      </c>
      <c r="F55">
        <v>3</v>
      </c>
      <c r="G55" s="15">
        <v>46237.458333333336</v>
      </c>
      <c r="H55" t="s">
        <v>353</v>
      </c>
      <c r="I55" t="s">
        <v>368</v>
      </c>
      <c r="J55" t="s">
        <v>239</v>
      </c>
      <c r="K55" t="s">
        <v>348</v>
      </c>
      <c r="L55" t="s">
        <v>369</v>
      </c>
      <c r="M55" t="s">
        <v>239</v>
      </c>
      <c r="O55" t="s">
        <v>67</v>
      </c>
      <c r="P55" t="s">
        <v>353</v>
      </c>
      <c r="Q55" t="s">
        <v>217</v>
      </c>
    </row>
    <row r="56" spans="1:18" x14ac:dyDescent="0.3">
      <c r="A56" t="s">
        <v>348</v>
      </c>
      <c r="B56" t="s">
        <v>45</v>
      </c>
      <c r="C56" t="s">
        <v>68</v>
      </c>
      <c r="D56" s="15">
        <v>46233.468287037038</v>
      </c>
      <c r="E56" t="s">
        <v>398</v>
      </c>
      <c r="F56">
        <v>3</v>
      </c>
      <c r="G56" s="15">
        <v>46237.458333333336</v>
      </c>
      <c r="H56" t="s">
        <v>353</v>
      </c>
      <c r="I56" t="s">
        <v>368</v>
      </c>
      <c r="J56" t="s">
        <v>239</v>
      </c>
      <c r="K56" t="s">
        <v>348</v>
      </c>
      <c r="L56" t="s">
        <v>369</v>
      </c>
      <c r="M56" t="s">
        <v>239</v>
      </c>
      <c r="O56" t="s">
        <v>67</v>
      </c>
      <c r="P56" t="s">
        <v>353</v>
      </c>
      <c r="Q56" t="s">
        <v>217</v>
      </c>
    </row>
    <row r="57" spans="1:18" x14ac:dyDescent="0.3">
      <c r="A57" t="s">
        <v>348</v>
      </c>
      <c r="B57" t="s">
        <v>48</v>
      </c>
      <c r="C57" t="s">
        <v>68</v>
      </c>
      <c r="D57" s="15">
        <v>46231.625231481485</v>
      </c>
      <c r="E57" t="s">
        <v>749</v>
      </c>
      <c r="F57">
        <v>10</v>
      </c>
      <c r="G57" s="15">
        <v>46238.509722222225</v>
      </c>
      <c r="H57" t="s">
        <v>356</v>
      </c>
      <c r="I57" t="s">
        <v>369</v>
      </c>
      <c r="J57" t="s">
        <v>239</v>
      </c>
      <c r="K57" t="s">
        <v>348</v>
      </c>
      <c r="L57" t="s">
        <v>369</v>
      </c>
      <c r="M57" t="s">
        <v>239</v>
      </c>
      <c r="N57">
        <v>0</v>
      </c>
      <c r="O57" t="s">
        <v>90</v>
      </c>
      <c r="P57" t="s">
        <v>356</v>
      </c>
      <c r="Q57" t="s">
        <v>217</v>
      </c>
      <c r="R57">
        <v>1</v>
      </c>
    </row>
    <row r="58" spans="1:18" x14ac:dyDescent="0.3">
      <c r="A58" t="s">
        <v>348</v>
      </c>
      <c r="B58" t="s">
        <v>48</v>
      </c>
      <c r="C58" t="s">
        <v>68</v>
      </c>
      <c r="D58" s="15">
        <v>46237.403981481482</v>
      </c>
      <c r="E58" t="s">
        <v>402</v>
      </c>
      <c r="F58">
        <v>1</v>
      </c>
      <c r="G58" s="15">
        <v>46239.458333333336</v>
      </c>
      <c r="H58" t="s">
        <v>354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N58">
        <v>0</v>
      </c>
      <c r="O58" t="s">
        <v>90</v>
      </c>
      <c r="P58" t="s">
        <v>354</v>
      </c>
      <c r="Q58" t="s">
        <v>217</v>
      </c>
      <c r="R58">
        <v>1</v>
      </c>
    </row>
    <row r="59" spans="1:18" x14ac:dyDescent="0.3">
      <c r="A59" t="s">
        <v>348</v>
      </c>
      <c r="B59" t="s">
        <v>48</v>
      </c>
      <c r="C59" t="s">
        <v>68</v>
      </c>
      <c r="D59" s="15">
        <v>46237.501354166663</v>
      </c>
      <c r="E59" t="s">
        <v>401</v>
      </c>
      <c r="F59">
        <v>1</v>
      </c>
      <c r="G59" s="15">
        <v>46239.477777777778</v>
      </c>
      <c r="H59" t="s">
        <v>357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N59">
        <v>0</v>
      </c>
      <c r="O59" t="s">
        <v>90</v>
      </c>
      <c r="P59" t="s">
        <v>357</v>
      </c>
      <c r="Q59" t="s">
        <v>217</v>
      </c>
      <c r="R59">
        <v>1</v>
      </c>
    </row>
    <row r="60" spans="1:18" x14ac:dyDescent="0.3">
      <c r="A60" t="s">
        <v>348</v>
      </c>
      <c r="B60" t="s">
        <v>48</v>
      </c>
      <c r="C60" t="s">
        <v>68</v>
      </c>
      <c r="D60" s="15">
        <v>46237.522916666669</v>
      </c>
      <c r="E60" t="s">
        <v>401</v>
      </c>
      <c r="F60">
        <v>2</v>
      </c>
      <c r="G60" s="15">
        <v>46239.477777777778</v>
      </c>
      <c r="H60" t="s">
        <v>357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O60" t="s">
        <v>90</v>
      </c>
      <c r="P60" t="s">
        <v>357</v>
      </c>
      <c r="Q60" t="s">
        <v>217</v>
      </c>
    </row>
    <row r="61" spans="1:18" x14ac:dyDescent="0.3">
      <c r="A61" t="s">
        <v>348</v>
      </c>
      <c r="B61" t="s">
        <v>45</v>
      </c>
      <c r="C61" t="s">
        <v>68</v>
      </c>
      <c r="D61" s="15">
        <v>46237.458333333336</v>
      </c>
      <c r="E61" t="s">
        <v>398</v>
      </c>
      <c r="F61">
        <v>5</v>
      </c>
      <c r="G61" s="15">
        <v>46239.5</v>
      </c>
      <c r="H61" t="s">
        <v>353</v>
      </c>
      <c r="I61" t="s">
        <v>368</v>
      </c>
      <c r="J61" t="s">
        <v>239</v>
      </c>
      <c r="K61" t="s">
        <v>348</v>
      </c>
      <c r="L61" t="s">
        <v>369</v>
      </c>
      <c r="M61" t="s">
        <v>239</v>
      </c>
      <c r="N61">
        <v>103</v>
      </c>
      <c r="O61" t="s">
        <v>67</v>
      </c>
      <c r="P61" t="s">
        <v>353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46234.569490740738</v>
      </c>
      <c r="E62" t="s">
        <v>398</v>
      </c>
      <c r="F62">
        <v>5</v>
      </c>
      <c r="G62" s="15">
        <v>46239.541666666664</v>
      </c>
      <c r="H62" t="s">
        <v>353</v>
      </c>
      <c r="I62" t="s">
        <v>368</v>
      </c>
      <c r="J62" t="s">
        <v>239</v>
      </c>
      <c r="K62" t="s">
        <v>348</v>
      </c>
      <c r="L62" t="s">
        <v>369</v>
      </c>
      <c r="M62" t="s">
        <v>239</v>
      </c>
      <c r="N62">
        <v>103</v>
      </c>
      <c r="O62" t="s">
        <v>67</v>
      </c>
      <c r="P62" t="s">
        <v>353</v>
      </c>
      <c r="Q62" t="s">
        <v>217</v>
      </c>
      <c r="R62">
        <v>1</v>
      </c>
    </row>
    <row r="63" spans="1:18" x14ac:dyDescent="0.3">
      <c r="A63" t="s">
        <v>348</v>
      </c>
      <c r="B63" t="s">
        <v>48</v>
      </c>
      <c r="C63" t="s">
        <v>68</v>
      </c>
      <c r="D63" s="15">
        <v>46233.385277777779</v>
      </c>
      <c r="E63" t="s">
        <v>402</v>
      </c>
      <c r="F63">
        <v>1</v>
      </c>
      <c r="G63" s="15">
        <v>46240.420138888891</v>
      </c>
      <c r="H63" t="s">
        <v>354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N63">
        <v>0</v>
      </c>
      <c r="O63" t="s">
        <v>90</v>
      </c>
      <c r="P63" t="s">
        <v>354</v>
      </c>
      <c r="Q63" t="s">
        <v>217</v>
      </c>
    </row>
    <row r="64" spans="1:18" x14ac:dyDescent="0.3">
      <c r="A64" t="s">
        <v>348</v>
      </c>
      <c r="B64" t="s">
        <v>45</v>
      </c>
      <c r="C64" t="s">
        <v>68</v>
      </c>
      <c r="D64" s="15">
        <v>46238.415856481479</v>
      </c>
      <c r="E64" t="s">
        <v>406</v>
      </c>
      <c r="F64">
        <v>3</v>
      </c>
      <c r="G64" s="15">
        <v>46240.430555555555</v>
      </c>
      <c r="H64" t="s">
        <v>354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N64">
        <v>0</v>
      </c>
      <c r="O64" t="s">
        <v>67</v>
      </c>
      <c r="P64" t="s">
        <v>354</v>
      </c>
      <c r="Q64" t="s">
        <v>217</v>
      </c>
      <c r="R64">
        <v>1</v>
      </c>
    </row>
    <row r="65" spans="1:18" x14ac:dyDescent="0.3">
      <c r="A65" t="s">
        <v>348</v>
      </c>
      <c r="B65" t="s">
        <v>45</v>
      </c>
      <c r="C65" t="s">
        <v>68</v>
      </c>
      <c r="D65" s="15">
        <v>46238.416307870371</v>
      </c>
      <c r="E65" t="s">
        <v>406</v>
      </c>
      <c r="F65">
        <v>10</v>
      </c>
      <c r="G65" s="15">
        <v>46240.430555555555</v>
      </c>
      <c r="H65" t="s">
        <v>354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67</v>
      </c>
      <c r="P65" t="s">
        <v>354</v>
      </c>
      <c r="Q65" t="s">
        <v>217</v>
      </c>
    </row>
    <row r="66" spans="1:18" x14ac:dyDescent="0.3">
      <c r="A66" t="s">
        <v>348</v>
      </c>
      <c r="B66" t="s">
        <v>45</v>
      </c>
      <c r="C66" t="s">
        <v>68</v>
      </c>
      <c r="D66" s="15">
        <v>46238.415497685186</v>
      </c>
      <c r="E66" t="s">
        <v>406</v>
      </c>
      <c r="F66">
        <v>9</v>
      </c>
      <c r="G66" s="15">
        <v>46240.430555555555</v>
      </c>
      <c r="H66" t="s">
        <v>354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O66" t="s">
        <v>67</v>
      </c>
      <c r="P66" t="s">
        <v>354</v>
      </c>
      <c r="Q66" t="s">
        <v>217</v>
      </c>
    </row>
    <row r="67" spans="1:18" x14ac:dyDescent="0.3">
      <c r="A67" t="s">
        <v>348</v>
      </c>
      <c r="B67" t="s">
        <v>47</v>
      </c>
      <c r="C67" t="s">
        <v>68</v>
      </c>
      <c r="D67" s="15">
        <v>46239.466099537036</v>
      </c>
      <c r="E67" t="s">
        <v>401</v>
      </c>
      <c r="F67">
        <v>1</v>
      </c>
      <c r="G67" s="15">
        <v>46240.467361111114</v>
      </c>
      <c r="H67" t="s">
        <v>357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O67" t="s">
        <v>90</v>
      </c>
      <c r="P67" t="s">
        <v>357</v>
      </c>
      <c r="Q67" t="s">
        <v>218</v>
      </c>
    </row>
    <row r="68" spans="1:18" x14ac:dyDescent="0.3">
      <c r="A68" t="s">
        <v>348</v>
      </c>
      <c r="B68" t="s">
        <v>45</v>
      </c>
      <c r="C68" t="s">
        <v>68</v>
      </c>
      <c r="D68" s="15">
        <v>46238.581493055557</v>
      </c>
      <c r="E68" t="s">
        <v>401</v>
      </c>
      <c r="F68">
        <v>9</v>
      </c>
      <c r="G68" s="15">
        <v>46240.479166666664</v>
      </c>
      <c r="H68" t="s">
        <v>357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O68" t="s">
        <v>67</v>
      </c>
      <c r="P68" t="s">
        <v>357</v>
      </c>
      <c r="Q68" t="s">
        <v>217</v>
      </c>
    </row>
    <row r="69" spans="1:18" x14ac:dyDescent="0.3">
      <c r="A69" t="s">
        <v>348</v>
      </c>
      <c r="B69" t="s">
        <v>43</v>
      </c>
      <c r="C69" t="s">
        <v>105</v>
      </c>
      <c r="D69" s="15">
        <v>46239.511006944442</v>
      </c>
      <c r="E69" t="s">
        <v>401</v>
      </c>
      <c r="F69">
        <v>3</v>
      </c>
      <c r="G69" s="15">
        <v>46240.486805555556</v>
      </c>
      <c r="H69" t="s">
        <v>357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N69">
        <v>0</v>
      </c>
      <c r="O69" t="s">
        <v>67</v>
      </c>
      <c r="P69" t="s">
        <v>357</v>
      </c>
      <c r="Q69" t="s">
        <v>217</v>
      </c>
      <c r="R69">
        <v>1</v>
      </c>
    </row>
    <row r="70" spans="1:18" x14ac:dyDescent="0.3">
      <c r="A70" t="s">
        <v>348</v>
      </c>
      <c r="B70" t="s">
        <v>47</v>
      </c>
      <c r="C70" t="s">
        <v>68</v>
      </c>
      <c r="D70" s="15">
        <v>46239.471967592595</v>
      </c>
      <c r="E70" t="s">
        <v>401</v>
      </c>
      <c r="F70">
        <v>1</v>
      </c>
      <c r="G70" s="15">
        <v>46240.488194444442</v>
      </c>
      <c r="H70" t="s">
        <v>357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N70">
        <v>0</v>
      </c>
      <c r="O70" t="s">
        <v>90</v>
      </c>
      <c r="P70" t="s">
        <v>357</v>
      </c>
      <c r="Q70" t="s">
        <v>218</v>
      </c>
      <c r="R70">
        <v>1</v>
      </c>
    </row>
    <row r="71" spans="1:18" x14ac:dyDescent="0.3">
      <c r="A71" t="s">
        <v>348</v>
      </c>
      <c r="B71" t="s">
        <v>48</v>
      </c>
      <c r="C71" t="s">
        <v>68</v>
      </c>
      <c r="D71" s="15">
        <v>46231.743472222224</v>
      </c>
      <c r="E71" t="s">
        <v>402</v>
      </c>
      <c r="F71">
        <v>1</v>
      </c>
      <c r="G71" s="15">
        <v>46240.513194444444</v>
      </c>
      <c r="H71" t="s">
        <v>355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N71">
        <v>0</v>
      </c>
      <c r="O71" t="s">
        <v>90</v>
      </c>
      <c r="P71" t="s">
        <v>355</v>
      </c>
      <c r="Q71" t="s">
        <v>217</v>
      </c>
      <c r="R71">
        <v>1</v>
      </c>
    </row>
    <row r="72" spans="1:18" x14ac:dyDescent="0.3">
      <c r="A72" t="s">
        <v>348</v>
      </c>
      <c r="B72" t="s">
        <v>45</v>
      </c>
      <c r="C72" t="s">
        <v>68</v>
      </c>
      <c r="D72" s="15">
        <v>46237.469942129632</v>
      </c>
      <c r="E72" t="s">
        <v>402</v>
      </c>
      <c r="F72">
        <v>1</v>
      </c>
      <c r="G72" s="15">
        <v>46240.638888888891</v>
      </c>
      <c r="H72" t="s">
        <v>354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N72">
        <v>0</v>
      </c>
      <c r="O72" t="s">
        <v>67</v>
      </c>
      <c r="P72" t="s">
        <v>354</v>
      </c>
      <c r="Q72" t="s">
        <v>217</v>
      </c>
    </row>
    <row r="73" spans="1:18" x14ac:dyDescent="0.3">
      <c r="A73" t="s">
        <v>348</v>
      </c>
      <c r="B73" t="s">
        <v>47</v>
      </c>
      <c r="C73" t="s">
        <v>68</v>
      </c>
      <c r="D73" s="15">
        <v>46240.53496527778</v>
      </c>
      <c r="E73" t="s">
        <v>401</v>
      </c>
      <c r="F73">
        <v>1</v>
      </c>
      <c r="G73" s="15">
        <v>46241.430555555555</v>
      </c>
      <c r="H73" t="s">
        <v>357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357</v>
      </c>
      <c r="Q73" t="s">
        <v>218</v>
      </c>
      <c r="R73">
        <v>1</v>
      </c>
    </row>
    <row r="74" spans="1:18" x14ac:dyDescent="0.3">
      <c r="A74" t="s">
        <v>348</v>
      </c>
      <c r="B74" t="s">
        <v>47</v>
      </c>
      <c r="C74" t="s">
        <v>68</v>
      </c>
      <c r="D74" s="15">
        <v>46240.53496527778</v>
      </c>
      <c r="E74" t="s">
        <v>401</v>
      </c>
      <c r="F74">
        <v>2</v>
      </c>
      <c r="G74" s="15">
        <v>46241.430555555555</v>
      </c>
      <c r="H74" t="s">
        <v>354</v>
      </c>
      <c r="I74" t="s">
        <v>369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90</v>
      </c>
      <c r="P74" t="s">
        <v>354</v>
      </c>
      <c r="Q74" t="s">
        <v>218</v>
      </c>
      <c r="R74">
        <v>1</v>
      </c>
    </row>
    <row r="75" spans="1:18" x14ac:dyDescent="0.3">
      <c r="A75" t="s">
        <v>348</v>
      </c>
      <c r="B75" t="s">
        <v>43</v>
      </c>
      <c r="C75" t="s">
        <v>105</v>
      </c>
      <c r="D75" s="15">
        <v>46241.373356481483</v>
      </c>
      <c r="E75" t="s">
        <v>401</v>
      </c>
      <c r="F75">
        <v>2</v>
      </c>
      <c r="G75" s="15">
        <v>46244.479166666664</v>
      </c>
      <c r="H75" t="s">
        <v>357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N75">
        <v>0</v>
      </c>
      <c r="O75" t="s">
        <v>67</v>
      </c>
      <c r="P75" t="s">
        <v>357</v>
      </c>
      <c r="Q75" t="s">
        <v>217</v>
      </c>
      <c r="R75">
        <v>1</v>
      </c>
    </row>
    <row r="76" spans="1:18" x14ac:dyDescent="0.3">
      <c r="A76" t="s">
        <v>348</v>
      </c>
      <c r="B76" t="s">
        <v>48</v>
      </c>
      <c r="C76" t="s">
        <v>68</v>
      </c>
      <c r="D76" s="15">
        <v>46241.31753472222</v>
      </c>
      <c r="E76" t="s">
        <v>401</v>
      </c>
      <c r="F76">
        <v>2</v>
      </c>
      <c r="G76" s="15">
        <v>46244.479166666664</v>
      </c>
      <c r="H76" t="s">
        <v>357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O76" t="s">
        <v>90</v>
      </c>
      <c r="P76" t="s">
        <v>357</v>
      </c>
      <c r="Q76" t="s">
        <v>217</v>
      </c>
    </row>
    <row r="77" spans="1:18" x14ac:dyDescent="0.3">
      <c r="A77" t="s">
        <v>348</v>
      </c>
      <c r="B77" t="s">
        <v>43</v>
      </c>
      <c r="C77" t="s">
        <v>105</v>
      </c>
      <c r="D77" s="15">
        <v>46244.369768518518</v>
      </c>
      <c r="E77" t="s">
        <v>402</v>
      </c>
      <c r="F77">
        <v>4</v>
      </c>
      <c r="G77" s="15">
        <v>46246.443055555559</v>
      </c>
      <c r="H77" t="s">
        <v>354</v>
      </c>
      <c r="I77" t="s">
        <v>369</v>
      </c>
      <c r="J77" t="s">
        <v>239</v>
      </c>
      <c r="K77" t="s">
        <v>348</v>
      </c>
      <c r="L77" t="s">
        <v>369</v>
      </c>
      <c r="M77" t="s">
        <v>239</v>
      </c>
      <c r="N77">
        <v>0</v>
      </c>
      <c r="O77" t="s">
        <v>67</v>
      </c>
      <c r="P77" t="s">
        <v>354</v>
      </c>
      <c r="Q77" t="s">
        <v>217</v>
      </c>
      <c r="R77">
        <v>1</v>
      </c>
    </row>
    <row r="78" spans="1:18" x14ac:dyDescent="0.3">
      <c r="A78" t="s">
        <v>348</v>
      </c>
      <c r="B78" t="s">
        <v>48</v>
      </c>
      <c r="C78" t="s">
        <v>68</v>
      </c>
      <c r="D78" s="15">
        <v>46244.381539351853</v>
      </c>
      <c r="E78" t="s">
        <v>402</v>
      </c>
      <c r="F78">
        <v>1</v>
      </c>
      <c r="G78" s="15">
        <v>46246.443055555559</v>
      </c>
      <c r="H78" t="s">
        <v>354</v>
      </c>
      <c r="I78" t="s">
        <v>369</v>
      </c>
      <c r="J78" t="s">
        <v>239</v>
      </c>
      <c r="K78" t="s">
        <v>348</v>
      </c>
      <c r="L78" t="s">
        <v>369</v>
      </c>
      <c r="M78" t="s">
        <v>239</v>
      </c>
      <c r="O78" t="s">
        <v>90</v>
      </c>
      <c r="P78" t="s">
        <v>354</v>
      </c>
      <c r="Q78" t="s">
        <v>217</v>
      </c>
    </row>
    <row r="79" spans="1:18" x14ac:dyDescent="0.3">
      <c r="A79" t="s">
        <v>348</v>
      </c>
      <c r="B79" t="s">
        <v>45</v>
      </c>
      <c r="C79" t="s">
        <v>68</v>
      </c>
      <c r="D79" s="15">
        <v>46244.473298611112</v>
      </c>
      <c r="E79" t="s">
        <v>398</v>
      </c>
      <c r="F79">
        <v>2</v>
      </c>
      <c r="G79" s="15">
        <v>46246.458333333336</v>
      </c>
      <c r="H79" t="s">
        <v>353</v>
      </c>
      <c r="I79" t="s">
        <v>368</v>
      </c>
      <c r="J79" t="s">
        <v>239</v>
      </c>
      <c r="K79" t="s">
        <v>348</v>
      </c>
      <c r="L79" t="s">
        <v>369</v>
      </c>
      <c r="M79" t="s">
        <v>239</v>
      </c>
      <c r="N79">
        <v>103</v>
      </c>
      <c r="O79" t="s">
        <v>67</v>
      </c>
      <c r="P79" t="s">
        <v>353</v>
      </c>
      <c r="Q79" t="s">
        <v>217</v>
      </c>
      <c r="R79">
        <v>1</v>
      </c>
    </row>
    <row r="80" spans="1:18" x14ac:dyDescent="0.3">
      <c r="A80" t="s">
        <v>348</v>
      </c>
      <c r="B80" t="s">
        <v>45</v>
      </c>
      <c r="C80" t="s">
        <v>68</v>
      </c>
      <c r="D80" s="15">
        <v>46245.574305555558</v>
      </c>
      <c r="E80" t="s">
        <v>398</v>
      </c>
      <c r="F80">
        <v>3</v>
      </c>
      <c r="G80" s="15">
        <v>46246.458333333336</v>
      </c>
      <c r="H80" t="s">
        <v>353</v>
      </c>
      <c r="I80" t="s">
        <v>368</v>
      </c>
      <c r="J80" t="s">
        <v>239</v>
      </c>
      <c r="K80" t="s">
        <v>348</v>
      </c>
      <c r="L80" t="s">
        <v>369</v>
      </c>
      <c r="M80" t="s">
        <v>239</v>
      </c>
      <c r="O80" t="s">
        <v>67</v>
      </c>
      <c r="P80" t="s">
        <v>353</v>
      </c>
      <c r="Q80" t="s">
        <v>217</v>
      </c>
    </row>
    <row r="81" spans="1:18" x14ac:dyDescent="0.3">
      <c r="A81" t="s">
        <v>348</v>
      </c>
      <c r="B81" t="s">
        <v>45</v>
      </c>
      <c r="C81" t="s">
        <v>68</v>
      </c>
      <c r="D81" s="15">
        <v>46244.657546296294</v>
      </c>
      <c r="E81" t="s">
        <v>398</v>
      </c>
      <c r="F81">
        <v>5</v>
      </c>
      <c r="G81" s="15">
        <v>46246.458333333336</v>
      </c>
      <c r="H81" t="s">
        <v>353</v>
      </c>
      <c r="I81" t="s">
        <v>368</v>
      </c>
      <c r="J81" t="s">
        <v>239</v>
      </c>
      <c r="K81" t="s">
        <v>348</v>
      </c>
      <c r="L81" t="s">
        <v>369</v>
      </c>
      <c r="M81" t="s">
        <v>239</v>
      </c>
      <c r="O81" t="s">
        <v>67</v>
      </c>
      <c r="P81" t="s">
        <v>353</v>
      </c>
      <c r="Q81" t="s">
        <v>217</v>
      </c>
    </row>
    <row r="82" spans="1:18" x14ac:dyDescent="0.3">
      <c r="A82" t="s">
        <v>348</v>
      </c>
      <c r="B82" t="s">
        <v>45</v>
      </c>
      <c r="C82" t="s">
        <v>68</v>
      </c>
      <c r="D82" s="15">
        <v>46244.47451388889</v>
      </c>
      <c r="E82" t="s">
        <v>398</v>
      </c>
      <c r="F82">
        <v>3</v>
      </c>
      <c r="G82" s="15">
        <v>46246.458333333336</v>
      </c>
      <c r="H82" t="s">
        <v>353</v>
      </c>
      <c r="I82" t="s">
        <v>368</v>
      </c>
      <c r="J82" t="s">
        <v>239</v>
      </c>
      <c r="K82" t="s">
        <v>348</v>
      </c>
      <c r="L82" t="s">
        <v>369</v>
      </c>
      <c r="M82" t="s">
        <v>239</v>
      </c>
      <c r="N82">
        <v>103</v>
      </c>
      <c r="O82" t="s">
        <v>67</v>
      </c>
      <c r="P82" t="s">
        <v>353</v>
      </c>
      <c r="Q82" t="s">
        <v>217</v>
      </c>
    </row>
    <row r="83" spans="1:18" x14ac:dyDescent="0.3">
      <c r="A83" t="s">
        <v>348</v>
      </c>
      <c r="B83" t="s">
        <v>45</v>
      </c>
      <c r="C83" t="s">
        <v>68</v>
      </c>
      <c r="D83" s="15">
        <v>46244.477743055555</v>
      </c>
      <c r="E83" t="s">
        <v>398</v>
      </c>
      <c r="F83">
        <v>1</v>
      </c>
      <c r="G83" s="15">
        <v>46246.458333333336</v>
      </c>
      <c r="H83" t="s">
        <v>353</v>
      </c>
      <c r="I83" t="s">
        <v>368</v>
      </c>
      <c r="J83" t="s">
        <v>239</v>
      </c>
      <c r="K83" t="s">
        <v>348</v>
      </c>
      <c r="L83" t="s">
        <v>369</v>
      </c>
      <c r="M83" t="s">
        <v>239</v>
      </c>
      <c r="O83" t="s">
        <v>67</v>
      </c>
      <c r="P83" t="s">
        <v>353</v>
      </c>
      <c r="Q83" t="s">
        <v>217</v>
      </c>
    </row>
    <row r="84" spans="1:18" x14ac:dyDescent="0.3">
      <c r="A84" t="s">
        <v>348</v>
      </c>
      <c r="B84" t="s">
        <v>45</v>
      </c>
      <c r="C84" t="s">
        <v>68</v>
      </c>
      <c r="D84" s="15">
        <v>46244.473958333336</v>
      </c>
      <c r="E84" t="s">
        <v>398</v>
      </c>
      <c r="F84">
        <v>1</v>
      </c>
      <c r="G84" s="15">
        <v>46246.458333333336</v>
      </c>
      <c r="H84" t="s">
        <v>353</v>
      </c>
      <c r="I84" t="s">
        <v>368</v>
      </c>
      <c r="J84" t="s">
        <v>239</v>
      </c>
      <c r="K84" t="s">
        <v>348</v>
      </c>
      <c r="L84" t="s">
        <v>369</v>
      </c>
      <c r="M84" t="s">
        <v>239</v>
      </c>
      <c r="O84" t="s">
        <v>67</v>
      </c>
      <c r="P84" t="s">
        <v>353</v>
      </c>
      <c r="Q84" t="s">
        <v>217</v>
      </c>
    </row>
    <row r="85" spans="1:18" x14ac:dyDescent="0.3">
      <c r="A85" t="s">
        <v>348</v>
      </c>
      <c r="B85" t="s">
        <v>45</v>
      </c>
      <c r="C85" t="s">
        <v>68</v>
      </c>
      <c r="D85" s="15">
        <v>46244.476030092592</v>
      </c>
      <c r="E85" t="s">
        <v>398</v>
      </c>
      <c r="F85">
        <v>3</v>
      </c>
      <c r="G85" s="15">
        <v>46246.458333333336</v>
      </c>
      <c r="H85" t="s">
        <v>353</v>
      </c>
      <c r="I85" t="s">
        <v>368</v>
      </c>
      <c r="J85" t="s">
        <v>239</v>
      </c>
      <c r="K85" t="s">
        <v>348</v>
      </c>
      <c r="L85" t="s">
        <v>369</v>
      </c>
      <c r="M85" t="s">
        <v>239</v>
      </c>
      <c r="O85" t="s">
        <v>67</v>
      </c>
      <c r="P85" t="s">
        <v>353</v>
      </c>
      <c r="Q85" t="s">
        <v>217</v>
      </c>
    </row>
    <row r="86" spans="1:18" x14ac:dyDescent="0.3">
      <c r="A86" t="s">
        <v>348</v>
      </c>
      <c r="B86" t="s">
        <v>45</v>
      </c>
      <c r="C86" t="s">
        <v>68</v>
      </c>
      <c r="D86" s="15">
        <v>46244.476921296293</v>
      </c>
      <c r="E86" t="s">
        <v>398</v>
      </c>
      <c r="F86">
        <v>3</v>
      </c>
      <c r="G86" s="15">
        <v>46246.458333333336</v>
      </c>
      <c r="H86" t="s">
        <v>353</v>
      </c>
      <c r="I86" t="s">
        <v>368</v>
      </c>
      <c r="J86" t="s">
        <v>239</v>
      </c>
      <c r="K86" t="s">
        <v>348</v>
      </c>
      <c r="L86" t="s">
        <v>369</v>
      </c>
      <c r="M86" t="s">
        <v>239</v>
      </c>
      <c r="O86" t="s">
        <v>67</v>
      </c>
      <c r="P86" t="s">
        <v>353</v>
      </c>
      <c r="Q86" t="s">
        <v>217</v>
      </c>
    </row>
    <row r="87" spans="1:18" x14ac:dyDescent="0.3">
      <c r="A87" t="s">
        <v>348</v>
      </c>
      <c r="B87" t="s">
        <v>43</v>
      </c>
      <c r="C87" t="s">
        <v>105</v>
      </c>
      <c r="D87" s="15">
        <v>46244.651597222219</v>
      </c>
      <c r="E87" t="s">
        <v>401</v>
      </c>
      <c r="F87">
        <v>2</v>
      </c>
      <c r="G87" s="15">
        <v>46246.481944444444</v>
      </c>
      <c r="H87" t="s">
        <v>357</v>
      </c>
      <c r="I87" t="s">
        <v>369</v>
      </c>
      <c r="J87" t="s">
        <v>239</v>
      </c>
      <c r="K87" t="s">
        <v>348</v>
      </c>
      <c r="L87" t="s">
        <v>369</v>
      </c>
      <c r="M87" t="s">
        <v>239</v>
      </c>
      <c r="N87">
        <v>0</v>
      </c>
      <c r="O87" t="s">
        <v>67</v>
      </c>
      <c r="P87" t="s">
        <v>357</v>
      </c>
      <c r="Q87" t="s">
        <v>217</v>
      </c>
      <c r="R87">
        <v>1</v>
      </c>
    </row>
    <row r="88" spans="1:18" s="14" customFormat="1" x14ac:dyDescent="0.3">
      <c r="A88" t="s">
        <v>348</v>
      </c>
      <c r="B88" t="s">
        <v>45</v>
      </c>
      <c r="C88" t="s">
        <v>68</v>
      </c>
      <c r="D88" s="15">
        <v>46244.522743055553</v>
      </c>
      <c r="E88" t="s">
        <v>408</v>
      </c>
      <c r="F88">
        <v>6</v>
      </c>
      <c r="G88" s="15">
        <v>46247.409722222219</v>
      </c>
      <c r="H88" t="s">
        <v>358</v>
      </c>
      <c r="I88" t="s">
        <v>370</v>
      </c>
      <c r="J88" t="s">
        <v>239</v>
      </c>
      <c r="K88" t="s">
        <v>348</v>
      </c>
      <c r="L88" t="s">
        <v>369</v>
      </c>
      <c r="M88" t="s">
        <v>239</v>
      </c>
      <c r="N88">
        <v>0</v>
      </c>
      <c r="O88" t="s">
        <v>67</v>
      </c>
      <c r="P88" t="s">
        <v>358</v>
      </c>
      <c r="Q88" t="s">
        <v>217</v>
      </c>
      <c r="R88">
        <v>1</v>
      </c>
    </row>
    <row r="89" spans="1:18" x14ac:dyDescent="0.3">
      <c r="A89" t="s">
        <v>348</v>
      </c>
      <c r="B89" t="s">
        <v>48</v>
      </c>
      <c r="C89" t="s">
        <v>68</v>
      </c>
      <c r="D89" s="15">
        <v>46245.434259259258</v>
      </c>
      <c r="E89" t="s">
        <v>402</v>
      </c>
      <c r="F89">
        <v>3</v>
      </c>
      <c r="G89" s="15">
        <v>46247.425694444442</v>
      </c>
      <c r="H89" t="s">
        <v>355</v>
      </c>
      <c r="I89" t="s">
        <v>369</v>
      </c>
      <c r="J89" t="s">
        <v>239</v>
      </c>
      <c r="K89" t="s">
        <v>348</v>
      </c>
      <c r="L89" t="s">
        <v>369</v>
      </c>
      <c r="M89" t="s">
        <v>239</v>
      </c>
      <c r="N89">
        <v>0</v>
      </c>
      <c r="O89" t="s">
        <v>90</v>
      </c>
      <c r="P89" t="s">
        <v>355</v>
      </c>
      <c r="Q89" t="s">
        <v>217</v>
      </c>
      <c r="R89">
        <v>1</v>
      </c>
    </row>
    <row r="90" spans="1:18" x14ac:dyDescent="0.3">
      <c r="A90" t="s">
        <v>348</v>
      </c>
      <c r="B90" t="s">
        <v>43</v>
      </c>
      <c r="C90" t="s">
        <v>105</v>
      </c>
      <c r="D90" s="15">
        <v>46246.307928240742</v>
      </c>
      <c r="E90" t="s">
        <v>401</v>
      </c>
      <c r="F90">
        <v>1</v>
      </c>
      <c r="G90" s="15">
        <v>46247.461805555555</v>
      </c>
      <c r="H90" t="s">
        <v>357</v>
      </c>
      <c r="I90" t="s">
        <v>369</v>
      </c>
      <c r="J90" t="s">
        <v>239</v>
      </c>
      <c r="K90" t="s">
        <v>348</v>
      </c>
      <c r="L90" t="s">
        <v>369</v>
      </c>
      <c r="M90" t="s">
        <v>239</v>
      </c>
      <c r="N90">
        <v>0</v>
      </c>
      <c r="O90" t="s">
        <v>67</v>
      </c>
      <c r="P90" t="s">
        <v>357</v>
      </c>
      <c r="Q90" t="s">
        <v>217</v>
      </c>
      <c r="R90">
        <v>1</v>
      </c>
    </row>
    <row r="91" spans="1:18" x14ac:dyDescent="0.3">
      <c r="A91" t="s">
        <v>348</v>
      </c>
      <c r="B91" t="s">
        <v>45</v>
      </c>
      <c r="C91" t="s">
        <v>68</v>
      </c>
      <c r="D91" s="15">
        <v>46245.50304398148</v>
      </c>
      <c r="E91" t="s">
        <v>407</v>
      </c>
      <c r="F91">
        <v>5</v>
      </c>
      <c r="G91" s="15">
        <v>46247.46875</v>
      </c>
      <c r="H91" t="s">
        <v>464</v>
      </c>
      <c r="I91" t="s">
        <v>369</v>
      </c>
      <c r="J91" t="s">
        <v>239</v>
      </c>
      <c r="K91" t="s">
        <v>348</v>
      </c>
      <c r="L91" t="s">
        <v>369</v>
      </c>
      <c r="M91" t="s">
        <v>239</v>
      </c>
      <c r="O91" t="s">
        <v>67</v>
      </c>
      <c r="P91" t="s">
        <v>464</v>
      </c>
      <c r="Q91" t="s">
        <v>217</v>
      </c>
      <c r="R91">
        <v>1</v>
      </c>
    </row>
    <row r="92" spans="1:18" x14ac:dyDescent="0.3">
      <c r="A92" t="s">
        <v>348</v>
      </c>
      <c r="B92" t="s">
        <v>45</v>
      </c>
      <c r="C92" t="s">
        <v>68</v>
      </c>
      <c r="D92" s="15">
        <v>46245.502650462964</v>
      </c>
      <c r="E92" t="s">
        <v>407</v>
      </c>
      <c r="F92">
        <v>11</v>
      </c>
      <c r="G92" s="15">
        <v>46247.46875</v>
      </c>
      <c r="H92" t="s">
        <v>464</v>
      </c>
      <c r="I92" t="s">
        <v>369</v>
      </c>
      <c r="J92" t="s">
        <v>239</v>
      </c>
      <c r="K92" t="s">
        <v>348</v>
      </c>
      <c r="L92" t="s">
        <v>369</v>
      </c>
      <c r="M92" t="s">
        <v>239</v>
      </c>
      <c r="O92" t="s">
        <v>67</v>
      </c>
      <c r="P92" t="s">
        <v>464</v>
      </c>
      <c r="Q92" t="s">
        <v>217</v>
      </c>
    </row>
    <row r="93" spans="1:18" x14ac:dyDescent="0.3">
      <c r="A93" t="s">
        <v>348</v>
      </c>
      <c r="B93" t="s">
        <v>48</v>
      </c>
      <c r="C93" t="s">
        <v>68</v>
      </c>
      <c r="D93" s="15">
        <v>46245.504618055558</v>
      </c>
      <c r="E93" t="s">
        <v>402</v>
      </c>
      <c r="F93">
        <v>1</v>
      </c>
      <c r="G93" s="15">
        <v>46252.390972222223</v>
      </c>
      <c r="H93" t="s">
        <v>354</v>
      </c>
      <c r="I93" t="s">
        <v>369</v>
      </c>
      <c r="J93" t="s">
        <v>239</v>
      </c>
      <c r="K93" t="s">
        <v>348</v>
      </c>
      <c r="L93" t="s">
        <v>369</v>
      </c>
      <c r="M93" t="s">
        <v>239</v>
      </c>
      <c r="N93">
        <v>0</v>
      </c>
      <c r="O93" t="s">
        <v>90</v>
      </c>
      <c r="P93" t="s">
        <v>354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46246.66033564815</v>
      </c>
      <c r="E94" t="s">
        <v>398</v>
      </c>
      <c r="F94">
        <v>3</v>
      </c>
      <c r="G94" s="15">
        <v>46252.458333333336</v>
      </c>
      <c r="H94" t="s">
        <v>353</v>
      </c>
      <c r="I94" t="s">
        <v>368</v>
      </c>
      <c r="J94" t="s">
        <v>239</v>
      </c>
      <c r="K94" t="s">
        <v>348</v>
      </c>
      <c r="L94" t="s">
        <v>369</v>
      </c>
      <c r="M94" t="s">
        <v>239</v>
      </c>
      <c r="N94">
        <v>103</v>
      </c>
      <c r="O94" t="s">
        <v>67</v>
      </c>
      <c r="P94" t="s">
        <v>353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46246.659872685188</v>
      </c>
      <c r="E95" t="s">
        <v>1165</v>
      </c>
      <c r="F95">
        <v>3</v>
      </c>
      <c r="G95" s="15">
        <v>46252.458333333336</v>
      </c>
      <c r="H95" t="s">
        <v>353</v>
      </c>
      <c r="I95" t="s">
        <v>368</v>
      </c>
      <c r="J95" t="s">
        <v>239</v>
      </c>
      <c r="K95" t="s">
        <v>348</v>
      </c>
      <c r="L95" t="s">
        <v>369</v>
      </c>
      <c r="M95" t="s">
        <v>239</v>
      </c>
      <c r="O95" t="s">
        <v>67</v>
      </c>
      <c r="P95" t="s">
        <v>353</v>
      </c>
      <c r="Q95" t="s">
        <v>217</v>
      </c>
    </row>
    <row r="96" spans="1:18" s="14" customFormat="1" x14ac:dyDescent="0.3">
      <c r="A96" t="s">
        <v>348</v>
      </c>
      <c r="B96" t="s">
        <v>45</v>
      </c>
      <c r="C96" t="s">
        <v>68</v>
      </c>
      <c r="D96" s="15">
        <v>46246.658784722225</v>
      </c>
      <c r="E96" t="s">
        <v>398</v>
      </c>
      <c r="F96">
        <v>1</v>
      </c>
      <c r="G96" s="15">
        <v>46252.458333333336</v>
      </c>
      <c r="H96" t="s">
        <v>353</v>
      </c>
      <c r="I96" t="s">
        <v>368</v>
      </c>
      <c r="J96" t="s">
        <v>239</v>
      </c>
      <c r="K96" t="s">
        <v>348</v>
      </c>
      <c r="L96" t="s">
        <v>369</v>
      </c>
      <c r="M96" t="s">
        <v>239</v>
      </c>
      <c r="N96"/>
      <c r="O96" t="s">
        <v>67</v>
      </c>
      <c r="P96" t="s">
        <v>353</v>
      </c>
      <c r="Q96" t="s">
        <v>217</v>
      </c>
      <c r="R96"/>
    </row>
    <row r="97" spans="1:18" x14ac:dyDescent="0.3">
      <c r="A97" t="s">
        <v>348</v>
      </c>
      <c r="B97" t="s">
        <v>45</v>
      </c>
      <c r="C97" t="s">
        <v>68</v>
      </c>
      <c r="D97" s="15">
        <v>46246.659317129626</v>
      </c>
      <c r="E97" t="s">
        <v>398</v>
      </c>
      <c r="F97">
        <v>3</v>
      </c>
      <c r="G97" s="15">
        <v>46252.458333333336</v>
      </c>
      <c r="H97" t="s">
        <v>353</v>
      </c>
      <c r="I97" t="s">
        <v>368</v>
      </c>
      <c r="J97" t="s">
        <v>239</v>
      </c>
      <c r="K97" t="s">
        <v>348</v>
      </c>
      <c r="L97" t="s">
        <v>369</v>
      </c>
      <c r="M97" t="s">
        <v>239</v>
      </c>
      <c r="O97" t="s">
        <v>67</v>
      </c>
      <c r="P97" t="s">
        <v>353</v>
      </c>
      <c r="Q97" t="s">
        <v>217</v>
      </c>
    </row>
    <row r="98" spans="1:18" x14ac:dyDescent="0.3">
      <c r="A98" t="s">
        <v>348</v>
      </c>
      <c r="B98" t="s">
        <v>45</v>
      </c>
      <c r="C98" t="s">
        <v>68</v>
      </c>
      <c r="D98" s="15">
        <v>46251.387743055559</v>
      </c>
      <c r="E98" t="s">
        <v>403</v>
      </c>
      <c r="F98">
        <v>15</v>
      </c>
      <c r="G98" s="15">
        <v>46252.638888888891</v>
      </c>
      <c r="H98" t="s">
        <v>356</v>
      </c>
      <c r="I98" t="s">
        <v>369</v>
      </c>
      <c r="J98" t="s">
        <v>239</v>
      </c>
      <c r="K98" t="s">
        <v>348</v>
      </c>
      <c r="L98" t="s">
        <v>369</v>
      </c>
      <c r="M98" t="s">
        <v>239</v>
      </c>
      <c r="N98">
        <v>0</v>
      </c>
      <c r="O98" t="s">
        <v>67</v>
      </c>
      <c r="P98" t="s">
        <v>356</v>
      </c>
      <c r="Q98" t="s">
        <v>217</v>
      </c>
      <c r="R98">
        <v>1</v>
      </c>
    </row>
    <row r="99" spans="1:18" x14ac:dyDescent="0.3">
      <c r="A99" t="s">
        <v>348</v>
      </c>
      <c r="B99" t="s">
        <v>45</v>
      </c>
      <c r="C99" t="s">
        <v>68</v>
      </c>
      <c r="D99" s="15">
        <v>46251.574641203704</v>
      </c>
      <c r="E99" t="s">
        <v>408</v>
      </c>
      <c r="F99">
        <v>15</v>
      </c>
      <c r="G99" s="15">
        <v>46253.486111111109</v>
      </c>
      <c r="H99" t="s">
        <v>358</v>
      </c>
      <c r="I99" t="s">
        <v>370</v>
      </c>
      <c r="J99" t="s">
        <v>239</v>
      </c>
      <c r="K99" t="s">
        <v>348</v>
      </c>
      <c r="L99" t="s">
        <v>369</v>
      </c>
      <c r="M99" t="s">
        <v>239</v>
      </c>
      <c r="O99" t="s">
        <v>67</v>
      </c>
      <c r="P99" t="s">
        <v>358</v>
      </c>
      <c r="Q99" t="s">
        <v>217</v>
      </c>
      <c r="R99">
        <v>1</v>
      </c>
    </row>
    <row r="100" spans="1:18" x14ac:dyDescent="0.3">
      <c r="A100" t="s">
        <v>348</v>
      </c>
      <c r="B100" t="s">
        <v>48</v>
      </c>
      <c r="C100" t="s">
        <v>68</v>
      </c>
      <c r="D100" s="15">
        <v>46252.400995370372</v>
      </c>
      <c r="E100" t="s">
        <v>402</v>
      </c>
      <c r="F100">
        <v>1</v>
      </c>
      <c r="G100" s="15">
        <v>46254.420138888891</v>
      </c>
      <c r="H100" t="s">
        <v>354</v>
      </c>
      <c r="I100" t="s">
        <v>369</v>
      </c>
      <c r="J100" t="s">
        <v>239</v>
      </c>
      <c r="K100" t="s">
        <v>348</v>
      </c>
      <c r="L100" t="s">
        <v>369</v>
      </c>
      <c r="M100" t="s">
        <v>239</v>
      </c>
      <c r="N100">
        <v>0</v>
      </c>
      <c r="O100" t="s">
        <v>90</v>
      </c>
      <c r="P100" t="s">
        <v>354</v>
      </c>
      <c r="Q100" t="s">
        <v>217</v>
      </c>
      <c r="R100">
        <v>1</v>
      </c>
    </row>
    <row r="101" spans="1:18" x14ac:dyDescent="0.3">
      <c r="A101" t="s">
        <v>348</v>
      </c>
      <c r="B101" t="s">
        <v>48</v>
      </c>
      <c r="C101" t="s">
        <v>68</v>
      </c>
      <c r="D101" s="15">
        <v>46252.400995370372</v>
      </c>
      <c r="E101" t="s">
        <v>402</v>
      </c>
      <c r="F101">
        <v>1</v>
      </c>
      <c r="G101" s="15">
        <v>46254.420138888891</v>
      </c>
      <c r="H101" t="s">
        <v>354</v>
      </c>
      <c r="I101" t="s">
        <v>369</v>
      </c>
      <c r="J101" t="s">
        <v>239</v>
      </c>
      <c r="K101" t="s">
        <v>348</v>
      </c>
      <c r="L101" t="s">
        <v>369</v>
      </c>
      <c r="M101" t="s">
        <v>239</v>
      </c>
      <c r="O101" t="s">
        <v>90</v>
      </c>
      <c r="P101" t="s">
        <v>354</v>
      </c>
      <c r="Q101" t="s">
        <v>217</v>
      </c>
    </row>
    <row r="102" spans="1:18" x14ac:dyDescent="0.3">
      <c r="A102" t="s">
        <v>348</v>
      </c>
      <c r="B102" t="s">
        <v>48</v>
      </c>
      <c r="C102" t="s">
        <v>68</v>
      </c>
      <c r="D102" s="15">
        <v>46251.60728009259</v>
      </c>
      <c r="E102" t="s">
        <v>402</v>
      </c>
      <c r="F102">
        <v>1</v>
      </c>
      <c r="G102" s="15">
        <v>46254.420138888891</v>
      </c>
      <c r="H102" t="s">
        <v>354</v>
      </c>
      <c r="I102" t="s">
        <v>369</v>
      </c>
      <c r="J102" t="s">
        <v>239</v>
      </c>
      <c r="K102" t="s">
        <v>348</v>
      </c>
      <c r="L102" t="s">
        <v>369</v>
      </c>
      <c r="M102" t="s">
        <v>239</v>
      </c>
      <c r="N102">
        <v>0</v>
      </c>
      <c r="O102" t="s">
        <v>90</v>
      </c>
      <c r="P102" t="s">
        <v>354</v>
      </c>
      <c r="Q102" t="s">
        <v>217</v>
      </c>
    </row>
    <row r="103" spans="1:18" x14ac:dyDescent="0.3">
      <c r="A103" t="s">
        <v>348</v>
      </c>
      <c r="B103" t="s">
        <v>48</v>
      </c>
      <c r="C103" t="s">
        <v>68</v>
      </c>
      <c r="D103" s="15">
        <v>46252.486481481479</v>
      </c>
      <c r="E103" t="s">
        <v>407</v>
      </c>
      <c r="F103">
        <v>5</v>
      </c>
      <c r="G103" s="15">
        <v>46254.458333333336</v>
      </c>
      <c r="H103" t="s">
        <v>464</v>
      </c>
      <c r="I103" t="s">
        <v>369</v>
      </c>
      <c r="J103" t="s">
        <v>239</v>
      </c>
      <c r="K103" t="s">
        <v>348</v>
      </c>
      <c r="L103" t="s">
        <v>369</v>
      </c>
      <c r="M103" t="s">
        <v>239</v>
      </c>
      <c r="O103" t="s">
        <v>90</v>
      </c>
      <c r="P103" t="s">
        <v>464</v>
      </c>
      <c r="Q103" t="s">
        <v>217</v>
      </c>
      <c r="R103">
        <v>1</v>
      </c>
    </row>
    <row r="104" spans="1:18" x14ac:dyDescent="0.3">
      <c r="A104" s="14" t="s">
        <v>348</v>
      </c>
      <c r="B104" s="14" t="s">
        <v>48</v>
      </c>
      <c r="C104" s="14" t="s">
        <v>68</v>
      </c>
      <c r="D104" s="206">
        <v>46245.434259259258</v>
      </c>
      <c r="E104" s="14" t="s">
        <v>402</v>
      </c>
      <c r="F104" s="14">
        <v>1</v>
      </c>
      <c r="G104" s="206">
        <v>46254.503472222219</v>
      </c>
      <c r="H104" s="14" t="s">
        <v>355</v>
      </c>
      <c r="I104" s="14" t="s">
        <v>369</v>
      </c>
      <c r="J104" s="14" t="s">
        <v>239</v>
      </c>
      <c r="K104" s="14" t="s">
        <v>348</v>
      </c>
      <c r="L104" s="14" t="s">
        <v>369</v>
      </c>
      <c r="M104" s="14" t="s">
        <v>239</v>
      </c>
      <c r="N104" s="14">
        <v>0</v>
      </c>
      <c r="O104" s="14" t="s">
        <v>90</v>
      </c>
      <c r="P104" s="14" t="s">
        <v>355</v>
      </c>
      <c r="Q104" s="14" t="s">
        <v>217</v>
      </c>
      <c r="R104" s="14">
        <v>1</v>
      </c>
    </row>
    <row r="105" spans="1:18" x14ac:dyDescent="0.3">
      <c r="A105" s="14" t="s">
        <v>348</v>
      </c>
      <c r="B105" s="14" t="s">
        <v>45</v>
      </c>
      <c r="C105" s="14" t="s">
        <v>68</v>
      </c>
      <c r="D105" s="206">
        <v>46252.385625000003</v>
      </c>
      <c r="E105" s="14" t="s">
        <v>404</v>
      </c>
      <c r="F105" s="14">
        <v>45</v>
      </c>
      <c r="G105" s="206">
        <v>46254.560416666667</v>
      </c>
      <c r="H105" s="14" t="s">
        <v>358</v>
      </c>
      <c r="I105" s="14" t="s">
        <v>370</v>
      </c>
      <c r="J105" s="14" t="s">
        <v>239</v>
      </c>
      <c r="K105" s="14" t="s">
        <v>348</v>
      </c>
      <c r="L105" s="14" t="s">
        <v>369</v>
      </c>
      <c r="M105" s="14" t="s">
        <v>239</v>
      </c>
      <c r="N105" s="14">
        <v>0</v>
      </c>
      <c r="O105" s="14" t="s">
        <v>67</v>
      </c>
      <c r="P105" s="14" t="s">
        <v>358</v>
      </c>
      <c r="Q105" s="14" t="s">
        <v>217</v>
      </c>
      <c r="R105" s="14">
        <v>1</v>
      </c>
    </row>
    <row r="106" spans="1:18" x14ac:dyDescent="0.3">
      <c r="A106" t="s">
        <v>348</v>
      </c>
      <c r="B106" t="s">
        <v>48</v>
      </c>
      <c r="C106" t="s">
        <v>68</v>
      </c>
      <c r="D106" s="15">
        <v>46246.518310185187</v>
      </c>
      <c r="E106" t="s">
        <v>401</v>
      </c>
      <c r="F106">
        <v>1</v>
      </c>
      <c r="G106" s="15">
        <v>46254.573611111111</v>
      </c>
      <c r="H106" t="s">
        <v>357</v>
      </c>
      <c r="I106" t="s">
        <v>369</v>
      </c>
      <c r="J106" t="s">
        <v>239</v>
      </c>
      <c r="K106" t="s">
        <v>348</v>
      </c>
      <c r="L106" t="s">
        <v>369</v>
      </c>
      <c r="M106" t="s">
        <v>239</v>
      </c>
      <c r="N106">
        <v>0</v>
      </c>
      <c r="O106" t="s">
        <v>90</v>
      </c>
      <c r="P106" t="s">
        <v>357</v>
      </c>
      <c r="Q106" t="s">
        <v>217</v>
      </c>
      <c r="R106">
        <v>1</v>
      </c>
    </row>
    <row r="107" spans="1:18" x14ac:dyDescent="0.3">
      <c r="A107" t="s">
        <v>348</v>
      </c>
      <c r="B107" t="s">
        <v>48</v>
      </c>
      <c r="C107" t="s">
        <v>68</v>
      </c>
      <c r="D107" s="15">
        <v>46251.526550925926</v>
      </c>
      <c r="E107" t="s">
        <v>401</v>
      </c>
      <c r="F107">
        <v>1</v>
      </c>
      <c r="G107" s="15">
        <v>46254.573611111111</v>
      </c>
      <c r="H107" t="s">
        <v>357</v>
      </c>
      <c r="I107" t="s">
        <v>369</v>
      </c>
      <c r="J107" t="s">
        <v>239</v>
      </c>
      <c r="K107" t="s">
        <v>348</v>
      </c>
      <c r="L107" t="s">
        <v>369</v>
      </c>
      <c r="M107" t="s">
        <v>239</v>
      </c>
      <c r="O107" t="s">
        <v>90</v>
      </c>
      <c r="P107" t="s">
        <v>357</v>
      </c>
      <c r="Q107" t="s">
        <v>217</v>
      </c>
    </row>
    <row r="108" spans="1:18" x14ac:dyDescent="0.3">
      <c r="A108" t="s">
        <v>348</v>
      </c>
      <c r="B108" t="s">
        <v>48</v>
      </c>
      <c r="C108" t="s">
        <v>68</v>
      </c>
      <c r="D108" s="15">
        <v>46251.620995370373</v>
      </c>
      <c r="E108" t="s">
        <v>401</v>
      </c>
      <c r="F108">
        <v>2</v>
      </c>
      <c r="G108" s="15">
        <v>46254.573611111111</v>
      </c>
      <c r="H108" t="s">
        <v>357</v>
      </c>
      <c r="I108" t="s">
        <v>369</v>
      </c>
      <c r="J108" t="s">
        <v>239</v>
      </c>
      <c r="K108" t="s">
        <v>348</v>
      </c>
      <c r="L108" t="s">
        <v>369</v>
      </c>
      <c r="M108" t="s">
        <v>239</v>
      </c>
      <c r="O108" t="s">
        <v>90</v>
      </c>
      <c r="P108" t="s">
        <v>357</v>
      </c>
      <c r="Q108" t="s">
        <v>217</v>
      </c>
    </row>
    <row r="109" spans="1:18" x14ac:dyDescent="0.3">
      <c r="A109" t="s">
        <v>348</v>
      </c>
      <c r="B109" t="s">
        <v>48</v>
      </c>
      <c r="C109" t="s">
        <v>68</v>
      </c>
      <c r="D109" s="15">
        <v>46253.381192129629</v>
      </c>
      <c r="E109" t="s">
        <v>401</v>
      </c>
      <c r="F109">
        <v>1</v>
      </c>
      <c r="G109" s="15">
        <v>46255.386805555558</v>
      </c>
      <c r="H109" t="s">
        <v>357</v>
      </c>
      <c r="I109" t="s">
        <v>369</v>
      </c>
      <c r="J109" t="s">
        <v>239</v>
      </c>
      <c r="K109" t="s">
        <v>348</v>
      </c>
      <c r="L109" t="s">
        <v>369</v>
      </c>
      <c r="M109" t="s">
        <v>239</v>
      </c>
      <c r="N109">
        <v>0</v>
      </c>
      <c r="O109" t="s">
        <v>90</v>
      </c>
      <c r="P109" t="s">
        <v>357</v>
      </c>
      <c r="Q109" t="s">
        <v>217</v>
      </c>
      <c r="R109">
        <v>1</v>
      </c>
    </row>
    <row r="110" spans="1:18" x14ac:dyDescent="0.3">
      <c r="A110" t="s">
        <v>348</v>
      </c>
      <c r="B110" t="s">
        <v>48</v>
      </c>
      <c r="C110" t="s">
        <v>68</v>
      </c>
      <c r="D110" s="15">
        <v>46252.576365740744</v>
      </c>
      <c r="E110" t="s">
        <v>742</v>
      </c>
      <c r="F110">
        <v>25</v>
      </c>
      <c r="G110" s="15">
        <v>46255.477083333331</v>
      </c>
      <c r="H110" t="s">
        <v>356</v>
      </c>
      <c r="I110" t="s">
        <v>369</v>
      </c>
      <c r="J110" t="s">
        <v>239</v>
      </c>
      <c r="K110" t="s">
        <v>348</v>
      </c>
      <c r="L110" t="s">
        <v>369</v>
      </c>
      <c r="M110" t="s">
        <v>239</v>
      </c>
      <c r="N110">
        <v>0</v>
      </c>
      <c r="O110" t="s">
        <v>90</v>
      </c>
      <c r="P110" t="s">
        <v>356</v>
      </c>
      <c r="Q110" t="s">
        <v>217</v>
      </c>
      <c r="R110">
        <v>1</v>
      </c>
    </row>
    <row r="111" spans="1:18" x14ac:dyDescent="0.3">
      <c r="A111" t="s">
        <v>348</v>
      </c>
      <c r="B111" t="s">
        <v>48</v>
      </c>
      <c r="C111" t="s">
        <v>68</v>
      </c>
      <c r="D111" s="15">
        <v>46252.581203703703</v>
      </c>
      <c r="E111" t="s">
        <v>742</v>
      </c>
      <c r="F111">
        <v>15</v>
      </c>
      <c r="G111" s="15">
        <v>46255.477083333331</v>
      </c>
      <c r="H111" t="s">
        <v>356</v>
      </c>
      <c r="I111" t="s">
        <v>369</v>
      </c>
      <c r="J111" t="s">
        <v>239</v>
      </c>
      <c r="K111" t="s">
        <v>348</v>
      </c>
      <c r="L111" t="s">
        <v>369</v>
      </c>
      <c r="M111" t="s">
        <v>239</v>
      </c>
      <c r="N111">
        <v>0</v>
      </c>
      <c r="O111" t="s">
        <v>90</v>
      </c>
      <c r="P111" t="s">
        <v>356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46254.394618055558</v>
      </c>
      <c r="E112" t="s">
        <v>402</v>
      </c>
      <c r="F112">
        <v>3</v>
      </c>
      <c r="G112" s="15">
        <v>46255.493055555555</v>
      </c>
      <c r="H112" t="s">
        <v>355</v>
      </c>
      <c r="I112" t="s">
        <v>369</v>
      </c>
      <c r="J112" t="s">
        <v>239</v>
      </c>
      <c r="K112" t="s">
        <v>348</v>
      </c>
      <c r="L112" t="s">
        <v>369</v>
      </c>
      <c r="M112" t="s">
        <v>239</v>
      </c>
      <c r="N112">
        <v>0</v>
      </c>
      <c r="O112" t="s">
        <v>67</v>
      </c>
      <c r="P112" t="s">
        <v>355</v>
      </c>
      <c r="Q112" t="s">
        <v>217</v>
      </c>
      <c r="R112">
        <v>1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46254.395497685182</v>
      </c>
      <c r="E113" t="s">
        <v>402</v>
      </c>
      <c r="F113">
        <v>7</v>
      </c>
      <c r="G113" s="15">
        <v>46255.493055555555</v>
      </c>
      <c r="H113" t="s">
        <v>355</v>
      </c>
      <c r="I113" t="s">
        <v>369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355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46254.396273148152</v>
      </c>
      <c r="E114" t="s">
        <v>402</v>
      </c>
      <c r="F114">
        <v>6</v>
      </c>
      <c r="G114" s="15">
        <v>46255.493055555555</v>
      </c>
      <c r="H114" t="s">
        <v>355</v>
      </c>
      <c r="I114" t="s">
        <v>369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355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46251.598506944443</v>
      </c>
      <c r="E115" t="s">
        <v>398</v>
      </c>
      <c r="F115">
        <v>3</v>
      </c>
      <c r="G115" s="15">
        <v>46255.493055555555</v>
      </c>
      <c r="H115" t="s">
        <v>353</v>
      </c>
      <c r="I115" t="s">
        <v>368</v>
      </c>
      <c r="J115" t="s">
        <v>239</v>
      </c>
      <c r="K115" t="s">
        <v>348</v>
      </c>
      <c r="L115" t="s">
        <v>369</v>
      </c>
      <c r="M115" t="s">
        <v>239</v>
      </c>
      <c r="N115">
        <v>103</v>
      </c>
      <c r="O115" t="s">
        <v>67</v>
      </c>
      <c r="P115" t="s">
        <v>353</v>
      </c>
      <c r="Q115" t="s">
        <v>217</v>
      </c>
      <c r="R115">
        <v>1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46253.542812500003</v>
      </c>
      <c r="E116" t="s">
        <v>398</v>
      </c>
      <c r="F116">
        <v>3</v>
      </c>
      <c r="G116" s="15">
        <v>46255.493055555555</v>
      </c>
      <c r="H116" t="s">
        <v>353</v>
      </c>
      <c r="I116" t="s">
        <v>368</v>
      </c>
      <c r="J116" t="s">
        <v>239</v>
      </c>
      <c r="K116" t="s">
        <v>348</v>
      </c>
      <c r="L116" t="s">
        <v>369</v>
      </c>
      <c r="M116" t="s">
        <v>239</v>
      </c>
      <c r="N116">
        <v>103</v>
      </c>
      <c r="O116" t="s">
        <v>67</v>
      </c>
      <c r="P116" t="s">
        <v>353</v>
      </c>
      <c r="Q116" t="s">
        <v>217</v>
      </c>
    </row>
    <row r="117" spans="1:18" x14ac:dyDescent="0.3">
      <c r="A117" t="s">
        <v>348</v>
      </c>
      <c r="B117" t="s">
        <v>45</v>
      </c>
      <c r="C117" t="s">
        <v>68</v>
      </c>
      <c r="D117" s="15">
        <v>46253.545694444445</v>
      </c>
      <c r="E117" t="s">
        <v>398</v>
      </c>
      <c r="F117">
        <v>3</v>
      </c>
      <c r="G117" s="15">
        <v>46255.493055555555</v>
      </c>
      <c r="H117" t="s">
        <v>353</v>
      </c>
      <c r="I117" t="s">
        <v>368</v>
      </c>
      <c r="J117" t="s">
        <v>239</v>
      </c>
      <c r="K117" t="s">
        <v>348</v>
      </c>
      <c r="L117" t="s">
        <v>369</v>
      </c>
      <c r="M117" t="s">
        <v>239</v>
      </c>
      <c r="O117" t="s">
        <v>67</v>
      </c>
      <c r="P117" t="s">
        <v>353</v>
      </c>
      <c r="Q117" t="s">
        <v>217</v>
      </c>
    </row>
    <row r="118" spans="1:18" x14ac:dyDescent="0.3">
      <c r="A118" t="s">
        <v>348</v>
      </c>
      <c r="B118" t="s">
        <v>45</v>
      </c>
      <c r="C118" t="s">
        <v>68</v>
      </c>
      <c r="D118" s="15">
        <v>46253.545173611114</v>
      </c>
      <c r="E118" t="s">
        <v>398</v>
      </c>
      <c r="F118">
        <v>3</v>
      </c>
      <c r="G118" s="15">
        <v>46255.493055555555</v>
      </c>
      <c r="H118" t="s">
        <v>353</v>
      </c>
      <c r="I118" t="s">
        <v>368</v>
      </c>
      <c r="J118" t="s">
        <v>239</v>
      </c>
      <c r="K118" t="s">
        <v>348</v>
      </c>
      <c r="L118" t="s">
        <v>369</v>
      </c>
      <c r="M118" t="s">
        <v>239</v>
      </c>
      <c r="O118" t="s">
        <v>67</v>
      </c>
      <c r="P118" t="s">
        <v>353</v>
      </c>
      <c r="Q118" t="s">
        <v>217</v>
      </c>
    </row>
    <row r="119" spans="1:18" x14ac:dyDescent="0.3">
      <c r="A119" t="s">
        <v>348</v>
      </c>
      <c r="B119" t="s">
        <v>45</v>
      </c>
      <c r="C119" t="s">
        <v>68</v>
      </c>
      <c r="D119" s="15">
        <v>46254.355046296296</v>
      </c>
      <c r="E119" t="s">
        <v>412</v>
      </c>
      <c r="F119">
        <v>35</v>
      </c>
      <c r="G119" s="15">
        <v>46258.410416666666</v>
      </c>
      <c r="H119" t="s">
        <v>359</v>
      </c>
      <c r="I119" t="s">
        <v>368</v>
      </c>
      <c r="J119" t="s">
        <v>239</v>
      </c>
      <c r="K119" t="s">
        <v>348</v>
      </c>
      <c r="L119" t="s">
        <v>369</v>
      </c>
      <c r="M119" t="s">
        <v>239</v>
      </c>
      <c r="N119">
        <v>93</v>
      </c>
      <c r="O119" t="s">
        <v>67</v>
      </c>
      <c r="P119" t="s">
        <v>465</v>
      </c>
      <c r="Q119" t="s">
        <v>217</v>
      </c>
      <c r="R119">
        <v>1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46255.309004629627</v>
      </c>
      <c r="E120" t="s">
        <v>402</v>
      </c>
      <c r="F120">
        <v>9</v>
      </c>
      <c r="G120" s="15">
        <v>46258.458333333336</v>
      </c>
      <c r="H120" t="s">
        <v>355</v>
      </c>
      <c r="I120" t="s">
        <v>369</v>
      </c>
      <c r="J120" t="s">
        <v>239</v>
      </c>
      <c r="K120" t="s">
        <v>348</v>
      </c>
      <c r="L120" t="s">
        <v>369</v>
      </c>
      <c r="M120" t="s">
        <v>239</v>
      </c>
      <c r="N120">
        <v>0</v>
      </c>
      <c r="O120" t="s">
        <v>67</v>
      </c>
      <c r="P120" t="s">
        <v>355</v>
      </c>
      <c r="Q120" t="s">
        <v>217</v>
      </c>
      <c r="R120">
        <v>1</v>
      </c>
    </row>
    <row r="121" spans="1:18" x14ac:dyDescent="0.3">
      <c r="A121" t="s">
        <v>348</v>
      </c>
      <c r="B121" t="s">
        <v>48</v>
      </c>
      <c r="C121" t="s">
        <v>68</v>
      </c>
      <c r="D121" s="15">
        <v>46254.383645833332</v>
      </c>
      <c r="E121" t="s">
        <v>401</v>
      </c>
      <c r="F121">
        <v>1</v>
      </c>
      <c r="G121" s="15">
        <v>46258.484027777777</v>
      </c>
      <c r="H121" t="s">
        <v>357</v>
      </c>
      <c r="I121" t="s">
        <v>369</v>
      </c>
      <c r="J121" t="s">
        <v>239</v>
      </c>
      <c r="K121" t="s">
        <v>348</v>
      </c>
      <c r="L121" t="s">
        <v>369</v>
      </c>
      <c r="M121" t="s">
        <v>239</v>
      </c>
      <c r="N121">
        <v>0</v>
      </c>
      <c r="O121" t="s">
        <v>90</v>
      </c>
      <c r="P121" t="s">
        <v>357</v>
      </c>
      <c r="Q121" t="s">
        <v>217</v>
      </c>
      <c r="R121">
        <v>1</v>
      </c>
    </row>
    <row r="122" spans="1:18" x14ac:dyDescent="0.3">
      <c r="A122" t="s">
        <v>348</v>
      </c>
      <c r="B122" t="s">
        <v>48</v>
      </c>
      <c r="C122" t="s">
        <v>68</v>
      </c>
      <c r="D122" s="15">
        <v>46246.459398148145</v>
      </c>
      <c r="E122" t="s">
        <v>401</v>
      </c>
      <c r="F122">
        <v>1</v>
      </c>
      <c r="G122" s="15">
        <v>46258.484027777777</v>
      </c>
      <c r="H122" t="s">
        <v>357</v>
      </c>
      <c r="I122" t="s">
        <v>369</v>
      </c>
      <c r="J122" t="s">
        <v>239</v>
      </c>
      <c r="K122" t="s">
        <v>348</v>
      </c>
      <c r="L122" t="s">
        <v>369</v>
      </c>
      <c r="M122" t="s">
        <v>239</v>
      </c>
      <c r="O122" t="s">
        <v>90</v>
      </c>
      <c r="P122" t="s">
        <v>357</v>
      </c>
      <c r="Q122" t="s">
        <v>217</v>
      </c>
    </row>
    <row r="123" spans="1:18" x14ac:dyDescent="0.3">
      <c r="A123" t="s">
        <v>348</v>
      </c>
      <c r="B123" t="s">
        <v>48</v>
      </c>
      <c r="C123" t="s">
        <v>68</v>
      </c>
      <c r="D123" s="15">
        <v>46245.580497685187</v>
      </c>
      <c r="E123" t="s">
        <v>401</v>
      </c>
      <c r="F123">
        <v>1</v>
      </c>
      <c r="G123" s="15">
        <v>46258.484027777777</v>
      </c>
      <c r="H123" t="s">
        <v>357</v>
      </c>
      <c r="I123" t="s">
        <v>369</v>
      </c>
      <c r="J123" t="s">
        <v>239</v>
      </c>
      <c r="K123" t="s">
        <v>348</v>
      </c>
      <c r="L123" t="s">
        <v>369</v>
      </c>
      <c r="M123" t="s">
        <v>239</v>
      </c>
      <c r="O123" t="s">
        <v>90</v>
      </c>
      <c r="P123" t="s">
        <v>357</v>
      </c>
      <c r="Q123" t="s">
        <v>217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topLeftCell="A19" workbookViewId="0">
      <selection activeCell="M30" sqref="M30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45"/>
      <c r="B2" s="269" t="s">
        <v>635</v>
      </c>
      <c r="C2" s="270"/>
      <c r="D2" s="270"/>
      <c r="E2" s="270"/>
      <c r="F2" s="270"/>
      <c r="G2" s="270"/>
      <c r="H2" s="270"/>
      <c r="I2" s="270"/>
      <c r="J2" s="270"/>
      <c r="K2" s="270"/>
      <c r="L2" s="270"/>
      <c r="M2" s="270"/>
      <c r="N2" s="270"/>
      <c r="O2" s="271"/>
      <c r="Q2" s="1"/>
    </row>
    <row r="3" spans="1:26" ht="15.6" thickTop="1" thickBot="1" x14ac:dyDescent="0.35">
      <c r="B3" s="272" t="s">
        <v>636</v>
      </c>
      <c r="C3" s="270"/>
      <c r="D3" s="270"/>
      <c r="E3" s="270"/>
      <c r="F3" s="270"/>
      <c r="G3" s="270"/>
      <c r="H3" s="270"/>
      <c r="I3" s="270"/>
      <c r="J3" s="270"/>
      <c r="K3" s="270"/>
      <c r="L3" s="270"/>
      <c r="M3" s="270"/>
      <c r="N3" s="274"/>
      <c r="O3" s="271"/>
      <c r="Q3" s="2"/>
      <c r="R3" s="1"/>
    </row>
    <row r="4" spans="1:26" ht="15" thickTop="1" x14ac:dyDescent="0.3">
      <c r="B4" s="289" t="s">
        <v>674</v>
      </c>
      <c r="C4" s="274"/>
      <c r="D4" s="50" t="s">
        <v>707</v>
      </c>
      <c r="E4" s="50"/>
      <c r="F4" s="8"/>
      <c r="G4" s="8"/>
      <c r="H4" s="13"/>
      <c r="I4" s="8" t="s">
        <v>675</v>
      </c>
      <c r="J4" s="131" t="s">
        <v>708</v>
      </c>
      <c r="K4" s="50"/>
      <c r="L4" s="275" t="s">
        <v>638</v>
      </c>
      <c r="M4" s="52" t="s">
        <v>639</v>
      </c>
      <c r="N4" s="192">
        <f>VLOOKUP("PA-LT2", TabelaFDMPorContrato[[Contrato]:[IAPFARQ1]],4,0)</f>
        <v>20</v>
      </c>
      <c r="O4" s="53"/>
      <c r="Q4" s="2"/>
      <c r="R4" s="1"/>
    </row>
    <row r="5" spans="1:26" x14ac:dyDescent="0.3">
      <c r="B5" s="290" t="s">
        <v>677</v>
      </c>
      <c r="C5" s="276"/>
      <c r="D5" s="132">
        <v>4600687006</v>
      </c>
      <c r="E5" s="54"/>
      <c r="F5" s="8"/>
      <c r="G5" s="8"/>
      <c r="H5" s="13"/>
      <c r="I5" s="55" t="s">
        <v>640</v>
      </c>
      <c r="J5" s="54" t="s">
        <v>709</v>
      </c>
      <c r="K5" s="56"/>
      <c r="L5" s="276"/>
      <c r="M5" s="57" t="s">
        <v>641</v>
      </c>
      <c r="N5" s="155">
        <f>VLOOKUP("PA-LT2", TabelaFDMPorContrato[[Contrato]:[FDM1]],6,0)</f>
        <v>0.95</v>
      </c>
      <c r="O5" s="58"/>
      <c r="Q5" s="2"/>
      <c r="R5" s="1"/>
    </row>
    <row r="6" spans="1:26" x14ac:dyDescent="0.3">
      <c r="B6" s="290" t="s">
        <v>679</v>
      </c>
      <c r="C6" s="276"/>
      <c r="D6" s="278" t="s">
        <v>710</v>
      </c>
      <c r="E6" s="276"/>
      <c r="F6" s="276"/>
      <c r="G6" s="276"/>
      <c r="H6" s="276"/>
      <c r="I6" s="55" t="s">
        <v>642</v>
      </c>
      <c r="J6" s="50" t="s">
        <v>711</v>
      </c>
      <c r="K6" s="54"/>
      <c r="L6" s="280" t="s">
        <v>643</v>
      </c>
      <c r="M6" s="57" t="s">
        <v>639</v>
      </c>
      <c r="N6" s="155">
        <f>VLOOKUP("PA-LT2", TabelaFDMPorContrato[[Contrato]:[IAPFARQ2]],9,0)</f>
        <v>92.98</v>
      </c>
      <c r="O6" s="59"/>
      <c r="Q6" s="2"/>
      <c r="R6" s="1"/>
    </row>
    <row r="7" spans="1:26" ht="15" thickBot="1" x14ac:dyDescent="0.35">
      <c r="B7" s="291"/>
      <c r="C7" s="279"/>
      <c r="D7" s="279"/>
      <c r="E7" s="279"/>
      <c r="F7" s="279"/>
      <c r="G7" s="279"/>
      <c r="H7" s="279"/>
      <c r="I7" s="60" t="s">
        <v>644</v>
      </c>
      <c r="J7" s="61" t="s">
        <v>712</v>
      </c>
      <c r="K7" s="61"/>
      <c r="L7" s="279"/>
      <c r="M7" s="62" t="s">
        <v>641</v>
      </c>
      <c r="N7" s="191">
        <f>VLOOKUP("PA-LT2", TabelaFDMPorContrato[[Contrato]:[FDM2]],11,0)</f>
        <v>0.98</v>
      </c>
      <c r="O7" s="64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0"/>
      <c r="K8" s="50"/>
      <c r="L8" s="8"/>
      <c r="M8" s="55"/>
      <c r="N8" s="65"/>
      <c r="Q8" s="1"/>
      <c r="R8" s="1"/>
    </row>
    <row r="9" spans="1:26" ht="8.25" customHeight="1" x14ac:dyDescent="0.3">
      <c r="H9" s="66"/>
      <c r="I9" s="1"/>
      <c r="J9" s="50"/>
      <c r="K9" s="50"/>
      <c r="L9" s="50"/>
      <c r="M9" s="50"/>
      <c r="Q9" s="1"/>
      <c r="R9" s="1"/>
    </row>
    <row r="10" spans="1:26" x14ac:dyDescent="0.3">
      <c r="A10" s="45"/>
      <c r="B10" s="45"/>
      <c r="C10" s="67" t="s">
        <v>2</v>
      </c>
      <c r="D10" s="247" t="s">
        <v>0</v>
      </c>
      <c r="E10" s="252"/>
      <c r="F10" s="252"/>
      <c r="G10" s="252"/>
      <c r="H10" s="248"/>
      <c r="I10" s="68" t="s">
        <v>40</v>
      </c>
      <c r="J10" s="69" t="s">
        <v>521</v>
      </c>
      <c r="K10" s="69" t="s">
        <v>645</v>
      </c>
      <c r="L10" s="69" t="s">
        <v>646</v>
      </c>
      <c r="M10" s="70" t="s">
        <v>647</v>
      </c>
      <c r="N10" s="71" t="s">
        <v>143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45"/>
      <c r="B11" s="45"/>
      <c r="C11" s="72">
        <v>1</v>
      </c>
      <c r="D11" s="133" t="s">
        <v>648</v>
      </c>
      <c r="E11" s="76"/>
      <c r="F11" s="76"/>
      <c r="G11" s="76"/>
      <c r="H11" s="77"/>
      <c r="I11" s="76"/>
      <c r="J11" s="76"/>
      <c r="K11" s="76"/>
      <c r="L11" s="76"/>
      <c r="M11" s="77"/>
      <c r="N11" s="78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45"/>
      <c r="B12" s="45"/>
      <c r="C12" s="134"/>
      <c r="D12" s="80" t="s">
        <v>211</v>
      </c>
      <c r="E12" s="263" t="s">
        <v>683</v>
      </c>
      <c r="F12" s="256"/>
      <c r="G12" s="256"/>
      <c r="H12" s="256"/>
      <c r="I12" s="135"/>
      <c r="J12" s="82"/>
      <c r="K12" s="136"/>
      <c r="L12" s="84"/>
      <c r="M12" s="85"/>
      <c r="N12" s="288"/>
      <c r="Q12" s="1"/>
    </row>
    <row r="13" spans="1:26" x14ac:dyDescent="0.3">
      <c r="A13" s="45"/>
      <c r="B13" s="45"/>
      <c r="C13" s="137" t="s">
        <v>66</v>
      </c>
      <c r="D13" s="87" t="s">
        <v>504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11">
        <f>SUMIF(ARM_PA_LT2[Linha de serviço PPU], $D$12,ARM_PA_LT2[QUA])</f>
        <v>102167</v>
      </c>
      <c r="K13" s="138">
        <f>J13*$N$5</f>
        <v>97058.65</v>
      </c>
      <c r="L13" s="92">
        <f>IFERROR( VLOOKUP(D12,PPU_PA_LT2[[Linha de Serviço]:[P. Unitário (R$)]],4,0), "N/A")</f>
        <v>0.9</v>
      </c>
      <c r="M13" s="93">
        <f>K13*L13</f>
        <v>87352.785000000003</v>
      </c>
      <c r="N13" s="265"/>
      <c r="P13" s="94"/>
      <c r="Q13" s="1"/>
    </row>
    <row r="14" spans="1:26" x14ac:dyDescent="0.3">
      <c r="A14" s="45"/>
      <c r="B14" s="45"/>
      <c r="C14" s="139"/>
      <c r="D14" s="95">
        <f>SUMIF(ARM_PA_LT2[Linha de serviço PPU], $D$12, ARM_PA_LT2[QUAm-1])</f>
        <v>84801</v>
      </c>
      <c r="E14" s="96">
        <f>SUMIF(ARM_PA_LT2[Linha de serviço PPU], $D$12, ARM_PA_LT2[QBm])</f>
        <v>0</v>
      </c>
      <c r="F14" s="96">
        <f>SUMIF(ARM_PA_LT2[Linha de serviço PPU], $D$12, ARM_PA_LT2[QDm])</f>
        <v>0</v>
      </c>
      <c r="G14" s="97">
        <f>SUMIF(ARM_PA_LT2[Linha de serviço PPU], $D$12, ARM_PA_LT2[QNm])</f>
        <v>17366</v>
      </c>
      <c r="H14" s="98">
        <f>(D14-E14-F14)+G14</f>
        <v>102167</v>
      </c>
      <c r="I14" s="99"/>
      <c r="J14" s="100"/>
      <c r="K14" s="140"/>
      <c r="L14" s="102"/>
      <c r="M14" s="103"/>
      <c r="N14" s="266"/>
      <c r="Q14" s="1"/>
    </row>
    <row r="15" spans="1:26" ht="15" customHeight="1" x14ac:dyDescent="0.3">
      <c r="A15" s="45"/>
      <c r="B15" s="45"/>
      <c r="C15" s="134"/>
      <c r="D15" s="80" t="s">
        <v>212</v>
      </c>
      <c r="E15" s="263" t="s">
        <v>684</v>
      </c>
      <c r="F15" s="256"/>
      <c r="G15" s="256"/>
      <c r="H15" s="256"/>
      <c r="I15" s="141"/>
      <c r="J15" s="105"/>
      <c r="K15" s="142"/>
      <c r="L15" s="106"/>
      <c r="M15" s="107"/>
      <c r="N15" s="288"/>
      <c r="Q15" s="1"/>
    </row>
    <row r="16" spans="1:26" x14ac:dyDescent="0.3">
      <c r="A16" s="45"/>
      <c r="B16" s="45"/>
      <c r="C16" s="137" t="s">
        <v>72</v>
      </c>
      <c r="D16" s="87" t="s">
        <v>504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11">
        <f>SUMIF(ARM_PA_LT2[Linha de serviço PPU], D15,ARM_PA_LT2[QUA])</f>
        <v>0</v>
      </c>
      <c r="K16" s="138">
        <f>J16*$N$5</f>
        <v>0</v>
      </c>
      <c r="L16" s="92">
        <f>IFERROR( VLOOKUP(D15,PPU_PA_LT2[[Linha de Serviço]:[P. Unitário (R$)]],4,0), "N/A")</f>
        <v>0.9</v>
      </c>
      <c r="M16" s="93">
        <f>K16*L16</f>
        <v>0</v>
      </c>
      <c r="N16" s="265"/>
      <c r="Q16" s="1"/>
    </row>
    <row r="17" spans="1:17" x14ac:dyDescent="0.3">
      <c r="A17" s="45"/>
      <c r="B17" s="45"/>
      <c r="C17" s="139"/>
      <c r="D17" s="95">
        <f>SUMIF(ARM_PA_LT2[Linha de serviço PPU], $D$15, ARM_PA_LT2[QUAm-1])</f>
        <v>0</v>
      </c>
      <c r="E17" s="96">
        <f>SUMIF(ARM_PA_LT2[Linha de serviço PPU], $D$15, ARM_PA_LT2[QBm])</f>
        <v>0</v>
      </c>
      <c r="F17" s="96">
        <f>SUMIF(ARM_PA_LT2[Linha de serviço PPU], $D$15, ARM_PA_LT2[QDm])</f>
        <v>0</v>
      </c>
      <c r="G17" s="97">
        <f>SUMIF(ARM_PA_LT2[Linha de serviço PPU], $D$15, ARM_PA_LT2[QNm])</f>
        <v>0</v>
      </c>
      <c r="H17" s="98">
        <f>(D17-E17-F17)+G17</f>
        <v>0</v>
      </c>
      <c r="I17" s="99"/>
      <c r="J17" s="100"/>
      <c r="K17" s="140"/>
      <c r="L17" s="102"/>
      <c r="M17" s="103"/>
      <c r="N17" s="266"/>
      <c r="Q17" s="1"/>
    </row>
    <row r="18" spans="1:17" ht="15" customHeight="1" x14ac:dyDescent="0.3">
      <c r="A18" s="45"/>
      <c r="B18" s="45"/>
      <c r="C18" s="134"/>
      <c r="D18" s="80" t="s">
        <v>213</v>
      </c>
      <c r="E18" s="263" t="s">
        <v>685</v>
      </c>
      <c r="F18" s="256"/>
      <c r="G18" s="256"/>
      <c r="H18" s="256"/>
      <c r="I18" s="141"/>
      <c r="J18" s="105"/>
      <c r="K18" s="142"/>
      <c r="L18" s="106"/>
      <c r="M18" s="107"/>
      <c r="N18" s="288"/>
      <c r="Q18" s="1"/>
    </row>
    <row r="19" spans="1:17" x14ac:dyDescent="0.3">
      <c r="A19" s="45"/>
      <c r="B19" s="45"/>
      <c r="C19" s="137" t="s">
        <v>75</v>
      </c>
      <c r="D19" s="87" t="s">
        <v>504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11">
        <f>SUMIF(ARM_PA_LT2[Linha de serviço PPU], D18,ARM_PA_LT2[QUA])</f>
        <v>2</v>
      </c>
      <c r="K19" s="138">
        <f>J19*$N$5</f>
        <v>1.9</v>
      </c>
      <c r="L19" s="92">
        <f>IFERROR( VLOOKUP(D18,PPU_PA_LT2[[Linha de Serviço]:[P. Unitário (R$)]],4,0), "N/A")</f>
        <v>0.9</v>
      </c>
      <c r="M19" s="93">
        <f>K19*L19</f>
        <v>1.71</v>
      </c>
      <c r="N19" s="265"/>
      <c r="Q19" s="1"/>
    </row>
    <row r="20" spans="1:17" x14ac:dyDescent="0.3">
      <c r="A20" s="45"/>
      <c r="B20" s="45"/>
      <c r="C20" s="139"/>
      <c r="D20" s="95">
        <f>SUMIF(ARM_PA_LT2[Linha de serviço PPU], D18, ARM_PA_LT2[QUAm-1])</f>
        <v>0</v>
      </c>
      <c r="E20" s="96">
        <f>SUMIF(ARM_PA_LT2[Linha de serviço PPU], D18, ARM_PA_LT2[QBm])</f>
        <v>0</v>
      </c>
      <c r="F20" s="96">
        <f>SUMIF(ARM_PA_LT2[Linha de serviço PPU], D18, ARM_PA_LT2[QDm])</f>
        <v>0</v>
      </c>
      <c r="G20" s="97">
        <f>SUMIF(ARM_PA_LT2[Linha de serviço PPU], D18, ARM_PA_LT2[QNm])</f>
        <v>2</v>
      </c>
      <c r="H20" s="98">
        <f>(D20-E20-F20)+G20</f>
        <v>2</v>
      </c>
      <c r="I20" s="99"/>
      <c r="J20" s="100"/>
      <c r="K20" s="140"/>
      <c r="L20" s="102"/>
      <c r="M20" s="103"/>
      <c r="N20" s="266"/>
      <c r="Q20" s="1"/>
    </row>
    <row r="21" spans="1:17" ht="15" customHeight="1" x14ac:dyDescent="0.3">
      <c r="A21" s="45"/>
      <c r="B21" s="45"/>
      <c r="C21" s="134"/>
      <c r="D21" s="80" t="s">
        <v>214</v>
      </c>
      <c r="E21" s="263" t="s">
        <v>686</v>
      </c>
      <c r="F21" s="256"/>
      <c r="G21" s="256"/>
      <c r="H21" s="256"/>
      <c r="I21" s="141"/>
      <c r="J21" s="105"/>
      <c r="K21" s="142"/>
      <c r="L21" s="106"/>
      <c r="M21" s="107"/>
      <c r="N21" s="288"/>
      <c r="Q21" s="1"/>
    </row>
    <row r="22" spans="1:17" ht="15.75" customHeight="1" x14ac:dyDescent="0.3">
      <c r="A22" s="45"/>
      <c r="B22" s="45"/>
      <c r="C22" s="137" t="s">
        <v>77</v>
      </c>
      <c r="D22" s="87" t="s">
        <v>504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11">
        <f>SUMIF(ARM_PA_LT2[Linha de serviço PPU], D21,ARM_PA_LT2[QUA])</f>
        <v>0</v>
      </c>
      <c r="K22" s="138">
        <f>J22*$N$5</f>
        <v>0</v>
      </c>
      <c r="L22" s="92">
        <f>IFERROR( VLOOKUP(D21,PPU_PA_LT2[[Linha de Serviço]:[P. Unitário (R$)]],4,0), "N/A")</f>
        <v>70</v>
      </c>
      <c r="M22" s="93">
        <f>K22*L22</f>
        <v>0</v>
      </c>
      <c r="N22" s="265"/>
      <c r="Q22" s="1"/>
    </row>
    <row r="23" spans="1:17" ht="15.75" customHeight="1" x14ac:dyDescent="0.3">
      <c r="A23" s="45"/>
      <c r="B23" s="45"/>
      <c r="C23" s="139"/>
      <c r="D23" s="95">
        <f>SUMIF(ARM_PA_LT2[Linha de serviço PPU], D21, ARM_PA_LT2[QUAm-1])</f>
        <v>0</v>
      </c>
      <c r="E23" s="96">
        <f>SUMIF(ARM_PA_LT2[Linha de serviço PPU], D21, ARM_PA_LT2[QBm])</f>
        <v>0</v>
      </c>
      <c r="F23" s="96">
        <f>SUMIF(ARM_PA_LT2[Linha de serviço PPU], D21, ARM_PA_LT2[QDm])</f>
        <v>0</v>
      </c>
      <c r="G23" s="97">
        <f>SUMIF(ARM_PA_LT2[Linha de serviço PPU], D21, ARM_PA_LT2[QNm])</f>
        <v>0</v>
      </c>
      <c r="H23" s="98">
        <f>(D23-E23-F23)+G23</f>
        <v>0</v>
      </c>
      <c r="I23" s="99"/>
      <c r="J23" s="100"/>
      <c r="K23" s="140"/>
      <c r="L23" s="102"/>
      <c r="M23" s="103"/>
      <c r="N23" s="266"/>
      <c r="Q23" s="1"/>
    </row>
    <row r="24" spans="1:17" ht="15" customHeight="1" x14ac:dyDescent="0.3">
      <c r="A24" s="45"/>
      <c r="B24" s="45"/>
      <c r="C24" s="134"/>
      <c r="D24" s="80" t="s">
        <v>215</v>
      </c>
      <c r="E24" s="263" t="s">
        <v>687</v>
      </c>
      <c r="F24" s="256"/>
      <c r="G24" s="256"/>
      <c r="H24" s="256"/>
      <c r="I24" s="141"/>
      <c r="J24" s="105"/>
      <c r="K24" s="142"/>
      <c r="L24" s="106"/>
      <c r="M24" s="107"/>
      <c r="N24" s="288"/>
      <c r="Q24" s="1"/>
    </row>
    <row r="25" spans="1:17" ht="15.75" customHeight="1" x14ac:dyDescent="0.3">
      <c r="A25" s="45"/>
      <c r="B25" s="45"/>
      <c r="C25" s="137" t="s">
        <v>84</v>
      </c>
      <c r="D25" s="87" t="s">
        <v>504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11">
        <f>SUMIF(ARM_PA_LT2[Linha de serviço PPU], D24,ARM_PA_LT2[QUA])</f>
        <v>0</v>
      </c>
      <c r="K25" s="138">
        <f>J25*$N$5</f>
        <v>0</v>
      </c>
      <c r="L25" s="92">
        <f>IFERROR( VLOOKUP(D24,PPU_PA_LT2[[Linha de Serviço]:[P. Unitário (R$)]],4,0), "N/A")</f>
        <v>0.1</v>
      </c>
      <c r="M25" s="93">
        <f>K25*L25</f>
        <v>0</v>
      </c>
      <c r="N25" s="265"/>
      <c r="Q25" s="1"/>
    </row>
    <row r="26" spans="1:17" ht="15.75" customHeight="1" x14ac:dyDescent="0.3">
      <c r="A26" s="45"/>
      <c r="B26" s="45"/>
      <c r="C26" s="139"/>
      <c r="D26" s="95">
        <f>SUMIF(ARM_PA_LT2[Linha de serviço PPU], D24, ARM_PA_LT2[QUAm-1])</f>
        <v>0</v>
      </c>
      <c r="E26" s="96">
        <f>SUMIF(ARM_PA_LT2[Linha de serviço PPU], D24, ARM_PA_LT2[QBm])</f>
        <v>0</v>
      </c>
      <c r="F26" s="96">
        <f>SUMIF(ARM_PA_LT2[Linha de serviço PPU], D24, ARM_PA_LT2[QDm])</f>
        <v>0</v>
      </c>
      <c r="G26" s="97">
        <f>SUMIF(ARM_PA_LT2[Linha de serviço PPU], D24, ARM_PA_LT2[QNm])</f>
        <v>0</v>
      </c>
      <c r="H26" s="98">
        <f>(D26-E26-F26)+G26</f>
        <v>0</v>
      </c>
      <c r="I26" s="99"/>
      <c r="J26" s="100"/>
      <c r="K26" s="140"/>
      <c r="L26" s="102"/>
      <c r="M26" s="103"/>
      <c r="N26" s="266"/>
      <c r="Q26" s="1"/>
    </row>
    <row r="27" spans="1:17" ht="15" customHeight="1" x14ac:dyDescent="0.3">
      <c r="A27" s="45"/>
      <c r="B27" s="45"/>
      <c r="C27" s="134"/>
      <c r="D27" s="80" t="s">
        <v>216</v>
      </c>
      <c r="E27" s="263" t="s">
        <v>688</v>
      </c>
      <c r="F27" s="256"/>
      <c r="G27" s="256"/>
      <c r="H27" s="256"/>
      <c r="I27" s="143"/>
      <c r="J27" s="111"/>
      <c r="K27" s="138"/>
      <c r="L27" s="92"/>
      <c r="M27" s="93"/>
      <c r="N27" s="288"/>
      <c r="Q27" s="1"/>
    </row>
    <row r="28" spans="1:17" ht="15.75" customHeight="1" x14ac:dyDescent="0.3">
      <c r="A28" s="45"/>
      <c r="B28" s="45"/>
      <c r="C28" s="137" t="s">
        <v>87</v>
      </c>
      <c r="D28" s="87" t="s">
        <v>504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11">
        <f>SUMIF(ARM_PA_LT2[Linha de serviço PPU], D27,ARM_PA_LT2[QUA])</f>
        <v>0</v>
      </c>
      <c r="K28" s="138">
        <f>J28*$N$5</f>
        <v>0</v>
      </c>
      <c r="L28" s="92">
        <f>IFERROR( VLOOKUP(D27,PPU_PA_LT2[[Linha de Serviço]:[P. Unitário (R$)]],4,0), "N/A")</f>
        <v>0.1</v>
      </c>
      <c r="M28" s="93">
        <f>K28*L28</f>
        <v>0</v>
      </c>
      <c r="N28" s="265"/>
      <c r="Q28" s="1"/>
    </row>
    <row r="29" spans="1:17" ht="15.75" customHeight="1" x14ac:dyDescent="0.3">
      <c r="A29" s="45"/>
      <c r="B29" s="45"/>
      <c r="C29" s="139"/>
      <c r="D29" s="95">
        <f>SUMIF(ARM_PA_LT2[Linha de serviço PPU], D27, ARM_PA_LT2[QUAm-1])</f>
        <v>0</v>
      </c>
      <c r="E29" s="96">
        <f>SUMIF(ARM_PA_LT2[Linha de serviço PPU], D27, ARM_PA_LT2[QBm])</f>
        <v>0</v>
      </c>
      <c r="F29" s="96">
        <f>SUMIF(ARM_PA_LT2[Linha de serviço PPU], D27, ARM_PA_LT2[QDm])</f>
        <v>0</v>
      </c>
      <c r="G29" s="97">
        <f>SUMIF(ARM_PA_LT2[Linha de serviço PPU], D27, ARM_PA_LT2[QNm])</f>
        <v>0</v>
      </c>
      <c r="H29" s="98">
        <f>(D29-E29-F29)+G29</f>
        <v>0</v>
      </c>
      <c r="I29" s="99"/>
      <c r="J29" s="100"/>
      <c r="K29" s="140"/>
      <c r="L29" s="102"/>
      <c r="M29" s="103"/>
      <c r="N29" s="266"/>
      <c r="Q29" s="1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67" t="s">
        <v>689</v>
      </c>
      <c r="F30" s="267"/>
      <c r="G30" s="267"/>
      <c r="H30" s="268"/>
      <c r="I30" s="99" t="s">
        <v>90</v>
      </c>
      <c r="J30" s="144">
        <f>SUMIF(DADOS_PA_LT2[Linha de serviço PPU],D30,DADOS_PA_LT2[QExecAgrupado])</f>
        <v>2</v>
      </c>
      <c r="K30" s="140">
        <f>J30*$N$5</f>
        <v>1.9</v>
      </c>
      <c r="L30" s="145">
        <f>IFERROR( VLOOKUP(D30,PPU_PA_LT2[[Linha de Serviço]:[P. Unitário (R$)]],4,0), "N/A")</f>
        <v>50</v>
      </c>
      <c r="M30" s="103">
        <f>K30*L30</f>
        <v>95</v>
      </c>
      <c r="N30" s="146"/>
      <c r="Q30" s="1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6" t="s">
        <v>690</v>
      </c>
      <c r="F31" s="256"/>
      <c r="G31" s="256"/>
      <c r="H31" s="256"/>
      <c r="I31" s="117" t="s">
        <v>90</v>
      </c>
      <c r="J31" s="144">
        <f>SUMIF(DADOS_PA_LT2[Linha de serviço PPU],D31,DADOS_PA_LT2[QExecAgrupado])</f>
        <v>0</v>
      </c>
      <c r="K31" s="140">
        <f t="shared" ref="K31:K35" si="0">J31*$N$5</f>
        <v>0</v>
      </c>
      <c r="L31" s="145">
        <f>IFERROR( VLOOKUP(D31,PPU_PA_LT2[[Linha de Serviço]:[P. Unitário (R$)]],4,0), "N/A")</f>
        <v>100</v>
      </c>
      <c r="M31" s="103">
        <f t="shared" ref="M31:M46" si="1">K31*L31</f>
        <v>0</v>
      </c>
      <c r="N31" s="146"/>
      <c r="Q31" s="1"/>
    </row>
    <row r="32" spans="1:17" ht="15" customHeight="1" x14ac:dyDescent="0.3">
      <c r="A32" s="45"/>
      <c r="B32" s="45"/>
      <c r="C32" s="116" t="s">
        <v>649</v>
      </c>
      <c r="D32" s="80" t="s">
        <v>691</v>
      </c>
      <c r="E32" s="256" t="s">
        <v>692</v>
      </c>
      <c r="F32" s="256"/>
      <c r="G32" s="256"/>
      <c r="H32" s="256"/>
      <c r="I32" s="117" t="s">
        <v>650</v>
      </c>
      <c r="J32" s="144">
        <f>SUM(DADOS_PA_LT2[KM Adicional])</f>
        <v>678</v>
      </c>
      <c r="K32" s="140">
        <f t="shared" si="0"/>
        <v>644.1</v>
      </c>
      <c r="L32" s="145">
        <f>IFERROR( VLOOKUP(D32,PPU_PA_LT2[[Linha de Serviço]:[P. Unitário (R$)]],4,0), "N/A")</f>
        <v>1</v>
      </c>
      <c r="M32" s="103">
        <f t="shared" si="1"/>
        <v>644.1</v>
      </c>
      <c r="N32" s="146"/>
      <c r="Q32" s="1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57" t="s">
        <v>13</v>
      </c>
      <c r="F33" s="258"/>
      <c r="G33" s="258"/>
      <c r="H33" s="259"/>
      <c r="I33" s="117" t="s">
        <v>651</v>
      </c>
      <c r="J33" s="144">
        <f>SUMIF(DADOS_PA_LT2[Linha de serviço PPU],D33,DADOS_PA_LT2[QExecAgrupado])</f>
        <v>0</v>
      </c>
      <c r="K33" s="140">
        <f t="shared" si="0"/>
        <v>0</v>
      </c>
      <c r="L33" s="145">
        <f>IFERROR( VLOOKUP(D33,PPU_PA_LT2[[Linha de Serviço]:[P. Unitário (R$)]],4,0), "N/A")</f>
        <v>3</v>
      </c>
      <c r="M33" s="103">
        <f t="shared" si="1"/>
        <v>0</v>
      </c>
      <c r="N33" s="146"/>
      <c r="Q33" s="1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57" t="s">
        <v>15</v>
      </c>
      <c r="F34" s="258"/>
      <c r="G34" s="258"/>
      <c r="H34" s="259"/>
      <c r="I34" s="117" t="s">
        <v>651</v>
      </c>
      <c r="J34" s="144">
        <f>SUMIF(DADOS_PA_LT2[Linha de serviço PPU],D34,DADOS_PA_LT2[QExecAgrupado])</f>
        <v>0</v>
      </c>
      <c r="K34" s="140">
        <f t="shared" si="0"/>
        <v>0</v>
      </c>
      <c r="L34" s="145">
        <f>IFERROR( VLOOKUP(D34,PPU_PA_LT2[[Linha de Serviço]:[P. Unitário (R$)]],4,0), "N/A")</f>
        <v>3</v>
      </c>
      <c r="M34" s="103">
        <f t="shared" si="1"/>
        <v>0</v>
      </c>
      <c r="N34" s="118"/>
      <c r="Q34" s="1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57" t="s">
        <v>693</v>
      </c>
      <c r="F35" s="258"/>
      <c r="G35" s="258"/>
      <c r="H35" s="259"/>
      <c r="I35" s="117" t="s">
        <v>108</v>
      </c>
      <c r="J35" s="144">
        <f>SUMIF(DADOS_PA_LT2[Linha de serviço PPU],D35,DADOS_PA_LT2[QExecAgrupado])</f>
        <v>0</v>
      </c>
      <c r="K35" s="140">
        <f t="shared" si="0"/>
        <v>0</v>
      </c>
      <c r="L35" s="145">
        <f>IFERROR( VLOOKUP(D35,PPU_PA_LT2[[Linha de Serviço]:[P. Unitário (R$)]],4,0), "N/A")</f>
        <v>100000</v>
      </c>
      <c r="M35" s="103">
        <f t="shared" si="1"/>
        <v>0</v>
      </c>
      <c r="N35" s="146"/>
      <c r="Q35" s="1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57" t="s">
        <v>694</v>
      </c>
      <c r="F36" s="258"/>
      <c r="G36" s="258"/>
      <c r="H36" s="259"/>
      <c r="I36" s="117" t="s">
        <v>67</v>
      </c>
      <c r="J36" s="144">
        <f>SUMIF(DADOS_PA_LT2[Linha de serviço PPU],D36,DADOS_PA_LT2[QExecAgrupado])</f>
        <v>0</v>
      </c>
      <c r="K36" s="140">
        <f>J36*$N$5</f>
        <v>0</v>
      </c>
      <c r="L36" s="145">
        <f>IFERROR( VLOOKUP(D36,PPU_PA_LT2[[Linha de Serviço]:[P. Unitário (R$)]],4,0), "N/A")</f>
        <v>7.5</v>
      </c>
      <c r="M36" s="103">
        <f t="shared" si="1"/>
        <v>0</v>
      </c>
      <c r="N36" s="146"/>
      <c r="Q36" s="1"/>
    </row>
    <row r="37" spans="1:17" ht="15" customHeight="1" x14ac:dyDescent="0.3">
      <c r="A37" s="45"/>
      <c r="B37" s="45"/>
      <c r="C37" s="72">
        <v>2</v>
      </c>
      <c r="D37" s="287" t="s">
        <v>652</v>
      </c>
      <c r="E37" s="252"/>
      <c r="F37" s="252"/>
      <c r="G37" s="252"/>
      <c r="H37" s="252"/>
      <c r="I37" s="119"/>
      <c r="J37" s="119"/>
      <c r="K37" s="119"/>
      <c r="L37" s="119"/>
      <c r="M37" s="119"/>
      <c r="N37" s="77"/>
      <c r="Q37" s="1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6" t="s">
        <v>695</v>
      </c>
      <c r="F38" s="256"/>
      <c r="G38" s="256"/>
      <c r="H38" s="256"/>
      <c r="I38" s="117" t="s">
        <v>696</v>
      </c>
      <c r="J38" s="144">
        <f>SUMIF(DADOS_PA_LT2[Linha de serviço PPU],D38,DADOS_PA_LT2[QExec])</f>
        <v>459</v>
      </c>
      <c r="K38" s="147">
        <f t="shared" ref="K38:K45" si="2">J38*$N$7</f>
        <v>449.82</v>
      </c>
      <c r="L38" s="145">
        <f>IFERROR( VLOOKUP(D38,PPU_PA_LT2[[Linha de Serviço]:[P. Unitário (R$)]],4,0), "N/A")</f>
        <v>0.2</v>
      </c>
      <c r="M38" s="103">
        <f t="shared" si="1"/>
        <v>89.963999999999999</v>
      </c>
      <c r="N38" s="146"/>
      <c r="Q38" s="1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62" t="s">
        <v>697</v>
      </c>
      <c r="F39" s="262"/>
      <c r="G39" s="262"/>
      <c r="H39" s="262"/>
      <c r="I39" s="117" t="s">
        <v>67</v>
      </c>
      <c r="J39" s="144">
        <f>SUMIF(DADOS_PA_LT2[Linha de serviço PPU],D39,DADOS_PA_LT2[QExec])</f>
        <v>0</v>
      </c>
      <c r="K39" s="147">
        <f t="shared" si="2"/>
        <v>0</v>
      </c>
      <c r="L39" s="145">
        <f>IFERROR( VLOOKUP(D39,PPU_PA_LT2[[Linha de Serviço]:[P. Unitário (R$)]],4,0), "N/A")</f>
        <v>10</v>
      </c>
      <c r="M39" s="103">
        <f t="shared" si="1"/>
        <v>0</v>
      </c>
      <c r="N39" s="146"/>
      <c r="Q39" s="1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6" t="s">
        <v>698</v>
      </c>
      <c r="F40" s="256"/>
      <c r="G40" s="256"/>
      <c r="H40" s="256"/>
      <c r="I40" s="117" t="s">
        <v>122</v>
      </c>
      <c r="J40" s="144">
        <f>SUMIF(DADOS_PA_LT2[Linha de serviço PPU],D40,DADOS_PA_LT2[QExec])</f>
        <v>0</v>
      </c>
      <c r="K40" s="147">
        <f t="shared" si="2"/>
        <v>0</v>
      </c>
      <c r="L40" s="145">
        <f>IFERROR( VLOOKUP(D40,PPU_PA_LT2[[Linha de Serviço]:[P. Unitário (R$)]],4,0), "N/A")</f>
        <v>0.05</v>
      </c>
      <c r="M40" s="103">
        <f t="shared" si="1"/>
        <v>0</v>
      </c>
      <c r="N40" s="146"/>
      <c r="Q40" s="1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6" t="s">
        <v>699</v>
      </c>
      <c r="F41" s="256"/>
      <c r="G41" s="256"/>
      <c r="H41" s="256"/>
      <c r="I41" s="117" t="s">
        <v>122</v>
      </c>
      <c r="J41" s="144">
        <f>SUMIF(DADOS_PA_LT2[Linha de serviço PPU],D41,DADOS_PA_LT2[QExec])</f>
        <v>0</v>
      </c>
      <c r="K41" s="147">
        <f t="shared" si="2"/>
        <v>0</v>
      </c>
      <c r="L41" s="145">
        <f>IFERROR( VLOOKUP(D41,PPU_PA_LT2[[Linha de Serviço]:[P. Unitário (R$)]],4,0), "N/A")</f>
        <v>0.05</v>
      </c>
      <c r="M41" s="103">
        <f t="shared" si="1"/>
        <v>0</v>
      </c>
      <c r="N41" s="146"/>
      <c r="Q41" s="1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6" t="s">
        <v>24</v>
      </c>
      <c r="F42" s="256"/>
      <c r="G42" s="256"/>
      <c r="H42" s="256"/>
      <c r="I42" s="117" t="s">
        <v>122</v>
      </c>
      <c r="J42" s="144">
        <f>SUMIF(DADOS_PA_LT2[Linha de serviço PPU],D42,DADOS_PA_LT2[QExec])</f>
        <v>23442</v>
      </c>
      <c r="K42" s="147">
        <f t="shared" si="2"/>
        <v>22973.16</v>
      </c>
      <c r="L42" s="145">
        <f>IFERROR( VLOOKUP(D42,PPU_PA_LT2[[Linha de Serviço]:[P. Unitário (R$)]],4,0), "N/A")</f>
        <v>0.11</v>
      </c>
      <c r="M42" s="103">
        <f t="shared" si="1"/>
        <v>2527.0475999999999</v>
      </c>
      <c r="N42" s="146"/>
      <c r="Q42" s="1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6" t="s">
        <v>700</v>
      </c>
      <c r="F43" s="256"/>
      <c r="G43" s="256"/>
      <c r="H43" s="256"/>
      <c r="I43" s="117" t="s">
        <v>701</v>
      </c>
      <c r="J43" s="144">
        <f>SUMIF(DADOS_PA_LT2[Linha de serviço PPU],D43,DADOS_PA_LT2[QExec])</f>
        <v>59.399999999999991</v>
      </c>
      <c r="K43" s="147">
        <f t="shared" si="2"/>
        <v>58.211999999999989</v>
      </c>
      <c r="L43" s="145">
        <f>IFERROR( VLOOKUP(D43,PPU_PA_LT2[[Linha de Serviço]:[P. Unitário (R$)]],4,0), "N/A")</f>
        <v>0.1</v>
      </c>
      <c r="M43" s="103">
        <f t="shared" si="1"/>
        <v>5.8211999999999993</v>
      </c>
      <c r="N43" s="146"/>
      <c r="Q43" s="1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6" t="s">
        <v>28</v>
      </c>
      <c r="F44" s="256"/>
      <c r="G44" s="256"/>
      <c r="H44" s="256"/>
      <c r="I44" s="117" t="s">
        <v>92</v>
      </c>
      <c r="J44" s="144">
        <f>SUMIF(DADOS_PA_LT2[Linha de serviço PPU],D44,DADOS_PA_LT2[QExec])</f>
        <v>0</v>
      </c>
      <c r="K44" s="147">
        <f t="shared" si="2"/>
        <v>0</v>
      </c>
      <c r="L44" s="145">
        <f>IFERROR( VLOOKUP(D44,PPU_PA_LT2[[Linha de Serviço]:[P. Unitário (R$)]],4,0), "N/A")</f>
        <v>40</v>
      </c>
      <c r="M44" s="103">
        <f t="shared" si="1"/>
        <v>0</v>
      </c>
      <c r="N44" s="146"/>
      <c r="Q44" s="1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6" t="s">
        <v>30</v>
      </c>
      <c r="F45" s="256"/>
      <c r="G45" s="256"/>
      <c r="H45" s="256"/>
      <c r="I45" s="117" t="s">
        <v>92</v>
      </c>
      <c r="J45" s="144">
        <f>SUMIF(DADOS_PA_LT2[Linha de serviço PPU],D45,DADOS_PA_LT2[QExec])</f>
        <v>0</v>
      </c>
      <c r="K45" s="147">
        <f t="shared" si="2"/>
        <v>0</v>
      </c>
      <c r="L45" s="145">
        <f>IFERROR( VLOOKUP(D45,PPU_PA_LT2[[Linha de Serviço]:[P. Unitário (R$)]],4,0), "N/A")</f>
        <v>40</v>
      </c>
      <c r="M45" s="103">
        <f t="shared" si="1"/>
        <v>0</v>
      </c>
      <c r="N45" s="146"/>
      <c r="Q45" s="1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6" t="s">
        <v>32</v>
      </c>
      <c r="F46" s="256"/>
      <c r="G46" s="256"/>
      <c r="H46" s="256"/>
      <c r="I46" s="117" t="s">
        <v>92</v>
      </c>
      <c r="J46" s="144">
        <f>SUMIF(DADOS_PA_LT2[Linha de serviço PPU],D46,DADOS_PA_LT2[QExec])</f>
        <v>0</v>
      </c>
      <c r="K46" s="147">
        <f>J46*$N$7</f>
        <v>0</v>
      </c>
      <c r="L46" s="145">
        <f>IFERROR( VLOOKUP(D46,PPU_PA_LT2[[Linha de Serviço]:[P. Unitário (R$)]],4,0), "N/A")</f>
        <v>5</v>
      </c>
      <c r="M46" s="103">
        <f t="shared" si="1"/>
        <v>0</v>
      </c>
      <c r="N46" s="146"/>
      <c r="Q46" s="1"/>
    </row>
    <row r="47" spans="1:17" ht="30" customHeight="1" x14ac:dyDescent="0.3">
      <c r="A47" s="45"/>
      <c r="B47" s="45"/>
      <c r="C47" s="249" t="s">
        <v>653</v>
      </c>
      <c r="D47" s="282"/>
      <c r="E47" s="282"/>
      <c r="F47" s="282"/>
      <c r="G47" s="282"/>
      <c r="H47" s="282"/>
      <c r="I47" s="283"/>
      <c r="J47" s="148"/>
      <c r="K47" s="148"/>
      <c r="L47" s="148"/>
      <c r="M47" s="124">
        <f>SUM(M12:M46)</f>
        <v>90716.427800000034</v>
      </c>
      <c r="N47" s="146"/>
      <c r="Q47" s="1"/>
    </row>
    <row r="48" spans="1:17" ht="14.25" customHeight="1" x14ac:dyDescent="0.3">
      <c r="A48" s="45"/>
      <c r="B48" s="45"/>
      <c r="C48" s="284" t="s">
        <v>654</v>
      </c>
      <c r="D48" s="252"/>
      <c r="E48" s="252"/>
      <c r="F48" s="252"/>
      <c r="G48" s="252"/>
      <c r="H48" s="252"/>
      <c r="I48" s="248"/>
      <c r="J48" s="285" t="s">
        <v>655</v>
      </c>
      <c r="K48" s="252"/>
      <c r="L48" s="252"/>
      <c r="M48" s="252"/>
      <c r="N48" s="248"/>
      <c r="Q48" s="1"/>
    </row>
    <row r="49" spans="1:17" ht="45" customHeight="1" x14ac:dyDescent="0.3">
      <c r="A49" s="45"/>
      <c r="B49" s="45"/>
      <c r="C49" s="149"/>
      <c r="D49" s="150"/>
      <c r="E49" s="150"/>
      <c r="F49" s="150"/>
      <c r="G49" s="150"/>
      <c r="H49" s="151"/>
      <c r="I49" s="152"/>
      <c r="J49" s="253" t="s">
        <v>713</v>
      </c>
      <c r="K49" s="252"/>
      <c r="L49" s="252"/>
      <c r="M49" s="252"/>
      <c r="N49" s="248"/>
      <c r="Q49" s="1"/>
    </row>
    <row r="50" spans="1:17" ht="16.5" customHeight="1" x14ac:dyDescent="0.3">
      <c r="A50" s="45"/>
      <c r="B50" s="45"/>
      <c r="C50" s="254" t="s">
        <v>656</v>
      </c>
      <c r="D50" s="252"/>
      <c r="E50" s="252"/>
      <c r="F50" s="252"/>
      <c r="G50" s="252"/>
      <c r="H50" s="252"/>
      <c r="I50" s="252"/>
      <c r="J50" s="252"/>
      <c r="K50" s="252"/>
      <c r="L50" s="252"/>
      <c r="M50" s="252"/>
      <c r="N50" s="248"/>
      <c r="Q50" s="1"/>
    </row>
    <row r="51" spans="1:17" ht="60" customHeight="1" x14ac:dyDescent="0.3">
      <c r="A51" s="45"/>
      <c r="B51" s="45"/>
      <c r="C51" s="286"/>
      <c r="D51" s="252"/>
      <c r="E51" s="252"/>
      <c r="F51" s="252"/>
      <c r="G51" s="252"/>
      <c r="H51" s="252"/>
      <c r="I51" s="252"/>
      <c r="J51" s="252"/>
      <c r="K51" s="252"/>
      <c r="L51" s="252"/>
      <c r="M51" s="252"/>
      <c r="N51" s="248"/>
      <c r="Q51" s="1"/>
    </row>
    <row r="52" spans="1:17" ht="15.75" customHeight="1" x14ac:dyDescent="0.3">
      <c r="A52" s="45"/>
      <c r="B52" s="4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44"/>
      <c r="N52" s="8"/>
      <c r="Q52" s="1"/>
    </row>
    <row r="53" spans="1:17" ht="15.75" customHeight="1" x14ac:dyDescent="0.3">
      <c r="A53" s="45"/>
      <c r="B53" s="45"/>
      <c r="C53" s="13"/>
      <c r="D53" s="67" t="s">
        <v>657</v>
      </c>
      <c r="E53" s="67" t="s">
        <v>658</v>
      </c>
      <c r="F53" s="67" t="s">
        <v>659</v>
      </c>
      <c r="G53" s="67" t="s">
        <v>660</v>
      </c>
      <c r="H53" s="67"/>
      <c r="I53" s="67" t="s">
        <v>661</v>
      </c>
      <c r="J53" s="247" t="s">
        <v>662</v>
      </c>
      <c r="K53" s="248"/>
      <c r="L53" s="130"/>
      <c r="M53" s="153"/>
      <c r="N53" s="130"/>
      <c r="Q53" s="1"/>
    </row>
    <row r="54" spans="1:17" ht="15.75" customHeight="1" x14ac:dyDescent="0.3">
      <c r="A54" s="45"/>
      <c r="B54" s="45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44"/>
      <c r="N54" s="8"/>
      <c r="Q54" s="1"/>
    </row>
    <row r="55" spans="1:17" ht="15.75" customHeight="1" x14ac:dyDescent="0.3">
      <c r="A55" s="45"/>
      <c r="B55" s="45"/>
      <c r="C55" s="13"/>
      <c r="D55" s="13"/>
      <c r="E55" s="13"/>
      <c r="F55" s="13"/>
      <c r="G55" s="13"/>
      <c r="H55" s="13"/>
      <c r="I55" s="13"/>
      <c r="J55" s="13"/>
      <c r="K55" s="13"/>
      <c r="L55" s="154"/>
      <c r="M55" s="44"/>
      <c r="N55" s="8"/>
      <c r="Q55" s="1"/>
    </row>
    <row r="56" spans="1:17" ht="15.75" customHeight="1" x14ac:dyDescent="0.3">
      <c r="A56" s="45"/>
      <c r="B56" s="45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44"/>
      <c r="N56" s="8"/>
      <c r="Q56" s="1"/>
    </row>
    <row r="57" spans="1:17" ht="15.75" customHeight="1" x14ac:dyDescent="0.3">
      <c r="A57" s="45"/>
      <c r="B57" s="45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44"/>
      <c r="N57" s="8"/>
      <c r="Q57" s="1"/>
    </row>
    <row r="58" spans="1:17" ht="15.75" customHeight="1" x14ac:dyDescent="0.3">
      <c r="A58" s="45"/>
      <c r="B58" s="45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44"/>
      <c r="N58" s="8"/>
      <c r="Q58" s="1"/>
    </row>
    <row r="59" spans="1:17" ht="15.75" customHeight="1" x14ac:dyDescent="0.3">
      <c r="A59" s="45"/>
      <c r="B59" s="45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44"/>
      <c r="N59" s="8"/>
      <c r="Q59" s="1"/>
    </row>
    <row r="60" spans="1:17" ht="15.75" customHeight="1" x14ac:dyDescent="0.3">
      <c r="A60" s="45"/>
      <c r="B60" s="45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44"/>
      <c r="N60" s="8"/>
      <c r="Q60" s="1"/>
    </row>
    <row r="61" spans="1:17" ht="15.75" customHeight="1" x14ac:dyDescent="0.3">
      <c r="A61" s="45"/>
      <c r="B61" s="45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44"/>
      <c r="N61" s="8"/>
      <c r="Q61" s="1"/>
    </row>
    <row r="62" spans="1:17" ht="15.75" customHeight="1" x14ac:dyDescent="0.3">
      <c r="A62" s="45"/>
      <c r="B62" s="45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44"/>
      <c r="N62" s="8"/>
      <c r="Q62" s="1"/>
    </row>
    <row r="63" spans="1:17" ht="15.75" customHeight="1" x14ac:dyDescent="0.3">
      <c r="A63" s="45"/>
      <c r="B63" s="45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44"/>
      <c r="N63" s="8"/>
      <c r="Q63" s="1"/>
    </row>
    <row r="64" spans="1:17" ht="15.75" customHeight="1" x14ac:dyDescent="0.3">
      <c r="A64" s="45"/>
      <c r="B64" s="45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44"/>
      <c r="N64" s="8"/>
      <c r="Q64" s="1"/>
    </row>
    <row r="65" spans="1:17" ht="15.75" customHeight="1" x14ac:dyDescent="0.3">
      <c r="A65" s="45"/>
      <c r="B65" s="45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44"/>
      <c r="N65" s="8"/>
      <c r="Q65" s="1"/>
    </row>
    <row r="66" spans="1:17" ht="15.75" customHeight="1" x14ac:dyDescent="0.3">
      <c r="A66" s="45"/>
      <c r="B66" s="45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44"/>
      <c r="N66" s="8"/>
      <c r="Q66" s="1"/>
    </row>
    <row r="67" spans="1:17" ht="15.75" customHeight="1" x14ac:dyDescent="0.3">
      <c r="A67" s="45"/>
      <c r="B67" s="45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44"/>
      <c r="N67" s="8"/>
      <c r="Q67" s="1"/>
    </row>
    <row r="68" spans="1:17" ht="15.75" customHeight="1" x14ac:dyDescent="0.3">
      <c r="A68" s="45"/>
      <c r="B68" s="45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44"/>
      <c r="N68" s="8"/>
      <c r="Q68" s="1"/>
    </row>
    <row r="69" spans="1:17" ht="15.75" customHeight="1" x14ac:dyDescent="0.3">
      <c r="A69" s="45"/>
      <c r="B69" s="45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44"/>
      <c r="N69" s="8"/>
      <c r="Q69" s="1"/>
    </row>
    <row r="70" spans="1:17" ht="15.75" customHeight="1" x14ac:dyDescent="0.3">
      <c r="A70" s="45"/>
      <c r="B70" s="45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44"/>
      <c r="N70" s="8"/>
      <c r="Q70" s="1"/>
    </row>
    <row r="71" spans="1:17" ht="15.75" customHeight="1" x14ac:dyDescent="0.3">
      <c r="A71" s="45"/>
      <c r="B71" s="45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44"/>
      <c r="N71" s="8"/>
      <c r="Q71" s="1"/>
    </row>
    <row r="72" spans="1:17" ht="15.75" customHeight="1" x14ac:dyDescent="0.3">
      <c r="A72" s="45"/>
      <c r="B72" s="45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44"/>
      <c r="N72" s="8"/>
      <c r="Q72" s="1"/>
    </row>
    <row r="73" spans="1:17" ht="15.75" customHeight="1" x14ac:dyDescent="0.3">
      <c r="A73" s="45"/>
      <c r="B73" s="45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44"/>
      <c r="N73" s="8"/>
      <c r="Q73" s="1"/>
    </row>
    <row r="74" spans="1:17" ht="15.75" customHeight="1" x14ac:dyDescent="0.3">
      <c r="A74" s="45"/>
      <c r="B74" s="45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44"/>
      <c r="N74" s="8"/>
      <c r="Q74" s="1"/>
    </row>
    <row r="75" spans="1:17" ht="15.75" customHeight="1" x14ac:dyDescent="0.3">
      <c r="A75" s="45"/>
      <c r="B75" s="45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44"/>
      <c r="N75" s="8"/>
      <c r="Q75" s="1"/>
    </row>
    <row r="76" spans="1:17" ht="15.75" customHeight="1" x14ac:dyDescent="0.3">
      <c r="A76" s="45"/>
      <c r="B76" s="45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44"/>
      <c r="N76" s="8"/>
      <c r="Q76" s="1"/>
    </row>
    <row r="77" spans="1:17" ht="15.75" customHeight="1" x14ac:dyDescent="0.3">
      <c r="A77" s="45"/>
      <c r="B77" s="45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44"/>
      <c r="N77" s="8"/>
      <c r="Q77" s="1"/>
    </row>
    <row r="78" spans="1:17" ht="15.75" customHeight="1" x14ac:dyDescent="0.3">
      <c r="A78" s="45"/>
      <c r="B78" s="45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44"/>
      <c r="N78" s="8"/>
      <c r="Q78" s="1"/>
    </row>
    <row r="79" spans="1:17" ht="15.75" customHeight="1" x14ac:dyDescent="0.3">
      <c r="A79" s="45"/>
      <c r="B79" s="45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44"/>
      <c r="N79" s="8"/>
      <c r="Q79" s="1"/>
    </row>
    <row r="80" spans="1:17" ht="15.75" customHeight="1" x14ac:dyDescent="0.3">
      <c r="A80" s="45"/>
      <c r="B80" s="45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44"/>
      <c r="N80" s="8"/>
      <c r="Q80" s="1"/>
    </row>
    <row r="81" spans="1:17" ht="15.75" customHeight="1" x14ac:dyDescent="0.3">
      <c r="A81" s="45"/>
      <c r="B81" s="45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44"/>
      <c r="N81" s="8"/>
      <c r="Q81" s="1"/>
    </row>
    <row r="82" spans="1:17" ht="15.75" customHeight="1" x14ac:dyDescent="0.3">
      <c r="A82" s="45"/>
      <c r="B82" s="45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44"/>
      <c r="N82" s="8"/>
      <c r="Q82" s="1"/>
    </row>
    <row r="83" spans="1:17" ht="15.75" customHeight="1" x14ac:dyDescent="0.3">
      <c r="A83" s="45"/>
      <c r="B83" s="45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44"/>
      <c r="N83" s="8"/>
      <c r="Q83" s="1"/>
    </row>
    <row r="84" spans="1:17" ht="15.75" customHeight="1" x14ac:dyDescent="0.3">
      <c r="A84" s="45"/>
      <c r="B84" s="45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44"/>
      <c r="N84" s="8"/>
      <c r="Q84" s="1"/>
    </row>
    <row r="85" spans="1:17" ht="15.75" customHeight="1" x14ac:dyDescent="0.3">
      <c r="A85" s="45"/>
      <c r="B85" s="45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44"/>
      <c r="N85" s="8"/>
      <c r="Q85" s="1"/>
    </row>
    <row r="86" spans="1:17" ht="15.75" customHeight="1" x14ac:dyDescent="0.3">
      <c r="A86" s="45"/>
      <c r="B86" s="45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44"/>
      <c r="N86" s="8"/>
      <c r="Q86" s="1"/>
    </row>
    <row r="87" spans="1:17" ht="15.75" customHeight="1" x14ac:dyDescent="0.3">
      <c r="A87" s="45"/>
      <c r="B87" s="45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44"/>
      <c r="N87" s="8"/>
      <c r="Q87" s="1"/>
    </row>
    <row r="88" spans="1:17" ht="15.75" customHeight="1" x14ac:dyDescent="0.3">
      <c r="A88" s="45"/>
      <c r="B88" s="45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44"/>
      <c r="N88" s="8"/>
      <c r="Q88" s="1"/>
    </row>
    <row r="89" spans="1:17" ht="15.75" customHeight="1" x14ac:dyDescent="0.3">
      <c r="A89" s="45"/>
      <c r="B89" s="45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44"/>
      <c r="N89" s="8"/>
      <c r="Q89" s="1"/>
    </row>
    <row r="90" spans="1:17" ht="15.75" customHeight="1" x14ac:dyDescent="0.3">
      <c r="A90" s="45"/>
      <c r="B90" s="45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44"/>
      <c r="N90" s="8"/>
      <c r="Q90" s="1"/>
    </row>
    <row r="91" spans="1:17" ht="15.75" customHeight="1" x14ac:dyDescent="0.3">
      <c r="A91" s="45"/>
      <c r="B91" s="45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44"/>
      <c r="N91" s="8"/>
      <c r="Q91" s="1"/>
    </row>
    <row r="92" spans="1:17" ht="15.75" customHeight="1" x14ac:dyDescent="0.3">
      <c r="A92" s="45"/>
      <c r="B92" s="45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44"/>
      <c r="N92" s="8"/>
      <c r="Q92" s="1"/>
    </row>
    <row r="93" spans="1:17" ht="15.75" customHeight="1" x14ac:dyDescent="0.3">
      <c r="A93" s="45"/>
      <c r="B93" s="45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44"/>
      <c r="N93" s="8"/>
      <c r="Q93" s="1"/>
    </row>
    <row r="94" spans="1:17" ht="15.75" customHeight="1" x14ac:dyDescent="0.3">
      <c r="A94" s="45"/>
      <c r="B94" s="45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44"/>
      <c r="N94" s="8"/>
      <c r="Q94" s="1"/>
    </row>
    <row r="95" spans="1:17" ht="15.75" customHeight="1" x14ac:dyDescent="0.3">
      <c r="A95" s="45"/>
      <c r="B95" s="45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44"/>
      <c r="N95" s="8"/>
      <c r="Q95" s="1"/>
    </row>
    <row r="96" spans="1:17" ht="15.75" customHeight="1" x14ac:dyDescent="0.3">
      <c r="A96" s="45"/>
      <c r="B96" s="45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44"/>
      <c r="N96" s="8"/>
      <c r="Q96" s="1"/>
    </row>
    <row r="97" spans="1:17" ht="15.75" customHeight="1" x14ac:dyDescent="0.3">
      <c r="A97" s="45"/>
      <c r="B97" s="45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44"/>
      <c r="N97" s="8"/>
      <c r="Q97" s="1"/>
    </row>
    <row r="98" spans="1:17" ht="15.75" customHeight="1" x14ac:dyDescent="0.3">
      <c r="A98" s="45"/>
      <c r="B98" s="45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44"/>
      <c r="N98" s="8"/>
      <c r="Q98" s="1"/>
    </row>
    <row r="99" spans="1:17" ht="15.75" customHeight="1" x14ac:dyDescent="0.3">
      <c r="A99" s="45"/>
      <c r="B99" s="45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44"/>
      <c r="N99" s="8"/>
      <c r="Q99" s="1"/>
    </row>
    <row r="100" spans="1:17" ht="15.75" customHeight="1" x14ac:dyDescent="0.3">
      <c r="A100" s="45"/>
      <c r="B100" s="45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45"/>
      <c r="B101" s="45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45"/>
      <c r="B102" s="45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45"/>
      <c r="B103" s="45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45"/>
      <c r="B104" s="45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45"/>
      <c r="B105" s="45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45"/>
      <c r="B106" s="45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45"/>
      <c r="B107" s="45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45"/>
      <c r="B108" s="45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45"/>
      <c r="B109" s="45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45"/>
      <c r="B110" s="45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45"/>
      <c r="B111" s="45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45"/>
      <c r="B112" s="45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45"/>
      <c r="B113" s="45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45"/>
      <c r="B114" s="45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45"/>
      <c r="B115" s="45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45"/>
      <c r="B116" s="45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45"/>
      <c r="B117" s="45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45"/>
      <c r="B118" s="45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45"/>
      <c r="B119" s="45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45"/>
      <c r="B120" s="45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45"/>
      <c r="B121" s="45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45"/>
      <c r="B122" s="45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45"/>
      <c r="B123" s="45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45"/>
      <c r="B124" s="45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45"/>
      <c r="B125" s="45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45"/>
      <c r="B126" s="45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45"/>
      <c r="B127" s="45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45"/>
      <c r="B128" s="45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45"/>
      <c r="B129" s="45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45"/>
      <c r="B130" s="45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45"/>
      <c r="B131" s="45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45"/>
      <c r="B132" s="45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45"/>
      <c r="B133" s="45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45"/>
      <c r="B134" s="45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45"/>
      <c r="B135" s="45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45"/>
      <c r="B136" s="45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45"/>
      <c r="B137" s="45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45"/>
      <c r="B138" s="45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45"/>
      <c r="B139" s="45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45"/>
      <c r="B140" s="45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45"/>
      <c r="B141" s="45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45"/>
      <c r="B142" s="45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45"/>
      <c r="B143" s="45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45"/>
      <c r="B144" s="45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45"/>
      <c r="B145" s="45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45"/>
      <c r="B146" s="45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45"/>
      <c r="B147" s="45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45"/>
      <c r="B148" s="45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45"/>
      <c r="B149" s="45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45"/>
      <c r="B150" s="45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45"/>
      <c r="B151" s="45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45"/>
      <c r="B152" s="45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45"/>
      <c r="B153" s="45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45"/>
      <c r="B154" s="45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45"/>
      <c r="B155" s="45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45"/>
      <c r="B156" s="45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45"/>
      <c r="B157" s="45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45"/>
      <c r="B158" s="45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45"/>
      <c r="B159" s="45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45"/>
      <c r="B160" s="45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45"/>
      <c r="B161" s="45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45"/>
      <c r="B162" s="45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45"/>
      <c r="B163" s="45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45"/>
      <c r="B164" s="45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45"/>
      <c r="B165" s="45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45"/>
      <c r="B166" s="45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45"/>
      <c r="B167" s="45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45"/>
      <c r="B168" s="45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45"/>
      <c r="B169" s="45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45"/>
      <c r="B170" s="45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45"/>
      <c r="B171" s="45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45"/>
      <c r="B172" s="45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45"/>
      <c r="B173" s="45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45"/>
      <c r="B174" s="45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45"/>
      <c r="B175" s="45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45"/>
      <c r="B176" s="45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45"/>
      <c r="B177" s="45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45"/>
      <c r="B178" s="45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45"/>
      <c r="B179" s="45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45"/>
      <c r="B180" s="45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45"/>
      <c r="B181" s="45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45"/>
      <c r="B182" s="45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45"/>
      <c r="B183" s="45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45"/>
      <c r="B184" s="45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45"/>
      <c r="B185" s="45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45"/>
      <c r="B186" s="45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45"/>
      <c r="B187" s="45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45"/>
      <c r="B188" s="45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45"/>
      <c r="B189" s="45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45"/>
      <c r="B190" s="45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45"/>
      <c r="B191" s="45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45"/>
      <c r="B192" s="45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45"/>
      <c r="B193" s="45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45"/>
      <c r="B194" s="45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45"/>
      <c r="B195" s="45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45"/>
      <c r="B196" s="45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45"/>
      <c r="B197" s="45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45"/>
      <c r="B198" s="45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45"/>
      <c r="B199" s="45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45"/>
      <c r="B200" s="45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45"/>
      <c r="B201" s="45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45"/>
      <c r="B202" s="45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45"/>
      <c r="B203" s="45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45"/>
      <c r="B204" s="45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45"/>
      <c r="B205" s="45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45"/>
      <c r="B206" s="45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45"/>
      <c r="B207" s="45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45"/>
      <c r="B208" s="45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45"/>
      <c r="B209" s="45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45"/>
      <c r="B210" s="45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45"/>
      <c r="B211" s="45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45"/>
      <c r="B212" s="45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45"/>
      <c r="B213" s="45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45"/>
      <c r="B214" s="45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45"/>
      <c r="B215" s="45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45"/>
      <c r="B216" s="45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45"/>
      <c r="B217" s="45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45"/>
      <c r="B218" s="45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45"/>
      <c r="B219" s="45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45"/>
      <c r="B220" s="45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45"/>
      <c r="B221" s="45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45"/>
      <c r="B222" s="45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45"/>
      <c r="B223" s="45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45"/>
      <c r="B224" s="45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45"/>
      <c r="B225" s="45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45"/>
      <c r="B226" s="45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45"/>
      <c r="B227" s="45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45"/>
      <c r="B228" s="45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45"/>
      <c r="B229" s="45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45"/>
      <c r="B230" s="45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45"/>
      <c r="B231" s="45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45"/>
      <c r="B232" s="45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45"/>
      <c r="B233" s="45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45"/>
      <c r="B234" s="45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45"/>
      <c r="B235" s="45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45"/>
      <c r="B236" s="45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45"/>
      <c r="B237" s="45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45"/>
      <c r="B238" s="45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45"/>
      <c r="B239" s="45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45"/>
      <c r="B240" s="45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45"/>
      <c r="B241" s="45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45"/>
      <c r="B242" s="45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45"/>
      <c r="B243" s="45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45"/>
      <c r="B244" s="45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45"/>
      <c r="B245" s="45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45"/>
      <c r="B246" s="45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45"/>
      <c r="B247" s="45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45"/>
      <c r="B248" s="45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45"/>
      <c r="B249" s="45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45"/>
      <c r="B250" s="45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45"/>
      <c r="B251" s="45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45"/>
      <c r="B252" s="45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45"/>
      <c r="B253" s="45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45"/>
      <c r="B254" s="45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45"/>
      <c r="B255" s="45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45"/>
      <c r="B256" s="45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45"/>
      <c r="B257" s="45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45"/>
      <c r="B258" s="45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45"/>
      <c r="B259" s="45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45"/>
      <c r="B260" s="45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45"/>
      <c r="B261" s="45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45"/>
      <c r="B262" s="45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45"/>
      <c r="B263" s="45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45"/>
      <c r="B264" s="45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45"/>
      <c r="B265" s="45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45"/>
      <c r="B266" s="45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45"/>
      <c r="B267" s="45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45"/>
      <c r="B268" s="45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45"/>
      <c r="B269" s="45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45"/>
      <c r="B270" s="45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45"/>
      <c r="B271" s="45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45"/>
      <c r="B272" s="45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45"/>
      <c r="B273" s="45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45"/>
      <c r="B274" s="45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45"/>
      <c r="B275" s="45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45"/>
      <c r="B276" s="45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45"/>
      <c r="B277" s="45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45"/>
      <c r="B278" s="45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45"/>
      <c r="B279" s="45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45"/>
      <c r="B280" s="45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45"/>
      <c r="B281" s="45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45"/>
      <c r="B282" s="45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45"/>
      <c r="B283" s="45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45"/>
      <c r="B284" s="45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45"/>
      <c r="B285" s="45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45"/>
      <c r="B286" s="45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45"/>
      <c r="B287" s="45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45"/>
      <c r="B288" s="45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45"/>
      <c r="B289" s="45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45"/>
      <c r="B290" s="45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45"/>
      <c r="B291" s="45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45"/>
      <c r="B292" s="45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45"/>
      <c r="B293" s="45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45"/>
      <c r="B294" s="45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45"/>
      <c r="B295" s="45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45"/>
      <c r="B296" s="45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45"/>
      <c r="B297" s="45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45"/>
      <c r="B298" s="45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45"/>
      <c r="B299" s="45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45"/>
      <c r="B300" s="45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45"/>
      <c r="B301" s="45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45"/>
      <c r="B302" s="45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45"/>
      <c r="B303" s="45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45"/>
      <c r="B304" s="45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45"/>
      <c r="B305" s="45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45"/>
      <c r="B306" s="45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45"/>
      <c r="B307" s="45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45"/>
      <c r="B308" s="45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45"/>
      <c r="B309" s="45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45"/>
      <c r="B310" s="45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45"/>
      <c r="B311" s="45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45"/>
      <c r="B312" s="45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45"/>
      <c r="B313" s="45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45"/>
      <c r="B314" s="45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45"/>
      <c r="B315" s="45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45"/>
      <c r="B316" s="45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45"/>
      <c r="B317" s="45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45"/>
      <c r="B318" s="45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45"/>
      <c r="B319" s="45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45"/>
      <c r="B320" s="45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45"/>
      <c r="B321" s="45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45"/>
      <c r="B322" s="45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45"/>
      <c r="B323" s="45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45"/>
      <c r="B324" s="45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45"/>
      <c r="B325" s="45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45"/>
      <c r="B326" s="45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45"/>
      <c r="B327" s="45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45"/>
      <c r="B328" s="45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45"/>
      <c r="B329" s="45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45"/>
      <c r="B330" s="45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45"/>
      <c r="B331" s="45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45"/>
      <c r="B332" s="45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45"/>
      <c r="B333" s="45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45"/>
      <c r="B334" s="45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45"/>
      <c r="B335" s="45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45"/>
      <c r="B336" s="45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45"/>
      <c r="B337" s="45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45"/>
      <c r="B338" s="45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45"/>
      <c r="B339" s="45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45"/>
      <c r="B340" s="45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45"/>
      <c r="B341" s="45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45"/>
      <c r="B342" s="45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45"/>
      <c r="B343" s="45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45"/>
      <c r="B344" s="45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45"/>
      <c r="B345" s="45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45"/>
      <c r="B346" s="45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45"/>
      <c r="B347" s="45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45"/>
      <c r="B348" s="45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45"/>
      <c r="B349" s="45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45"/>
      <c r="B350" s="45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45"/>
      <c r="B351" s="45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45"/>
      <c r="B352" s="45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45"/>
      <c r="B353" s="45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45"/>
      <c r="B354" s="45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45"/>
      <c r="B355" s="45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45"/>
      <c r="B356" s="45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45"/>
      <c r="B357" s="45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45"/>
      <c r="B358" s="45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45"/>
      <c r="B359" s="45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45"/>
      <c r="B360" s="45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45"/>
      <c r="B361" s="45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45"/>
      <c r="B362" s="45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45"/>
      <c r="B363" s="45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45"/>
      <c r="B364" s="45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45"/>
      <c r="B365" s="45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45"/>
      <c r="B366" s="45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45"/>
      <c r="B367" s="45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45"/>
      <c r="B368" s="45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45"/>
      <c r="B369" s="45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45"/>
      <c r="B370" s="45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45"/>
      <c r="B371" s="45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45"/>
      <c r="B372" s="45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45"/>
      <c r="B373" s="45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45"/>
      <c r="B374" s="45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45"/>
      <c r="B375" s="45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45"/>
      <c r="B376" s="45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45"/>
      <c r="B377" s="45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45"/>
      <c r="B378" s="45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45"/>
      <c r="B379" s="45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45"/>
      <c r="B380" s="45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45"/>
      <c r="B381" s="45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45"/>
      <c r="B382" s="45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45"/>
      <c r="B383" s="45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45"/>
      <c r="B384" s="45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45"/>
      <c r="B385" s="45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45"/>
      <c r="B386" s="45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45"/>
      <c r="B387" s="45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45"/>
      <c r="B388" s="45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45"/>
      <c r="B389" s="45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45"/>
      <c r="B390" s="45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45"/>
      <c r="B391" s="45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45"/>
      <c r="B392" s="45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45"/>
      <c r="B393" s="45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45"/>
      <c r="B394" s="45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45"/>
      <c r="B395" s="45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45"/>
      <c r="B396" s="45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45"/>
      <c r="B397" s="45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45"/>
      <c r="B398" s="45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45"/>
      <c r="B399" s="45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45"/>
      <c r="B400" s="45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45"/>
      <c r="B401" s="45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45"/>
      <c r="B402" s="45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45"/>
      <c r="B403" s="45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45"/>
      <c r="B404" s="45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45"/>
      <c r="B405" s="45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45"/>
      <c r="B406" s="45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45"/>
      <c r="B407" s="45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45"/>
      <c r="B408" s="45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45"/>
      <c r="B409" s="45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45"/>
      <c r="B410" s="45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45"/>
      <c r="B411" s="45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45"/>
      <c r="B412" s="45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45"/>
      <c r="B413" s="45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45"/>
      <c r="B414" s="45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45"/>
      <c r="B415" s="45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45"/>
      <c r="B416" s="45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45"/>
      <c r="B417" s="45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45"/>
      <c r="B418" s="45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45"/>
      <c r="B419" s="45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45"/>
      <c r="B420" s="45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45"/>
      <c r="B421" s="45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45"/>
      <c r="B422" s="45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45"/>
      <c r="B423" s="45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45"/>
      <c r="B424" s="45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45"/>
      <c r="B425" s="45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45"/>
      <c r="B426" s="45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45"/>
      <c r="B427" s="45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45"/>
      <c r="B428" s="45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45"/>
      <c r="B429" s="45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45"/>
      <c r="B430" s="45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45"/>
      <c r="B431" s="45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45"/>
      <c r="B432" s="45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45"/>
      <c r="B433" s="45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45"/>
      <c r="B434" s="45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45"/>
      <c r="B435" s="45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45"/>
      <c r="B436" s="45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45"/>
      <c r="B437" s="45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45"/>
      <c r="B438" s="45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45"/>
      <c r="B439" s="45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45"/>
      <c r="B440" s="45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45"/>
      <c r="B441" s="45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45"/>
      <c r="B442" s="45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45"/>
      <c r="B443" s="45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45"/>
      <c r="B444" s="45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45"/>
      <c r="B445" s="45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45"/>
      <c r="B446" s="45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45"/>
      <c r="B447" s="45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45"/>
      <c r="B448" s="45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45"/>
      <c r="B449" s="45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45"/>
      <c r="B450" s="45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45"/>
      <c r="B451" s="45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45"/>
      <c r="B452" s="45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45"/>
      <c r="B453" s="45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45"/>
      <c r="B454" s="45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45"/>
      <c r="B455" s="45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45"/>
      <c r="B456" s="45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45"/>
      <c r="B457" s="45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45"/>
      <c r="B458" s="45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45"/>
      <c r="B459" s="45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45"/>
      <c r="B460" s="45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45"/>
      <c r="B461" s="45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45"/>
      <c r="B462" s="45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45"/>
      <c r="B463" s="45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45"/>
      <c r="B464" s="45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45"/>
      <c r="B465" s="45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45"/>
      <c r="B466" s="45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45"/>
      <c r="B467" s="45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45"/>
      <c r="B468" s="45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45"/>
      <c r="B469" s="45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45"/>
      <c r="B470" s="45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45"/>
      <c r="B471" s="45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45"/>
      <c r="B472" s="45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45"/>
      <c r="B473" s="45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45"/>
      <c r="B474" s="45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45"/>
      <c r="B475" s="45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45"/>
      <c r="B476" s="45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45"/>
      <c r="B477" s="45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45"/>
      <c r="B478" s="45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45"/>
      <c r="B479" s="45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45"/>
      <c r="B480" s="45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45"/>
      <c r="B481" s="45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45"/>
      <c r="B482" s="45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45"/>
      <c r="B483" s="45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45"/>
      <c r="B484" s="45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45"/>
      <c r="B485" s="45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45"/>
      <c r="B486" s="45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45"/>
      <c r="B487" s="45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45"/>
      <c r="B488" s="45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45"/>
      <c r="B489" s="45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45"/>
      <c r="B490" s="45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45"/>
      <c r="B491" s="45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45"/>
      <c r="B492" s="45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45"/>
      <c r="B493" s="45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45"/>
      <c r="B494" s="45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45"/>
      <c r="B495" s="45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45"/>
      <c r="B496" s="45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45"/>
      <c r="B497" s="45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45"/>
      <c r="B498" s="45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45"/>
      <c r="B499" s="45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45"/>
      <c r="B500" s="45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45"/>
      <c r="B501" s="45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45"/>
      <c r="B502" s="45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45"/>
      <c r="B503" s="45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45"/>
      <c r="B504" s="45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45"/>
      <c r="B505" s="45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45"/>
      <c r="B506" s="45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45"/>
      <c r="B507" s="45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45"/>
      <c r="B508" s="45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45"/>
      <c r="B509" s="45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45"/>
      <c r="B510" s="45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45"/>
      <c r="B511" s="45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45"/>
      <c r="B512" s="45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45"/>
      <c r="B513" s="45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45"/>
      <c r="B514" s="45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45"/>
      <c r="B515" s="45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45"/>
      <c r="B516" s="45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45"/>
      <c r="B517" s="45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45"/>
      <c r="B518" s="45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45"/>
      <c r="B519" s="45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45"/>
      <c r="B520" s="45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45"/>
      <c r="B521" s="45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45"/>
      <c r="B522" s="45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45"/>
      <c r="B523" s="45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45"/>
      <c r="B524" s="45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45"/>
      <c r="B525" s="45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45"/>
      <c r="B526" s="45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45"/>
      <c r="B527" s="45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45"/>
      <c r="B528" s="45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45"/>
      <c r="B529" s="45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45"/>
      <c r="B530" s="45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45"/>
      <c r="B531" s="45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45"/>
      <c r="B532" s="45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45"/>
      <c r="B533" s="45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45"/>
      <c r="B534" s="45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45"/>
      <c r="B535" s="45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45"/>
      <c r="B536" s="45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45"/>
      <c r="B537" s="45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45"/>
      <c r="B538" s="45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45"/>
      <c r="B539" s="45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45"/>
      <c r="B540" s="45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45"/>
      <c r="B541" s="45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45"/>
      <c r="B542" s="45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45"/>
      <c r="B543" s="45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45"/>
      <c r="B544" s="45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45"/>
      <c r="B545" s="45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45"/>
      <c r="B546" s="45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45"/>
      <c r="B547" s="45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45"/>
      <c r="B548" s="45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45"/>
      <c r="B549" s="45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45"/>
      <c r="B550" s="45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45"/>
      <c r="B551" s="45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45"/>
      <c r="B552" s="45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45"/>
      <c r="B553" s="45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45"/>
      <c r="B554" s="45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45"/>
      <c r="B555" s="45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45"/>
      <c r="B556" s="45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45"/>
      <c r="B557" s="45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45"/>
      <c r="B558" s="45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45"/>
      <c r="B559" s="45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45"/>
      <c r="B560" s="45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45"/>
      <c r="B561" s="45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45"/>
      <c r="B562" s="45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45"/>
      <c r="B563" s="45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45"/>
      <c r="B564" s="45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45"/>
      <c r="B565" s="45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45"/>
      <c r="B566" s="45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45"/>
      <c r="B567" s="45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45"/>
      <c r="B568" s="45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45"/>
      <c r="B569" s="45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45"/>
      <c r="B570" s="45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45"/>
      <c r="B571" s="45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45"/>
      <c r="B572" s="45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45"/>
      <c r="B573" s="45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45"/>
      <c r="B574" s="45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45"/>
      <c r="B575" s="45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45"/>
      <c r="B576" s="45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45"/>
      <c r="B577" s="45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45"/>
      <c r="B578" s="45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45"/>
      <c r="B579" s="45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45"/>
      <c r="B580" s="45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45"/>
      <c r="B581" s="45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45"/>
      <c r="B582" s="45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45"/>
      <c r="B583" s="45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45"/>
      <c r="B584" s="45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45"/>
      <c r="B585" s="45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45"/>
      <c r="B586" s="45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45"/>
      <c r="B587" s="45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45"/>
      <c r="B588" s="45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45"/>
      <c r="B589" s="45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45"/>
      <c r="B590" s="45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45"/>
      <c r="B591" s="45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45"/>
      <c r="B592" s="45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45"/>
      <c r="B593" s="45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45"/>
      <c r="B594" s="45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45"/>
      <c r="B595" s="45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45"/>
      <c r="B596" s="45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45"/>
      <c r="B597" s="45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45"/>
      <c r="B598" s="45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45"/>
      <c r="B599" s="45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45"/>
      <c r="B600" s="45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45"/>
      <c r="B601" s="45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45"/>
      <c r="B602" s="45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45"/>
      <c r="B603" s="45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45"/>
      <c r="B604" s="45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45"/>
      <c r="B605" s="45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45"/>
      <c r="B606" s="45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45"/>
      <c r="B607" s="45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45"/>
      <c r="B608" s="45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45"/>
      <c r="B609" s="45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45"/>
      <c r="B610" s="45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45"/>
      <c r="B611" s="45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45"/>
      <c r="B612" s="45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45"/>
      <c r="B613" s="45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45"/>
      <c r="B614" s="45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45"/>
      <c r="B615" s="45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45"/>
      <c r="B616" s="45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45"/>
      <c r="B617" s="45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45"/>
      <c r="B618" s="45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45"/>
      <c r="B619" s="45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45"/>
      <c r="B620" s="45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45"/>
      <c r="B621" s="45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45"/>
      <c r="B622" s="45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45"/>
      <c r="B623" s="45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45"/>
      <c r="B624" s="45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45"/>
      <c r="B625" s="45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45"/>
      <c r="B626" s="45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45"/>
      <c r="B627" s="45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45"/>
      <c r="B628" s="45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45"/>
      <c r="B629" s="45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45"/>
      <c r="B630" s="45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45"/>
      <c r="B631" s="45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45"/>
      <c r="B632" s="45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45"/>
      <c r="B633" s="45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45"/>
      <c r="B634" s="45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45"/>
      <c r="B635" s="45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45"/>
      <c r="B636" s="45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45"/>
      <c r="B637" s="45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45"/>
      <c r="B638" s="45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45"/>
      <c r="B639" s="45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45"/>
      <c r="B640" s="45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45"/>
      <c r="B641" s="45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45"/>
      <c r="B642" s="45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45"/>
      <c r="B643" s="45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45"/>
      <c r="B644" s="45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45"/>
      <c r="B645" s="45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45"/>
      <c r="B646" s="45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45"/>
      <c r="B647" s="45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45"/>
      <c r="B648" s="45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45"/>
      <c r="B649" s="45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45"/>
      <c r="B650" s="45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45"/>
      <c r="B651" s="45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45"/>
      <c r="B652" s="45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45"/>
      <c r="B653" s="45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45"/>
      <c r="B654" s="45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45"/>
      <c r="B655" s="45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45"/>
      <c r="B656" s="45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45"/>
      <c r="B657" s="45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45"/>
      <c r="B658" s="45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45"/>
      <c r="B659" s="45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45"/>
      <c r="B660" s="45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45"/>
      <c r="B661" s="45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45"/>
      <c r="B662" s="45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45"/>
      <c r="B663" s="45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45"/>
      <c r="B664" s="45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45"/>
      <c r="B665" s="45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45"/>
      <c r="B666" s="45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45"/>
      <c r="B667" s="45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45"/>
      <c r="B668" s="45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45"/>
      <c r="B669" s="45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45"/>
      <c r="B670" s="45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45"/>
      <c r="B671" s="45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45"/>
      <c r="B672" s="45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45"/>
      <c r="B673" s="45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45"/>
      <c r="B674" s="45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45"/>
      <c r="B675" s="45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45"/>
      <c r="B676" s="45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45"/>
      <c r="B677" s="45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45"/>
      <c r="B678" s="45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45"/>
      <c r="B679" s="45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45"/>
      <c r="B680" s="45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45"/>
      <c r="B681" s="45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45"/>
      <c r="B682" s="45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45"/>
      <c r="B683" s="45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45"/>
      <c r="B684" s="45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45"/>
      <c r="B685" s="45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45"/>
      <c r="B686" s="45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45"/>
      <c r="B687" s="45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45"/>
      <c r="B688" s="45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45"/>
      <c r="B689" s="45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45"/>
      <c r="B690" s="45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45"/>
      <c r="B691" s="45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45"/>
      <c r="B692" s="45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45"/>
      <c r="B693" s="45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45"/>
      <c r="B694" s="45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45"/>
      <c r="B695" s="45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45"/>
      <c r="B696" s="45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45"/>
      <c r="B697" s="45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45"/>
      <c r="B698" s="45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45"/>
      <c r="B699" s="45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45"/>
      <c r="B700" s="45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45"/>
      <c r="B701" s="45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45"/>
      <c r="B702" s="45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45"/>
      <c r="B703" s="45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45"/>
      <c r="B704" s="45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45"/>
      <c r="B705" s="45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45"/>
      <c r="B706" s="45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45"/>
      <c r="B707" s="45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45"/>
      <c r="B708" s="45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45"/>
      <c r="B709" s="45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45"/>
      <c r="B710" s="45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45"/>
      <c r="B711" s="45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45"/>
      <c r="B712" s="45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45"/>
      <c r="B713" s="45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45"/>
      <c r="B714" s="45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45"/>
      <c r="B715" s="45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45"/>
      <c r="B716" s="45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45"/>
      <c r="B717" s="45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45"/>
      <c r="B718" s="45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45"/>
      <c r="B719" s="45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45"/>
      <c r="B720" s="45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45"/>
      <c r="B721" s="45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45"/>
      <c r="B722" s="45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45"/>
      <c r="B723" s="45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45"/>
      <c r="B724" s="45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45"/>
      <c r="B725" s="45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45"/>
      <c r="B726" s="45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45"/>
      <c r="B727" s="45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45"/>
      <c r="B728" s="45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45"/>
      <c r="B729" s="45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45"/>
      <c r="B730" s="45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45"/>
      <c r="B731" s="45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45"/>
      <c r="B732" s="45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45"/>
      <c r="B733" s="45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45"/>
      <c r="B734" s="45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45"/>
      <c r="B735" s="45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45"/>
      <c r="B736" s="45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45"/>
      <c r="B737" s="45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45"/>
      <c r="B738" s="45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45"/>
      <c r="B739" s="45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45"/>
      <c r="B740" s="45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45"/>
      <c r="B741" s="45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45"/>
      <c r="B742" s="45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45"/>
      <c r="B743" s="45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45"/>
      <c r="B744" s="45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45"/>
      <c r="B745" s="45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45"/>
      <c r="B746" s="45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45"/>
      <c r="B747" s="45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45"/>
      <c r="B748" s="45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45"/>
      <c r="B749" s="45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45"/>
      <c r="B750" s="45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45"/>
      <c r="B751" s="45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45"/>
      <c r="B752" s="45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45"/>
      <c r="B753" s="45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45"/>
      <c r="B754" s="45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45"/>
      <c r="B755" s="45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45"/>
      <c r="B756" s="45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45"/>
      <c r="B757" s="45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45"/>
      <c r="B758" s="45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45"/>
      <c r="B759" s="45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45"/>
      <c r="B760" s="45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45"/>
      <c r="B761" s="45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45"/>
      <c r="B762" s="45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45"/>
      <c r="B763" s="45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45"/>
      <c r="B764" s="45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45"/>
      <c r="B765" s="45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45"/>
      <c r="B766" s="45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45"/>
      <c r="B767" s="45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45"/>
      <c r="B768" s="45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45"/>
      <c r="B769" s="45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45"/>
      <c r="B770" s="45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45"/>
      <c r="B771" s="45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45"/>
      <c r="B772" s="45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45"/>
      <c r="B773" s="45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45"/>
      <c r="B774" s="45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45"/>
      <c r="B775" s="45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45"/>
      <c r="B776" s="45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45"/>
      <c r="B777" s="45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45"/>
      <c r="B778" s="45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45"/>
      <c r="B779" s="45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45"/>
      <c r="B780" s="45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45"/>
      <c r="B781" s="45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45"/>
      <c r="B782" s="45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45"/>
      <c r="B783" s="45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45"/>
      <c r="B784" s="45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45"/>
      <c r="B785" s="45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45"/>
      <c r="B786" s="45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45"/>
      <c r="B787" s="45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45"/>
      <c r="B788" s="45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45"/>
      <c r="B789" s="45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45"/>
      <c r="B790" s="45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45"/>
      <c r="B791" s="45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45"/>
      <c r="B792" s="45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45"/>
      <c r="B793" s="45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45"/>
      <c r="B794" s="45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45"/>
      <c r="B795" s="45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45"/>
      <c r="B796" s="45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45"/>
      <c r="B797" s="45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45"/>
      <c r="B798" s="45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45"/>
      <c r="B799" s="45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45"/>
      <c r="B800" s="45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45"/>
      <c r="B801" s="45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45"/>
      <c r="B802" s="45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45"/>
      <c r="B803" s="45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45"/>
      <c r="B804" s="45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45"/>
      <c r="B805" s="45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45"/>
      <c r="B806" s="45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45"/>
      <c r="B807" s="45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45"/>
      <c r="B808" s="45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45"/>
      <c r="B809" s="45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45"/>
      <c r="B810" s="45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45"/>
      <c r="B811" s="45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45"/>
      <c r="B812" s="45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45"/>
      <c r="B813" s="45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45"/>
      <c r="B814" s="45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45"/>
      <c r="B815" s="45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45"/>
      <c r="B816" s="45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45"/>
      <c r="B817" s="45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45"/>
      <c r="B818" s="45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45"/>
      <c r="B819" s="45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45"/>
      <c r="B820" s="45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45"/>
      <c r="B821" s="45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45"/>
      <c r="B822" s="45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45"/>
      <c r="B823" s="45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45"/>
      <c r="B824" s="45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45"/>
      <c r="B825" s="45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45"/>
      <c r="B826" s="45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45"/>
      <c r="B827" s="45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45"/>
      <c r="B828" s="45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45"/>
      <c r="B829" s="45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45"/>
      <c r="B830" s="45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45"/>
      <c r="B831" s="45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45"/>
      <c r="B832" s="45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45"/>
      <c r="B833" s="45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45"/>
      <c r="B834" s="45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45"/>
      <c r="B835" s="45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45"/>
      <c r="B836" s="45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45"/>
      <c r="B837" s="45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45"/>
      <c r="B838" s="45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45"/>
      <c r="B839" s="45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45"/>
      <c r="B840" s="45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45"/>
      <c r="B841" s="45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45"/>
      <c r="B842" s="45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45"/>
      <c r="B843" s="45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45"/>
      <c r="B844" s="45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45"/>
      <c r="B845" s="45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45"/>
      <c r="B846" s="45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45"/>
      <c r="B847" s="45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45"/>
      <c r="B848" s="45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45"/>
      <c r="B849" s="45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45"/>
      <c r="B850" s="45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45"/>
      <c r="B851" s="45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45"/>
      <c r="B852" s="45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45"/>
      <c r="B853" s="45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45"/>
      <c r="B854" s="45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45"/>
      <c r="B855" s="45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45"/>
      <c r="B856" s="45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45"/>
      <c r="B857" s="45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45"/>
      <c r="B858" s="45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45"/>
      <c r="B859" s="45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45"/>
      <c r="B860" s="45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45"/>
      <c r="B861" s="45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45"/>
      <c r="B862" s="45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45"/>
      <c r="B863" s="45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45"/>
      <c r="B864" s="45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45"/>
      <c r="B865" s="45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45"/>
      <c r="B866" s="45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45"/>
      <c r="B867" s="45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45"/>
      <c r="B868" s="45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45"/>
      <c r="B869" s="45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45"/>
      <c r="B870" s="45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45"/>
      <c r="B871" s="45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45"/>
      <c r="B872" s="45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45"/>
      <c r="B873" s="45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45"/>
      <c r="B874" s="45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45"/>
      <c r="B875" s="45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45"/>
      <c r="B876" s="45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45"/>
      <c r="B877" s="45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45"/>
      <c r="B878" s="45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45"/>
      <c r="B879" s="45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45"/>
      <c r="B880" s="45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45"/>
      <c r="B881" s="45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45"/>
      <c r="B882" s="45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45"/>
      <c r="B883" s="45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45"/>
      <c r="B884" s="45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45"/>
      <c r="B885" s="45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45"/>
      <c r="B886" s="45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45"/>
      <c r="B887" s="45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45"/>
      <c r="B888" s="45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45"/>
      <c r="B889" s="45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45"/>
      <c r="B890" s="45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45"/>
      <c r="B891" s="45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45"/>
      <c r="B892" s="45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45"/>
      <c r="B893" s="45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45"/>
      <c r="B894" s="45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45"/>
      <c r="B895" s="45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45"/>
      <c r="B896" s="45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45"/>
      <c r="B897" s="45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45"/>
      <c r="B898" s="45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45"/>
      <c r="B899" s="45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45"/>
      <c r="B900" s="45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45"/>
      <c r="B901" s="45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45"/>
      <c r="B902" s="45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45"/>
      <c r="B903" s="45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45"/>
      <c r="B904" s="45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45"/>
      <c r="B905" s="45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45"/>
      <c r="B906" s="45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45"/>
      <c r="B907" s="45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45"/>
      <c r="B908" s="45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45"/>
      <c r="B909" s="45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45"/>
      <c r="B910" s="45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45"/>
      <c r="B911" s="45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45"/>
      <c r="B912" s="45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45"/>
      <c r="B913" s="45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45"/>
      <c r="B914" s="45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45"/>
      <c r="B915" s="45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45"/>
      <c r="B916" s="45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45"/>
      <c r="B917" s="45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45"/>
      <c r="B918" s="45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45"/>
      <c r="B919" s="45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45"/>
      <c r="B920" s="45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45"/>
      <c r="B921" s="45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45"/>
      <c r="B922" s="45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45"/>
      <c r="B923" s="45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45"/>
      <c r="B924" s="45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45"/>
      <c r="B925" s="45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45"/>
      <c r="B926" s="45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45"/>
      <c r="B927" s="45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45"/>
      <c r="B928" s="45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45"/>
      <c r="B929" s="45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45"/>
      <c r="B930" s="45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45"/>
      <c r="B931" s="45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45"/>
      <c r="B932" s="45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45"/>
      <c r="B933" s="45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45"/>
      <c r="B934" s="45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45"/>
      <c r="B935" s="45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45"/>
      <c r="B936" s="45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45"/>
      <c r="B937" s="45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45"/>
      <c r="B938" s="45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45"/>
      <c r="B939" s="45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45"/>
      <c r="B940" s="45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45"/>
      <c r="B941" s="45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45"/>
      <c r="B942" s="45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45"/>
      <c r="B943" s="45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45"/>
      <c r="B944" s="45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45"/>
      <c r="B945" s="45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45"/>
      <c r="B946" s="45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45"/>
      <c r="B947" s="45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45"/>
      <c r="B948" s="45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45"/>
      <c r="B949" s="45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45"/>
      <c r="B950" s="45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45"/>
      <c r="B951" s="45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45"/>
      <c r="B952" s="45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45"/>
      <c r="B953" s="45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45"/>
      <c r="B954" s="45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45"/>
      <c r="B955" s="45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45"/>
      <c r="B956" s="45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45"/>
      <c r="B957" s="45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45"/>
      <c r="B958" s="45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45"/>
      <c r="B959" s="45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45"/>
      <c r="B960" s="45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45"/>
      <c r="B961" s="45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45"/>
      <c r="B962" s="45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45"/>
      <c r="B963" s="45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45"/>
      <c r="B964" s="45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45"/>
      <c r="B965" s="45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45"/>
      <c r="B966" s="45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45"/>
      <c r="B967" s="45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45"/>
      <c r="B968" s="45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45"/>
      <c r="B969" s="45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45"/>
      <c r="B970" s="45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45"/>
      <c r="B971" s="45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45"/>
      <c r="B972" s="45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45"/>
      <c r="B973" s="45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45"/>
      <c r="B974" s="45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45"/>
      <c r="B975" s="45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45"/>
      <c r="B976" s="45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45"/>
      <c r="B977" s="45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45"/>
      <c r="B978" s="45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45"/>
      <c r="B979" s="45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45"/>
      <c r="B980" s="45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45"/>
      <c r="B981" s="45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45"/>
      <c r="B982" s="45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45"/>
      <c r="B983" s="45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45"/>
      <c r="B984" s="45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45"/>
      <c r="B985" s="45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45"/>
      <c r="B986" s="45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45"/>
      <c r="B987" s="45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45"/>
      <c r="B988" s="45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45"/>
      <c r="B989" s="45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45"/>
      <c r="B990" s="45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45"/>
      <c r="B991" s="45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45"/>
      <c r="B992" s="45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45"/>
      <c r="B993" s="45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45"/>
      <c r="B994" s="45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45"/>
      <c r="B995" s="45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21:H21"/>
    <mergeCell ref="N21:N23"/>
    <mergeCell ref="E24:H24"/>
    <mergeCell ref="N24:N26"/>
    <mergeCell ref="E27:H27"/>
    <mergeCell ref="N27:N29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J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21.3320312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5.21875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503</v>
      </c>
      <c r="B1" t="s">
        <v>2</v>
      </c>
      <c r="C1" t="s">
        <v>504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626</v>
      </c>
      <c r="J1" t="s">
        <v>210</v>
      </c>
    </row>
    <row r="2" spans="1:10" x14ac:dyDescent="0.3">
      <c r="A2" t="s">
        <v>435</v>
      </c>
      <c r="B2" t="s">
        <v>68</v>
      </c>
      <c r="C2">
        <v>4</v>
      </c>
      <c r="D2">
        <v>0</v>
      </c>
      <c r="E2">
        <v>0</v>
      </c>
      <c r="F2">
        <v>1</v>
      </c>
      <c r="G2">
        <v>5</v>
      </c>
      <c r="H2" s="155">
        <v>1.1322142158979838</v>
      </c>
      <c r="I2">
        <v>5</v>
      </c>
      <c r="J2" t="s">
        <v>211</v>
      </c>
    </row>
    <row r="3" spans="1:10" x14ac:dyDescent="0.3">
      <c r="A3" t="s">
        <v>436</v>
      </c>
      <c r="B3" t="s">
        <v>68</v>
      </c>
      <c r="C3">
        <v>8</v>
      </c>
      <c r="D3">
        <v>0</v>
      </c>
      <c r="E3">
        <v>0</v>
      </c>
      <c r="F3">
        <v>0</v>
      </c>
      <c r="G3">
        <v>8</v>
      </c>
      <c r="H3" s="155">
        <v>1.0783903120951059</v>
      </c>
      <c r="I3">
        <v>8</v>
      </c>
      <c r="J3" t="s">
        <v>211</v>
      </c>
    </row>
    <row r="4" spans="1:10" x14ac:dyDescent="0.3">
      <c r="A4" t="s">
        <v>437</v>
      </c>
      <c r="B4" t="s">
        <v>68</v>
      </c>
      <c r="C4">
        <v>17</v>
      </c>
      <c r="D4">
        <v>0</v>
      </c>
      <c r="E4">
        <v>0</v>
      </c>
      <c r="F4">
        <v>3</v>
      </c>
      <c r="G4">
        <v>20</v>
      </c>
      <c r="H4" s="155">
        <v>1.1806423749232833</v>
      </c>
      <c r="I4">
        <v>20</v>
      </c>
      <c r="J4" t="s">
        <v>211</v>
      </c>
    </row>
    <row r="5" spans="1:10" x14ac:dyDescent="0.3">
      <c r="A5" t="s">
        <v>438</v>
      </c>
      <c r="B5" t="s">
        <v>68</v>
      </c>
      <c r="C5">
        <v>8084</v>
      </c>
      <c r="D5">
        <v>0</v>
      </c>
      <c r="E5">
        <v>0</v>
      </c>
      <c r="F5">
        <v>3011</v>
      </c>
      <c r="G5">
        <v>11095</v>
      </c>
      <c r="H5" s="155">
        <v>1.1337030891278157</v>
      </c>
      <c r="I5">
        <v>11095</v>
      </c>
      <c r="J5" t="s">
        <v>211</v>
      </c>
    </row>
    <row r="6" spans="1:10" x14ac:dyDescent="0.3">
      <c r="A6" t="s">
        <v>439</v>
      </c>
      <c r="B6" t="s">
        <v>68</v>
      </c>
      <c r="C6">
        <v>1904</v>
      </c>
      <c r="D6">
        <v>0</v>
      </c>
      <c r="E6">
        <v>0</v>
      </c>
      <c r="F6">
        <v>645</v>
      </c>
      <c r="G6">
        <v>2549</v>
      </c>
      <c r="H6" s="155">
        <v>1.1418180165026255</v>
      </c>
      <c r="I6">
        <v>2549</v>
      </c>
      <c r="J6" t="s">
        <v>211</v>
      </c>
    </row>
    <row r="7" spans="1:10" x14ac:dyDescent="0.3">
      <c r="A7" t="s">
        <v>440</v>
      </c>
      <c r="B7" t="s">
        <v>68</v>
      </c>
      <c r="C7">
        <v>74783</v>
      </c>
      <c r="D7">
        <v>0</v>
      </c>
      <c r="E7">
        <v>0</v>
      </c>
      <c r="F7">
        <v>13706</v>
      </c>
      <c r="G7">
        <v>88489</v>
      </c>
      <c r="H7" s="155">
        <v>1.0487804878048781</v>
      </c>
      <c r="I7">
        <v>88489</v>
      </c>
      <c r="J7" t="s">
        <v>211</v>
      </c>
    </row>
    <row r="8" spans="1:10" x14ac:dyDescent="0.3">
      <c r="A8" t="s">
        <v>441</v>
      </c>
      <c r="B8" t="s">
        <v>68</v>
      </c>
      <c r="C8">
        <v>1</v>
      </c>
      <c r="D8">
        <v>0</v>
      </c>
      <c r="E8">
        <v>0</v>
      </c>
      <c r="F8">
        <v>0</v>
      </c>
      <c r="G8">
        <v>1</v>
      </c>
      <c r="H8" s="155">
        <v>1.202986838815266</v>
      </c>
      <c r="I8">
        <v>1</v>
      </c>
      <c r="J8" t="s">
        <v>211</v>
      </c>
    </row>
    <row r="9" spans="1:10" x14ac:dyDescent="0.3">
      <c r="A9" t="s">
        <v>442</v>
      </c>
      <c r="B9" t="s">
        <v>73</v>
      </c>
      <c r="C9">
        <v>0</v>
      </c>
      <c r="D9">
        <v>0</v>
      </c>
      <c r="E9">
        <v>0</v>
      </c>
      <c r="F9">
        <v>0</v>
      </c>
      <c r="G9">
        <v>0</v>
      </c>
      <c r="H9" s="155">
        <v>1</v>
      </c>
      <c r="I9">
        <v>0</v>
      </c>
      <c r="J9" t="s">
        <v>212</v>
      </c>
    </row>
    <row r="10" spans="1:10" x14ac:dyDescent="0.3">
      <c r="A10" t="s">
        <v>443</v>
      </c>
      <c r="B10" t="s">
        <v>73</v>
      </c>
      <c r="C10">
        <v>0</v>
      </c>
      <c r="D10">
        <v>0</v>
      </c>
      <c r="E10">
        <v>0</v>
      </c>
      <c r="F10">
        <v>0</v>
      </c>
      <c r="G10">
        <v>0</v>
      </c>
      <c r="H10" s="155">
        <v>0.93014705882352944</v>
      </c>
      <c r="I10">
        <v>0</v>
      </c>
      <c r="J10" t="s">
        <v>212</v>
      </c>
    </row>
    <row r="11" spans="1:10" x14ac:dyDescent="0.3">
      <c r="A11" t="s">
        <v>444</v>
      </c>
      <c r="B11" t="s">
        <v>76</v>
      </c>
      <c r="C11">
        <v>0</v>
      </c>
      <c r="D11">
        <v>0</v>
      </c>
      <c r="E11">
        <v>0</v>
      </c>
      <c r="F11">
        <v>2</v>
      </c>
      <c r="G11">
        <v>2</v>
      </c>
      <c r="H11" s="155">
        <v>3.3103448275862069</v>
      </c>
      <c r="I11">
        <v>2</v>
      </c>
      <c r="J11" t="s">
        <v>213</v>
      </c>
    </row>
    <row r="12" spans="1:10" x14ac:dyDescent="0.3">
      <c r="A12" t="s">
        <v>445</v>
      </c>
      <c r="B12" t="s">
        <v>76</v>
      </c>
      <c r="C12">
        <v>0</v>
      </c>
      <c r="D12">
        <v>0</v>
      </c>
      <c r="E12">
        <v>0</v>
      </c>
      <c r="F12">
        <v>0</v>
      </c>
      <c r="G12">
        <v>0</v>
      </c>
      <c r="H12" s="155">
        <v>0</v>
      </c>
      <c r="I12">
        <v>0</v>
      </c>
      <c r="J12" t="s">
        <v>213</v>
      </c>
    </row>
    <row r="13" spans="1:10" x14ac:dyDescent="0.3">
      <c r="A13" t="s">
        <v>446</v>
      </c>
      <c r="B13" t="s">
        <v>76</v>
      </c>
      <c r="C13">
        <v>0</v>
      </c>
      <c r="D13">
        <v>0</v>
      </c>
      <c r="E13">
        <v>0</v>
      </c>
      <c r="F13">
        <v>0</v>
      </c>
      <c r="G13">
        <v>0</v>
      </c>
      <c r="H13" s="155">
        <v>0</v>
      </c>
      <c r="I13">
        <v>0</v>
      </c>
      <c r="J13" t="s">
        <v>213</v>
      </c>
    </row>
    <row r="14" spans="1:10" x14ac:dyDescent="0.3">
      <c r="A14" t="s">
        <v>447</v>
      </c>
      <c r="B14" t="s">
        <v>76</v>
      </c>
      <c r="C14">
        <v>0</v>
      </c>
      <c r="D14">
        <v>0</v>
      </c>
      <c r="E14">
        <v>0</v>
      </c>
      <c r="F14">
        <v>0</v>
      </c>
      <c r="G14">
        <v>0</v>
      </c>
      <c r="H14" s="155">
        <v>0</v>
      </c>
      <c r="I14">
        <v>0</v>
      </c>
      <c r="J14" t="s">
        <v>213</v>
      </c>
    </row>
    <row r="15" spans="1:10" x14ac:dyDescent="0.3">
      <c r="A15" t="s">
        <v>739</v>
      </c>
      <c r="B15" t="s">
        <v>76</v>
      </c>
      <c r="C15">
        <v>0</v>
      </c>
      <c r="D15">
        <v>0</v>
      </c>
      <c r="E15">
        <v>0</v>
      </c>
      <c r="F15">
        <v>0</v>
      </c>
      <c r="G15">
        <v>0</v>
      </c>
      <c r="H15" s="155">
        <v>0</v>
      </c>
      <c r="I15">
        <v>0</v>
      </c>
      <c r="J15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14"/>
  <sheetViews>
    <sheetView workbookViewId="0">
      <pane ySplit="1" topLeftCell="A2" activePane="bottomLeft" state="frozen"/>
      <selection activeCell="O1" sqref="O1"/>
      <selection pane="bottomLeft" activeCell="B8" sqref="B8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3.5546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634</v>
      </c>
      <c r="R1" t="s">
        <v>141</v>
      </c>
      <c r="S1" t="s">
        <v>628</v>
      </c>
      <c r="T1" t="s">
        <v>629</v>
      </c>
      <c r="U1" t="s">
        <v>630</v>
      </c>
      <c r="V1" t="s">
        <v>631</v>
      </c>
      <c r="W1" t="s">
        <v>632</v>
      </c>
      <c r="X1" t="s">
        <v>633</v>
      </c>
      <c r="Y1" t="s">
        <v>524</v>
      </c>
      <c r="Z1" t="s">
        <v>160</v>
      </c>
      <c r="AA1" t="s">
        <v>40</v>
      </c>
      <c r="AB1" t="s">
        <v>367</v>
      </c>
      <c r="AC1" t="s">
        <v>522</v>
      </c>
      <c r="AD1" t="s">
        <v>210</v>
      </c>
      <c r="AE1" t="s">
        <v>521</v>
      </c>
      <c r="AF1" t="s">
        <v>525</v>
      </c>
    </row>
    <row r="2" spans="1:32" x14ac:dyDescent="0.3">
      <c r="A2" t="s">
        <v>350</v>
      </c>
      <c r="B2" t="s">
        <v>57</v>
      </c>
      <c r="C2" t="s">
        <v>117</v>
      </c>
      <c r="D2" t="s">
        <v>309</v>
      </c>
      <c r="E2" t="s">
        <v>755</v>
      </c>
      <c r="F2" s="15">
        <v>46241.564421296294</v>
      </c>
      <c r="G2" t="s">
        <v>420</v>
      </c>
      <c r="H2">
        <v>3</v>
      </c>
      <c r="I2" t="s">
        <v>756</v>
      </c>
      <c r="J2" s="15">
        <v>46248.417361111111</v>
      </c>
      <c r="K2" s="15">
        <v>46254.490972222222</v>
      </c>
      <c r="L2" s="15"/>
      <c r="M2">
        <v>3</v>
      </c>
      <c r="O2" t="s">
        <v>201</v>
      </c>
      <c r="P2" t="s">
        <v>1954</v>
      </c>
      <c r="S2" t="s">
        <v>365</v>
      </c>
      <c r="T2" t="s">
        <v>377</v>
      </c>
      <c r="U2" t="s">
        <v>293</v>
      </c>
      <c r="V2" t="s">
        <v>7</v>
      </c>
      <c r="W2" t="s">
        <v>7</v>
      </c>
      <c r="X2" t="s">
        <v>7</v>
      </c>
      <c r="AA2" t="s">
        <v>127</v>
      </c>
      <c r="AB2" t="s">
        <v>397</v>
      </c>
      <c r="AC2">
        <v>2940</v>
      </c>
      <c r="AD2" t="s">
        <v>233</v>
      </c>
      <c r="AE2">
        <v>1</v>
      </c>
      <c r="AF2">
        <v>1</v>
      </c>
    </row>
    <row r="3" spans="1:32" x14ac:dyDescent="0.3">
      <c r="A3" t="s">
        <v>350</v>
      </c>
      <c r="B3" t="s">
        <v>57</v>
      </c>
      <c r="C3" t="s">
        <v>117</v>
      </c>
      <c r="D3" t="s">
        <v>309</v>
      </c>
      <c r="E3" t="s">
        <v>755</v>
      </c>
      <c r="F3" s="15">
        <v>46241.564421296294</v>
      </c>
      <c r="G3" t="s">
        <v>420</v>
      </c>
      <c r="H3">
        <v>26</v>
      </c>
      <c r="I3" t="s">
        <v>756</v>
      </c>
      <c r="J3" s="15">
        <v>46248.417361111111</v>
      </c>
      <c r="K3" s="15">
        <v>46254.490972222222</v>
      </c>
      <c r="L3" s="15"/>
      <c r="M3">
        <v>26</v>
      </c>
      <c r="O3" t="s">
        <v>1958</v>
      </c>
      <c r="S3" t="s">
        <v>365</v>
      </c>
      <c r="T3" t="s">
        <v>377</v>
      </c>
      <c r="U3" t="s">
        <v>293</v>
      </c>
      <c r="V3" t="s">
        <v>7</v>
      </c>
      <c r="W3" t="s">
        <v>7</v>
      </c>
      <c r="X3" t="s">
        <v>7</v>
      </c>
      <c r="AA3" t="s">
        <v>127</v>
      </c>
      <c r="AB3" t="s">
        <v>397</v>
      </c>
      <c r="AC3">
        <v>2940</v>
      </c>
      <c r="AD3" t="s">
        <v>233</v>
      </c>
      <c r="AE3">
        <v>2.6</v>
      </c>
    </row>
    <row r="4" spans="1:32" x14ac:dyDescent="0.3">
      <c r="A4" t="s">
        <v>350</v>
      </c>
      <c r="B4" t="s">
        <v>57</v>
      </c>
      <c r="C4" t="s">
        <v>117</v>
      </c>
      <c r="D4" t="s">
        <v>309</v>
      </c>
      <c r="E4" t="s">
        <v>755</v>
      </c>
      <c r="F4" s="15">
        <v>46241.564421296294</v>
      </c>
      <c r="G4" t="s">
        <v>420</v>
      </c>
      <c r="H4">
        <v>6</v>
      </c>
      <c r="I4" t="s">
        <v>756</v>
      </c>
      <c r="J4" s="15">
        <v>46248.417361111111</v>
      </c>
      <c r="K4" s="15">
        <v>46254.490972222222</v>
      </c>
      <c r="L4" s="15"/>
      <c r="M4">
        <v>6</v>
      </c>
      <c r="O4" t="s">
        <v>1958</v>
      </c>
      <c r="S4" t="s">
        <v>365</v>
      </c>
      <c r="T4" t="s">
        <v>377</v>
      </c>
      <c r="U4" t="s">
        <v>293</v>
      </c>
      <c r="V4" t="s">
        <v>7</v>
      </c>
      <c r="W4" t="s">
        <v>7</v>
      </c>
      <c r="X4" t="s">
        <v>7</v>
      </c>
      <c r="AA4" t="s">
        <v>127</v>
      </c>
      <c r="AB4" t="s">
        <v>397</v>
      </c>
      <c r="AC4">
        <v>2940</v>
      </c>
      <c r="AD4" t="s">
        <v>233</v>
      </c>
      <c r="AE4">
        <v>1</v>
      </c>
    </row>
    <row r="5" spans="1:32" x14ac:dyDescent="0.3">
      <c r="A5" t="s">
        <v>350</v>
      </c>
      <c r="B5" t="s">
        <v>57</v>
      </c>
      <c r="C5" t="s">
        <v>117</v>
      </c>
      <c r="D5" t="s">
        <v>309</v>
      </c>
      <c r="E5" t="s">
        <v>755</v>
      </c>
      <c r="F5" s="15">
        <v>46241.564421296294</v>
      </c>
      <c r="G5" t="s">
        <v>420</v>
      </c>
      <c r="H5">
        <v>7</v>
      </c>
      <c r="I5" t="s">
        <v>756</v>
      </c>
      <c r="J5" s="15">
        <v>46248.417361111111</v>
      </c>
      <c r="K5" s="15">
        <v>46254.490972222222</v>
      </c>
      <c r="L5" s="15"/>
      <c r="M5">
        <v>7</v>
      </c>
      <c r="O5" t="s">
        <v>1958</v>
      </c>
      <c r="S5" t="s">
        <v>365</v>
      </c>
      <c r="T5" t="s">
        <v>377</v>
      </c>
      <c r="U5" t="s">
        <v>293</v>
      </c>
      <c r="V5" t="s">
        <v>7</v>
      </c>
      <c r="W5" t="s">
        <v>7</v>
      </c>
      <c r="X5" t="s">
        <v>7</v>
      </c>
      <c r="AA5" t="s">
        <v>127</v>
      </c>
      <c r="AB5" t="s">
        <v>397</v>
      </c>
      <c r="AC5">
        <v>2940</v>
      </c>
      <c r="AD5" t="s">
        <v>233</v>
      </c>
      <c r="AE5">
        <v>1</v>
      </c>
    </row>
    <row r="6" spans="1:32" x14ac:dyDescent="0.3">
      <c r="A6" t="s">
        <v>350</v>
      </c>
      <c r="B6" t="s">
        <v>63</v>
      </c>
      <c r="C6" t="s">
        <v>95</v>
      </c>
      <c r="D6" t="s">
        <v>309</v>
      </c>
      <c r="E6" t="s">
        <v>755</v>
      </c>
      <c r="F6" s="15">
        <v>46241.564421296294</v>
      </c>
      <c r="G6" t="s">
        <v>420</v>
      </c>
      <c r="H6">
        <v>6</v>
      </c>
      <c r="I6" t="s">
        <v>756</v>
      </c>
      <c r="J6" s="15">
        <v>46248.417361111111</v>
      </c>
      <c r="K6" s="15">
        <v>46254.490972222222</v>
      </c>
      <c r="L6" s="15"/>
      <c r="M6">
        <v>6</v>
      </c>
      <c r="O6" t="s">
        <v>201</v>
      </c>
      <c r="P6" t="s">
        <v>1954</v>
      </c>
      <c r="S6" t="s">
        <v>365</v>
      </c>
      <c r="T6" t="s">
        <v>377</v>
      </c>
      <c r="U6" t="s">
        <v>293</v>
      </c>
      <c r="V6" t="s">
        <v>7</v>
      </c>
      <c r="W6" t="s">
        <v>7</v>
      </c>
      <c r="X6" t="s">
        <v>7</v>
      </c>
      <c r="AA6" t="s">
        <v>96</v>
      </c>
      <c r="AB6" t="s">
        <v>397</v>
      </c>
      <c r="AC6">
        <v>2940</v>
      </c>
      <c r="AD6" t="s">
        <v>225</v>
      </c>
      <c r="AE6">
        <v>6</v>
      </c>
      <c r="AF6">
        <v>10.9</v>
      </c>
    </row>
    <row r="7" spans="1:32" x14ac:dyDescent="0.3">
      <c r="A7" t="s">
        <v>350</v>
      </c>
      <c r="B7" t="s">
        <v>63</v>
      </c>
      <c r="C7" t="s">
        <v>95</v>
      </c>
      <c r="D7" t="s">
        <v>309</v>
      </c>
      <c r="E7" t="s">
        <v>755</v>
      </c>
      <c r="F7" s="15">
        <v>46241.564421296294</v>
      </c>
      <c r="G7" t="s">
        <v>420</v>
      </c>
      <c r="H7">
        <v>26</v>
      </c>
      <c r="I7" t="s">
        <v>756</v>
      </c>
      <c r="J7" s="15">
        <v>46248.417361111111</v>
      </c>
      <c r="K7" s="15">
        <v>46254.490972222222</v>
      </c>
      <c r="L7" s="15"/>
      <c r="M7">
        <v>26</v>
      </c>
      <c r="O7" t="s">
        <v>1958</v>
      </c>
      <c r="S7" t="s">
        <v>365</v>
      </c>
      <c r="T7" t="s">
        <v>377</v>
      </c>
      <c r="U7" t="s">
        <v>293</v>
      </c>
      <c r="V7" t="s">
        <v>7</v>
      </c>
      <c r="W7" t="s">
        <v>7</v>
      </c>
      <c r="X7" t="s">
        <v>7</v>
      </c>
      <c r="AA7" t="s">
        <v>96</v>
      </c>
      <c r="AB7" t="s">
        <v>397</v>
      </c>
      <c r="AC7">
        <v>2940</v>
      </c>
      <c r="AD7" t="s">
        <v>225</v>
      </c>
      <c r="AE7">
        <v>26</v>
      </c>
    </row>
    <row r="8" spans="1:32" x14ac:dyDescent="0.3">
      <c r="A8" t="s">
        <v>350</v>
      </c>
      <c r="B8" t="s">
        <v>63</v>
      </c>
      <c r="C8" t="s">
        <v>95</v>
      </c>
      <c r="D8" t="s">
        <v>309</v>
      </c>
      <c r="E8" t="s">
        <v>755</v>
      </c>
      <c r="F8" s="15">
        <v>46241.564421296294</v>
      </c>
      <c r="G8" t="s">
        <v>420</v>
      </c>
      <c r="H8">
        <v>1</v>
      </c>
      <c r="I8" t="s">
        <v>756</v>
      </c>
      <c r="J8" s="15">
        <v>46248.417361111111</v>
      </c>
      <c r="K8" s="15">
        <v>46254.490972222222</v>
      </c>
      <c r="L8" s="15"/>
      <c r="M8">
        <v>1</v>
      </c>
      <c r="O8" t="s">
        <v>1958</v>
      </c>
      <c r="S8" t="s">
        <v>365</v>
      </c>
      <c r="T8" t="s">
        <v>377</v>
      </c>
      <c r="U8" t="s">
        <v>293</v>
      </c>
      <c r="V8" t="s">
        <v>7</v>
      </c>
      <c r="W8" t="s">
        <v>7</v>
      </c>
      <c r="X8" t="s">
        <v>7</v>
      </c>
      <c r="AA8" t="s">
        <v>96</v>
      </c>
      <c r="AB8" t="s">
        <v>397</v>
      </c>
      <c r="AC8">
        <v>2940</v>
      </c>
      <c r="AD8" t="s">
        <v>225</v>
      </c>
      <c r="AE8">
        <v>1</v>
      </c>
    </row>
    <row r="9" spans="1:32" x14ac:dyDescent="0.3">
      <c r="A9" t="s">
        <v>350</v>
      </c>
      <c r="B9" t="s">
        <v>63</v>
      </c>
      <c r="C9" t="s">
        <v>95</v>
      </c>
      <c r="D9" t="s">
        <v>309</v>
      </c>
      <c r="E9" t="s">
        <v>755</v>
      </c>
      <c r="F9" s="15">
        <v>46241.564421296294</v>
      </c>
      <c r="G9" t="s">
        <v>420</v>
      </c>
      <c r="H9">
        <v>32</v>
      </c>
      <c r="I9" t="s">
        <v>756</v>
      </c>
      <c r="J9" s="15">
        <v>46248.417361111111</v>
      </c>
      <c r="K9" s="15">
        <v>46254.490972222222</v>
      </c>
      <c r="L9" s="15"/>
      <c r="M9">
        <v>32</v>
      </c>
      <c r="O9" t="s">
        <v>1958</v>
      </c>
      <c r="S9" t="s">
        <v>365</v>
      </c>
      <c r="T9" t="s">
        <v>377</v>
      </c>
      <c r="U9" t="s">
        <v>293</v>
      </c>
      <c r="V9" t="s">
        <v>7</v>
      </c>
      <c r="W9" t="s">
        <v>7</v>
      </c>
      <c r="X9" t="s">
        <v>7</v>
      </c>
      <c r="AA9" t="s">
        <v>96</v>
      </c>
      <c r="AB9" t="s">
        <v>397</v>
      </c>
      <c r="AC9">
        <v>2940</v>
      </c>
      <c r="AD9" t="s">
        <v>225</v>
      </c>
      <c r="AE9">
        <v>32</v>
      </c>
    </row>
    <row r="10" spans="1:32" x14ac:dyDescent="0.3">
      <c r="A10" t="s">
        <v>350</v>
      </c>
      <c r="B10" t="s">
        <v>63</v>
      </c>
      <c r="C10" t="s">
        <v>95</v>
      </c>
      <c r="D10" t="s">
        <v>309</v>
      </c>
      <c r="E10" t="s">
        <v>755</v>
      </c>
      <c r="F10" s="15">
        <v>46241.564421296294</v>
      </c>
      <c r="G10" t="s">
        <v>420</v>
      </c>
      <c r="H10">
        <v>25</v>
      </c>
      <c r="I10" t="s">
        <v>756</v>
      </c>
      <c r="J10" s="15">
        <v>46248.417361111111</v>
      </c>
      <c r="K10" s="15">
        <v>46254.490972222222</v>
      </c>
      <c r="L10" s="15"/>
      <c r="M10">
        <v>25</v>
      </c>
      <c r="O10" t="s">
        <v>1958</v>
      </c>
      <c r="S10" t="s">
        <v>365</v>
      </c>
      <c r="T10" t="s">
        <v>377</v>
      </c>
      <c r="U10" t="s">
        <v>293</v>
      </c>
      <c r="V10" t="s">
        <v>7</v>
      </c>
      <c r="W10" t="s">
        <v>7</v>
      </c>
      <c r="X10" t="s">
        <v>7</v>
      </c>
      <c r="AA10" t="s">
        <v>96</v>
      </c>
      <c r="AB10" t="s">
        <v>397</v>
      </c>
      <c r="AC10">
        <v>2940</v>
      </c>
      <c r="AD10" t="s">
        <v>225</v>
      </c>
      <c r="AE10">
        <v>25</v>
      </c>
    </row>
    <row r="11" spans="1:32" x14ac:dyDescent="0.3">
      <c r="A11" t="s">
        <v>350</v>
      </c>
      <c r="B11" t="s">
        <v>63</v>
      </c>
      <c r="C11" t="s">
        <v>95</v>
      </c>
      <c r="D11" t="s">
        <v>309</v>
      </c>
      <c r="E11" t="s">
        <v>755</v>
      </c>
      <c r="F11" s="15">
        <v>46241.564421296294</v>
      </c>
      <c r="G11" t="s">
        <v>420</v>
      </c>
      <c r="H11">
        <v>3</v>
      </c>
      <c r="I11" t="s">
        <v>756</v>
      </c>
      <c r="J11" s="15">
        <v>46248.417361111111</v>
      </c>
      <c r="K11" s="15">
        <v>46254.490972222222</v>
      </c>
      <c r="L11" s="15"/>
      <c r="M11">
        <v>3</v>
      </c>
      <c r="O11" t="s">
        <v>1958</v>
      </c>
      <c r="S11" t="s">
        <v>365</v>
      </c>
      <c r="T11" t="s">
        <v>377</v>
      </c>
      <c r="U11" t="s">
        <v>293</v>
      </c>
      <c r="V11" t="s">
        <v>7</v>
      </c>
      <c r="W11" t="s">
        <v>7</v>
      </c>
      <c r="X11" t="s">
        <v>7</v>
      </c>
      <c r="AA11" t="s">
        <v>96</v>
      </c>
      <c r="AB11" t="s">
        <v>397</v>
      </c>
      <c r="AC11">
        <v>2940</v>
      </c>
      <c r="AD11" t="s">
        <v>225</v>
      </c>
      <c r="AE11">
        <v>3</v>
      </c>
    </row>
    <row r="12" spans="1:32" x14ac:dyDescent="0.3">
      <c r="A12" t="s">
        <v>350</v>
      </c>
      <c r="B12" t="s">
        <v>63</v>
      </c>
      <c r="C12" t="s">
        <v>95</v>
      </c>
      <c r="D12" t="s">
        <v>309</v>
      </c>
      <c r="E12" t="s">
        <v>755</v>
      </c>
      <c r="F12" s="15">
        <v>46241.564421296294</v>
      </c>
      <c r="G12" t="s">
        <v>420</v>
      </c>
      <c r="H12">
        <v>2</v>
      </c>
      <c r="I12" t="s">
        <v>756</v>
      </c>
      <c r="J12" s="15">
        <v>46248.417361111111</v>
      </c>
      <c r="K12" s="15">
        <v>46254.490972222222</v>
      </c>
      <c r="L12" s="15"/>
      <c r="M12">
        <v>2</v>
      </c>
      <c r="O12" t="s">
        <v>1958</v>
      </c>
      <c r="S12" t="s">
        <v>365</v>
      </c>
      <c r="T12" t="s">
        <v>377</v>
      </c>
      <c r="U12" t="s">
        <v>293</v>
      </c>
      <c r="V12" t="s">
        <v>7</v>
      </c>
      <c r="W12" t="s">
        <v>7</v>
      </c>
      <c r="X12" t="s">
        <v>7</v>
      </c>
      <c r="AA12" t="s">
        <v>96</v>
      </c>
      <c r="AB12" t="s">
        <v>397</v>
      </c>
      <c r="AC12">
        <v>2940</v>
      </c>
      <c r="AD12" t="s">
        <v>225</v>
      </c>
      <c r="AE12">
        <v>2</v>
      </c>
    </row>
    <row r="13" spans="1:32" x14ac:dyDescent="0.3">
      <c r="A13" t="s">
        <v>350</v>
      </c>
      <c r="B13" t="s">
        <v>63</v>
      </c>
      <c r="C13" t="s">
        <v>95</v>
      </c>
      <c r="D13" t="s">
        <v>309</v>
      </c>
      <c r="E13" t="s">
        <v>755</v>
      </c>
      <c r="F13" s="15">
        <v>46241.564421296294</v>
      </c>
      <c r="G13" t="s">
        <v>420</v>
      </c>
      <c r="H13">
        <v>12</v>
      </c>
      <c r="I13" t="s">
        <v>756</v>
      </c>
      <c r="J13" s="15">
        <v>46248.417361111111</v>
      </c>
      <c r="K13" s="15">
        <v>46254.490972222222</v>
      </c>
      <c r="L13" s="15"/>
      <c r="M13">
        <v>12</v>
      </c>
      <c r="O13" t="s">
        <v>1958</v>
      </c>
      <c r="S13" t="s">
        <v>365</v>
      </c>
      <c r="T13" t="s">
        <v>377</v>
      </c>
      <c r="U13" t="s">
        <v>293</v>
      </c>
      <c r="V13" t="s">
        <v>7</v>
      </c>
      <c r="W13" t="s">
        <v>7</v>
      </c>
      <c r="X13" t="s">
        <v>7</v>
      </c>
      <c r="AA13" t="s">
        <v>96</v>
      </c>
      <c r="AB13" t="s">
        <v>397</v>
      </c>
      <c r="AC13">
        <v>2940</v>
      </c>
      <c r="AD13" t="s">
        <v>225</v>
      </c>
      <c r="AE13">
        <v>12</v>
      </c>
    </row>
    <row r="14" spans="1:32" x14ac:dyDescent="0.3">
      <c r="A14" t="s">
        <v>350</v>
      </c>
      <c r="B14" t="s">
        <v>57</v>
      </c>
      <c r="C14" t="s">
        <v>117</v>
      </c>
      <c r="D14" t="s">
        <v>309</v>
      </c>
      <c r="E14" t="s">
        <v>755</v>
      </c>
      <c r="F14" s="15">
        <v>46241.564421296294</v>
      </c>
      <c r="G14" t="s">
        <v>420</v>
      </c>
      <c r="H14">
        <v>3</v>
      </c>
      <c r="I14" t="s">
        <v>757</v>
      </c>
      <c r="J14" s="15">
        <v>46245.577777777777</v>
      </c>
      <c r="K14" s="15">
        <v>46253.505555555559</v>
      </c>
      <c r="L14" s="15"/>
      <c r="M14">
        <v>3</v>
      </c>
      <c r="O14" t="s">
        <v>201</v>
      </c>
      <c r="P14" t="s">
        <v>1954</v>
      </c>
      <c r="S14" t="s">
        <v>365</v>
      </c>
      <c r="T14" t="s">
        <v>377</v>
      </c>
      <c r="U14" t="s">
        <v>293</v>
      </c>
      <c r="V14" t="s">
        <v>7</v>
      </c>
      <c r="W14" t="s">
        <v>7</v>
      </c>
      <c r="X14" t="s">
        <v>7</v>
      </c>
      <c r="AA14" t="s">
        <v>127</v>
      </c>
      <c r="AB14" t="s">
        <v>397</v>
      </c>
      <c r="AC14">
        <v>2940</v>
      </c>
      <c r="AD14" t="s">
        <v>233</v>
      </c>
      <c r="AE14">
        <v>1</v>
      </c>
      <c r="AF14">
        <v>1.2899999999999998</v>
      </c>
    </row>
    <row r="15" spans="1:32" x14ac:dyDescent="0.3">
      <c r="A15" t="s">
        <v>350</v>
      </c>
      <c r="B15" t="s">
        <v>57</v>
      </c>
      <c r="C15" t="s">
        <v>117</v>
      </c>
      <c r="D15" t="s">
        <v>309</v>
      </c>
      <c r="E15" t="s">
        <v>755</v>
      </c>
      <c r="F15" s="15">
        <v>46241.564421296294</v>
      </c>
      <c r="G15" t="s">
        <v>420</v>
      </c>
      <c r="H15">
        <v>5</v>
      </c>
      <c r="I15" t="s">
        <v>757</v>
      </c>
      <c r="J15" s="15">
        <v>46245.577777777777</v>
      </c>
      <c r="K15" s="15">
        <v>46253.505555555559</v>
      </c>
      <c r="L15" s="15"/>
      <c r="M15">
        <v>5</v>
      </c>
      <c r="O15" t="s">
        <v>1958</v>
      </c>
      <c r="S15" t="s">
        <v>365</v>
      </c>
      <c r="T15" t="s">
        <v>377</v>
      </c>
      <c r="U15" t="s">
        <v>293</v>
      </c>
      <c r="V15" t="s">
        <v>7</v>
      </c>
      <c r="W15" t="s">
        <v>7</v>
      </c>
      <c r="X15" t="s">
        <v>7</v>
      </c>
      <c r="AA15" t="s">
        <v>127</v>
      </c>
      <c r="AB15" t="s">
        <v>397</v>
      </c>
      <c r="AC15">
        <v>2940</v>
      </c>
      <c r="AD15" t="s">
        <v>233</v>
      </c>
      <c r="AE15">
        <v>1</v>
      </c>
    </row>
    <row r="16" spans="1:32" x14ac:dyDescent="0.3">
      <c r="A16" t="s">
        <v>350</v>
      </c>
      <c r="B16" t="s">
        <v>63</v>
      </c>
      <c r="C16" t="s">
        <v>95</v>
      </c>
      <c r="D16" t="s">
        <v>309</v>
      </c>
      <c r="E16" t="s">
        <v>755</v>
      </c>
      <c r="F16" s="15">
        <v>46241.564421296294</v>
      </c>
      <c r="G16" t="s">
        <v>420</v>
      </c>
      <c r="H16">
        <v>3</v>
      </c>
      <c r="I16" t="s">
        <v>757</v>
      </c>
      <c r="J16" s="15">
        <v>46245.577777777777</v>
      </c>
      <c r="K16" s="15">
        <v>46253.505555555559</v>
      </c>
      <c r="L16" s="15"/>
      <c r="M16">
        <v>3</v>
      </c>
      <c r="O16" t="s">
        <v>201</v>
      </c>
      <c r="P16" t="s">
        <v>1954</v>
      </c>
      <c r="S16" t="s">
        <v>365</v>
      </c>
      <c r="T16" t="s">
        <v>377</v>
      </c>
      <c r="U16" t="s">
        <v>293</v>
      </c>
      <c r="V16" t="s">
        <v>7</v>
      </c>
      <c r="W16" t="s">
        <v>7</v>
      </c>
      <c r="X16" t="s">
        <v>7</v>
      </c>
      <c r="AA16" t="s">
        <v>96</v>
      </c>
      <c r="AB16" t="s">
        <v>397</v>
      </c>
      <c r="AC16">
        <v>2940</v>
      </c>
      <c r="AD16" t="s">
        <v>225</v>
      </c>
      <c r="AE16">
        <v>3</v>
      </c>
      <c r="AF16">
        <v>2.4</v>
      </c>
    </row>
    <row r="17" spans="1:32" x14ac:dyDescent="0.3">
      <c r="A17" t="s">
        <v>350</v>
      </c>
      <c r="B17" t="s">
        <v>63</v>
      </c>
      <c r="C17" t="s">
        <v>95</v>
      </c>
      <c r="D17" t="s">
        <v>309</v>
      </c>
      <c r="E17" t="s">
        <v>755</v>
      </c>
      <c r="F17" s="15">
        <v>46241.564421296294</v>
      </c>
      <c r="G17" t="s">
        <v>420</v>
      </c>
      <c r="H17">
        <v>9</v>
      </c>
      <c r="I17" t="s">
        <v>757</v>
      </c>
      <c r="J17" s="15">
        <v>46245.577777777777</v>
      </c>
      <c r="K17" s="15">
        <v>46253.505555555559</v>
      </c>
      <c r="L17" s="15"/>
      <c r="M17">
        <v>9</v>
      </c>
      <c r="O17" t="s">
        <v>1958</v>
      </c>
      <c r="S17" t="s">
        <v>365</v>
      </c>
      <c r="T17" t="s">
        <v>377</v>
      </c>
      <c r="U17" t="s">
        <v>293</v>
      </c>
      <c r="V17" t="s">
        <v>7</v>
      </c>
      <c r="W17" t="s">
        <v>7</v>
      </c>
      <c r="X17" t="s">
        <v>7</v>
      </c>
      <c r="AA17" t="s">
        <v>96</v>
      </c>
      <c r="AB17" t="s">
        <v>397</v>
      </c>
      <c r="AC17">
        <v>2940</v>
      </c>
      <c r="AD17" t="s">
        <v>225</v>
      </c>
      <c r="AE17">
        <v>9</v>
      </c>
    </row>
    <row r="18" spans="1:32" x14ac:dyDescent="0.3">
      <c r="A18" t="s">
        <v>350</v>
      </c>
      <c r="B18" t="s">
        <v>63</v>
      </c>
      <c r="C18" t="s">
        <v>95</v>
      </c>
      <c r="D18" t="s">
        <v>309</v>
      </c>
      <c r="E18" t="s">
        <v>755</v>
      </c>
      <c r="F18" s="15">
        <v>46241.564421296294</v>
      </c>
      <c r="G18" t="s">
        <v>420</v>
      </c>
      <c r="H18">
        <v>5</v>
      </c>
      <c r="I18" t="s">
        <v>757</v>
      </c>
      <c r="J18" s="15">
        <v>46245.577777777777</v>
      </c>
      <c r="K18" s="15">
        <v>46253.505555555559</v>
      </c>
      <c r="L18" s="15"/>
      <c r="M18">
        <v>5</v>
      </c>
      <c r="O18" t="s">
        <v>1958</v>
      </c>
      <c r="S18" t="s">
        <v>365</v>
      </c>
      <c r="T18" t="s">
        <v>377</v>
      </c>
      <c r="U18" t="s">
        <v>293</v>
      </c>
      <c r="V18" t="s">
        <v>7</v>
      </c>
      <c r="W18" t="s">
        <v>7</v>
      </c>
      <c r="X18" t="s">
        <v>7</v>
      </c>
      <c r="AA18" t="s">
        <v>96</v>
      </c>
      <c r="AB18" t="s">
        <v>397</v>
      </c>
      <c r="AC18">
        <v>2940</v>
      </c>
      <c r="AD18" t="s">
        <v>225</v>
      </c>
      <c r="AE18">
        <v>5</v>
      </c>
    </row>
    <row r="19" spans="1:32" x14ac:dyDescent="0.3">
      <c r="A19" t="s">
        <v>350</v>
      </c>
      <c r="B19" t="s">
        <v>279</v>
      </c>
      <c r="C19" t="s">
        <v>197</v>
      </c>
      <c r="D19" t="s">
        <v>309</v>
      </c>
      <c r="E19" t="s">
        <v>755</v>
      </c>
      <c r="F19" s="15">
        <v>46241.564421296294</v>
      </c>
      <c r="G19" t="s">
        <v>420</v>
      </c>
      <c r="H19">
        <v>26</v>
      </c>
      <c r="I19" t="s">
        <v>756</v>
      </c>
      <c r="J19" s="15">
        <v>46248.417361111111</v>
      </c>
      <c r="K19" s="15">
        <v>46254.490972222222</v>
      </c>
      <c r="L19" s="15"/>
      <c r="M19">
        <v>26</v>
      </c>
      <c r="O19" t="s">
        <v>201</v>
      </c>
      <c r="P19" t="s">
        <v>1956</v>
      </c>
      <c r="S19" t="s">
        <v>365</v>
      </c>
      <c r="T19" t="s">
        <v>377</v>
      </c>
      <c r="U19" t="s">
        <v>293</v>
      </c>
      <c r="V19" t="s">
        <v>7</v>
      </c>
      <c r="W19" t="s">
        <v>7</v>
      </c>
      <c r="X19" t="s">
        <v>7</v>
      </c>
      <c r="Z19">
        <v>16</v>
      </c>
      <c r="AA19" t="s">
        <v>122</v>
      </c>
      <c r="AB19" t="s">
        <v>397</v>
      </c>
      <c r="AC19">
        <v>2940</v>
      </c>
      <c r="AD19" t="s">
        <v>232</v>
      </c>
      <c r="AE19">
        <v>416</v>
      </c>
      <c r="AF19">
        <v>67.2</v>
      </c>
    </row>
    <row r="20" spans="1:32" x14ac:dyDescent="0.3">
      <c r="A20" t="s">
        <v>350</v>
      </c>
      <c r="B20" t="s">
        <v>279</v>
      </c>
      <c r="C20" t="s">
        <v>197</v>
      </c>
      <c r="D20" t="s">
        <v>309</v>
      </c>
      <c r="E20" t="s">
        <v>755</v>
      </c>
      <c r="F20" s="15">
        <v>46241.564421296294</v>
      </c>
      <c r="G20" t="s">
        <v>420</v>
      </c>
      <c r="H20">
        <v>3</v>
      </c>
      <c r="I20" t="s">
        <v>756</v>
      </c>
      <c r="J20" s="15">
        <v>46248.417361111111</v>
      </c>
      <c r="K20" s="15">
        <v>46254.490972222222</v>
      </c>
      <c r="L20" s="15"/>
      <c r="M20">
        <v>3</v>
      </c>
      <c r="O20" t="s">
        <v>1958</v>
      </c>
      <c r="S20" t="s">
        <v>365</v>
      </c>
      <c r="T20" t="s">
        <v>377</v>
      </c>
      <c r="U20" t="s">
        <v>293</v>
      </c>
      <c r="V20" t="s">
        <v>7</v>
      </c>
      <c r="W20" t="s">
        <v>7</v>
      </c>
      <c r="X20" t="s">
        <v>7</v>
      </c>
      <c r="Z20">
        <v>16</v>
      </c>
      <c r="AA20" t="s">
        <v>122</v>
      </c>
      <c r="AB20" t="s">
        <v>397</v>
      </c>
      <c r="AC20">
        <v>2940</v>
      </c>
      <c r="AD20" t="s">
        <v>232</v>
      </c>
      <c r="AE20">
        <v>48</v>
      </c>
    </row>
    <row r="21" spans="1:32" x14ac:dyDescent="0.3">
      <c r="A21" t="s">
        <v>350</v>
      </c>
      <c r="B21" t="s">
        <v>279</v>
      </c>
      <c r="C21" t="s">
        <v>197</v>
      </c>
      <c r="D21" t="s">
        <v>309</v>
      </c>
      <c r="E21" t="s">
        <v>755</v>
      </c>
      <c r="F21" s="15">
        <v>46241.564421296294</v>
      </c>
      <c r="G21" t="s">
        <v>420</v>
      </c>
      <c r="H21">
        <v>6</v>
      </c>
      <c r="I21" t="s">
        <v>756</v>
      </c>
      <c r="J21" s="15">
        <v>46248.417361111111</v>
      </c>
      <c r="K21" s="15">
        <v>46254.490972222222</v>
      </c>
      <c r="L21" s="15"/>
      <c r="M21">
        <v>6</v>
      </c>
      <c r="O21" t="s">
        <v>1958</v>
      </c>
      <c r="S21" t="s">
        <v>365</v>
      </c>
      <c r="T21" t="s">
        <v>377</v>
      </c>
      <c r="U21" t="s">
        <v>293</v>
      </c>
      <c r="V21" t="s">
        <v>7</v>
      </c>
      <c r="W21" t="s">
        <v>7</v>
      </c>
      <c r="X21" t="s">
        <v>7</v>
      </c>
      <c r="Z21">
        <v>16</v>
      </c>
      <c r="AA21" t="s">
        <v>122</v>
      </c>
      <c r="AB21" t="s">
        <v>397</v>
      </c>
      <c r="AC21">
        <v>2940</v>
      </c>
      <c r="AD21" t="s">
        <v>232</v>
      </c>
      <c r="AE21">
        <v>96</v>
      </c>
    </row>
    <row r="22" spans="1:32" x14ac:dyDescent="0.3">
      <c r="A22" t="s">
        <v>350</v>
      </c>
      <c r="B22" t="s">
        <v>279</v>
      </c>
      <c r="C22" t="s">
        <v>197</v>
      </c>
      <c r="D22" t="s">
        <v>309</v>
      </c>
      <c r="E22" t="s">
        <v>755</v>
      </c>
      <c r="F22" s="15">
        <v>46241.564421296294</v>
      </c>
      <c r="G22" t="s">
        <v>420</v>
      </c>
      <c r="H22">
        <v>7</v>
      </c>
      <c r="I22" t="s">
        <v>756</v>
      </c>
      <c r="J22" s="15">
        <v>46248.417361111111</v>
      </c>
      <c r="K22" s="15">
        <v>46254.490972222222</v>
      </c>
      <c r="L22" s="15"/>
      <c r="M22">
        <v>7</v>
      </c>
      <c r="O22" t="s">
        <v>1958</v>
      </c>
      <c r="S22" t="s">
        <v>365</v>
      </c>
      <c r="T22" t="s">
        <v>377</v>
      </c>
      <c r="U22" t="s">
        <v>293</v>
      </c>
      <c r="V22" t="s">
        <v>7</v>
      </c>
      <c r="W22" t="s">
        <v>7</v>
      </c>
      <c r="X22" t="s">
        <v>7</v>
      </c>
      <c r="Z22">
        <v>16</v>
      </c>
      <c r="AA22" t="s">
        <v>122</v>
      </c>
      <c r="AB22" t="s">
        <v>397</v>
      </c>
      <c r="AC22">
        <v>2940</v>
      </c>
      <c r="AD22" t="s">
        <v>232</v>
      </c>
      <c r="AE22">
        <v>112</v>
      </c>
    </row>
    <row r="23" spans="1:32" x14ac:dyDescent="0.3">
      <c r="A23" t="s">
        <v>350</v>
      </c>
      <c r="B23" t="s">
        <v>63</v>
      </c>
      <c r="C23" t="s">
        <v>95</v>
      </c>
      <c r="D23" t="s">
        <v>309</v>
      </c>
      <c r="E23" t="s">
        <v>755</v>
      </c>
      <c r="F23" s="15">
        <v>46241.564421296294</v>
      </c>
      <c r="G23" t="s">
        <v>420</v>
      </c>
      <c r="H23">
        <v>7</v>
      </c>
      <c r="I23" t="s">
        <v>758</v>
      </c>
      <c r="J23" s="15">
        <v>46245.47152777778</v>
      </c>
      <c r="K23" s="15">
        <v>46253.505555555559</v>
      </c>
      <c r="L23" s="15"/>
      <c r="M23">
        <v>7</v>
      </c>
      <c r="O23" t="s">
        <v>201</v>
      </c>
      <c r="P23" t="s">
        <v>1954</v>
      </c>
      <c r="S23" t="s">
        <v>365</v>
      </c>
      <c r="T23" t="s">
        <v>377</v>
      </c>
      <c r="U23" t="s">
        <v>293</v>
      </c>
      <c r="V23" t="s">
        <v>7</v>
      </c>
      <c r="W23" t="s">
        <v>7</v>
      </c>
      <c r="X23" t="s">
        <v>7</v>
      </c>
      <c r="AA23" t="s">
        <v>96</v>
      </c>
      <c r="AB23" t="s">
        <v>397</v>
      </c>
      <c r="AC23">
        <v>2940</v>
      </c>
      <c r="AD23" t="s">
        <v>225</v>
      </c>
      <c r="AE23">
        <v>7</v>
      </c>
    </row>
    <row r="24" spans="1:32" x14ac:dyDescent="0.3">
      <c r="A24" t="s">
        <v>350</v>
      </c>
      <c r="B24" t="s">
        <v>279</v>
      </c>
      <c r="C24" t="s">
        <v>197</v>
      </c>
      <c r="D24" t="s">
        <v>309</v>
      </c>
      <c r="E24" t="s">
        <v>755</v>
      </c>
      <c r="F24" s="15">
        <v>46241.564421296294</v>
      </c>
      <c r="G24" t="s">
        <v>420</v>
      </c>
      <c r="H24">
        <v>30</v>
      </c>
      <c r="I24" t="s">
        <v>758</v>
      </c>
      <c r="J24" s="15">
        <v>46245.47152777778</v>
      </c>
      <c r="K24" s="15">
        <v>46253.505555555559</v>
      </c>
      <c r="L24" s="15"/>
      <c r="M24">
        <v>30</v>
      </c>
      <c r="O24" t="s">
        <v>201</v>
      </c>
      <c r="P24" t="s">
        <v>1956</v>
      </c>
      <c r="S24" t="s">
        <v>365</v>
      </c>
      <c r="T24" t="s">
        <v>377</v>
      </c>
      <c r="U24" t="s">
        <v>293</v>
      </c>
      <c r="V24" t="s">
        <v>7</v>
      </c>
      <c r="W24" t="s">
        <v>7</v>
      </c>
      <c r="X24" t="s">
        <v>7</v>
      </c>
      <c r="Z24">
        <v>16</v>
      </c>
      <c r="AA24" t="s">
        <v>122</v>
      </c>
      <c r="AB24" t="s">
        <v>397</v>
      </c>
      <c r="AC24">
        <v>2940</v>
      </c>
      <c r="AD24" t="s">
        <v>232</v>
      </c>
      <c r="AE24">
        <v>480</v>
      </c>
      <c r="AF24">
        <v>192</v>
      </c>
    </row>
    <row r="25" spans="1:32" x14ac:dyDescent="0.3">
      <c r="A25" t="s">
        <v>350</v>
      </c>
      <c r="B25" t="s">
        <v>279</v>
      </c>
      <c r="C25" t="s">
        <v>197</v>
      </c>
      <c r="D25" t="s">
        <v>309</v>
      </c>
      <c r="E25" t="s">
        <v>755</v>
      </c>
      <c r="F25" s="15">
        <v>46241.564421296294</v>
      </c>
      <c r="G25" t="s">
        <v>420</v>
      </c>
      <c r="H25">
        <v>32</v>
      </c>
      <c r="I25" t="s">
        <v>758</v>
      </c>
      <c r="J25" s="15">
        <v>46245.47152777778</v>
      </c>
      <c r="K25" s="15">
        <v>46253.505555555559</v>
      </c>
      <c r="L25" s="15"/>
      <c r="M25">
        <v>32</v>
      </c>
      <c r="O25" t="s">
        <v>1958</v>
      </c>
      <c r="S25" t="s">
        <v>365</v>
      </c>
      <c r="T25" t="s">
        <v>377</v>
      </c>
      <c r="U25" t="s">
        <v>293</v>
      </c>
      <c r="V25" t="s">
        <v>7</v>
      </c>
      <c r="W25" t="s">
        <v>7</v>
      </c>
      <c r="X25" t="s">
        <v>7</v>
      </c>
      <c r="Z25">
        <v>16</v>
      </c>
      <c r="AA25" t="s">
        <v>122</v>
      </c>
      <c r="AB25" t="s">
        <v>397</v>
      </c>
      <c r="AC25">
        <v>2940</v>
      </c>
      <c r="AD25" t="s">
        <v>232</v>
      </c>
      <c r="AE25">
        <v>512</v>
      </c>
    </row>
    <row r="26" spans="1:32" x14ac:dyDescent="0.3">
      <c r="A26" t="s">
        <v>350</v>
      </c>
      <c r="B26" t="s">
        <v>279</v>
      </c>
      <c r="C26" t="s">
        <v>197</v>
      </c>
      <c r="D26" t="s">
        <v>309</v>
      </c>
      <c r="E26" t="s">
        <v>755</v>
      </c>
      <c r="F26" s="15">
        <v>46241.564421296294</v>
      </c>
      <c r="G26" t="s">
        <v>420</v>
      </c>
      <c r="H26">
        <v>25</v>
      </c>
      <c r="I26" t="s">
        <v>758</v>
      </c>
      <c r="J26" s="15">
        <v>46245.47152777778</v>
      </c>
      <c r="K26" s="15">
        <v>46253.505555555559</v>
      </c>
      <c r="L26" s="15"/>
      <c r="M26">
        <v>25</v>
      </c>
      <c r="O26" t="s">
        <v>1958</v>
      </c>
      <c r="S26" t="s">
        <v>365</v>
      </c>
      <c r="T26" t="s">
        <v>377</v>
      </c>
      <c r="U26" t="s">
        <v>293</v>
      </c>
      <c r="V26" t="s">
        <v>7</v>
      </c>
      <c r="W26" t="s">
        <v>7</v>
      </c>
      <c r="X26" t="s">
        <v>7</v>
      </c>
      <c r="Z26">
        <v>16</v>
      </c>
      <c r="AA26" t="s">
        <v>122</v>
      </c>
      <c r="AB26" t="s">
        <v>397</v>
      </c>
      <c r="AC26">
        <v>2940</v>
      </c>
      <c r="AD26" t="s">
        <v>232</v>
      </c>
      <c r="AE26">
        <v>400</v>
      </c>
    </row>
    <row r="27" spans="1:32" x14ac:dyDescent="0.3">
      <c r="A27" t="s">
        <v>350</v>
      </c>
      <c r="B27" t="s">
        <v>279</v>
      </c>
      <c r="C27" t="s">
        <v>197</v>
      </c>
      <c r="D27" t="s">
        <v>309</v>
      </c>
      <c r="E27" t="s">
        <v>755</v>
      </c>
      <c r="F27" s="15">
        <v>46241.564421296294</v>
      </c>
      <c r="G27" t="s">
        <v>420</v>
      </c>
      <c r="H27">
        <v>2</v>
      </c>
      <c r="I27" t="s">
        <v>758</v>
      </c>
      <c r="J27" s="15">
        <v>46245.47152777778</v>
      </c>
      <c r="K27" s="15">
        <v>46253.505555555559</v>
      </c>
      <c r="L27" s="15"/>
      <c r="M27">
        <v>2</v>
      </c>
      <c r="O27" t="s">
        <v>1958</v>
      </c>
      <c r="S27" t="s">
        <v>365</v>
      </c>
      <c r="T27" t="s">
        <v>377</v>
      </c>
      <c r="U27" t="s">
        <v>293</v>
      </c>
      <c r="V27" t="s">
        <v>7</v>
      </c>
      <c r="W27" t="s">
        <v>7</v>
      </c>
      <c r="X27" t="s">
        <v>7</v>
      </c>
      <c r="Z27">
        <v>16</v>
      </c>
      <c r="AA27" t="s">
        <v>122</v>
      </c>
      <c r="AB27" t="s">
        <v>397</v>
      </c>
      <c r="AC27">
        <v>2940</v>
      </c>
      <c r="AD27" t="s">
        <v>232</v>
      </c>
      <c r="AE27">
        <v>32</v>
      </c>
    </row>
    <row r="28" spans="1:32" x14ac:dyDescent="0.3">
      <c r="A28" t="s">
        <v>350</v>
      </c>
      <c r="B28" t="s">
        <v>279</v>
      </c>
      <c r="C28" t="s">
        <v>197</v>
      </c>
      <c r="D28" t="s">
        <v>309</v>
      </c>
      <c r="E28" t="s">
        <v>755</v>
      </c>
      <c r="F28" s="15">
        <v>46241.564421296294</v>
      </c>
      <c r="G28" t="s">
        <v>420</v>
      </c>
      <c r="H28">
        <v>12</v>
      </c>
      <c r="I28" t="s">
        <v>758</v>
      </c>
      <c r="J28" s="15">
        <v>46245.47152777778</v>
      </c>
      <c r="K28" s="15">
        <v>46253.505555555559</v>
      </c>
      <c r="L28" s="15"/>
      <c r="M28">
        <v>12</v>
      </c>
      <c r="O28" t="s">
        <v>1958</v>
      </c>
      <c r="S28" t="s">
        <v>365</v>
      </c>
      <c r="T28" t="s">
        <v>377</v>
      </c>
      <c r="U28" t="s">
        <v>293</v>
      </c>
      <c r="V28" t="s">
        <v>7</v>
      </c>
      <c r="W28" t="s">
        <v>7</v>
      </c>
      <c r="X28" t="s">
        <v>7</v>
      </c>
      <c r="Z28">
        <v>16</v>
      </c>
      <c r="AA28" t="s">
        <v>122</v>
      </c>
      <c r="AB28" t="s">
        <v>397</v>
      </c>
      <c r="AC28">
        <v>2940</v>
      </c>
      <c r="AD28" t="s">
        <v>232</v>
      </c>
      <c r="AE28">
        <v>192</v>
      </c>
    </row>
    <row r="29" spans="1:32" x14ac:dyDescent="0.3">
      <c r="A29" t="s">
        <v>350</v>
      </c>
      <c r="B29" t="s">
        <v>279</v>
      </c>
      <c r="C29" t="s">
        <v>197</v>
      </c>
      <c r="D29" t="s">
        <v>309</v>
      </c>
      <c r="E29" t="s">
        <v>755</v>
      </c>
      <c r="F29" s="15">
        <v>46241.564421296294</v>
      </c>
      <c r="G29" t="s">
        <v>420</v>
      </c>
      <c r="H29">
        <v>2</v>
      </c>
      <c r="I29" t="s">
        <v>758</v>
      </c>
      <c r="J29" s="15">
        <v>46245.47152777778</v>
      </c>
      <c r="K29" s="15">
        <v>46253.505555555559</v>
      </c>
      <c r="L29" s="15"/>
      <c r="M29">
        <v>2</v>
      </c>
      <c r="O29" t="s">
        <v>1958</v>
      </c>
      <c r="S29" t="s">
        <v>365</v>
      </c>
      <c r="T29" t="s">
        <v>377</v>
      </c>
      <c r="U29" t="s">
        <v>293</v>
      </c>
      <c r="V29" t="s">
        <v>7</v>
      </c>
      <c r="W29" t="s">
        <v>7</v>
      </c>
      <c r="X29" t="s">
        <v>7</v>
      </c>
      <c r="Z29">
        <v>16</v>
      </c>
      <c r="AA29" t="s">
        <v>122</v>
      </c>
      <c r="AB29" t="s">
        <v>397</v>
      </c>
      <c r="AC29">
        <v>2940</v>
      </c>
      <c r="AD29" t="s">
        <v>232</v>
      </c>
      <c r="AE29">
        <v>32</v>
      </c>
    </row>
    <row r="30" spans="1:32" x14ac:dyDescent="0.3">
      <c r="A30" t="s">
        <v>350</v>
      </c>
      <c r="B30" t="s">
        <v>57</v>
      </c>
      <c r="C30" t="s">
        <v>117</v>
      </c>
      <c r="D30" t="s">
        <v>309</v>
      </c>
      <c r="E30" t="s">
        <v>755</v>
      </c>
      <c r="F30" s="15">
        <v>46241.564421296294</v>
      </c>
      <c r="G30" t="s">
        <v>420</v>
      </c>
      <c r="H30">
        <v>1</v>
      </c>
      <c r="I30" t="s">
        <v>758</v>
      </c>
      <c r="J30" s="15">
        <v>46245.47152777778</v>
      </c>
      <c r="K30" s="15">
        <v>46253.505555555559</v>
      </c>
      <c r="L30" s="15"/>
      <c r="M30">
        <v>1</v>
      </c>
      <c r="O30" t="s">
        <v>201</v>
      </c>
      <c r="P30" t="s">
        <v>1954</v>
      </c>
      <c r="S30" t="s">
        <v>365</v>
      </c>
      <c r="T30" t="s">
        <v>377</v>
      </c>
      <c r="U30" t="s">
        <v>293</v>
      </c>
      <c r="V30" t="s">
        <v>7</v>
      </c>
      <c r="W30" t="s">
        <v>7</v>
      </c>
      <c r="X30" t="s">
        <v>7</v>
      </c>
      <c r="AA30" t="s">
        <v>127</v>
      </c>
      <c r="AB30" t="s">
        <v>397</v>
      </c>
      <c r="AC30">
        <v>2940</v>
      </c>
      <c r="AD30" t="s">
        <v>233</v>
      </c>
      <c r="AE30">
        <v>1</v>
      </c>
    </row>
    <row r="31" spans="1:32" x14ac:dyDescent="0.3">
      <c r="A31" t="s">
        <v>350</v>
      </c>
      <c r="B31" t="s">
        <v>57</v>
      </c>
      <c r="C31" t="s">
        <v>117</v>
      </c>
      <c r="D31" t="s">
        <v>309</v>
      </c>
      <c r="E31" t="s">
        <v>755</v>
      </c>
      <c r="F31" s="15">
        <v>46241.564421296294</v>
      </c>
      <c r="G31" t="s">
        <v>420</v>
      </c>
      <c r="H31">
        <v>32</v>
      </c>
      <c r="I31" t="s">
        <v>758</v>
      </c>
      <c r="J31" s="15">
        <v>46245.47152777778</v>
      </c>
      <c r="K31" s="15">
        <v>46253.505555555559</v>
      </c>
      <c r="L31" s="15"/>
      <c r="M31">
        <v>32</v>
      </c>
      <c r="O31" t="s">
        <v>1958</v>
      </c>
      <c r="S31" t="s">
        <v>365</v>
      </c>
      <c r="T31" t="s">
        <v>377</v>
      </c>
      <c r="U31" t="s">
        <v>293</v>
      </c>
      <c r="V31" t="s">
        <v>7</v>
      </c>
      <c r="W31" t="s">
        <v>7</v>
      </c>
      <c r="X31" t="s">
        <v>7</v>
      </c>
      <c r="AA31" t="s">
        <v>127</v>
      </c>
      <c r="AB31" t="s">
        <v>397</v>
      </c>
      <c r="AC31">
        <v>2940</v>
      </c>
      <c r="AD31" t="s">
        <v>233</v>
      </c>
      <c r="AE31">
        <v>3.2</v>
      </c>
    </row>
    <row r="32" spans="1:32" x14ac:dyDescent="0.3">
      <c r="A32" t="s">
        <v>350</v>
      </c>
      <c r="B32" t="s">
        <v>57</v>
      </c>
      <c r="C32" t="s">
        <v>117</v>
      </c>
      <c r="D32" t="s">
        <v>309</v>
      </c>
      <c r="E32" t="s">
        <v>755</v>
      </c>
      <c r="F32" s="15">
        <v>46241.564421296294</v>
      </c>
      <c r="G32" t="s">
        <v>420</v>
      </c>
      <c r="H32">
        <v>25</v>
      </c>
      <c r="I32" t="s">
        <v>758</v>
      </c>
      <c r="J32" s="15">
        <v>46245.47152777778</v>
      </c>
      <c r="K32" s="15">
        <v>46253.505555555559</v>
      </c>
      <c r="L32" s="15"/>
      <c r="M32">
        <v>25</v>
      </c>
      <c r="O32" t="s">
        <v>1958</v>
      </c>
      <c r="S32" t="s">
        <v>365</v>
      </c>
      <c r="T32" t="s">
        <v>377</v>
      </c>
      <c r="U32" t="s">
        <v>293</v>
      </c>
      <c r="V32" t="s">
        <v>7</v>
      </c>
      <c r="W32" t="s">
        <v>7</v>
      </c>
      <c r="X32" t="s">
        <v>7</v>
      </c>
      <c r="AA32" t="s">
        <v>127</v>
      </c>
      <c r="AB32" t="s">
        <v>397</v>
      </c>
      <c r="AC32">
        <v>2940</v>
      </c>
      <c r="AD32" t="s">
        <v>233</v>
      </c>
      <c r="AE32">
        <v>2.5</v>
      </c>
    </row>
    <row r="33" spans="1:32" x14ac:dyDescent="0.3">
      <c r="A33" t="s">
        <v>350</v>
      </c>
      <c r="B33" t="s">
        <v>57</v>
      </c>
      <c r="C33" t="s">
        <v>117</v>
      </c>
      <c r="D33" t="s">
        <v>309</v>
      </c>
      <c r="E33" t="s">
        <v>755</v>
      </c>
      <c r="F33" s="15">
        <v>46241.564421296294</v>
      </c>
      <c r="G33" t="s">
        <v>420</v>
      </c>
      <c r="H33">
        <v>2</v>
      </c>
      <c r="I33" t="s">
        <v>758</v>
      </c>
      <c r="J33" s="15">
        <v>46245.47152777778</v>
      </c>
      <c r="K33" s="15">
        <v>46253.505555555559</v>
      </c>
      <c r="L33" s="15"/>
      <c r="M33">
        <v>2</v>
      </c>
      <c r="O33" t="s">
        <v>1958</v>
      </c>
      <c r="S33" t="s">
        <v>365</v>
      </c>
      <c r="T33" t="s">
        <v>377</v>
      </c>
      <c r="U33" t="s">
        <v>293</v>
      </c>
      <c r="V33" t="s">
        <v>7</v>
      </c>
      <c r="W33" t="s">
        <v>7</v>
      </c>
      <c r="X33" t="s">
        <v>7</v>
      </c>
      <c r="AA33" t="s">
        <v>127</v>
      </c>
      <c r="AB33" t="s">
        <v>397</v>
      </c>
      <c r="AC33">
        <v>2940</v>
      </c>
      <c r="AD33" t="s">
        <v>233</v>
      </c>
      <c r="AE33">
        <v>1</v>
      </c>
    </row>
    <row r="34" spans="1:32" x14ac:dyDescent="0.3">
      <c r="A34" t="s">
        <v>350</v>
      </c>
      <c r="B34" t="s">
        <v>57</v>
      </c>
      <c r="C34" t="s">
        <v>117</v>
      </c>
      <c r="D34" t="s">
        <v>309</v>
      </c>
      <c r="E34" t="s">
        <v>755</v>
      </c>
      <c r="F34" s="15">
        <v>46241.564421296294</v>
      </c>
      <c r="G34" t="s">
        <v>420</v>
      </c>
      <c r="H34">
        <v>12</v>
      </c>
      <c r="I34" t="s">
        <v>758</v>
      </c>
      <c r="J34" s="15">
        <v>46245.47152777778</v>
      </c>
      <c r="K34" s="15">
        <v>46253.505555555559</v>
      </c>
      <c r="L34" s="15"/>
      <c r="M34">
        <v>12</v>
      </c>
      <c r="O34" t="s">
        <v>1958</v>
      </c>
      <c r="S34" t="s">
        <v>365</v>
      </c>
      <c r="T34" t="s">
        <v>377</v>
      </c>
      <c r="U34" t="s">
        <v>293</v>
      </c>
      <c r="V34" t="s">
        <v>7</v>
      </c>
      <c r="W34" t="s">
        <v>7</v>
      </c>
      <c r="X34" t="s">
        <v>7</v>
      </c>
      <c r="AA34" t="s">
        <v>127</v>
      </c>
      <c r="AB34" t="s">
        <v>397</v>
      </c>
      <c r="AC34">
        <v>2940</v>
      </c>
      <c r="AD34" t="s">
        <v>233</v>
      </c>
      <c r="AE34">
        <v>1.2</v>
      </c>
    </row>
    <row r="35" spans="1:32" x14ac:dyDescent="0.3">
      <c r="A35" t="s">
        <v>350</v>
      </c>
      <c r="B35" t="s">
        <v>279</v>
      </c>
      <c r="C35" t="s">
        <v>197</v>
      </c>
      <c r="D35" t="s">
        <v>309</v>
      </c>
      <c r="E35" t="s">
        <v>755</v>
      </c>
      <c r="F35" s="15">
        <v>46241.564421296294</v>
      </c>
      <c r="G35" t="s">
        <v>420</v>
      </c>
      <c r="H35">
        <v>3</v>
      </c>
      <c r="I35" t="s">
        <v>757</v>
      </c>
      <c r="J35" s="15">
        <v>46245.577777777777</v>
      </c>
      <c r="K35" s="15">
        <v>46253.505555555559</v>
      </c>
      <c r="L35" s="15"/>
      <c r="M35">
        <v>3</v>
      </c>
      <c r="O35" t="s">
        <v>201</v>
      </c>
      <c r="P35" t="s">
        <v>1956</v>
      </c>
      <c r="S35" t="s">
        <v>365</v>
      </c>
      <c r="T35" t="s">
        <v>377</v>
      </c>
      <c r="U35" t="s">
        <v>293</v>
      </c>
      <c r="V35" t="s">
        <v>7</v>
      </c>
      <c r="W35" t="s">
        <v>7</v>
      </c>
      <c r="X35" t="s">
        <v>7</v>
      </c>
      <c r="Z35">
        <v>16</v>
      </c>
      <c r="AA35" t="s">
        <v>122</v>
      </c>
      <c r="AB35" t="s">
        <v>397</v>
      </c>
      <c r="AC35">
        <v>2940</v>
      </c>
      <c r="AD35" t="s">
        <v>232</v>
      </c>
      <c r="AE35">
        <v>48</v>
      </c>
    </row>
    <row r="36" spans="1:32" x14ac:dyDescent="0.3">
      <c r="A36" t="s">
        <v>350</v>
      </c>
      <c r="B36" t="s">
        <v>279</v>
      </c>
      <c r="C36" t="s">
        <v>197</v>
      </c>
      <c r="D36" t="s">
        <v>309</v>
      </c>
      <c r="E36" t="s">
        <v>755</v>
      </c>
      <c r="F36" s="15">
        <v>46241.564421296294</v>
      </c>
      <c r="G36" t="s">
        <v>420</v>
      </c>
      <c r="H36">
        <v>5</v>
      </c>
      <c r="I36" t="s">
        <v>757</v>
      </c>
      <c r="J36" s="15">
        <v>46245.577777777777</v>
      </c>
      <c r="K36" s="15">
        <v>46253.505555555559</v>
      </c>
      <c r="L36" s="15"/>
      <c r="M36">
        <v>5</v>
      </c>
      <c r="O36" t="s">
        <v>1958</v>
      </c>
      <c r="S36" t="s">
        <v>365</v>
      </c>
      <c r="T36" t="s">
        <v>377</v>
      </c>
      <c r="U36" t="s">
        <v>293</v>
      </c>
      <c r="V36" t="s">
        <v>7</v>
      </c>
      <c r="W36" t="s">
        <v>7</v>
      </c>
      <c r="X36" t="s">
        <v>7</v>
      </c>
      <c r="Z36">
        <v>16</v>
      </c>
      <c r="AA36" t="s">
        <v>122</v>
      </c>
      <c r="AB36" t="s">
        <v>397</v>
      </c>
      <c r="AC36">
        <v>2940</v>
      </c>
      <c r="AD36" t="s">
        <v>232</v>
      </c>
      <c r="AE36">
        <v>80</v>
      </c>
    </row>
    <row r="37" spans="1:32" x14ac:dyDescent="0.3">
      <c r="A37" t="s">
        <v>350</v>
      </c>
      <c r="B37" t="s">
        <v>279</v>
      </c>
      <c r="C37" t="s">
        <v>197</v>
      </c>
      <c r="D37" t="s">
        <v>309</v>
      </c>
      <c r="E37" t="s">
        <v>755</v>
      </c>
      <c r="F37" s="15">
        <v>46241.564421296294</v>
      </c>
      <c r="G37" t="s">
        <v>420</v>
      </c>
      <c r="H37">
        <v>9</v>
      </c>
      <c r="I37" t="s">
        <v>757</v>
      </c>
      <c r="J37" s="15">
        <v>46245.577777777777</v>
      </c>
      <c r="K37" s="15">
        <v>46253.505555555559</v>
      </c>
      <c r="L37" s="15"/>
      <c r="M37">
        <v>9</v>
      </c>
      <c r="O37" t="s">
        <v>1958</v>
      </c>
      <c r="S37" t="s">
        <v>365</v>
      </c>
      <c r="T37" t="s">
        <v>377</v>
      </c>
      <c r="U37" t="s">
        <v>293</v>
      </c>
      <c r="V37" t="s">
        <v>7</v>
      </c>
      <c r="W37" t="s">
        <v>7</v>
      </c>
      <c r="X37" t="s">
        <v>7</v>
      </c>
      <c r="Z37">
        <v>16</v>
      </c>
      <c r="AA37" t="s">
        <v>122</v>
      </c>
      <c r="AB37" t="s">
        <v>397</v>
      </c>
      <c r="AC37">
        <v>2940</v>
      </c>
      <c r="AD37" t="s">
        <v>232</v>
      </c>
      <c r="AE37">
        <v>144</v>
      </c>
    </row>
    <row r="38" spans="1:32" x14ac:dyDescent="0.3">
      <c r="A38" t="s">
        <v>350</v>
      </c>
      <c r="B38" t="s">
        <v>57</v>
      </c>
      <c r="C38" t="s">
        <v>117</v>
      </c>
      <c r="D38" t="s">
        <v>309</v>
      </c>
      <c r="E38" t="s">
        <v>755</v>
      </c>
      <c r="F38" s="15">
        <v>46241.564421296294</v>
      </c>
      <c r="G38" t="s">
        <v>420</v>
      </c>
      <c r="H38">
        <v>9</v>
      </c>
      <c r="I38" t="s">
        <v>757</v>
      </c>
      <c r="J38" s="15">
        <v>46245.577777777777</v>
      </c>
      <c r="K38" s="15">
        <v>46253.505555555559</v>
      </c>
      <c r="L38" s="15"/>
      <c r="M38">
        <v>9</v>
      </c>
      <c r="O38" t="s">
        <v>1958</v>
      </c>
      <c r="S38" t="s">
        <v>365</v>
      </c>
      <c r="T38" t="s">
        <v>377</v>
      </c>
      <c r="U38" t="s">
        <v>293</v>
      </c>
      <c r="V38" t="s">
        <v>7</v>
      </c>
      <c r="W38" t="s">
        <v>7</v>
      </c>
      <c r="X38" t="s">
        <v>7</v>
      </c>
      <c r="AA38" t="s">
        <v>127</v>
      </c>
      <c r="AB38" t="s">
        <v>397</v>
      </c>
      <c r="AC38">
        <v>2940</v>
      </c>
      <c r="AD38" t="s">
        <v>233</v>
      </c>
      <c r="AE38">
        <v>1</v>
      </c>
    </row>
    <row r="39" spans="1:32" x14ac:dyDescent="0.3">
      <c r="A39" t="s">
        <v>350</v>
      </c>
      <c r="B39" t="s">
        <v>63</v>
      </c>
      <c r="C39" t="s">
        <v>95</v>
      </c>
      <c r="D39" t="s">
        <v>309</v>
      </c>
      <c r="E39" t="s">
        <v>755</v>
      </c>
      <c r="F39" s="15">
        <v>46241.564421296294</v>
      </c>
      <c r="G39" t="s">
        <v>420</v>
      </c>
      <c r="H39">
        <v>2</v>
      </c>
      <c r="I39" t="s">
        <v>756</v>
      </c>
      <c r="J39" s="15">
        <v>46248.417361111111</v>
      </c>
      <c r="K39" s="15">
        <v>46254.490972222222</v>
      </c>
      <c r="L39" s="15"/>
      <c r="M39">
        <v>2</v>
      </c>
      <c r="O39" t="s">
        <v>1958</v>
      </c>
      <c r="S39" t="s">
        <v>365</v>
      </c>
      <c r="T39" t="s">
        <v>377</v>
      </c>
      <c r="U39" t="s">
        <v>293</v>
      </c>
      <c r="V39" t="s">
        <v>7</v>
      </c>
      <c r="W39" t="s">
        <v>7</v>
      </c>
      <c r="X39" t="s">
        <v>7</v>
      </c>
      <c r="AA39" t="s">
        <v>96</v>
      </c>
      <c r="AB39" t="s">
        <v>397</v>
      </c>
      <c r="AC39">
        <v>2940</v>
      </c>
      <c r="AD39" t="s">
        <v>225</v>
      </c>
      <c r="AE39">
        <v>2</v>
      </c>
    </row>
    <row r="40" spans="1:32" x14ac:dyDescent="0.3">
      <c r="A40" t="s">
        <v>350</v>
      </c>
      <c r="B40" t="s">
        <v>57</v>
      </c>
      <c r="C40" t="s">
        <v>117</v>
      </c>
      <c r="D40" t="s">
        <v>309</v>
      </c>
      <c r="E40" t="s">
        <v>755</v>
      </c>
      <c r="F40" s="15">
        <v>46241.564421296294</v>
      </c>
      <c r="G40" t="s">
        <v>420</v>
      </c>
      <c r="H40">
        <v>2</v>
      </c>
      <c r="I40" t="s">
        <v>758</v>
      </c>
      <c r="J40" s="15">
        <v>46245.47152777778</v>
      </c>
      <c r="K40" s="15">
        <v>46253.505555555559</v>
      </c>
      <c r="L40" s="15"/>
      <c r="M40">
        <v>2</v>
      </c>
      <c r="O40" t="s">
        <v>1958</v>
      </c>
      <c r="S40" t="s">
        <v>365</v>
      </c>
      <c r="T40" t="s">
        <v>377</v>
      </c>
      <c r="U40" t="s">
        <v>293</v>
      </c>
      <c r="V40" t="s">
        <v>7</v>
      </c>
      <c r="W40" t="s">
        <v>7</v>
      </c>
      <c r="X40" t="s">
        <v>7</v>
      </c>
      <c r="AA40" t="s">
        <v>127</v>
      </c>
      <c r="AB40" t="s">
        <v>397</v>
      </c>
      <c r="AC40">
        <v>2940</v>
      </c>
      <c r="AD40" t="s">
        <v>233</v>
      </c>
      <c r="AE40">
        <v>1</v>
      </c>
    </row>
    <row r="41" spans="1:32" x14ac:dyDescent="0.3">
      <c r="A41" t="s">
        <v>350</v>
      </c>
      <c r="B41" t="s">
        <v>63</v>
      </c>
      <c r="C41" t="s">
        <v>95</v>
      </c>
      <c r="D41" t="s">
        <v>309</v>
      </c>
      <c r="E41" t="s">
        <v>1312</v>
      </c>
      <c r="F41" s="15">
        <v>46253.349317129629</v>
      </c>
      <c r="G41" t="s">
        <v>401</v>
      </c>
      <c r="H41">
        <v>1</v>
      </c>
      <c r="I41" t="s">
        <v>1313</v>
      </c>
      <c r="J41" s="15">
        <v>46254.589212962965</v>
      </c>
      <c r="K41" s="15">
        <v>46254.65625</v>
      </c>
      <c r="L41" s="15"/>
      <c r="M41">
        <v>1</v>
      </c>
      <c r="O41" t="s">
        <v>201</v>
      </c>
      <c r="P41" t="s">
        <v>1954</v>
      </c>
      <c r="S41" t="s">
        <v>363</v>
      </c>
      <c r="T41" t="s">
        <v>352</v>
      </c>
      <c r="U41" t="s">
        <v>262</v>
      </c>
      <c r="V41" t="s">
        <v>7</v>
      </c>
      <c r="W41" t="s">
        <v>7</v>
      </c>
      <c r="X41" t="s">
        <v>7</v>
      </c>
      <c r="AA41" t="s">
        <v>96</v>
      </c>
      <c r="AB41" t="s">
        <v>396</v>
      </c>
      <c r="AC41">
        <v>2011</v>
      </c>
      <c r="AD41" t="s">
        <v>225</v>
      </c>
      <c r="AE41">
        <v>1</v>
      </c>
      <c r="AF41">
        <v>1</v>
      </c>
    </row>
    <row r="42" spans="1:32" x14ac:dyDescent="0.3">
      <c r="A42" t="s">
        <v>350</v>
      </c>
      <c r="B42" t="s">
        <v>279</v>
      </c>
      <c r="C42" t="s">
        <v>192</v>
      </c>
      <c r="D42" t="s">
        <v>309</v>
      </c>
      <c r="E42" t="s">
        <v>1314</v>
      </c>
      <c r="F42" s="15">
        <v>46253.579560185186</v>
      </c>
      <c r="G42" t="s">
        <v>401</v>
      </c>
      <c r="H42">
        <v>8</v>
      </c>
      <c r="I42" t="s">
        <v>1315</v>
      </c>
      <c r="J42" s="15">
        <v>46258.391006944446</v>
      </c>
      <c r="K42" s="15">
        <v>46259.304861111108</v>
      </c>
      <c r="L42" s="15"/>
      <c r="M42">
        <v>8</v>
      </c>
      <c r="O42" t="s">
        <v>201</v>
      </c>
      <c r="P42" t="s">
        <v>1954</v>
      </c>
      <c r="S42" t="s">
        <v>363</v>
      </c>
      <c r="T42" t="s">
        <v>352</v>
      </c>
      <c r="U42" t="s">
        <v>262</v>
      </c>
      <c r="V42" t="s">
        <v>7</v>
      </c>
      <c r="W42" t="s">
        <v>7</v>
      </c>
      <c r="X42" t="s">
        <v>7</v>
      </c>
      <c r="Z42">
        <v>1</v>
      </c>
      <c r="AA42" t="s">
        <v>122</v>
      </c>
      <c r="AB42" t="s">
        <v>396</v>
      </c>
      <c r="AC42">
        <v>2011</v>
      </c>
      <c r="AD42" t="s">
        <v>232</v>
      </c>
      <c r="AE42">
        <v>8</v>
      </c>
      <c r="AF42">
        <v>1</v>
      </c>
    </row>
    <row r="43" spans="1:32" x14ac:dyDescent="0.3">
      <c r="A43" t="s">
        <v>350</v>
      </c>
      <c r="B43" t="s">
        <v>57</v>
      </c>
      <c r="C43" t="s">
        <v>117</v>
      </c>
      <c r="D43" t="s">
        <v>309</v>
      </c>
      <c r="E43" t="s">
        <v>1314</v>
      </c>
      <c r="F43" s="15">
        <v>46253.579560185186</v>
      </c>
      <c r="G43" t="s">
        <v>401</v>
      </c>
      <c r="H43">
        <v>1</v>
      </c>
      <c r="I43" t="s">
        <v>1315</v>
      </c>
      <c r="J43" s="15">
        <v>46258.391006944446</v>
      </c>
      <c r="K43" s="15">
        <v>46259.304861111108</v>
      </c>
      <c r="L43" s="15"/>
      <c r="M43">
        <v>1</v>
      </c>
      <c r="O43" t="s">
        <v>201</v>
      </c>
      <c r="P43" t="s">
        <v>1954</v>
      </c>
      <c r="S43" t="s">
        <v>363</v>
      </c>
      <c r="T43" t="s">
        <v>352</v>
      </c>
      <c r="U43" t="s">
        <v>262</v>
      </c>
      <c r="V43" t="s">
        <v>7</v>
      </c>
      <c r="W43" t="s">
        <v>7</v>
      </c>
      <c r="X43" t="s">
        <v>7</v>
      </c>
      <c r="AA43" t="s">
        <v>127</v>
      </c>
      <c r="AB43" t="s">
        <v>396</v>
      </c>
      <c r="AC43">
        <v>2011</v>
      </c>
      <c r="AD43" t="s">
        <v>233</v>
      </c>
      <c r="AE43">
        <v>1</v>
      </c>
      <c r="AF43">
        <v>1</v>
      </c>
    </row>
    <row r="44" spans="1:32" x14ac:dyDescent="0.3">
      <c r="A44" t="s">
        <v>350</v>
      </c>
      <c r="B44" t="s">
        <v>63</v>
      </c>
      <c r="C44" t="s">
        <v>95</v>
      </c>
      <c r="D44" t="s">
        <v>309</v>
      </c>
      <c r="E44" t="s">
        <v>1314</v>
      </c>
      <c r="F44" s="15">
        <v>46253.579560185186</v>
      </c>
      <c r="G44" t="s">
        <v>401</v>
      </c>
      <c r="H44">
        <v>1</v>
      </c>
      <c r="I44" t="s">
        <v>1315</v>
      </c>
      <c r="J44" s="15">
        <v>46258.391006944446</v>
      </c>
      <c r="K44" s="15">
        <v>46259.304861111108</v>
      </c>
      <c r="L44" s="15"/>
      <c r="M44">
        <v>1</v>
      </c>
      <c r="O44" t="s">
        <v>201</v>
      </c>
      <c r="P44" t="s">
        <v>1954</v>
      </c>
      <c r="S44" t="s">
        <v>363</v>
      </c>
      <c r="T44" t="s">
        <v>352</v>
      </c>
      <c r="U44" t="s">
        <v>262</v>
      </c>
      <c r="V44" t="s">
        <v>7</v>
      </c>
      <c r="W44" t="s">
        <v>7</v>
      </c>
      <c r="X44" t="s">
        <v>7</v>
      </c>
      <c r="AA44" t="s">
        <v>96</v>
      </c>
      <c r="AB44" t="s">
        <v>396</v>
      </c>
      <c r="AC44">
        <v>2011</v>
      </c>
      <c r="AD44" t="s">
        <v>225</v>
      </c>
      <c r="AE44">
        <v>1</v>
      </c>
      <c r="AF44">
        <v>1</v>
      </c>
    </row>
    <row r="45" spans="1:32" x14ac:dyDescent="0.3">
      <c r="A45" t="s">
        <v>350</v>
      </c>
      <c r="B45" t="s">
        <v>279</v>
      </c>
      <c r="C45" t="s">
        <v>192</v>
      </c>
      <c r="D45" t="s">
        <v>309</v>
      </c>
      <c r="E45" t="s">
        <v>1316</v>
      </c>
      <c r="F45" s="15">
        <v>46247.459618055553</v>
      </c>
      <c r="G45" t="s">
        <v>1317</v>
      </c>
      <c r="H45">
        <v>1</v>
      </c>
      <c r="I45" t="s">
        <v>1318</v>
      </c>
      <c r="J45" s="15">
        <v>46247.561030092591</v>
      </c>
      <c r="K45" s="15">
        <v>46254.421527777777</v>
      </c>
      <c r="L45" s="15"/>
      <c r="M45">
        <v>1</v>
      </c>
      <c r="O45" t="s">
        <v>201</v>
      </c>
      <c r="P45" t="s">
        <v>1956</v>
      </c>
      <c r="S45" t="s">
        <v>363</v>
      </c>
      <c r="T45" t="s">
        <v>352</v>
      </c>
      <c r="U45" t="s">
        <v>262</v>
      </c>
      <c r="V45" t="s">
        <v>7</v>
      </c>
      <c r="W45" t="s">
        <v>7</v>
      </c>
      <c r="X45" t="s">
        <v>7</v>
      </c>
      <c r="Z45">
        <v>1</v>
      </c>
      <c r="AA45" t="s">
        <v>122</v>
      </c>
      <c r="AB45" t="s">
        <v>396</v>
      </c>
      <c r="AC45">
        <v>2011</v>
      </c>
      <c r="AD45" t="s">
        <v>232</v>
      </c>
      <c r="AE45">
        <v>1</v>
      </c>
      <c r="AF45">
        <v>7.9</v>
      </c>
    </row>
    <row r="46" spans="1:32" x14ac:dyDescent="0.3">
      <c r="A46" t="s">
        <v>350</v>
      </c>
      <c r="B46" t="s">
        <v>57</v>
      </c>
      <c r="C46" t="s">
        <v>117</v>
      </c>
      <c r="D46" t="s">
        <v>309</v>
      </c>
      <c r="E46" t="s">
        <v>1319</v>
      </c>
      <c r="F46" s="15">
        <v>46251.30840277778</v>
      </c>
      <c r="G46" t="s">
        <v>405</v>
      </c>
      <c r="H46">
        <v>8</v>
      </c>
      <c r="I46" t="s">
        <v>1320</v>
      </c>
      <c r="J46" s="15">
        <v>46251.581250000003</v>
      </c>
      <c r="K46" s="15">
        <v>46252.500694444447</v>
      </c>
      <c r="L46" s="15"/>
      <c r="M46">
        <v>8</v>
      </c>
      <c r="O46" t="s">
        <v>201</v>
      </c>
      <c r="P46" t="s">
        <v>1954</v>
      </c>
      <c r="S46" t="s">
        <v>363</v>
      </c>
      <c r="T46" t="s">
        <v>352</v>
      </c>
      <c r="U46" t="s">
        <v>262</v>
      </c>
      <c r="V46" t="s">
        <v>7</v>
      </c>
      <c r="W46" t="s">
        <v>7</v>
      </c>
      <c r="X46" t="s">
        <v>7</v>
      </c>
      <c r="AA46" t="s">
        <v>127</v>
      </c>
      <c r="AB46" t="s">
        <v>396</v>
      </c>
      <c r="AC46">
        <v>2011</v>
      </c>
      <c r="AD46" t="s">
        <v>233</v>
      </c>
      <c r="AE46">
        <v>1</v>
      </c>
      <c r="AF46">
        <v>1</v>
      </c>
    </row>
    <row r="47" spans="1:32" x14ac:dyDescent="0.3">
      <c r="A47" t="s">
        <v>350</v>
      </c>
      <c r="B47" t="s">
        <v>63</v>
      </c>
      <c r="C47" t="s">
        <v>95</v>
      </c>
      <c r="D47" t="s">
        <v>309</v>
      </c>
      <c r="E47" t="s">
        <v>1319</v>
      </c>
      <c r="F47" s="15">
        <v>46251.30840277778</v>
      </c>
      <c r="G47" t="s">
        <v>405</v>
      </c>
      <c r="H47">
        <v>8</v>
      </c>
      <c r="I47" t="s">
        <v>1320</v>
      </c>
      <c r="J47" s="15">
        <v>46251.581250000003</v>
      </c>
      <c r="K47" s="15">
        <v>46252.500694444447</v>
      </c>
      <c r="L47" s="15"/>
      <c r="M47">
        <v>8</v>
      </c>
      <c r="O47" t="s">
        <v>201</v>
      </c>
      <c r="P47" t="s">
        <v>1954</v>
      </c>
      <c r="S47" t="s">
        <v>363</v>
      </c>
      <c r="T47" t="s">
        <v>352</v>
      </c>
      <c r="U47" t="s">
        <v>262</v>
      </c>
      <c r="V47" t="s">
        <v>7</v>
      </c>
      <c r="W47" t="s">
        <v>7</v>
      </c>
      <c r="X47" t="s">
        <v>7</v>
      </c>
      <c r="AA47" t="s">
        <v>96</v>
      </c>
      <c r="AB47" t="s">
        <v>396</v>
      </c>
      <c r="AC47">
        <v>2011</v>
      </c>
      <c r="AD47" t="s">
        <v>225</v>
      </c>
      <c r="AE47">
        <v>8</v>
      </c>
      <c r="AF47">
        <v>1.9</v>
      </c>
    </row>
    <row r="48" spans="1:32" x14ac:dyDescent="0.3">
      <c r="A48" t="s">
        <v>350</v>
      </c>
      <c r="B48" t="s">
        <v>279</v>
      </c>
      <c r="C48" t="s">
        <v>192</v>
      </c>
      <c r="D48" t="s">
        <v>309</v>
      </c>
      <c r="E48" t="s">
        <v>1321</v>
      </c>
      <c r="F48" s="15">
        <v>46251.36582175926</v>
      </c>
      <c r="G48" t="s">
        <v>405</v>
      </c>
      <c r="H48">
        <v>908</v>
      </c>
      <c r="I48" t="s">
        <v>1322</v>
      </c>
      <c r="J48" s="15">
        <v>46251.588622685187</v>
      </c>
      <c r="K48" s="15">
        <v>46252.654166666667</v>
      </c>
      <c r="L48" s="15"/>
      <c r="M48">
        <v>908</v>
      </c>
      <c r="O48" t="s">
        <v>201</v>
      </c>
      <c r="P48" t="s">
        <v>1954</v>
      </c>
      <c r="S48" t="s">
        <v>363</v>
      </c>
      <c r="T48" t="s">
        <v>352</v>
      </c>
      <c r="U48" t="s">
        <v>262</v>
      </c>
      <c r="V48" t="s">
        <v>7</v>
      </c>
      <c r="W48" t="s">
        <v>7</v>
      </c>
      <c r="X48" t="s">
        <v>7</v>
      </c>
      <c r="Z48">
        <v>1</v>
      </c>
      <c r="AA48" t="s">
        <v>122</v>
      </c>
      <c r="AB48" t="s">
        <v>396</v>
      </c>
      <c r="AC48">
        <v>2011</v>
      </c>
      <c r="AD48" t="s">
        <v>232</v>
      </c>
      <c r="AE48">
        <v>908</v>
      </c>
      <c r="AF48">
        <v>156.4</v>
      </c>
    </row>
    <row r="49" spans="1:32" x14ac:dyDescent="0.3">
      <c r="A49" t="s">
        <v>350</v>
      </c>
      <c r="B49" t="s">
        <v>57</v>
      </c>
      <c r="C49" t="s">
        <v>117</v>
      </c>
      <c r="D49" t="s">
        <v>309</v>
      </c>
      <c r="E49" t="s">
        <v>1321</v>
      </c>
      <c r="F49" s="15">
        <v>46251.36582175926</v>
      </c>
      <c r="G49" t="s">
        <v>405</v>
      </c>
      <c r="H49">
        <v>11</v>
      </c>
      <c r="I49" t="s">
        <v>1322</v>
      </c>
      <c r="J49" s="15">
        <v>46251.588622685187</v>
      </c>
      <c r="K49" s="15">
        <v>46252.654166666667</v>
      </c>
      <c r="L49" s="15"/>
      <c r="M49">
        <v>11</v>
      </c>
      <c r="O49" t="s">
        <v>201</v>
      </c>
      <c r="P49" t="s">
        <v>1954</v>
      </c>
      <c r="S49" t="s">
        <v>363</v>
      </c>
      <c r="T49" t="s">
        <v>352</v>
      </c>
      <c r="U49" t="s">
        <v>262</v>
      </c>
      <c r="V49" t="s">
        <v>7</v>
      </c>
      <c r="W49" t="s">
        <v>7</v>
      </c>
      <c r="X49" t="s">
        <v>7</v>
      </c>
      <c r="AA49" t="s">
        <v>127</v>
      </c>
      <c r="AB49" t="s">
        <v>396</v>
      </c>
      <c r="AC49">
        <v>2011</v>
      </c>
      <c r="AD49" t="s">
        <v>233</v>
      </c>
      <c r="AE49">
        <v>1.1000000000000001</v>
      </c>
    </row>
    <row r="50" spans="1:32" x14ac:dyDescent="0.3">
      <c r="A50" t="s">
        <v>350</v>
      </c>
      <c r="B50" t="s">
        <v>63</v>
      </c>
      <c r="C50" t="s">
        <v>95</v>
      </c>
      <c r="D50" t="s">
        <v>309</v>
      </c>
      <c r="E50" t="s">
        <v>1321</v>
      </c>
      <c r="F50" s="15">
        <v>46251.36582175926</v>
      </c>
      <c r="G50" t="s">
        <v>405</v>
      </c>
      <c r="H50">
        <v>11</v>
      </c>
      <c r="I50" t="s">
        <v>1322</v>
      </c>
      <c r="J50" s="15">
        <v>46251.588622685187</v>
      </c>
      <c r="K50" s="15">
        <v>46252.654166666667</v>
      </c>
      <c r="L50" s="15"/>
      <c r="M50">
        <v>11</v>
      </c>
      <c r="O50" t="s">
        <v>201</v>
      </c>
      <c r="P50" t="s">
        <v>1954</v>
      </c>
      <c r="S50" t="s">
        <v>363</v>
      </c>
      <c r="T50" t="s">
        <v>352</v>
      </c>
      <c r="U50" t="s">
        <v>262</v>
      </c>
      <c r="V50" t="s">
        <v>7</v>
      </c>
      <c r="W50" t="s">
        <v>7</v>
      </c>
      <c r="X50" t="s">
        <v>7</v>
      </c>
      <c r="AA50" t="s">
        <v>96</v>
      </c>
      <c r="AB50" t="s">
        <v>396</v>
      </c>
      <c r="AC50">
        <v>2011</v>
      </c>
      <c r="AD50" t="s">
        <v>225</v>
      </c>
      <c r="AE50">
        <v>11</v>
      </c>
    </row>
    <row r="51" spans="1:32" x14ac:dyDescent="0.3">
      <c r="A51" t="s">
        <v>350</v>
      </c>
      <c r="B51" t="s">
        <v>279</v>
      </c>
      <c r="C51" t="s">
        <v>192</v>
      </c>
      <c r="D51" t="s">
        <v>309</v>
      </c>
      <c r="E51" t="s">
        <v>1323</v>
      </c>
      <c r="F51" s="15">
        <v>46253.33861111111</v>
      </c>
      <c r="G51" t="s">
        <v>405</v>
      </c>
      <c r="H51">
        <v>77</v>
      </c>
      <c r="I51" t="s">
        <v>1324</v>
      </c>
      <c r="J51" s="15">
        <v>46254.578773148147</v>
      </c>
      <c r="K51" s="15">
        <v>46254.634722222225</v>
      </c>
      <c r="L51" s="15"/>
      <c r="M51">
        <v>77</v>
      </c>
      <c r="O51" t="s">
        <v>201</v>
      </c>
      <c r="P51" t="s">
        <v>1954</v>
      </c>
      <c r="S51" t="s">
        <v>363</v>
      </c>
      <c r="T51" t="s">
        <v>352</v>
      </c>
      <c r="U51" t="s">
        <v>262</v>
      </c>
      <c r="V51" t="s">
        <v>7</v>
      </c>
      <c r="W51" t="s">
        <v>7</v>
      </c>
      <c r="X51" t="s">
        <v>7</v>
      </c>
      <c r="Z51">
        <v>1</v>
      </c>
      <c r="AA51" t="s">
        <v>122</v>
      </c>
      <c r="AB51" t="s">
        <v>396</v>
      </c>
      <c r="AC51">
        <v>2011</v>
      </c>
      <c r="AD51" t="s">
        <v>232</v>
      </c>
      <c r="AE51">
        <v>77</v>
      </c>
    </row>
    <row r="52" spans="1:32" x14ac:dyDescent="0.3">
      <c r="A52" t="s">
        <v>350</v>
      </c>
      <c r="B52" t="s">
        <v>57</v>
      </c>
      <c r="C52" t="s">
        <v>117</v>
      </c>
      <c r="D52" t="s">
        <v>309</v>
      </c>
      <c r="E52" t="s">
        <v>1323</v>
      </c>
      <c r="F52" s="15">
        <v>46253.33861111111</v>
      </c>
      <c r="G52" t="s">
        <v>405</v>
      </c>
      <c r="H52">
        <v>2</v>
      </c>
      <c r="I52" t="s">
        <v>1324</v>
      </c>
      <c r="J52" s="15">
        <v>46254.578773148147</v>
      </c>
      <c r="K52" s="15">
        <v>46254.634722222225</v>
      </c>
      <c r="L52" s="15"/>
      <c r="M52">
        <v>2</v>
      </c>
      <c r="O52" t="s">
        <v>201</v>
      </c>
      <c r="P52" t="s">
        <v>1954</v>
      </c>
      <c r="S52" t="s">
        <v>363</v>
      </c>
      <c r="T52" t="s">
        <v>352</v>
      </c>
      <c r="U52" t="s">
        <v>262</v>
      </c>
      <c r="V52" t="s">
        <v>7</v>
      </c>
      <c r="W52" t="s">
        <v>7</v>
      </c>
      <c r="X52" t="s">
        <v>7</v>
      </c>
      <c r="AA52" t="s">
        <v>127</v>
      </c>
      <c r="AB52" t="s">
        <v>396</v>
      </c>
      <c r="AC52">
        <v>2011</v>
      </c>
      <c r="AD52" t="s">
        <v>233</v>
      </c>
      <c r="AE52">
        <v>1</v>
      </c>
      <c r="AF52">
        <v>1</v>
      </c>
    </row>
    <row r="53" spans="1:32" x14ac:dyDescent="0.3">
      <c r="A53" t="s">
        <v>350</v>
      </c>
      <c r="B53" t="s">
        <v>279</v>
      </c>
      <c r="C53" t="s">
        <v>192</v>
      </c>
      <c r="D53" t="s">
        <v>309</v>
      </c>
      <c r="E53" t="s">
        <v>1312</v>
      </c>
      <c r="F53" s="15">
        <v>46253.349317129629</v>
      </c>
      <c r="G53" t="s">
        <v>401</v>
      </c>
      <c r="H53">
        <v>1</v>
      </c>
      <c r="I53" t="s">
        <v>1313</v>
      </c>
      <c r="J53" s="15">
        <v>46254.589212962965</v>
      </c>
      <c r="K53" s="15">
        <v>46254.65625</v>
      </c>
      <c r="L53" s="15"/>
      <c r="M53">
        <v>1</v>
      </c>
      <c r="O53" t="s">
        <v>201</v>
      </c>
      <c r="P53" t="s">
        <v>1954</v>
      </c>
      <c r="S53" t="s">
        <v>363</v>
      </c>
      <c r="T53" t="s">
        <v>352</v>
      </c>
      <c r="U53" t="s">
        <v>262</v>
      </c>
      <c r="V53" t="s">
        <v>7</v>
      </c>
      <c r="W53" t="s">
        <v>7</v>
      </c>
      <c r="X53" t="s">
        <v>7</v>
      </c>
      <c r="Z53">
        <v>1</v>
      </c>
      <c r="AA53" t="s">
        <v>122</v>
      </c>
      <c r="AB53" t="s">
        <v>396</v>
      </c>
      <c r="AC53">
        <v>2011</v>
      </c>
      <c r="AD53" t="s">
        <v>232</v>
      </c>
      <c r="AE53">
        <v>1</v>
      </c>
    </row>
    <row r="54" spans="1:32" x14ac:dyDescent="0.3">
      <c r="A54" t="s">
        <v>350</v>
      </c>
      <c r="B54" t="s">
        <v>57</v>
      </c>
      <c r="C54" t="s">
        <v>117</v>
      </c>
      <c r="D54" t="s">
        <v>309</v>
      </c>
      <c r="E54" t="s">
        <v>1312</v>
      </c>
      <c r="F54" s="15">
        <v>46253.349317129629</v>
      </c>
      <c r="G54" t="s">
        <v>401</v>
      </c>
      <c r="H54">
        <v>1</v>
      </c>
      <c r="I54" t="s">
        <v>1313</v>
      </c>
      <c r="J54" s="15">
        <v>46254.589212962965</v>
      </c>
      <c r="K54" s="15">
        <v>46254.65625</v>
      </c>
      <c r="L54" s="15"/>
      <c r="M54">
        <v>1</v>
      </c>
      <c r="O54" t="s">
        <v>201</v>
      </c>
      <c r="P54" t="s">
        <v>1954</v>
      </c>
      <c r="S54" t="s">
        <v>363</v>
      </c>
      <c r="T54" t="s">
        <v>352</v>
      </c>
      <c r="U54" t="s">
        <v>262</v>
      </c>
      <c r="V54" t="s">
        <v>7</v>
      </c>
      <c r="W54" t="s">
        <v>7</v>
      </c>
      <c r="X54" t="s">
        <v>7</v>
      </c>
      <c r="AA54" t="s">
        <v>127</v>
      </c>
      <c r="AB54" t="s">
        <v>396</v>
      </c>
      <c r="AC54">
        <v>2011</v>
      </c>
      <c r="AD54" t="s">
        <v>233</v>
      </c>
      <c r="AE54">
        <v>1</v>
      </c>
    </row>
    <row r="55" spans="1:32" x14ac:dyDescent="0.3">
      <c r="A55" t="s">
        <v>350</v>
      </c>
      <c r="B55" t="s">
        <v>279</v>
      </c>
      <c r="C55" t="s">
        <v>192</v>
      </c>
      <c r="D55" t="s">
        <v>309</v>
      </c>
      <c r="E55" t="s">
        <v>1319</v>
      </c>
      <c r="F55" s="15">
        <v>46251.30840277778</v>
      </c>
      <c r="G55" t="s">
        <v>405</v>
      </c>
      <c r="H55">
        <v>656</v>
      </c>
      <c r="I55" t="s">
        <v>1320</v>
      </c>
      <c r="J55" s="15">
        <v>46251.581250000003</v>
      </c>
      <c r="K55" s="15">
        <v>46252.500694444447</v>
      </c>
      <c r="L55" s="15"/>
      <c r="M55">
        <v>656</v>
      </c>
      <c r="O55" t="s">
        <v>201</v>
      </c>
      <c r="P55" t="s">
        <v>1954</v>
      </c>
      <c r="S55" t="s">
        <v>363</v>
      </c>
      <c r="T55" t="s">
        <v>352</v>
      </c>
      <c r="U55" t="s">
        <v>262</v>
      </c>
      <c r="V55" t="s">
        <v>7</v>
      </c>
      <c r="W55" t="s">
        <v>7</v>
      </c>
      <c r="X55" t="s">
        <v>7</v>
      </c>
      <c r="Z55">
        <v>1</v>
      </c>
      <c r="AA55" t="s">
        <v>122</v>
      </c>
      <c r="AB55" t="s">
        <v>396</v>
      </c>
      <c r="AC55">
        <v>2011</v>
      </c>
      <c r="AD55" t="s">
        <v>232</v>
      </c>
      <c r="AE55">
        <v>656</v>
      </c>
    </row>
    <row r="56" spans="1:32" x14ac:dyDescent="0.3">
      <c r="A56" t="s">
        <v>350</v>
      </c>
      <c r="B56" t="s">
        <v>63</v>
      </c>
      <c r="C56" t="s">
        <v>95</v>
      </c>
      <c r="D56" t="s">
        <v>309</v>
      </c>
      <c r="E56" t="s">
        <v>1323</v>
      </c>
      <c r="F56" s="15">
        <v>46253.33861111111</v>
      </c>
      <c r="G56" t="s">
        <v>405</v>
      </c>
      <c r="H56">
        <v>2</v>
      </c>
      <c r="I56" t="s">
        <v>1324</v>
      </c>
      <c r="J56" s="15">
        <v>46254.578773148147</v>
      </c>
      <c r="K56" s="15">
        <v>46254.634722222225</v>
      </c>
      <c r="L56" s="15"/>
      <c r="M56">
        <v>2</v>
      </c>
      <c r="O56" t="s">
        <v>201</v>
      </c>
      <c r="P56" t="s">
        <v>1954</v>
      </c>
      <c r="S56" t="s">
        <v>363</v>
      </c>
      <c r="T56" t="s">
        <v>352</v>
      </c>
      <c r="U56" t="s">
        <v>262</v>
      </c>
      <c r="V56" t="s">
        <v>7</v>
      </c>
      <c r="W56" t="s">
        <v>7</v>
      </c>
      <c r="X56" t="s">
        <v>7</v>
      </c>
      <c r="AA56" t="s">
        <v>96</v>
      </c>
      <c r="AB56" t="s">
        <v>396</v>
      </c>
      <c r="AC56">
        <v>2011</v>
      </c>
      <c r="AD56" t="s">
        <v>225</v>
      </c>
      <c r="AE56">
        <v>2</v>
      </c>
    </row>
    <row r="57" spans="1:32" x14ac:dyDescent="0.3">
      <c r="A57" t="s">
        <v>350</v>
      </c>
      <c r="B57" t="s">
        <v>279</v>
      </c>
      <c r="C57" t="s">
        <v>192</v>
      </c>
      <c r="D57" t="s">
        <v>309</v>
      </c>
      <c r="E57" t="s">
        <v>1325</v>
      </c>
      <c r="F57" s="15">
        <v>46176.3434837963</v>
      </c>
      <c r="G57" t="s">
        <v>405</v>
      </c>
      <c r="H57">
        <v>1289</v>
      </c>
      <c r="I57" t="s">
        <v>1326</v>
      </c>
      <c r="J57" s="15">
        <v>46176.640972222223</v>
      </c>
      <c r="K57" s="15">
        <v>46232.525000000001</v>
      </c>
      <c r="L57" s="15"/>
      <c r="M57">
        <v>1289</v>
      </c>
      <c r="O57" t="s">
        <v>201</v>
      </c>
      <c r="P57" t="s">
        <v>1956</v>
      </c>
      <c r="S57" t="s">
        <v>363</v>
      </c>
      <c r="T57" t="s">
        <v>352</v>
      </c>
      <c r="U57" t="s">
        <v>262</v>
      </c>
      <c r="V57" t="s">
        <v>7</v>
      </c>
      <c r="W57" t="s">
        <v>7</v>
      </c>
      <c r="X57" t="s">
        <v>7</v>
      </c>
      <c r="Z57">
        <v>1</v>
      </c>
      <c r="AA57" t="s">
        <v>122</v>
      </c>
      <c r="AB57" t="s">
        <v>396</v>
      </c>
      <c r="AC57">
        <v>2011</v>
      </c>
      <c r="AD57" t="s">
        <v>232</v>
      </c>
      <c r="AE57">
        <v>1289</v>
      </c>
      <c r="AF57">
        <v>279.39999999999998</v>
      </c>
    </row>
    <row r="58" spans="1:32" x14ac:dyDescent="0.3">
      <c r="A58" t="s">
        <v>350</v>
      </c>
      <c r="B58" t="s">
        <v>51</v>
      </c>
      <c r="C58" t="s">
        <v>258</v>
      </c>
      <c r="D58" t="s">
        <v>309</v>
      </c>
      <c r="E58" t="s">
        <v>1327</v>
      </c>
      <c r="F58" s="15">
        <v>46227.403078703705</v>
      </c>
      <c r="G58" t="s">
        <v>418</v>
      </c>
      <c r="H58">
        <v>40</v>
      </c>
      <c r="I58" t="s">
        <v>1328</v>
      </c>
      <c r="J58" s="15">
        <v>46227.627268518518</v>
      </c>
      <c r="K58" s="15">
        <v>46234.486111111109</v>
      </c>
      <c r="L58" s="15"/>
      <c r="M58">
        <v>40</v>
      </c>
      <c r="O58" t="s">
        <v>201</v>
      </c>
      <c r="P58" t="s">
        <v>1956</v>
      </c>
      <c r="S58" t="s">
        <v>363</v>
      </c>
      <c r="T58" t="s">
        <v>352</v>
      </c>
      <c r="U58" t="s">
        <v>262</v>
      </c>
      <c r="V58" t="s">
        <v>7</v>
      </c>
      <c r="W58" t="s">
        <v>7</v>
      </c>
      <c r="X58" t="s">
        <v>7</v>
      </c>
      <c r="AA58" t="s">
        <v>238</v>
      </c>
      <c r="AB58" t="s">
        <v>396</v>
      </c>
      <c r="AC58">
        <v>2011</v>
      </c>
      <c r="AD58" t="s">
        <v>7</v>
      </c>
      <c r="AF58">
        <v>0</v>
      </c>
    </row>
    <row r="59" spans="1:32" x14ac:dyDescent="0.3">
      <c r="A59" t="s">
        <v>350</v>
      </c>
      <c r="B59" t="s">
        <v>45</v>
      </c>
      <c r="C59" t="s">
        <v>68</v>
      </c>
      <c r="D59" t="s">
        <v>309</v>
      </c>
      <c r="E59" t="s">
        <v>1329</v>
      </c>
      <c r="F59" s="15">
        <v>46223.312245370369</v>
      </c>
      <c r="G59" t="s">
        <v>421</v>
      </c>
      <c r="H59">
        <v>9</v>
      </c>
      <c r="I59" t="s">
        <v>1330</v>
      </c>
      <c r="J59" s="15">
        <v>46223.463888888888</v>
      </c>
      <c r="K59" s="15">
        <v>46226.486805555556</v>
      </c>
      <c r="L59" s="15"/>
      <c r="M59">
        <v>9</v>
      </c>
      <c r="O59" t="s">
        <v>201</v>
      </c>
      <c r="P59" t="s">
        <v>1956</v>
      </c>
      <c r="S59" t="s">
        <v>395</v>
      </c>
      <c r="T59" t="s">
        <v>376</v>
      </c>
      <c r="U59" t="s">
        <v>295</v>
      </c>
      <c r="V59" t="s">
        <v>350</v>
      </c>
      <c r="W59" t="s">
        <v>374</v>
      </c>
      <c r="X59" t="s">
        <v>262</v>
      </c>
      <c r="AA59" t="s">
        <v>67</v>
      </c>
      <c r="AB59" t="s">
        <v>395</v>
      </c>
      <c r="AD59" t="s">
        <v>217</v>
      </c>
      <c r="AE59">
        <v>1</v>
      </c>
      <c r="AF59">
        <v>1</v>
      </c>
    </row>
    <row r="60" spans="1:32" x14ac:dyDescent="0.3">
      <c r="A60" t="s">
        <v>350</v>
      </c>
      <c r="B60" t="s">
        <v>45</v>
      </c>
      <c r="C60" t="s">
        <v>68</v>
      </c>
      <c r="D60" t="s">
        <v>309</v>
      </c>
      <c r="E60" t="s">
        <v>1331</v>
      </c>
      <c r="F60" s="15">
        <v>46217.387696759259</v>
      </c>
      <c r="G60" t="s">
        <v>1332</v>
      </c>
      <c r="H60">
        <v>2</v>
      </c>
      <c r="I60" t="s">
        <v>1333</v>
      </c>
      <c r="J60" s="15">
        <v>46217.475694444445</v>
      </c>
      <c r="K60" s="15">
        <v>46230.486111111109</v>
      </c>
      <c r="L60" s="15"/>
      <c r="M60">
        <v>2</v>
      </c>
      <c r="O60" t="s">
        <v>201</v>
      </c>
      <c r="P60" t="s">
        <v>1956</v>
      </c>
      <c r="S60" t="s">
        <v>364</v>
      </c>
      <c r="T60" t="s">
        <v>375</v>
      </c>
      <c r="U60" t="s">
        <v>265</v>
      </c>
      <c r="V60" t="s">
        <v>350</v>
      </c>
      <c r="W60" t="s">
        <v>374</v>
      </c>
      <c r="X60" t="s">
        <v>262</v>
      </c>
      <c r="Y60">
        <v>678</v>
      </c>
      <c r="AA60" t="s">
        <v>67</v>
      </c>
      <c r="AB60" t="s">
        <v>364</v>
      </c>
      <c r="AC60">
        <v>1950</v>
      </c>
      <c r="AD60" t="s">
        <v>217</v>
      </c>
      <c r="AE60">
        <v>1</v>
      </c>
      <c r="AF60">
        <v>1</v>
      </c>
    </row>
    <row r="61" spans="1:32" x14ac:dyDescent="0.3">
      <c r="A61" t="s">
        <v>350</v>
      </c>
      <c r="B61" t="s">
        <v>63</v>
      </c>
      <c r="C61" t="s">
        <v>95</v>
      </c>
      <c r="D61" t="s">
        <v>309</v>
      </c>
      <c r="E61" t="s">
        <v>1334</v>
      </c>
      <c r="F61" s="15">
        <v>46244.363599537035</v>
      </c>
      <c r="G61" t="s">
        <v>405</v>
      </c>
      <c r="H61">
        <v>9</v>
      </c>
      <c r="I61" t="s">
        <v>1335</v>
      </c>
      <c r="J61" s="15">
        <v>46244.70039351852</v>
      </c>
      <c r="K61" s="15">
        <v>46246.680555555555</v>
      </c>
      <c r="L61" s="15"/>
      <c r="M61">
        <v>9</v>
      </c>
      <c r="O61" t="s">
        <v>201</v>
      </c>
      <c r="P61" t="s">
        <v>1954</v>
      </c>
      <c r="S61" t="s">
        <v>363</v>
      </c>
      <c r="T61" t="s">
        <v>352</v>
      </c>
      <c r="U61" t="s">
        <v>262</v>
      </c>
      <c r="V61" t="s">
        <v>7</v>
      </c>
      <c r="W61" t="s">
        <v>7</v>
      </c>
      <c r="X61" t="s">
        <v>7</v>
      </c>
      <c r="AA61" t="s">
        <v>96</v>
      </c>
      <c r="AB61" t="s">
        <v>396</v>
      </c>
      <c r="AC61">
        <v>2011</v>
      </c>
      <c r="AD61" t="s">
        <v>225</v>
      </c>
      <c r="AE61">
        <v>9</v>
      </c>
      <c r="AF61">
        <v>1</v>
      </c>
    </row>
    <row r="62" spans="1:32" x14ac:dyDescent="0.3">
      <c r="A62" t="s">
        <v>350</v>
      </c>
      <c r="B62" t="s">
        <v>57</v>
      </c>
      <c r="C62" t="s">
        <v>117</v>
      </c>
      <c r="D62" t="s">
        <v>309</v>
      </c>
      <c r="E62" t="s">
        <v>1334</v>
      </c>
      <c r="F62" s="15">
        <v>46244.363599537035</v>
      </c>
      <c r="G62" t="s">
        <v>405</v>
      </c>
      <c r="H62">
        <v>9</v>
      </c>
      <c r="I62" t="s">
        <v>1335</v>
      </c>
      <c r="J62" s="15">
        <v>46244.70039351852</v>
      </c>
      <c r="K62" s="15">
        <v>46246.680555555555</v>
      </c>
      <c r="L62" s="15"/>
      <c r="M62">
        <v>9</v>
      </c>
      <c r="O62" t="s">
        <v>201</v>
      </c>
      <c r="P62" t="s">
        <v>1954</v>
      </c>
      <c r="S62" t="s">
        <v>363</v>
      </c>
      <c r="T62" t="s">
        <v>352</v>
      </c>
      <c r="U62" t="s">
        <v>262</v>
      </c>
      <c r="V62" t="s">
        <v>7</v>
      </c>
      <c r="W62" t="s">
        <v>7</v>
      </c>
      <c r="X62" t="s">
        <v>7</v>
      </c>
      <c r="AA62" t="s">
        <v>127</v>
      </c>
      <c r="AB62" t="s">
        <v>396</v>
      </c>
      <c r="AC62">
        <v>2011</v>
      </c>
      <c r="AD62" t="s">
        <v>233</v>
      </c>
      <c r="AE62">
        <v>1</v>
      </c>
      <c r="AF62">
        <v>1</v>
      </c>
    </row>
    <row r="63" spans="1:32" x14ac:dyDescent="0.3">
      <c r="A63" t="s">
        <v>350</v>
      </c>
      <c r="B63" t="s">
        <v>279</v>
      </c>
      <c r="C63" t="s">
        <v>192</v>
      </c>
      <c r="D63" t="s">
        <v>309</v>
      </c>
      <c r="E63" t="s">
        <v>1334</v>
      </c>
      <c r="F63" s="15">
        <v>46244.363599537035</v>
      </c>
      <c r="G63" t="s">
        <v>405</v>
      </c>
      <c r="H63">
        <v>730</v>
      </c>
      <c r="I63" t="s">
        <v>1335</v>
      </c>
      <c r="J63" s="15">
        <v>46244.70039351852</v>
      </c>
      <c r="K63" s="15">
        <v>46246.680555555555</v>
      </c>
      <c r="L63" s="15"/>
      <c r="M63">
        <v>730</v>
      </c>
      <c r="O63" t="s">
        <v>201</v>
      </c>
      <c r="P63" t="s">
        <v>1954</v>
      </c>
      <c r="S63" t="s">
        <v>363</v>
      </c>
      <c r="T63" t="s">
        <v>352</v>
      </c>
      <c r="U63" t="s">
        <v>262</v>
      </c>
      <c r="V63" t="s">
        <v>7</v>
      </c>
      <c r="W63" t="s">
        <v>7</v>
      </c>
      <c r="X63" t="s">
        <v>7</v>
      </c>
      <c r="Z63">
        <v>1</v>
      </c>
      <c r="AA63" t="s">
        <v>122</v>
      </c>
      <c r="AB63" t="s">
        <v>396</v>
      </c>
      <c r="AC63">
        <v>2011</v>
      </c>
      <c r="AD63" t="s">
        <v>232</v>
      </c>
      <c r="AE63">
        <v>730</v>
      </c>
      <c r="AF63">
        <v>73</v>
      </c>
    </row>
    <row r="64" spans="1:32" x14ac:dyDescent="0.3">
      <c r="A64" t="s">
        <v>350</v>
      </c>
      <c r="B64" t="s">
        <v>63</v>
      </c>
      <c r="C64" t="s">
        <v>95</v>
      </c>
      <c r="D64" t="s">
        <v>309</v>
      </c>
      <c r="E64" t="s">
        <v>1119</v>
      </c>
      <c r="F64" s="15">
        <v>46232.31826388889</v>
      </c>
      <c r="G64" t="s">
        <v>401</v>
      </c>
      <c r="H64">
        <v>1</v>
      </c>
      <c r="I64" t="s">
        <v>1336</v>
      </c>
      <c r="J64" s="15">
        <v>46232.40520833333</v>
      </c>
      <c r="K64" s="15">
        <v>46239.288888888892</v>
      </c>
      <c r="L64" s="15"/>
      <c r="M64">
        <v>1</v>
      </c>
      <c r="O64" t="s">
        <v>201</v>
      </c>
      <c r="P64" t="s">
        <v>1954</v>
      </c>
      <c r="S64" t="s">
        <v>363</v>
      </c>
      <c r="T64" t="s">
        <v>352</v>
      </c>
      <c r="U64" t="s">
        <v>262</v>
      </c>
      <c r="V64" t="s">
        <v>7</v>
      </c>
      <c r="W64" t="s">
        <v>7</v>
      </c>
      <c r="X64" t="s">
        <v>7</v>
      </c>
      <c r="AA64" t="s">
        <v>96</v>
      </c>
      <c r="AB64" t="s">
        <v>396</v>
      </c>
      <c r="AC64">
        <v>2011</v>
      </c>
      <c r="AD64" t="s">
        <v>225</v>
      </c>
      <c r="AE64">
        <v>1</v>
      </c>
      <c r="AF64">
        <v>1</v>
      </c>
    </row>
    <row r="65" spans="1:32" x14ac:dyDescent="0.3">
      <c r="A65" t="s">
        <v>350</v>
      </c>
      <c r="B65" t="s">
        <v>57</v>
      </c>
      <c r="C65" t="s">
        <v>117</v>
      </c>
      <c r="D65" t="s">
        <v>309</v>
      </c>
      <c r="E65" t="s">
        <v>1119</v>
      </c>
      <c r="F65" s="15">
        <v>46232.31826388889</v>
      </c>
      <c r="G65" t="s">
        <v>401</v>
      </c>
      <c r="H65">
        <v>1</v>
      </c>
      <c r="I65" t="s">
        <v>1336</v>
      </c>
      <c r="J65" s="15">
        <v>46232.40520833333</v>
      </c>
      <c r="K65" s="15">
        <v>46239.288888888892</v>
      </c>
      <c r="L65" s="15"/>
      <c r="M65">
        <v>1</v>
      </c>
      <c r="O65" t="s">
        <v>201</v>
      </c>
      <c r="P65" t="s">
        <v>1954</v>
      </c>
      <c r="S65" t="s">
        <v>363</v>
      </c>
      <c r="T65" t="s">
        <v>352</v>
      </c>
      <c r="U65" t="s">
        <v>262</v>
      </c>
      <c r="V65" t="s">
        <v>7</v>
      </c>
      <c r="W65" t="s">
        <v>7</v>
      </c>
      <c r="X65" t="s">
        <v>7</v>
      </c>
      <c r="AA65" t="s">
        <v>127</v>
      </c>
      <c r="AB65" t="s">
        <v>396</v>
      </c>
      <c r="AC65">
        <v>2011</v>
      </c>
      <c r="AD65" t="s">
        <v>233</v>
      </c>
      <c r="AE65">
        <v>1</v>
      </c>
      <c r="AF65">
        <v>1</v>
      </c>
    </row>
    <row r="66" spans="1:32" x14ac:dyDescent="0.3">
      <c r="A66" t="s">
        <v>350</v>
      </c>
      <c r="B66" t="s">
        <v>279</v>
      </c>
      <c r="C66" t="s">
        <v>192</v>
      </c>
      <c r="D66" t="s">
        <v>309</v>
      </c>
      <c r="E66" t="s">
        <v>1119</v>
      </c>
      <c r="F66" s="15">
        <v>46232.31826388889</v>
      </c>
      <c r="G66" t="s">
        <v>401</v>
      </c>
      <c r="H66">
        <v>8</v>
      </c>
      <c r="I66" t="s">
        <v>1336</v>
      </c>
      <c r="J66" s="15">
        <v>46232.40520833333</v>
      </c>
      <c r="K66" s="15">
        <v>46239.288888888892</v>
      </c>
      <c r="L66" s="15"/>
      <c r="M66">
        <v>8</v>
      </c>
      <c r="O66" t="s">
        <v>201</v>
      </c>
      <c r="P66" t="s">
        <v>1956</v>
      </c>
      <c r="S66" t="s">
        <v>363</v>
      </c>
      <c r="T66" t="s">
        <v>352</v>
      </c>
      <c r="U66" t="s">
        <v>262</v>
      </c>
      <c r="V66" t="s">
        <v>7</v>
      </c>
      <c r="W66" t="s">
        <v>7</v>
      </c>
      <c r="X66" t="s">
        <v>7</v>
      </c>
      <c r="Z66">
        <v>1</v>
      </c>
      <c r="AA66" t="s">
        <v>122</v>
      </c>
      <c r="AB66" t="s">
        <v>396</v>
      </c>
      <c r="AC66">
        <v>2011</v>
      </c>
      <c r="AD66" t="s">
        <v>232</v>
      </c>
      <c r="AE66">
        <v>8</v>
      </c>
      <c r="AF66">
        <v>1</v>
      </c>
    </row>
    <row r="67" spans="1:32" x14ac:dyDescent="0.3">
      <c r="A67" t="s">
        <v>350</v>
      </c>
      <c r="B67" t="s">
        <v>63</v>
      </c>
      <c r="C67" t="s">
        <v>95</v>
      </c>
      <c r="D67" t="s">
        <v>309</v>
      </c>
      <c r="E67" t="s">
        <v>1337</v>
      </c>
      <c r="F67" s="15">
        <v>46231.310787037037</v>
      </c>
      <c r="G67" t="s">
        <v>405</v>
      </c>
      <c r="H67">
        <v>13</v>
      </c>
      <c r="I67" t="s">
        <v>1338</v>
      </c>
      <c r="J67" s="15">
        <v>46231.40347222222</v>
      </c>
      <c r="K67" s="15">
        <v>46233.611805555556</v>
      </c>
      <c r="L67" s="15"/>
      <c r="M67">
        <v>13</v>
      </c>
      <c r="O67" t="s">
        <v>201</v>
      </c>
      <c r="P67" t="s">
        <v>1954</v>
      </c>
      <c r="S67" t="s">
        <v>363</v>
      </c>
      <c r="T67" t="s">
        <v>352</v>
      </c>
      <c r="U67" t="s">
        <v>262</v>
      </c>
      <c r="V67" t="s">
        <v>7</v>
      </c>
      <c r="W67" t="s">
        <v>7</v>
      </c>
      <c r="X67" t="s">
        <v>7</v>
      </c>
      <c r="AA67" t="s">
        <v>96</v>
      </c>
      <c r="AB67" t="s">
        <v>396</v>
      </c>
      <c r="AC67">
        <v>2011</v>
      </c>
      <c r="AD67" t="s">
        <v>225</v>
      </c>
      <c r="AE67">
        <v>13</v>
      </c>
      <c r="AF67">
        <v>1.3</v>
      </c>
    </row>
    <row r="68" spans="1:32" x14ac:dyDescent="0.3">
      <c r="A68" t="s">
        <v>350</v>
      </c>
      <c r="B68" t="s">
        <v>57</v>
      </c>
      <c r="C68" t="s">
        <v>117</v>
      </c>
      <c r="D68" t="s">
        <v>309</v>
      </c>
      <c r="E68" t="s">
        <v>1337</v>
      </c>
      <c r="F68" s="15">
        <v>46231.310787037037</v>
      </c>
      <c r="G68" t="s">
        <v>405</v>
      </c>
      <c r="H68">
        <v>13</v>
      </c>
      <c r="I68" t="s">
        <v>1338</v>
      </c>
      <c r="J68" s="15">
        <v>46231.40347222222</v>
      </c>
      <c r="K68" s="15">
        <v>46233.611805555556</v>
      </c>
      <c r="L68" s="15"/>
      <c r="M68">
        <v>13</v>
      </c>
      <c r="O68" t="s">
        <v>201</v>
      </c>
      <c r="P68" t="s">
        <v>1954</v>
      </c>
      <c r="S68" t="s">
        <v>363</v>
      </c>
      <c r="T68" t="s">
        <v>352</v>
      </c>
      <c r="U68" t="s">
        <v>262</v>
      </c>
      <c r="V68" t="s">
        <v>7</v>
      </c>
      <c r="W68" t="s">
        <v>7</v>
      </c>
      <c r="X68" t="s">
        <v>7</v>
      </c>
      <c r="AA68" t="s">
        <v>127</v>
      </c>
      <c r="AB68" t="s">
        <v>396</v>
      </c>
      <c r="AC68">
        <v>2011</v>
      </c>
      <c r="AD68" t="s">
        <v>233</v>
      </c>
      <c r="AE68">
        <v>1.3</v>
      </c>
      <c r="AF68">
        <v>1</v>
      </c>
    </row>
    <row r="69" spans="1:32" x14ac:dyDescent="0.3">
      <c r="A69" t="s">
        <v>350</v>
      </c>
      <c r="B69" t="s">
        <v>279</v>
      </c>
      <c r="C69" t="s">
        <v>192</v>
      </c>
      <c r="D69" t="s">
        <v>309</v>
      </c>
      <c r="E69" t="s">
        <v>1337</v>
      </c>
      <c r="F69" s="15">
        <v>46231.310787037037</v>
      </c>
      <c r="G69" t="s">
        <v>405</v>
      </c>
      <c r="H69">
        <v>1092</v>
      </c>
      <c r="I69" t="s">
        <v>1338</v>
      </c>
      <c r="J69" s="15">
        <v>46231.40347222222</v>
      </c>
      <c r="K69" s="15">
        <v>46233.611805555556</v>
      </c>
      <c r="L69" s="15"/>
      <c r="M69">
        <v>1092</v>
      </c>
      <c r="O69" t="s">
        <v>201</v>
      </c>
      <c r="P69" t="s">
        <v>1954</v>
      </c>
      <c r="S69" t="s">
        <v>363</v>
      </c>
      <c r="T69" t="s">
        <v>352</v>
      </c>
      <c r="U69" t="s">
        <v>262</v>
      </c>
      <c r="V69" t="s">
        <v>7</v>
      </c>
      <c r="W69" t="s">
        <v>7</v>
      </c>
      <c r="X69" t="s">
        <v>7</v>
      </c>
      <c r="Z69">
        <v>1</v>
      </c>
      <c r="AA69" t="s">
        <v>122</v>
      </c>
      <c r="AB69" t="s">
        <v>396</v>
      </c>
      <c r="AC69">
        <v>2011</v>
      </c>
      <c r="AD69" t="s">
        <v>232</v>
      </c>
      <c r="AE69">
        <v>1092</v>
      </c>
      <c r="AF69">
        <v>109.2</v>
      </c>
    </row>
    <row r="70" spans="1:32" x14ac:dyDescent="0.3">
      <c r="A70" t="s">
        <v>350</v>
      </c>
      <c r="B70" t="s">
        <v>63</v>
      </c>
      <c r="C70" t="s">
        <v>95</v>
      </c>
      <c r="D70" t="s">
        <v>309</v>
      </c>
      <c r="E70" t="s">
        <v>1339</v>
      </c>
      <c r="F70" s="15">
        <v>46230.596712962964</v>
      </c>
      <c r="G70" t="s">
        <v>405</v>
      </c>
      <c r="H70">
        <v>4</v>
      </c>
      <c r="I70" t="s">
        <v>1340</v>
      </c>
      <c r="J70" s="15">
        <v>46230.690266203703</v>
      </c>
      <c r="K70" s="15">
        <v>46232.591666666667</v>
      </c>
      <c r="L70" s="15"/>
      <c r="M70">
        <v>4</v>
      </c>
      <c r="O70" t="s">
        <v>201</v>
      </c>
      <c r="P70" t="s">
        <v>1954</v>
      </c>
      <c r="S70" t="s">
        <v>363</v>
      </c>
      <c r="T70" t="s">
        <v>352</v>
      </c>
      <c r="U70" t="s">
        <v>262</v>
      </c>
      <c r="V70" t="s">
        <v>7</v>
      </c>
      <c r="W70" t="s">
        <v>7</v>
      </c>
      <c r="X70" t="s">
        <v>7</v>
      </c>
      <c r="AA70" t="s">
        <v>96</v>
      </c>
      <c r="AB70" t="s">
        <v>396</v>
      </c>
      <c r="AC70">
        <v>2011</v>
      </c>
      <c r="AD70" t="s">
        <v>225</v>
      </c>
      <c r="AE70">
        <v>4</v>
      </c>
      <c r="AF70">
        <v>3.4</v>
      </c>
    </row>
    <row r="71" spans="1:32" x14ac:dyDescent="0.3">
      <c r="A71" t="s">
        <v>350</v>
      </c>
      <c r="B71" t="s">
        <v>57</v>
      </c>
      <c r="C71" t="s">
        <v>117</v>
      </c>
      <c r="D71" t="s">
        <v>309</v>
      </c>
      <c r="E71" t="s">
        <v>1339</v>
      </c>
      <c r="F71" s="15">
        <v>46230.596712962964</v>
      </c>
      <c r="G71" t="s">
        <v>405</v>
      </c>
      <c r="H71">
        <v>4</v>
      </c>
      <c r="I71" t="s">
        <v>1340</v>
      </c>
      <c r="J71" s="15">
        <v>46230.690266203703</v>
      </c>
      <c r="K71" s="15">
        <v>46232.591666666667</v>
      </c>
      <c r="L71" s="15"/>
      <c r="M71">
        <v>4</v>
      </c>
      <c r="O71" t="s">
        <v>201</v>
      </c>
      <c r="P71" t="s">
        <v>1954</v>
      </c>
      <c r="S71" t="s">
        <v>363</v>
      </c>
      <c r="T71" t="s">
        <v>352</v>
      </c>
      <c r="U71" t="s">
        <v>262</v>
      </c>
      <c r="V71" t="s">
        <v>7</v>
      </c>
      <c r="W71" t="s">
        <v>7</v>
      </c>
      <c r="X71" t="s">
        <v>7</v>
      </c>
      <c r="AA71" t="s">
        <v>127</v>
      </c>
      <c r="AB71" t="s">
        <v>396</v>
      </c>
      <c r="AC71">
        <v>2011</v>
      </c>
      <c r="AD71" t="s">
        <v>233</v>
      </c>
      <c r="AE71">
        <v>1</v>
      </c>
      <c r="AF71">
        <v>1</v>
      </c>
    </row>
    <row r="72" spans="1:32" x14ac:dyDescent="0.3">
      <c r="A72" t="s">
        <v>350</v>
      </c>
      <c r="B72" t="s">
        <v>279</v>
      </c>
      <c r="C72" t="s">
        <v>192</v>
      </c>
      <c r="D72" t="s">
        <v>309</v>
      </c>
      <c r="E72" t="s">
        <v>1339</v>
      </c>
      <c r="F72" s="15">
        <v>46230.596712962964</v>
      </c>
      <c r="G72" t="s">
        <v>405</v>
      </c>
      <c r="H72">
        <v>409</v>
      </c>
      <c r="I72" t="s">
        <v>1340</v>
      </c>
      <c r="J72" s="15">
        <v>46230.690266203703</v>
      </c>
      <c r="K72" s="15">
        <v>46232.591666666667</v>
      </c>
      <c r="L72" s="15"/>
      <c r="M72">
        <v>409</v>
      </c>
      <c r="O72" t="s">
        <v>201</v>
      </c>
      <c r="P72" t="s">
        <v>1954</v>
      </c>
      <c r="S72" t="s">
        <v>363</v>
      </c>
      <c r="T72" t="s">
        <v>352</v>
      </c>
      <c r="U72" t="s">
        <v>262</v>
      </c>
      <c r="V72" t="s">
        <v>7</v>
      </c>
      <c r="W72" t="s">
        <v>7</v>
      </c>
      <c r="X72" t="s">
        <v>7</v>
      </c>
      <c r="Z72">
        <v>1</v>
      </c>
      <c r="AA72" t="s">
        <v>122</v>
      </c>
      <c r="AB72" t="s">
        <v>396</v>
      </c>
      <c r="AC72">
        <v>2011</v>
      </c>
      <c r="AD72" t="s">
        <v>232</v>
      </c>
      <c r="AE72">
        <v>409</v>
      </c>
    </row>
    <row r="73" spans="1:32" x14ac:dyDescent="0.3">
      <c r="A73" t="s">
        <v>350</v>
      </c>
      <c r="B73" t="s">
        <v>63</v>
      </c>
      <c r="C73" t="s">
        <v>95</v>
      </c>
      <c r="D73" t="s">
        <v>309</v>
      </c>
      <c r="E73" t="s">
        <v>1341</v>
      </c>
      <c r="F73" s="15">
        <v>46230.594074074077</v>
      </c>
      <c r="G73" t="s">
        <v>405</v>
      </c>
      <c r="H73">
        <v>14</v>
      </c>
      <c r="I73" t="s">
        <v>1342</v>
      </c>
      <c r="J73" s="15">
        <v>46231.398611111108</v>
      </c>
      <c r="K73" s="15">
        <v>46232.455960648149</v>
      </c>
      <c r="L73" s="15">
        <v>46232.682638888888</v>
      </c>
      <c r="M73">
        <v>14</v>
      </c>
      <c r="O73" t="s">
        <v>201</v>
      </c>
      <c r="P73" t="s">
        <v>1954</v>
      </c>
      <c r="S73" t="s">
        <v>363</v>
      </c>
      <c r="T73" t="s">
        <v>352</v>
      </c>
      <c r="U73" t="s">
        <v>262</v>
      </c>
      <c r="V73" t="s">
        <v>7</v>
      </c>
      <c r="W73" t="s">
        <v>7</v>
      </c>
      <c r="X73" t="s">
        <v>7</v>
      </c>
      <c r="AA73" t="s">
        <v>96</v>
      </c>
      <c r="AB73" t="s">
        <v>396</v>
      </c>
      <c r="AC73">
        <v>2011</v>
      </c>
      <c r="AD73" t="s">
        <v>225</v>
      </c>
      <c r="AE73">
        <v>14</v>
      </c>
    </row>
    <row r="74" spans="1:32" x14ac:dyDescent="0.3">
      <c r="A74" t="s">
        <v>350</v>
      </c>
      <c r="B74" t="s">
        <v>57</v>
      </c>
      <c r="C74" t="s">
        <v>117</v>
      </c>
      <c r="D74" t="s">
        <v>309</v>
      </c>
      <c r="E74" t="s">
        <v>1341</v>
      </c>
      <c r="F74" s="15">
        <v>46230.594074074077</v>
      </c>
      <c r="G74" t="s">
        <v>405</v>
      </c>
      <c r="H74">
        <v>14</v>
      </c>
      <c r="I74" t="s">
        <v>1342</v>
      </c>
      <c r="J74" s="15">
        <v>46231.398611111108</v>
      </c>
      <c r="K74" s="15">
        <v>46232.455960648149</v>
      </c>
      <c r="L74" s="15">
        <v>46232.682638888888</v>
      </c>
      <c r="M74">
        <v>14</v>
      </c>
      <c r="O74" t="s">
        <v>201</v>
      </c>
      <c r="P74" t="s">
        <v>1954</v>
      </c>
      <c r="S74" t="s">
        <v>363</v>
      </c>
      <c r="T74" t="s">
        <v>352</v>
      </c>
      <c r="U74" t="s">
        <v>262</v>
      </c>
      <c r="V74" t="s">
        <v>7</v>
      </c>
      <c r="W74" t="s">
        <v>7</v>
      </c>
      <c r="X74" t="s">
        <v>7</v>
      </c>
      <c r="AA74" t="s">
        <v>127</v>
      </c>
      <c r="AB74" t="s">
        <v>396</v>
      </c>
      <c r="AC74">
        <v>2011</v>
      </c>
      <c r="AD74" t="s">
        <v>233</v>
      </c>
      <c r="AE74">
        <v>1.4</v>
      </c>
    </row>
    <row r="75" spans="1:32" x14ac:dyDescent="0.3">
      <c r="A75" t="s">
        <v>350</v>
      </c>
      <c r="B75" t="s">
        <v>279</v>
      </c>
      <c r="C75" t="s">
        <v>192</v>
      </c>
      <c r="D75" t="s">
        <v>309</v>
      </c>
      <c r="E75" t="s">
        <v>1341</v>
      </c>
      <c r="F75" s="15">
        <v>46230.594074074077</v>
      </c>
      <c r="G75" t="s">
        <v>405</v>
      </c>
      <c r="H75">
        <v>1096</v>
      </c>
      <c r="I75" t="s">
        <v>1342</v>
      </c>
      <c r="J75" s="15">
        <v>46231.398611111108</v>
      </c>
      <c r="K75" s="15">
        <v>46232.455960648149</v>
      </c>
      <c r="L75" s="15">
        <v>46232.682638888888</v>
      </c>
      <c r="M75">
        <v>1096</v>
      </c>
      <c r="O75" t="s">
        <v>201</v>
      </c>
      <c r="P75" t="s">
        <v>1954</v>
      </c>
      <c r="S75" t="s">
        <v>363</v>
      </c>
      <c r="T75" t="s">
        <v>352</v>
      </c>
      <c r="U75" t="s">
        <v>262</v>
      </c>
      <c r="V75" t="s">
        <v>7</v>
      </c>
      <c r="W75" t="s">
        <v>7</v>
      </c>
      <c r="X75" t="s">
        <v>7</v>
      </c>
      <c r="Z75">
        <v>1</v>
      </c>
      <c r="AA75" t="s">
        <v>122</v>
      </c>
      <c r="AB75" t="s">
        <v>396</v>
      </c>
      <c r="AC75">
        <v>2011</v>
      </c>
      <c r="AD75" t="s">
        <v>232</v>
      </c>
      <c r="AE75">
        <v>1096</v>
      </c>
    </row>
    <row r="76" spans="1:32" x14ac:dyDescent="0.3">
      <c r="A76" t="s">
        <v>350</v>
      </c>
      <c r="B76" t="s">
        <v>63</v>
      </c>
      <c r="C76" t="s">
        <v>95</v>
      </c>
      <c r="D76" t="s">
        <v>309</v>
      </c>
      <c r="E76" t="s">
        <v>1343</v>
      </c>
      <c r="F76" s="15">
        <v>46192.397974537038</v>
      </c>
      <c r="G76" t="s">
        <v>401</v>
      </c>
      <c r="H76">
        <v>1</v>
      </c>
      <c r="I76" t="s">
        <v>1344</v>
      </c>
      <c r="J76" s="15">
        <v>46192.704861111109</v>
      </c>
      <c r="K76" s="15">
        <v>46219.397222222222</v>
      </c>
      <c r="L76" s="15"/>
      <c r="M76">
        <v>1</v>
      </c>
      <c r="O76" t="s">
        <v>201</v>
      </c>
      <c r="P76" t="s">
        <v>1954</v>
      </c>
      <c r="S76" t="s">
        <v>363</v>
      </c>
      <c r="T76" t="s">
        <v>352</v>
      </c>
      <c r="U76" t="s">
        <v>262</v>
      </c>
      <c r="V76" t="s">
        <v>7</v>
      </c>
      <c r="W76" t="s">
        <v>7</v>
      </c>
      <c r="X76" t="s">
        <v>7</v>
      </c>
      <c r="AA76" t="s">
        <v>96</v>
      </c>
      <c r="AB76" t="s">
        <v>396</v>
      </c>
      <c r="AC76">
        <v>2011</v>
      </c>
      <c r="AD76" t="s">
        <v>225</v>
      </c>
      <c r="AE76">
        <v>1</v>
      </c>
      <c r="AF76">
        <v>1</v>
      </c>
    </row>
    <row r="77" spans="1:32" x14ac:dyDescent="0.3">
      <c r="A77" t="s">
        <v>350</v>
      </c>
      <c r="B77" t="s">
        <v>57</v>
      </c>
      <c r="C77" t="s">
        <v>117</v>
      </c>
      <c r="D77" t="s">
        <v>309</v>
      </c>
      <c r="E77" t="s">
        <v>1343</v>
      </c>
      <c r="F77" s="15">
        <v>46192.397974537038</v>
      </c>
      <c r="G77" t="s">
        <v>401</v>
      </c>
      <c r="H77">
        <v>1</v>
      </c>
      <c r="I77" t="s">
        <v>1344</v>
      </c>
      <c r="J77" s="15">
        <v>46192.704861111109</v>
      </c>
      <c r="K77" s="15">
        <v>46219.397222222222</v>
      </c>
      <c r="L77" s="15"/>
      <c r="M77">
        <v>1</v>
      </c>
      <c r="O77" t="s">
        <v>201</v>
      </c>
      <c r="P77" t="s">
        <v>1954</v>
      </c>
      <c r="S77" t="s">
        <v>363</v>
      </c>
      <c r="T77" t="s">
        <v>352</v>
      </c>
      <c r="U77" t="s">
        <v>262</v>
      </c>
      <c r="V77" t="s">
        <v>7</v>
      </c>
      <c r="W77" t="s">
        <v>7</v>
      </c>
      <c r="X77" t="s">
        <v>7</v>
      </c>
      <c r="AA77" t="s">
        <v>127</v>
      </c>
      <c r="AB77" t="s">
        <v>396</v>
      </c>
      <c r="AC77">
        <v>2011</v>
      </c>
      <c r="AD77" t="s">
        <v>233</v>
      </c>
      <c r="AE77">
        <v>1</v>
      </c>
      <c r="AF77">
        <v>1</v>
      </c>
    </row>
    <row r="78" spans="1:32" x14ac:dyDescent="0.3">
      <c r="A78" t="s">
        <v>350</v>
      </c>
      <c r="B78" t="s">
        <v>279</v>
      </c>
      <c r="C78" t="s">
        <v>192</v>
      </c>
      <c r="D78" t="s">
        <v>309</v>
      </c>
      <c r="E78" t="s">
        <v>1343</v>
      </c>
      <c r="F78" s="15">
        <v>46192.397974537038</v>
      </c>
      <c r="G78" t="s">
        <v>401</v>
      </c>
      <c r="H78">
        <v>1</v>
      </c>
      <c r="I78" t="s">
        <v>1344</v>
      </c>
      <c r="J78" s="15">
        <v>46192.704861111109</v>
      </c>
      <c r="K78" s="15">
        <v>46219.397222222222</v>
      </c>
      <c r="L78" s="15"/>
      <c r="M78">
        <v>1</v>
      </c>
      <c r="O78" t="s">
        <v>201</v>
      </c>
      <c r="P78" t="s">
        <v>1956</v>
      </c>
      <c r="S78" t="s">
        <v>363</v>
      </c>
      <c r="T78" t="s">
        <v>352</v>
      </c>
      <c r="U78" t="s">
        <v>262</v>
      </c>
      <c r="V78" t="s">
        <v>7</v>
      </c>
      <c r="W78" t="s">
        <v>7</v>
      </c>
      <c r="X78" t="s">
        <v>7</v>
      </c>
      <c r="Z78">
        <v>1</v>
      </c>
      <c r="AA78" t="s">
        <v>122</v>
      </c>
      <c r="AB78" t="s">
        <v>396</v>
      </c>
      <c r="AC78">
        <v>2011</v>
      </c>
      <c r="AD78" t="s">
        <v>232</v>
      </c>
      <c r="AE78">
        <v>1</v>
      </c>
      <c r="AF78">
        <v>1</v>
      </c>
    </row>
    <row r="79" spans="1:32" x14ac:dyDescent="0.3">
      <c r="A79" t="s">
        <v>350</v>
      </c>
      <c r="B79" t="s">
        <v>63</v>
      </c>
      <c r="C79" t="s">
        <v>95</v>
      </c>
      <c r="D79" t="s">
        <v>309</v>
      </c>
      <c r="E79" t="s">
        <v>1343</v>
      </c>
      <c r="F79" s="15">
        <v>46192.397974537038</v>
      </c>
      <c r="G79" t="s">
        <v>401</v>
      </c>
      <c r="H79">
        <v>2</v>
      </c>
      <c r="I79" t="s">
        <v>1344</v>
      </c>
      <c r="J79" s="15">
        <v>46192.704861111109</v>
      </c>
      <c r="K79" s="15">
        <v>46219.397222222222</v>
      </c>
      <c r="L79" s="15"/>
      <c r="M79">
        <v>1</v>
      </c>
      <c r="O79" t="s">
        <v>1958</v>
      </c>
      <c r="S79" t="s">
        <v>363</v>
      </c>
      <c r="T79" t="s">
        <v>352</v>
      </c>
      <c r="U79" t="s">
        <v>262</v>
      </c>
      <c r="V79" t="s">
        <v>7</v>
      </c>
      <c r="W79" t="s">
        <v>7</v>
      </c>
      <c r="X79" t="s">
        <v>7</v>
      </c>
      <c r="AA79" t="s">
        <v>96</v>
      </c>
      <c r="AB79" t="s">
        <v>396</v>
      </c>
      <c r="AC79">
        <v>2011</v>
      </c>
      <c r="AD79" t="s">
        <v>225</v>
      </c>
      <c r="AE79">
        <v>1</v>
      </c>
    </row>
    <row r="80" spans="1:32" x14ac:dyDescent="0.3">
      <c r="A80" t="s">
        <v>350</v>
      </c>
      <c r="B80" t="s">
        <v>57</v>
      </c>
      <c r="C80" t="s">
        <v>117</v>
      </c>
      <c r="D80" t="s">
        <v>309</v>
      </c>
      <c r="E80" t="s">
        <v>1343</v>
      </c>
      <c r="F80" s="15">
        <v>46192.397974537038</v>
      </c>
      <c r="G80" t="s">
        <v>401</v>
      </c>
      <c r="H80">
        <v>2</v>
      </c>
      <c r="I80" t="s">
        <v>1344</v>
      </c>
      <c r="J80" s="15">
        <v>46192.704861111109</v>
      </c>
      <c r="K80" s="15">
        <v>46219.397222222222</v>
      </c>
      <c r="L80" s="15"/>
      <c r="M80">
        <v>1</v>
      </c>
      <c r="O80" t="s">
        <v>1958</v>
      </c>
      <c r="S80" t="s">
        <v>363</v>
      </c>
      <c r="T80" t="s">
        <v>352</v>
      </c>
      <c r="U80" t="s">
        <v>262</v>
      </c>
      <c r="V80" t="s">
        <v>7</v>
      </c>
      <c r="W80" t="s">
        <v>7</v>
      </c>
      <c r="X80" t="s">
        <v>7</v>
      </c>
      <c r="AA80" t="s">
        <v>127</v>
      </c>
      <c r="AB80" t="s">
        <v>396</v>
      </c>
      <c r="AC80">
        <v>2011</v>
      </c>
      <c r="AD80" t="s">
        <v>233</v>
      </c>
      <c r="AE80">
        <v>1</v>
      </c>
    </row>
    <row r="81" spans="1:32" x14ac:dyDescent="0.3">
      <c r="A81" t="s">
        <v>350</v>
      </c>
      <c r="B81" t="s">
        <v>279</v>
      </c>
      <c r="C81" t="s">
        <v>192</v>
      </c>
      <c r="D81" t="s">
        <v>309</v>
      </c>
      <c r="E81" t="s">
        <v>1343</v>
      </c>
      <c r="F81" s="15">
        <v>46192.397974537038</v>
      </c>
      <c r="G81" t="s">
        <v>401</v>
      </c>
      <c r="H81">
        <v>6</v>
      </c>
      <c r="I81" t="s">
        <v>1344</v>
      </c>
      <c r="J81" s="15">
        <v>46192.704861111109</v>
      </c>
      <c r="K81" s="15">
        <v>46219.397222222222</v>
      </c>
      <c r="L81" s="15"/>
      <c r="M81">
        <v>5</v>
      </c>
      <c r="O81" t="s">
        <v>1958</v>
      </c>
      <c r="S81" t="s">
        <v>363</v>
      </c>
      <c r="T81" t="s">
        <v>352</v>
      </c>
      <c r="U81" t="s">
        <v>262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396</v>
      </c>
      <c r="AC81">
        <v>2011</v>
      </c>
      <c r="AD81" t="s">
        <v>232</v>
      </c>
      <c r="AE81">
        <v>5</v>
      </c>
    </row>
    <row r="82" spans="1:32" x14ac:dyDescent="0.3">
      <c r="A82" t="s">
        <v>350</v>
      </c>
      <c r="B82" t="s">
        <v>63</v>
      </c>
      <c r="C82" t="s">
        <v>95</v>
      </c>
      <c r="D82" t="s">
        <v>309</v>
      </c>
      <c r="E82" t="s">
        <v>1325</v>
      </c>
      <c r="F82" s="15">
        <v>46176.3434837963</v>
      </c>
      <c r="G82" t="s">
        <v>405</v>
      </c>
      <c r="H82">
        <v>16</v>
      </c>
      <c r="I82" t="s">
        <v>1326</v>
      </c>
      <c r="J82" s="15">
        <v>46176.640972222223</v>
      </c>
      <c r="K82" s="15">
        <v>46232.525000000001</v>
      </c>
      <c r="L82" s="15"/>
      <c r="M82">
        <v>16</v>
      </c>
      <c r="O82" t="s">
        <v>201</v>
      </c>
      <c r="P82" t="s">
        <v>1954</v>
      </c>
      <c r="S82" t="s">
        <v>363</v>
      </c>
      <c r="T82" t="s">
        <v>352</v>
      </c>
      <c r="U82" t="s">
        <v>262</v>
      </c>
      <c r="V82" t="s">
        <v>7</v>
      </c>
      <c r="W82" t="s">
        <v>7</v>
      </c>
      <c r="X82" t="s">
        <v>7</v>
      </c>
      <c r="AA82" t="s">
        <v>96</v>
      </c>
      <c r="AB82" t="s">
        <v>396</v>
      </c>
      <c r="AC82">
        <v>2011</v>
      </c>
      <c r="AD82" t="s">
        <v>225</v>
      </c>
      <c r="AE82">
        <v>16</v>
      </c>
    </row>
    <row r="83" spans="1:32" x14ac:dyDescent="0.3">
      <c r="A83" t="s">
        <v>350</v>
      </c>
      <c r="B83" t="s">
        <v>57</v>
      </c>
      <c r="C83" t="s">
        <v>117</v>
      </c>
      <c r="D83" t="s">
        <v>309</v>
      </c>
      <c r="E83" t="s">
        <v>1325</v>
      </c>
      <c r="F83" s="15">
        <v>46176.3434837963</v>
      </c>
      <c r="G83" t="s">
        <v>405</v>
      </c>
      <c r="H83">
        <v>16</v>
      </c>
      <c r="I83" t="s">
        <v>1326</v>
      </c>
      <c r="J83" s="15">
        <v>46176.640972222223</v>
      </c>
      <c r="K83" s="15">
        <v>46232.525000000001</v>
      </c>
      <c r="L83" s="15"/>
      <c r="M83">
        <v>16</v>
      </c>
      <c r="O83" t="s">
        <v>201</v>
      </c>
      <c r="P83" t="s">
        <v>1954</v>
      </c>
      <c r="S83" t="s">
        <v>363</v>
      </c>
      <c r="T83" t="s">
        <v>352</v>
      </c>
      <c r="U83" t="s">
        <v>262</v>
      </c>
      <c r="V83" t="s">
        <v>7</v>
      </c>
      <c r="W83" t="s">
        <v>7</v>
      </c>
      <c r="X83" t="s">
        <v>7</v>
      </c>
      <c r="AA83" t="s">
        <v>127</v>
      </c>
      <c r="AB83" t="s">
        <v>396</v>
      </c>
      <c r="AC83">
        <v>2011</v>
      </c>
      <c r="AD83" t="s">
        <v>233</v>
      </c>
      <c r="AE83">
        <v>1.6</v>
      </c>
    </row>
    <row r="84" spans="1:32" x14ac:dyDescent="0.3">
      <c r="A84" t="s">
        <v>350</v>
      </c>
      <c r="B84" t="s">
        <v>279</v>
      </c>
      <c r="C84" t="s">
        <v>192</v>
      </c>
      <c r="D84" t="s">
        <v>309</v>
      </c>
      <c r="E84" t="s">
        <v>1345</v>
      </c>
      <c r="F84" s="15">
        <v>46232.494386574072</v>
      </c>
      <c r="G84" t="s">
        <v>1346</v>
      </c>
      <c r="H84">
        <v>2565</v>
      </c>
      <c r="I84" t="s">
        <v>1347</v>
      </c>
      <c r="J84" s="15">
        <v>46232.61041666667</v>
      </c>
      <c r="K84" s="15">
        <v>46237.611111111109</v>
      </c>
      <c r="L84" s="15"/>
      <c r="M84">
        <v>2565</v>
      </c>
      <c r="O84" t="s">
        <v>201</v>
      </c>
      <c r="P84" t="s">
        <v>1954</v>
      </c>
      <c r="S84" t="s">
        <v>363</v>
      </c>
      <c r="T84" t="s">
        <v>352</v>
      </c>
      <c r="U84" t="s">
        <v>262</v>
      </c>
      <c r="V84" t="s">
        <v>7</v>
      </c>
      <c r="W84" t="s">
        <v>7</v>
      </c>
      <c r="X84" t="s">
        <v>7</v>
      </c>
      <c r="Z84">
        <v>1</v>
      </c>
      <c r="AA84" t="s">
        <v>122</v>
      </c>
      <c r="AB84" t="s">
        <v>396</v>
      </c>
      <c r="AC84">
        <v>2011</v>
      </c>
      <c r="AD84" t="s">
        <v>232</v>
      </c>
      <c r="AE84">
        <v>2565</v>
      </c>
      <c r="AF84">
        <v>256.5</v>
      </c>
    </row>
    <row r="85" spans="1:32" x14ac:dyDescent="0.3">
      <c r="A85" t="s">
        <v>350</v>
      </c>
      <c r="B85" t="s">
        <v>51</v>
      </c>
      <c r="C85" t="s">
        <v>258</v>
      </c>
      <c r="D85" t="s">
        <v>309</v>
      </c>
      <c r="E85" t="s">
        <v>1348</v>
      </c>
      <c r="F85" s="15">
        <v>46223.473726851851</v>
      </c>
      <c r="G85" t="s">
        <v>402</v>
      </c>
      <c r="H85">
        <v>80</v>
      </c>
      <c r="I85" t="s">
        <v>1349</v>
      </c>
      <c r="J85" s="15">
        <v>46223.613449074073</v>
      </c>
      <c r="K85" s="15">
        <v>46223.613449074073</v>
      </c>
      <c r="L85" s="15"/>
      <c r="M85">
        <v>80</v>
      </c>
      <c r="O85" t="s">
        <v>201</v>
      </c>
      <c r="P85" t="s">
        <v>1954</v>
      </c>
      <c r="S85" t="s">
        <v>363</v>
      </c>
      <c r="T85" t="s">
        <v>352</v>
      </c>
      <c r="U85" t="s">
        <v>262</v>
      </c>
      <c r="V85" t="s">
        <v>7</v>
      </c>
      <c r="W85" t="s">
        <v>7</v>
      </c>
      <c r="X85" t="s">
        <v>7</v>
      </c>
      <c r="AA85" t="s">
        <v>238</v>
      </c>
      <c r="AB85" t="s">
        <v>396</v>
      </c>
      <c r="AC85">
        <v>2011</v>
      </c>
      <c r="AD85" t="s">
        <v>7</v>
      </c>
      <c r="AF85">
        <v>0</v>
      </c>
    </row>
    <row r="86" spans="1:32" x14ac:dyDescent="0.3">
      <c r="A86" t="s">
        <v>350</v>
      </c>
      <c r="B86" t="s">
        <v>57</v>
      </c>
      <c r="C86" t="s">
        <v>117</v>
      </c>
      <c r="D86" t="s">
        <v>309</v>
      </c>
      <c r="E86" t="s">
        <v>1345</v>
      </c>
      <c r="F86" s="15">
        <v>46232.494386574072</v>
      </c>
      <c r="G86" t="s">
        <v>1346</v>
      </c>
      <c r="H86">
        <v>33</v>
      </c>
      <c r="I86" t="s">
        <v>1347</v>
      </c>
      <c r="J86" s="15">
        <v>46232.61041666667</v>
      </c>
      <c r="K86" s="15">
        <v>46237.611111111109</v>
      </c>
      <c r="L86" s="15"/>
      <c r="M86">
        <v>33</v>
      </c>
      <c r="O86" t="s">
        <v>201</v>
      </c>
      <c r="P86" t="s">
        <v>1954</v>
      </c>
      <c r="S86" t="s">
        <v>363</v>
      </c>
      <c r="T86" t="s">
        <v>352</v>
      </c>
      <c r="U86" t="s">
        <v>262</v>
      </c>
      <c r="V86" t="s">
        <v>7</v>
      </c>
      <c r="W86" t="s">
        <v>7</v>
      </c>
      <c r="X86" t="s">
        <v>7</v>
      </c>
      <c r="AA86" t="s">
        <v>127</v>
      </c>
      <c r="AB86" t="s">
        <v>396</v>
      </c>
      <c r="AC86">
        <v>2011</v>
      </c>
      <c r="AD86" t="s">
        <v>233</v>
      </c>
      <c r="AE86">
        <v>3.3</v>
      </c>
      <c r="AF86">
        <v>1</v>
      </c>
    </row>
    <row r="87" spans="1:32" x14ac:dyDescent="0.3">
      <c r="A87" t="s">
        <v>350</v>
      </c>
      <c r="B87" t="s">
        <v>279</v>
      </c>
      <c r="C87" t="s">
        <v>192</v>
      </c>
      <c r="D87" t="s">
        <v>309</v>
      </c>
      <c r="E87" t="s">
        <v>1345</v>
      </c>
      <c r="F87" s="15">
        <v>46232.494386574072</v>
      </c>
      <c r="G87" t="s">
        <v>1346</v>
      </c>
      <c r="H87">
        <v>2425</v>
      </c>
      <c r="I87" t="s">
        <v>1347</v>
      </c>
      <c r="J87" s="15">
        <v>46232.61041666667</v>
      </c>
      <c r="K87" s="15">
        <v>46258.618750000001</v>
      </c>
      <c r="L87" s="15"/>
      <c r="M87">
        <v>2425</v>
      </c>
      <c r="O87" t="s">
        <v>1958</v>
      </c>
      <c r="S87" t="s">
        <v>363</v>
      </c>
      <c r="T87" t="s">
        <v>352</v>
      </c>
      <c r="U87" t="s">
        <v>262</v>
      </c>
      <c r="V87" t="s">
        <v>7</v>
      </c>
      <c r="W87" t="s">
        <v>7</v>
      </c>
      <c r="X87" t="s">
        <v>7</v>
      </c>
      <c r="Z87">
        <v>1</v>
      </c>
      <c r="AA87" t="s">
        <v>122</v>
      </c>
      <c r="AB87" t="s">
        <v>396</v>
      </c>
      <c r="AC87">
        <v>2011</v>
      </c>
      <c r="AD87" t="s">
        <v>232</v>
      </c>
      <c r="AE87">
        <v>2425</v>
      </c>
      <c r="AF87">
        <v>243</v>
      </c>
    </row>
    <row r="88" spans="1:32" x14ac:dyDescent="0.3">
      <c r="A88" t="s">
        <v>350</v>
      </c>
      <c r="B88" t="s">
        <v>51</v>
      </c>
      <c r="C88" t="s">
        <v>258</v>
      </c>
      <c r="D88" t="s">
        <v>309</v>
      </c>
      <c r="E88" t="s">
        <v>1350</v>
      </c>
      <c r="F88" s="15">
        <v>46220.3280787037</v>
      </c>
      <c r="G88" t="s">
        <v>421</v>
      </c>
      <c r="H88">
        <v>200</v>
      </c>
      <c r="I88" t="s">
        <v>1351</v>
      </c>
      <c r="J88" s="15">
        <v>46220.679861111108</v>
      </c>
      <c r="K88" s="15">
        <v>46226.486805555556</v>
      </c>
      <c r="L88" s="15"/>
      <c r="M88">
        <v>200</v>
      </c>
      <c r="O88" t="s">
        <v>201</v>
      </c>
      <c r="P88" t="s">
        <v>1956</v>
      </c>
      <c r="S88" t="s">
        <v>395</v>
      </c>
      <c r="T88" t="s">
        <v>376</v>
      </c>
      <c r="U88" t="s">
        <v>295</v>
      </c>
      <c r="V88" t="s">
        <v>7</v>
      </c>
      <c r="W88" t="s">
        <v>7</v>
      </c>
      <c r="X88" t="s">
        <v>7</v>
      </c>
      <c r="AA88" t="s">
        <v>238</v>
      </c>
      <c r="AB88" t="s">
        <v>395</v>
      </c>
      <c r="AD88" t="s">
        <v>7</v>
      </c>
      <c r="AF88">
        <v>0</v>
      </c>
    </row>
    <row r="89" spans="1:32" x14ac:dyDescent="0.3">
      <c r="A89" t="s">
        <v>350</v>
      </c>
      <c r="B89" t="s">
        <v>63</v>
      </c>
      <c r="C89" t="s">
        <v>95</v>
      </c>
      <c r="D89" t="s">
        <v>309</v>
      </c>
      <c r="E89" t="s">
        <v>740</v>
      </c>
      <c r="F89" s="15">
        <v>46253.600624999999</v>
      </c>
      <c r="G89" t="s">
        <v>401</v>
      </c>
      <c r="H89">
        <v>1</v>
      </c>
      <c r="I89" t="s">
        <v>1352</v>
      </c>
      <c r="J89" s="15">
        <v>46254.588888888888</v>
      </c>
      <c r="K89" s="15">
        <v>46258.355555555558</v>
      </c>
      <c r="L89" s="15"/>
      <c r="M89">
        <v>1</v>
      </c>
      <c r="O89" t="s">
        <v>201</v>
      </c>
      <c r="P89" t="s">
        <v>1954</v>
      </c>
      <c r="S89" t="s">
        <v>363</v>
      </c>
      <c r="T89" t="s">
        <v>352</v>
      </c>
      <c r="U89" t="s">
        <v>262</v>
      </c>
      <c r="V89" t="s">
        <v>7</v>
      </c>
      <c r="W89" t="s">
        <v>7</v>
      </c>
      <c r="X89" t="s">
        <v>7</v>
      </c>
      <c r="AA89" t="s">
        <v>96</v>
      </c>
      <c r="AB89" t="s">
        <v>396</v>
      </c>
      <c r="AC89">
        <v>2011</v>
      </c>
      <c r="AD89" t="s">
        <v>225</v>
      </c>
      <c r="AE89">
        <v>1</v>
      </c>
      <c r="AF89">
        <v>3.7</v>
      </c>
    </row>
    <row r="90" spans="1:32" x14ac:dyDescent="0.3">
      <c r="A90" t="s">
        <v>350</v>
      </c>
      <c r="B90" t="s">
        <v>57</v>
      </c>
      <c r="C90" t="s">
        <v>117</v>
      </c>
      <c r="D90" t="s">
        <v>309</v>
      </c>
      <c r="E90" t="s">
        <v>740</v>
      </c>
      <c r="F90" s="15">
        <v>46253.600624999999</v>
      </c>
      <c r="G90" t="s">
        <v>401</v>
      </c>
      <c r="H90">
        <v>1</v>
      </c>
      <c r="I90" t="s">
        <v>1352</v>
      </c>
      <c r="J90" s="15">
        <v>46254.588888888888</v>
      </c>
      <c r="K90" s="15">
        <v>46258.355555555558</v>
      </c>
      <c r="L90" s="15"/>
      <c r="M90">
        <v>1</v>
      </c>
      <c r="O90" t="s">
        <v>201</v>
      </c>
      <c r="P90" t="s">
        <v>1954</v>
      </c>
      <c r="S90" t="s">
        <v>363</v>
      </c>
      <c r="T90" t="s">
        <v>352</v>
      </c>
      <c r="U90" t="s">
        <v>262</v>
      </c>
      <c r="V90" t="s">
        <v>7</v>
      </c>
      <c r="W90" t="s">
        <v>7</v>
      </c>
      <c r="X90" t="s">
        <v>7</v>
      </c>
      <c r="AA90" t="s">
        <v>127</v>
      </c>
      <c r="AB90" t="s">
        <v>396</v>
      </c>
      <c r="AC90">
        <v>2011</v>
      </c>
      <c r="AD90" t="s">
        <v>233</v>
      </c>
      <c r="AE90">
        <v>1</v>
      </c>
      <c r="AF90">
        <v>1</v>
      </c>
    </row>
    <row r="91" spans="1:32" x14ac:dyDescent="0.3">
      <c r="A91" t="s">
        <v>350</v>
      </c>
      <c r="B91" t="s">
        <v>279</v>
      </c>
      <c r="C91" t="s">
        <v>192</v>
      </c>
      <c r="D91" t="s">
        <v>309</v>
      </c>
      <c r="E91" t="s">
        <v>740</v>
      </c>
      <c r="F91" s="15">
        <v>46253.600624999999</v>
      </c>
      <c r="G91" t="s">
        <v>401</v>
      </c>
      <c r="H91">
        <v>5</v>
      </c>
      <c r="I91" t="s">
        <v>1352</v>
      </c>
      <c r="J91" s="15">
        <v>46254.588888888888</v>
      </c>
      <c r="K91" s="15">
        <v>46258.355555555558</v>
      </c>
      <c r="L91" s="15"/>
      <c r="M91">
        <v>5</v>
      </c>
      <c r="O91" t="s">
        <v>201</v>
      </c>
      <c r="P91" t="s">
        <v>1954</v>
      </c>
      <c r="S91" t="s">
        <v>363</v>
      </c>
      <c r="T91" t="s">
        <v>352</v>
      </c>
      <c r="U91" t="s">
        <v>262</v>
      </c>
      <c r="V91" t="s">
        <v>7</v>
      </c>
      <c r="W91" t="s">
        <v>7</v>
      </c>
      <c r="X91" t="s">
        <v>7</v>
      </c>
      <c r="Z91">
        <v>1</v>
      </c>
      <c r="AA91" t="s">
        <v>122</v>
      </c>
      <c r="AB91" t="s">
        <v>396</v>
      </c>
      <c r="AC91">
        <v>2011</v>
      </c>
      <c r="AD91" t="s">
        <v>232</v>
      </c>
      <c r="AE91">
        <v>5</v>
      </c>
    </row>
    <row r="92" spans="1:32" x14ac:dyDescent="0.3">
      <c r="A92" t="s">
        <v>350</v>
      </c>
      <c r="B92" t="s">
        <v>63</v>
      </c>
      <c r="C92" t="s">
        <v>95</v>
      </c>
      <c r="D92" t="s">
        <v>309</v>
      </c>
      <c r="E92" t="s">
        <v>1353</v>
      </c>
      <c r="F92" s="15">
        <v>46251.363252314812</v>
      </c>
      <c r="G92" t="s">
        <v>405</v>
      </c>
      <c r="H92">
        <v>9</v>
      </c>
      <c r="I92" t="s">
        <v>1354</v>
      </c>
      <c r="J92" s="15">
        <v>46252.660416666666</v>
      </c>
      <c r="K92" s="15">
        <v>46253.341666666667</v>
      </c>
      <c r="L92" s="15"/>
      <c r="M92">
        <v>9</v>
      </c>
      <c r="O92" t="s">
        <v>201</v>
      </c>
      <c r="P92" t="s">
        <v>1954</v>
      </c>
      <c r="S92" t="s">
        <v>363</v>
      </c>
      <c r="T92" t="s">
        <v>352</v>
      </c>
      <c r="U92" t="s">
        <v>262</v>
      </c>
      <c r="V92" t="s">
        <v>7</v>
      </c>
      <c r="W92" t="s">
        <v>7</v>
      </c>
      <c r="X92" t="s">
        <v>7</v>
      </c>
      <c r="AA92" t="s">
        <v>96</v>
      </c>
      <c r="AB92" t="s">
        <v>396</v>
      </c>
      <c r="AC92">
        <v>2011</v>
      </c>
      <c r="AD92" t="s">
        <v>225</v>
      </c>
      <c r="AE92">
        <v>9</v>
      </c>
      <c r="AF92">
        <v>1</v>
      </c>
    </row>
    <row r="93" spans="1:32" x14ac:dyDescent="0.3">
      <c r="A93" t="s">
        <v>350</v>
      </c>
      <c r="B93" t="s">
        <v>57</v>
      </c>
      <c r="C93" t="s">
        <v>117</v>
      </c>
      <c r="D93" t="s">
        <v>309</v>
      </c>
      <c r="E93" t="s">
        <v>1353</v>
      </c>
      <c r="F93" s="15">
        <v>46251.363252314812</v>
      </c>
      <c r="G93" t="s">
        <v>405</v>
      </c>
      <c r="H93">
        <v>9</v>
      </c>
      <c r="I93" t="s">
        <v>1354</v>
      </c>
      <c r="J93" s="15">
        <v>46252.660416666666</v>
      </c>
      <c r="K93" s="15">
        <v>46253.341666666667</v>
      </c>
      <c r="L93" s="15"/>
      <c r="M93">
        <v>9</v>
      </c>
      <c r="O93" t="s">
        <v>201</v>
      </c>
      <c r="P93" t="s">
        <v>1954</v>
      </c>
      <c r="S93" t="s">
        <v>363</v>
      </c>
      <c r="T93" t="s">
        <v>352</v>
      </c>
      <c r="U93" t="s">
        <v>262</v>
      </c>
      <c r="V93" t="s">
        <v>7</v>
      </c>
      <c r="W93" t="s">
        <v>7</v>
      </c>
      <c r="X93" t="s">
        <v>7</v>
      </c>
      <c r="AA93" t="s">
        <v>127</v>
      </c>
      <c r="AB93" t="s">
        <v>396</v>
      </c>
      <c r="AC93">
        <v>2011</v>
      </c>
      <c r="AD93" t="s">
        <v>233</v>
      </c>
      <c r="AE93">
        <v>1</v>
      </c>
      <c r="AF93">
        <v>1</v>
      </c>
    </row>
    <row r="94" spans="1:32" x14ac:dyDescent="0.3">
      <c r="A94" t="s">
        <v>350</v>
      </c>
      <c r="B94" t="s">
        <v>279</v>
      </c>
      <c r="C94" t="s">
        <v>192</v>
      </c>
      <c r="D94" t="s">
        <v>309</v>
      </c>
      <c r="E94" t="s">
        <v>1353</v>
      </c>
      <c r="F94" s="15">
        <v>46251.363252314812</v>
      </c>
      <c r="G94" t="s">
        <v>405</v>
      </c>
      <c r="H94">
        <v>754</v>
      </c>
      <c r="I94" t="s">
        <v>1354</v>
      </c>
      <c r="J94" s="15">
        <v>46252.660416666666</v>
      </c>
      <c r="K94" s="15">
        <v>46253.341666666667</v>
      </c>
      <c r="L94" s="15"/>
      <c r="M94">
        <v>754</v>
      </c>
      <c r="O94" t="s">
        <v>201</v>
      </c>
      <c r="P94" t="s">
        <v>1954</v>
      </c>
      <c r="S94" t="s">
        <v>363</v>
      </c>
      <c r="T94" t="s">
        <v>352</v>
      </c>
      <c r="U94" t="s">
        <v>262</v>
      </c>
      <c r="V94" t="s">
        <v>7</v>
      </c>
      <c r="W94" t="s">
        <v>7</v>
      </c>
      <c r="X94" t="s">
        <v>7</v>
      </c>
      <c r="Z94">
        <v>1</v>
      </c>
      <c r="AA94" t="s">
        <v>122</v>
      </c>
      <c r="AB94" t="s">
        <v>396</v>
      </c>
      <c r="AC94">
        <v>2011</v>
      </c>
      <c r="AD94" t="s">
        <v>232</v>
      </c>
      <c r="AE94">
        <v>754</v>
      </c>
      <c r="AF94">
        <v>75.400000000000006</v>
      </c>
    </row>
    <row r="95" spans="1:32" x14ac:dyDescent="0.3">
      <c r="A95" t="s">
        <v>350</v>
      </c>
      <c r="B95" t="s">
        <v>63</v>
      </c>
      <c r="C95" t="s">
        <v>95</v>
      </c>
      <c r="D95" t="s">
        <v>309</v>
      </c>
      <c r="E95" t="s">
        <v>1355</v>
      </c>
      <c r="F95" s="15">
        <v>46251.313101851854</v>
      </c>
      <c r="G95" t="s">
        <v>405</v>
      </c>
      <c r="H95">
        <v>8</v>
      </c>
      <c r="I95" t="s">
        <v>1356</v>
      </c>
      <c r="J95" s="15">
        <v>46251.351388888892</v>
      </c>
      <c r="K95" s="15">
        <v>46251.582638888889</v>
      </c>
      <c r="L95" s="15"/>
      <c r="M95">
        <v>8</v>
      </c>
      <c r="O95" t="s">
        <v>201</v>
      </c>
      <c r="P95" t="s">
        <v>1954</v>
      </c>
      <c r="S95" t="s">
        <v>363</v>
      </c>
      <c r="T95" t="s">
        <v>352</v>
      </c>
      <c r="U95" t="s">
        <v>262</v>
      </c>
      <c r="V95" t="s">
        <v>7</v>
      </c>
      <c r="W95" t="s">
        <v>7</v>
      </c>
      <c r="X95" t="s">
        <v>7</v>
      </c>
      <c r="AA95" t="s">
        <v>96</v>
      </c>
      <c r="AB95" t="s">
        <v>396</v>
      </c>
      <c r="AC95">
        <v>2011</v>
      </c>
      <c r="AD95" t="s">
        <v>225</v>
      </c>
      <c r="AE95">
        <v>8</v>
      </c>
      <c r="AF95">
        <v>1</v>
      </c>
    </row>
    <row r="96" spans="1:32" x14ac:dyDescent="0.3">
      <c r="A96" t="s">
        <v>350</v>
      </c>
      <c r="B96" t="s">
        <v>57</v>
      </c>
      <c r="C96" t="s">
        <v>117</v>
      </c>
      <c r="D96" t="s">
        <v>309</v>
      </c>
      <c r="E96" t="s">
        <v>1355</v>
      </c>
      <c r="F96" s="15">
        <v>46251.313101851854</v>
      </c>
      <c r="G96" t="s">
        <v>405</v>
      </c>
      <c r="H96">
        <v>8</v>
      </c>
      <c r="I96" t="s">
        <v>1356</v>
      </c>
      <c r="J96" s="15">
        <v>46251.351388888892</v>
      </c>
      <c r="K96" s="15">
        <v>46251.582638888889</v>
      </c>
      <c r="L96" s="15"/>
      <c r="M96">
        <v>8</v>
      </c>
      <c r="O96" t="s">
        <v>201</v>
      </c>
      <c r="P96" t="s">
        <v>1954</v>
      </c>
      <c r="S96" t="s">
        <v>363</v>
      </c>
      <c r="T96" t="s">
        <v>352</v>
      </c>
      <c r="U96" t="s">
        <v>262</v>
      </c>
      <c r="V96" t="s">
        <v>7</v>
      </c>
      <c r="W96" t="s">
        <v>7</v>
      </c>
      <c r="X96" t="s">
        <v>7</v>
      </c>
      <c r="AA96" t="s">
        <v>127</v>
      </c>
      <c r="AB96" t="s">
        <v>396</v>
      </c>
      <c r="AC96">
        <v>2011</v>
      </c>
      <c r="AD96" t="s">
        <v>233</v>
      </c>
      <c r="AE96">
        <v>1</v>
      </c>
      <c r="AF96">
        <v>1</v>
      </c>
    </row>
    <row r="97" spans="1:32" x14ac:dyDescent="0.3">
      <c r="A97" t="s">
        <v>350</v>
      </c>
      <c r="B97" t="s">
        <v>279</v>
      </c>
      <c r="C97" t="s">
        <v>192</v>
      </c>
      <c r="D97" t="s">
        <v>309</v>
      </c>
      <c r="E97" t="s">
        <v>1355</v>
      </c>
      <c r="F97" s="15">
        <v>46251.313101851854</v>
      </c>
      <c r="G97" t="s">
        <v>405</v>
      </c>
      <c r="H97">
        <v>621</v>
      </c>
      <c r="I97" t="s">
        <v>1356</v>
      </c>
      <c r="J97" s="15">
        <v>46251.351388888892</v>
      </c>
      <c r="K97" s="15">
        <v>46251.582638888889</v>
      </c>
      <c r="L97" s="15"/>
      <c r="M97">
        <v>621</v>
      </c>
      <c r="O97" t="s">
        <v>201</v>
      </c>
      <c r="P97" t="s">
        <v>1954</v>
      </c>
      <c r="S97" t="s">
        <v>363</v>
      </c>
      <c r="T97" t="s">
        <v>352</v>
      </c>
      <c r="U97" t="s">
        <v>262</v>
      </c>
      <c r="V97" t="s">
        <v>7</v>
      </c>
      <c r="W97" t="s">
        <v>7</v>
      </c>
      <c r="X97" t="s">
        <v>7</v>
      </c>
      <c r="Z97">
        <v>1</v>
      </c>
      <c r="AA97" t="s">
        <v>122</v>
      </c>
      <c r="AB97" t="s">
        <v>396</v>
      </c>
      <c r="AC97">
        <v>2011</v>
      </c>
      <c r="AD97" t="s">
        <v>232</v>
      </c>
      <c r="AE97">
        <v>621</v>
      </c>
      <c r="AF97">
        <v>62.1</v>
      </c>
    </row>
    <row r="98" spans="1:32" x14ac:dyDescent="0.3">
      <c r="A98" t="s">
        <v>350</v>
      </c>
      <c r="B98" t="s">
        <v>57</v>
      </c>
      <c r="C98" t="s">
        <v>117</v>
      </c>
      <c r="D98" t="s">
        <v>309</v>
      </c>
      <c r="E98" t="s">
        <v>1316</v>
      </c>
      <c r="F98" s="15">
        <v>46247.459618055553</v>
      </c>
      <c r="G98" t="s">
        <v>1317</v>
      </c>
      <c r="H98">
        <v>1</v>
      </c>
      <c r="I98" t="s">
        <v>1318</v>
      </c>
      <c r="J98" s="15">
        <v>46247.561030092591</v>
      </c>
      <c r="K98" s="15">
        <v>46254.421527777777</v>
      </c>
      <c r="L98" s="15"/>
      <c r="M98">
        <v>1</v>
      </c>
      <c r="O98" t="s">
        <v>201</v>
      </c>
      <c r="P98" t="s">
        <v>1954</v>
      </c>
      <c r="S98" t="s">
        <v>363</v>
      </c>
      <c r="T98" t="s">
        <v>352</v>
      </c>
      <c r="U98" t="s">
        <v>262</v>
      </c>
      <c r="V98" t="s">
        <v>7</v>
      </c>
      <c r="W98" t="s">
        <v>7</v>
      </c>
      <c r="X98" t="s">
        <v>7</v>
      </c>
      <c r="AA98" t="s">
        <v>127</v>
      </c>
      <c r="AB98" t="s">
        <v>396</v>
      </c>
      <c r="AC98">
        <v>2011</v>
      </c>
      <c r="AD98" t="s">
        <v>233</v>
      </c>
      <c r="AE98">
        <v>1</v>
      </c>
    </row>
    <row r="99" spans="1:32" x14ac:dyDescent="0.3">
      <c r="A99" t="s">
        <v>350</v>
      </c>
      <c r="B99" t="s">
        <v>63</v>
      </c>
      <c r="C99" t="s">
        <v>95</v>
      </c>
      <c r="D99" t="s">
        <v>309</v>
      </c>
      <c r="E99" t="s">
        <v>1357</v>
      </c>
      <c r="F99" s="15">
        <v>46233.7187037037</v>
      </c>
      <c r="G99" t="s">
        <v>402</v>
      </c>
      <c r="H99">
        <v>59</v>
      </c>
      <c r="I99" t="s">
        <v>1358</v>
      </c>
      <c r="J99" s="15">
        <v>46234.474305555559</v>
      </c>
      <c r="K99" s="15">
        <v>46238.618750000001</v>
      </c>
      <c r="L99" s="15"/>
      <c r="M99">
        <v>59</v>
      </c>
      <c r="O99" t="s">
        <v>201</v>
      </c>
      <c r="P99" t="s">
        <v>1954</v>
      </c>
      <c r="S99" t="s">
        <v>363</v>
      </c>
      <c r="T99" t="s">
        <v>352</v>
      </c>
      <c r="U99" t="s">
        <v>262</v>
      </c>
      <c r="V99" t="s">
        <v>7</v>
      </c>
      <c r="W99" t="s">
        <v>7</v>
      </c>
      <c r="X99" t="s">
        <v>7</v>
      </c>
      <c r="AA99" t="s">
        <v>96</v>
      </c>
      <c r="AB99" t="s">
        <v>396</v>
      </c>
      <c r="AC99">
        <v>2011</v>
      </c>
      <c r="AD99" t="s">
        <v>225</v>
      </c>
      <c r="AE99">
        <v>59</v>
      </c>
      <c r="AF99">
        <v>10.8</v>
      </c>
    </row>
    <row r="100" spans="1:32" x14ac:dyDescent="0.3">
      <c r="A100" t="s">
        <v>350</v>
      </c>
      <c r="B100" t="s">
        <v>57</v>
      </c>
      <c r="C100" t="s">
        <v>117</v>
      </c>
      <c r="D100" t="s">
        <v>309</v>
      </c>
      <c r="E100" t="s">
        <v>1357</v>
      </c>
      <c r="F100" s="15">
        <v>46233.7187037037</v>
      </c>
      <c r="G100" t="s">
        <v>402</v>
      </c>
      <c r="H100">
        <v>59</v>
      </c>
      <c r="I100" t="s">
        <v>1358</v>
      </c>
      <c r="J100" s="15">
        <v>46234.474305555559</v>
      </c>
      <c r="K100" s="15">
        <v>46238.618750000001</v>
      </c>
      <c r="L100" s="15"/>
      <c r="M100">
        <v>59</v>
      </c>
      <c r="O100" t="s">
        <v>201</v>
      </c>
      <c r="P100" t="s">
        <v>1954</v>
      </c>
      <c r="S100" t="s">
        <v>363</v>
      </c>
      <c r="T100" t="s">
        <v>352</v>
      </c>
      <c r="U100" t="s">
        <v>262</v>
      </c>
      <c r="V100" t="s">
        <v>7</v>
      </c>
      <c r="W100" t="s">
        <v>7</v>
      </c>
      <c r="X100" t="s">
        <v>7</v>
      </c>
      <c r="AA100" t="s">
        <v>127</v>
      </c>
      <c r="AB100" t="s">
        <v>396</v>
      </c>
      <c r="AC100">
        <v>2011</v>
      </c>
      <c r="AD100" t="s">
        <v>233</v>
      </c>
      <c r="AE100">
        <v>5.9</v>
      </c>
      <c r="AF100">
        <v>1.08</v>
      </c>
    </row>
    <row r="101" spans="1:32" x14ac:dyDescent="0.3">
      <c r="A101" t="s">
        <v>350</v>
      </c>
      <c r="B101" t="s">
        <v>279</v>
      </c>
      <c r="C101" t="s">
        <v>192</v>
      </c>
      <c r="D101" t="s">
        <v>309</v>
      </c>
      <c r="E101" t="s">
        <v>1357</v>
      </c>
      <c r="F101" s="15">
        <v>46233.7187037037</v>
      </c>
      <c r="G101" t="s">
        <v>402</v>
      </c>
      <c r="H101">
        <v>2601</v>
      </c>
      <c r="I101" t="s">
        <v>1358</v>
      </c>
      <c r="J101" s="15">
        <v>46234.474305555559</v>
      </c>
      <c r="K101" s="15">
        <v>46238.618750000001</v>
      </c>
      <c r="L101" s="15"/>
      <c r="M101">
        <v>2601</v>
      </c>
      <c r="O101" t="s">
        <v>201</v>
      </c>
      <c r="P101" t="s">
        <v>1954</v>
      </c>
      <c r="S101" t="s">
        <v>363</v>
      </c>
      <c r="T101" t="s">
        <v>352</v>
      </c>
      <c r="U101" t="s">
        <v>262</v>
      </c>
      <c r="V101" t="s">
        <v>7</v>
      </c>
      <c r="W101" t="s">
        <v>7</v>
      </c>
      <c r="X101" t="s">
        <v>7</v>
      </c>
      <c r="Z101">
        <v>1</v>
      </c>
      <c r="AA101" t="s">
        <v>122</v>
      </c>
      <c r="AB101" t="s">
        <v>396</v>
      </c>
      <c r="AC101">
        <v>2011</v>
      </c>
      <c r="AD101" t="s">
        <v>232</v>
      </c>
      <c r="AE101">
        <v>2601</v>
      </c>
      <c r="AF101">
        <v>445.9</v>
      </c>
    </row>
    <row r="102" spans="1:32" x14ac:dyDescent="0.3">
      <c r="A102" t="s">
        <v>350</v>
      </c>
      <c r="B102" t="s">
        <v>63</v>
      </c>
      <c r="C102" t="s">
        <v>95</v>
      </c>
      <c r="D102" t="s">
        <v>309</v>
      </c>
      <c r="E102" t="s">
        <v>1359</v>
      </c>
      <c r="F102" s="15">
        <v>46233.717141203706</v>
      </c>
      <c r="G102" t="s">
        <v>402</v>
      </c>
      <c r="H102">
        <v>49</v>
      </c>
      <c r="I102" t="s">
        <v>1360</v>
      </c>
      <c r="J102" s="15">
        <v>46234.470833333333</v>
      </c>
      <c r="K102" s="15">
        <v>46238.338888888888</v>
      </c>
      <c r="L102" s="15"/>
      <c r="M102">
        <v>49</v>
      </c>
      <c r="O102" t="s">
        <v>201</v>
      </c>
      <c r="P102" t="s">
        <v>1954</v>
      </c>
      <c r="S102" t="s">
        <v>363</v>
      </c>
      <c r="T102" t="s">
        <v>352</v>
      </c>
      <c r="U102" t="s">
        <v>262</v>
      </c>
      <c r="V102" t="s">
        <v>7</v>
      </c>
      <c r="W102" t="s">
        <v>7</v>
      </c>
      <c r="X102" t="s">
        <v>7</v>
      </c>
      <c r="AA102" t="s">
        <v>96</v>
      </c>
      <c r="AB102" t="s">
        <v>396</v>
      </c>
      <c r="AC102">
        <v>2011</v>
      </c>
      <c r="AD102" t="s">
        <v>225</v>
      </c>
      <c r="AE102">
        <v>49</v>
      </c>
    </row>
    <row r="103" spans="1:32" x14ac:dyDescent="0.3">
      <c r="A103" t="s">
        <v>350</v>
      </c>
      <c r="B103" t="s">
        <v>57</v>
      </c>
      <c r="C103" t="s">
        <v>117</v>
      </c>
      <c r="D103" t="s">
        <v>309</v>
      </c>
      <c r="E103" t="s">
        <v>1359</v>
      </c>
      <c r="F103" s="15">
        <v>46233.717141203706</v>
      </c>
      <c r="G103" t="s">
        <v>402</v>
      </c>
      <c r="H103">
        <v>49</v>
      </c>
      <c r="I103" t="s">
        <v>1360</v>
      </c>
      <c r="J103" s="15">
        <v>46234.470833333333</v>
      </c>
      <c r="K103" s="15">
        <v>46238.338888888888</v>
      </c>
      <c r="L103" s="15"/>
      <c r="M103">
        <v>49</v>
      </c>
      <c r="O103" t="s">
        <v>201</v>
      </c>
      <c r="P103" t="s">
        <v>1954</v>
      </c>
      <c r="S103" t="s">
        <v>363</v>
      </c>
      <c r="T103" t="s">
        <v>352</v>
      </c>
      <c r="U103" t="s">
        <v>262</v>
      </c>
      <c r="V103" t="s">
        <v>7</v>
      </c>
      <c r="W103" t="s">
        <v>7</v>
      </c>
      <c r="X103" t="s">
        <v>7</v>
      </c>
      <c r="AA103" t="s">
        <v>127</v>
      </c>
      <c r="AB103" t="s">
        <v>396</v>
      </c>
      <c r="AC103">
        <v>2011</v>
      </c>
      <c r="AD103" t="s">
        <v>233</v>
      </c>
      <c r="AE103">
        <v>4.9000000000000004</v>
      </c>
    </row>
    <row r="104" spans="1:32" x14ac:dyDescent="0.3">
      <c r="A104" t="s">
        <v>350</v>
      </c>
      <c r="B104" t="s">
        <v>279</v>
      </c>
      <c r="C104" t="s">
        <v>192</v>
      </c>
      <c r="D104" t="s">
        <v>309</v>
      </c>
      <c r="E104" t="s">
        <v>1359</v>
      </c>
      <c r="F104" s="15">
        <v>46233.717141203706</v>
      </c>
      <c r="G104" t="s">
        <v>402</v>
      </c>
      <c r="H104">
        <v>1858</v>
      </c>
      <c r="I104" t="s">
        <v>1360</v>
      </c>
      <c r="J104" s="15">
        <v>46234.470833333333</v>
      </c>
      <c r="K104" s="15">
        <v>46238.338888888888</v>
      </c>
      <c r="L104" s="15"/>
      <c r="M104">
        <v>1858</v>
      </c>
      <c r="O104" t="s">
        <v>201</v>
      </c>
      <c r="P104" t="s">
        <v>1954</v>
      </c>
      <c r="S104" t="s">
        <v>363</v>
      </c>
      <c r="T104" t="s">
        <v>352</v>
      </c>
      <c r="U104" t="s">
        <v>262</v>
      </c>
      <c r="V104" t="s">
        <v>7</v>
      </c>
      <c r="W104" t="s">
        <v>7</v>
      </c>
      <c r="X104" t="s">
        <v>7</v>
      </c>
      <c r="Z104">
        <v>1</v>
      </c>
      <c r="AA104" t="s">
        <v>122</v>
      </c>
      <c r="AB104" t="s">
        <v>396</v>
      </c>
      <c r="AC104">
        <v>2011</v>
      </c>
      <c r="AD104" t="s">
        <v>232</v>
      </c>
      <c r="AE104">
        <v>1858</v>
      </c>
    </row>
    <row r="105" spans="1:32" x14ac:dyDescent="0.3">
      <c r="A105" t="s">
        <v>350</v>
      </c>
      <c r="B105" t="s">
        <v>63</v>
      </c>
      <c r="C105" t="s">
        <v>95</v>
      </c>
      <c r="D105" t="s">
        <v>309</v>
      </c>
      <c r="E105" t="s">
        <v>1345</v>
      </c>
      <c r="F105" s="15">
        <v>46232.494386574072</v>
      </c>
      <c r="G105" t="s">
        <v>1346</v>
      </c>
      <c r="H105">
        <v>24</v>
      </c>
      <c r="I105" t="s">
        <v>1347</v>
      </c>
      <c r="J105" s="15">
        <v>46232.61041666667</v>
      </c>
      <c r="K105" s="15">
        <v>46234.609722222223</v>
      </c>
      <c r="L105" s="15"/>
      <c r="M105">
        <v>24</v>
      </c>
      <c r="O105" t="s">
        <v>201</v>
      </c>
      <c r="P105" t="s">
        <v>1954</v>
      </c>
      <c r="S105" t="s">
        <v>363</v>
      </c>
      <c r="T105" t="s">
        <v>352</v>
      </c>
      <c r="U105" t="s">
        <v>262</v>
      </c>
      <c r="V105" t="s">
        <v>7</v>
      </c>
      <c r="W105" t="s">
        <v>7</v>
      </c>
      <c r="X105" t="s">
        <v>7</v>
      </c>
      <c r="AA105" t="s">
        <v>96</v>
      </c>
      <c r="AB105" t="s">
        <v>396</v>
      </c>
      <c r="AC105">
        <v>2011</v>
      </c>
      <c r="AD105" t="s">
        <v>225</v>
      </c>
      <c r="AE105">
        <v>24</v>
      </c>
      <c r="AF105">
        <v>4.8</v>
      </c>
    </row>
    <row r="106" spans="1:32" x14ac:dyDescent="0.3">
      <c r="A106" t="s">
        <v>350</v>
      </c>
      <c r="B106" t="s">
        <v>57</v>
      </c>
      <c r="C106" t="s">
        <v>117</v>
      </c>
      <c r="D106" t="s">
        <v>309</v>
      </c>
      <c r="E106" t="s">
        <v>1345</v>
      </c>
      <c r="F106" s="15">
        <v>46232.494386574072</v>
      </c>
      <c r="G106" t="s">
        <v>1346</v>
      </c>
      <c r="H106">
        <v>24</v>
      </c>
      <c r="I106" t="s">
        <v>1347</v>
      </c>
      <c r="J106" s="15">
        <v>46232.61041666667</v>
      </c>
      <c r="K106" s="15">
        <v>46234.609722222223</v>
      </c>
      <c r="L106" s="15"/>
      <c r="M106">
        <v>24</v>
      </c>
      <c r="O106" t="s">
        <v>1958</v>
      </c>
      <c r="S106" t="s">
        <v>363</v>
      </c>
      <c r="T106" t="s">
        <v>352</v>
      </c>
      <c r="U106" t="s">
        <v>262</v>
      </c>
      <c r="V106" t="s">
        <v>7</v>
      </c>
      <c r="W106" t="s">
        <v>7</v>
      </c>
      <c r="X106" t="s">
        <v>7</v>
      </c>
      <c r="AA106" t="s">
        <v>127</v>
      </c>
      <c r="AB106" t="s">
        <v>396</v>
      </c>
      <c r="AC106">
        <v>2011</v>
      </c>
      <c r="AD106" t="s">
        <v>233</v>
      </c>
      <c r="AE106">
        <v>2.4</v>
      </c>
      <c r="AF106">
        <v>1</v>
      </c>
    </row>
    <row r="107" spans="1:32" x14ac:dyDescent="0.3">
      <c r="A107" t="s">
        <v>350</v>
      </c>
      <c r="B107" t="s">
        <v>279</v>
      </c>
      <c r="C107" t="s">
        <v>192</v>
      </c>
      <c r="D107" t="s">
        <v>309</v>
      </c>
      <c r="E107" t="s">
        <v>1345</v>
      </c>
      <c r="F107" s="15">
        <v>46232.494386574072</v>
      </c>
      <c r="G107" t="s">
        <v>1346</v>
      </c>
      <c r="H107">
        <v>1610</v>
      </c>
      <c r="I107" t="s">
        <v>1347</v>
      </c>
      <c r="J107" s="15">
        <v>46232.61041666667</v>
      </c>
      <c r="K107" s="15">
        <v>46234.609722222223</v>
      </c>
      <c r="L107" s="15"/>
      <c r="M107">
        <v>1610</v>
      </c>
      <c r="O107" t="s">
        <v>1958</v>
      </c>
      <c r="S107" t="s">
        <v>363</v>
      </c>
      <c r="T107" t="s">
        <v>352</v>
      </c>
      <c r="U107" t="s">
        <v>262</v>
      </c>
      <c r="V107" t="s">
        <v>7</v>
      </c>
      <c r="W107" t="s">
        <v>7</v>
      </c>
      <c r="X107" t="s">
        <v>7</v>
      </c>
      <c r="Z107">
        <v>1</v>
      </c>
      <c r="AA107" t="s">
        <v>122</v>
      </c>
      <c r="AB107" t="s">
        <v>396</v>
      </c>
      <c r="AC107">
        <v>2011</v>
      </c>
      <c r="AD107" t="s">
        <v>232</v>
      </c>
      <c r="AE107">
        <v>1610</v>
      </c>
      <c r="AF107">
        <v>374</v>
      </c>
    </row>
    <row r="108" spans="1:32" x14ac:dyDescent="0.3">
      <c r="A108" t="s">
        <v>350</v>
      </c>
      <c r="B108" t="s">
        <v>63</v>
      </c>
      <c r="C108" t="s">
        <v>95</v>
      </c>
      <c r="D108" t="s">
        <v>309</v>
      </c>
      <c r="E108" t="s">
        <v>1345</v>
      </c>
      <c r="F108" s="15">
        <v>46232.494386574072</v>
      </c>
      <c r="G108" t="s">
        <v>1346</v>
      </c>
      <c r="H108">
        <v>24</v>
      </c>
      <c r="I108" t="s">
        <v>1347</v>
      </c>
      <c r="J108" s="15">
        <v>46232.61041666667</v>
      </c>
      <c r="K108" s="15">
        <v>46234.683333333334</v>
      </c>
      <c r="L108" s="15"/>
      <c r="M108">
        <v>24</v>
      </c>
      <c r="O108" t="s">
        <v>1958</v>
      </c>
      <c r="S108" t="s">
        <v>363</v>
      </c>
      <c r="T108" t="s">
        <v>352</v>
      </c>
      <c r="U108" t="s">
        <v>262</v>
      </c>
      <c r="V108" t="s">
        <v>7</v>
      </c>
      <c r="W108" t="s">
        <v>7</v>
      </c>
      <c r="X108" t="s">
        <v>7</v>
      </c>
      <c r="AA108" t="s">
        <v>96</v>
      </c>
      <c r="AB108" t="s">
        <v>396</v>
      </c>
      <c r="AC108">
        <v>2011</v>
      </c>
      <c r="AD108" t="s">
        <v>225</v>
      </c>
      <c r="AE108">
        <v>24</v>
      </c>
    </row>
    <row r="109" spans="1:32" x14ac:dyDescent="0.3">
      <c r="A109" t="s">
        <v>350</v>
      </c>
      <c r="B109" t="s">
        <v>57</v>
      </c>
      <c r="C109" t="s">
        <v>117</v>
      </c>
      <c r="D109" t="s">
        <v>309</v>
      </c>
      <c r="E109" t="s">
        <v>1345</v>
      </c>
      <c r="F109" s="15">
        <v>46232.494386574072</v>
      </c>
      <c r="G109" t="s">
        <v>1346</v>
      </c>
      <c r="H109">
        <v>24</v>
      </c>
      <c r="I109" t="s">
        <v>1347</v>
      </c>
      <c r="J109" s="15">
        <v>46232.61041666667</v>
      </c>
      <c r="K109" s="15">
        <v>46234.683333333334</v>
      </c>
      <c r="L109" s="15"/>
      <c r="M109">
        <v>24</v>
      </c>
      <c r="O109" t="s">
        <v>1958</v>
      </c>
      <c r="S109" t="s">
        <v>363</v>
      </c>
      <c r="T109" t="s">
        <v>352</v>
      </c>
      <c r="U109" t="s">
        <v>262</v>
      </c>
      <c r="V109" t="s">
        <v>7</v>
      </c>
      <c r="W109" t="s">
        <v>7</v>
      </c>
      <c r="X109" t="s">
        <v>7</v>
      </c>
      <c r="AA109" t="s">
        <v>127</v>
      </c>
      <c r="AB109" t="s">
        <v>396</v>
      </c>
      <c r="AC109">
        <v>2011</v>
      </c>
      <c r="AD109" t="s">
        <v>233</v>
      </c>
      <c r="AE109">
        <v>2.4</v>
      </c>
    </row>
    <row r="110" spans="1:32" x14ac:dyDescent="0.3">
      <c r="A110" t="s">
        <v>350</v>
      </c>
      <c r="B110" t="s">
        <v>279</v>
      </c>
      <c r="C110" t="s">
        <v>192</v>
      </c>
      <c r="D110" t="s">
        <v>309</v>
      </c>
      <c r="E110" t="s">
        <v>1345</v>
      </c>
      <c r="F110" s="15">
        <v>46232.494386574072</v>
      </c>
      <c r="G110" t="s">
        <v>1346</v>
      </c>
      <c r="H110">
        <v>2130</v>
      </c>
      <c r="I110" t="s">
        <v>1347</v>
      </c>
      <c r="J110" s="15">
        <v>46232.61041666667</v>
      </c>
      <c r="K110" s="15">
        <v>46234.683333333334</v>
      </c>
      <c r="L110" s="15"/>
      <c r="M110">
        <v>2130</v>
      </c>
      <c r="O110" t="s">
        <v>1958</v>
      </c>
      <c r="S110" t="s">
        <v>363</v>
      </c>
      <c r="T110" t="s">
        <v>352</v>
      </c>
      <c r="U110" t="s">
        <v>262</v>
      </c>
      <c r="V110" t="s">
        <v>7</v>
      </c>
      <c r="W110" t="s">
        <v>7</v>
      </c>
      <c r="X110" t="s">
        <v>7</v>
      </c>
      <c r="Z110">
        <v>1</v>
      </c>
      <c r="AA110" t="s">
        <v>122</v>
      </c>
      <c r="AB110" t="s">
        <v>396</v>
      </c>
      <c r="AC110">
        <v>2011</v>
      </c>
      <c r="AD110" t="s">
        <v>232</v>
      </c>
      <c r="AE110">
        <v>2130</v>
      </c>
    </row>
    <row r="111" spans="1:32" x14ac:dyDescent="0.3">
      <c r="A111" t="s">
        <v>350</v>
      </c>
      <c r="B111" t="s">
        <v>63</v>
      </c>
      <c r="C111" t="s">
        <v>95</v>
      </c>
      <c r="D111" t="s">
        <v>309</v>
      </c>
      <c r="E111" t="s">
        <v>1345</v>
      </c>
      <c r="F111" s="15">
        <v>46232.494386574072</v>
      </c>
      <c r="G111" t="s">
        <v>1346</v>
      </c>
      <c r="H111">
        <v>36</v>
      </c>
      <c r="I111" t="s">
        <v>1347</v>
      </c>
      <c r="J111" s="15">
        <v>46232.61041666667</v>
      </c>
      <c r="K111" s="15">
        <v>46258.618750000001</v>
      </c>
      <c r="L111" s="15"/>
      <c r="M111">
        <v>36</v>
      </c>
      <c r="O111" t="s">
        <v>1958</v>
      </c>
      <c r="S111" t="s">
        <v>363</v>
      </c>
      <c r="T111" t="s">
        <v>352</v>
      </c>
      <c r="U111" t="s">
        <v>262</v>
      </c>
      <c r="V111" t="s">
        <v>7</v>
      </c>
      <c r="W111" t="s">
        <v>7</v>
      </c>
      <c r="X111" t="s">
        <v>7</v>
      </c>
      <c r="AA111" t="s">
        <v>96</v>
      </c>
      <c r="AB111" t="s">
        <v>396</v>
      </c>
      <c r="AC111">
        <v>2011</v>
      </c>
      <c r="AD111" t="s">
        <v>225</v>
      </c>
      <c r="AE111">
        <v>36</v>
      </c>
    </row>
    <row r="112" spans="1:32" x14ac:dyDescent="0.3">
      <c r="A112" t="s">
        <v>350</v>
      </c>
      <c r="B112" t="s">
        <v>57</v>
      </c>
      <c r="C112" t="s">
        <v>117</v>
      </c>
      <c r="D112" t="s">
        <v>309</v>
      </c>
      <c r="E112" t="s">
        <v>1345</v>
      </c>
      <c r="F112" s="15">
        <v>46232.494386574072</v>
      </c>
      <c r="G112" t="s">
        <v>1346</v>
      </c>
      <c r="H112">
        <v>36</v>
      </c>
      <c r="I112" t="s">
        <v>1347</v>
      </c>
      <c r="J112" s="15">
        <v>46232.61041666667</v>
      </c>
      <c r="K112" s="15">
        <v>46258.618750000001</v>
      </c>
      <c r="L112" s="15"/>
      <c r="M112">
        <v>36</v>
      </c>
      <c r="O112" t="s">
        <v>1958</v>
      </c>
      <c r="S112" t="s">
        <v>363</v>
      </c>
      <c r="T112" t="s">
        <v>352</v>
      </c>
      <c r="U112" t="s">
        <v>262</v>
      </c>
      <c r="V112" t="s">
        <v>7</v>
      </c>
      <c r="W112" t="s">
        <v>7</v>
      </c>
      <c r="X112" t="s">
        <v>7</v>
      </c>
      <c r="AA112" t="s">
        <v>127</v>
      </c>
      <c r="AB112" t="s">
        <v>396</v>
      </c>
      <c r="AC112">
        <v>2011</v>
      </c>
      <c r="AD112" t="s">
        <v>233</v>
      </c>
      <c r="AE112">
        <v>3.6</v>
      </c>
    </row>
    <row r="113" spans="1:32" x14ac:dyDescent="0.3">
      <c r="A113" t="s">
        <v>350</v>
      </c>
      <c r="B113" t="s">
        <v>63</v>
      </c>
      <c r="C113" t="s">
        <v>95</v>
      </c>
      <c r="D113" t="s">
        <v>309</v>
      </c>
      <c r="E113" t="s">
        <v>1345</v>
      </c>
      <c r="F113" s="15">
        <v>46232.494386574072</v>
      </c>
      <c r="G113" t="s">
        <v>1346</v>
      </c>
      <c r="H113">
        <v>33</v>
      </c>
      <c r="I113" t="s">
        <v>1347</v>
      </c>
      <c r="J113" s="15">
        <v>46232.61041666667</v>
      </c>
      <c r="K113" s="15">
        <v>46237.611111111109</v>
      </c>
      <c r="L113" s="15"/>
      <c r="M113">
        <v>33</v>
      </c>
      <c r="O113" t="s">
        <v>1958</v>
      </c>
      <c r="S113" t="s">
        <v>363</v>
      </c>
      <c r="T113" t="s">
        <v>352</v>
      </c>
      <c r="U113" t="s">
        <v>262</v>
      </c>
      <c r="V113" t="s">
        <v>7</v>
      </c>
      <c r="W113" t="s">
        <v>7</v>
      </c>
      <c r="X113" t="s">
        <v>7</v>
      </c>
      <c r="AA113" t="s">
        <v>96</v>
      </c>
      <c r="AB113" t="s">
        <v>396</v>
      </c>
      <c r="AC113">
        <v>2011</v>
      </c>
      <c r="AD113" t="s">
        <v>225</v>
      </c>
      <c r="AE113">
        <v>33</v>
      </c>
      <c r="AF113">
        <v>3.3</v>
      </c>
    </row>
    <row r="114" spans="1:32" x14ac:dyDescent="0.3">
      <c r="A114" t="s">
        <v>350</v>
      </c>
      <c r="B114" t="s">
        <v>63</v>
      </c>
      <c r="C114" t="s">
        <v>95</v>
      </c>
      <c r="D114" t="s">
        <v>309</v>
      </c>
      <c r="E114" t="s">
        <v>1316</v>
      </c>
      <c r="F114" s="15">
        <v>46247.459618055553</v>
      </c>
      <c r="G114" t="s">
        <v>1317</v>
      </c>
      <c r="H114">
        <v>1</v>
      </c>
      <c r="I114" t="s">
        <v>1318</v>
      </c>
      <c r="J114" s="15">
        <v>46247.561030092591</v>
      </c>
      <c r="K114" s="15">
        <v>46254.421527777777</v>
      </c>
      <c r="L114" s="15"/>
      <c r="M114">
        <v>1</v>
      </c>
      <c r="O114" t="s">
        <v>201</v>
      </c>
      <c r="P114" t="s">
        <v>1954</v>
      </c>
      <c r="S114" t="s">
        <v>363</v>
      </c>
      <c r="T114" t="s">
        <v>352</v>
      </c>
      <c r="U114" t="s">
        <v>262</v>
      </c>
      <c r="V114" t="s">
        <v>7</v>
      </c>
      <c r="W114" t="s">
        <v>7</v>
      </c>
      <c r="X114" t="s">
        <v>7</v>
      </c>
      <c r="AA114" t="s">
        <v>96</v>
      </c>
      <c r="AB114" t="s">
        <v>396</v>
      </c>
      <c r="AC114">
        <v>2011</v>
      </c>
      <c r="AD114" t="s">
        <v>225</v>
      </c>
      <c r="AE114">
        <v>1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3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628</v>
      </c>
      <c r="I1" t="s">
        <v>629</v>
      </c>
      <c r="J1" t="s">
        <v>630</v>
      </c>
      <c r="K1" t="s">
        <v>631</v>
      </c>
      <c r="L1" t="s">
        <v>632</v>
      </c>
      <c r="M1" t="s">
        <v>633</v>
      </c>
      <c r="N1" t="s">
        <v>524</v>
      </c>
      <c r="O1" t="s">
        <v>40</v>
      </c>
      <c r="P1" t="s">
        <v>367</v>
      </c>
      <c r="Q1" t="s">
        <v>210</v>
      </c>
      <c r="R1" t="s">
        <v>525</v>
      </c>
    </row>
    <row r="2" spans="1:18" x14ac:dyDescent="0.3">
      <c r="A2" t="s">
        <v>350</v>
      </c>
      <c r="B2" t="s">
        <v>45</v>
      </c>
      <c r="C2" t="s">
        <v>68</v>
      </c>
      <c r="D2" s="15">
        <v>46223.312245370369</v>
      </c>
      <c r="E2" t="s">
        <v>421</v>
      </c>
      <c r="F2">
        <v>9</v>
      </c>
      <c r="G2" s="15">
        <v>46226.486805555556</v>
      </c>
      <c r="H2" t="s">
        <v>395</v>
      </c>
      <c r="I2" t="s">
        <v>376</v>
      </c>
      <c r="J2" t="s">
        <v>295</v>
      </c>
      <c r="K2" t="s">
        <v>350</v>
      </c>
      <c r="L2" t="s">
        <v>374</v>
      </c>
      <c r="M2" t="s">
        <v>262</v>
      </c>
      <c r="O2" t="s">
        <v>67</v>
      </c>
      <c r="P2" t="s">
        <v>395</v>
      </c>
      <c r="Q2" t="s">
        <v>217</v>
      </c>
      <c r="R2">
        <v>1</v>
      </c>
    </row>
    <row r="3" spans="1:18" x14ac:dyDescent="0.3">
      <c r="A3" t="s">
        <v>350</v>
      </c>
      <c r="B3" t="s">
        <v>45</v>
      </c>
      <c r="C3" t="s">
        <v>68</v>
      </c>
      <c r="D3" s="15">
        <v>46217.387696759259</v>
      </c>
      <c r="E3" t="s">
        <v>1332</v>
      </c>
      <c r="F3">
        <v>2</v>
      </c>
      <c r="G3" s="15">
        <v>46230.486111111109</v>
      </c>
      <c r="H3" t="s">
        <v>364</v>
      </c>
      <c r="I3" t="s">
        <v>375</v>
      </c>
      <c r="J3" t="s">
        <v>265</v>
      </c>
      <c r="K3" t="s">
        <v>350</v>
      </c>
      <c r="L3" t="s">
        <v>374</v>
      </c>
      <c r="M3" t="s">
        <v>262</v>
      </c>
      <c r="N3">
        <v>678</v>
      </c>
      <c r="O3" t="s">
        <v>67</v>
      </c>
      <c r="P3" t="s">
        <v>364</v>
      </c>
      <c r="Q3" t="s">
        <v>217</v>
      </c>
      <c r="R3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12" bestFit="1" customWidth="1"/>
    <col min="10" max="10" width="7.109375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1" t="s">
        <v>136</v>
      </c>
      <c r="B1" s="41" t="s">
        <v>503</v>
      </c>
      <c r="C1" s="41" t="s">
        <v>2</v>
      </c>
      <c r="D1" s="41" t="s">
        <v>504</v>
      </c>
      <c r="E1" s="41" t="s">
        <v>132</v>
      </c>
      <c r="F1" s="41" t="s">
        <v>133</v>
      </c>
      <c r="G1" s="41" t="s">
        <v>134</v>
      </c>
      <c r="H1" s="41" t="s">
        <v>135</v>
      </c>
      <c r="I1" s="42" t="s">
        <v>160</v>
      </c>
      <c r="J1" s="42" t="s">
        <v>626</v>
      </c>
      <c r="K1" s="42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15142</v>
      </c>
      <c r="E2">
        <v>0</v>
      </c>
      <c r="F2">
        <v>0</v>
      </c>
      <c r="G2">
        <v>25</v>
      </c>
      <c r="H2">
        <v>15167</v>
      </c>
      <c r="I2">
        <v>1</v>
      </c>
      <c r="J2">
        <v>15167</v>
      </c>
      <c r="K2" t="s">
        <v>211</v>
      </c>
    </row>
    <row r="3" spans="1:11" x14ac:dyDescent="0.3">
      <c r="A3" t="s">
        <v>348</v>
      </c>
      <c r="B3" t="s">
        <v>434</v>
      </c>
      <c r="C3" t="s">
        <v>68</v>
      </c>
      <c r="D3">
        <v>141509</v>
      </c>
      <c r="E3">
        <v>0</v>
      </c>
      <c r="F3">
        <v>0</v>
      </c>
      <c r="G3">
        <v>42401</v>
      </c>
      <c r="H3">
        <v>183910</v>
      </c>
      <c r="I3">
        <v>1</v>
      </c>
      <c r="J3">
        <v>183910</v>
      </c>
      <c r="K3" t="s">
        <v>211</v>
      </c>
    </row>
    <row r="4" spans="1:11" x14ac:dyDescent="0.3">
      <c r="A4" t="s">
        <v>348</v>
      </c>
      <c r="B4" t="s">
        <v>423</v>
      </c>
      <c r="C4" t="s">
        <v>73</v>
      </c>
      <c r="D4">
        <v>9</v>
      </c>
      <c r="E4">
        <v>0</v>
      </c>
      <c r="F4">
        <v>0</v>
      </c>
      <c r="G4">
        <v>101</v>
      </c>
      <c r="H4">
        <v>110</v>
      </c>
      <c r="I4">
        <v>1</v>
      </c>
      <c r="J4">
        <v>110</v>
      </c>
      <c r="K4" t="s">
        <v>212</v>
      </c>
    </row>
    <row r="5" spans="1:11" x14ac:dyDescent="0.3">
      <c r="A5" t="s">
        <v>348</v>
      </c>
      <c r="B5" t="s">
        <v>424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425</v>
      </c>
      <c r="C6" t="s">
        <v>154</v>
      </c>
      <c r="D6">
        <v>1014</v>
      </c>
      <c r="E6">
        <v>0</v>
      </c>
      <c r="F6">
        <v>0</v>
      </c>
      <c r="G6">
        <v>0</v>
      </c>
      <c r="H6">
        <v>1014</v>
      </c>
      <c r="I6">
        <v>0.505</v>
      </c>
      <c r="J6">
        <v>1014</v>
      </c>
      <c r="K6" t="s">
        <v>211</v>
      </c>
    </row>
    <row r="7" spans="1:11" x14ac:dyDescent="0.3">
      <c r="A7" t="s">
        <v>348</v>
      </c>
      <c r="B7" t="s">
        <v>426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427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428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348</v>
      </c>
      <c r="B10" t="s">
        <v>429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348</v>
      </c>
      <c r="B11" t="s">
        <v>763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431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507</v>
      </c>
      <c r="C13" t="s">
        <v>71</v>
      </c>
      <c r="D13">
        <v>17224</v>
      </c>
      <c r="E13">
        <v>0</v>
      </c>
      <c r="F13">
        <v>0</v>
      </c>
      <c r="G13">
        <v>95</v>
      </c>
      <c r="H13">
        <v>17319</v>
      </c>
      <c r="I13">
        <v>0.48599999999999999</v>
      </c>
      <c r="J13">
        <v>17319</v>
      </c>
      <c r="K13" t="s">
        <v>211</v>
      </c>
    </row>
    <row r="14" spans="1:11" x14ac:dyDescent="0.3">
      <c r="A14" t="s">
        <v>347</v>
      </c>
      <c r="B14" t="s">
        <v>425</v>
      </c>
      <c r="C14" t="s">
        <v>154</v>
      </c>
      <c r="D14">
        <v>5883</v>
      </c>
      <c r="E14">
        <v>0</v>
      </c>
      <c r="F14">
        <v>0</v>
      </c>
      <c r="G14">
        <v>35</v>
      </c>
      <c r="H14">
        <v>5918</v>
      </c>
      <c r="I14">
        <v>0.505</v>
      </c>
      <c r="J14">
        <v>5918</v>
      </c>
      <c r="K14" t="s">
        <v>211</v>
      </c>
    </row>
    <row r="15" spans="1:11" x14ac:dyDescent="0.3">
      <c r="A15" t="s">
        <v>347</v>
      </c>
      <c r="B15" t="s">
        <v>432</v>
      </c>
      <c r="C15" t="s">
        <v>68</v>
      </c>
      <c r="D15">
        <v>41072</v>
      </c>
      <c r="E15">
        <v>0</v>
      </c>
      <c r="F15">
        <v>0</v>
      </c>
      <c r="G15">
        <v>186</v>
      </c>
      <c r="H15">
        <v>41258</v>
      </c>
      <c r="I15">
        <v>1</v>
      </c>
      <c r="J15">
        <v>41258</v>
      </c>
      <c r="K15" t="s">
        <v>211</v>
      </c>
    </row>
    <row r="16" spans="1:11" x14ac:dyDescent="0.3">
      <c r="A16" t="s">
        <v>347</v>
      </c>
      <c r="B16" t="s">
        <v>433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432</v>
      </c>
      <c r="C17" t="s">
        <v>508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426</v>
      </c>
      <c r="C18" t="s">
        <v>762</v>
      </c>
      <c r="D18">
        <v>4822</v>
      </c>
      <c r="E18">
        <v>0</v>
      </c>
      <c r="F18">
        <v>0</v>
      </c>
      <c r="G18">
        <v>129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423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428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509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429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428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509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  <row r="25" spans="1:11" x14ac:dyDescent="0.3">
      <c r="A25" t="s">
        <v>350</v>
      </c>
      <c r="B25" t="s">
        <v>435</v>
      </c>
      <c r="C25" t="s">
        <v>68</v>
      </c>
      <c r="D25">
        <v>4</v>
      </c>
      <c r="E25">
        <v>0</v>
      </c>
      <c r="F25">
        <v>0</v>
      </c>
      <c r="G25">
        <v>1</v>
      </c>
      <c r="H25">
        <v>5</v>
      </c>
      <c r="I25">
        <v>1.1322142158979838</v>
      </c>
      <c r="J25">
        <v>5</v>
      </c>
      <c r="K25" t="s">
        <v>211</v>
      </c>
    </row>
    <row r="26" spans="1:11" x14ac:dyDescent="0.3">
      <c r="A26" t="s">
        <v>350</v>
      </c>
      <c r="B26" t="s">
        <v>436</v>
      </c>
      <c r="C26" t="s">
        <v>68</v>
      </c>
      <c r="D26">
        <v>8</v>
      </c>
      <c r="E26">
        <v>0</v>
      </c>
      <c r="F26">
        <v>0</v>
      </c>
      <c r="G26">
        <v>0</v>
      </c>
      <c r="H26">
        <v>8</v>
      </c>
      <c r="I26">
        <v>1.0783903120951059</v>
      </c>
      <c r="J26">
        <v>8</v>
      </c>
      <c r="K26" t="s">
        <v>211</v>
      </c>
    </row>
    <row r="27" spans="1:11" x14ac:dyDescent="0.3">
      <c r="A27" t="s">
        <v>350</v>
      </c>
      <c r="B27" t="s">
        <v>437</v>
      </c>
      <c r="C27" t="s">
        <v>68</v>
      </c>
      <c r="D27">
        <v>17</v>
      </c>
      <c r="E27">
        <v>0</v>
      </c>
      <c r="F27">
        <v>0</v>
      </c>
      <c r="G27">
        <v>3</v>
      </c>
      <c r="H27">
        <v>20</v>
      </c>
      <c r="I27">
        <v>1.1806423749232833</v>
      </c>
      <c r="J27">
        <v>20</v>
      </c>
      <c r="K27" t="s">
        <v>211</v>
      </c>
    </row>
    <row r="28" spans="1:11" x14ac:dyDescent="0.3">
      <c r="A28" t="s">
        <v>350</v>
      </c>
      <c r="B28" t="s">
        <v>438</v>
      </c>
      <c r="C28" t="s">
        <v>68</v>
      </c>
      <c r="D28">
        <v>8084</v>
      </c>
      <c r="E28">
        <v>0</v>
      </c>
      <c r="F28">
        <v>0</v>
      </c>
      <c r="G28">
        <v>3011</v>
      </c>
      <c r="H28">
        <v>11095</v>
      </c>
      <c r="I28">
        <v>1.1337030891278157</v>
      </c>
      <c r="J28">
        <v>11095</v>
      </c>
      <c r="K28" t="s">
        <v>211</v>
      </c>
    </row>
    <row r="29" spans="1:11" x14ac:dyDescent="0.3">
      <c r="A29" t="s">
        <v>350</v>
      </c>
      <c r="B29" t="s">
        <v>439</v>
      </c>
      <c r="C29" t="s">
        <v>68</v>
      </c>
      <c r="D29">
        <v>1904</v>
      </c>
      <c r="E29">
        <v>0</v>
      </c>
      <c r="F29">
        <v>0</v>
      </c>
      <c r="G29">
        <v>645</v>
      </c>
      <c r="H29">
        <v>2549</v>
      </c>
      <c r="I29">
        <v>1.1418180165026255</v>
      </c>
      <c r="J29">
        <v>2549</v>
      </c>
      <c r="K29" t="s">
        <v>211</v>
      </c>
    </row>
    <row r="30" spans="1:11" x14ac:dyDescent="0.3">
      <c r="A30" t="s">
        <v>350</v>
      </c>
      <c r="B30" t="s">
        <v>440</v>
      </c>
      <c r="C30" t="s">
        <v>68</v>
      </c>
      <c r="D30">
        <v>74783</v>
      </c>
      <c r="E30">
        <v>0</v>
      </c>
      <c r="F30">
        <v>0</v>
      </c>
      <c r="G30">
        <v>13706</v>
      </c>
      <c r="H30">
        <v>88489</v>
      </c>
      <c r="I30">
        <v>1.0487804878048781</v>
      </c>
      <c r="J30">
        <v>88489</v>
      </c>
      <c r="K30" t="s">
        <v>211</v>
      </c>
    </row>
    <row r="31" spans="1:11" x14ac:dyDescent="0.3">
      <c r="A31" t="s">
        <v>350</v>
      </c>
      <c r="B31" t="s">
        <v>441</v>
      </c>
      <c r="C31" t="s">
        <v>68</v>
      </c>
      <c r="D31">
        <v>1</v>
      </c>
      <c r="E31">
        <v>0</v>
      </c>
      <c r="F31">
        <v>0</v>
      </c>
      <c r="G31">
        <v>0</v>
      </c>
      <c r="H31">
        <v>1</v>
      </c>
      <c r="I31">
        <v>1.202986838815266</v>
      </c>
      <c r="J31">
        <v>1</v>
      </c>
      <c r="K31" t="s">
        <v>211</v>
      </c>
    </row>
    <row r="32" spans="1:11" x14ac:dyDescent="0.3">
      <c r="A32" t="s">
        <v>350</v>
      </c>
      <c r="B32" t="s">
        <v>442</v>
      </c>
      <c r="C32" t="s">
        <v>73</v>
      </c>
      <c r="D32">
        <v>0</v>
      </c>
      <c r="E32">
        <v>0</v>
      </c>
      <c r="F32">
        <v>0</v>
      </c>
      <c r="G32">
        <v>0</v>
      </c>
      <c r="H32">
        <v>0</v>
      </c>
      <c r="I32">
        <v>1</v>
      </c>
      <c r="J32">
        <v>0</v>
      </c>
      <c r="K32" t="s">
        <v>212</v>
      </c>
    </row>
    <row r="33" spans="1:11" x14ac:dyDescent="0.3">
      <c r="A33" t="s">
        <v>350</v>
      </c>
      <c r="B33" t="s">
        <v>443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212</v>
      </c>
    </row>
    <row r="34" spans="1:11" x14ac:dyDescent="0.3">
      <c r="A34" t="s">
        <v>350</v>
      </c>
      <c r="B34" t="s">
        <v>444</v>
      </c>
      <c r="C34" t="s">
        <v>76</v>
      </c>
      <c r="D34">
        <v>0</v>
      </c>
      <c r="E34">
        <v>0</v>
      </c>
      <c r="F34">
        <v>0</v>
      </c>
      <c r="G34">
        <v>2</v>
      </c>
      <c r="H34">
        <v>2</v>
      </c>
      <c r="I34">
        <v>3.3103448275862069</v>
      </c>
      <c r="J34">
        <v>2</v>
      </c>
      <c r="K34" t="s">
        <v>213</v>
      </c>
    </row>
    <row r="35" spans="1:11" x14ac:dyDescent="0.3">
      <c r="A35" t="s">
        <v>350</v>
      </c>
      <c r="B35" t="s">
        <v>445</v>
      </c>
      <c r="C35" t="s">
        <v>76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 t="s">
        <v>213</v>
      </c>
    </row>
    <row r="36" spans="1:11" x14ac:dyDescent="0.3">
      <c r="A36" t="s">
        <v>350</v>
      </c>
      <c r="B36" t="s">
        <v>446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 t="s">
        <v>213</v>
      </c>
    </row>
    <row r="37" spans="1:11" x14ac:dyDescent="0.3">
      <c r="A37" t="s">
        <v>350</v>
      </c>
      <c r="B37" t="s">
        <v>447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 t="s">
        <v>213</v>
      </c>
    </row>
    <row r="38" spans="1:11" x14ac:dyDescent="0.3">
      <c r="A38" t="s">
        <v>350</v>
      </c>
      <c r="B38" t="s">
        <v>739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 t="s">
        <v>213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482"/>
  <sheetViews>
    <sheetView topLeftCell="D1" workbookViewId="0">
      <pane ySplit="2" topLeftCell="A3" activePane="bottomLeft" state="frozen"/>
      <selection pane="bottomLeft" activeCell="AD24" sqref="AD24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296" t="s">
        <v>153</v>
      </c>
      <c r="B1" s="296"/>
      <c r="C1" s="297" t="s">
        <v>151</v>
      </c>
      <c r="D1" s="297"/>
      <c r="E1" s="297"/>
      <c r="F1" s="297"/>
      <c r="G1" s="297"/>
      <c r="H1" s="296" t="s">
        <v>152</v>
      </c>
      <c r="I1" s="296"/>
      <c r="J1" s="296"/>
      <c r="K1" s="296"/>
      <c r="L1" s="296"/>
      <c r="M1" s="297" t="s">
        <v>271</v>
      </c>
      <c r="N1" s="297"/>
      <c r="O1" s="297"/>
      <c r="P1" s="297"/>
      <c r="Q1" s="297"/>
      <c r="R1" s="296" t="s">
        <v>272</v>
      </c>
      <c r="S1" s="296"/>
      <c r="T1" s="296"/>
      <c r="U1" s="292" t="s">
        <v>273</v>
      </c>
      <c r="V1" s="293"/>
      <c r="W1" s="294"/>
      <c r="X1" s="295" t="s">
        <v>627</v>
      </c>
      <c r="Y1" s="295"/>
      <c r="Z1" s="295"/>
      <c r="AA1" s="295"/>
      <c r="AB1" s="295"/>
      <c r="AC1" s="295"/>
      <c r="AD1" s="295"/>
      <c r="AE1" s="157"/>
      <c r="AF1" s="157"/>
    </row>
    <row r="2" spans="1:32" x14ac:dyDescent="0.3">
      <c r="A2" t="s">
        <v>466</v>
      </c>
      <c r="B2" t="s">
        <v>0</v>
      </c>
      <c r="C2" t="s">
        <v>2</v>
      </c>
      <c r="D2" t="s">
        <v>138</v>
      </c>
      <c r="E2" t="s">
        <v>449</v>
      </c>
      <c r="F2" t="s">
        <v>452</v>
      </c>
      <c r="G2" t="s">
        <v>246</v>
      </c>
      <c r="H2" t="s">
        <v>450</v>
      </c>
      <c r="I2" t="s">
        <v>299</v>
      </c>
      <c r="J2" t="s">
        <v>139</v>
      </c>
      <c r="K2" t="s">
        <v>245</v>
      </c>
      <c r="L2" t="s">
        <v>247</v>
      </c>
      <c r="M2" t="s">
        <v>451</v>
      </c>
      <c r="N2" t="s">
        <v>140</v>
      </c>
      <c r="O2" t="s">
        <v>274</v>
      </c>
      <c r="P2" t="s">
        <v>145</v>
      </c>
      <c r="Q2" t="s">
        <v>634</v>
      </c>
      <c r="R2" t="s">
        <v>141</v>
      </c>
      <c r="S2" t="s">
        <v>628</v>
      </c>
      <c r="T2" t="s">
        <v>629</v>
      </c>
      <c r="U2" t="s">
        <v>630</v>
      </c>
      <c r="V2" t="s">
        <v>631</v>
      </c>
      <c r="W2" t="s">
        <v>632</v>
      </c>
      <c r="X2" t="s">
        <v>633</v>
      </c>
      <c r="Y2" s="43" t="s">
        <v>524</v>
      </c>
      <c r="Z2" s="43" t="s">
        <v>160</v>
      </c>
      <c r="AA2" s="43" t="s">
        <v>40</v>
      </c>
      <c r="AB2" s="43" t="s">
        <v>367</v>
      </c>
      <c r="AC2" s="43" t="s">
        <v>522</v>
      </c>
      <c r="AD2" s="43" t="s">
        <v>210</v>
      </c>
      <c r="AE2" s="43" t="s">
        <v>521</v>
      </c>
      <c r="AF2" t="s">
        <v>525</v>
      </c>
    </row>
    <row r="3" spans="1:32" x14ac:dyDescent="0.3">
      <c r="A3" t="s">
        <v>347</v>
      </c>
      <c r="B3" t="s">
        <v>43</v>
      </c>
      <c r="C3" t="s">
        <v>105</v>
      </c>
      <c r="D3" t="s">
        <v>309</v>
      </c>
      <c r="E3" t="s">
        <v>942</v>
      </c>
      <c r="F3" s="15">
        <v>46240.387291666666</v>
      </c>
      <c r="G3" t="s">
        <v>402</v>
      </c>
      <c r="H3">
        <v>2</v>
      </c>
      <c r="I3" t="s">
        <v>943</v>
      </c>
      <c r="J3" s="15">
        <v>46240.632638888892</v>
      </c>
      <c r="K3" s="15">
        <v>46241.395138888889</v>
      </c>
      <c r="L3" s="15"/>
      <c r="M3">
        <v>2</v>
      </c>
      <c r="O3" t="s">
        <v>201</v>
      </c>
      <c r="P3" t="s">
        <v>1954</v>
      </c>
      <c r="S3" t="s">
        <v>360</v>
      </c>
      <c r="T3" t="s">
        <v>371</v>
      </c>
      <c r="U3" t="s">
        <v>240</v>
      </c>
      <c r="V3" t="s">
        <v>347</v>
      </c>
      <c r="W3" t="s">
        <v>351</v>
      </c>
      <c r="X3" t="s">
        <v>240</v>
      </c>
      <c r="Y3">
        <v>13</v>
      </c>
      <c r="AA3" t="s">
        <v>67</v>
      </c>
      <c r="AB3" t="s">
        <v>360</v>
      </c>
      <c r="AC3">
        <v>2480</v>
      </c>
      <c r="AD3" t="s">
        <v>217</v>
      </c>
      <c r="AE3">
        <v>1</v>
      </c>
      <c r="AF3">
        <v>1</v>
      </c>
    </row>
    <row r="4" spans="1:32" x14ac:dyDescent="0.3">
      <c r="A4" t="s">
        <v>347</v>
      </c>
      <c r="B4" t="s">
        <v>47</v>
      </c>
      <c r="C4" t="s">
        <v>68</v>
      </c>
      <c r="D4" t="s">
        <v>309</v>
      </c>
      <c r="E4" t="s">
        <v>944</v>
      </c>
      <c r="F4" s="15">
        <v>46233.496469907404</v>
      </c>
      <c r="G4" t="s">
        <v>401</v>
      </c>
      <c r="H4">
        <v>2</v>
      </c>
      <c r="I4" t="s">
        <v>945</v>
      </c>
      <c r="J4" s="15">
        <v>46233.658877314818</v>
      </c>
      <c r="K4" s="15">
        <v>46234.427083333336</v>
      </c>
      <c r="L4" s="15"/>
      <c r="M4">
        <v>2</v>
      </c>
      <c r="O4" t="s">
        <v>146</v>
      </c>
      <c r="P4" t="s">
        <v>1954</v>
      </c>
      <c r="S4" t="s">
        <v>360</v>
      </c>
      <c r="T4" t="s">
        <v>371</v>
      </c>
      <c r="U4" t="s">
        <v>240</v>
      </c>
      <c r="V4" t="s">
        <v>347</v>
      </c>
      <c r="W4" t="s">
        <v>351</v>
      </c>
      <c r="X4" t="s">
        <v>240</v>
      </c>
      <c r="Y4">
        <v>13</v>
      </c>
      <c r="AA4" t="s">
        <v>90</v>
      </c>
      <c r="AB4" t="s">
        <v>360</v>
      </c>
      <c r="AC4">
        <v>2480</v>
      </c>
      <c r="AD4" t="s">
        <v>218</v>
      </c>
      <c r="AE4">
        <v>1</v>
      </c>
      <c r="AF4">
        <v>1</v>
      </c>
    </row>
    <row r="5" spans="1:32" x14ac:dyDescent="0.3">
      <c r="A5" t="s">
        <v>347</v>
      </c>
      <c r="B5" t="s">
        <v>45</v>
      </c>
      <c r="C5" t="s">
        <v>68</v>
      </c>
      <c r="D5" t="s">
        <v>309</v>
      </c>
      <c r="E5" t="s">
        <v>946</v>
      </c>
      <c r="F5" s="15">
        <v>46218.662442129629</v>
      </c>
      <c r="G5" t="s">
        <v>947</v>
      </c>
      <c r="H5">
        <v>50</v>
      </c>
      <c r="I5" t="s">
        <v>948</v>
      </c>
      <c r="J5" s="15">
        <v>46219.407569444447</v>
      </c>
      <c r="K5" s="15">
        <v>46224.486111111109</v>
      </c>
      <c r="L5" s="15">
        <v>46224.486111111109</v>
      </c>
      <c r="M5">
        <v>50</v>
      </c>
      <c r="O5" t="s">
        <v>201</v>
      </c>
      <c r="P5" t="s">
        <v>1956</v>
      </c>
      <c r="S5" t="s">
        <v>360</v>
      </c>
      <c r="T5" t="s">
        <v>371</v>
      </c>
      <c r="U5" t="s">
        <v>240</v>
      </c>
      <c r="V5" t="s">
        <v>347</v>
      </c>
      <c r="W5" t="s">
        <v>351</v>
      </c>
      <c r="X5" t="s">
        <v>240</v>
      </c>
      <c r="Y5">
        <v>13</v>
      </c>
      <c r="AA5" t="s">
        <v>67</v>
      </c>
      <c r="AB5" t="s">
        <v>360</v>
      </c>
      <c r="AC5">
        <v>2480</v>
      </c>
      <c r="AD5" t="s">
        <v>217</v>
      </c>
      <c r="AE5">
        <v>5</v>
      </c>
      <c r="AF5">
        <v>1</v>
      </c>
    </row>
    <row r="6" spans="1:32" x14ac:dyDescent="0.3">
      <c r="A6" t="s">
        <v>347</v>
      </c>
      <c r="B6" t="s">
        <v>45</v>
      </c>
      <c r="C6" t="s">
        <v>68</v>
      </c>
      <c r="D6" t="s">
        <v>309</v>
      </c>
      <c r="E6" t="s">
        <v>949</v>
      </c>
      <c r="F6" s="15">
        <v>46218.662719907406</v>
      </c>
      <c r="G6" t="s">
        <v>947</v>
      </c>
      <c r="H6">
        <v>50</v>
      </c>
      <c r="I6" t="s">
        <v>950</v>
      </c>
      <c r="J6" s="15">
        <v>46219.408703703702</v>
      </c>
      <c r="K6" s="15">
        <v>46224.486111111109</v>
      </c>
      <c r="L6" s="15">
        <v>46224.486111111109</v>
      </c>
      <c r="M6">
        <v>50</v>
      </c>
      <c r="O6" t="s">
        <v>201</v>
      </c>
      <c r="P6" t="s">
        <v>1956</v>
      </c>
      <c r="S6" t="s">
        <v>360</v>
      </c>
      <c r="T6" t="s">
        <v>371</v>
      </c>
      <c r="U6" t="s">
        <v>240</v>
      </c>
      <c r="V6" t="s">
        <v>347</v>
      </c>
      <c r="W6" t="s">
        <v>351</v>
      </c>
      <c r="X6" t="s">
        <v>240</v>
      </c>
      <c r="AA6" t="s">
        <v>67</v>
      </c>
      <c r="AB6" t="s">
        <v>360</v>
      </c>
      <c r="AC6">
        <v>2480</v>
      </c>
      <c r="AD6" t="s">
        <v>217</v>
      </c>
      <c r="AE6">
        <v>5</v>
      </c>
    </row>
    <row r="7" spans="1:32" x14ac:dyDescent="0.3">
      <c r="A7" t="s">
        <v>347</v>
      </c>
      <c r="B7" t="s">
        <v>48</v>
      </c>
      <c r="C7" t="s">
        <v>68</v>
      </c>
      <c r="D7" t="s">
        <v>309</v>
      </c>
      <c r="E7" t="s">
        <v>951</v>
      </c>
      <c r="F7" s="15">
        <v>46156.383645833332</v>
      </c>
      <c r="G7" t="s">
        <v>402</v>
      </c>
      <c r="H7">
        <v>1</v>
      </c>
      <c r="I7" t="s">
        <v>952</v>
      </c>
      <c r="J7" s="15">
        <v>46226.400000000001</v>
      </c>
      <c r="K7" s="15">
        <v>46230.438194444447</v>
      </c>
      <c r="L7" s="15"/>
      <c r="M7">
        <v>1</v>
      </c>
      <c r="O7" t="s">
        <v>201</v>
      </c>
      <c r="P7" t="s">
        <v>1956</v>
      </c>
      <c r="S7" t="s">
        <v>360</v>
      </c>
      <c r="T7" t="s">
        <v>371</v>
      </c>
      <c r="U7" t="s">
        <v>240</v>
      </c>
      <c r="V7" t="s">
        <v>347</v>
      </c>
      <c r="W7" t="s">
        <v>351</v>
      </c>
      <c r="X7" t="s">
        <v>240</v>
      </c>
      <c r="Y7">
        <v>13</v>
      </c>
      <c r="AA7" t="s">
        <v>90</v>
      </c>
      <c r="AB7" t="s">
        <v>360</v>
      </c>
      <c r="AC7">
        <v>2480</v>
      </c>
      <c r="AD7" t="s">
        <v>217</v>
      </c>
      <c r="AE7">
        <v>1</v>
      </c>
      <c r="AF7">
        <v>1</v>
      </c>
    </row>
    <row r="8" spans="1:32" x14ac:dyDescent="0.3">
      <c r="A8" t="s">
        <v>348</v>
      </c>
      <c r="B8" t="s">
        <v>43</v>
      </c>
      <c r="C8" t="s">
        <v>105</v>
      </c>
      <c r="D8" t="s">
        <v>309</v>
      </c>
      <c r="E8" t="s">
        <v>953</v>
      </c>
      <c r="F8" s="15">
        <v>46246.307928240742</v>
      </c>
      <c r="G8" t="s">
        <v>401</v>
      </c>
      <c r="H8">
        <v>1</v>
      </c>
      <c r="I8" t="s">
        <v>954</v>
      </c>
      <c r="J8" s="15">
        <v>46246.375</v>
      </c>
      <c r="K8" s="15">
        <v>46247.461805555555</v>
      </c>
      <c r="L8" s="15"/>
      <c r="M8">
        <v>1</v>
      </c>
      <c r="O8" t="s">
        <v>201</v>
      </c>
      <c r="P8" t="s">
        <v>1954</v>
      </c>
      <c r="S8" t="s">
        <v>357</v>
      </c>
      <c r="T8" t="s">
        <v>369</v>
      </c>
      <c r="U8" t="s">
        <v>239</v>
      </c>
      <c r="V8" t="s">
        <v>348</v>
      </c>
      <c r="W8" t="s">
        <v>369</v>
      </c>
      <c r="X8" t="s">
        <v>239</v>
      </c>
      <c r="Y8">
        <v>0</v>
      </c>
      <c r="AA8" t="s">
        <v>67</v>
      </c>
      <c r="AB8" t="s">
        <v>357</v>
      </c>
      <c r="AC8">
        <v>101</v>
      </c>
      <c r="AD8" t="s">
        <v>217</v>
      </c>
      <c r="AE8">
        <v>1</v>
      </c>
      <c r="AF8">
        <v>1</v>
      </c>
    </row>
    <row r="9" spans="1:32" x14ac:dyDescent="0.3">
      <c r="A9" t="s">
        <v>348</v>
      </c>
      <c r="B9" t="s">
        <v>43</v>
      </c>
      <c r="C9" t="s">
        <v>105</v>
      </c>
      <c r="D9" t="s">
        <v>309</v>
      </c>
      <c r="E9" t="s">
        <v>955</v>
      </c>
      <c r="F9" s="15">
        <v>46244.651597222219</v>
      </c>
      <c r="G9" t="s">
        <v>401</v>
      </c>
      <c r="H9">
        <v>2</v>
      </c>
      <c r="I9" t="s">
        <v>956</v>
      </c>
      <c r="J9" s="15">
        <v>46245.385416666664</v>
      </c>
      <c r="K9" s="15">
        <v>46246.481944444444</v>
      </c>
      <c r="L9" s="15"/>
      <c r="M9">
        <v>2</v>
      </c>
      <c r="O9" t="s">
        <v>201</v>
      </c>
      <c r="P9" t="s">
        <v>1954</v>
      </c>
      <c r="S9" t="s">
        <v>357</v>
      </c>
      <c r="T9" t="s">
        <v>369</v>
      </c>
      <c r="U9" t="s">
        <v>239</v>
      </c>
      <c r="V9" t="s">
        <v>348</v>
      </c>
      <c r="W9" t="s">
        <v>369</v>
      </c>
      <c r="X9" t="s">
        <v>239</v>
      </c>
      <c r="Y9">
        <v>0</v>
      </c>
      <c r="AA9" t="s">
        <v>67</v>
      </c>
      <c r="AB9" t="s">
        <v>357</v>
      </c>
      <c r="AC9">
        <v>101</v>
      </c>
      <c r="AD9" t="s">
        <v>217</v>
      </c>
      <c r="AE9">
        <v>1</v>
      </c>
      <c r="AF9">
        <v>1</v>
      </c>
    </row>
    <row r="10" spans="1:32" x14ac:dyDescent="0.3">
      <c r="A10" t="s">
        <v>348</v>
      </c>
      <c r="B10" t="s">
        <v>43</v>
      </c>
      <c r="C10" t="s">
        <v>105</v>
      </c>
      <c r="D10" t="s">
        <v>309</v>
      </c>
      <c r="E10" t="s">
        <v>957</v>
      </c>
      <c r="F10" s="15">
        <v>46241.373356481483</v>
      </c>
      <c r="G10" t="s">
        <v>401</v>
      </c>
      <c r="H10">
        <v>2</v>
      </c>
      <c r="I10" t="s">
        <v>958</v>
      </c>
      <c r="J10" s="15">
        <v>46241.399305555555</v>
      </c>
      <c r="K10" s="15">
        <v>46244.479166666664</v>
      </c>
      <c r="L10" s="15"/>
      <c r="M10">
        <v>2</v>
      </c>
      <c r="O10" t="s">
        <v>201</v>
      </c>
      <c r="P10" t="s">
        <v>1954</v>
      </c>
      <c r="S10" t="s">
        <v>357</v>
      </c>
      <c r="T10" t="s">
        <v>369</v>
      </c>
      <c r="U10" t="s">
        <v>239</v>
      </c>
      <c r="V10" t="s">
        <v>348</v>
      </c>
      <c r="W10" t="s">
        <v>369</v>
      </c>
      <c r="X10" t="s">
        <v>239</v>
      </c>
      <c r="Y10">
        <v>0</v>
      </c>
      <c r="AA10" t="s">
        <v>67</v>
      </c>
      <c r="AB10" t="s">
        <v>357</v>
      </c>
      <c r="AC10">
        <v>101</v>
      </c>
      <c r="AD10" t="s">
        <v>217</v>
      </c>
      <c r="AE10">
        <v>1</v>
      </c>
      <c r="AF10">
        <v>1</v>
      </c>
    </row>
    <row r="11" spans="1:32" x14ac:dyDescent="0.3">
      <c r="A11" t="s">
        <v>348</v>
      </c>
      <c r="B11" t="s">
        <v>43</v>
      </c>
      <c r="C11" t="s">
        <v>105</v>
      </c>
      <c r="D11" t="s">
        <v>309</v>
      </c>
      <c r="E11" t="s">
        <v>959</v>
      </c>
      <c r="F11" s="15">
        <v>46239.511006944442</v>
      </c>
      <c r="G11" t="s">
        <v>401</v>
      </c>
      <c r="H11">
        <v>3</v>
      </c>
      <c r="I11" t="s">
        <v>960</v>
      </c>
      <c r="J11" s="15">
        <v>46239.690972222219</v>
      </c>
      <c r="K11" s="15">
        <v>46240.486805555556</v>
      </c>
      <c r="L11" s="15"/>
      <c r="M11">
        <v>3</v>
      </c>
      <c r="O11" t="s">
        <v>201</v>
      </c>
      <c r="P11" t="s">
        <v>1954</v>
      </c>
      <c r="S11" t="s">
        <v>357</v>
      </c>
      <c r="T11" t="s">
        <v>369</v>
      </c>
      <c r="U11" t="s">
        <v>239</v>
      </c>
      <c r="V11" t="s">
        <v>348</v>
      </c>
      <c r="W11" t="s">
        <v>369</v>
      </c>
      <c r="X11" t="s">
        <v>239</v>
      </c>
      <c r="Y11">
        <v>0</v>
      </c>
      <c r="AA11" t="s">
        <v>67</v>
      </c>
      <c r="AB11" t="s">
        <v>357</v>
      </c>
      <c r="AC11">
        <v>101</v>
      </c>
      <c r="AD11" t="s">
        <v>217</v>
      </c>
      <c r="AE11">
        <v>1</v>
      </c>
      <c r="AF11">
        <v>1</v>
      </c>
    </row>
    <row r="12" spans="1:32" x14ac:dyDescent="0.3">
      <c r="A12" t="s">
        <v>348</v>
      </c>
      <c r="B12" t="s">
        <v>45</v>
      </c>
      <c r="C12" t="s">
        <v>68</v>
      </c>
      <c r="D12" t="s">
        <v>309</v>
      </c>
      <c r="E12" t="s">
        <v>961</v>
      </c>
      <c r="F12" s="15">
        <v>46238.581493055557</v>
      </c>
      <c r="G12" t="s">
        <v>401</v>
      </c>
      <c r="H12">
        <v>9</v>
      </c>
      <c r="I12" t="s">
        <v>962</v>
      </c>
      <c r="J12" s="15">
        <v>46239.600694444445</v>
      </c>
      <c r="K12" s="15">
        <v>46240.479166666664</v>
      </c>
      <c r="L12" s="15"/>
      <c r="M12">
        <v>9</v>
      </c>
      <c r="O12" t="s">
        <v>201</v>
      </c>
      <c r="P12" t="s">
        <v>1954</v>
      </c>
      <c r="S12" t="s">
        <v>357</v>
      </c>
      <c r="T12" t="s">
        <v>369</v>
      </c>
      <c r="U12" t="s">
        <v>239</v>
      </c>
      <c r="V12" t="s">
        <v>348</v>
      </c>
      <c r="W12" t="s">
        <v>369</v>
      </c>
      <c r="X12" t="s">
        <v>239</v>
      </c>
      <c r="AA12" t="s">
        <v>67</v>
      </c>
      <c r="AB12" t="s">
        <v>357</v>
      </c>
      <c r="AC12">
        <v>101</v>
      </c>
      <c r="AD12" t="s">
        <v>217</v>
      </c>
      <c r="AE12">
        <v>1</v>
      </c>
    </row>
    <row r="13" spans="1:32" x14ac:dyDescent="0.3">
      <c r="A13" t="s">
        <v>348</v>
      </c>
      <c r="B13" t="s">
        <v>43</v>
      </c>
      <c r="C13" t="s">
        <v>105</v>
      </c>
      <c r="D13" t="s">
        <v>309</v>
      </c>
      <c r="E13" t="s">
        <v>963</v>
      </c>
      <c r="F13" s="15">
        <v>46232.641296296293</v>
      </c>
      <c r="G13" t="s">
        <v>401</v>
      </c>
      <c r="H13">
        <v>3</v>
      </c>
      <c r="I13" t="s">
        <v>964</v>
      </c>
      <c r="J13" s="15">
        <v>46232.691562499997</v>
      </c>
      <c r="K13" s="15">
        <v>46233.513888888891</v>
      </c>
      <c r="L13" s="15"/>
      <c r="M13">
        <v>3</v>
      </c>
      <c r="O13" t="s">
        <v>201</v>
      </c>
      <c r="P13" t="s">
        <v>1954</v>
      </c>
      <c r="S13" t="s">
        <v>357</v>
      </c>
      <c r="T13" t="s">
        <v>369</v>
      </c>
      <c r="U13" t="s">
        <v>239</v>
      </c>
      <c r="V13" t="s">
        <v>348</v>
      </c>
      <c r="W13" t="s">
        <v>369</v>
      </c>
      <c r="X13" t="s">
        <v>239</v>
      </c>
      <c r="Y13">
        <v>0</v>
      </c>
      <c r="AA13" t="s">
        <v>67</v>
      </c>
      <c r="AB13" t="s">
        <v>357</v>
      </c>
      <c r="AC13">
        <v>101</v>
      </c>
      <c r="AD13" t="s">
        <v>217</v>
      </c>
      <c r="AE13">
        <v>1</v>
      </c>
      <c r="AF13">
        <v>1</v>
      </c>
    </row>
    <row r="14" spans="1:32" x14ac:dyDescent="0.3">
      <c r="A14" t="s">
        <v>348</v>
      </c>
      <c r="B14" t="s">
        <v>43</v>
      </c>
      <c r="C14" t="s">
        <v>105</v>
      </c>
      <c r="D14" t="s">
        <v>309</v>
      </c>
      <c r="E14" t="s">
        <v>965</v>
      </c>
      <c r="F14" s="15">
        <v>46220.487835648149</v>
      </c>
      <c r="G14" t="s">
        <v>401</v>
      </c>
      <c r="H14">
        <v>3</v>
      </c>
      <c r="I14" t="s">
        <v>966</v>
      </c>
      <c r="J14" s="15">
        <v>46220.6875</v>
      </c>
      <c r="K14" s="15">
        <v>46224.423611111109</v>
      </c>
      <c r="L14" s="15"/>
      <c r="M14">
        <v>3</v>
      </c>
      <c r="O14" t="s">
        <v>201</v>
      </c>
      <c r="P14" t="s">
        <v>1954</v>
      </c>
      <c r="S14" t="s">
        <v>357</v>
      </c>
      <c r="T14" t="s">
        <v>369</v>
      </c>
      <c r="U14" t="s">
        <v>239</v>
      </c>
      <c r="V14" t="s">
        <v>348</v>
      </c>
      <c r="W14" t="s">
        <v>369</v>
      </c>
      <c r="X14" t="s">
        <v>239</v>
      </c>
      <c r="Y14">
        <v>0</v>
      </c>
      <c r="AA14" t="s">
        <v>67</v>
      </c>
      <c r="AB14" t="s">
        <v>357</v>
      </c>
      <c r="AC14">
        <v>101</v>
      </c>
      <c r="AD14" t="s">
        <v>217</v>
      </c>
      <c r="AE14">
        <v>1</v>
      </c>
      <c r="AF14">
        <v>1</v>
      </c>
    </row>
    <row r="15" spans="1:32" x14ac:dyDescent="0.3">
      <c r="A15" t="s">
        <v>348</v>
      </c>
      <c r="B15" t="s">
        <v>47</v>
      </c>
      <c r="C15" t="s">
        <v>68</v>
      </c>
      <c r="D15" t="s">
        <v>309</v>
      </c>
      <c r="E15" t="s">
        <v>967</v>
      </c>
      <c r="F15" s="15">
        <v>46239.471967592595</v>
      </c>
      <c r="G15" t="s">
        <v>401</v>
      </c>
      <c r="H15">
        <v>1</v>
      </c>
      <c r="I15" t="s">
        <v>968</v>
      </c>
      <c r="J15" s="15">
        <v>46239.673611111109</v>
      </c>
      <c r="K15" s="15">
        <v>46240.488194444442</v>
      </c>
      <c r="L15" s="15"/>
      <c r="M15">
        <v>1</v>
      </c>
      <c r="O15" t="s">
        <v>146</v>
      </c>
      <c r="P15" t="s">
        <v>1954</v>
      </c>
      <c r="S15" t="s">
        <v>357</v>
      </c>
      <c r="T15" t="s">
        <v>369</v>
      </c>
      <c r="U15" t="s">
        <v>239</v>
      </c>
      <c r="V15" t="s">
        <v>348</v>
      </c>
      <c r="W15" t="s">
        <v>369</v>
      </c>
      <c r="X15" t="s">
        <v>239</v>
      </c>
      <c r="Y15">
        <v>0</v>
      </c>
      <c r="AA15" t="s">
        <v>90</v>
      </c>
      <c r="AB15" t="s">
        <v>357</v>
      </c>
      <c r="AC15">
        <v>101</v>
      </c>
      <c r="AD15" t="s">
        <v>218</v>
      </c>
      <c r="AE15">
        <v>1</v>
      </c>
      <c r="AF15">
        <v>1</v>
      </c>
    </row>
    <row r="16" spans="1:32" x14ac:dyDescent="0.3">
      <c r="A16" t="s">
        <v>348</v>
      </c>
      <c r="B16" t="s">
        <v>47</v>
      </c>
      <c r="C16" t="s">
        <v>68</v>
      </c>
      <c r="D16" t="s">
        <v>309</v>
      </c>
      <c r="E16" t="s">
        <v>969</v>
      </c>
      <c r="F16" s="15">
        <v>46239.466099537036</v>
      </c>
      <c r="G16" t="s">
        <v>401</v>
      </c>
      <c r="H16">
        <v>1</v>
      </c>
      <c r="I16" t="s">
        <v>970</v>
      </c>
      <c r="J16" s="15">
        <v>46239.635162037041</v>
      </c>
      <c r="K16" s="15">
        <v>46240.467361111114</v>
      </c>
      <c r="L16" s="15"/>
      <c r="M16">
        <v>1</v>
      </c>
      <c r="O16" t="s">
        <v>146</v>
      </c>
      <c r="P16" t="s">
        <v>1954</v>
      </c>
      <c r="S16" t="s">
        <v>357</v>
      </c>
      <c r="T16" t="s">
        <v>369</v>
      </c>
      <c r="U16" t="s">
        <v>239</v>
      </c>
      <c r="V16" t="s">
        <v>348</v>
      </c>
      <c r="W16" t="s">
        <v>369</v>
      </c>
      <c r="X16" t="s">
        <v>239</v>
      </c>
      <c r="AA16" t="s">
        <v>90</v>
      </c>
      <c r="AB16" t="s">
        <v>357</v>
      </c>
      <c r="AC16">
        <v>101</v>
      </c>
      <c r="AD16" t="s">
        <v>218</v>
      </c>
      <c r="AE16">
        <v>1</v>
      </c>
    </row>
    <row r="17" spans="1:32" x14ac:dyDescent="0.3">
      <c r="A17" t="s">
        <v>348</v>
      </c>
      <c r="B17" t="s">
        <v>47</v>
      </c>
      <c r="C17" t="s">
        <v>68</v>
      </c>
      <c r="D17" t="s">
        <v>309</v>
      </c>
      <c r="E17" t="s">
        <v>971</v>
      </c>
      <c r="F17" s="15">
        <v>46233.500243055554</v>
      </c>
      <c r="G17" t="s">
        <v>401</v>
      </c>
      <c r="H17">
        <v>2</v>
      </c>
      <c r="I17" t="s">
        <v>972</v>
      </c>
      <c r="J17" s="15">
        <v>46233.712500000001</v>
      </c>
      <c r="K17" s="15">
        <v>46234.449305555558</v>
      </c>
      <c r="L17" s="15"/>
      <c r="M17">
        <v>2</v>
      </c>
      <c r="O17" t="s">
        <v>146</v>
      </c>
      <c r="P17" t="s">
        <v>1954</v>
      </c>
      <c r="S17" t="s">
        <v>357</v>
      </c>
      <c r="T17" t="s">
        <v>369</v>
      </c>
      <c r="U17" t="s">
        <v>239</v>
      </c>
      <c r="V17" t="s">
        <v>348</v>
      </c>
      <c r="W17" t="s">
        <v>369</v>
      </c>
      <c r="X17" t="s">
        <v>239</v>
      </c>
      <c r="Y17">
        <v>0</v>
      </c>
      <c r="AA17" t="s">
        <v>90</v>
      </c>
      <c r="AB17" t="s">
        <v>357</v>
      </c>
      <c r="AC17">
        <v>101</v>
      </c>
      <c r="AD17" t="s">
        <v>218</v>
      </c>
      <c r="AE17">
        <v>1</v>
      </c>
      <c r="AF17">
        <v>1</v>
      </c>
    </row>
    <row r="18" spans="1:32" x14ac:dyDescent="0.3">
      <c r="A18" t="s">
        <v>348</v>
      </c>
      <c r="B18" t="s">
        <v>47</v>
      </c>
      <c r="C18" t="s">
        <v>68</v>
      </c>
      <c r="D18" t="s">
        <v>309</v>
      </c>
      <c r="E18" t="s">
        <v>973</v>
      </c>
      <c r="F18" s="15">
        <v>46240.53496527778</v>
      </c>
      <c r="G18" t="s">
        <v>401</v>
      </c>
      <c r="H18">
        <v>1</v>
      </c>
      <c r="I18" t="s">
        <v>974</v>
      </c>
      <c r="J18" s="15">
        <v>46240.617361111108</v>
      </c>
      <c r="K18" s="15">
        <v>46241.430555555555</v>
      </c>
      <c r="L18" s="15"/>
      <c r="M18">
        <v>1</v>
      </c>
      <c r="O18" t="s">
        <v>146</v>
      </c>
      <c r="P18" t="s">
        <v>1954</v>
      </c>
      <c r="S18" t="s">
        <v>357</v>
      </c>
      <c r="T18" t="s">
        <v>369</v>
      </c>
      <c r="U18" t="s">
        <v>239</v>
      </c>
      <c r="V18" t="s">
        <v>348</v>
      </c>
      <c r="W18" t="s">
        <v>369</v>
      </c>
      <c r="X18" t="s">
        <v>239</v>
      </c>
      <c r="Y18">
        <v>0</v>
      </c>
      <c r="AA18" t="s">
        <v>90</v>
      </c>
      <c r="AB18" t="s">
        <v>357</v>
      </c>
      <c r="AC18">
        <v>101</v>
      </c>
      <c r="AD18" t="s">
        <v>218</v>
      </c>
      <c r="AE18">
        <v>1</v>
      </c>
      <c r="AF18">
        <v>1</v>
      </c>
    </row>
    <row r="19" spans="1:32" x14ac:dyDescent="0.3">
      <c r="A19" t="s">
        <v>348</v>
      </c>
      <c r="B19" t="s">
        <v>48</v>
      </c>
      <c r="C19" t="s">
        <v>68</v>
      </c>
      <c r="D19" t="s">
        <v>309</v>
      </c>
      <c r="E19" t="s">
        <v>975</v>
      </c>
      <c r="F19" s="15">
        <v>46246.518310185187</v>
      </c>
      <c r="G19" t="s">
        <v>401</v>
      </c>
      <c r="H19">
        <v>1</v>
      </c>
      <c r="I19" t="s">
        <v>976</v>
      </c>
      <c r="J19" s="15">
        <v>46252.508333333331</v>
      </c>
      <c r="K19" s="15">
        <v>46254.573611111111</v>
      </c>
      <c r="L19" s="15"/>
      <c r="M19">
        <v>1</v>
      </c>
      <c r="O19" t="s">
        <v>201</v>
      </c>
      <c r="P19" t="s">
        <v>1956</v>
      </c>
      <c r="S19" t="s">
        <v>357</v>
      </c>
      <c r="T19" t="s">
        <v>369</v>
      </c>
      <c r="U19" t="s">
        <v>239</v>
      </c>
      <c r="V19" t="s">
        <v>348</v>
      </c>
      <c r="W19" t="s">
        <v>369</v>
      </c>
      <c r="X19" t="s">
        <v>239</v>
      </c>
      <c r="Y19">
        <v>0</v>
      </c>
      <c r="AA19" t="s">
        <v>90</v>
      </c>
      <c r="AB19" t="s">
        <v>357</v>
      </c>
      <c r="AC19">
        <v>101</v>
      </c>
      <c r="AD19" t="s">
        <v>217</v>
      </c>
      <c r="AE19">
        <v>1</v>
      </c>
      <c r="AF19">
        <v>1</v>
      </c>
    </row>
    <row r="20" spans="1:32" x14ac:dyDescent="0.3">
      <c r="A20" t="s">
        <v>348</v>
      </c>
      <c r="B20" t="s">
        <v>48</v>
      </c>
      <c r="C20" t="s">
        <v>68</v>
      </c>
      <c r="D20" t="s">
        <v>309</v>
      </c>
      <c r="E20" t="s">
        <v>977</v>
      </c>
      <c r="F20" s="15">
        <v>46251.526550925926</v>
      </c>
      <c r="G20" t="s">
        <v>401</v>
      </c>
      <c r="H20">
        <v>1</v>
      </c>
      <c r="I20" t="s">
        <v>744</v>
      </c>
      <c r="J20" s="15">
        <v>46252.671527777777</v>
      </c>
      <c r="K20" s="15">
        <v>46254.573611111111</v>
      </c>
      <c r="L20" s="15"/>
      <c r="M20">
        <v>1</v>
      </c>
      <c r="O20" t="s">
        <v>201</v>
      </c>
      <c r="P20" t="s">
        <v>1956</v>
      </c>
      <c r="S20" t="s">
        <v>357</v>
      </c>
      <c r="T20" t="s">
        <v>369</v>
      </c>
      <c r="U20" t="s">
        <v>239</v>
      </c>
      <c r="V20" t="s">
        <v>348</v>
      </c>
      <c r="W20" t="s">
        <v>369</v>
      </c>
      <c r="X20" t="s">
        <v>239</v>
      </c>
      <c r="AA20" t="s">
        <v>90</v>
      </c>
      <c r="AB20" t="s">
        <v>357</v>
      </c>
      <c r="AC20">
        <v>101</v>
      </c>
      <c r="AD20" t="s">
        <v>217</v>
      </c>
      <c r="AE20">
        <v>1</v>
      </c>
    </row>
    <row r="21" spans="1:32" x14ac:dyDescent="0.3">
      <c r="A21" t="s">
        <v>348</v>
      </c>
      <c r="B21" t="s">
        <v>48</v>
      </c>
      <c r="C21" t="s">
        <v>68</v>
      </c>
      <c r="D21" t="s">
        <v>309</v>
      </c>
      <c r="E21" t="s">
        <v>977</v>
      </c>
      <c r="F21" s="15">
        <v>46251.620995370373</v>
      </c>
      <c r="G21" t="s">
        <v>401</v>
      </c>
      <c r="H21">
        <v>2</v>
      </c>
      <c r="I21" t="s">
        <v>978</v>
      </c>
      <c r="J21" s="15">
        <v>46252.650694444441</v>
      </c>
      <c r="K21" s="15">
        <v>46254.573611111111</v>
      </c>
      <c r="L21" s="15"/>
      <c r="M21">
        <v>2</v>
      </c>
      <c r="O21" t="s">
        <v>201</v>
      </c>
      <c r="P21" t="s">
        <v>1956</v>
      </c>
      <c r="S21" t="s">
        <v>357</v>
      </c>
      <c r="T21" t="s">
        <v>369</v>
      </c>
      <c r="U21" t="s">
        <v>239</v>
      </c>
      <c r="V21" t="s">
        <v>348</v>
      </c>
      <c r="W21" t="s">
        <v>369</v>
      </c>
      <c r="X21" t="s">
        <v>239</v>
      </c>
      <c r="AA21" t="s">
        <v>90</v>
      </c>
      <c r="AB21" t="s">
        <v>357</v>
      </c>
      <c r="AC21">
        <v>101</v>
      </c>
      <c r="AD21" t="s">
        <v>217</v>
      </c>
      <c r="AE21">
        <v>1</v>
      </c>
    </row>
    <row r="22" spans="1:32" x14ac:dyDescent="0.3">
      <c r="A22" t="s">
        <v>348</v>
      </c>
      <c r="B22" t="s">
        <v>48</v>
      </c>
      <c r="C22" t="s">
        <v>68</v>
      </c>
      <c r="D22" t="s">
        <v>309</v>
      </c>
      <c r="E22" t="s">
        <v>979</v>
      </c>
      <c r="F22" s="15">
        <v>46254.383645833332</v>
      </c>
      <c r="G22" t="s">
        <v>401</v>
      </c>
      <c r="H22">
        <v>1</v>
      </c>
      <c r="I22" t="s">
        <v>980</v>
      </c>
      <c r="J22" s="15">
        <v>46255.375694444447</v>
      </c>
      <c r="K22" s="15">
        <v>46258.484027777777</v>
      </c>
      <c r="L22" s="15"/>
      <c r="M22">
        <v>1</v>
      </c>
      <c r="O22" t="s">
        <v>201</v>
      </c>
      <c r="P22" t="s">
        <v>1956</v>
      </c>
      <c r="S22" t="s">
        <v>357</v>
      </c>
      <c r="T22" t="s">
        <v>369</v>
      </c>
      <c r="U22" t="s">
        <v>239</v>
      </c>
      <c r="V22" t="s">
        <v>348</v>
      </c>
      <c r="W22" t="s">
        <v>369</v>
      </c>
      <c r="X22" t="s">
        <v>239</v>
      </c>
      <c r="Y22">
        <v>0</v>
      </c>
      <c r="AA22" t="s">
        <v>90</v>
      </c>
      <c r="AB22" t="s">
        <v>357</v>
      </c>
      <c r="AC22">
        <v>101</v>
      </c>
      <c r="AD22" t="s">
        <v>217</v>
      </c>
      <c r="AE22">
        <v>1</v>
      </c>
      <c r="AF22">
        <v>1</v>
      </c>
    </row>
    <row r="23" spans="1:32" x14ac:dyDescent="0.3">
      <c r="A23" t="s">
        <v>348</v>
      </c>
      <c r="B23" t="s">
        <v>48</v>
      </c>
      <c r="C23" t="s">
        <v>68</v>
      </c>
      <c r="D23" t="s">
        <v>309</v>
      </c>
      <c r="E23" t="s">
        <v>981</v>
      </c>
      <c r="F23" s="15">
        <v>46246.459398148145</v>
      </c>
      <c r="G23" t="s">
        <v>401</v>
      </c>
      <c r="H23">
        <v>1</v>
      </c>
      <c r="I23" t="s">
        <v>982</v>
      </c>
      <c r="J23" s="15">
        <v>46255.427777777775</v>
      </c>
      <c r="K23" s="15">
        <v>46258.484027777777</v>
      </c>
      <c r="L23" s="15"/>
      <c r="M23">
        <v>1</v>
      </c>
      <c r="O23" t="s">
        <v>201</v>
      </c>
      <c r="P23" t="s">
        <v>1956</v>
      </c>
      <c r="S23" t="s">
        <v>357</v>
      </c>
      <c r="T23" t="s">
        <v>369</v>
      </c>
      <c r="U23" t="s">
        <v>239</v>
      </c>
      <c r="V23" t="s">
        <v>348</v>
      </c>
      <c r="W23" t="s">
        <v>369</v>
      </c>
      <c r="X23" t="s">
        <v>239</v>
      </c>
      <c r="AA23" t="s">
        <v>90</v>
      </c>
      <c r="AB23" t="s">
        <v>357</v>
      </c>
      <c r="AC23">
        <v>101</v>
      </c>
      <c r="AD23" t="s">
        <v>217</v>
      </c>
      <c r="AE23">
        <v>1</v>
      </c>
    </row>
    <row r="24" spans="1:32" x14ac:dyDescent="0.3">
      <c r="A24" t="s">
        <v>348</v>
      </c>
      <c r="B24" t="s">
        <v>48</v>
      </c>
      <c r="C24" t="s">
        <v>68</v>
      </c>
      <c r="D24" t="s">
        <v>309</v>
      </c>
      <c r="E24" t="s">
        <v>983</v>
      </c>
      <c r="F24" s="15">
        <v>46245.580497685187</v>
      </c>
      <c r="G24" t="s">
        <v>401</v>
      </c>
      <c r="H24">
        <v>1</v>
      </c>
      <c r="I24" t="s">
        <v>982</v>
      </c>
      <c r="J24" s="15">
        <v>46255.427777777775</v>
      </c>
      <c r="K24" s="15">
        <v>46258.484027777777</v>
      </c>
      <c r="L24" s="15"/>
      <c r="M24">
        <v>1</v>
      </c>
      <c r="O24" t="s">
        <v>201</v>
      </c>
      <c r="P24" t="s">
        <v>1956</v>
      </c>
      <c r="S24" t="s">
        <v>357</v>
      </c>
      <c r="T24" t="s">
        <v>369</v>
      </c>
      <c r="U24" t="s">
        <v>239</v>
      </c>
      <c r="V24" t="s">
        <v>348</v>
      </c>
      <c r="W24" t="s">
        <v>369</v>
      </c>
      <c r="X24" t="s">
        <v>239</v>
      </c>
      <c r="AA24" t="s">
        <v>90</v>
      </c>
      <c r="AB24" t="s">
        <v>357</v>
      </c>
      <c r="AC24">
        <v>101</v>
      </c>
      <c r="AD24" t="s">
        <v>217</v>
      </c>
      <c r="AE24">
        <v>1</v>
      </c>
    </row>
    <row r="25" spans="1:32" x14ac:dyDescent="0.3">
      <c r="A25" t="s">
        <v>348</v>
      </c>
      <c r="B25" t="s">
        <v>48</v>
      </c>
      <c r="C25" t="s">
        <v>68</v>
      </c>
      <c r="D25" t="s">
        <v>309</v>
      </c>
      <c r="E25" t="s">
        <v>984</v>
      </c>
      <c r="F25" s="15">
        <v>46253.381192129629</v>
      </c>
      <c r="G25" t="s">
        <v>401</v>
      </c>
      <c r="H25">
        <v>1</v>
      </c>
      <c r="I25" t="s">
        <v>985</v>
      </c>
      <c r="J25" s="15">
        <v>46254.517361111109</v>
      </c>
      <c r="K25" s="15">
        <v>46255.386805555558</v>
      </c>
      <c r="L25" s="15"/>
      <c r="M25">
        <v>1</v>
      </c>
      <c r="O25" t="s">
        <v>201</v>
      </c>
      <c r="P25" t="s">
        <v>1954</v>
      </c>
      <c r="S25" t="s">
        <v>357</v>
      </c>
      <c r="T25" t="s">
        <v>369</v>
      </c>
      <c r="U25" t="s">
        <v>239</v>
      </c>
      <c r="V25" t="s">
        <v>348</v>
      </c>
      <c r="W25" t="s">
        <v>369</v>
      </c>
      <c r="X25" t="s">
        <v>239</v>
      </c>
      <c r="Y25">
        <v>0</v>
      </c>
      <c r="AA25" t="s">
        <v>90</v>
      </c>
      <c r="AB25" t="s">
        <v>357</v>
      </c>
      <c r="AC25">
        <v>101</v>
      </c>
      <c r="AD25" t="s">
        <v>217</v>
      </c>
      <c r="AE25">
        <v>1</v>
      </c>
      <c r="AF25">
        <v>1</v>
      </c>
    </row>
    <row r="26" spans="1:32" x14ac:dyDescent="0.3">
      <c r="A26" t="s">
        <v>348</v>
      </c>
      <c r="B26" t="s">
        <v>48</v>
      </c>
      <c r="C26" t="s">
        <v>68</v>
      </c>
      <c r="D26" t="s">
        <v>309</v>
      </c>
      <c r="E26" t="s">
        <v>986</v>
      </c>
      <c r="F26" s="15">
        <v>46237.501354166663</v>
      </c>
      <c r="G26" t="s">
        <v>401</v>
      </c>
      <c r="H26">
        <v>1</v>
      </c>
      <c r="I26" t="s">
        <v>987</v>
      </c>
      <c r="J26" s="15">
        <v>46237.692361111112</v>
      </c>
      <c r="K26" s="15">
        <v>46239.477777777778</v>
      </c>
      <c r="L26" s="15"/>
      <c r="M26">
        <v>1</v>
      </c>
      <c r="O26" t="s">
        <v>201</v>
      </c>
      <c r="P26" t="s">
        <v>1956</v>
      </c>
      <c r="S26" t="s">
        <v>357</v>
      </c>
      <c r="T26" t="s">
        <v>369</v>
      </c>
      <c r="U26" t="s">
        <v>239</v>
      </c>
      <c r="V26" t="s">
        <v>348</v>
      </c>
      <c r="W26" t="s">
        <v>369</v>
      </c>
      <c r="X26" t="s">
        <v>239</v>
      </c>
      <c r="Y26">
        <v>0</v>
      </c>
      <c r="AA26" t="s">
        <v>90</v>
      </c>
      <c r="AB26" t="s">
        <v>357</v>
      </c>
      <c r="AC26">
        <v>101</v>
      </c>
      <c r="AD26" t="s">
        <v>217</v>
      </c>
      <c r="AE26">
        <v>1</v>
      </c>
      <c r="AF26">
        <v>1</v>
      </c>
    </row>
    <row r="27" spans="1:32" x14ac:dyDescent="0.3">
      <c r="A27" t="s">
        <v>348</v>
      </c>
      <c r="B27" t="s">
        <v>48</v>
      </c>
      <c r="C27" t="s">
        <v>68</v>
      </c>
      <c r="D27" t="s">
        <v>309</v>
      </c>
      <c r="E27" t="s">
        <v>988</v>
      </c>
      <c r="F27" s="15">
        <v>46237.522916666669</v>
      </c>
      <c r="G27" t="s">
        <v>401</v>
      </c>
      <c r="H27">
        <v>2</v>
      </c>
      <c r="I27" t="s">
        <v>989</v>
      </c>
      <c r="J27" s="15">
        <v>46237.661747685182</v>
      </c>
      <c r="K27" s="15">
        <v>46239.477777777778</v>
      </c>
      <c r="L27" s="15"/>
      <c r="M27">
        <v>2</v>
      </c>
      <c r="O27" t="s">
        <v>201</v>
      </c>
      <c r="P27" t="s">
        <v>1956</v>
      </c>
      <c r="S27" t="s">
        <v>357</v>
      </c>
      <c r="T27" t="s">
        <v>369</v>
      </c>
      <c r="U27" t="s">
        <v>239</v>
      </c>
      <c r="V27" t="s">
        <v>348</v>
      </c>
      <c r="W27" t="s">
        <v>369</v>
      </c>
      <c r="X27" t="s">
        <v>239</v>
      </c>
      <c r="AA27" t="s">
        <v>90</v>
      </c>
      <c r="AB27" t="s">
        <v>357</v>
      </c>
      <c r="AC27">
        <v>101</v>
      </c>
      <c r="AD27" t="s">
        <v>217</v>
      </c>
      <c r="AE27">
        <v>1</v>
      </c>
    </row>
    <row r="28" spans="1:32" x14ac:dyDescent="0.3">
      <c r="A28" t="s">
        <v>348</v>
      </c>
      <c r="B28" t="s">
        <v>48</v>
      </c>
      <c r="C28" t="s">
        <v>68</v>
      </c>
      <c r="D28" t="s">
        <v>309</v>
      </c>
      <c r="E28" t="s">
        <v>990</v>
      </c>
      <c r="F28" s="15">
        <v>46226.405069444445</v>
      </c>
      <c r="G28" t="s">
        <v>401</v>
      </c>
      <c r="H28">
        <v>2</v>
      </c>
      <c r="I28" t="s">
        <v>991</v>
      </c>
      <c r="J28" s="15">
        <v>46226.479988425926</v>
      </c>
      <c r="K28" s="15">
        <v>46230.652777777781</v>
      </c>
      <c r="L28" s="15"/>
      <c r="M28">
        <v>2</v>
      </c>
      <c r="O28" t="s">
        <v>201</v>
      </c>
      <c r="P28" t="s">
        <v>1956</v>
      </c>
      <c r="S28" t="s">
        <v>357</v>
      </c>
      <c r="T28" t="s">
        <v>369</v>
      </c>
      <c r="U28" t="s">
        <v>239</v>
      </c>
      <c r="V28" t="s">
        <v>348</v>
      </c>
      <c r="W28" t="s">
        <v>369</v>
      </c>
      <c r="X28" t="s">
        <v>239</v>
      </c>
      <c r="Y28">
        <v>0</v>
      </c>
      <c r="AA28" t="s">
        <v>90</v>
      </c>
      <c r="AB28" t="s">
        <v>357</v>
      </c>
      <c r="AC28">
        <v>101</v>
      </c>
      <c r="AD28" t="s">
        <v>217</v>
      </c>
      <c r="AE28">
        <v>1</v>
      </c>
      <c r="AF28">
        <v>1</v>
      </c>
    </row>
    <row r="29" spans="1:32" x14ac:dyDescent="0.3">
      <c r="A29" t="s">
        <v>348</v>
      </c>
      <c r="B29" t="s">
        <v>48</v>
      </c>
      <c r="C29" t="s">
        <v>68</v>
      </c>
      <c r="D29" t="s">
        <v>309</v>
      </c>
      <c r="E29" t="s">
        <v>992</v>
      </c>
      <c r="F29" s="15">
        <v>46224.393900462965</v>
      </c>
      <c r="G29" t="s">
        <v>401</v>
      </c>
      <c r="H29">
        <v>1</v>
      </c>
      <c r="I29" t="s">
        <v>993</v>
      </c>
      <c r="J29" s="15">
        <v>46233.604861111111</v>
      </c>
      <c r="K29" s="15">
        <v>46234.497916666667</v>
      </c>
      <c r="L29" s="15"/>
      <c r="M29">
        <v>1</v>
      </c>
      <c r="O29" t="s">
        <v>201</v>
      </c>
      <c r="P29" t="s">
        <v>1954</v>
      </c>
      <c r="S29" t="s">
        <v>357</v>
      </c>
      <c r="T29" t="s">
        <v>369</v>
      </c>
      <c r="U29" t="s">
        <v>239</v>
      </c>
      <c r="V29" t="s">
        <v>348</v>
      </c>
      <c r="W29" t="s">
        <v>369</v>
      </c>
      <c r="X29" t="s">
        <v>239</v>
      </c>
      <c r="Y29">
        <v>0</v>
      </c>
      <c r="AA29" t="s">
        <v>90</v>
      </c>
      <c r="AB29" t="s">
        <v>357</v>
      </c>
      <c r="AC29">
        <v>101</v>
      </c>
      <c r="AD29" t="s">
        <v>217</v>
      </c>
      <c r="AE29">
        <v>1</v>
      </c>
      <c r="AF29">
        <v>1</v>
      </c>
    </row>
    <row r="30" spans="1:32" x14ac:dyDescent="0.3">
      <c r="A30" t="s">
        <v>348</v>
      </c>
      <c r="B30" t="s">
        <v>43</v>
      </c>
      <c r="C30" t="s">
        <v>105</v>
      </c>
      <c r="D30" t="s">
        <v>309</v>
      </c>
      <c r="E30" t="s">
        <v>994</v>
      </c>
      <c r="F30" s="15">
        <v>46244.369768518518</v>
      </c>
      <c r="G30" t="s">
        <v>402</v>
      </c>
      <c r="H30">
        <v>4</v>
      </c>
      <c r="I30" t="s">
        <v>995</v>
      </c>
      <c r="J30" s="15">
        <v>46244.668749999997</v>
      </c>
      <c r="K30" s="15">
        <v>46246.443055555559</v>
      </c>
      <c r="L30" s="15"/>
      <c r="M30">
        <v>4</v>
      </c>
      <c r="O30" t="s">
        <v>201</v>
      </c>
      <c r="P30" t="s">
        <v>1954</v>
      </c>
      <c r="S30" t="s">
        <v>354</v>
      </c>
      <c r="T30" t="s">
        <v>369</v>
      </c>
      <c r="U30" t="s">
        <v>239</v>
      </c>
      <c r="V30" t="s">
        <v>348</v>
      </c>
      <c r="W30" t="s">
        <v>369</v>
      </c>
      <c r="X30" t="s">
        <v>239</v>
      </c>
      <c r="Y30">
        <v>0</v>
      </c>
      <c r="AA30" t="s">
        <v>67</v>
      </c>
      <c r="AB30" t="s">
        <v>354</v>
      </c>
      <c r="AC30">
        <v>50</v>
      </c>
      <c r="AD30" t="s">
        <v>217</v>
      </c>
      <c r="AE30">
        <v>1</v>
      </c>
      <c r="AF30">
        <v>1</v>
      </c>
    </row>
    <row r="31" spans="1:32" x14ac:dyDescent="0.3">
      <c r="A31" t="s">
        <v>348</v>
      </c>
      <c r="B31" t="s">
        <v>48</v>
      </c>
      <c r="C31" t="s">
        <v>68</v>
      </c>
      <c r="D31" t="s">
        <v>309</v>
      </c>
      <c r="E31" t="s">
        <v>996</v>
      </c>
      <c r="F31" s="15">
        <v>46244.381539351853</v>
      </c>
      <c r="G31" t="s">
        <v>402</v>
      </c>
      <c r="H31">
        <v>1</v>
      </c>
      <c r="I31" t="s">
        <v>997</v>
      </c>
      <c r="J31" s="15">
        <v>46244.708368055559</v>
      </c>
      <c r="K31" s="15">
        <v>46246.443055555559</v>
      </c>
      <c r="L31" s="15"/>
      <c r="M31">
        <v>1</v>
      </c>
      <c r="O31" t="s">
        <v>201</v>
      </c>
      <c r="P31" t="s">
        <v>1956</v>
      </c>
      <c r="S31" t="s">
        <v>354</v>
      </c>
      <c r="T31" t="s">
        <v>369</v>
      </c>
      <c r="U31" t="s">
        <v>239</v>
      </c>
      <c r="V31" t="s">
        <v>348</v>
      </c>
      <c r="W31" t="s">
        <v>369</v>
      </c>
      <c r="X31" t="s">
        <v>239</v>
      </c>
      <c r="AA31" t="s">
        <v>90</v>
      </c>
      <c r="AB31" t="s">
        <v>354</v>
      </c>
      <c r="AC31">
        <v>50</v>
      </c>
      <c r="AD31" t="s">
        <v>217</v>
      </c>
      <c r="AE31">
        <v>1</v>
      </c>
    </row>
    <row r="32" spans="1:32" x14ac:dyDescent="0.3">
      <c r="A32" t="s">
        <v>348</v>
      </c>
      <c r="B32" t="s">
        <v>43</v>
      </c>
      <c r="C32" t="s">
        <v>105</v>
      </c>
      <c r="D32" t="s">
        <v>309</v>
      </c>
      <c r="E32" t="s">
        <v>998</v>
      </c>
      <c r="F32" s="15">
        <v>46227.579050925924</v>
      </c>
      <c r="G32" t="s">
        <v>402</v>
      </c>
      <c r="H32">
        <v>2</v>
      </c>
      <c r="I32" t="s">
        <v>999</v>
      </c>
      <c r="J32" s="15">
        <v>46227.624965277777</v>
      </c>
      <c r="K32" s="15">
        <v>46231.416666666664</v>
      </c>
      <c r="L32" s="15"/>
      <c r="M32">
        <v>2</v>
      </c>
      <c r="O32" t="s">
        <v>201</v>
      </c>
      <c r="P32" t="s">
        <v>1954</v>
      </c>
      <c r="S32" t="s">
        <v>354</v>
      </c>
      <c r="T32" t="s">
        <v>369</v>
      </c>
      <c r="U32" t="s">
        <v>239</v>
      </c>
      <c r="V32" t="s">
        <v>348</v>
      </c>
      <c r="W32" t="s">
        <v>369</v>
      </c>
      <c r="X32" t="s">
        <v>239</v>
      </c>
      <c r="Y32">
        <v>0</v>
      </c>
      <c r="AA32" t="s">
        <v>67</v>
      </c>
      <c r="AB32" t="s">
        <v>354</v>
      </c>
      <c r="AC32">
        <v>50</v>
      </c>
      <c r="AD32" t="s">
        <v>217</v>
      </c>
      <c r="AE32">
        <v>1</v>
      </c>
      <c r="AF32">
        <v>1</v>
      </c>
    </row>
    <row r="33" spans="1:32" x14ac:dyDescent="0.3">
      <c r="A33" t="s">
        <v>348</v>
      </c>
      <c r="B33" t="s">
        <v>47</v>
      </c>
      <c r="C33" t="s">
        <v>68</v>
      </c>
      <c r="D33" t="s">
        <v>309</v>
      </c>
      <c r="E33" t="s">
        <v>1000</v>
      </c>
      <c r="F33" s="15">
        <v>46240.53496527778</v>
      </c>
      <c r="G33" t="s">
        <v>401</v>
      </c>
      <c r="H33">
        <v>2</v>
      </c>
      <c r="I33" t="s">
        <v>974</v>
      </c>
      <c r="J33" s="15">
        <v>46240.617361111108</v>
      </c>
      <c r="K33" s="15">
        <v>46241.430555555555</v>
      </c>
      <c r="L33" s="15"/>
      <c r="M33">
        <v>2</v>
      </c>
      <c r="O33" t="s">
        <v>146</v>
      </c>
      <c r="P33" t="s">
        <v>1954</v>
      </c>
      <c r="S33" t="s">
        <v>354</v>
      </c>
      <c r="T33" t="s">
        <v>369</v>
      </c>
      <c r="U33" t="s">
        <v>239</v>
      </c>
      <c r="V33" t="s">
        <v>348</v>
      </c>
      <c r="W33" t="s">
        <v>369</v>
      </c>
      <c r="X33" t="s">
        <v>239</v>
      </c>
      <c r="Y33">
        <v>0</v>
      </c>
      <c r="AA33" t="s">
        <v>90</v>
      </c>
      <c r="AB33" t="s">
        <v>354</v>
      </c>
      <c r="AC33">
        <v>50</v>
      </c>
      <c r="AD33" t="s">
        <v>218</v>
      </c>
      <c r="AE33">
        <v>1</v>
      </c>
      <c r="AF33">
        <v>1</v>
      </c>
    </row>
    <row r="34" spans="1:32" x14ac:dyDescent="0.3">
      <c r="A34" t="s">
        <v>348</v>
      </c>
      <c r="B34" t="s">
        <v>45</v>
      </c>
      <c r="C34" t="s">
        <v>68</v>
      </c>
      <c r="D34" t="s">
        <v>309</v>
      </c>
      <c r="E34" t="s">
        <v>1001</v>
      </c>
      <c r="F34" s="15">
        <v>46238.415856481479</v>
      </c>
      <c r="G34" t="s">
        <v>406</v>
      </c>
      <c r="H34">
        <v>3</v>
      </c>
      <c r="I34" t="s">
        <v>1002</v>
      </c>
      <c r="J34" s="15">
        <v>46238.662499999999</v>
      </c>
      <c r="K34" s="15">
        <v>46240.430555555555</v>
      </c>
      <c r="L34" s="15"/>
      <c r="M34">
        <v>3</v>
      </c>
      <c r="O34" t="s">
        <v>201</v>
      </c>
      <c r="P34" t="s">
        <v>1956</v>
      </c>
      <c r="S34" t="s">
        <v>354</v>
      </c>
      <c r="T34" t="s">
        <v>369</v>
      </c>
      <c r="U34" t="s">
        <v>239</v>
      </c>
      <c r="V34" t="s">
        <v>348</v>
      </c>
      <c r="W34" t="s">
        <v>369</v>
      </c>
      <c r="X34" t="s">
        <v>239</v>
      </c>
      <c r="Y34">
        <v>0</v>
      </c>
      <c r="AA34" t="s">
        <v>67</v>
      </c>
      <c r="AB34" t="s">
        <v>354</v>
      </c>
      <c r="AC34">
        <v>50</v>
      </c>
      <c r="AD34" t="s">
        <v>217</v>
      </c>
      <c r="AE34">
        <v>1</v>
      </c>
      <c r="AF34">
        <v>1</v>
      </c>
    </row>
    <row r="35" spans="1:32" x14ac:dyDescent="0.3">
      <c r="A35" t="s">
        <v>348</v>
      </c>
      <c r="B35" t="s">
        <v>45</v>
      </c>
      <c r="C35" t="s">
        <v>68</v>
      </c>
      <c r="D35" t="s">
        <v>309</v>
      </c>
      <c r="E35" t="s">
        <v>1003</v>
      </c>
      <c r="F35" s="15">
        <v>46238.416307870371</v>
      </c>
      <c r="G35" t="s">
        <v>406</v>
      </c>
      <c r="H35">
        <v>10</v>
      </c>
      <c r="I35" t="s">
        <v>1004</v>
      </c>
      <c r="J35" s="15">
        <v>46238.654166666667</v>
      </c>
      <c r="K35" s="15">
        <v>46240.430555555555</v>
      </c>
      <c r="L35" s="15"/>
      <c r="M35">
        <v>10</v>
      </c>
      <c r="O35" t="s">
        <v>201</v>
      </c>
      <c r="P35" t="s">
        <v>1956</v>
      </c>
      <c r="S35" t="s">
        <v>354</v>
      </c>
      <c r="T35" t="s">
        <v>369</v>
      </c>
      <c r="U35" t="s">
        <v>239</v>
      </c>
      <c r="V35" t="s">
        <v>348</v>
      </c>
      <c r="W35" t="s">
        <v>369</v>
      </c>
      <c r="X35" t="s">
        <v>239</v>
      </c>
      <c r="AA35" t="s">
        <v>67</v>
      </c>
      <c r="AB35" t="s">
        <v>354</v>
      </c>
      <c r="AC35">
        <v>50</v>
      </c>
      <c r="AD35" t="s">
        <v>217</v>
      </c>
      <c r="AE35">
        <v>1</v>
      </c>
    </row>
    <row r="36" spans="1:32" x14ac:dyDescent="0.3">
      <c r="A36" t="s">
        <v>348</v>
      </c>
      <c r="B36" t="s">
        <v>45</v>
      </c>
      <c r="C36" t="s">
        <v>68</v>
      </c>
      <c r="D36" t="s">
        <v>309</v>
      </c>
      <c r="E36" t="s">
        <v>1005</v>
      </c>
      <c r="F36" s="15">
        <v>46238.415497685186</v>
      </c>
      <c r="G36" t="s">
        <v>406</v>
      </c>
      <c r="H36">
        <v>9</v>
      </c>
      <c r="I36" t="s">
        <v>1006</v>
      </c>
      <c r="J36" s="15">
        <v>46238.628472222219</v>
      </c>
      <c r="K36" s="15">
        <v>46240.430555555555</v>
      </c>
      <c r="L36" s="15"/>
      <c r="M36">
        <v>9</v>
      </c>
      <c r="O36" t="s">
        <v>201</v>
      </c>
      <c r="P36" t="s">
        <v>1956</v>
      </c>
      <c r="S36" t="s">
        <v>354</v>
      </c>
      <c r="T36" t="s">
        <v>369</v>
      </c>
      <c r="U36" t="s">
        <v>239</v>
      </c>
      <c r="V36" t="s">
        <v>348</v>
      </c>
      <c r="W36" t="s">
        <v>369</v>
      </c>
      <c r="X36" t="s">
        <v>239</v>
      </c>
      <c r="AA36" t="s">
        <v>67</v>
      </c>
      <c r="AB36" t="s">
        <v>354</v>
      </c>
      <c r="AC36">
        <v>50</v>
      </c>
      <c r="AD36" t="s">
        <v>217</v>
      </c>
      <c r="AE36">
        <v>1</v>
      </c>
    </row>
    <row r="37" spans="1:32" x14ac:dyDescent="0.3">
      <c r="A37" t="s">
        <v>348</v>
      </c>
      <c r="B37" t="s">
        <v>45</v>
      </c>
      <c r="C37" t="s">
        <v>68</v>
      </c>
      <c r="D37" t="s">
        <v>309</v>
      </c>
      <c r="E37" t="s">
        <v>743</v>
      </c>
      <c r="F37" s="15">
        <v>46237.469942129632</v>
      </c>
      <c r="G37" t="s">
        <v>402</v>
      </c>
      <c r="H37">
        <v>1</v>
      </c>
      <c r="I37" t="s">
        <v>1007</v>
      </c>
      <c r="J37" s="15">
        <v>46240.430555555555</v>
      </c>
      <c r="K37" s="15">
        <v>46240.638888888891</v>
      </c>
      <c r="L37" s="15"/>
      <c r="M37">
        <v>1</v>
      </c>
      <c r="O37" t="s">
        <v>201</v>
      </c>
      <c r="P37" t="s">
        <v>1954</v>
      </c>
      <c r="S37" t="s">
        <v>354</v>
      </c>
      <c r="T37" t="s">
        <v>369</v>
      </c>
      <c r="U37" t="s">
        <v>239</v>
      </c>
      <c r="V37" t="s">
        <v>348</v>
      </c>
      <c r="W37" t="s">
        <v>369</v>
      </c>
      <c r="X37" t="s">
        <v>239</v>
      </c>
      <c r="Y37">
        <v>0</v>
      </c>
      <c r="AA37" t="s">
        <v>67</v>
      </c>
      <c r="AB37" t="s">
        <v>354</v>
      </c>
      <c r="AC37">
        <v>50</v>
      </c>
      <c r="AD37" t="s">
        <v>217</v>
      </c>
      <c r="AE37">
        <v>1</v>
      </c>
    </row>
    <row r="38" spans="1:32" x14ac:dyDescent="0.3">
      <c r="A38" t="s">
        <v>348</v>
      </c>
      <c r="B38" t="s">
        <v>48</v>
      </c>
      <c r="C38" t="s">
        <v>68</v>
      </c>
      <c r="D38" t="s">
        <v>309</v>
      </c>
      <c r="E38" t="s">
        <v>1008</v>
      </c>
      <c r="F38" s="15">
        <v>46233.385277777779</v>
      </c>
      <c r="G38" t="s">
        <v>402</v>
      </c>
      <c r="H38">
        <v>1</v>
      </c>
      <c r="I38" t="s">
        <v>1009</v>
      </c>
      <c r="J38" s="15">
        <v>46239.651388888888</v>
      </c>
      <c r="K38" s="15">
        <v>46240.420138888891</v>
      </c>
      <c r="L38" s="15"/>
      <c r="M38">
        <v>1</v>
      </c>
      <c r="O38" t="s">
        <v>201</v>
      </c>
      <c r="P38" t="s">
        <v>1954</v>
      </c>
      <c r="S38" t="s">
        <v>354</v>
      </c>
      <c r="T38" t="s">
        <v>369</v>
      </c>
      <c r="U38" t="s">
        <v>239</v>
      </c>
      <c r="V38" t="s">
        <v>348</v>
      </c>
      <c r="W38" t="s">
        <v>369</v>
      </c>
      <c r="X38" t="s">
        <v>239</v>
      </c>
      <c r="Y38">
        <v>0</v>
      </c>
      <c r="AA38" t="s">
        <v>90</v>
      </c>
      <c r="AB38" t="s">
        <v>354</v>
      </c>
      <c r="AC38">
        <v>50</v>
      </c>
      <c r="AD38" t="s">
        <v>217</v>
      </c>
      <c r="AE38">
        <v>1</v>
      </c>
    </row>
    <row r="39" spans="1:32" x14ac:dyDescent="0.3">
      <c r="A39" t="s">
        <v>348</v>
      </c>
      <c r="B39" t="s">
        <v>45</v>
      </c>
      <c r="C39" t="s">
        <v>68</v>
      </c>
      <c r="D39" t="s">
        <v>309</v>
      </c>
      <c r="E39" t="s">
        <v>1010</v>
      </c>
      <c r="F39" s="15">
        <v>46225.311331018522</v>
      </c>
      <c r="G39" t="s">
        <v>399</v>
      </c>
      <c r="H39">
        <v>3</v>
      </c>
      <c r="I39" t="s">
        <v>1011</v>
      </c>
      <c r="J39" s="15">
        <v>46225.67083333333</v>
      </c>
      <c r="K39" s="15">
        <v>46227.42291666667</v>
      </c>
      <c r="L39" s="15"/>
      <c r="M39">
        <v>3</v>
      </c>
      <c r="O39" t="s">
        <v>201</v>
      </c>
      <c r="P39" t="s">
        <v>1956</v>
      </c>
      <c r="S39" t="s">
        <v>354</v>
      </c>
      <c r="T39" t="s">
        <v>369</v>
      </c>
      <c r="U39" t="s">
        <v>239</v>
      </c>
      <c r="V39" t="s">
        <v>348</v>
      </c>
      <c r="W39" t="s">
        <v>369</v>
      </c>
      <c r="X39" t="s">
        <v>239</v>
      </c>
      <c r="Y39">
        <v>0</v>
      </c>
      <c r="AA39" t="s">
        <v>67</v>
      </c>
      <c r="AB39" t="s">
        <v>354</v>
      </c>
      <c r="AC39">
        <v>50</v>
      </c>
      <c r="AD39" t="s">
        <v>217</v>
      </c>
      <c r="AE39">
        <v>1</v>
      </c>
      <c r="AF39">
        <v>1</v>
      </c>
    </row>
    <row r="40" spans="1:32" x14ac:dyDescent="0.3">
      <c r="A40" t="s">
        <v>348</v>
      </c>
      <c r="B40" t="s">
        <v>45</v>
      </c>
      <c r="C40" t="s">
        <v>68</v>
      </c>
      <c r="D40" t="s">
        <v>309</v>
      </c>
      <c r="E40" t="s">
        <v>1012</v>
      </c>
      <c r="F40" s="15">
        <v>46225.310555555552</v>
      </c>
      <c r="G40" t="s">
        <v>399</v>
      </c>
      <c r="H40">
        <v>4</v>
      </c>
      <c r="I40" t="s">
        <v>1011</v>
      </c>
      <c r="J40" s="15">
        <v>46225.67083333333</v>
      </c>
      <c r="K40" s="15">
        <v>46227.42291666667</v>
      </c>
      <c r="L40" s="15"/>
      <c r="M40">
        <v>4</v>
      </c>
      <c r="O40" t="s">
        <v>201</v>
      </c>
      <c r="P40" t="s">
        <v>1956</v>
      </c>
      <c r="S40" t="s">
        <v>354</v>
      </c>
      <c r="T40" t="s">
        <v>369</v>
      </c>
      <c r="U40" t="s">
        <v>239</v>
      </c>
      <c r="V40" t="s">
        <v>348</v>
      </c>
      <c r="W40" t="s">
        <v>369</v>
      </c>
      <c r="X40" t="s">
        <v>239</v>
      </c>
      <c r="AA40" t="s">
        <v>67</v>
      </c>
      <c r="AB40" t="s">
        <v>354</v>
      </c>
      <c r="AC40">
        <v>50</v>
      </c>
      <c r="AD40" t="s">
        <v>217</v>
      </c>
      <c r="AE40">
        <v>1</v>
      </c>
    </row>
    <row r="41" spans="1:32" x14ac:dyDescent="0.3">
      <c r="A41" t="s">
        <v>348</v>
      </c>
      <c r="B41" t="s">
        <v>48</v>
      </c>
      <c r="C41" t="s">
        <v>68</v>
      </c>
      <c r="D41" t="s">
        <v>309</v>
      </c>
      <c r="E41" t="s">
        <v>1013</v>
      </c>
      <c r="F41" s="15">
        <v>46225.384560185186</v>
      </c>
      <c r="G41" t="s">
        <v>402</v>
      </c>
      <c r="H41">
        <v>1</v>
      </c>
      <c r="I41" t="s">
        <v>1014</v>
      </c>
      <c r="J41" s="15">
        <v>46225.698611111111</v>
      </c>
      <c r="K41" s="15">
        <v>46227.40347222222</v>
      </c>
      <c r="L41" s="15"/>
      <c r="M41">
        <v>1</v>
      </c>
      <c r="O41" t="s">
        <v>201</v>
      </c>
      <c r="P41" t="s">
        <v>1956</v>
      </c>
      <c r="S41" t="s">
        <v>354</v>
      </c>
      <c r="T41" t="s">
        <v>369</v>
      </c>
      <c r="U41" t="s">
        <v>239</v>
      </c>
      <c r="V41" t="s">
        <v>348</v>
      </c>
      <c r="W41" t="s">
        <v>369</v>
      </c>
      <c r="X41" t="s">
        <v>239</v>
      </c>
      <c r="AA41" t="s">
        <v>90</v>
      </c>
      <c r="AB41" t="s">
        <v>354</v>
      </c>
      <c r="AC41">
        <v>50</v>
      </c>
      <c r="AD41" t="s">
        <v>217</v>
      </c>
      <c r="AE41">
        <v>1</v>
      </c>
    </row>
    <row r="42" spans="1:32" x14ac:dyDescent="0.3">
      <c r="A42" t="s">
        <v>348</v>
      </c>
      <c r="B42" t="s">
        <v>48</v>
      </c>
      <c r="C42" t="s">
        <v>68</v>
      </c>
      <c r="D42" t="s">
        <v>309</v>
      </c>
      <c r="E42" t="s">
        <v>1015</v>
      </c>
      <c r="F42" s="15">
        <v>46225.554189814815</v>
      </c>
      <c r="G42" t="s">
        <v>402</v>
      </c>
      <c r="H42">
        <v>1</v>
      </c>
      <c r="I42" t="s">
        <v>1016</v>
      </c>
      <c r="J42" s="15">
        <v>46225.708333333336</v>
      </c>
      <c r="K42" s="15">
        <v>46227.40347222222</v>
      </c>
      <c r="L42" s="15"/>
      <c r="M42">
        <v>1</v>
      </c>
      <c r="O42" t="s">
        <v>201</v>
      </c>
      <c r="P42" t="s">
        <v>1956</v>
      </c>
      <c r="S42" t="s">
        <v>354</v>
      </c>
      <c r="T42" t="s">
        <v>369</v>
      </c>
      <c r="U42" t="s">
        <v>239</v>
      </c>
      <c r="V42" t="s">
        <v>348</v>
      </c>
      <c r="W42" t="s">
        <v>369</v>
      </c>
      <c r="X42" t="s">
        <v>239</v>
      </c>
      <c r="AA42" t="s">
        <v>90</v>
      </c>
      <c r="AB42" t="s">
        <v>354</v>
      </c>
      <c r="AC42">
        <v>50</v>
      </c>
      <c r="AD42" t="s">
        <v>217</v>
      </c>
      <c r="AE42">
        <v>1</v>
      </c>
    </row>
    <row r="43" spans="1:32" x14ac:dyDescent="0.3">
      <c r="A43" t="s">
        <v>348</v>
      </c>
      <c r="B43" t="s">
        <v>43</v>
      </c>
      <c r="C43" t="s">
        <v>105</v>
      </c>
      <c r="D43" t="s">
        <v>309</v>
      </c>
      <c r="E43" t="s">
        <v>1017</v>
      </c>
      <c r="F43" s="15">
        <v>46226.328611111108</v>
      </c>
      <c r="G43" t="s">
        <v>402</v>
      </c>
      <c r="H43">
        <v>6</v>
      </c>
      <c r="I43" t="s">
        <v>1018</v>
      </c>
      <c r="J43" s="15">
        <v>46226.431250000001</v>
      </c>
      <c r="K43" s="15">
        <v>46227.40347222222</v>
      </c>
      <c r="L43" s="15"/>
      <c r="M43">
        <v>6</v>
      </c>
      <c r="O43" t="s">
        <v>201</v>
      </c>
      <c r="P43" t="s">
        <v>1954</v>
      </c>
      <c r="S43" t="s">
        <v>354</v>
      </c>
      <c r="T43" t="s">
        <v>369</v>
      </c>
      <c r="U43" t="s">
        <v>239</v>
      </c>
      <c r="V43" t="s">
        <v>348</v>
      </c>
      <c r="W43" t="s">
        <v>369</v>
      </c>
      <c r="X43" t="s">
        <v>239</v>
      </c>
      <c r="AA43" t="s">
        <v>67</v>
      </c>
      <c r="AB43" t="s">
        <v>354</v>
      </c>
      <c r="AC43">
        <v>50</v>
      </c>
      <c r="AD43" t="s">
        <v>217</v>
      </c>
      <c r="AE43">
        <v>1</v>
      </c>
    </row>
    <row r="44" spans="1:32" x14ac:dyDescent="0.3">
      <c r="A44" t="s">
        <v>348</v>
      </c>
      <c r="B44" t="s">
        <v>48</v>
      </c>
      <c r="C44" t="s">
        <v>68</v>
      </c>
      <c r="D44" t="s">
        <v>309</v>
      </c>
      <c r="E44" t="s">
        <v>745</v>
      </c>
      <c r="F44" s="15">
        <v>46252.400995370372</v>
      </c>
      <c r="G44" t="s">
        <v>402</v>
      </c>
      <c r="H44">
        <v>1</v>
      </c>
      <c r="I44" t="s">
        <v>1019</v>
      </c>
      <c r="J44" s="15">
        <v>46253.65</v>
      </c>
      <c r="K44" s="15">
        <v>46254.420138888891</v>
      </c>
      <c r="L44" s="15"/>
      <c r="M44">
        <v>1</v>
      </c>
      <c r="O44" t="s">
        <v>201</v>
      </c>
      <c r="P44" t="s">
        <v>1954</v>
      </c>
      <c r="S44" t="s">
        <v>354</v>
      </c>
      <c r="T44" t="s">
        <v>369</v>
      </c>
      <c r="U44" t="s">
        <v>239</v>
      </c>
      <c r="V44" t="s">
        <v>348</v>
      </c>
      <c r="W44" t="s">
        <v>369</v>
      </c>
      <c r="X44" t="s">
        <v>239</v>
      </c>
      <c r="Y44">
        <v>0</v>
      </c>
      <c r="AA44" t="s">
        <v>90</v>
      </c>
      <c r="AB44" t="s">
        <v>354</v>
      </c>
      <c r="AC44">
        <v>50</v>
      </c>
      <c r="AD44" t="s">
        <v>217</v>
      </c>
      <c r="AE44">
        <v>1</v>
      </c>
      <c r="AF44">
        <v>1</v>
      </c>
    </row>
    <row r="45" spans="1:32" x14ac:dyDescent="0.3">
      <c r="A45" t="s">
        <v>348</v>
      </c>
      <c r="B45" t="s">
        <v>48</v>
      </c>
      <c r="C45" t="s">
        <v>68</v>
      </c>
      <c r="D45" t="s">
        <v>309</v>
      </c>
      <c r="E45" t="s">
        <v>745</v>
      </c>
      <c r="F45" s="15">
        <v>46252.400995370372</v>
      </c>
      <c r="G45" t="s">
        <v>402</v>
      </c>
      <c r="H45">
        <v>1</v>
      </c>
      <c r="I45" t="s">
        <v>1020</v>
      </c>
      <c r="J45" s="15">
        <v>46253.374305555553</v>
      </c>
      <c r="K45" s="15">
        <v>46254.420138888891</v>
      </c>
      <c r="L45" s="15"/>
      <c r="M45">
        <v>1</v>
      </c>
      <c r="O45" t="s">
        <v>201</v>
      </c>
      <c r="P45" t="s">
        <v>1956</v>
      </c>
      <c r="S45" t="s">
        <v>354</v>
      </c>
      <c r="T45" t="s">
        <v>369</v>
      </c>
      <c r="U45" t="s">
        <v>239</v>
      </c>
      <c r="V45" t="s">
        <v>348</v>
      </c>
      <c r="W45" t="s">
        <v>369</v>
      </c>
      <c r="X45" t="s">
        <v>239</v>
      </c>
      <c r="AA45" t="s">
        <v>90</v>
      </c>
      <c r="AB45" t="s">
        <v>354</v>
      </c>
      <c r="AC45">
        <v>50</v>
      </c>
      <c r="AD45" t="s">
        <v>217</v>
      </c>
      <c r="AE45">
        <v>1</v>
      </c>
    </row>
    <row r="46" spans="1:32" x14ac:dyDescent="0.3">
      <c r="A46" t="s">
        <v>348</v>
      </c>
      <c r="B46" t="s">
        <v>48</v>
      </c>
      <c r="C46" t="s">
        <v>68</v>
      </c>
      <c r="D46" t="s">
        <v>309</v>
      </c>
      <c r="E46" t="s">
        <v>746</v>
      </c>
      <c r="F46" s="15">
        <v>46251.60728009259</v>
      </c>
      <c r="G46" t="s">
        <v>402</v>
      </c>
      <c r="H46">
        <v>1</v>
      </c>
      <c r="I46" t="s">
        <v>1021</v>
      </c>
      <c r="J46" s="15">
        <v>46252.679166666669</v>
      </c>
      <c r="K46" s="15">
        <v>46254.420138888891</v>
      </c>
      <c r="L46" s="15"/>
      <c r="M46">
        <v>1</v>
      </c>
      <c r="O46" t="s">
        <v>201</v>
      </c>
      <c r="P46" t="s">
        <v>1956</v>
      </c>
      <c r="S46" t="s">
        <v>354</v>
      </c>
      <c r="T46" t="s">
        <v>369</v>
      </c>
      <c r="U46" t="s">
        <v>239</v>
      </c>
      <c r="V46" t="s">
        <v>348</v>
      </c>
      <c r="W46" t="s">
        <v>369</v>
      </c>
      <c r="X46" t="s">
        <v>239</v>
      </c>
      <c r="Y46">
        <v>0</v>
      </c>
      <c r="AA46" t="s">
        <v>90</v>
      </c>
      <c r="AB46" t="s">
        <v>354</v>
      </c>
      <c r="AC46">
        <v>50</v>
      </c>
      <c r="AD46" t="s">
        <v>217</v>
      </c>
      <c r="AE46">
        <v>1</v>
      </c>
    </row>
    <row r="47" spans="1:32" x14ac:dyDescent="0.3">
      <c r="A47" t="s">
        <v>348</v>
      </c>
      <c r="B47" t="s">
        <v>48</v>
      </c>
      <c r="C47" t="s">
        <v>68</v>
      </c>
      <c r="D47" t="s">
        <v>309</v>
      </c>
      <c r="E47" t="s">
        <v>1022</v>
      </c>
      <c r="F47" s="15">
        <v>46237.403981481482</v>
      </c>
      <c r="G47" t="s">
        <v>402</v>
      </c>
      <c r="H47">
        <v>1</v>
      </c>
      <c r="I47" t="s">
        <v>1023</v>
      </c>
      <c r="J47" s="15">
        <v>46237.502083333333</v>
      </c>
      <c r="K47" s="15">
        <v>46239.458333333336</v>
      </c>
      <c r="L47" s="15"/>
      <c r="M47">
        <v>1</v>
      </c>
      <c r="O47" t="s">
        <v>201</v>
      </c>
      <c r="P47" t="s">
        <v>1956</v>
      </c>
      <c r="S47" t="s">
        <v>354</v>
      </c>
      <c r="T47" t="s">
        <v>369</v>
      </c>
      <c r="U47" t="s">
        <v>239</v>
      </c>
      <c r="V47" t="s">
        <v>348</v>
      </c>
      <c r="W47" t="s">
        <v>369</v>
      </c>
      <c r="X47" t="s">
        <v>239</v>
      </c>
      <c r="Y47">
        <v>0</v>
      </c>
      <c r="AA47" t="s">
        <v>90</v>
      </c>
      <c r="AB47" t="s">
        <v>354</v>
      </c>
      <c r="AC47">
        <v>50</v>
      </c>
      <c r="AD47" t="s">
        <v>217</v>
      </c>
      <c r="AE47">
        <v>1</v>
      </c>
      <c r="AF47">
        <v>1</v>
      </c>
    </row>
    <row r="48" spans="1:32" x14ac:dyDescent="0.3">
      <c r="A48" t="s">
        <v>348</v>
      </c>
      <c r="B48" t="s">
        <v>48</v>
      </c>
      <c r="C48" t="s">
        <v>68</v>
      </c>
      <c r="D48" t="s">
        <v>309</v>
      </c>
      <c r="E48" t="s">
        <v>1024</v>
      </c>
      <c r="F48" s="15">
        <v>46245.504618055558</v>
      </c>
      <c r="G48" t="s">
        <v>402</v>
      </c>
      <c r="H48">
        <v>1</v>
      </c>
      <c r="I48" t="s">
        <v>1025</v>
      </c>
      <c r="J48" s="15">
        <v>46251.37777777778</v>
      </c>
      <c r="K48" s="15">
        <v>46252.390972222223</v>
      </c>
      <c r="L48" s="15"/>
      <c r="M48">
        <v>1</v>
      </c>
      <c r="O48" t="s">
        <v>201</v>
      </c>
      <c r="P48" t="s">
        <v>1956</v>
      </c>
      <c r="S48" t="s">
        <v>354</v>
      </c>
      <c r="T48" t="s">
        <v>369</v>
      </c>
      <c r="U48" t="s">
        <v>239</v>
      </c>
      <c r="V48" t="s">
        <v>348</v>
      </c>
      <c r="W48" t="s">
        <v>369</v>
      </c>
      <c r="X48" t="s">
        <v>239</v>
      </c>
      <c r="Y48">
        <v>0</v>
      </c>
      <c r="AA48" t="s">
        <v>90</v>
      </c>
      <c r="AB48" t="s">
        <v>354</v>
      </c>
      <c r="AC48">
        <v>50</v>
      </c>
      <c r="AD48" t="s">
        <v>217</v>
      </c>
      <c r="AE48">
        <v>1</v>
      </c>
      <c r="AF48">
        <v>1</v>
      </c>
    </row>
    <row r="49" spans="1:32" x14ac:dyDescent="0.3">
      <c r="A49" t="s">
        <v>348</v>
      </c>
      <c r="B49" t="s">
        <v>48</v>
      </c>
      <c r="C49" t="s">
        <v>68</v>
      </c>
      <c r="D49" t="s">
        <v>309</v>
      </c>
      <c r="E49" t="s">
        <v>1026</v>
      </c>
      <c r="F49" s="15">
        <v>46224.674085648148</v>
      </c>
      <c r="G49" t="s">
        <v>402</v>
      </c>
      <c r="H49">
        <v>1</v>
      </c>
      <c r="I49" t="s">
        <v>1027</v>
      </c>
      <c r="J49" s="15">
        <v>46226.561562499999</v>
      </c>
      <c r="K49" s="15">
        <v>46230.489583333336</v>
      </c>
      <c r="L49" s="15"/>
      <c r="M49">
        <v>1</v>
      </c>
      <c r="O49" t="s">
        <v>201</v>
      </c>
      <c r="P49" t="s">
        <v>1956</v>
      </c>
      <c r="S49" t="s">
        <v>354</v>
      </c>
      <c r="T49" t="s">
        <v>369</v>
      </c>
      <c r="U49" t="s">
        <v>239</v>
      </c>
      <c r="V49" t="s">
        <v>348</v>
      </c>
      <c r="W49" t="s">
        <v>369</v>
      </c>
      <c r="X49" t="s">
        <v>239</v>
      </c>
      <c r="Y49">
        <v>0</v>
      </c>
      <c r="AA49" t="s">
        <v>90</v>
      </c>
      <c r="AB49" t="s">
        <v>354</v>
      </c>
      <c r="AC49">
        <v>50</v>
      </c>
      <c r="AD49" t="s">
        <v>217</v>
      </c>
      <c r="AE49">
        <v>1</v>
      </c>
      <c r="AF49">
        <v>1</v>
      </c>
    </row>
    <row r="50" spans="1:32" x14ac:dyDescent="0.3">
      <c r="A50" t="s">
        <v>348</v>
      </c>
      <c r="B50" t="s">
        <v>48</v>
      </c>
      <c r="C50" t="s">
        <v>68</v>
      </c>
      <c r="D50" t="s">
        <v>309</v>
      </c>
      <c r="E50" t="s">
        <v>1028</v>
      </c>
      <c r="F50" s="15">
        <v>46220.546053240738</v>
      </c>
      <c r="G50" t="s">
        <v>402</v>
      </c>
      <c r="H50">
        <v>1</v>
      </c>
      <c r="I50" t="s">
        <v>1029</v>
      </c>
      <c r="J50" s="15">
        <v>46224.709398148145</v>
      </c>
      <c r="K50" s="15">
        <v>46226.411805555559</v>
      </c>
      <c r="L50" s="15"/>
      <c r="M50">
        <v>1</v>
      </c>
      <c r="O50" t="s">
        <v>201</v>
      </c>
      <c r="P50" t="s">
        <v>1956</v>
      </c>
      <c r="S50" t="s">
        <v>354</v>
      </c>
      <c r="T50" t="s">
        <v>369</v>
      </c>
      <c r="U50" t="s">
        <v>239</v>
      </c>
      <c r="V50" t="s">
        <v>348</v>
      </c>
      <c r="W50" t="s">
        <v>369</v>
      </c>
      <c r="X50" t="s">
        <v>239</v>
      </c>
      <c r="Y50">
        <v>0</v>
      </c>
      <c r="AA50" t="s">
        <v>90</v>
      </c>
      <c r="AB50" t="s">
        <v>354</v>
      </c>
      <c r="AC50">
        <v>50</v>
      </c>
      <c r="AD50" t="s">
        <v>217</v>
      </c>
      <c r="AE50">
        <v>1</v>
      </c>
      <c r="AF50">
        <v>1</v>
      </c>
    </row>
    <row r="51" spans="1:32" x14ac:dyDescent="0.3">
      <c r="A51" t="s">
        <v>348</v>
      </c>
      <c r="B51" t="s">
        <v>51</v>
      </c>
      <c r="C51" t="s">
        <v>258</v>
      </c>
      <c r="D51" t="s">
        <v>309</v>
      </c>
      <c r="E51" t="s">
        <v>1030</v>
      </c>
      <c r="F51" s="15">
        <v>46232.614351851851</v>
      </c>
      <c r="G51" t="s">
        <v>402</v>
      </c>
      <c r="H51">
        <v>50</v>
      </c>
      <c r="I51" t="s">
        <v>1031</v>
      </c>
      <c r="J51" s="15">
        <v>46232.63958333333</v>
      </c>
      <c r="K51" s="15">
        <v>46233.408333333333</v>
      </c>
      <c r="L51" s="15"/>
      <c r="M51">
        <v>50</v>
      </c>
      <c r="O51" t="s">
        <v>201</v>
      </c>
      <c r="P51" t="s">
        <v>1954</v>
      </c>
      <c r="S51" t="s">
        <v>355</v>
      </c>
      <c r="T51" t="s">
        <v>369</v>
      </c>
      <c r="U51" t="s">
        <v>239</v>
      </c>
      <c r="V51" t="s">
        <v>7</v>
      </c>
      <c r="W51" t="s">
        <v>7</v>
      </c>
      <c r="X51" t="s">
        <v>7</v>
      </c>
      <c r="AA51" t="s">
        <v>238</v>
      </c>
      <c r="AB51" t="s">
        <v>355</v>
      </c>
      <c r="AC51">
        <v>2200</v>
      </c>
      <c r="AD51" t="s">
        <v>7</v>
      </c>
      <c r="AF51">
        <v>0</v>
      </c>
    </row>
    <row r="52" spans="1:32" x14ac:dyDescent="0.3">
      <c r="A52" t="s">
        <v>348</v>
      </c>
      <c r="B52" t="s">
        <v>51</v>
      </c>
      <c r="C52" t="s">
        <v>258</v>
      </c>
      <c r="D52" t="s">
        <v>309</v>
      </c>
      <c r="E52" t="s">
        <v>1032</v>
      </c>
      <c r="F52" s="15">
        <v>46252.483842592592</v>
      </c>
      <c r="G52" t="s">
        <v>402</v>
      </c>
      <c r="H52">
        <v>50</v>
      </c>
      <c r="I52" t="s">
        <v>1033</v>
      </c>
      <c r="J52" s="15">
        <v>46253.598611111112</v>
      </c>
      <c r="K52" s="15">
        <v>46254.503472222219</v>
      </c>
      <c r="L52" s="15"/>
      <c r="M52">
        <v>50</v>
      </c>
      <c r="O52" t="s">
        <v>201</v>
      </c>
      <c r="P52" t="s">
        <v>1954</v>
      </c>
      <c r="S52" t="s">
        <v>355</v>
      </c>
      <c r="T52" t="s">
        <v>369</v>
      </c>
      <c r="U52" t="s">
        <v>239</v>
      </c>
      <c r="V52" t="s">
        <v>7</v>
      </c>
      <c r="W52" t="s">
        <v>7</v>
      </c>
      <c r="X52" t="s">
        <v>7</v>
      </c>
      <c r="AA52" t="s">
        <v>238</v>
      </c>
      <c r="AB52" t="s">
        <v>355</v>
      </c>
      <c r="AC52">
        <v>2200</v>
      </c>
      <c r="AD52" t="s">
        <v>7</v>
      </c>
      <c r="AF52">
        <v>0</v>
      </c>
    </row>
    <row r="53" spans="1:32" x14ac:dyDescent="0.3">
      <c r="A53" t="s">
        <v>348</v>
      </c>
      <c r="B53" t="s">
        <v>51</v>
      </c>
      <c r="C53" t="s">
        <v>258</v>
      </c>
      <c r="D53" t="s">
        <v>309</v>
      </c>
      <c r="E53" t="s">
        <v>1034</v>
      </c>
      <c r="F53" s="15">
        <v>46252.480428240742</v>
      </c>
      <c r="G53" t="s">
        <v>402</v>
      </c>
      <c r="H53">
        <v>50</v>
      </c>
      <c r="I53" t="s">
        <v>1033</v>
      </c>
      <c r="J53" s="15">
        <v>46253.598611111112</v>
      </c>
      <c r="K53" s="15">
        <v>46254.503472222219</v>
      </c>
      <c r="L53" s="15"/>
      <c r="M53">
        <v>50</v>
      </c>
      <c r="O53" t="s">
        <v>201</v>
      </c>
      <c r="P53" t="s">
        <v>1954</v>
      </c>
      <c r="S53" t="s">
        <v>355</v>
      </c>
      <c r="T53" t="s">
        <v>369</v>
      </c>
      <c r="U53" t="s">
        <v>239</v>
      </c>
      <c r="V53" t="s">
        <v>7</v>
      </c>
      <c r="W53" t="s">
        <v>7</v>
      </c>
      <c r="X53" t="s">
        <v>7</v>
      </c>
      <c r="AA53" t="s">
        <v>238</v>
      </c>
      <c r="AB53" t="s">
        <v>355</v>
      </c>
      <c r="AC53">
        <v>2200</v>
      </c>
      <c r="AD53" t="s">
        <v>7</v>
      </c>
    </row>
    <row r="54" spans="1:32" x14ac:dyDescent="0.3">
      <c r="A54" t="s">
        <v>348</v>
      </c>
      <c r="B54" t="s">
        <v>51</v>
      </c>
      <c r="C54" t="s">
        <v>258</v>
      </c>
      <c r="D54" t="s">
        <v>309</v>
      </c>
      <c r="E54" t="s">
        <v>1035</v>
      </c>
      <c r="F54" s="15">
        <v>46252.482303240744</v>
      </c>
      <c r="G54" t="s">
        <v>402</v>
      </c>
      <c r="H54">
        <v>50</v>
      </c>
      <c r="I54" t="s">
        <v>1033</v>
      </c>
      <c r="J54" s="15">
        <v>46253.598611111112</v>
      </c>
      <c r="K54" s="15">
        <v>46254.503472222219</v>
      </c>
      <c r="L54" s="15"/>
      <c r="M54">
        <v>50</v>
      </c>
      <c r="O54" t="s">
        <v>201</v>
      </c>
      <c r="P54" t="s">
        <v>1954</v>
      </c>
      <c r="S54" t="s">
        <v>355</v>
      </c>
      <c r="T54" t="s">
        <v>369</v>
      </c>
      <c r="U54" t="s">
        <v>239</v>
      </c>
      <c r="V54" t="s">
        <v>7</v>
      </c>
      <c r="W54" t="s">
        <v>7</v>
      </c>
      <c r="X54" t="s">
        <v>7</v>
      </c>
      <c r="AA54" t="s">
        <v>238</v>
      </c>
      <c r="AB54" t="s">
        <v>355</v>
      </c>
      <c r="AC54">
        <v>2200</v>
      </c>
      <c r="AD54" t="s">
        <v>7</v>
      </c>
    </row>
    <row r="55" spans="1:32" x14ac:dyDescent="0.3">
      <c r="A55" t="s">
        <v>348</v>
      </c>
      <c r="B55" t="s">
        <v>51</v>
      </c>
      <c r="C55" t="s">
        <v>258</v>
      </c>
      <c r="D55" t="s">
        <v>309</v>
      </c>
      <c r="E55" t="s">
        <v>1036</v>
      </c>
      <c r="F55" s="15">
        <v>46227.419386574074</v>
      </c>
      <c r="G55" t="s">
        <v>402</v>
      </c>
      <c r="H55">
        <v>100</v>
      </c>
      <c r="I55" t="s">
        <v>1037</v>
      </c>
      <c r="J55" s="15">
        <v>46227.607638888891</v>
      </c>
      <c r="K55" s="15">
        <v>46231.386805555558</v>
      </c>
      <c r="L55" s="15"/>
      <c r="M55">
        <v>100</v>
      </c>
      <c r="O55" t="s">
        <v>201</v>
      </c>
      <c r="P55" t="s">
        <v>1956</v>
      </c>
      <c r="S55" t="s">
        <v>354</v>
      </c>
      <c r="T55" t="s">
        <v>369</v>
      </c>
      <c r="U55" t="s">
        <v>239</v>
      </c>
      <c r="V55" t="s">
        <v>7</v>
      </c>
      <c r="W55" t="s">
        <v>7</v>
      </c>
      <c r="X55" t="s">
        <v>7</v>
      </c>
      <c r="AA55" t="s">
        <v>238</v>
      </c>
      <c r="AB55" t="s">
        <v>354</v>
      </c>
      <c r="AC55">
        <v>50</v>
      </c>
      <c r="AD55" t="s">
        <v>7</v>
      </c>
      <c r="AF55">
        <v>0</v>
      </c>
    </row>
    <row r="56" spans="1:32" x14ac:dyDescent="0.3">
      <c r="A56" t="s">
        <v>348</v>
      </c>
      <c r="B56" t="s">
        <v>42</v>
      </c>
      <c r="C56" t="s">
        <v>68</v>
      </c>
      <c r="D56" t="s">
        <v>309</v>
      </c>
      <c r="E56" t="s">
        <v>1038</v>
      </c>
      <c r="F56" s="15">
        <v>46227.417442129627</v>
      </c>
      <c r="G56" t="s">
        <v>402</v>
      </c>
      <c r="H56">
        <v>1</v>
      </c>
      <c r="I56" t="s">
        <v>1039</v>
      </c>
      <c r="J56" s="15">
        <v>46230.382638888892</v>
      </c>
      <c r="K56" s="15">
        <v>46231.361111111109</v>
      </c>
      <c r="L56" s="15"/>
      <c r="M56">
        <v>1</v>
      </c>
      <c r="O56" t="s">
        <v>1957</v>
      </c>
      <c r="S56" t="s">
        <v>354</v>
      </c>
      <c r="T56" t="s">
        <v>369</v>
      </c>
      <c r="U56" t="s">
        <v>239</v>
      </c>
      <c r="V56" t="s">
        <v>7</v>
      </c>
      <c r="W56" t="s">
        <v>7</v>
      </c>
      <c r="X56" t="s">
        <v>7</v>
      </c>
      <c r="AA56" t="s">
        <v>67</v>
      </c>
      <c r="AB56" t="s">
        <v>354</v>
      </c>
      <c r="AC56">
        <v>50</v>
      </c>
      <c r="AD56" t="s">
        <v>7</v>
      </c>
    </row>
    <row r="57" spans="1:32" x14ac:dyDescent="0.3">
      <c r="A57" t="s">
        <v>348</v>
      </c>
      <c r="B57" t="s">
        <v>51</v>
      </c>
      <c r="C57" t="s">
        <v>258</v>
      </c>
      <c r="D57" t="s">
        <v>309</v>
      </c>
      <c r="E57" t="s">
        <v>1040</v>
      </c>
      <c r="F57" s="15">
        <v>46225.586296296293</v>
      </c>
      <c r="G57" t="s">
        <v>1041</v>
      </c>
      <c r="H57">
        <v>5</v>
      </c>
      <c r="I57" t="s">
        <v>1042</v>
      </c>
      <c r="J57" s="15">
        <v>46225.654861111114</v>
      </c>
      <c r="K57" s="15">
        <v>46230.291666666664</v>
      </c>
      <c r="L57" s="15"/>
      <c r="M57">
        <v>5</v>
      </c>
      <c r="O57" t="s">
        <v>201</v>
      </c>
      <c r="P57" t="s">
        <v>1956</v>
      </c>
      <c r="S57" t="s">
        <v>354</v>
      </c>
      <c r="T57" t="s">
        <v>369</v>
      </c>
      <c r="U57" t="s">
        <v>239</v>
      </c>
      <c r="V57" t="s">
        <v>7</v>
      </c>
      <c r="W57" t="s">
        <v>7</v>
      </c>
      <c r="X57" t="s">
        <v>7</v>
      </c>
      <c r="AA57" t="s">
        <v>238</v>
      </c>
      <c r="AB57" t="s">
        <v>354</v>
      </c>
      <c r="AC57">
        <v>50</v>
      </c>
      <c r="AD57" t="s">
        <v>7</v>
      </c>
      <c r="AF57">
        <v>0</v>
      </c>
    </row>
    <row r="58" spans="1:32" x14ac:dyDescent="0.3">
      <c r="A58" t="s">
        <v>348</v>
      </c>
      <c r="B58" t="s">
        <v>51</v>
      </c>
      <c r="C58" t="s">
        <v>258</v>
      </c>
      <c r="D58" t="s">
        <v>309</v>
      </c>
      <c r="E58" t="s">
        <v>1043</v>
      </c>
      <c r="F58" s="15">
        <v>46225.464629629627</v>
      </c>
      <c r="G58" t="s">
        <v>1044</v>
      </c>
      <c r="H58">
        <v>18</v>
      </c>
      <c r="I58" t="s">
        <v>1045</v>
      </c>
      <c r="J58" s="15">
        <v>46225.601388888892</v>
      </c>
      <c r="K58" s="15">
        <v>46231.378472222219</v>
      </c>
      <c r="L58" s="15"/>
      <c r="M58">
        <v>18</v>
      </c>
      <c r="O58" t="s">
        <v>201</v>
      </c>
      <c r="P58" t="s">
        <v>1956</v>
      </c>
      <c r="S58" t="s">
        <v>356</v>
      </c>
      <c r="T58" t="s">
        <v>369</v>
      </c>
      <c r="U58" t="s">
        <v>239</v>
      </c>
      <c r="V58" t="s">
        <v>7</v>
      </c>
      <c r="W58" t="s">
        <v>7</v>
      </c>
      <c r="X58" t="s">
        <v>7</v>
      </c>
      <c r="AA58" t="s">
        <v>238</v>
      </c>
      <c r="AB58" t="s">
        <v>356</v>
      </c>
      <c r="AC58">
        <v>109</v>
      </c>
      <c r="AD58" t="s">
        <v>7</v>
      </c>
      <c r="AF58">
        <v>0</v>
      </c>
    </row>
    <row r="59" spans="1:32" x14ac:dyDescent="0.3">
      <c r="A59" t="s">
        <v>347</v>
      </c>
      <c r="B59" t="s">
        <v>51</v>
      </c>
      <c r="C59" t="s">
        <v>258</v>
      </c>
      <c r="D59" t="s">
        <v>309</v>
      </c>
      <c r="E59" t="s">
        <v>1046</v>
      </c>
      <c r="F59" s="15">
        <v>46232.64707175926</v>
      </c>
      <c r="G59" t="s">
        <v>1047</v>
      </c>
      <c r="H59">
        <v>150</v>
      </c>
      <c r="I59" t="s">
        <v>1048</v>
      </c>
      <c r="J59" s="15">
        <v>46233.367361111108</v>
      </c>
      <c r="K59" s="15">
        <v>46234.420138888891</v>
      </c>
      <c r="L59" s="15"/>
      <c r="M59">
        <v>150</v>
      </c>
      <c r="O59" t="s">
        <v>201</v>
      </c>
      <c r="P59" t="s">
        <v>1954</v>
      </c>
      <c r="S59" t="s">
        <v>360</v>
      </c>
      <c r="T59" t="s">
        <v>371</v>
      </c>
      <c r="U59" t="s">
        <v>240</v>
      </c>
      <c r="V59" t="s">
        <v>7</v>
      </c>
      <c r="W59" t="s">
        <v>7</v>
      </c>
      <c r="X59" t="s">
        <v>7</v>
      </c>
      <c r="AA59" t="s">
        <v>238</v>
      </c>
      <c r="AB59" t="s">
        <v>360</v>
      </c>
      <c r="AC59">
        <v>2480</v>
      </c>
      <c r="AD59" t="s">
        <v>7</v>
      </c>
      <c r="AF59">
        <v>0</v>
      </c>
    </row>
    <row r="60" spans="1:32" x14ac:dyDescent="0.3">
      <c r="A60" t="s">
        <v>347</v>
      </c>
      <c r="B60" t="s">
        <v>51</v>
      </c>
      <c r="C60" t="s">
        <v>258</v>
      </c>
      <c r="D60" t="s">
        <v>309</v>
      </c>
      <c r="E60" t="s">
        <v>1049</v>
      </c>
      <c r="F60" s="15">
        <v>46232.645833333336</v>
      </c>
      <c r="G60" t="s">
        <v>1047</v>
      </c>
      <c r="H60">
        <v>150</v>
      </c>
      <c r="I60" t="s">
        <v>1050</v>
      </c>
      <c r="J60" s="15">
        <v>46232.686111111114</v>
      </c>
      <c r="K60" s="15">
        <v>46234.420138888891</v>
      </c>
      <c r="L60" s="15"/>
      <c r="M60">
        <v>150</v>
      </c>
      <c r="O60" t="s">
        <v>201</v>
      </c>
      <c r="P60" t="s">
        <v>1954</v>
      </c>
      <c r="S60" t="s">
        <v>360</v>
      </c>
      <c r="T60" t="s">
        <v>371</v>
      </c>
      <c r="U60" t="s">
        <v>240</v>
      </c>
      <c r="V60" t="s">
        <v>7</v>
      </c>
      <c r="W60" t="s">
        <v>7</v>
      </c>
      <c r="X60" t="s">
        <v>7</v>
      </c>
      <c r="AA60" t="s">
        <v>238</v>
      </c>
      <c r="AB60" t="s">
        <v>360</v>
      </c>
      <c r="AC60">
        <v>2480</v>
      </c>
      <c r="AD60" t="s">
        <v>7</v>
      </c>
    </row>
    <row r="61" spans="1:32" x14ac:dyDescent="0.3">
      <c r="A61" t="s">
        <v>348</v>
      </c>
      <c r="B61" t="s">
        <v>45</v>
      </c>
      <c r="C61" t="s">
        <v>68</v>
      </c>
      <c r="D61" t="s">
        <v>309</v>
      </c>
      <c r="E61" t="s">
        <v>1051</v>
      </c>
      <c r="F61" s="15">
        <v>46255.309004629627</v>
      </c>
      <c r="G61" t="s">
        <v>402</v>
      </c>
      <c r="H61">
        <v>9</v>
      </c>
      <c r="I61" t="s">
        <v>1052</v>
      </c>
      <c r="J61" s="15">
        <v>46255.447222222225</v>
      </c>
      <c r="K61" s="15">
        <v>46258.458333333336</v>
      </c>
      <c r="L61" s="15"/>
      <c r="M61">
        <v>9</v>
      </c>
      <c r="O61" t="s">
        <v>201</v>
      </c>
      <c r="P61" t="s">
        <v>1956</v>
      </c>
      <c r="S61" t="s">
        <v>355</v>
      </c>
      <c r="T61" t="s">
        <v>369</v>
      </c>
      <c r="U61" t="s">
        <v>239</v>
      </c>
      <c r="V61" t="s">
        <v>348</v>
      </c>
      <c r="W61" t="s">
        <v>369</v>
      </c>
      <c r="X61" t="s">
        <v>239</v>
      </c>
      <c r="Y61">
        <v>0</v>
      </c>
      <c r="AA61" t="s">
        <v>67</v>
      </c>
      <c r="AB61" t="s">
        <v>355</v>
      </c>
      <c r="AC61">
        <v>2200</v>
      </c>
      <c r="AD61" t="s">
        <v>217</v>
      </c>
      <c r="AE61">
        <v>1</v>
      </c>
      <c r="AF61">
        <v>1</v>
      </c>
    </row>
    <row r="62" spans="1:32" x14ac:dyDescent="0.3">
      <c r="A62" t="s">
        <v>348</v>
      </c>
      <c r="B62" t="s">
        <v>45</v>
      </c>
      <c r="C62" t="s">
        <v>68</v>
      </c>
      <c r="D62" t="s">
        <v>309</v>
      </c>
      <c r="E62" t="s">
        <v>1053</v>
      </c>
      <c r="F62" s="15">
        <v>46254.394618055558</v>
      </c>
      <c r="G62" t="s">
        <v>402</v>
      </c>
      <c r="H62">
        <v>3</v>
      </c>
      <c r="I62" t="s">
        <v>1054</v>
      </c>
      <c r="J62" s="15">
        <v>46254.607638888891</v>
      </c>
      <c r="K62" s="15">
        <v>46255.493055555555</v>
      </c>
      <c r="L62" s="15"/>
      <c r="M62">
        <v>3</v>
      </c>
      <c r="O62" t="s">
        <v>201</v>
      </c>
      <c r="P62" t="s">
        <v>1954</v>
      </c>
      <c r="S62" t="s">
        <v>355</v>
      </c>
      <c r="T62" t="s">
        <v>369</v>
      </c>
      <c r="U62" t="s">
        <v>239</v>
      </c>
      <c r="V62" t="s">
        <v>348</v>
      </c>
      <c r="W62" t="s">
        <v>369</v>
      </c>
      <c r="X62" t="s">
        <v>239</v>
      </c>
      <c r="Y62">
        <v>0</v>
      </c>
      <c r="AA62" t="s">
        <v>67</v>
      </c>
      <c r="AB62" t="s">
        <v>355</v>
      </c>
      <c r="AC62">
        <v>2200</v>
      </c>
      <c r="AD62" t="s">
        <v>217</v>
      </c>
      <c r="AE62">
        <v>1</v>
      </c>
      <c r="AF62">
        <v>1</v>
      </c>
    </row>
    <row r="63" spans="1:32" x14ac:dyDescent="0.3">
      <c r="A63" t="s">
        <v>348</v>
      </c>
      <c r="B63" t="s">
        <v>45</v>
      </c>
      <c r="C63" t="s">
        <v>68</v>
      </c>
      <c r="D63" t="s">
        <v>309</v>
      </c>
      <c r="E63" t="s">
        <v>1055</v>
      </c>
      <c r="F63" s="15">
        <v>46254.395497685182</v>
      </c>
      <c r="G63" t="s">
        <v>402</v>
      </c>
      <c r="H63">
        <v>7</v>
      </c>
      <c r="I63" t="s">
        <v>1054</v>
      </c>
      <c r="J63" s="15">
        <v>46254.607638888891</v>
      </c>
      <c r="K63" s="15">
        <v>46255.493055555555</v>
      </c>
      <c r="L63" s="15"/>
      <c r="M63">
        <v>7</v>
      </c>
      <c r="O63" t="s">
        <v>201</v>
      </c>
      <c r="P63" t="s">
        <v>1954</v>
      </c>
      <c r="S63" t="s">
        <v>355</v>
      </c>
      <c r="T63" t="s">
        <v>369</v>
      </c>
      <c r="U63" t="s">
        <v>239</v>
      </c>
      <c r="V63" t="s">
        <v>348</v>
      </c>
      <c r="W63" t="s">
        <v>369</v>
      </c>
      <c r="X63" t="s">
        <v>239</v>
      </c>
      <c r="AA63" t="s">
        <v>67</v>
      </c>
      <c r="AB63" t="s">
        <v>355</v>
      </c>
      <c r="AC63">
        <v>2200</v>
      </c>
      <c r="AD63" t="s">
        <v>217</v>
      </c>
      <c r="AE63">
        <v>1</v>
      </c>
    </row>
    <row r="64" spans="1:32" x14ac:dyDescent="0.3">
      <c r="A64" t="s">
        <v>348</v>
      </c>
      <c r="B64" t="s">
        <v>45</v>
      </c>
      <c r="C64" t="s">
        <v>68</v>
      </c>
      <c r="D64" t="s">
        <v>309</v>
      </c>
      <c r="E64" t="s">
        <v>1056</v>
      </c>
      <c r="F64" s="15">
        <v>46254.396273148152</v>
      </c>
      <c r="G64" t="s">
        <v>402</v>
      </c>
      <c r="H64">
        <v>6</v>
      </c>
      <c r="I64" t="s">
        <v>1054</v>
      </c>
      <c r="J64" s="15">
        <v>46254.607638888891</v>
      </c>
      <c r="K64" s="15">
        <v>46255.493055555555</v>
      </c>
      <c r="L64" s="15"/>
      <c r="M64">
        <v>6</v>
      </c>
      <c r="O64" t="s">
        <v>201</v>
      </c>
      <c r="P64" t="s">
        <v>1954</v>
      </c>
      <c r="S64" t="s">
        <v>355</v>
      </c>
      <c r="T64" t="s">
        <v>369</v>
      </c>
      <c r="U64" t="s">
        <v>239</v>
      </c>
      <c r="V64" t="s">
        <v>348</v>
      </c>
      <c r="W64" t="s">
        <v>369</v>
      </c>
      <c r="X64" t="s">
        <v>239</v>
      </c>
      <c r="AA64" t="s">
        <v>67</v>
      </c>
      <c r="AB64" t="s">
        <v>355</v>
      </c>
      <c r="AC64">
        <v>2200</v>
      </c>
      <c r="AD64" t="s">
        <v>217</v>
      </c>
      <c r="AE64">
        <v>1</v>
      </c>
    </row>
    <row r="65" spans="1:32" x14ac:dyDescent="0.3">
      <c r="A65" t="s">
        <v>348</v>
      </c>
      <c r="B65" t="s">
        <v>45</v>
      </c>
      <c r="C65" t="s">
        <v>68</v>
      </c>
      <c r="D65" t="s">
        <v>309</v>
      </c>
      <c r="E65" t="s">
        <v>1057</v>
      </c>
      <c r="F65" s="15">
        <v>46231.659247685187</v>
      </c>
      <c r="G65" t="s">
        <v>1058</v>
      </c>
      <c r="H65">
        <v>13</v>
      </c>
      <c r="I65" t="s">
        <v>1059</v>
      </c>
      <c r="J65" s="15">
        <v>46231.713194444441</v>
      </c>
      <c r="K65" s="15">
        <v>46233.416666666664</v>
      </c>
      <c r="L65" s="15"/>
      <c r="M65">
        <v>13</v>
      </c>
      <c r="O65" t="s">
        <v>201</v>
      </c>
      <c r="P65" t="s">
        <v>1956</v>
      </c>
      <c r="S65" t="s">
        <v>355</v>
      </c>
      <c r="T65" t="s">
        <v>369</v>
      </c>
      <c r="U65" t="s">
        <v>239</v>
      </c>
      <c r="V65" t="s">
        <v>348</v>
      </c>
      <c r="W65" t="s">
        <v>369</v>
      </c>
      <c r="X65" t="s">
        <v>239</v>
      </c>
      <c r="Y65">
        <v>0</v>
      </c>
      <c r="AA65" t="s">
        <v>67</v>
      </c>
      <c r="AB65" t="s">
        <v>355</v>
      </c>
      <c r="AC65">
        <v>2200</v>
      </c>
      <c r="AD65" t="s">
        <v>217</v>
      </c>
      <c r="AE65">
        <v>1.3</v>
      </c>
      <c r="AF65">
        <v>1</v>
      </c>
    </row>
    <row r="66" spans="1:32" x14ac:dyDescent="0.3">
      <c r="A66" t="s">
        <v>348</v>
      </c>
      <c r="B66" t="s">
        <v>45</v>
      </c>
      <c r="C66" t="s">
        <v>68</v>
      </c>
      <c r="D66" t="s">
        <v>309</v>
      </c>
      <c r="E66" t="s">
        <v>1060</v>
      </c>
      <c r="F66" s="15">
        <v>46231.635254629633</v>
      </c>
      <c r="G66" t="s">
        <v>1058</v>
      </c>
      <c r="H66">
        <v>6</v>
      </c>
      <c r="I66" t="s">
        <v>1059</v>
      </c>
      <c r="J66" s="15">
        <v>46231.713194444441</v>
      </c>
      <c r="K66" s="15">
        <v>46233.416666666664</v>
      </c>
      <c r="L66" s="15"/>
      <c r="M66">
        <v>6</v>
      </c>
      <c r="O66" t="s">
        <v>201</v>
      </c>
      <c r="P66" t="s">
        <v>1956</v>
      </c>
      <c r="S66" t="s">
        <v>355</v>
      </c>
      <c r="T66" t="s">
        <v>369</v>
      </c>
      <c r="U66" t="s">
        <v>239</v>
      </c>
      <c r="V66" t="s">
        <v>348</v>
      </c>
      <c r="W66" t="s">
        <v>369</v>
      </c>
      <c r="X66" t="s">
        <v>239</v>
      </c>
      <c r="AA66" t="s">
        <v>67</v>
      </c>
      <c r="AB66" t="s">
        <v>355</v>
      </c>
      <c r="AC66">
        <v>2200</v>
      </c>
      <c r="AD66" t="s">
        <v>217</v>
      </c>
      <c r="AE66">
        <v>1</v>
      </c>
    </row>
    <row r="67" spans="1:32" x14ac:dyDescent="0.3">
      <c r="A67" t="s">
        <v>348</v>
      </c>
      <c r="B67" t="s">
        <v>45</v>
      </c>
      <c r="C67" t="s">
        <v>68</v>
      </c>
      <c r="D67" t="s">
        <v>309</v>
      </c>
      <c r="E67" t="s">
        <v>1061</v>
      </c>
      <c r="F67" s="15">
        <v>46231.634583333333</v>
      </c>
      <c r="G67" t="s">
        <v>1058</v>
      </c>
      <c r="H67">
        <v>4</v>
      </c>
      <c r="I67" t="s">
        <v>1059</v>
      </c>
      <c r="J67" s="15">
        <v>46231.713194444441</v>
      </c>
      <c r="K67" s="15">
        <v>46233.416666666664</v>
      </c>
      <c r="L67" s="15"/>
      <c r="M67">
        <v>4</v>
      </c>
      <c r="O67" t="s">
        <v>201</v>
      </c>
      <c r="P67" t="s">
        <v>1956</v>
      </c>
      <c r="S67" t="s">
        <v>355</v>
      </c>
      <c r="T67" t="s">
        <v>369</v>
      </c>
      <c r="U67" t="s">
        <v>239</v>
      </c>
      <c r="V67" t="s">
        <v>348</v>
      </c>
      <c r="W67" t="s">
        <v>369</v>
      </c>
      <c r="X67" t="s">
        <v>239</v>
      </c>
      <c r="AA67" t="s">
        <v>67</v>
      </c>
      <c r="AB67" t="s">
        <v>355</v>
      </c>
      <c r="AC67">
        <v>2200</v>
      </c>
      <c r="AD67" t="s">
        <v>217</v>
      </c>
      <c r="AE67">
        <v>1</v>
      </c>
    </row>
    <row r="68" spans="1:32" x14ac:dyDescent="0.3">
      <c r="A68" t="s">
        <v>348</v>
      </c>
      <c r="B68" t="s">
        <v>45</v>
      </c>
      <c r="C68" t="s">
        <v>68</v>
      </c>
      <c r="D68" t="s">
        <v>309</v>
      </c>
      <c r="E68" t="s">
        <v>1062</v>
      </c>
      <c r="F68" s="15">
        <v>46231.633784722224</v>
      </c>
      <c r="G68" t="s">
        <v>1058</v>
      </c>
      <c r="H68">
        <v>4</v>
      </c>
      <c r="I68" t="s">
        <v>1059</v>
      </c>
      <c r="J68" s="15">
        <v>46231.713194444441</v>
      </c>
      <c r="K68" s="15">
        <v>46233.416666666664</v>
      </c>
      <c r="L68" s="15"/>
      <c r="M68">
        <v>4</v>
      </c>
      <c r="O68" t="s">
        <v>201</v>
      </c>
      <c r="P68" t="s">
        <v>1956</v>
      </c>
      <c r="S68" t="s">
        <v>355</v>
      </c>
      <c r="T68" t="s">
        <v>369</v>
      </c>
      <c r="U68" t="s">
        <v>239</v>
      </c>
      <c r="V68" t="s">
        <v>348</v>
      </c>
      <c r="W68" t="s">
        <v>369</v>
      </c>
      <c r="X68" t="s">
        <v>239</v>
      </c>
      <c r="AA68" t="s">
        <v>67</v>
      </c>
      <c r="AB68" t="s">
        <v>355</v>
      </c>
      <c r="AC68">
        <v>2200</v>
      </c>
      <c r="AD68" t="s">
        <v>217</v>
      </c>
      <c r="AE68">
        <v>1</v>
      </c>
    </row>
    <row r="69" spans="1:32" x14ac:dyDescent="0.3">
      <c r="A69" t="s">
        <v>348</v>
      </c>
      <c r="B69" t="s">
        <v>45</v>
      </c>
      <c r="C69" t="s">
        <v>68</v>
      </c>
      <c r="D69" t="s">
        <v>309</v>
      </c>
      <c r="E69" t="s">
        <v>1063</v>
      </c>
      <c r="F69" s="15">
        <v>46231.632465277777</v>
      </c>
      <c r="G69" t="s">
        <v>1058</v>
      </c>
      <c r="H69">
        <v>1</v>
      </c>
      <c r="I69" t="s">
        <v>1059</v>
      </c>
      <c r="J69" s="15">
        <v>46231.713194444441</v>
      </c>
      <c r="K69" s="15">
        <v>46233.416666666664</v>
      </c>
      <c r="L69" s="15"/>
      <c r="M69">
        <v>1</v>
      </c>
      <c r="O69" t="s">
        <v>201</v>
      </c>
      <c r="P69" t="s">
        <v>1956</v>
      </c>
      <c r="S69" t="s">
        <v>355</v>
      </c>
      <c r="T69" t="s">
        <v>369</v>
      </c>
      <c r="U69" t="s">
        <v>239</v>
      </c>
      <c r="V69" t="s">
        <v>348</v>
      </c>
      <c r="W69" t="s">
        <v>369</v>
      </c>
      <c r="X69" t="s">
        <v>239</v>
      </c>
      <c r="AA69" t="s">
        <v>67</v>
      </c>
      <c r="AB69" t="s">
        <v>355</v>
      </c>
      <c r="AC69">
        <v>2200</v>
      </c>
      <c r="AD69" t="s">
        <v>217</v>
      </c>
      <c r="AE69">
        <v>1</v>
      </c>
    </row>
    <row r="70" spans="1:32" x14ac:dyDescent="0.3">
      <c r="A70" t="s">
        <v>348</v>
      </c>
      <c r="B70" t="s">
        <v>45</v>
      </c>
      <c r="C70" t="s">
        <v>68</v>
      </c>
      <c r="D70" t="s">
        <v>309</v>
      </c>
      <c r="E70" t="s">
        <v>1064</v>
      </c>
      <c r="F70" s="15">
        <v>46231.631620370368</v>
      </c>
      <c r="G70" t="s">
        <v>402</v>
      </c>
      <c r="H70">
        <v>1</v>
      </c>
      <c r="I70" t="s">
        <v>1065</v>
      </c>
      <c r="J70" s="15">
        <v>46231.706250000003</v>
      </c>
      <c r="K70" s="15">
        <v>46233.416666666664</v>
      </c>
      <c r="L70" s="15"/>
      <c r="M70">
        <v>1</v>
      </c>
      <c r="O70" t="s">
        <v>201</v>
      </c>
      <c r="P70" t="s">
        <v>1956</v>
      </c>
      <c r="S70" t="s">
        <v>355</v>
      </c>
      <c r="T70" t="s">
        <v>369</v>
      </c>
      <c r="U70" t="s">
        <v>239</v>
      </c>
      <c r="V70" t="s">
        <v>348</v>
      </c>
      <c r="W70" t="s">
        <v>369</v>
      </c>
      <c r="X70" t="s">
        <v>239</v>
      </c>
      <c r="AA70" t="s">
        <v>67</v>
      </c>
      <c r="AB70" t="s">
        <v>355</v>
      </c>
      <c r="AC70">
        <v>2200</v>
      </c>
      <c r="AD70" t="s">
        <v>217</v>
      </c>
      <c r="AE70">
        <v>1</v>
      </c>
    </row>
    <row r="71" spans="1:32" x14ac:dyDescent="0.3">
      <c r="A71" t="s">
        <v>348</v>
      </c>
      <c r="B71" t="s">
        <v>48</v>
      </c>
      <c r="C71" t="s">
        <v>68</v>
      </c>
      <c r="D71" t="s">
        <v>309</v>
      </c>
      <c r="E71" t="s">
        <v>1066</v>
      </c>
      <c r="F71" s="15">
        <v>46245.434259259258</v>
      </c>
      <c r="G71" t="s">
        <v>402</v>
      </c>
      <c r="H71">
        <v>3</v>
      </c>
      <c r="I71" t="s">
        <v>1067</v>
      </c>
      <c r="J71" s="15">
        <v>46246.470138888886</v>
      </c>
      <c r="K71" s="15">
        <v>46247.425694444442</v>
      </c>
      <c r="L71" s="15"/>
      <c r="M71">
        <v>3</v>
      </c>
      <c r="O71" t="s">
        <v>201</v>
      </c>
      <c r="P71" t="s">
        <v>1954</v>
      </c>
      <c r="S71" t="s">
        <v>355</v>
      </c>
      <c r="T71" t="s">
        <v>369</v>
      </c>
      <c r="U71" t="s">
        <v>239</v>
      </c>
      <c r="V71" t="s">
        <v>348</v>
      </c>
      <c r="W71" t="s">
        <v>369</v>
      </c>
      <c r="X71" t="s">
        <v>239</v>
      </c>
      <c r="Y71">
        <v>0</v>
      </c>
      <c r="AA71" t="s">
        <v>90</v>
      </c>
      <c r="AB71" t="s">
        <v>355</v>
      </c>
      <c r="AC71">
        <v>2200</v>
      </c>
      <c r="AD71" t="s">
        <v>217</v>
      </c>
      <c r="AE71">
        <v>1</v>
      </c>
      <c r="AF71">
        <v>1</v>
      </c>
    </row>
    <row r="72" spans="1:32" x14ac:dyDescent="0.3">
      <c r="A72" t="s">
        <v>348</v>
      </c>
      <c r="B72" t="s">
        <v>48</v>
      </c>
      <c r="C72" t="s">
        <v>68</v>
      </c>
      <c r="D72" t="s">
        <v>309</v>
      </c>
      <c r="E72" t="s">
        <v>1066</v>
      </c>
      <c r="F72" s="15">
        <v>46245.434259259258</v>
      </c>
      <c r="G72" t="s">
        <v>402</v>
      </c>
      <c r="H72">
        <v>1</v>
      </c>
      <c r="I72" t="s">
        <v>1068</v>
      </c>
      <c r="J72" s="15">
        <v>46252.685416666667</v>
      </c>
      <c r="K72" s="15">
        <v>46254.503472222219</v>
      </c>
      <c r="L72" s="15"/>
      <c r="M72">
        <v>1</v>
      </c>
      <c r="O72" t="s">
        <v>201</v>
      </c>
      <c r="P72" t="s">
        <v>1956</v>
      </c>
      <c r="S72" t="s">
        <v>355</v>
      </c>
      <c r="T72" t="s">
        <v>369</v>
      </c>
      <c r="U72" t="s">
        <v>239</v>
      </c>
      <c r="V72" t="s">
        <v>348</v>
      </c>
      <c r="W72" t="s">
        <v>369</v>
      </c>
      <c r="X72" t="s">
        <v>239</v>
      </c>
      <c r="Y72">
        <v>0</v>
      </c>
      <c r="AA72" t="s">
        <v>90</v>
      </c>
      <c r="AB72" t="s">
        <v>355</v>
      </c>
      <c r="AC72">
        <v>2200</v>
      </c>
      <c r="AD72" t="s">
        <v>217</v>
      </c>
      <c r="AE72">
        <v>1</v>
      </c>
      <c r="AF72">
        <v>1</v>
      </c>
    </row>
    <row r="73" spans="1:32" x14ac:dyDescent="0.3">
      <c r="A73" t="s">
        <v>348</v>
      </c>
      <c r="B73" t="s">
        <v>48</v>
      </c>
      <c r="C73" t="s">
        <v>68</v>
      </c>
      <c r="D73" t="s">
        <v>309</v>
      </c>
      <c r="E73" t="s">
        <v>1069</v>
      </c>
      <c r="F73" s="15">
        <v>46213.750648148147</v>
      </c>
      <c r="G73" t="s">
        <v>402</v>
      </c>
      <c r="H73">
        <v>5</v>
      </c>
      <c r="I73" t="s">
        <v>1070</v>
      </c>
      <c r="J73" s="15">
        <v>46230.428946759261</v>
      </c>
      <c r="K73" s="15">
        <v>46231.397222222222</v>
      </c>
      <c r="L73" s="15"/>
      <c r="M73">
        <v>5</v>
      </c>
      <c r="O73" t="s">
        <v>201</v>
      </c>
      <c r="P73" t="s">
        <v>1954</v>
      </c>
      <c r="S73" t="s">
        <v>355</v>
      </c>
      <c r="T73" t="s">
        <v>369</v>
      </c>
      <c r="U73" t="s">
        <v>239</v>
      </c>
      <c r="V73" t="s">
        <v>348</v>
      </c>
      <c r="W73" t="s">
        <v>369</v>
      </c>
      <c r="X73" t="s">
        <v>239</v>
      </c>
      <c r="Y73">
        <v>0</v>
      </c>
      <c r="AA73" t="s">
        <v>90</v>
      </c>
      <c r="AB73" t="s">
        <v>355</v>
      </c>
      <c r="AC73">
        <v>2200</v>
      </c>
      <c r="AD73" t="s">
        <v>217</v>
      </c>
      <c r="AE73">
        <v>1</v>
      </c>
      <c r="AF73">
        <v>1</v>
      </c>
    </row>
    <row r="74" spans="1:32" x14ac:dyDescent="0.3">
      <c r="A74" t="s">
        <v>348</v>
      </c>
      <c r="B74" t="s">
        <v>45</v>
      </c>
      <c r="C74" t="s">
        <v>68</v>
      </c>
      <c r="D74" t="s">
        <v>309</v>
      </c>
      <c r="E74" t="s">
        <v>1071</v>
      </c>
      <c r="F74" s="15">
        <v>46251.387743055559</v>
      </c>
      <c r="G74" t="s">
        <v>403</v>
      </c>
      <c r="H74">
        <v>15</v>
      </c>
      <c r="I74" t="s">
        <v>1072</v>
      </c>
      <c r="J74" s="15">
        <v>46251.49722222222</v>
      </c>
      <c r="K74" s="15">
        <v>46252.638888888891</v>
      </c>
      <c r="L74" s="15"/>
      <c r="M74">
        <v>15</v>
      </c>
      <c r="O74" t="s">
        <v>201</v>
      </c>
      <c r="P74" t="s">
        <v>1956</v>
      </c>
      <c r="S74" t="s">
        <v>356</v>
      </c>
      <c r="T74" t="s">
        <v>369</v>
      </c>
      <c r="U74" t="s">
        <v>239</v>
      </c>
      <c r="V74" t="s">
        <v>348</v>
      </c>
      <c r="W74" t="s">
        <v>369</v>
      </c>
      <c r="X74" t="s">
        <v>239</v>
      </c>
      <c r="Y74">
        <v>0</v>
      </c>
      <c r="AA74" t="s">
        <v>67</v>
      </c>
      <c r="AB74" t="s">
        <v>356</v>
      </c>
      <c r="AC74">
        <v>109</v>
      </c>
      <c r="AD74" t="s">
        <v>217</v>
      </c>
      <c r="AE74">
        <v>1.5</v>
      </c>
      <c r="AF74">
        <v>1</v>
      </c>
    </row>
    <row r="75" spans="1:32" x14ac:dyDescent="0.3">
      <c r="A75" t="s">
        <v>348</v>
      </c>
      <c r="B75" t="s">
        <v>45</v>
      </c>
      <c r="C75" t="s">
        <v>68</v>
      </c>
      <c r="D75" t="s">
        <v>309</v>
      </c>
      <c r="E75" t="s">
        <v>1073</v>
      </c>
      <c r="F75" s="15">
        <v>46230.391215277778</v>
      </c>
      <c r="G75" t="s">
        <v>403</v>
      </c>
      <c r="H75">
        <v>15</v>
      </c>
      <c r="I75" t="s">
        <v>1074</v>
      </c>
      <c r="J75" s="15">
        <v>46230.46465277778</v>
      </c>
      <c r="K75" s="15">
        <v>46231.458333333336</v>
      </c>
      <c r="L75" s="15"/>
      <c r="M75">
        <v>15</v>
      </c>
      <c r="O75" t="s">
        <v>201</v>
      </c>
      <c r="P75" t="s">
        <v>1954</v>
      </c>
      <c r="S75" t="s">
        <v>356</v>
      </c>
      <c r="T75" t="s">
        <v>369</v>
      </c>
      <c r="U75" t="s">
        <v>239</v>
      </c>
      <c r="V75" t="s">
        <v>348</v>
      </c>
      <c r="W75" t="s">
        <v>369</v>
      </c>
      <c r="X75" t="s">
        <v>239</v>
      </c>
      <c r="Y75">
        <v>0</v>
      </c>
      <c r="AA75" t="s">
        <v>67</v>
      </c>
      <c r="AB75" t="s">
        <v>356</v>
      </c>
      <c r="AC75">
        <v>109</v>
      </c>
      <c r="AD75" t="s">
        <v>217</v>
      </c>
      <c r="AE75">
        <v>1.5</v>
      </c>
      <c r="AF75">
        <v>1</v>
      </c>
    </row>
    <row r="76" spans="1:32" x14ac:dyDescent="0.3">
      <c r="A76" t="s">
        <v>348</v>
      </c>
      <c r="B76" t="s">
        <v>45</v>
      </c>
      <c r="C76" t="s">
        <v>68</v>
      </c>
      <c r="D76" t="s">
        <v>309</v>
      </c>
      <c r="E76" t="s">
        <v>1075</v>
      </c>
      <c r="F76" s="15">
        <v>46230.398877314816</v>
      </c>
      <c r="G76" t="s">
        <v>403</v>
      </c>
      <c r="H76">
        <v>10</v>
      </c>
      <c r="I76" t="s">
        <v>1076</v>
      </c>
      <c r="J76" s="15">
        <v>46230.632638888892</v>
      </c>
      <c r="K76" s="15">
        <v>46232.696527777778</v>
      </c>
      <c r="L76" s="15"/>
      <c r="M76">
        <v>10</v>
      </c>
      <c r="O76" t="s">
        <v>201</v>
      </c>
      <c r="P76" t="s">
        <v>1956</v>
      </c>
      <c r="S76" t="s">
        <v>356</v>
      </c>
      <c r="T76" t="s">
        <v>369</v>
      </c>
      <c r="U76" t="s">
        <v>239</v>
      </c>
      <c r="V76" t="s">
        <v>348</v>
      </c>
      <c r="W76" t="s">
        <v>369</v>
      </c>
      <c r="X76" t="s">
        <v>239</v>
      </c>
      <c r="AA76" t="s">
        <v>67</v>
      </c>
      <c r="AB76" t="s">
        <v>356</v>
      </c>
      <c r="AC76">
        <v>109</v>
      </c>
      <c r="AD76" t="s">
        <v>217</v>
      </c>
      <c r="AE76">
        <v>1</v>
      </c>
      <c r="AF76">
        <v>1</v>
      </c>
    </row>
    <row r="77" spans="1:32" x14ac:dyDescent="0.3">
      <c r="A77" t="s">
        <v>348</v>
      </c>
      <c r="B77" t="s">
        <v>48</v>
      </c>
      <c r="C77" t="s">
        <v>68</v>
      </c>
      <c r="D77" t="s">
        <v>309</v>
      </c>
      <c r="E77" t="s">
        <v>747</v>
      </c>
      <c r="F77" s="15">
        <v>46252.576365740744</v>
      </c>
      <c r="G77" t="s">
        <v>742</v>
      </c>
      <c r="H77">
        <v>25</v>
      </c>
      <c r="I77" t="s">
        <v>1077</v>
      </c>
      <c r="J77" s="15">
        <v>46253.647222222222</v>
      </c>
      <c r="K77" s="15">
        <v>46255.477083333331</v>
      </c>
      <c r="L77" s="15"/>
      <c r="M77">
        <v>25</v>
      </c>
      <c r="O77" t="s">
        <v>201</v>
      </c>
      <c r="P77" t="s">
        <v>1956</v>
      </c>
      <c r="S77" t="s">
        <v>356</v>
      </c>
      <c r="T77" t="s">
        <v>369</v>
      </c>
      <c r="U77" t="s">
        <v>239</v>
      </c>
      <c r="V77" t="s">
        <v>348</v>
      </c>
      <c r="W77" t="s">
        <v>369</v>
      </c>
      <c r="X77" t="s">
        <v>239</v>
      </c>
      <c r="Y77">
        <v>0</v>
      </c>
      <c r="AA77" t="s">
        <v>90</v>
      </c>
      <c r="AB77" t="s">
        <v>356</v>
      </c>
      <c r="AC77">
        <v>109</v>
      </c>
      <c r="AD77" t="s">
        <v>217</v>
      </c>
      <c r="AE77">
        <v>2.5</v>
      </c>
      <c r="AF77">
        <v>1</v>
      </c>
    </row>
    <row r="78" spans="1:32" x14ac:dyDescent="0.3">
      <c r="A78" t="s">
        <v>348</v>
      </c>
      <c r="B78" t="s">
        <v>48</v>
      </c>
      <c r="C78" t="s">
        <v>68</v>
      </c>
      <c r="D78" t="s">
        <v>309</v>
      </c>
      <c r="E78" t="s">
        <v>748</v>
      </c>
      <c r="F78" s="15">
        <v>46252.581203703703</v>
      </c>
      <c r="G78" t="s">
        <v>742</v>
      </c>
      <c r="H78">
        <v>15</v>
      </c>
      <c r="I78" t="s">
        <v>1078</v>
      </c>
      <c r="J78" s="15">
        <v>46254.392361111109</v>
      </c>
      <c r="K78" s="15">
        <v>46255.477083333331</v>
      </c>
      <c r="L78" s="15"/>
      <c r="M78">
        <v>15</v>
      </c>
      <c r="O78" t="s">
        <v>201</v>
      </c>
      <c r="P78" t="s">
        <v>1956</v>
      </c>
      <c r="S78" t="s">
        <v>356</v>
      </c>
      <c r="T78" t="s">
        <v>369</v>
      </c>
      <c r="U78" t="s">
        <v>239</v>
      </c>
      <c r="V78" t="s">
        <v>348</v>
      </c>
      <c r="W78" t="s">
        <v>369</v>
      </c>
      <c r="X78" t="s">
        <v>239</v>
      </c>
      <c r="Y78">
        <v>0</v>
      </c>
      <c r="AA78" t="s">
        <v>90</v>
      </c>
      <c r="AB78" t="s">
        <v>356</v>
      </c>
      <c r="AC78">
        <v>109</v>
      </c>
      <c r="AD78" t="s">
        <v>217</v>
      </c>
      <c r="AE78">
        <v>1.5</v>
      </c>
    </row>
    <row r="79" spans="1:32" x14ac:dyDescent="0.3">
      <c r="A79" t="s">
        <v>348</v>
      </c>
      <c r="B79" t="s">
        <v>48</v>
      </c>
      <c r="C79" t="s">
        <v>68</v>
      </c>
      <c r="D79" t="s">
        <v>309</v>
      </c>
      <c r="E79" t="s">
        <v>1079</v>
      </c>
      <c r="F79" s="15">
        <v>46231.625231481485</v>
      </c>
      <c r="G79" t="s">
        <v>749</v>
      </c>
      <c r="H79">
        <v>10</v>
      </c>
      <c r="I79" t="s">
        <v>1080</v>
      </c>
      <c r="J79" s="15">
        <v>46234.652581018519</v>
      </c>
      <c r="K79" s="15">
        <v>46238.509722222225</v>
      </c>
      <c r="L79" s="15"/>
      <c r="M79">
        <v>10</v>
      </c>
      <c r="O79" t="s">
        <v>201</v>
      </c>
      <c r="P79" t="s">
        <v>1956</v>
      </c>
      <c r="S79" t="s">
        <v>356</v>
      </c>
      <c r="T79" t="s">
        <v>369</v>
      </c>
      <c r="U79" t="s">
        <v>239</v>
      </c>
      <c r="V79" t="s">
        <v>348</v>
      </c>
      <c r="W79" t="s">
        <v>369</v>
      </c>
      <c r="X79" t="s">
        <v>239</v>
      </c>
      <c r="Y79">
        <v>0</v>
      </c>
      <c r="AA79" t="s">
        <v>90</v>
      </c>
      <c r="AB79" t="s">
        <v>356</v>
      </c>
      <c r="AC79">
        <v>109</v>
      </c>
      <c r="AD79" t="s">
        <v>217</v>
      </c>
      <c r="AE79">
        <v>1</v>
      </c>
      <c r="AF79">
        <v>1</v>
      </c>
    </row>
    <row r="80" spans="1:32" x14ac:dyDescent="0.3">
      <c r="A80" t="s">
        <v>348</v>
      </c>
      <c r="B80" t="s">
        <v>48</v>
      </c>
      <c r="C80" t="s">
        <v>68</v>
      </c>
      <c r="D80" t="s">
        <v>309</v>
      </c>
      <c r="E80" t="s">
        <v>1081</v>
      </c>
      <c r="F80" s="15">
        <v>46227.725787037038</v>
      </c>
      <c r="G80" t="s">
        <v>403</v>
      </c>
      <c r="H80">
        <v>16</v>
      </c>
      <c r="I80" t="s">
        <v>1082</v>
      </c>
      <c r="J80" s="15">
        <v>46232.603437500002</v>
      </c>
      <c r="K80" s="15">
        <v>46234.413194444445</v>
      </c>
      <c r="L80" s="15"/>
      <c r="M80">
        <v>16</v>
      </c>
      <c r="O80" t="s">
        <v>201</v>
      </c>
      <c r="P80" t="s">
        <v>1956</v>
      </c>
      <c r="S80" t="s">
        <v>356</v>
      </c>
      <c r="T80" t="s">
        <v>369</v>
      </c>
      <c r="U80" t="s">
        <v>239</v>
      </c>
      <c r="V80" t="s">
        <v>348</v>
      </c>
      <c r="W80" t="s">
        <v>369</v>
      </c>
      <c r="X80" t="s">
        <v>239</v>
      </c>
      <c r="Y80">
        <v>0</v>
      </c>
      <c r="AA80" t="s">
        <v>90</v>
      </c>
      <c r="AB80" t="s">
        <v>356</v>
      </c>
      <c r="AC80">
        <v>109</v>
      </c>
      <c r="AD80" t="s">
        <v>217</v>
      </c>
      <c r="AE80">
        <v>1.6</v>
      </c>
      <c r="AF80">
        <v>1</v>
      </c>
    </row>
    <row r="81" spans="1:32" x14ac:dyDescent="0.3">
      <c r="A81" t="s">
        <v>348</v>
      </c>
      <c r="B81" t="s">
        <v>45</v>
      </c>
      <c r="C81" t="s">
        <v>68</v>
      </c>
      <c r="D81" t="s">
        <v>309</v>
      </c>
      <c r="E81" t="s">
        <v>1083</v>
      </c>
      <c r="F81" s="15">
        <v>46245.50304398148</v>
      </c>
      <c r="G81" t="s">
        <v>407</v>
      </c>
      <c r="H81">
        <v>5</v>
      </c>
      <c r="I81" t="s">
        <v>1084</v>
      </c>
      <c r="J81" s="15">
        <v>46245.540277777778</v>
      </c>
      <c r="K81" s="15">
        <v>46247.46875</v>
      </c>
      <c r="L81" s="15"/>
      <c r="M81">
        <v>5</v>
      </c>
      <c r="O81" t="s">
        <v>201</v>
      </c>
      <c r="P81" t="s">
        <v>1956</v>
      </c>
      <c r="S81" t="s">
        <v>464</v>
      </c>
      <c r="T81" t="s">
        <v>369</v>
      </c>
      <c r="U81" t="s">
        <v>239</v>
      </c>
      <c r="V81" t="s">
        <v>348</v>
      </c>
      <c r="W81" t="s">
        <v>369</v>
      </c>
      <c r="X81" t="s">
        <v>239</v>
      </c>
      <c r="AA81" t="s">
        <v>67</v>
      </c>
      <c r="AB81" t="s">
        <v>464</v>
      </c>
      <c r="AC81">
        <v>288</v>
      </c>
      <c r="AD81" t="s">
        <v>217</v>
      </c>
      <c r="AE81">
        <v>1</v>
      </c>
      <c r="AF81">
        <v>1</v>
      </c>
    </row>
    <row r="82" spans="1:32" x14ac:dyDescent="0.3">
      <c r="A82" t="s">
        <v>348</v>
      </c>
      <c r="B82" t="s">
        <v>45</v>
      </c>
      <c r="C82" t="s">
        <v>68</v>
      </c>
      <c r="D82" t="s">
        <v>309</v>
      </c>
      <c r="E82" t="s">
        <v>1085</v>
      </c>
      <c r="F82" s="15">
        <v>46245.502650462964</v>
      </c>
      <c r="G82" t="s">
        <v>407</v>
      </c>
      <c r="H82">
        <v>11</v>
      </c>
      <c r="I82" t="s">
        <v>1086</v>
      </c>
      <c r="J82" s="15">
        <v>46245.53125</v>
      </c>
      <c r="K82" s="15">
        <v>46247.46875</v>
      </c>
      <c r="L82" s="15"/>
      <c r="M82">
        <v>11</v>
      </c>
      <c r="O82" t="s">
        <v>201</v>
      </c>
      <c r="P82" t="s">
        <v>1956</v>
      </c>
      <c r="S82" t="s">
        <v>464</v>
      </c>
      <c r="T82" t="s">
        <v>369</v>
      </c>
      <c r="U82" t="s">
        <v>239</v>
      </c>
      <c r="V82" t="s">
        <v>348</v>
      </c>
      <c r="W82" t="s">
        <v>369</v>
      </c>
      <c r="X82" t="s">
        <v>239</v>
      </c>
      <c r="AA82" t="s">
        <v>67</v>
      </c>
      <c r="AB82" t="s">
        <v>464</v>
      </c>
      <c r="AC82">
        <v>288</v>
      </c>
      <c r="AD82" t="s">
        <v>217</v>
      </c>
      <c r="AE82">
        <v>1.1000000000000001</v>
      </c>
    </row>
    <row r="83" spans="1:32" x14ac:dyDescent="0.3">
      <c r="A83" t="s">
        <v>348</v>
      </c>
      <c r="B83" t="s">
        <v>48</v>
      </c>
      <c r="C83" t="s">
        <v>68</v>
      </c>
      <c r="D83" t="s">
        <v>309</v>
      </c>
      <c r="E83" t="s">
        <v>1087</v>
      </c>
      <c r="F83" s="15">
        <v>46252.486481481479</v>
      </c>
      <c r="G83" t="s">
        <v>407</v>
      </c>
      <c r="H83">
        <v>5</v>
      </c>
      <c r="I83" t="s">
        <v>1088</v>
      </c>
      <c r="J83" s="15">
        <v>46253.540277777778</v>
      </c>
      <c r="K83" s="15">
        <v>46254.458333333336</v>
      </c>
      <c r="L83" s="15"/>
      <c r="M83">
        <v>5</v>
      </c>
      <c r="O83" t="s">
        <v>201</v>
      </c>
      <c r="P83" t="s">
        <v>1954</v>
      </c>
      <c r="S83" t="s">
        <v>464</v>
      </c>
      <c r="T83" t="s">
        <v>369</v>
      </c>
      <c r="U83" t="s">
        <v>239</v>
      </c>
      <c r="V83" t="s">
        <v>348</v>
      </c>
      <c r="W83" t="s">
        <v>369</v>
      </c>
      <c r="X83" t="s">
        <v>239</v>
      </c>
      <c r="AA83" t="s">
        <v>90</v>
      </c>
      <c r="AB83" t="s">
        <v>464</v>
      </c>
      <c r="AC83">
        <v>288</v>
      </c>
      <c r="AD83" t="s">
        <v>217</v>
      </c>
      <c r="AE83">
        <v>1</v>
      </c>
      <c r="AF83">
        <v>1</v>
      </c>
    </row>
    <row r="84" spans="1:32" x14ac:dyDescent="0.3">
      <c r="A84" t="s">
        <v>348</v>
      </c>
      <c r="B84" t="s">
        <v>48</v>
      </c>
      <c r="C84" t="s">
        <v>68</v>
      </c>
      <c r="D84" t="s">
        <v>309</v>
      </c>
      <c r="E84" t="s">
        <v>1089</v>
      </c>
      <c r="F84" s="15">
        <v>46231.743472222224</v>
      </c>
      <c r="G84" t="s">
        <v>402</v>
      </c>
      <c r="H84">
        <v>1</v>
      </c>
      <c r="I84" t="s">
        <v>1090</v>
      </c>
      <c r="J84" s="15">
        <v>46239.520138888889</v>
      </c>
      <c r="K84" s="15">
        <v>46240.513194444444</v>
      </c>
      <c r="L84" s="15"/>
      <c r="M84">
        <v>1</v>
      </c>
      <c r="O84" t="s">
        <v>201</v>
      </c>
      <c r="P84" t="s">
        <v>1956</v>
      </c>
      <c r="S84" t="s">
        <v>355</v>
      </c>
      <c r="T84" t="s">
        <v>369</v>
      </c>
      <c r="U84" t="s">
        <v>239</v>
      </c>
      <c r="V84" t="s">
        <v>348</v>
      </c>
      <c r="W84" t="s">
        <v>369</v>
      </c>
      <c r="X84" t="s">
        <v>239</v>
      </c>
      <c r="Y84">
        <v>0</v>
      </c>
      <c r="AA84" t="s">
        <v>90</v>
      </c>
      <c r="AB84" t="s">
        <v>355</v>
      </c>
      <c r="AC84">
        <v>2200</v>
      </c>
      <c r="AD84" t="s">
        <v>217</v>
      </c>
      <c r="AE84">
        <v>1</v>
      </c>
      <c r="AF84">
        <v>1</v>
      </c>
    </row>
    <row r="85" spans="1:32" x14ac:dyDescent="0.3">
      <c r="A85" t="s">
        <v>348</v>
      </c>
      <c r="B85" t="s">
        <v>48</v>
      </c>
      <c r="C85" t="s">
        <v>68</v>
      </c>
      <c r="D85" t="s">
        <v>309</v>
      </c>
      <c r="E85" t="s">
        <v>1091</v>
      </c>
      <c r="F85" s="15">
        <v>46231.307928240742</v>
      </c>
      <c r="G85" t="s">
        <v>401</v>
      </c>
      <c r="H85">
        <v>1</v>
      </c>
      <c r="I85" t="s">
        <v>1092</v>
      </c>
      <c r="J85" s="15">
        <v>46231.367361111108</v>
      </c>
      <c r="K85" s="15">
        <v>46232.486111111109</v>
      </c>
      <c r="L85" s="15"/>
      <c r="M85">
        <v>1</v>
      </c>
      <c r="O85" t="s">
        <v>201</v>
      </c>
      <c r="P85" t="s">
        <v>1956</v>
      </c>
      <c r="S85" t="s">
        <v>357</v>
      </c>
      <c r="T85" t="s">
        <v>369</v>
      </c>
      <c r="U85" t="s">
        <v>239</v>
      </c>
      <c r="V85" t="s">
        <v>348</v>
      </c>
      <c r="W85" t="s">
        <v>369</v>
      </c>
      <c r="X85" t="s">
        <v>239</v>
      </c>
      <c r="Y85">
        <v>0</v>
      </c>
      <c r="AA85" t="s">
        <v>90</v>
      </c>
      <c r="AB85" t="s">
        <v>357</v>
      </c>
      <c r="AC85">
        <v>101</v>
      </c>
      <c r="AD85" t="s">
        <v>217</v>
      </c>
      <c r="AE85">
        <v>1</v>
      </c>
      <c r="AF85">
        <v>1</v>
      </c>
    </row>
    <row r="86" spans="1:32" x14ac:dyDescent="0.3">
      <c r="A86" t="s">
        <v>348</v>
      </c>
      <c r="B86" t="s">
        <v>48</v>
      </c>
      <c r="C86" t="s">
        <v>68</v>
      </c>
      <c r="D86" t="s">
        <v>309</v>
      </c>
      <c r="E86" t="s">
        <v>1093</v>
      </c>
      <c r="F86" s="15">
        <v>46227.576932870368</v>
      </c>
      <c r="G86" t="s">
        <v>402</v>
      </c>
      <c r="H86">
        <v>1</v>
      </c>
      <c r="I86" t="s">
        <v>1094</v>
      </c>
      <c r="J86" s="15">
        <v>46233.393819444442</v>
      </c>
      <c r="K86" s="15">
        <v>46234.439583333333</v>
      </c>
      <c r="L86" s="15"/>
      <c r="M86">
        <v>1</v>
      </c>
      <c r="O86" t="s">
        <v>201</v>
      </c>
      <c r="P86" t="s">
        <v>1956</v>
      </c>
      <c r="S86" t="s">
        <v>354</v>
      </c>
      <c r="T86" t="s">
        <v>369</v>
      </c>
      <c r="U86" t="s">
        <v>239</v>
      </c>
      <c r="V86" t="s">
        <v>348</v>
      </c>
      <c r="W86" t="s">
        <v>369</v>
      </c>
      <c r="X86" t="s">
        <v>239</v>
      </c>
      <c r="Y86">
        <v>0</v>
      </c>
      <c r="AA86" t="s">
        <v>90</v>
      </c>
      <c r="AB86" t="s">
        <v>354</v>
      </c>
      <c r="AC86">
        <v>50</v>
      </c>
      <c r="AD86" t="s">
        <v>217</v>
      </c>
      <c r="AE86">
        <v>1</v>
      </c>
      <c r="AF86">
        <v>1</v>
      </c>
    </row>
    <row r="87" spans="1:32" x14ac:dyDescent="0.3">
      <c r="A87" t="s">
        <v>348</v>
      </c>
      <c r="B87" t="s">
        <v>57</v>
      </c>
      <c r="C87" t="s">
        <v>117</v>
      </c>
      <c r="D87" t="s">
        <v>309</v>
      </c>
      <c r="E87" t="s">
        <v>741</v>
      </c>
      <c r="F87" s="15">
        <v>46248.437847222223</v>
      </c>
      <c r="G87" t="s">
        <v>401</v>
      </c>
      <c r="H87">
        <v>1</v>
      </c>
      <c r="I87" t="s">
        <v>1095</v>
      </c>
      <c r="J87" s="15">
        <v>46248.662499999999</v>
      </c>
      <c r="K87" s="15">
        <v>46253.628472222219</v>
      </c>
      <c r="L87" s="15"/>
      <c r="M87">
        <v>1</v>
      </c>
      <c r="O87" t="s">
        <v>201</v>
      </c>
      <c r="P87" t="s">
        <v>1954</v>
      </c>
      <c r="S87" t="s">
        <v>357</v>
      </c>
      <c r="T87" t="s">
        <v>369</v>
      </c>
      <c r="U87" t="s">
        <v>239</v>
      </c>
      <c r="V87" t="s">
        <v>7</v>
      </c>
      <c r="W87" t="s">
        <v>7</v>
      </c>
      <c r="X87" t="s">
        <v>7</v>
      </c>
      <c r="AA87" t="s">
        <v>127</v>
      </c>
      <c r="AB87" t="s">
        <v>357</v>
      </c>
      <c r="AC87">
        <v>101</v>
      </c>
      <c r="AD87" t="s">
        <v>233</v>
      </c>
      <c r="AE87">
        <v>1</v>
      </c>
      <c r="AF87">
        <v>1</v>
      </c>
    </row>
    <row r="88" spans="1:32" x14ac:dyDescent="0.3">
      <c r="A88" t="s">
        <v>348</v>
      </c>
      <c r="B88" t="s">
        <v>57</v>
      </c>
      <c r="C88" t="s">
        <v>117</v>
      </c>
      <c r="D88" t="s">
        <v>309</v>
      </c>
      <c r="E88" t="s">
        <v>1096</v>
      </c>
      <c r="F88" s="15">
        <v>46239.634884259256</v>
      </c>
      <c r="G88" t="s">
        <v>401</v>
      </c>
      <c r="H88">
        <v>1</v>
      </c>
      <c r="I88" t="s">
        <v>1097</v>
      </c>
      <c r="J88" s="15">
        <v>46240.408333333333</v>
      </c>
      <c r="K88" s="15">
        <v>46246.645833333336</v>
      </c>
      <c r="L88" s="15"/>
      <c r="M88">
        <v>1</v>
      </c>
      <c r="O88" t="s">
        <v>201</v>
      </c>
      <c r="P88" t="s">
        <v>1954</v>
      </c>
      <c r="S88" t="s">
        <v>357</v>
      </c>
      <c r="T88" t="s">
        <v>369</v>
      </c>
      <c r="U88" t="s">
        <v>239</v>
      </c>
      <c r="V88" t="s">
        <v>7</v>
      </c>
      <c r="W88" t="s">
        <v>7</v>
      </c>
      <c r="X88" t="s">
        <v>7</v>
      </c>
      <c r="AA88" t="s">
        <v>127</v>
      </c>
      <c r="AB88" t="s">
        <v>357</v>
      </c>
      <c r="AC88">
        <v>101</v>
      </c>
      <c r="AD88" t="s">
        <v>233</v>
      </c>
      <c r="AE88">
        <v>1</v>
      </c>
      <c r="AF88">
        <v>1</v>
      </c>
    </row>
    <row r="89" spans="1:32" x14ac:dyDescent="0.3">
      <c r="A89" t="s">
        <v>348</v>
      </c>
      <c r="B89" t="s">
        <v>57</v>
      </c>
      <c r="C89" t="s">
        <v>117</v>
      </c>
      <c r="D89" t="s">
        <v>309</v>
      </c>
      <c r="E89" t="s">
        <v>1098</v>
      </c>
      <c r="F89" s="15">
        <v>46245.601261574076</v>
      </c>
      <c r="G89" t="s">
        <v>405</v>
      </c>
      <c r="H89">
        <v>1</v>
      </c>
      <c r="I89" t="s">
        <v>1099</v>
      </c>
      <c r="J89" s="15">
        <v>46246.638194444444</v>
      </c>
      <c r="K89" s="15">
        <v>46252.386805555558</v>
      </c>
      <c r="L89" s="15"/>
      <c r="M89">
        <v>1</v>
      </c>
      <c r="O89" t="s">
        <v>201</v>
      </c>
      <c r="P89" t="s">
        <v>1954</v>
      </c>
      <c r="S89" t="s">
        <v>355</v>
      </c>
      <c r="T89" t="s">
        <v>369</v>
      </c>
      <c r="U89" t="s">
        <v>239</v>
      </c>
      <c r="V89" t="s">
        <v>7</v>
      </c>
      <c r="W89" t="s">
        <v>7</v>
      </c>
      <c r="X89" t="s">
        <v>7</v>
      </c>
      <c r="AA89" t="s">
        <v>127</v>
      </c>
      <c r="AB89" t="s">
        <v>355</v>
      </c>
      <c r="AC89">
        <v>2200</v>
      </c>
      <c r="AD89" t="s">
        <v>233</v>
      </c>
      <c r="AE89">
        <v>1</v>
      </c>
      <c r="AF89">
        <v>1</v>
      </c>
    </row>
    <row r="90" spans="1:32" x14ac:dyDescent="0.3">
      <c r="A90" t="s">
        <v>348</v>
      </c>
      <c r="B90" t="s">
        <v>57</v>
      </c>
      <c r="C90" t="s">
        <v>117</v>
      </c>
      <c r="D90" t="s">
        <v>309</v>
      </c>
      <c r="E90" t="s">
        <v>1100</v>
      </c>
      <c r="F90" s="15">
        <v>46245.375648148147</v>
      </c>
      <c r="G90" t="s">
        <v>402</v>
      </c>
      <c r="H90">
        <v>5</v>
      </c>
      <c r="I90" t="s">
        <v>1101</v>
      </c>
      <c r="J90" s="15">
        <v>46246.395138888889</v>
      </c>
      <c r="K90" s="15">
        <v>46248.681250000001</v>
      </c>
      <c r="L90" s="15"/>
      <c r="M90">
        <v>5</v>
      </c>
      <c r="O90" t="s">
        <v>201</v>
      </c>
      <c r="P90" t="s">
        <v>1954</v>
      </c>
      <c r="S90" t="s">
        <v>355</v>
      </c>
      <c r="T90" t="s">
        <v>369</v>
      </c>
      <c r="U90" t="s">
        <v>239</v>
      </c>
      <c r="V90" t="s">
        <v>7</v>
      </c>
      <c r="W90" t="s">
        <v>7</v>
      </c>
      <c r="X90" t="s">
        <v>7</v>
      </c>
      <c r="AA90" t="s">
        <v>127</v>
      </c>
      <c r="AB90" t="s">
        <v>355</v>
      </c>
      <c r="AC90">
        <v>2200</v>
      </c>
      <c r="AD90" t="s">
        <v>233</v>
      </c>
      <c r="AE90">
        <v>1</v>
      </c>
      <c r="AF90">
        <v>1</v>
      </c>
    </row>
    <row r="91" spans="1:32" x14ac:dyDescent="0.3">
      <c r="A91" t="s">
        <v>348</v>
      </c>
      <c r="B91" t="s">
        <v>57</v>
      </c>
      <c r="C91" t="s">
        <v>117</v>
      </c>
      <c r="D91" t="s">
        <v>309</v>
      </c>
      <c r="E91" t="s">
        <v>1102</v>
      </c>
      <c r="F91" s="15">
        <v>46239.715613425928</v>
      </c>
      <c r="G91" t="s">
        <v>402</v>
      </c>
      <c r="H91">
        <v>3</v>
      </c>
      <c r="I91" t="s">
        <v>1103</v>
      </c>
      <c r="J91" s="15">
        <v>46241.71597222222</v>
      </c>
      <c r="K91" s="15">
        <v>46246.671527777777</v>
      </c>
      <c r="L91" s="15"/>
      <c r="M91">
        <v>3</v>
      </c>
      <c r="O91" t="s">
        <v>201</v>
      </c>
      <c r="P91" t="s">
        <v>1954</v>
      </c>
      <c r="S91" t="s">
        <v>355</v>
      </c>
      <c r="T91" t="s">
        <v>369</v>
      </c>
      <c r="U91" t="s">
        <v>239</v>
      </c>
      <c r="V91" t="s">
        <v>7</v>
      </c>
      <c r="W91" t="s">
        <v>7</v>
      </c>
      <c r="X91" t="s">
        <v>7</v>
      </c>
      <c r="AA91" t="s">
        <v>127</v>
      </c>
      <c r="AB91" t="s">
        <v>355</v>
      </c>
      <c r="AC91">
        <v>2200</v>
      </c>
      <c r="AD91" t="s">
        <v>233</v>
      </c>
      <c r="AE91">
        <v>1</v>
      </c>
      <c r="AF91">
        <v>1</v>
      </c>
    </row>
    <row r="92" spans="1:32" x14ac:dyDescent="0.3">
      <c r="A92" t="s">
        <v>348</v>
      </c>
      <c r="B92" t="s">
        <v>57</v>
      </c>
      <c r="C92" t="s">
        <v>117</v>
      </c>
      <c r="D92" t="s">
        <v>309</v>
      </c>
      <c r="E92" t="s">
        <v>1104</v>
      </c>
      <c r="F92" s="15">
        <v>46238.474398148152</v>
      </c>
      <c r="G92" t="s">
        <v>402</v>
      </c>
      <c r="H92">
        <v>1</v>
      </c>
      <c r="I92" t="s">
        <v>1105</v>
      </c>
      <c r="J92" s="15">
        <v>46238.659722222219</v>
      </c>
      <c r="K92" s="15">
        <v>46241.456944444442</v>
      </c>
      <c r="L92" s="15"/>
      <c r="M92">
        <v>1</v>
      </c>
      <c r="O92" t="s">
        <v>201</v>
      </c>
      <c r="P92" t="s">
        <v>1954</v>
      </c>
      <c r="S92" t="s">
        <v>355</v>
      </c>
      <c r="T92" t="s">
        <v>369</v>
      </c>
      <c r="U92" t="s">
        <v>239</v>
      </c>
      <c r="V92" t="s">
        <v>7</v>
      </c>
      <c r="W92" t="s">
        <v>7</v>
      </c>
      <c r="X92" t="s">
        <v>7</v>
      </c>
      <c r="AA92" t="s">
        <v>127</v>
      </c>
      <c r="AB92" t="s">
        <v>355</v>
      </c>
      <c r="AC92">
        <v>2200</v>
      </c>
      <c r="AD92" t="s">
        <v>233</v>
      </c>
      <c r="AE92">
        <v>1</v>
      </c>
      <c r="AF92">
        <v>1</v>
      </c>
    </row>
    <row r="93" spans="1:32" x14ac:dyDescent="0.3">
      <c r="A93" t="s">
        <v>348</v>
      </c>
      <c r="B93" t="s">
        <v>57</v>
      </c>
      <c r="C93" t="s">
        <v>117</v>
      </c>
      <c r="D93" t="s">
        <v>309</v>
      </c>
      <c r="E93" t="s">
        <v>1106</v>
      </c>
      <c r="F93" s="15">
        <v>46244.43917824074</v>
      </c>
      <c r="G93" t="s">
        <v>406</v>
      </c>
      <c r="H93">
        <v>1</v>
      </c>
      <c r="I93" t="s">
        <v>1107</v>
      </c>
      <c r="J93" s="15">
        <v>46245.671527777777</v>
      </c>
      <c r="K93" s="15">
        <v>46251.602083333331</v>
      </c>
      <c r="L93" s="15"/>
      <c r="M93">
        <v>1</v>
      </c>
      <c r="O93" t="s">
        <v>201</v>
      </c>
      <c r="P93" t="s">
        <v>1954</v>
      </c>
      <c r="S93" t="s">
        <v>354</v>
      </c>
      <c r="T93" t="s">
        <v>369</v>
      </c>
      <c r="U93" t="s">
        <v>239</v>
      </c>
      <c r="V93" t="s">
        <v>7</v>
      </c>
      <c r="W93" t="s">
        <v>7</v>
      </c>
      <c r="X93" t="s">
        <v>7</v>
      </c>
      <c r="AA93" t="s">
        <v>127</v>
      </c>
      <c r="AB93" t="s">
        <v>354</v>
      </c>
      <c r="AC93">
        <v>50</v>
      </c>
      <c r="AD93" t="s">
        <v>233</v>
      </c>
      <c r="AE93">
        <v>1</v>
      </c>
      <c r="AF93">
        <v>1</v>
      </c>
    </row>
    <row r="94" spans="1:32" x14ac:dyDescent="0.3">
      <c r="A94" t="s">
        <v>348</v>
      </c>
      <c r="B94" t="s">
        <v>57</v>
      </c>
      <c r="C94" t="s">
        <v>117</v>
      </c>
      <c r="D94" t="s">
        <v>309</v>
      </c>
      <c r="E94" t="s">
        <v>1106</v>
      </c>
      <c r="F94" s="15">
        <v>46244.43917824074</v>
      </c>
      <c r="G94" t="s">
        <v>406</v>
      </c>
      <c r="H94">
        <v>2</v>
      </c>
      <c r="I94" t="s">
        <v>1107</v>
      </c>
      <c r="J94" s="15">
        <v>46245.671527777777</v>
      </c>
      <c r="K94" s="15">
        <v>46251.602083333331</v>
      </c>
      <c r="L94" s="15"/>
      <c r="M94">
        <v>2</v>
      </c>
      <c r="O94" t="s">
        <v>1958</v>
      </c>
      <c r="S94" t="s">
        <v>354</v>
      </c>
      <c r="T94" t="s">
        <v>369</v>
      </c>
      <c r="U94" t="s">
        <v>239</v>
      </c>
      <c r="V94" t="s">
        <v>7</v>
      </c>
      <c r="W94" t="s">
        <v>7</v>
      </c>
      <c r="X94" t="s">
        <v>7</v>
      </c>
      <c r="AA94" t="s">
        <v>127</v>
      </c>
      <c r="AB94" t="s">
        <v>354</v>
      </c>
      <c r="AC94">
        <v>50</v>
      </c>
      <c r="AD94" t="s">
        <v>233</v>
      </c>
      <c r="AE94">
        <v>1</v>
      </c>
    </row>
    <row r="95" spans="1:32" x14ac:dyDescent="0.3">
      <c r="A95" t="s">
        <v>348</v>
      </c>
      <c r="B95" t="s">
        <v>57</v>
      </c>
      <c r="C95" t="s">
        <v>117</v>
      </c>
      <c r="D95" t="s">
        <v>309</v>
      </c>
      <c r="E95" t="s">
        <v>1106</v>
      </c>
      <c r="F95" s="15">
        <v>46244.43917824074</v>
      </c>
      <c r="G95" t="s">
        <v>406</v>
      </c>
      <c r="H95">
        <v>4</v>
      </c>
      <c r="I95" t="s">
        <v>1107</v>
      </c>
      <c r="J95" s="15">
        <v>46245.671527777777</v>
      </c>
      <c r="K95" s="15">
        <v>46251.602083333331</v>
      </c>
      <c r="L95" s="15"/>
      <c r="M95">
        <v>4</v>
      </c>
      <c r="O95" t="s">
        <v>1958</v>
      </c>
      <c r="S95" t="s">
        <v>354</v>
      </c>
      <c r="T95" t="s">
        <v>369</v>
      </c>
      <c r="U95" t="s">
        <v>239</v>
      </c>
      <c r="V95" t="s">
        <v>7</v>
      </c>
      <c r="W95" t="s">
        <v>7</v>
      </c>
      <c r="X95" t="s">
        <v>7</v>
      </c>
      <c r="AA95" t="s">
        <v>127</v>
      </c>
      <c r="AB95" t="s">
        <v>354</v>
      </c>
      <c r="AC95">
        <v>50</v>
      </c>
      <c r="AD95" t="s">
        <v>233</v>
      </c>
      <c r="AE95">
        <v>1</v>
      </c>
    </row>
    <row r="96" spans="1:32" x14ac:dyDescent="0.3">
      <c r="A96" t="s">
        <v>348</v>
      </c>
      <c r="B96" t="s">
        <v>57</v>
      </c>
      <c r="C96" t="s">
        <v>117</v>
      </c>
      <c r="D96" t="s">
        <v>309</v>
      </c>
      <c r="E96" t="s">
        <v>1106</v>
      </c>
      <c r="F96" s="15">
        <v>46244.43917824074</v>
      </c>
      <c r="G96" t="s">
        <v>406</v>
      </c>
      <c r="H96">
        <v>1</v>
      </c>
      <c r="I96" t="s">
        <v>1107</v>
      </c>
      <c r="J96" s="15">
        <v>46245.671527777777</v>
      </c>
      <c r="K96" s="15">
        <v>46251.602083333331</v>
      </c>
      <c r="L96" s="15"/>
      <c r="M96">
        <v>1</v>
      </c>
      <c r="O96" t="s">
        <v>1958</v>
      </c>
      <c r="S96" t="s">
        <v>354</v>
      </c>
      <c r="T96" t="s">
        <v>369</v>
      </c>
      <c r="U96" t="s">
        <v>239</v>
      </c>
      <c r="V96" t="s">
        <v>7</v>
      </c>
      <c r="W96" t="s">
        <v>7</v>
      </c>
      <c r="X96" t="s">
        <v>7</v>
      </c>
      <c r="AA96" t="s">
        <v>127</v>
      </c>
      <c r="AB96" t="s">
        <v>354</v>
      </c>
      <c r="AC96">
        <v>50</v>
      </c>
      <c r="AD96" t="s">
        <v>233</v>
      </c>
      <c r="AE96">
        <v>1</v>
      </c>
    </row>
    <row r="97" spans="1:32" x14ac:dyDescent="0.3">
      <c r="A97" t="s">
        <v>348</v>
      </c>
      <c r="B97" t="s">
        <v>57</v>
      </c>
      <c r="C97" t="s">
        <v>117</v>
      </c>
      <c r="D97" t="s">
        <v>309</v>
      </c>
      <c r="E97" t="s">
        <v>1106</v>
      </c>
      <c r="F97" s="15">
        <v>46244.43917824074</v>
      </c>
      <c r="G97" t="s">
        <v>406</v>
      </c>
      <c r="H97">
        <v>3</v>
      </c>
      <c r="I97" t="s">
        <v>1107</v>
      </c>
      <c r="J97" s="15">
        <v>46245.671527777777</v>
      </c>
      <c r="K97" s="15">
        <v>46251.602083333331</v>
      </c>
      <c r="L97" s="15"/>
      <c r="M97">
        <v>3</v>
      </c>
      <c r="O97" t="s">
        <v>1958</v>
      </c>
      <c r="S97" t="s">
        <v>354</v>
      </c>
      <c r="T97" t="s">
        <v>369</v>
      </c>
      <c r="U97" t="s">
        <v>239</v>
      </c>
      <c r="V97" t="s">
        <v>7</v>
      </c>
      <c r="W97" t="s">
        <v>7</v>
      </c>
      <c r="X97" t="s">
        <v>7</v>
      </c>
      <c r="AA97" t="s">
        <v>127</v>
      </c>
      <c r="AB97" t="s">
        <v>354</v>
      </c>
      <c r="AC97">
        <v>50</v>
      </c>
      <c r="AD97" t="s">
        <v>233</v>
      </c>
      <c r="AE97">
        <v>1</v>
      </c>
    </row>
    <row r="98" spans="1:32" x14ac:dyDescent="0.3">
      <c r="A98" t="s">
        <v>348</v>
      </c>
      <c r="B98" t="s">
        <v>57</v>
      </c>
      <c r="C98" t="s">
        <v>117</v>
      </c>
      <c r="D98" t="s">
        <v>309</v>
      </c>
      <c r="E98" t="s">
        <v>1106</v>
      </c>
      <c r="F98" s="15">
        <v>46244.43917824074</v>
      </c>
      <c r="G98" t="s">
        <v>406</v>
      </c>
      <c r="H98">
        <v>4</v>
      </c>
      <c r="I98" t="s">
        <v>1107</v>
      </c>
      <c r="J98" s="15">
        <v>46245.671527777777</v>
      </c>
      <c r="K98" s="15">
        <v>46251.602083333331</v>
      </c>
      <c r="L98" s="15"/>
      <c r="M98">
        <v>4</v>
      </c>
      <c r="O98" t="s">
        <v>1958</v>
      </c>
      <c r="S98" t="s">
        <v>354</v>
      </c>
      <c r="T98" t="s">
        <v>369</v>
      </c>
      <c r="U98" t="s">
        <v>239</v>
      </c>
      <c r="V98" t="s">
        <v>7</v>
      </c>
      <c r="W98" t="s">
        <v>7</v>
      </c>
      <c r="X98" t="s">
        <v>7</v>
      </c>
      <c r="AA98" t="s">
        <v>127</v>
      </c>
      <c r="AB98" t="s">
        <v>354</v>
      </c>
      <c r="AC98">
        <v>50</v>
      </c>
      <c r="AD98" t="s">
        <v>233</v>
      </c>
      <c r="AE98">
        <v>1</v>
      </c>
    </row>
    <row r="99" spans="1:32" x14ac:dyDescent="0.3">
      <c r="A99" t="s">
        <v>348</v>
      </c>
      <c r="B99" t="s">
        <v>57</v>
      </c>
      <c r="C99" t="s">
        <v>117</v>
      </c>
      <c r="D99" t="s">
        <v>309</v>
      </c>
      <c r="E99" t="s">
        <v>1106</v>
      </c>
      <c r="F99" s="15">
        <v>46244.43917824074</v>
      </c>
      <c r="G99" t="s">
        <v>406</v>
      </c>
      <c r="H99">
        <v>2</v>
      </c>
      <c r="I99" t="s">
        <v>1107</v>
      </c>
      <c r="J99" s="15">
        <v>46245.671527777777</v>
      </c>
      <c r="K99" s="15">
        <v>46251.602083333331</v>
      </c>
      <c r="L99" s="15"/>
      <c r="M99">
        <v>2</v>
      </c>
      <c r="O99" t="s">
        <v>1958</v>
      </c>
      <c r="S99" t="s">
        <v>354</v>
      </c>
      <c r="T99" t="s">
        <v>369</v>
      </c>
      <c r="U99" t="s">
        <v>239</v>
      </c>
      <c r="V99" t="s">
        <v>7</v>
      </c>
      <c r="W99" t="s">
        <v>7</v>
      </c>
      <c r="X99" t="s">
        <v>7</v>
      </c>
      <c r="AA99" t="s">
        <v>127</v>
      </c>
      <c r="AB99" t="s">
        <v>354</v>
      </c>
      <c r="AC99">
        <v>50</v>
      </c>
      <c r="AD99" t="s">
        <v>233</v>
      </c>
      <c r="AE99">
        <v>1</v>
      </c>
    </row>
    <row r="100" spans="1:32" x14ac:dyDescent="0.3">
      <c r="A100" t="s">
        <v>348</v>
      </c>
      <c r="B100" t="s">
        <v>57</v>
      </c>
      <c r="C100" t="s">
        <v>117</v>
      </c>
      <c r="D100" t="s">
        <v>309</v>
      </c>
      <c r="E100" t="s">
        <v>1106</v>
      </c>
      <c r="F100" s="15">
        <v>46244.43917824074</v>
      </c>
      <c r="G100" t="s">
        <v>406</v>
      </c>
      <c r="H100">
        <v>2</v>
      </c>
      <c r="I100" t="s">
        <v>1107</v>
      </c>
      <c r="J100" s="15">
        <v>46245.671527777777</v>
      </c>
      <c r="K100" s="15">
        <v>46251.602083333331</v>
      </c>
      <c r="L100" s="15"/>
      <c r="M100">
        <v>2</v>
      </c>
      <c r="O100" t="s">
        <v>1958</v>
      </c>
      <c r="S100" t="s">
        <v>354</v>
      </c>
      <c r="T100" t="s">
        <v>369</v>
      </c>
      <c r="U100" t="s">
        <v>239</v>
      </c>
      <c r="V100" t="s">
        <v>7</v>
      </c>
      <c r="W100" t="s">
        <v>7</v>
      </c>
      <c r="X100" t="s">
        <v>7</v>
      </c>
      <c r="AA100" t="s">
        <v>127</v>
      </c>
      <c r="AB100" t="s">
        <v>354</v>
      </c>
      <c r="AC100">
        <v>50</v>
      </c>
      <c r="AD100" t="s">
        <v>233</v>
      </c>
      <c r="AE100">
        <v>1</v>
      </c>
    </row>
    <row r="101" spans="1:32" x14ac:dyDescent="0.3">
      <c r="A101" t="s">
        <v>348</v>
      </c>
      <c r="B101" t="s">
        <v>57</v>
      </c>
      <c r="C101" t="s">
        <v>117</v>
      </c>
      <c r="D101" t="s">
        <v>309</v>
      </c>
      <c r="E101" t="s">
        <v>1106</v>
      </c>
      <c r="F101" s="15">
        <v>46244.43917824074</v>
      </c>
      <c r="G101" t="s">
        <v>406</v>
      </c>
      <c r="H101">
        <v>2</v>
      </c>
      <c r="I101" t="s">
        <v>1107</v>
      </c>
      <c r="J101" s="15">
        <v>46245.671527777777</v>
      </c>
      <c r="K101" s="15">
        <v>46251.602083333331</v>
      </c>
      <c r="L101" s="15"/>
      <c r="M101">
        <v>2</v>
      </c>
      <c r="O101" t="s">
        <v>1958</v>
      </c>
      <c r="S101" t="s">
        <v>354</v>
      </c>
      <c r="T101" t="s">
        <v>369</v>
      </c>
      <c r="U101" t="s">
        <v>239</v>
      </c>
      <c r="V101" t="s">
        <v>7</v>
      </c>
      <c r="W101" t="s">
        <v>7</v>
      </c>
      <c r="X101" t="s">
        <v>7</v>
      </c>
      <c r="AA101" t="s">
        <v>127</v>
      </c>
      <c r="AB101" t="s">
        <v>354</v>
      </c>
      <c r="AC101">
        <v>50</v>
      </c>
      <c r="AD101" t="s">
        <v>233</v>
      </c>
      <c r="AE101">
        <v>1</v>
      </c>
    </row>
    <row r="102" spans="1:32" x14ac:dyDescent="0.3">
      <c r="A102" t="s">
        <v>348</v>
      </c>
      <c r="B102" t="s">
        <v>57</v>
      </c>
      <c r="C102" t="s">
        <v>117</v>
      </c>
      <c r="D102" t="s">
        <v>309</v>
      </c>
      <c r="E102" t="s">
        <v>1108</v>
      </c>
      <c r="F102" s="15">
        <v>46244.468541666669</v>
      </c>
      <c r="G102" t="s">
        <v>399</v>
      </c>
      <c r="H102">
        <v>1</v>
      </c>
      <c r="I102" t="s">
        <v>1109</v>
      </c>
      <c r="J102" s="15">
        <v>46244.694444444445</v>
      </c>
      <c r="K102" s="15">
        <v>46248.702777777777</v>
      </c>
      <c r="L102" s="15"/>
      <c r="M102">
        <v>1</v>
      </c>
      <c r="O102" t="s">
        <v>201</v>
      </c>
      <c r="P102" t="s">
        <v>1954</v>
      </c>
      <c r="S102" t="s">
        <v>354</v>
      </c>
      <c r="T102" t="s">
        <v>369</v>
      </c>
      <c r="U102" t="s">
        <v>239</v>
      </c>
      <c r="V102" t="s">
        <v>7</v>
      </c>
      <c r="W102" t="s">
        <v>7</v>
      </c>
      <c r="X102" t="s">
        <v>7</v>
      </c>
      <c r="AA102" t="s">
        <v>127</v>
      </c>
      <c r="AB102" t="s">
        <v>354</v>
      </c>
      <c r="AC102">
        <v>50</v>
      </c>
      <c r="AD102" t="s">
        <v>233</v>
      </c>
      <c r="AE102">
        <v>1</v>
      </c>
      <c r="AF102">
        <v>1</v>
      </c>
    </row>
    <row r="103" spans="1:32" x14ac:dyDescent="0.3">
      <c r="A103" t="s">
        <v>348</v>
      </c>
      <c r="B103" t="s">
        <v>57</v>
      </c>
      <c r="C103" t="s">
        <v>117</v>
      </c>
      <c r="D103" t="s">
        <v>309</v>
      </c>
      <c r="E103" t="s">
        <v>1110</v>
      </c>
      <c r="F103" s="15">
        <v>46244.466851851852</v>
      </c>
      <c r="G103" t="s">
        <v>399</v>
      </c>
      <c r="H103">
        <v>1</v>
      </c>
      <c r="I103" t="s">
        <v>1111</v>
      </c>
      <c r="J103" s="15">
        <v>46247.593055555553</v>
      </c>
      <c r="K103" s="15">
        <v>46252.873611111114</v>
      </c>
      <c r="L103" s="15"/>
      <c r="M103">
        <v>1</v>
      </c>
      <c r="O103" t="s">
        <v>201</v>
      </c>
      <c r="P103" t="s">
        <v>1954</v>
      </c>
      <c r="S103" t="s">
        <v>354</v>
      </c>
      <c r="T103" t="s">
        <v>369</v>
      </c>
      <c r="U103" t="s">
        <v>239</v>
      </c>
      <c r="V103" t="s">
        <v>7</v>
      </c>
      <c r="W103" t="s">
        <v>7</v>
      </c>
      <c r="X103" t="s">
        <v>7</v>
      </c>
      <c r="AA103" t="s">
        <v>127</v>
      </c>
      <c r="AB103" t="s">
        <v>354</v>
      </c>
      <c r="AC103">
        <v>50</v>
      </c>
      <c r="AD103" t="s">
        <v>233</v>
      </c>
      <c r="AE103">
        <v>1</v>
      </c>
      <c r="AF103">
        <v>1</v>
      </c>
    </row>
    <row r="104" spans="1:32" x14ac:dyDescent="0.3">
      <c r="A104" t="s">
        <v>348</v>
      </c>
      <c r="B104" t="s">
        <v>57</v>
      </c>
      <c r="C104" t="s">
        <v>117</v>
      </c>
      <c r="D104" t="s">
        <v>309</v>
      </c>
      <c r="E104" t="s">
        <v>1112</v>
      </c>
      <c r="F104" s="15">
        <v>46241.40283564815</v>
      </c>
      <c r="G104" t="s">
        <v>742</v>
      </c>
      <c r="H104">
        <v>1</v>
      </c>
      <c r="I104" t="s">
        <v>1113</v>
      </c>
      <c r="J104" s="15">
        <v>46241.429861111108</v>
      </c>
      <c r="K104" s="15">
        <v>46246.593055555553</v>
      </c>
      <c r="L104" s="15"/>
      <c r="M104">
        <v>1</v>
      </c>
      <c r="O104" t="s">
        <v>201</v>
      </c>
      <c r="P104" t="s">
        <v>1954</v>
      </c>
      <c r="S104" t="s">
        <v>356</v>
      </c>
      <c r="T104" t="s">
        <v>369</v>
      </c>
      <c r="U104" t="s">
        <v>239</v>
      </c>
      <c r="V104" t="s">
        <v>7</v>
      </c>
      <c r="W104" t="s">
        <v>7</v>
      </c>
      <c r="X104" t="s">
        <v>7</v>
      </c>
      <c r="AA104" t="s">
        <v>127</v>
      </c>
      <c r="AB104" t="s">
        <v>356</v>
      </c>
      <c r="AC104">
        <v>109</v>
      </c>
      <c r="AD104" t="s">
        <v>233</v>
      </c>
      <c r="AE104">
        <v>1</v>
      </c>
      <c r="AF104">
        <v>1</v>
      </c>
    </row>
    <row r="105" spans="1:32" x14ac:dyDescent="0.3">
      <c r="A105" t="s">
        <v>348</v>
      </c>
      <c r="B105" t="s">
        <v>57</v>
      </c>
      <c r="C105" t="s">
        <v>117</v>
      </c>
      <c r="D105" t="s">
        <v>309</v>
      </c>
      <c r="E105" t="s">
        <v>1114</v>
      </c>
      <c r="F105" s="15">
        <v>46202.512337962966</v>
      </c>
      <c r="G105" t="s">
        <v>419</v>
      </c>
      <c r="H105">
        <v>2</v>
      </c>
      <c r="I105" t="s">
        <v>1115</v>
      </c>
      <c r="J105" s="15">
        <v>46241.424259259256</v>
      </c>
      <c r="K105" s="15">
        <v>46248.483460648145</v>
      </c>
      <c r="L105" s="15"/>
      <c r="M105">
        <v>2</v>
      </c>
      <c r="O105" t="s">
        <v>201</v>
      </c>
      <c r="P105" t="s">
        <v>1954</v>
      </c>
      <c r="S105" t="s">
        <v>356</v>
      </c>
      <c r="T105" t="s">
        <v>369</v>
      </c>
      <c r="U105" t="s">
        <v>239</v>
      </c>
      <c r="V105" t="s">
        <v>7</v>
      </c>
      <c r="W105" t="s">
        <v>7</v>
      </c>
      <c r="X105" t="s">
        <v>7</v>
      </c>
      <c r="AA105" t="s">
        <v>127</v>
      </c>
      <c r="AB105" t="s">
        <v>356</v>
      </c>
      <c r="AC105">
        <v>109</v>
      </c>
      <c r="AD105" t="s">
        <v>233</v>
      </c>
      <c r="AE105">
        <v>1</v>
      </c>
      <c r="AF105">
        <v>1</v>
      </c>
    </row>
    <row r="106" spans="1:32" x14ac:dyDescent="0.3">
      <c r="A106" t="s">
        <v>348</v>
      </c>
      <c r="B106" t="s">
        <v>57</v>
      </c>
      <c r="C106" t="s">
        <v>117</v>
      </c>
      <c r="D106" t="s">
        <v>309</v>
      </c>
      <c r="E106" t="s">
        <v>1116</v>
      </c>
      <c r="F106" s="15">
        <v>46230.40084490741</v>
      </c>
      <c r="G106" t="s">
        <v>1117</v>
      </c>
      <c r="H106">
        <v>6</v>
      </c>
      <c r="I106" t="s">
        <v>1118</v>
      </c>
      <c r="J106" s="15">
        <v>46233.454386574071</v>
      </c>
      <c r="K106" s="15">
        <v>46238.481249999997</v>
      </c>
      <c r="L106" s="15"/>
      <c r="M106">
        <v>6</v>
      </c>
      <c r="O106" t="s">
        <v>201</v>
      </c>
      <c r="P106" t="s">
        <v>1954</v>
      </c>
      <c r="S106" t="s">
        <v>356</v>
      </c>
      <c r="T106" t="s">
        <v>369</v>
      </c>
      <c r="U106" t="s">
        <v>239</v>
      </c>
      <c r="V106" t="s">
        <v>7</v>
      </c>
      <c r="W106" t="s">
        <v>7</v>
      </c>
      <c r="X106" t="s">
        <v>7</v>
      </c>
      <c r="AA106" t="s">
        <v>127</v>
      </c>
      <c r="AB106" t="s">
        <v>356</v>
      </c>
      <c r="AC106">
        <v>109</v>
      </c>
      <c r="AD106" t="s">
        <v>233</v>
      </c>
      <c r="AE106">
        <v>1</v>
      </c>
      <c r="AF106">
        <v>1</v>
      </c>
    </row>
    <row r="107" spans="1:32" x14ac:dyDescent="0.3">
      <c r="A107" t="s">
        <v>348</v>
      </c>
      <c r="B107" t="s">
        <v>57</v>
      </c>
      <c r="C107" t="s">
        <v>117</v>
      </c>
      <c r="D107" t="s">
        <v>309</v>
      </c>
      <c r="E107" t="s">
        <v>1116</v>
      </c>
      <c r="F107" s="15">
        <v>46230.40084490741</v>
      </c>
      <c r="G107" t="s">
        <v>1117</v>
      </c>
      <c r="H107">
        <v>4</v>
      </c>
      <c r="I107" t="s">
        <v>1118</v>
      </c>
      <c r="J107" s="15">
        <v>46233.454386574071</v>
      </c>
      <c r="K107" s="15">
        <v>46238.481249999997</v>
      </c>
      <c r="L107" s="15"/>
      <c r="M107">
        <v>4</v>
      </c>
      <c r="O107" t="s">
        <v>1958</v>
      </c>
      <c r="S107" t="s">
        <v>356</v>
      </c>
      <c r="T107" t="s">
        <v>369</v>
      </c>
      <c r="U107" t="s">
        <v>239</v>
      </c>
      <c r="V107" t="s">
        <v>7</v>
      </c>
      <c r="W107" t="s">
        <v>7</v>
      </c>
      <c r="X107" t="s">
        <v>7</v>
      </c>
      <c r="AA107" t="s">
        <v>127</v>
      </c>
      <c r="AB107" t="s">
        <v>356</v>
      </c>
      <c r="AC107">
        <v>109</v>
      </c>
      <c r="AD107" t="s">
        <v>233</v>
      </c>
      <c r="AE107">
        <v>1</v>
      </c>
    </row>
    <row r="108" spans="1:32" x14ac:dyDescent="0.3">
      <c r="A108" t="s">
        <v>348</v>
      </c>
      <c r="B108" t="s">
        <v>57</v>
      </c>
      <c r="C108" t="s">
        <v>117</v>
      </c>
      <c r="D108" t="s">
        <v>309</v>
      </c>
      <c r="E108" t="s">
        <v>1116</v>
      </c>
      <c r="F108" s="15">
        <v>46230.40084490741</v>
      </c>
      <c r="G108" t="s">
        <v>1117</v>
      </c>
      <c r="H108">
        <v>5</v>
      </c>
      <c r="I108" t="s">
        <v>1118</v>
      </c>
      <c r="J108" s="15">
        <v>46233.454386574071</v>
      </c>
      <c r="K108" s="15">
        <v>46238.481249999997</v>
      </c>
      <c r="L108" s="15"/>
      <c r="M108">
        <v>5</v>
      </c>
      <c r="O108" t="s">
        <v>1958</v>
      </c>
      <c r="S108" t="s">
        <v>356</v>
      </c>
      <c r="T108" t="s">
        <v>369</v>
      </c>
      <c r="U108" t="s">
        <v>239</v>
      </c>
      <c r="V108" t="s">
        <v>7</v>
      </c>
      <c r="W108" t="s">
        <v>7</v>
      </c>
      <c r="X108" t="s">
        <v>7</v>
      </c>
      <c r="AA108" t="s">
        <v>127</v>
      </c>
      <c r="AB108" t="s">
        <v>356</v>
      </c>
      <c r="AC108">
        <v>109</v>
      </c>
      <c r="AD108" t="s">
        <v>233</v>
      </c>
      <c r="AE108">
        <v>1</v>
      </c>
    </row>
    <row r="109" spans="1:32" x14ac:dyDescent="0.3">
      <c r="A109" t="s">
        <v>348</v>
      </c>
      <c r="B109" t="s">
        <v>57</v>
      </c>
      <c r="C109" t="s">
        <v>117</v>
      </c>
      <c r="D109" t="s">
        <v>309</v>
      </c>
      <c r="E109" t="s">
        <v>1116</v>
      </c>
      <c r="F109" s="15">
        <v>46230.40084490741</v>
      </c>
      <c r="G109" t="s">
        <v>1117</v>
      </c>
      <c r="H109">
        <v>6</v>
      </c>
      <c r="I109" t="s">
        <v>1118</v>
      </c>
      <c r="J109" s="15">
        <v>46233.454386574071</v>
      </c>
      <c r="K109" s="15">
        <v>46238.481249999997</v>
      </c>
      <c r="L109" s="15"/>
      <c r="M109">
        <v>6</v>
      </c>
      <c r="O109" t="s">
        <v>1958</v>
      </c>
      <c r="S109" t="s">
        <v>356</v>
      </c>
      <c r="T109" t="s">
        <v>369</v>
      </c>
      <c r="U109" t="s">
        <v>239</v>
      </c>
      <c r="V109" t="s">
        <v>7</v>
      </c>
      <c r="W109" t="s">
        <v>7</v>
      </c>
      <c r="X109" t="s">
        <v>7</v>
      </c>
      <c r="AA109" t="s">
        <v>127</v>
      </c>
      <c r="AB109" t="s">
        <v>356</v>
      </c>
      <c r="AC109">
        <v>109</v>
      </c>
      <c r="AD109" t="s">
        <v>233</v>
      </c>
      <c r="AE109">
        <v>1</v>
      </c>
    </row>
    <row r="110" spans="1:32" x14ac:dyDescent="0.3">
      <c r="A110" t="s">
        <v>348</v>
      </c>
      <c r="B110" t="s">
        <v>57</v>
      </c>
      <c r="C110" t="s">
        <v>117</v>
      </c>
      <c r="D110" t="s">
        <v>309</v>
      </c>
      <c r="E110" t="s">
        <v>1116</v>
      </c>
      <c r="F110" s="15">
        <v>46230.40084490741</v>
      </c>
      <c r="G110" t="s">
        <v>1117</v>
      </c>
      <c r="H110">
        <v>4</v>
      </c>
      <c r="I110" t="s">
        <v>1118</v>
      </c>
      <c r="J110" s="15">
        <v>46233.454386574071</v>
      </c>
      <c r="K110" s="15">
        <v>46238.481249999997</v>
      </c>
      <c r="L110" s="15"/>
      <c r="M110">
        <v>4</v>
      </c>
      <c r="O110" t="s">
        <v>1958</v>
      </c>
      <c r="S110" t="s">
        <v>356</v>
      </c>
      <c r="T110" t="s">
        <v>369</v>
      </c>
      <c r="U110" t="s">
        <v>239</v>
      </c>
      <c r="V110" t="s">
        <v>7</v>
      </c>
      <c r="W110" t="s">
        <v>7</v>
      </c>
      <c r="X110" t="s">
        <v>7</v>
      </c>
      <c r="AA110" t="s">
        <v>127</v>
      </c>
      <c r="AB110" t="s">
        <v>356</v>
      </c>
      <c r="AC110">
        <v>109</v>
      </c>
      <c r="AD110" t="s">
        <v>233</v>
      </c>
      <c r="AE110">
        <v>1</v>
      </c>
    </row>
    <row r="111" spans="1:32" x14ac:dyDescent="0.3">
      <c r="A111" t="s">
        <v>348</v>
      </c>
      <c r="B111" t="s">
        <v>57</v>
      </c>
      <c r="C111" t="s">
        <v>117</v>
      </c>
      <c r="D111" t="s">
        <v>309</v>
      </c>
      <c r="E111" t="s">
        <v>1116</v>
      </c>
      <c r="F111" s="15">
        <v>46230.40084490741</v>
      </c>
      <c r="G111" t="s">
        <v>1117</v>
      </c>
      <c r="H111">
        <v>5</v>
      </c>
      <c r="I111" t="s">
        <v>1118</v>
      </c>
      <c r="J111" s="15">
        <v>46233.454386574071</v>
      </c>
      <c r="K111" s="15">
        <v>46238.481249999997</v>
      </c>
      <c r="L111" s="15"/>
      <c r="M111">
        <v>5</v>
      </c>
      <c r="O111" t="s">
        <v>1958</v>
      </c>
      <c r="S111" t="s">
        <v>356</v>
      </c>
      <c r="T111" t="s">
        <v>369</v>
      </c>
      <c r="U111" t="s">
        <v>239</v>
      </c>
      <c r="V111" t="s">
        <v>7</v>
      </c>
      <c r="W111" t="s">
        <v>7</v>
      </c>
      <c r="X111" t="s">
        <v>7</v>
      </c>
      <c r="AA111" t="s">
        <v>127</v>
      </c>
      <c r="AB111" t="s">
        <v>356</v>
      </c>
      <c r="AC111">
        <v>109</v>
      </c>
      <c r="AD111" t="s">
        <v>233</v>
      </c>
      <c r="AE111">
        <v>1</v>
      </c>
    </row>
    <row r="112" spans="1:32" x14ac:dyDescent="0.3">
      <c r="A112" t="s">
        <v>348</v>
      </c>
      <c r="B112" t="s">
        <v>57</v>
      </c>
      <c r="C112" t="s">
        <v>117</v>
      </c>
      <c r="D112" t="s">
        <v>309</v>
      </c>
      <c r="E112" t="s">
        <v>1116</v>
      </c>
      <c r="F112" s="15">
        <v>46230.40084490741</v>
      </c>
      <c r="G112" t="s">
        <v>1117</v>
      </c>
      <c r="H112">
        <v>6</v>
      </c>
      <c r="I112" t="s">
        <v>1118</v>
      </c>
      <c r="J112" s="15">
        <v>46233.454386574071</v>
      </c>
      <c r="K112" s="15">
        <v>46238.481249999997</v>
      </c>
      <c r="L112" s="15"/>
      <c r="M112">
        <v>6</v>
      </c>
      <c r="O112" t="s">
        <v>1958</v>
      </c>
      <c r="S112" t="s">
        <v>356</v>
      </c>
      <c r="T112" t="s">
        <v>369</v>
      </c>
      <c r="U112" t="s">
        <v>239</v>
      </c>
      <c r="V112" t="s">
        <v>7</v>
      </c>
      <c r="W112" t="s">
        <v>7</v>
      </c>
      <c r="X112" t="s">
        <v>7</v>
      </c>
      <c r="AA112" t="s">
        <v>127</v>
      </c>
      <c r="AB112" t="s">
        <v>356</v>
      </c>
      <c r="AC112">
        <v>109</v>
      </c>
      <c r="AD112" t="s">
        <v>233</v>
      </c>
      <c r="AE112">
        <v>1</v>
      </c>
    </row>
    <row r="113" spans="1:32" x14ac:dyDescent="0.3">
      <c r="A113" t="s">
        <v>348</v>
      </c>
      <c r="B113" t="s">
        <v>57</v>
      </c>
      <c r="C113" t="s">
        <v>117</v>
      </c>
      <c r="D113" t="s">
        <v>309</v>
      </c>
      <c r="E113" t="s">
        <v>1116</v>
      </c>
      <c r="F113" s="15">
        <v>46230.40084490741</v>
      </c>
      <c r="G113" t="s">
        <v>1117</v>
      </c>
      <c r="H113">
        <v>6</v>
      </c>
      <c r="I113" t="s">
        <v>1118</v>
      </c>
      <c r="J113" s="15">
        <v>46233.454386574071</v>
      </c>
      <c r="K113" s="15">
        <v>46238.481249999997</v>
      </c>
      <c r="L113" s="15"/>
      <c r="M113">
        <v>6</v>
      </c>
      <c r="O113" t="s">
        <v>1958</v>
      </c>
      <c r="S113" t="s">
        <v>356</v>
      </c>
      <c r="T113" t="s">
        <v>369</v>
      </c>
      <c r="U113" t="s">
        <v>239</v>
      </c>
      <c r="V113" t="s">
        <v>7</v>
      </c>
      <c r="W113" t="s">
        <v>7</v>
      </c>
      <c r="X113" t="s">
        <v>7</v>
      </c>
      <c r="AA113" t="s">
        <v>127</v>
      </c>
      <c r="AB113" t="s">
        <v>356</v>
      </c>
      <c r="AC113">
        <v>109</v>
      </c>
      <c r="AD113" t="s">
        <v>233</v>
      </c>
      <c r="AE113">
        <v>1</v>
      </c>
    </row>
    <row r="114" spans="1:32" x14ac:dyDescent="0.3">
      <c r="A114" t="s">
        <v>348</v>
      </c>
      <c r="B114" t="s">
        <v>57</v>
      </c>
      <c r="C114" t="s">
        <v>117</v>
      </c>
      <c r="D114" t="s">
        <v>309</v>
      </c>
      <c r="E114" t="s">
        <v>1116</v>
      </c>
      <c r="F114" s="15">
        <v>46230.40084490741</v>
      </c>
      <c r="G114" t="s">
        <v>1117</v>
      </c>
      <c r="H114">
        <v>3</v>
      </c>
      <c r="I114" t="s">
        <v>1118</v>
      </c>
      <c r="J114" s="15">
        <v>46233.454386574071</v>
      </c>
      <c r="K114" s="15">
        <v>46238.481249999997</v>
      </c>
      <c r="L114" s="15"/>
      <c r="M114">
        <v>3</v>
      </c>
      <c r="O114" t="s">
        <v>1958</v>
      </c>
      <c r="S114" t="s">
        <v>356</v>
      </c>
      <c r="T114" t="s">
        <v>369</v>
      </c>
      <c r="U114" t="s">
        <v>239</v>
      </c>
      <c r="V114" t="s">
        <v>7</v>
      </c>
      <c r="W114" t="s">
        <v>7</v>
      </c>
      <c r="X114" t="s">
        <v>7</v>
      </c>
      <c r="AA114" t="s">
        <v>127</v>
      </c>
      <c r="AB114" t="s">
        <v>356</v>
      </c>
      <c r="AC114">
        <v>109</v>
      </c>
      <c r="AD114" t="s">
        <v>233</v>
      </c>
      <c r="AE114">
        <v>1</v>
      </c>
    </row>
    <row r="115" spans="1:32" x14ac:dyDescent="0.3">
      <c r="A115" t="s">
        <v>348</v>
      </c>
      <c r="B115" t="s">
        <v>57</v>
      </c>
      <c r="C115" t="s">
        <v>117</v>
      </c>
      <c r="D115" t="s">
        <v>309</v>
      </c>
      <c r="E115" t="s">
        <v>1116</v>
      </c>
      <c r="F115" s="15">
        <v>46230.40084490741</v>
      </c>
      <c r="G115" t="s">
        <v>1117</v>
      </c>
      <c r="H115">
        <v>5</v>
      </c>
      <c r="I115" t="s">
        <v>1118</v>
      </c>
      <c r="J115" s="15">
        <v>46233.454386574071</v>
      </c>
      <c r="K115" s="15">
        <v>46238.481249999997</v>
      </c>
      <c r="L115" s="15"/>
      <c r="M115">
        <v>5</v>
      </c>
      <c r="O115" t="s">
        <v>1958</v>
      </c>
      <c r="S115" t="s">
        <v>356</v>
      </c>
      <c r="T115" t="s">
        <v>369</v>
      </c>
      <c r="U115" t="s">
        <v>239</v>
      </c>
      <c r="V115" t="s">
        <v>7</v>
      </c>
      <c r="W115" t="s">
        <v>7</v>
      </c>
      <c r="X115" t="s">
        <v>7</v>
      </c>
      <c r="AA115" t="s">
        <v>127</v>
      </c>
      <c r="AB115" t="s">
        <v>356</v>
      </c>
      <c r="AC115">
        <v>109</v>
      </c>
      <c r="AD115" t="s">
        <v>233</v>
      </c>
      <c r="AE115">
        <v>1</v>
      </c>
    </row>
    <row r="116" spans="1:32" x14ac:dyDescent="0.3">
      <c r="A116" t="s">
        <v>348</v>
      </c>
      <c r="B116" t="s">
        <v>57</v>
      </c>
      <c r="C116" t="s">
        <v>117</v>
      </c>
      <c r="D116" t="s">
        <v>309</v>
      </c>
      <c r="E116" t="s">
        <v>1119</v>
      </c>
      <c r="F116" s="15">
        <v>46232.31826388889</v>
      </c>
      <c r="G116" t="s">
        <v>401</v>
      </c>
      <c r="H116">
        <v>1</v>
      </c>
      <c r="I116" t="s">
        <v>1120</v>
      </c>
      <c r="J116" s="15">
        <v>46232.407094907408</v>
      </c>
      <c r="K116" s="15">
        <v>46238.423611111109</v>
      </c>
      <c r="L116" s="15"/>
      <c r="M116">
        <v>1</v>
      </c>
      <c r="O116" t="s">
        <v>201</v>
      </c>
      <c r="P116" t="s">
        <v>1954</v>
      </c>
      <c r="S116" t="s">
        <v>357</v>
      </c>
      <c r="T116" t="s">
        <v>369</v>
      </c>
      <c r="U116" t="s">
        <v>239</v>
      </c>
      <c r="V116" t="s">
        <v>7</v>
      </c>
      <c r="W116" t="s">
        <v>7</v>
      </c>
      <c r="X116" t="s">
        <v>7</v>
      </c>
      <c r="AA116" t="s">
        <v>127</v>
      </c>
      <c r="AB116" t="s">
        <v>357</v>
      </c>
      <c r="AC116">
        <v>101</v>
      </c>
      <c r="AD116" t="s">
        <v>233</v>
      </c>
      <c r="AE116">
        <v>1</v>
      </c>
      <c r="AF116">
        <v>1</v>
      </c>
    </row>
    <row r="117" spans="1:32" x14ac:dyDescent="0.3">
      <c r="A117" t="s">
        <v>348</v>
      </c>
      <c r="B117" t="s">
        <v>57</v>
      </c>
      <c r="C117" t="s">
        <v>117</v>
      </c>
      <c r="D117" t="s">
        <v>309</v>
      </c>
      <c r="E117" t="s">
        <v>1121</v>
      </c>
      <c r="F117" s="15">
        <v>46212.717303240737</v>
      </c>
      <c r="G117" t="s">
        <v>402</v>
      </c>
      <c r="H117">
        <v>2</v>
      </c>
      <c r="I117" t="s">
        <v>1122</v>
      </c>
      <c r="J117" s="15">
        <v>46231.477627314816</v>
      </c>
      <c r="K117" s="15">
        <v>46238.444444444445</v>
      </c>
      <c r="L117" s="15"/>
      <c r="M117">
        <v>2</v>
      </c>
      <c r="O117" t="s">
        <v>201</v>
      </c>
      <c r="P117" t="s">
        <v>1954</v>
      </c>
      <c r="S117" t="s">
        <v>355</v>
      </c>
      <c r="T117" t="s">
        <v>369</v>
      </c>
      <c r="U117" t="s">
        <v>239</v>
      </c>
      <c r="V117" t="s">
        <v>7</v>
      </c>
      <c r="W117" t="s">
        <v>7</v>
      </c>
      <c r="X117" t="s">
        <v>7</v>
      </c>
      <c r="AA117" t="s">
        <v>127</v>
      </c>
      <c r="AB117" t="s">
        <v>355</v>
      </c>
      <c r="AC117">
        <v>2200</v>
      </c>
      <c r="AD117" t="s">
        <v>233</v>
      </c>
      <c r="AE117">
        <v>1</v>
      </c>
      <c r="AF117">
        <v>1</v>
      </c>
    </row>
    <row r="118" spans="1:32" x14ac:dyDescent="0.3">
      <c r="A118" t="s">
        <v>348</v>
      </c>
      <c r="B118" t="s">
        <v>57</v>
      </c>
      <c r="C118" t="s">
        <v>117</v>
      </c>
      <c r="D118" t="s">
        <v>309</v>
      </c>
      <c r="E118" t="s">
        <v>1121</v>
      </c>
      <c r="F118" s="15">
        <v>46212.717303240737</v>
      </c>
      <c r="G118" t="s">
        <v>402</v>
      </c>
      <c r="H118">
        <v>2</v>
      </c>
      <c r="I118" t="s">
        <v>1122</v>
      </c>
      <c r="J118" s="15">
        <v>46231.477627314816</v>
      </c>
      <c r="K118" s="15">
        <v>46238.444444444445</v>
      </c>
      <c r="L118" s="15"/>
      <c r="M118">
        <v>2</v>
      </c>
      <c r="O118" t="s">
        <v>1958</v>
      </c>
      <c r="S118" t="s">
        <v>355</v>
      </c>
      <c r="T118" t="s">
        <v>369</v>
      </c>
      <c r="U118" t="s">
        <v>239</v>
      </c>
      <c r="V118" t="s">
        <v>7</v>
      </c>
      <c r="W118" t="s">
        <v>7</v>
      </c>
      <c r="X118" t="s">
        <v>7</v>
      </c>
      <c r="AA118" t="s">
        <v>127</v>
      </c>
      <c r="AB118" t="s">
        <v>355</v>
      </c>
      <c r="AC118">
        <v>2200</v>
      </c>
      <c r="AD118" t="s">
        <v>233</v>
      </c>
      <c r="AE118">
        <v>1</v>
      </c>
    </row>
    <row r="119" spans="1:32" x14ac:dyDescent="0.3">
      <c r="A119" t="s">
        <v>348</v>
      </c>
      <c r="B119" t="s">
        <v>57</v>
      </c>
      <c r="C119" t="s">
        <v>117</v>
      </c>
      <c r="D119" t="s">
        <v>309</v>
      </c>
      <c r="E119" t="s">
        <v>1123</v>
      </c>
      <c r="F119" s="15">
        <v>46223.754212962966</v>
      </c>
      <c r="G119" t="s">
        <v>402</v>
      </c>
      <c r="H119">
        <v>1</v>
      </c>
      <c r="I119" t="s">
        <v>1124</v>
      </c>
      <c r="J119" s="15">
        <v>46232.484236111108</v>
      </c>
      <c r="K119" s="15">
        <v>46238.427083333336</v>
      </c>
      <c r="L119" s="15"/>
      <c r="M119">
        <v>1</v>
      </c>
      <c r="O119" t="s">
        <v>201</v>
      </c>
      <c r="P119" t="s">
        <v>1954</v>
      </c>
      <c r="S119" t="s">
        <v>355</v>
      </c>
      <c r="T119" t="s">
        <v>369</v>
      </c>
      <c r="U119" t="s">
        <v>239</v>
      </c>
      <c r="V119" t="s">
        <v>7</v>
      </c>
      <c r="W119" t="s">
        <v>7</v>
      </c>
      <c r="X119" t="s">
        <v>7</v>
      </c>
      <c r="AA119" t="s">
        <v>127</v>
      </c>
      <c r="AB119" t="s">
        <v>355</v>
      </c>
      <c r="AC119">
        <v>2200</v>
      </c>
      <c r="AD119" t="s">
        <v>233</v>
      </c>
      <c r="AE119">
        <v>1</v>
      </c>
    </row>
    <row r="120" spans="1:32" x14ac:dyDescent="0.3">
      <c r="A120" t="s">
        <v>348</v>
      </c>
      <c r="B120" t="s">
        <v>57</v>
      </c>
      <c r="C120" t="s">
        <v>117</v>
      </c>
      <c r="D120" t="s">
        <v>309</v>
      </c>
      <c r="E120" t="s">
        <v>1125</v>
      </c>
      <c r="F120" s="15">
        <v>46233.719895833332</v>
      </c>
      <c r="G120" t="s">
        <v>420</v>
      </c>
      <c r="H120">
        <v>6</v>
      </c>
      <c r="I120" t="s">
        <v>1126</v>
      </c>
      <c r="J120" s="15">
        <v>46234.410682870373</v>
      </c>
      <c r="K120" s="15">
        <v>46238.434027777781</v>
      </c>
      <c r="L120" s="15"/>
      <c r="M120">
        <v>6</v>
      </c>
      <c r="O120" t="s">
        <v>201</v>
      </c>
      <c r="P120" t="s">
        <v>1954</v>
      </c>
      <c r="S120" t="s">
        <v>355</v>
      </c>
      <c r="T120" t="s">
        <v>369</v>
      </c>
      <c r="U120" t="s">
        <v>239</v>
      </c>
      <c r="V120" t="s">
        <v>7</v>
      </c>
      <c r="W120" t="s">
        <v>7</v>
      </c>
      <c r="X120" t="s">
        <v>7</v>
      </c>
      <c r="AA120" t="s">
        <v>127</v>
      </c>
      <c r="AB120" t="s">
        <v>355</v>
      </c>
      <c r="AC120">
        <v>2200</v>
      </c>
      <c r="AD120" t="s">
        <v>233</v>
      </c>
      <c r="AE120">
        <v>1</v>
      </c>
    </row>
    <row r="121" spans="1:32" x14ac:dyDescent="0.3">
      <c r="A121" t="s">
        <v>348</v>
      </c>
      <c r="B121" t="s">
        <v>57</v>
      </c>
      <c r="C121" t="s">
        <v>117</v>
      </c>
      <c r="D121" t="s">
        <v>309</v>
      </c>
      <c r="E121" t="s">
        <v>1125</v>
      </c>
      <c r="F121" s="15">
        <v>46233.719895833332</v>
      </c>
      <c r="G121" t="s">
        <v>420</v>
      </c>
      <c r="H121">
        <v>2</v>
      </c>
      <c r="I121" t="s">
        <v>1127</v>
      </c>
      <c r="J121" s="15">
        <v>46234.408483796295</v>
      </c>
      <c r="K121" s="15">
        <v>46238.436805555553</v>
      </c>
      <c r="L121" s="15"/>
      <c r="M121">
        <v>2</v>
      </c>
      <c r="O121" t="s">
        <v>201</v>
      </c>
      <c r="P121" t="s">
        <v>1954</v>
      </c>
      <c r="S121" t="s">
        <v>355</v>
      </c>
      <c r="T121" t="s">
        <v>369</v>
      </c>
      <c r="U121" t="s">
        <v>239</v>
      </c>
      <c r="V121" t="s">
        <v>7</v>
      </c>
      <c r="W121" t="s">
        <v>7</v>
      </c>
      <c r="X121" t="s">
        <v>7</v>
      </c>
      <c r="AA121" t="s">
        <v>127</v>
      </c>
      <c r="AB121" t="s">
        <v>355</v>
      </c>
      <c r="AC121">
        <v>2200</v>
      </c>
      <c r="AD121" t="s">
        <v>233</v>
      </c>
      <c r="AE121">
        <v>1</v>
      </c>
    </row>
    <row r="122" spans="1:32" x14ac:dyDescent="0.3">
      <c r="A122" t="s">
        <v>348</v>
      </c>
      <c r="B122" t="s">
        <v>57</v>
      </c>
      <c r="C122" t="s">
        <v>117</v>
      </c>
      <c r="D122" t="s">
        <v>309</v>
      </c>
      <c r="E122" t="s">
        <v>1125</v>
      </c>
      <c r="F122" s="15">
        <v>46233.719895833332</v>
      </c>
      <c r="G122" t="s">
        <v>420</v>
      </c>
      <c r="H122">
        <v>6</v>
      </c>
      <c r="I122" t="s">
        <v>1126</v>
      </c>
      <c r="J122" s="15">
        <v>46234.410682870373</v>
      </c>
      <c r="K122" s="15">
        <v>46238.434027777781</v>
      </c>
      <c r="L122" s="15"/>
      <c r="M122">
        <v>6</v>
      </c>
      <c r="O122" t="s">
        <v>1958</v>
      </c>
      <c r="S122" t="s">
        <v>355</v>
      </c>
      <c r="T122" t="s">
        <v>369</v>
      </c>
      <c r="U122" t="s">
        <v>239</v>
      </c>
      <c r="V122" t="s">
        <v>7</v>
      </c>
      <c r="W122" t="s">
        <v>7</v>
      </c>
      <c r="X122" t="s">
        <v>7</v>
      </c>
      <c r="AA122" t="s">
        <v>127</v>
      </c>
      <c r="AB122" t="s">
        <v>355</v>
      </c>
      <c r="AC122">
        <v>2200</v>
      </c>
      <c r="AD122" t="s">
        <v>233</v>
      </c>
      <c r="AE122">
        <v>1</v>
      </c>
    </row>
    <row r="123" spans="1:32" x14ac:dyDescent="0.3">
      <c r="A123" t="s">
        <v>348</v>
      </c>
      <c r="B123" t="s">
        <v>57</v>
      </c>
      <c r="C123" t="s">
        <v>117</v>
      </c>
      <c r="D123" t="s">
        <v>309</v>
      </c>
      <c r="E123" t="s">
        <v>1114</v>
      </c>
      <c r="F123" s="15">
        <v>46202.512337962966</v>
      </c>
      <c r="G123" t="s">
        <v>419</v>
      </c>
      <c r="H123">
        <v>26</v>
      </c>
      <c r="I123" t="s">
        <v>1128</v>
      </c>
      <c r="J123" s="15">
        <v>46203.361828703702</v>
      </c>
      <c r="K123" s="15">
        <v>46212.739201388889</v>
      </c>
      <c r="L123" s="15"/>
      <c r="M123">
        <v>26</v>
      </c>
      <c r="O123" t="s">
        <v>201</v>
      </c>
      <c r="P123" t="s">
        <v>1954</v>
      </c>
      <c r="S123" t="s">
        <v>356</v>
      </c>
      <c r="T123" t="s">
        <v>369</v>
      </c>
      <c r="U123" t="s">
        <v>239</v>
      </c>
      <c r="V123" t="s">
        <v>7</v>
      </c>
      <c r="W123" t="s">
        <v>7</v>
      </c>
      <c r="X123" t="s">
        <v>7</v>
      </c>
      <c r="AA123" t="s">
        <v>127</v>
      </c>
      <c r="AB123" t="s">
        <v>356</v>
      </c>
      <c r="AC123">
        <v>109</v>
      </c>
      <c r="AD123" t="s">
        <v>233</v>
      </c>
      <c r="AE123">
        <v>2.6</v>
      </c>
      <c r="AF123">
        <v>1</v>
      </c>
    </row>
    <row r="124" spans="1:32" x14ac:dyDescent="0.3">
      <c r="A124" t="s">
        <v>348</v>
      </c>
      <c r="B124" t="s">
        <v>57</v>
      </c>
      <c r="C124" t="s">
        <v>117</v>
      </c>
      <c r="D124" t="s">
        <v>309</v>
      </c>
      <c r="E124" t="s">
        <v>1114</v>
      </c>
      <c r="F124" s="15">
        <v>46202.512337962966</v>
      </c>
      <c r="G124" t="s">
        <v>419</v>
      </c>
      <c r="H124">
        <v>13</v>
      </c>
      <c r="I124" t="s">
        <v>1128</v>
      </c>
      <c r="J124" s="15">
        <v>46203.361828703702</v>
      </c>
      <c r="K124" s="15">
        <v>46212.739201388889</v>
      </c>
      <c r="L124" s="15"/>
      <c r="M124">
        <v>13</v>
      </c>
      <c r="O124" t="s">
        <v>1958</v>
      </c>
      <c r="S124" t="s">
        <v>356</v>
      </c>
      <c r="T124" t="s">
        <v>369</v>
      </c>
      <c r="U124" t="s">
        <v>239</v>
      </c>
      <c r="V124" t="s">
        <v>7</v>
      </c>
      <c r="W124" t="s">
        <v>7</v>
      </c>
      <c r="X124" t="s">
        <v>7</v>
      </c>
      <c r="AA124" t="s">
        <v>127</v>
      </c>
      <c r="AB124" t="s">
        <v>356</v>
      </c>
      <c r="AC124">
        <v>109</v>
      </c>
      <c r="AD124" t="s">
        <v>233</v>
      </c>
      <c r="AE124">
        <v>1.3</v>
      </c>
    </row>
    <row r="125" spans="1:32" x14ac:dyDescent="0.3">
      <c r="A125" t="s">
        <v>348</v>
      </c>
      <c r="B125" t="s">
        <v>57</v>
      </c>
      <c r="C125" t="s">
        <v>117</v>
      </c>
      <c r="D125" t="s">
        <v>309</v>
      </c>
      <c r="E125" t="s">
        <v>1114</v>
      </c>
      <c r="F125" s="15">
        <v>46202.512337962966</v>
      </c>
      <c r="G125" t="s">
        <v>419</v>
      </c>
      <c r="H125">
        <v>30</v>
      </c>
      <c r="I125" t="s">
        <v>1129</v>
      </c>
      <c r="J125" s="15">
        <v>46239.591469907406</v>
      </c>
      <c r="K125" s="15">
        <v>46241.497916666667</v>
      </c>
      <c r="L125" s="15"/>
      <c r="M125">
        <v>30</v>
      </c>
      <c r="O125" t="s">
        <v>201</v>
      </c>
      <c r="P125" t="s">
        <v>1954</v>
      </c>
      <c r="S125" t="s">
        <v>356</v>
      </c>
      <c r="T125" t="s">
        <v>369</v>
      </c>
      <c r="U125" t="s">
        <v>239</v>
      </c>
      <c r="V125" t="s">
        <v>7</v>
      </c>
      <c r="W125" t="s">
        <v>7</v>
      </c>
      <c r="X125" t="s">
        <v>7</v>
      </c>
      <c r="AA125" t="s">
        <v>127</v>
      </c>
      <c r="AB125" t="s">
        <v>356</v>
      </c>
      <c r="AC125">
        <v>109</v>
      </c>
      <c r="AD125" t="s">
        <v>233</v>
      </c>
      <c r="AE125">
        <v>3</v>
      </c>
      <c r="AF125">
        <v>1</v>
      </c>
    </row>
    <row r="126" spans="1:32" x14ac:dyDescent="0.3">
      <c r="A126" t="s">
        <v>348</v>
      </c>
      <c r="B126" t="s">
        <v>57</v>
      </c>
      <c r="C126" t="s">
        <v>117</v>
      </c>
      <c r="D126" t="s">
        <v>309</v>
      </c>
      <c r="E126" t="s">
        <v>1130</v>
      </c>
      <c r="F126" s="15">
        <v>46253.45040509259</v>
      </c>
      <c r="G126" t="s">
        <v>402</v>
      </c>
      <c r="H126">
        <v>1</v>
      </c>
      <c r="I126" t="s">
        <v>1131</v>
      </c>
      <c r="J126" s="15">
        <v>46255.393750000003</v>
      </c>
      <c r="K126" s="15">
        <v>46258.414583333331</v>
      </c>
      <c r="L126" s="15"/>
      <c r="M126">
        <v>1</v>
      </c>
      <c r="O126" t="s">
        <v>201</v>
      </c>
      <c r="P126" t="s">
        <v>1954</v>
      </c>
      <c r="S126" t="s">
        <v>355</v>
      </c>
      <c r="T126" t="s">
        <v>369</v>
      </c>
      <c r="U126" t="s">
        <v>239</v>
      </c>
      <c r="V126" t="s">
        <v>7</v>
      </c>
      <c r="W126" t="s">
        <v>7</v>
      </c>
      <c r="X126" t="s">
        <v>7</v>
      </c>
      <c r="AA126" t="s">
        <v>127</v>
      </c>
      <c r="AB126" t="s">
        <v>355</v>
      </c>
      <c r="AC126">
        <v>2200</v>
      </c>
      <c r="AD126" t="s">
        <v>233</v>
      </c>
      <c r="AE126">
        <v>1</v>
      </c>
      <c r="AF126">
        <v>1</v>
      </c>
    </row>
    <row r="127" spans="1:32" x14ac:dyDescent="0.3">
      <c r="A127" t="s">
        <v>348</v>
      </c>
      <c r="B127" t="s">
        <v>57</v>
      </c>
      <c r="C127" t="s">
        <v>117</v>
      </c>
      <c r="D127" t="s">
        <v>309</v>
      </c>
      <c r="E127" t="s">
        <v>1132</v>
      </c>
      <c r="F127" s="15">
        <v>46225.356817129628</v>
      </c>
      <c r="G127" t="s">
        <v>399</v>
      </c>
      <c r="H127">
        <v>1</v>
      </c>
      <c r="I127" t="s">
        <v>1133</v>
      </c>
      <c r="J127" s="15">
        <v>46233.380069444444</v>
      </c>
      <c r="K127" s="15">
        <v>46238.463194444441</v>
      </c>
      <c r="L127" s="15"/>
      <c r="M127">
        <v>1</v>
      </c>
      <c r="O127" t="s">
        <v>201</v>
      </c>
      <c r="P127" t="s">
        <v>1954</v>
      </c>
      <c r="S127" t="s">
        <v>354</v>
      </c>
      <c r="T127" t="s">
        <v>369</v>
      </c>
      <c r="U127" t="s">
        <v>239</v>
      </c>
      <c r="V127" t="s">
        <v>7</v>
      </c>
      <c r="W127" t="s">
        <v>7</v>
      </c>
      <c r="X127" t="s">
        <v>7</v>
      </c>
      <c r="AA127" t="s">
        <v>127</v>
      </c>
      <c r="AB127" t="s">
        <v>354</v>
      </c>
      <c r="AC127">
        <v>50</v>
      </c>
      <c r="AD127" t="s">
        <v>233</v>
      </c>
      <c r="AE127">
        <v>1</v>
      </c>
      <c r="AF127">
        <v>1</v>
      </c>
    </row>
    <row r="128" spans="1:32" x14ac:dyDescent="0.3">
      <c r="A128" t="s">
        <v>348</v>
      </c>
      <c r="B128" t="s">
        <v>57</v>
      </c>
      <c r="C128" t="s">
        <v>117</v>
      </c>
      <c r="D128" t="s">
        <v>309</v>
      </c>
      <c r="E128" t="s">
        <v>1134</v>
      </c>
      <c r="F128" s="15">
        <v>46223.623645833337</v>
      </c>
      <c r="G128" t="s">
        <v>402</v>
      </c>
      <c r="H128">
        <v>1</v>
      </c>
      <c r="I128" t="s">
        <v>1135</v>
      </c>
      <c r="J128" s="15">
        <v>46224.351388888892</v>
      </c>
      <c r="K128" s="15">
        <v>46227.68472222222</v>
      </c>
      <c r="L128" s="15">
        <v>46234.655555555553</v>
      </c>
      <c r="M128">
        <v>1</v>
      </c>
      <c r="O128" t="s">
        <v>201</v>
      </c>
      <c r="P128" t="s">
        <v>1954</v>
      </c>
      <c r="S128" t="s">
        <v>355</v>
      </c>
      <c r="T128" t="s">
        <v>369</v>
      </c>
      <c r="U128" t="s">
        <v>239</v>
      </c>
      <c r="V128" t="s">
        <v>7</v>
      </c>
      <c r="W128" t="s">
        <v>7</v>
      </c>
      <c r="X128" t="s">
        <v>7</v>
      </c>
      <c r="AA128" t="s">
        <v>127</v>
      </c>
      <c r="AB128" t="s">
        <v>355</v>
      </c>
      <c r="AC128">
        <v>2200</v>
      </c>
      <c r="AD128" t="s">
        <v>233</v>
      </c>
      <c r="AE128">
        <v>1</v>
      </c>
      <c r="AF128">
        <v>1</v>
      </c>
    </row>
    <row r="129" spans="1:32" x14ac:dyDescent="0.3">
      <c r="A129" t="s">
        <v>348</v>
      </c>
      <c r="B129" t="s">
        <v>57</v>
      </c>
      <c r="C129" t="s">
        <v>117</v>
      </c>
      <c r="D129" t="s">
        <v>309</v>
      </c>
      <c r="E129" t="s">
        <v>1134</v>
      </c>
      <c r="F129" s="15">
        <v>46223.623645833337</v>
      </c>
      <c r="G129" t="s">
        <v>402</v>
      </c>
      <c r="H129">
        <v>1</v>
      </c>
      <c r="I129" t="s">
        <v>1135</v>
      </c>
      <c r="J129" s="15">
        <v>46224.351388888892</v>
      </c>
      <c r="K129" s="15">
        <v>46227.68472222222</v>
      </c>
      <c r="L129" s="15">
        <v>46234.655555555553</v>
      </c>
      <c r="M129">
        <v>1</v>
      </c>
      <c r="O129" t="s">
        <v>1958</v>
      </c>
      <c r="S129" t="s">
        <v>355</v>
      </c>
      <c r="T129" t="s">
        <v>369</v>
      </c>
      <c r="U129" t="s">
        <v>239</v>
      </c>
      <c r="V129" t="s">
        <v>7</v>
      </c>
      <c r="W129" t="s">
        <v>7</v>
      </c>
      <c r="X129" t="s">
        <v>7</v>
      </c>
      <c r="AA129" t="s">
        <v>127</v>
      </c>
      <c r="AB129" t="s">
        <v>355</v>
      </c>
      <c r="AC129">
        <v>2200</v>
      </c>
      <c r="AD129" t="s">
        <v>233</v>
      </c>
      <c r="AE129">
        <v>1</v>
      </c>
    </row>
    <row r="130" spans="1:32" x14ac:dyDescent="0.3">
      <c r="A130" t="s">
        <v>348</v>
      </c>
      <c r="B130" t="s">
        <v>57</v>
      </c>
      <c r="C130" t="s">
        <v>117</v>
      </c>
      <c r="D130" t="s">
        <v>309</v>
      </c>
      <c r="E130" t="s">
        <v>1134</v>
      </c>
      <c r="F130" s="15">
        <v>46223.623645833337</v>
      </c>
      <c r="G130" t="s">
        <v>402</v>
      </c>
      <c r="H130">
        <v>3</v>
      </c>
      <c r="I130" t="s">
        <v>1136</v>
      </c>
      <c r="J130" s="15">
        <v>46224.351388888892</v>
      </c>
      <c r="K130" s="15">
        <v>46227.68472222222</v>
      </c>
      <c r="L130" s="15"/>
      <c r="M130">
        <v>3</v>
      </c>
      <c r="O130" t="s">
        <v>201</v>
      </c>
      <c r="P130" t="s">
        <v>1954</v>
      </c>
      <c r="S130" t="s">
        <v>355</v>
      </c>
      <c r="T130" t="s">
        <v>369</v>
      </c>
      <c r="U130" t="s">
        <v>239</v>
      </c>
      <c r="V130" t="s">
        <v>7</v>
      </c>
      <c r="W130" t="s">
        <v>7</v>
      </c>
      <c r="X130" t="s">
        <v>7</v>
      </c>
      <c r="AA130" t="s">
        <v>127</v>
      </c>
      <c r="AB130" t="s">
        <v>355</v>
      </c>
      <c r="AC130">
        <v>2200</v>
      </c>
      <c r="AD130" t="s">
        <v>233</v>
      </c>
      <c r="AE130">
        <v>1</v>
      </c>
    </row>
    <row r="131" spans="1:32" x14ac:dyDescent="0.3">
      <c r="A131" t="s">
        <v>348</v>
      </c>
      <c r="B131" t="s">
        <v>57</v>
      </c>
      <c r="C131" t="s">
        <v>117</v>
      </c>
      <c r="D131" t="s">
        <v>309</v>
      </c>
      <c r="E131" t="s">
        <v>1137</v>
      </c>
      <c r="F131" s="15">
        <v>46217.60359953704</v>
      </c>
      <c r="G131" t="s">
        <v>420</v>
      </c>
      <c r="H131">
        <v>1</v>
      </c>
      <c r="I131" t="s">
        <v>1138</v>
      </c>
      <c r="J131" s="15">
        <v>46220.352083333331</v>
      </c>
      <c r="K131" s="15">
        <v>46227.702777777777</v>
      </c>
      <c r="L131" s="15"/>
      <c r="M131">
        <v>1</v>
      </c>
      <c r="O131" t="s">
        <v>201</v>
      </c>
      <c r="P131" t="s">
        <v>1954</v>
      </c>
      <c r="S131" t="s">
        <v>357</v>
      </c>
      <c r="T131" t="s">
        <v>369</v>
      </c>
      <c r="U131" t="s">
        <v>239</v>
      </c>
      <c r="V131" t="s">
        <v>7</v>
      </c>
      <c r="W131" t="s">
        <v>7</v>
      </c>
      <c r="X131" t="s">
        <v>7</v>
      </c>
      <c r="AA131" t="s">
        <v>127</v>
      </c>
      <c r="AB131" t="s">
        <v>357</v>
      </c>
      <c r="AC131">
        <v>101</v>
      </c>
      <c r="AD131" t="s">
        <v>233</v>
      </c>
      <c r="AE131">
        <v>1</v>
      </c>
      <c r="AF131">
        <v>1</v>
      </c>
    </row>
    <row r="132" spans="1:32" x14ac:dyDescent="0.3">
      <c r="A132" t="s">
        <v>348</v>
      </c>
      <c r="B132" t="s">
        <v>57</v>
      </c>
      <c r="C132" t="s">
        <v>117</v>
      </c>
      <c r="D132" t="s">
        <v>309</v>
      </c>
      <c r="E132" t="s">
        <v>1137</v>
      </c>
      <c r="F132" s="15">
        <v>46217.60359953704</v>
      </c>
      <c r="G132" t="s">
        <v>420</v>
      </c>
      <c r="H132">
        <v>4</v>
      </c>
      <c r="I132" t="s">
        <v>1138</v>
      </c>
      <c r="J132" s="15">
        <v>46220.352083333331</v>
      </c>
      <c r="K132" s="15">
        <v>46227.702777777777</v>
      </c>
      <c r="L132" s="15"/>
      <c r="M132">
        <v>4</v>
      </c>
      <c r="O132" t="s">
        <v>1958</v>
      </c>
      <c r="S132" t="s">
        <v>357</v>
      </c>
      <c r="T132" t="s">
        <v>369</v>
      </c>
      <c r="U132" t="s">
        <v>239</v>
      </c>
      <c r="V132" t="s">
        <v>7</v>
      </c>
      <c r="W132" t="s">
        <v>7</v>
      </c>
      <c r="X132" t="s">
        <v>7</v>
      </c>
      <c r="AA132" t="s">
        <v>127</v>
      </c>
      <c r="AB132" t="s">
        <v>357</v>
      </c>
      <c r="AC132">
        <v>101</v>
      </c>
      <c r="AD132" t="s">
        <v>233</v>
      </c>
      <c r="AE132">
        <v>1</v>
      </c>
    </row>
    <row r="133" spans="1:32" x14ac:dyDescent="0.3">
      <c r="A133" t="s">
        <v>348</v>
      </c>
      <c r="B133" t="s">
        <v>57</v>
      </c>
      <c r="C133" t="s">
        <v>117</v>
      </c>
      <c r="D133" t="s">
        <v>309</v>
      </c>
      <c r="E133" t="s">
        <v>1137</v>
      </c>
      <c r="F133" s="15">
        <v>46217.60359953704</v>
      </c>
      <c r="G133" t="s">
        <v>420</v>
      </c>
      <c r="H133">
        <v>1</v>
      </c>
      <c r="I133" t="s">
        <v>1138</v>
      </c>
      <c r="J133" s="15">
        <v>46220.352083333331</v>
      </c>
      <c r="K133" s="15">
        <v>46227.702777777777</v>
      </c>
      <c r="L133" s="15"/>
      <c r="M133">
        <v>1</v>
      </c>
      <c r="O133" t="s">
        <v>1958</v>
      </c>
      <c r="S133" t="s">
        <v>357</v>
      </c>
      <c r="T133" t="s">
        <v>369</v>
      </c>
      <c r="U133" t="s">
        <v>239</v>
      </c>
      <c r="V133" t="s">
        <v>7</v>
      </c>
      <c r="W133" t="s">
        <v>7</v>
      </c>
      <c r="X133" t="s">
        <v>7</v>
      </c>
      <c r="AA133" t="s">
        <v>127</v>
      </c>
      <c r="AB133" t="s">
        <v>357</v>
      </c>
      <c r="AC133">
        <v>101</v>
      </c>
      <c r="AD133" t="s">
        <v>233</v>
      </c>
      <c r="AE133">
        <v>1</v>
      </c>
    </row>
    <row r="134" spans="1:32" x14ac:dyDescent="0.3">
      <c r="A134" t="s">
        <v>348</v>
      </c>
      <c r="B134" t="s">
        <v>279</v>
      </c>
      <c r="C134" t="s">
        <v>192</v>
      </c>
      <c r="D134" t="s">
        <v>309</v>
      </c>
      <c r="E134" t="s">
        <v>741</v>
      </c>
      <c r="F134" s="15">
        <v>46248.437847222223</v>
      </c>
      <c r="G134" t="s">
        <v>401</v>
      </c>
      <c r="H134">
        <v>8</v>
      </c>
      <c r="I134" t="s">
        <v>1095</v>
      </c>
      <c r="J134" s="15">
        <v>46248.662499999999</v>
      </c>
      <c r="K134" s="15">
        <v>46253.628472222219</v>
      </c>
      <c r="L134" s="15"/>
      <c r="M134">
        <v>8</v>
      </c>
      <c r="O134" t="s">
        <v>201</v>
      </c>
      <c r="P134" t="s">
        <v>1954</v>
      </c>
      <c r="S134" t="s">
        <v>357</v>
      </c>
      <c r="T134" t="s">
        <v>369</v>
      </c>
      <c r="U134" t="s">
        <v>239</v>
      </c>
      <c r="V134" t="s">
        <v>7</v>
      </c>
      <c r="W134" t="s">
        <v>7</v>
      </c>
      <c r="X134" t="s">
        <v>7</v>
      </c>
      <c r="Z134">
        <v>1</v>
      </c>
      <c r="AA134" t="s">
        <v>122</v>
      </c>
      <c r="AB134" t="s">
        <v>357</v>
      </c>
      <c r="AC134">
        <v>101</v>
      </c>
      <c r="AD134" t="s">
        <v>232</v>
      </c>
      <c r="AE134">
        <v>8</v>
      </c>
      <c r="AF134">
        <v>1</v>
      </c>
    </row>
    <row r="135" spans="1:32" x14ac:dyDescent="0.3">
      <c r="A135" t="s">
        <v>348</v>
      </c>
      <c r="B135" t="s">
        <v>279</v>
      </c>
      <c r="C135" t="s">
        <v>192</v>
      </c>
      <c r="D135" t="s">
        <v>309</v>
      </c>
      <c r="E135" t="s">
        <v>1096</v>
      </c>
      <c r="F135" s="15">
        <v>46239.634884259256</v>
      </c>
      <c r="G135" t="s">
        <v>401</v>
      </c>
      <c r="H135">
        <v>350</v>
      </c>
      <c r="I135" t="s">
        <v>1097</v>
      </c>
      <c r="J135" s="15">
        <v>46240.408333333333</v>
      </c>
      <c r="K135" s="15">
        <v>46246.645833333336</v>
      </c>
      <c r="L135" s="15"/>
      <c r="M135">
        <v>350</v>
      </c>
      <c r="O135" t="s">
        <v>201</v>
      </c>
      <c r="P135" t="s">
        <v>1956</v>
      </c>
      <c r="S135" t="s">
        <v>357</v>
      </c>
      <c r="T135" t="s">
        <v>369</v>
      </c>
      <c r="U135" t="s">
        <v>239</v>
      </c>
      <c r="V135" t="s">
        <v>7</v>
      </c>
      <c r="W135" t="s">
        <v>7</v>
      </c>
      <c r="X135" t="s">
        <v>7</v>
      </c>
      <c r="Z135">
        <v>1</v>
      </c>
      <c r="AA135" t="s">
        <v>122</v>
      </c>
      <c r="AB135" t="s">
        <v>357</v>
      </c>
      <c r="AC135">
        <v>101</v>
      </c>
      <c r="AD135" t="s">
        <v>232</v>
      </c>
      <c r="AE135">
        <v>350</v>
      </c>
      <c r="AF135">
        <v>35</v>
      </c>
    </row>
    <row r="136" spans="1:32" x14ac:dyDescent="0.3">
      <c r="A136" t="s">
        <v>348</v>
      </c>
      <c r="B136" t="s">
        <v>279</v>
      </c>
      <c r="C136" t="s">
        <v>192</v>
      </c>
      <c r="D136" t="s">
        <v>309</v>
      </c>
      <c r="E136" t="s">
        <v>1098</v>
      </c>
      <c r="F136" s="15">
        <v>46245.601261574076</v>
      </c>
      <c r="G136" t="s">
        <v>405</v>
      </c>
      <c r="H136">
        <v>471</v>
      </c>
      <c r="I136" t="s">
        <v>1099</v>
      </c>
      <c r="J136" s="15">
        <v>46246.638194444444</v>
      </c>
      <c r="K136" s="15">
        <v>46252.386805555558</v>
      </c>
      <c r="L136" s="15"/>
      <c r="M136">
        <v>471</v>
      </c>
      <c r="O136" t="s">
        <v>201</v>
      </c>
      <c r="P136" t="s">
        <v>1956</v>
      </c>
      <c r="S136" t="s">
        <v>355</v>
      </c>
      <c r="T136" t="s">
        <v>369</v>
      </c>
      <c r="U136" t="s">
        <v>239</v>
      </c>
      <c r="V136" t="s">
        <v>7</v>
      </c>
      <c r="W136" t="s">
        <v>7</v>
      </c>
      <c r="X136" t="s">
        <v>7</v>
      </c>
      <c r="Z136">
        <v>1</v>
      </c>
      <c r="AA136" t="s">
        <v>122</v>
      </c>
      <c r="AB136" t="s">
        <v>355</v>
      </c>
      <c r="AC136">
        <v>2200</v>
      </c>
      <c r="AD136" t="s">
        <v>232</v>
      </c>
      <c r="AE136">
        <v>471</v>
      </c>
      <c r="AF136">
        <v>47.1</v>
      </c>
    </row>
    <row r="137" spans="1:32" x14ac:dyDescent="0.3">
      <c r="A137" t="s">
        <v>348</v>
      </c>
      <c r="B137" t="s">
        <v>279</v>
      </c>
      <c r="C137" t="s">
        <v>192</v>
      </c>
      <c r="D137" t="s">
        <v>309</v>
      </c>
      <c r="E137" t="s">
        <v>1100</v>
      </c>
      <c r="F137" s="15">
        <v>46245.375648148147</v>
      </c>
      <c r="G137" t="s">
        <v>402</v>
      </c>
      <c r="H137">
        <v>1805</v>
      </c>
      <c r="I137" t="s">
        <v>1101</v>
      </c>
      <c r="J137" s="15">
        <v>46246.395138888889</v>
      </c>
      <c r="K137" s="15">
        <v>46248.681250000001</v>
      </c>
      <c r="L137" s="15"/>
      <c r="M137">
        <v>1805</v>
      </c>
      <c r="O137" t="s">
        <v>201</v>
      </c>
      <c r="P137" t="s">
        <v>1954</v>
      </c>
      <c r="S137" t="s">
        <v>355</v>
      </c>
      <c r="T137" t="s">
        <v>369</v>
      </c>
      <c r="U137" t="s">
        <v>239</v>
      </c>
      <c r="V137" t="s">
        <v>7</v>
      </c>
      <c r="W137" t="s">
        <v>7</v>
      </c>
      <c r="X137" t="s">
        <v>7</v>
      </c>
      <c r="Z137">
        <v>1</v>
      </c>
      <c r="AA137" t="s">
        <v>122</v>
      </c>
      <c r="AB137" t="s">
        <v>355</v>
      </c>
      <c r="AC137">
        <v>2200</v>
      </c>
      <c r="AD137" t="s">
        <v>232</v>
      </c>
      <c r="AE137">
        <v>1805</v>
      </c>
      <c r="AF137">
        <v>180.5</v>
      </c>
    </row>
    <row r="138" spans="1:32" x14ac:dyDescent="0.3">
      <c r="A138" t="s">
        <v>348</v>
      </c>
      <c r="B138" t="s">
        <v>279</v>
      </c>
      <c r="C138" t="s">
        <v>192</v>
      </c>
      <c r="D138" t="s">
        <v>309</v>
      </c>
      <c r="E138" t="s">
        <v>1102</v>
      </c>
      <c r="F138" s="15">
        <v>46239.715613425928</v>
      </c>
      <c r="G138" t="s">
        <v>402</v>
      </c>
      <c r="H138">
        <v>1580</v>
      </c>
      <c r="I138" t="s">
        <v>1103</v>
      </c>
      <c r="J138" s="15">
        <v>46241.71597222222</v>
      </c>
      <c r="K138" s="15">
        <v>46246.671527777777</v>
      </c>
      <c r="L138" s="15"/>
      <c r="M138">
        <v>1580</v>
      </c>
      <c r="O138" t="s">
        <v>201</v>
      </c>
      <c r="P138" t="s">
        <v>1954</v>
      </c>
      <c r="S138" t="s">
        <v>355</v>
      </c>
      <c r="T138" t="s">
        <v>369</v>
      </c>
      <c r="U138" t="s">
        <v>239</v>
      </c>
      <c r="V138" t="s">
        <v>7</v>
      </c>
      <c r="W138" t="s">
        <v>7</v>
      </c>
      <c r="X138" t="s">
        <v>7</v>
      </c>
      <c r="Z138">
        <v>1</v>
      </c>
      <c r="AA138" t="s">
        <v>122</v>
      </c>
      <c r="AB138" t="s">
        <v>355</v>
      </c>
      <c r="AC138">
        <v>2200</v>
      </c>
      <c r="AD138" t="s">
        <v>232</v>
      </c>
      <c r="AE138">
        <v>1580</v>
      </c>
      <c r="AF138">
        <v>282.60000000000002</v>
      </c>
    </row>
    <row r="139" spans="1:32" x14ac:dyDescent="0.3">
      <c r="A139" t="s">
        <v>348</v>
      </c>
      <c r="B139" t="s">
        <v>279</v>
      </c>
      <c r="C139" t="s">
        <v>192</v>
      </c>
      <c r="D139" t="s">
        <v>309</v>
      </c>
      <c r="E139" t="s">
        <v>1104</v>
      </c>
      <c r="F139" s="15">
        <v>46238.474398148152</v>
      </c>
      <c r="G139" t="s">
        <v>402</v>
      </c>
      <c r="H139">
        <v>13</v>
      </c>
      <c r="I139" t="s">
        <v>1105</v>
      </c>
      <c r="J139" s="15">
        <v>46238.659722222219</v>
      </c>
      <c r="K139" s="15">
        <v>46241.456944444442</v>
      </c>
      <c r="L139" s="15"/>
      <c r="M139">
        <v>13</v>
      </c>
      <c r="O139" t="s">
        <v>201</v>
      </c>
      <c r="P139" t="s">
        <v>1954</v>
      </c>
      <c r="S139" t="s">
        <v>355</v>
      </c>
      <c r="T139" t="s">
        <v>369</v>
      </c>
      <c r="U139" t="s">
        <v>239</v>
      </c>
      <c r="V139" t="s">
        <v>7</v>
      </c>
      <c r="W139" t="s">
        <v>7</v>
      </c>
      <c r="X139" t="s">
        <v>7</v>
      </c>
      <c r="Z139">
        <v>1</v>
      </c>
      <c r="AA139" t="s">
        <v>122</v>
      </c>
      <c r="AB139" t="s">
        <v>355</v>
      </c>
      <c r="AC139">
        <v>2200</v>
      </c>
      <c r="AD139" t="s">
        <v>232</v>
      </c>
      <c r="AE139">
        <v>13</v>
      </c>
      <c r="AF139">
        <v>1.3</v>
      </c>
    </row>
    <row r="140" spans="1:32" x14ac:dyDescent="0.3">
      <c r="A140" t="s">
        <v>348</v>
      </c>
      <c r="B140" t="s">
        <v>279</v>
      </c>
      <c r="C140" t="s">
        <v>192</v>
      </c>
      <c r="D140" t="s">
        <v>309</v>
      </c>
      <c r="E140" t="s">
        <v>1106</v>
      </c>
      <c r="F140" s="15">
        <v>46244.43917824074</v>
      </c>
      <c r="G140" t="s">
        <v>406</v>
      </c>
      <c r="H140">
        <v>1096</v>
      </c>
      <c r="I140" t="s">
        <v>1107</v>
      </c>
      <c r="J140" s="15">
        <v>46245.671527777777</v>
      </c>
      <c r="K140" s="15">
        <v>46251.602083333331</v>
      </c>
      <c r="L140" s="15"/>
      <c r="M140">
        <v>1096</v>
      </c>
      <c r="O140" t="s">
        <v>201</v>
      </c>
      <c r="P140" t="s">
        <v>1956</v>
      </c>
      <c r="S140" t="s">
        <v>354</v>
      </c>
      <c r="T140" t="s">
        <v>369</v>
      </c>
      <c r="U140" t="s">
        <v>239</v>
      </c>
      <c r="V140" t="s">
        <v>7</v>
      </c>
      <c r="W140" t="s">
        <v>7</v>
      </c>
      <c r="X140" t="s">
        <v>7</v>
      </c>
      <c r="Z140">
        <v>1</v>
      </c>
      <c r="AA140" t="s">
        <v>122</v>
      </c>
      <c r="AB140" t="s">
        <v>354</v>
      </c>
      <c r="AC140">
        <v>50</v>
      </c>
      <c r="AD140" t="s">
        <v>232</v>
      </c>
      <c r="AE140">
        <v>1096</v>
      </c>
      <c r="AF140">
        <v>1745.2</v>
      </c>
    </row>
    <row r="141" spans="1:32" x14ac:dyDescent="0.3">
      <c r="A141" t="s">
        <v>348</v>
      </c>
      <c r="B141" t="s">
        <v>279</v>
      </c>
      <c r="C141" t="s">
        <v>192</v>
      </c>
      <c r="D141" t="s">
        <v>309</v>
      </c>
      <c r="E141" t="s">
        <v>1106</v>
      </c>
      <c r="F141" s="15">
        <v>46244.43917824074</v>
      </c>
      <c r="G141" t="s">
        <v>406</v>
      </c>
      <c r="H141">
        <v>2343</v>
      </c>
      <c r="I141" t="s">
        <v>1107</v>
      </c>
      <c r="J141" s="15">
        <v>46245.671527777777</v>
      </c>
      <c r="K141" s="15">
        <v>46251.602083333331</v>
      </c>
      <c r="L141" s="15"/>
      <c r="M141">
        <v>2343</v>
      </c>
      <c r="O141" t="s">
        <v>1958</v>
      </c>
      <c r="S141" t="s">
        <v>354</v>
      </c>
      <c r="T141" t="s">
        <v>369</v>
      </c>
      <c r="U141" t="s">
        <v>239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354</v>
      </c>
      <c r="AC141">
        <v>50</v>
      </c>
      <c r="AD141" t="s">
        <v>232</v>
      </c>
      <c r="AE141">
        <v>2343</v>
      </c>
    </row>
    <row r="142" spans="1:32" x14ac:dyDescent="0.3">
      <c r="A142" t="s">
        <v>348</v>
      </c>
      <c r="B142" t="s">
        <v>279</v>
      </c>
      <c r="C142" t="s">
        <v>192</v>
      </c>
      <c r="D142" t="s">
        <v>309</v>
      </c>
      <c r="E142" t="s">
        <v>1106</v>
      </c>
      <c r="F142" s="15">
        <v>46244.43917824074</v>
      </c>
      <c r="G142" t="s">
        <v>406</v>
      </c>
      <c r="H142">
        <v>2913</v>
      </c>
      <c r="I142" t="s">
        <v>1107</v>
      </c>
      <c r="J142" s="15">
        <v>46245.671527777777</v>
      </c>
      <c r="K142" s="15">
        <v>46251.602083333331</v>
      </c>
      <c r="L142" s="15"/>
      <c r="M142">
        <v>2913</v>
      </c>
      <c r="O142" t="s">
        <v>1958</v>
      </c>
      <c r="S142" t="s">
        <v>354</v>
      </c>
      <c r="T142" t="s">
        <v>369</v>
      </c>
      <c r="U142" t="s">
        <v>239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354</v>
      </c>
      <c r="AC142">
        <v>50</v>
      </c>
      <c r="AD142" t="s">
        <v>232</v>
      </c>
      <c r="AE142">
        <v>2913</v>
      </c>
    </row>
    <row r="143" spans="1:32" x14ac:dyDescent="0.3">
      <c r="A143" t="s">
        <v>348</v>
      </c>
      <c r="B143" t="s">
        <v>279</v>
      </c>
      <c r="C143" t="s">
        <v>192</v>
      </c>
      <c r="D143" t="s">
        <v>309</v>
      </c>
      <c r="E143" t="s">
        <v>1106</v>
      </c>
      <c r="F143" s="15">
        <v>46244.43917824074</v>
      </c>
      <c r="G143" t="s">
        <v>406</v>
      </c>
      <c r="H143">
        <v>1562</v>
      </c>
      <c r="I143" t="s">
        <v>1107</v>
      </c>
      <c r="J143" s="15">
        <v>46245.671527777777</v>
      </c>
      <c r="K143" s="15">
        <v>46251.602083333331</v>
      </c>
      <c r="L143" s="15"/>
      <c r="M143">
        <v>1562</v>
      </c>
      <c r="O143" t="s">
        <v>1958</v>
      </c>
      <c r="S143" t="s">
        <v>354</v>
      </c>
      <c r="T143" t="s">
        <v>369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354</v>
      </c>
      <c r="AC143">
        <v>50</v>
      </c>
      <c r="AD143" t="s">
        <v>232</v>
      </c>
      <c r="AE143">
        <v>1562</v>
      </c>
    </row>
    <row r="144" spans="1:32" x14ac:dyDescent="0.3">
      <c r="A144" t="s">
        <v>348</v>
      </c>
      <c r="B144" t="s">
        <v>279</v>
      </c>
      <c r="C144" t="s">
        <v>192</v>
      </c>
      <c r="D144" t="s">
        <v>309</v>
      </c>
      <c r="E144" t="s">
        <v>1106</v>
      </c>
      <c r="F144" s="15">
        <v>46244.43917824074</v>
      </c>
      <c r="G144" t="s">
        <v>406</v>
      </c>
      <c r="H144">
        <v>1816</v>
      </c>
      <c r="I144" t="s">
        <v>1107</v>
      </c>
      <c r="J144" s="15">
        <v>46245.671527777777</v>
      </c>
      <c r="K144" s="15">
        <v>46251.602083333331</v>
      </c>
      <c r="L144" s="15"/>
      <c r="M144">
        <v>1816</v>
      </c>
      <c r="O144" t="s">
        <v>1958</v>
      </c>
      <c r="S144" t="s">
        <v>354</v>
      </c>
      <c r="T144" t="s">
        <v>369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354</v>
      </c>
      <c r="AC144">
        <v>50</v>
      </c>
      <c r="AD144" t="s">
        <v>232</v>
      </c>
      <c r="AE144">
        <v>1816</v>
      </c>
    </row>
    <row r="145" spans="1:32" x14ac:dyDescent="0.3">
      <c r="A145" t="s">
        <v>348</v>
      </c>
      <c r="B145" t="s">
        <v>279</v>
      </c>
      <c r="C145" t="s">
        <v>192</v>
      </c>
      <c r="D145" t="s">
        <v>309</v>
      </c>
      <c r="E145" t="s">
        <v>1106</v>
      </c>
      <c r="F145" s="15">
        <v>46244.43917824074</v>
      </c>
      <c r="G145" t="s">
        <v>406</v>
      </c>
      <c r="H145">
        <v>1842</v>
      </c>
      <c r="I145" t="s">
        <v>1107</v>
      </c>
      <c r="J145" s="15">
        <v>46245.671527777777</v>
      </c>
      <c r="K145" s="15">
        <v>46251.602083333331</v>
      </c>
      <c r="L145" s="15"/>
      <c r="M145">
        <v>1842</v>
      </c>
      <c r="O145" t="s">
        <v>1958</v>
      </c>
      <c r="S145" t="s">
        <v>354</v>
      </c>
      <c r="T145" t="s">
        <v>369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354</v>
      </c>
      <c r="AC145">
        <v>50</v>
      </c>
      <c r="AD145" t="s">
        <v>232</v>
      </c>
      <c r="AE145">
        <v>1842</v>
      </c>
    </row>
    <row r="146" spans="1:32" x14ac:dyDescent="0.3">
      <c r="A146" t="s">
        <v>348</v>
      </c>
      <c r="B146" t="s">
        <v>279</v>
      </c>
      <c r="C146" t="s">
        <v>192</v>
      </c>
      <c r="D146" t="s">
        <v>309</v>
      </c>
      <c r="E146" t="s">
        <v>1106</v>
      </c>
      <c r="F146" s="15">
        <v>46244.43917824074</v>
      </c>
      <c r="G146" t="s">
        <v>406</v>
      </c>
      <c r="H146">
        <v>2221</v>
      </c>
      <c r="I146" t="s">
        <v>1107</v>
      </c>
      <c r="J146" s="15">
        <v>46245.671527777777</v>
      </c>
      <c r="K146" s="15">
        <v>46251.602083333331</v>
      </c>
      <c r="L146" s="15"/>
      <c r="M146">
        <v>2221</v>
      </c>
      <c r="O146" t="s">
        <v>1958</v>
      </c>
      <c r="S146" t="s">
        <v>354</v>
      </c>
      <c r="T146" t="s">
        <v>369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354</v>
      </c>
      <c r="AC146">
        <v>50</v>
      </c>
      <c r="AD146" t="s">
        <v>232</v>
      </c>
      <c r="AE146">
        <v>2221</v>
      </c>
    </row>
    <row r="147" spans="1:32" x14ac:dyDescent="0.3">
      <c r="A147" t="s">
        <v>348</v>
      </c>
      <c r="B147" t="s">
        <v>279</v>
      </c>
      <c r="C147" t="s">
        <v>192</v>
      </c>
      <c r="D147" t="s">
        <v>309</v>
      </c>
      <c r="E147" t="s">
        <v>1106</v>
      </c>
      <c r="F147" s="15">
        <v>46244.43917824074</v>
      </c>
      <c r="G147" t="s">
        <v>406</v>
      </c>
      <c r="H147">
        <v>1702</v>
      </c>
      <c r="I147" t="s">
        <v>1107</v>
      </c>
      <c r="J147" s="15">
        <v>46245.671527777777</v>
      </c>
      <c r="K147" s="15">
        <v>46251.602083333331</v>
      </c>
      <c r="L147" s="15"/>
      <c r="M147">
        <v>1702</v>
      </c>
      <c r="O147" t="s">
        <v>1958</v>
      </c>
      <c r="S147" t="s">
        <v>354</v>
      </c>
      <c r="T147" t="s">
        <v>369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354</v>
      </c>
      <c r="AC147">
        <v>50</v>
      </c>
      <c r="AD147" t="s">
        <v>232</v>
      </c>
      <c r="AE147">
        <v>1702</v>
      </c>
    </row>
    <row r="148" spans="1:32" x14ac:dyDescent="0.3">
      <c r="A148" t="s">
        <v>348</v>
      </c>
      <c r="B148" t="s">
        <v>279</v>
      </c>
      <c r="C148" t="s">
        <v>192</v>
      </c>
      <c r="D148" t="s">
        <v>309</v>
      </c>
      <c r="E148" t="s">
        <v>1106</v>
      </c>
      <c r="F148" s="15">
        <v>46244.43917824074</v>
      </c>
      <c r="G148" t="s">
        <v>406</v>
      </c>
      <c r="H148">
        <v>1957</v>
      </c>
      <c r="I148" t="s">
        <v>1107</v>
      </c>
      <c r="J148" s="15">
        <v>46245.671527777777</v>
      </c>
      <c r="K148" s="15">
        <v>46251.602083333331</v>
      </c>
      <c r="L148" s="15"/>
      <c r="M148">
        <v>1957</v>
      </c>
      <c r="O148" t="s">
        <v>1958</v>
      </c>
      <c r="S148" t="s">
        <v>354</v>
      </c>
      <c r="T148" t="s">
        <v>369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354</v>
      </c>
      <c r="AC148">
        <v>50</v>
      </c>
      <c r="AD148" t="s">
        <v>232</v>
      </c>
      <c r="AE148">
        <v>1957</v>
      </c>
    </row>
    <row r="149" spans="1:32" x14ac:dyDescent="0.3">
      <c r="A149" t="s">
        <v>348</v>
      </c>
      <c r="B149" t="s">
        <v>279</v>
      </c>
      <c r="C149" t="s">
        <v>192</v>
      </c>
      <c r="D149" t="s">
        <v>309</v>
      </c>
      <c r="E149" t="s">
        <v>1108</v>
      </c>
      <c r="F149" s="15">
        <v>46244.468541666669</v>
      </c>
      <c r="G149" t="s">
        <v>399</v>
      </c>
      <c r="H149">
        <v>580</v>
      </c>
      <c r="I149" t="s">
        <v>1109</v>
      </c>
      <c r="J149" s="15">
        <v>46244.694444444445</v>
      </c>
      <c r="K149" s="15">
        <v>46248.702777777777</v>
      </c>
      <c r="L149" s="15"/>
      <c r="M149">
        <v>580</v>
      </c>
      <c r="O149" t="s">
        <v>201</v>
      </c>
      <c r="P149" t="s">
        <v>1956</v>
      </c>
      <c r="S149" t="s">
        <v>354</v>
      </c>
      <c r="T149" t="s">
        <v>369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354</v>
      </c>
      <c r="AC149">
        <v>50</v>
      </c>
      <c r="AD149" t="s">
        <v>232</v>
      </c>
      <c r="AE149">
        <v>580</v>
      </c>
      <c r="AF149">
        <v>58</v>
      </c>
    </row>
    <row r="150" spans="1:32" x14ac:dyDescent="0.3">
      <c r="A150" t="s">
        <v>348</v>
      </c>
      <c r="B150" t="s">
        <v>279</v>
      </c>
      <c r="C150" t="s">
        <v>192</v>
      </c>
      <c r="D150" t="s">
        <v>309</v>
      </c>
      <c r="E150" t="s">
        <v>1110</v>
      </c>
      <c r="F150" s="15">
        <v>46244.466851851852</v>
      </c>
      <c r="G150" t="s">
        <v>399</v>
      </c>
      <c r="H150">
        <v>156</v>
      </c>
      <c r="I150" t="s">
        <v>1111</v>
      </c>
      <c r="J150" s="15">
        <v>46247.593055555553</v>
      </c>
      <c r="K150" s="15">
        <v>46252.873611111114</v>
      </c>
      <c r="L150" s="15"/>
      <c r="M150">
        <v>156</v>
      </c>
      <c r="O150" t="s">
        <v>201</v>
      </c>
      <c r="P150" t="s">
        <v>1956</v>
      </c>
      <c r="S150" t="s">
        <v>354</v>
      </c>
      <c r="T150" t="s">
        <v>369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354</v>
      </c>
      <c r="AC150">
        <v>50</v>
      </c>
      <c r="AD150" t="s">
        <v>232</v>
      </c>
      <c r="AE150">
        <v>156</v>
      </c>
      <c r="AF150">
        <v>15.6</v>
      </c>
    </row>
    <row r="151" spans="1:32" x14ac:dyDescent="0.3">
      <c r="A151" t="s">
        <v>348</v>
      </c>
      <c r="B151" t="s">
        <v>279</v>
      </c>
      <c r="C151" t="s">
        <v>192</v>
      </c>
      <c r="D151" t="s">
        <v>309</v>
      </c>
      <c r="E151" t="s">
        <v>1112</v>
      </c>
      <c r="F151" s="15">
        <v>46241.40283564815</v>
      </c>
      <c r="G151" t="s">
        <v>742</v>
      </c>
      <c r="H151">
        <v>741</v>
      </c>
      <c r="I151" t="s">
        <v>1113</v>
      </c>
      <c r="J151" s="15">
        <v>46241.429861111108</v>
      </c>
      <c r="K151" s="15">
        <v>46246.593055555553</v>
      </c>
      <c r="L151" s="15"/>
      <c r="M151">
        <v>741</v>
      </c>
      <c r="O151" t="s">
        <v>201</v>
      </c>
      <c r="P151" t="s">
        <v>1956</v>
      </c>
      <c r="S151" t="s">
        <v>356</v>
      </c>
      <c r="T151" t="s">
        <v>369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356</v>
      </c>
      <c r="AC151">
        <v>109</v>
      </c>
      <c r="AD151" t="s">
        <v>232</v>
      </c>
      <c r="AE151">
        <v>741</v>
      </c>
      <c r="AF151">
        <v>74.099999999999994</v>
      </c>
    </row>
    <row r="152" spans="1:32" x14ac:dyDescent="0.3">
      <c r="A152" t="s">
        <v>348</v>
      </c>
      <c r="B152" t="s">
        <v>279</v>
      </c>
      <c r="C152" t="s">
        <v>192</v>
      </c>
      <c r="D152" t="s">
        <v>309</v>
      </c>
      <c r="E152" t="s">
        <v>1114</v>
      </c>
      <c r="F152" s="15">
        <v>46202.512337962966</v>
      </c>
      <c r="G152" t="s">
        <v>419</v>
      </c>
      <c r="H152">
        <v>641</v>
      </c>
      <c r="I152" t="s">
        <v>1115</v>
      </c>
      <c r="J152" s="15">
        <v>46241.424259259256</v>
      </c>
      <c r="K152" s="15">
        <v>46248.483460648145</v>
      </c>
      <c r="L152" s="15"/>
      <c r="M152">
        <v>641</v>
      </c>
      <c r="O152" t="s">
        <v>201</v>
      </c>
      <c r="P152" t="s">
        <v>1956</v>
      </c>
      <c r="S152" t="s">
        <v>356</v>
      </c>
      <c r="T152" t="s">
        <v>369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356</v>
      </c>
      <c r="AC152">
        <v>109</v>
      </c>
      <c r="AD152" t="s">
        <v>232</v>
      </c>
      <c r="AE152">
        <v>641</v>
      </c>
      <c r="AF152">
        <v>64.099999999999994</v>
      </c>
    </row>
    <row r="153" spans="1:32" x14ac:dyDescent="0.3">
      <c r="A153" t="s">
        <v>348</v>
      </c>
      <c r="B153" t="s">
        <v>279</v>
      </c>
      <c r="C153" t="s">
        <v>192</v>
      </c>
      <c r="D153" t="s">
        <v>309</v>
      </c>
      <c r="E153" t="s">
        <v>1116</v>
      </c>
      <c r="F153" s="15">
        <v>46230.40084490741</v>
      </c>
      <c r="G153" t="s">
        <v>1117</v>
      </c>
      <c r="H153">
        <v>3027</v>
      </c>
      <c r="I153" t="s">
        <v>1118</v>
      </c>
      <c r="J153" s="15">
        <v>46233.454386574071</v>
      </c>
      <c r="K153" s="15">
        <v>46238.481249999997</v>
      </c>
      <c r="L153" s="15"/>
      <c r="M153">
        <v>3027</v>
      </c>
      <c r="O153" t="s">
        <v>201</v>
      </c>
      <c r="P153" t="s">
        <v>1956</v>
      </c>
      <c r="S153" t="s">
        <v>356</v>
      </c>
      <c r="T153" t="s">
        <v>369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356</v>
      </c>
      <c r="AC153">
        <v>109</v>
      </c>
      <c r="AD153" t="s">
        <v>232</v>
      </c>
      <c r="AE153">
        <v>3027</v>
      </c>
      <c r="AF153">
        <v>1580.5</v>
      </c>
    </row>
    <row r="154" spans="1:32" x14ac:dyDescent="0.3">
      <c r="A154" t="s">
        <v>348</v>
      </c>
      <c r="B154" t="s">
        <v>279</v>
      </c>
      <c r="C154" t="s">
        <v>192</v>
      </c>
      <c r="D154" t="s">
        <v>309</v>
      </c>
      <c r="E154" t="s">
        <v>1116</v>
      </c>
      <c r="F154" s="15">
        <v>46230.40084490741</v>
      </c>
      <c r="G154" t="s">
        <v>1117</v>
      </c>
      <c r="H154">
        <v>687</v>
      </c>
      <c r="I154" t="s">
        <v>1118</v>
      </c>
      <c r="J154" s="15">
        <v>46233.454386574071</v>
      </c>
      <c r="K154" s="15">
        <v>46238.481249999997</v>
      </c>
      <c r="L154" s="15"/>
      <c r="M154">
        <v>687</v>
      </c>
      <c r="O154" t="s">
        <v>1958</v>
      </c>
      <c r="S154" t="s">
        <v>356</v>
      </c>
      <c r="T154" t="s">
        <v>369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356</v>
      </c>
      <c r="AC154">
        <v>109</v>
      </c>
      <c r="AD154" t="s">
        <v>232</v>
      </c>
      <c r="AE154">
        <v>687</v>
      </c>
    </row>
    <row r="155" spans="1:32" x14ac:dyDescent="0.3">
      <c r="A155" t="s">
        <v>348</v>
      </c>
      <c r="B155" t="s">
        <v>279</v>
      </c>
      <c r="C155" t="s">
        <v>192</v>
      </c>
      <c r="D155" t="s">
        <v>309</v>
      </c>
      <c r="E155" t="s">
        <v>1116</v>
      </c>
      <c r="F155" s="15">
        <v>46230.40084490741</v>
      </c>
      <c r="G155" t="s">
        <v>1117</v>
      </c>
      <c r="H155">
        <v>1378</v>
      </c>
      <c r="I155" t="s">
        <v>1118</v>
      </c>
      <c r="J155" s="15">
        <v>46233.454386574071</v>
      </c>
      <c r="K155" s="15">
        <v>46238.481249999997</v>
      </c>
      <c r="L155" s="15"/>
      <c r="M155">
        <v>1378</v>
      </c>
      <c r="O155" t="s">
        <v>1958</v>
      </c>
      <c r="S155" t="s">
        <v>356</v>
      </c>
      <c r="T155" t="s">
        <v>369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356</v>
      </c>
      <c r="AC155">
        <v>109</v>
      </c>
      <c r="AD155" t="s">
        <v>232</v>
      </c>
      <c r="AE155">
        <v>1378</v>
      </c>
    </row>
    <row r="156" spans="1:32" x14ac:dyDescent="0.3">
      <c r="A156" t="s">
        <v>348</v>
      </c>
      <c r="B156" t="s">
        <v>279</v>
      </c>
      <c r="C156" t="s">
        <v>192</v>
      </c>
      <c r="D156" t="s">
        <v>309</v>
      </c>
      <c r="E156" t="s">
        <v>1116</v>
      </c>
      <c r="F156" s="15">
        <v>46230.40084490741</v>
      </c>
      <c r="G156" t="s">
        <v>1117</v>
      </c>
      <c r="H156">
        <v>1789</v>
      </c>
      <c r="I156" t="s">
        <v>1118</v>
      </c>
      <c r="J156" s="15">
        <v>46233.454386574071</v>
      </c>
      <c r="K156" s="15">
        <v>46238.481249999997</v>
      </c>
      <c r="L156" s="15"/>
      <c r="M156">
        <v>1789</v>
      </c>
      <c r="O156" t="s">
        <v>1958</v>
      </c>
      <c r="S156" t="s">
        <v>356</v>
      </c>
      <c r="T156" t="s">
        <v>369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356</v>
      </c>
      <c r="AC156">
        <v>109</v>
      </c>
      <c r="AD156" t="s">
        <v>232</v>
      </c>
      <c r="AE156">
        <v>1789</v>
      </c>
    </row>
    <row r="157" spans="1:32" x14ac:dyDescent="0.3">
      <c r="A157" t="s">
        <v>348</v>
      </c>
      <c r="B157" t="s">
        <v>279</v>
      </c>
      <c r="C157" t="s">
        <v>192</v>
      </c>
      <c r="D157" t="s">
        <v>309</v>
      </c>
      <c r="E157" t="s">
        <v>1116</v>
      </c>
      <c r="F157" s="15">
        <v>46230.40084490741</v>
      </c>
      <c r="G157" t="s">
        <v>1117</v>
      </c>
      <c r="H157">
        <v>1710</v>
      </c>
      <c r="I157" t="s">
        <v>1118</v>
      </c>
      <c r="J157" s="15">
        <v>46233.454386574071</v>
      </c>
      <c r="K157" s="15">
        <v>46238.481249999997</v>
      </c>
      <c r="L157" s="15"/>
      <c r="M157">
        <v>1710</v>
      </c>
      <c r="O157" t="s">
        <v>1958</v>
      </c>
      <c r="S157" t="s">
        <v>356</v>
      </c>
      <c r="T157" t="s">
        <v>369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356</v>
      </c>
      <c r="AC157">
        <v>109</v>
      </c>
      <c r="AD157" t="s">
        <v>232</v>
      </c>
      <c r="AE157">
        <v>1710</v>
      </c>
    </row>
    <row r="158" spans="1:32" x14ac:dyDescent="0.3">
      <c r="A158" t="s">
        <v>348</v>
      </c>
      <c r="B158" t="s">
        <v>279</v>
      </c>
      <c r="C158" t="s">
        <v>192</v>
      </c>
      <c r="D158" t="s">
        <v>309</v>
      </c>
      <c r="E158" t="s">
        <v>1116</v>
      </c>
      <c r="F158" s="15">
        <v>46230.40084490741</v>
      </c>
      <c r="G158" t="s">
        <v>1117</v>
      </c>
      <c r="H158">
        <v>1421</v>
      </c>
      <c r="I158" t="s">
        <v>1118</v>
      </c>
      <c r="J158" s="15">
        <v>46233.454386574071</v>
      </c>
      <c r="K158" s="15">
        <v>46238.481249999997</v>
      </c>
      <c r="L158" s="15"/>
      <c r="M158">
        <v>1421</v>
      </c>
      <c r="O158" t="s">
        <v>1958</v>
      </c>
      <c r="S158" t="s">
        <v>356</v>
      </c>
      <c r="T158" t="s">
        <v>369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356</v>
      </c>
      <c r="AC158">
        <v>109</v>
      </c>
      <c r="AD158" t="s">
        <v>232</v>
      </c>
      <c r="AE158">
        <v>1421</v>
      </c>
    </row>
    <row r="159" spans="1:32" x14ac:dyDescent="0.3">
      <c r="A159" t="s">
        <v>348</v>
      </c>
      <c r="B159" t="s">
        <v>279</v>
      </c>
      <c r="C159" t="s">
        <v>192</v>
      </c>
      <c r="D159" t="s">
        <v>309</v>
      </c>
      <c r="E159" t="s">
        <v>1116</v>
      </c>
      <c r="F159" s="15">
        <v>46230.40084490741</v>
      </c>
      <c r="G159" t="s">
        <v>1117</v>
      </c>
      <c r="H159">
        <v>1299</v>
      </c>
      <c r="I159" t="s">
        <v>1118</v>
      </c>
      <c r="J159" s="15">
        <v>46233.454386574071</v>
      </c>
      <c r="K159" s="15">
        <v>46238.481249999997</v>
      </c>
      <c r="L159" s="15"/>
      <c r="M159">
        <v>1299</v>
      </c>
      <c r="O159" t="s">
        <v>1958</v>
      </c>
      <c r="S159" t="s">
        <v>356</v>
      </c>
      <c r="T159" t="s">
        <v>369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356</v>
      </c>
      <c r="AC159">
        <v>109</v>
      </c>
      <c r="AD159" t="s">
        <v>232</v>
      </c>
      <c r="AE159">
        <v>1299</v>
      </c>
    </row>
    <row r="160" spans="1:32" x14ac:dyDescent="0.3">
      <c r="A160" t="s">
        <v>348</v>
      </c>
      <c r="B160" t="s">
        <v>279</v>
      </c>
      <c r="C160" t="s">
        <v>192</v>
      </c>
      <c r="D160" t="s">
        <v>309</v>
      </c>
      <c r="E160" t="s">
        <v>1116</v>
      </c>
      <c r="F160" s="15">
        <v>46230.40084490741</v>
      </c>
      <c r="G160" t="s">
        <v>1117</v>
      </c>
      <c r="H160">
        <v>1459</v>
      </c>
      <c r="I160" t="s">
        <v>1118</v>
      </c>
      <c r="J160" s="15">
        <v>46233.454386574071</v>
      </c>
      <c r="K160" s="15">
        <v>46238.481249999997</v>
      </c>
      <c r="L160" s="15"/>
      <c r="M160">
        <v>1459</v>
      </c>
      <c r="O160" t="s">
        <v>1958</v>
      </c>
      <c r="S160" t="s">
        <v>356</v>
      </c>
      <c r="T160" t="s">
        <v>369</v>
      </c>
      <c r="U160" t="s">
        <v>239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356</v>
      </c>
      <c r="AC160">
        <v>109</v>
      </c>
      <c r="AD160" t="s">
        <v>232</v>
      </c>
      <c r="AE160">
        <v>1459</v>
      </c>
    </row>
    <row r="161" spans="1:32" x14ac:dyDescent="0.3">
      <c r="A161" t="s">
        <v>348</v>
      </c>
      <c r="B161" t="s">
        <v>279</v>
      </c>
      <c r="C161" t="s">
        <v>192</v>
      </c>
      <c r="D161" t="s">
        <v>309</v>
      </c>
      <c r="E161" t="s">
        <v>1116</v>
      </c>
      <c r="F161" s="15">
        <v>46230.40084490741</v>
      </c>
      <c r="G161" t="s">
        <v>1117</v>
      </c>
      <c r="H161">
        <v>1476</v>
      </c>
      <c r="I161" t="s">
        <v>1118</v>
      </c>
      <c r="J161" s="15">
        <v>46233.454386574071</v>
      </c>
      <c r="K161" s="15">
        <v>46238.481249999997</v>
      </c>
      <c r="L161" s="15"/>
      <c r="M161">
        <v>1476</v>
      </c>
      <c r="O161" t="s">
        <v>1958</v>
      </c>
      <c r="S161" t="s">
        <v>356</v>
      </c>
      <c r="T161" t="s">
        <v>369</v>
      </c>
      <c r="U161" t="s">
        <v>239</v>
      </c>
      <c r="V161" t="s">
        <v>7</v>
      </c>
      <c r="W161" t="s">
        <v>7</v>
      </c>
      <c r="X161" t="s">
        <v>7</v>
      </c>
      <c r="Z161">
        <v>1</v>
      </c>
      <c r="AA161" t="s">
        <v>122</v>
      </c>
      <c r="AB161" t="s">
        <v>356</v>
      </c>
      <c r="AC161">
        <v>109</v>
      </c>
      <c r="AD161" t="s">
        <v>232</v>
      </c>
      <c r="AE161">
        <v>1476</v>
      </c>
    </row>
    <row r="162" spans="1:32" x14ac:dyDescent="0.3">
      <c r="A162" t="s">
        <v>348</v>
      </c>
      <c r="B162" t="s">
        <v>279</v>
      </c>
      <c r="C162" t="s">
        <v>192</v>
      </c>
      <c r="D162" t="s">
        <v>309</v>
      </c>
      <c r="E162" t="s">
        <v>1116</v>
      </c>
      <c r="F162" s="15">
        <v>46230.40084490741</v>
      </c>
      <c r="G162" t="s">
        <v>1117</v>
      </c>
      <c r="H162">
        <v>1559</v>
      </c>
      <c r="I162" t="s">
        <v>1118</v>
      </c>
      <c r="J162" s="15">
        <v>46233.454386574071</v>
      </c>
      <c r="K162" s="15">
        <v>46238.481249999997</v>
      </c>
      <c r="L162" s="15"/>
      <c r="M162">
        <v>1559</v>
      </c>
      <c r="O162" t="s">
        <v>1958</v>
      </c>
      <c r="S162" t="s">
        <v>356</v>
      </c>
      <c r="T162" t="s">
        <v>369</v>
      </c>
      <c r="U162" t="s">
        <v>239</v>
      </c>
      <c r="V162" t="s">
        <v>7</v>
      </c>
      <c r="W162" t="s">
        <v>7</v>
      </c>
      <c r="X162" t="s">
        <v>7</v>
      </c>
      <c r="Z162">
        <v>1</v>
      </c>
      <c r="AA162" t="s">
        <v>122</v>
      </c>
      <c r="AB162" t="s">
        <v>356</v>
      </c>
      <c r="AC162">
        <v>109</v>
      </c>
      <c r="AD162" t="s">
        <v>232</v>
      </c>
      <c r="AE162">
        <v>1559</v>
      </c>
    </row>
    <row r="163" spans="1:32" x14ac:dyDescent="0.3">
      <c r="A163" t="s">
        <v>348</v>
      </c>
      <c r="B163" t="s">
        <v>279</v>
      </c>
      <c r="C163" t="s">
        <v>192</v>
      </c>
      <c r="D163" t="s">
        <v>309</v>
      </c>
      <c r="E163" t="s">
        <v>1119</v>
      </c>
      <c r="F163" s="15">
        <v>46232.31826388889</v>
      </c>
      <c r="G163" t="s">
        <v>401</v>
      </c>
      <c r="H163">
        <v>6</v>
      </c>
      <c r="I163" t="s">
        <v>1120</v>
      </c>
      <c r="J163" s="15">
        <v>46232.407094907408</v>
      </c>
      <c r="K163" s="15">
        <v>46238.423611111109</v>
      </c>
      <c r="L163" s="15"/>
      <c r="M163">
        <v>6</v>
      </c>
      <c r="O163" t="s">
        <v>201</v>
      </c>
      <c r="P163" t="s">
        <v>1956</v>
      </c>
      <c r="S163" t="s">
        <v>357</v>
      </c>
      <c r="T163" t="s">
        <v>369</v>
      </c>
      <c r="U163" t="s">
        <v>239</v>
      </c>
      <c r="V163" t="s">
        <v>7</v>
      </c>
      <c r="W163" t="s">
        <v>7</v>
      </c>
      <c r="X163" t="s">
        <v>7</v>
      </c>
      <c r="Z163">
        <v>1</v>
      </c>
      <c r="AA163" t="s">
        <v>122</v>
      </c>
      <c r="AB163" t="s">
        <v>357</v>
      </c>
      <c r="AC163">
        <v>101</v>
      </c>
      <c r="AD163" t="s">
        <v>232</v>
      </c>
      <c r="AE163">
        <v>6</v>
      </c>
      <c r="AF163">
        <v>1</v>
      </c>
    </row>
    <row r="164" spans="1:32" x14ac:dyDescent="0.3">
      <c r="A164" t="s">
        <v>348</v>
      </c>
      <c r="B164" t="s">
        <v>279</v>
      </c>
      <c r="C164" t="s">
        <v>192</v>
      </c>
      <c r="D164" t="s">
        <v>309</v>
      </c>
      <c r="E164" t="s">
        <v>1130</v>
      </c>
      <c r="F164" s="15">
        <v>46253.45040509259</v>
      </c>
      <c r="G164" t="s">
        <v>402</v>
      </c>
      <c r="H164">
        <v>568</v>
      </c>
      <c r="I164" t="s">
        <v>1131</v>
      </c>
      <c r="J164" s="15">
        <v>46255.393750000003</v>
      </c>
      <c r="K164" s="15">
        <v>46258.414583333331</v>
      </c>
      <c r="L164" s="15"/>
      <c r="M164">
        <v>568</v>
      </c>
      <c r="O164" t="s">
        <v>201</v>
      </c>
      <c r="P164" t="s">
        <v>1954</v>
      </c>
      <c r="S164" t="s">
        <v>355</v>
      </c>
      <c r="T164" t="s">
        <v>369</v>
      </c>
      <c r="U164" t="s">
        <v>239</v>
      </c>
      <c r="V164" t="s">
        <v>7</v>
      </c>
      <c r="W164" t="s">
        <v>7</v>
      </c>
      <c r="X164" t="s">
        <v>7</v>
      </c>
      <c r="Z164">
        <v>1</v>
      </c>
      <c r="AA164" t="s">
        <v>122</v>
      </c>
      <c r="AB164" t="s">
        <v>355</v>
      </c>
      <c r="AC164">
        <v>2200</v>
      </c>
      <c r="AD164" t="s">
        <v>232</v>
      </c>
      <c r="AE164">
        <v>568</v>
      </c>
      <c r="AF164">
        <v>56.8</v>
      </c>
    </row>
    <row r="165" spans="1:32" x14ac:dyDescent="0.3">
      <c r="A165" t="s">
        <v>348</v>
      </c>
      <c r="B165" t="s">
        <v>279</v>
      </c>
      <c r="C165" t="s">
        <v>192</v>
      </c>
      <c r="D165" t="s">
        <v>309</v>
      </c>
      <c r="E165" t="s">
        <v>1132</v>
      </c>
      <c r="F165" s="15">
        <v>46225.356817129628</v>
      </c>
      <c r="G165" t="s">
        <v>399</v>
      </c>
      <c r="H165">
        <v>191</v>
      </c>
      <c r="I165" t="s">
        <v>1133</v>
      </c>
      <c r="J165" s="15">
        <v>46233.380069444444</v>
      </c>
      <c r="K165" s="15">
        <v>46238.463194444441</v>
      </c>
      <c r="L165" s="15"/>
      <c r="M165">
        <v>191</v>
      </c>
      <c r="O165" t="s">
        <v>201</v>
      </c>
      <c r="P165" t="s">
        <v>1956</v>
      </c>
      <c r="S165" t="s">
        <v>354</v>
      </c>
      <c r="T165" t="s">
        <v>369</v>
      </c>
      <c r="U165" t="s">
        <v>239</v>
      </c>
      <c r="V165" t="s">
        <v>7</v>
      </c>
      <c r="W165" t="s">
        <v>7</v>
      </c>
      <c r="X165" t="s">
        <v>7</v>
      </c>
      <c r="Z165">
        <v>1</v>
      </c>
      <c r="AA165" t="s">
        <v>122</v>
      </c>
      <c r="AB165" t="s">
        <v>354</v>
      </c>
      <c r="AC165">
        <v>50</v>
      </c>
      <c r="AD165" t="s">
        <v>232</v>
      </c>
      <c r="AE165">
        <v>191</v>
      </c>
      <c r="AF165">
        <v>19.100000000000001</v>
      </c>
    </row>
    <row r="166" spans="1:32" x14ac:dyDescent="0.3">
      <c r="A166" t="s">
        <v>348</v>
      </c>
      <c r="B166" t="s">
        <v>279</v>
      </c>
      <c r="C166" t="s">
        <v>192</v>
      </c>
      <c r="D166" t="s">
        <v>309</v>
      </c>
      <c r="E166" t="s">
        <v>1123</v>
      </c>
      <c r="F166" s="15">
        <v>46223.754212962966</v>
      </c>
      <c r="G166" t="s">
        <v>402</v>
      </c>
      <c r="H166">
        <v>42</v>
      </c>
      <c r="I166" t="s">
        <v>1124</v>
      </c>
      <c r="J166" s="15">
        <v>46232.484236111108</v>
      </c>
      <c r="K166" s="15">
        <v>46238.427083333336</v>
      </c>
      <c r="L166" s="15"/>
      <c r="M166">
        <v>42</v>
      </c>
      <c r="O166" t="s">
        <v>201</v>
      </c>
      <c r="P166" t="s">
        <v>1956</v>
      </c>
      <c r="S166" t="s">
        <v>355</v>
      </c>
      <c r="T166" t="s">
        <v>369</v>
      </c>
      <c r="U166" t="s">
        <v>239</v>
      </c>
      <c r="V166" t="s">
        <v>7</v>
      </c>
      <c r="W166" t="s">
        <v>7</v>
      </c>
      <c r="X166" t="s">
        <v>7</v>
      </c>
      <c r="Z166">
        <v>1</v>
      </c>
      <c r="AA166" t="s">
        <v>122</v>
      </c>
      <c r="AB166" t="s">
        <v>355</v>
      </c>
      <c r="AC166">
        <v>2200</v>
      </c>
      <c r="AD166" t="s">
        <v>232</v>
      </c>
      <c r="AE166">
        <v>42</v>
      </c>
      <c r="AF166">
        <v>132.19999999999999</v>
      </c>
    </row>
    <row r="167" spans="1:32" x14ac:dyDescent="0.3">
      <c r="A167" t="s">
        <v>348</v>
      </c>
      <c r="B167" t="s">
        <v>279</v>
      </c>
      <c r="C167" t="s">
        <v>197</v>
      </c>
      <c r="D167" t="s">
        <v>309</v>
      </c>
      <c r="E167" t="s">
        <v>1125</v>
      </c>
      <c r="F167" s="15">
        <v>46233.719895833332</v>
      </c>
      <c r="G167" t="s">
        <v>420</v>
      </c>
      <c r="H167">
        <v>31</v>
      </c>
      <c r="I167" t="s">
        <v>1126</v>
      </c>
      <c r="J167" s="15">
        <v>46234.410682870373</v>
      </c>
      <c r="K167" s="15">
        <v>46238.434027777781</v>
      </c>
      <c r="L167" s="15"/>
      <c r="M167">
        <v>31</v>
      </c>
      <c r="O167" t="s">
        <v>201</v>
      </c>
      <c r="P167" t="s">
        <v>1954</v>
      </c>
      <c r="S167" t="s">
        <v>355</v>
      </c>
      <c r="T167" t="s">
        <v>369</v>
      </c>
      <c r="U167" t="s">
        <v>239</v>
      </c>
      <c r="V167" t="s">
        <v>7</v>
      </c>
      <c r="W167" t="s">
        <v>7</v>
      </c>
      <c r="X167" t="s">
        <v>7</v>
      </c>
      <c r="Z167">
        <v>16</v>
      </c>
      <c r="AA167" t="s">
        <v>122</v>
      </c>
      <c r="AB167" t="s">
        <v>355</v>
      </c>
      <c r="AC167">
        <v>2200</v>
      </c>
      <c r="AD167" t="s">
        <v>232</v>
      </c>
      <c r="AE167">
        <v>496</v>
      </c>
    </row>
    <row r="168" spans="1:32" x14ac:dyDescent="0.3">
      <c r="A168" t="s">
        <v>348</v>
      </c>
      <c r="B168" t="s">
        <v>279</v>
      </c>
      <c r="C168" t="s">
        <v>197</v>
      </c>
      <c r="D168" t="s">
        <v>309</v>
      </c>
      <c r="E168" t="s">
        <v>1125</v>
      </c>
      <c r="F168" s="15">
        <v>46233.719895833332</v>
      </c>
      <c r="G168" t="s">
        <v>420</v>
      </c>
      <c r="H168">
        <v>11</v>
      </c>
      <c r="I168" t="s">
        <v>1126</v>
      </c>
      <c r="J168" s="15">
        <v>46234.410682870373</v>
      </c>
      <c r="K168" s="15">
        <v>46238.434027777781</v>
      </c>
      <c r="L168" s="15"/>
      <c r="M168">
        <v>11</v>
      </c>
      <c r="O168" t="s">
        <v>1958</v>
      </c>
      <c r="S168" t="s">
        <v>355</v>
      </c>
      <c r="T168" t="s">
        <v>369</v>
      </c>
      <c r="U168" t="s">
        <v>239</v>
      </c>
      <c r="V168" t="s">
        <v>7</v>
      </c>
      <c r="W168" t="s">
        <v>7</v>
      </c>
      <c r="X168" t="s">
        <v>7</v>
      </c>
      <c r="Z168">
        <v>16</v>
      </c>
      <c r="AA168" t="s">
        <v>122</v>
      </c>
      <c r="AB168" t="s">
        <v>355</v>
      </c>
      <c r="AC168">
        <v>2200</v>
      </c>
      <c r="AD168" t="s">
        <v>232</v>
      </c>
      <c r="AE168">
        <v>176</v>
      </c>
    </row>
    <row r="169" spans="1:32" x14ac:dyDescent="0.3">
      <c r="A169" t="s">
        <v>348</v>
      </c>
      <c r="B169" t="s">
        <v>279</v>
      </c>
      <c r="C169" t="s">
        <v>197</v>
      </c>
      <c r="D169" t="s">
        <v>309</v>
      </c>
      <c r="E169" t="s">
        <v>1121</v>
      </c>
      <c r="F169" s="15">
        <v>46212.717303240737</v>
      </c>
      <c r="G169" t="s">
        <v>402</v>
      </c>
      <c r="H169">
        <v>24</v>
      </c>
      <c r="I169" t="s">
        <v>1122</v>
      </c>
      <c r="J169" s="15">
        <v>46231.477627314816</v>
      </c>
      <c r="K169" s="15">
        <v>46238.444444444445</v>
      </c>
      <c r="L169" s="15"/>
      <c r="M169">
        <v>24</v>
      </c>
      <c r="O169" t="s">
        <v>201</v>
      </c>
      <c r="P169" t="s">
        <v>1956</v>
      </c>
      <c r="S169" t="s">
        <v>355</v>
      </c>
      <c r="T169" t="s">
        <v>369</v>
      </c>
      <c r="U169" t="s">
        <v>239</v>
      </c>
      <c r="V169" t="s">
        <v>7</v>
      </c>
      <c r="W169" t="s">
        <v>7</v>
      </c>
      <c r="X169" t="s">
        <v>7</v>
      </c>
      <c r="Z169">
        <v>16</v>
      </c>
      <c r="AA169" t="s">
        <v>122</v>
      </c>
      <c r="AB169" t="s">
        <v>355</v>
      </c>
      <c r="AC169">
        <v>2200</v>
      </c>
      <c r="AD169" t="s">
        <v>232</v>
      </c>
      <c r="AE169">
        <v>384</v>
      </c>
    </row>
    <row r="170" spans="1:32" x14ac:dyDescent="0.3">
      <c r="A170" t="s">
        <v>348</v>
      </c>
      <c r="B170" t="s">
        <v>279</v>
      </c>
      <c r="C170" t="s">
        <v>197</v>
      </c>
      <c r="D170" t="s">
        <v>309</v>
      </c>
      <c r="E170" t="s">
        <v>1121</v>
      </c>
      <c r="F170" s="15">
        <v>46212.717303240737</v>
      </c>
      <c r="G170" t="s">
        <v>402</v>
      </c>
      <c r="H170">
        <v>14</v>
      </c>
      <c r="I170" t="s">
        <v>1122</v>
      </c>
      <c r="J170" s="15">
        <v>46231.477627314816</v>
      </c>
      <c r="K170" s="15">
        <v>46238.444444444445</v>
      </c>
      <c r="L170" s="15"/>
      <c r="M170">
        <v>14</v>
      </c>
      <c r="O170" t="s">
        <v>1958</v>
      </c>
      <c r="S170" t="s">
        <v>355</v>
      </c>
      <c r="T170" t="s">
        <v>369</v>
      </c>
      <c r="U170" t="s">
        <v>239</v>
      </c>
      <c r="V170" t="s">
        <v>7</v>
      </c>
      <c r="W170" t="s">
        <v>7</v>
      </c>
      <c r="X170" t="s">
        <v>7</v>
      </c>
      <c r="Z170">
        <v>16</v>
      </c>
      <c r="AA170" t="s">
        <v>122</v>
      </c>
      <c r="AB170" t="s">
        <v>355</v>
      </c>
      <c r="AC170">
        <v>2200</v>
      </c>
      <c r="AD170" t="s">
        <v>232</v>
      </c>
      <c r="AE170">
        <v>224</v>
      </c>
    </row>
    <row r="171" spans="1:32" x14ac:dyDescent="0.3">
      <c r="A171" t="s">
        <v>348</v>
      </c>
      <c r="B171" t="s">
        <v>279</v>
      </c>
      <c r="C171" t="s">
        <v>192</v>
      </c>
      <c r="D171" t="s">
        <v>309</v>
      </c>
      <c r="E171" t="s">
        <v>1134</v>
      </c>
      <c r="F171" s="15">
        <v>46223.623645833337</v>
      </c>
      <c r="G171" t="s">
        <v>402</v>
      </c>
      <c r="H171">
        <v>2</v>
      </c>
      <c r="I171" t="s">
        <v>1135</v>
      </c>
      <c r="J171" s="15">
        <v>46224.351388888892</v>
      </c>
      <c r="K171" s="15">
        <v>46227.68472222222</v>
      </c>
      <c r="L171" s="15">
        <v>46234.655555555553</v>
      </c>
      <c r="M171">
        <v>2</v>
      </c>
      <c r="O171" t="s">
        <v>201</v>
      </c>
      <c r="P171" t="s">
        <v>1956</v>
      </c>
      <c r="S171" t="s">
        <v>355</v>
      </c>
      <c r="T171" t="s">
        <v>369</v>
      </c>
      <c r="U171" t="s">
        <v>239</v>
      </c>
      <c r="V171" t="s">
        <v>7</v>
      </c>
      <c r="W171" t="s">
        <v>7</v>
      </c>
      <c r="X171" t="s">
        <v>7</v>
      </c>
      <c r="Z171">
        <v>1</v>
      </c>
      <c r="AA171" t="s">
        <v>122</v>
      </c>
      <c r="AB171" t="s">
        <v>355</v>
      </c>
      <c r="AC171">
        <v>2200</v>
      </c>
      <c r="AD171" t="s">
        <v>232</v>
      </c>
      <c r="AE171">
        <v>2</v>
      </c>
      <c r="AF171">
        <v>373.3</v>
      </c>
    </row>
    <row r="172" spans="1:32" x14ac:dyDescent="0.3">
      <c r="A172" t="s">
        <v>348</v>
      </c>
      <c r="B172" t="s">
        <v>279</v>
      </c>
      <c r="C172" t="s">
        <v>192</v>
      </c>
      <c r="D172" t="s">
        <v>309</v>
      </c>
      <c r="E172" t="s">
        <v>1134</v>
      </c>
      <c r="F172" s="15">
        <v>46223.623645833337</v>
      </c>
      <c r="G172" t="s">
        <v>402</v>
      </c>
      <c r="H172">
        <v>560</v>
      </c>
      <c r="I172" t="s">
        <v>1135</v>
      </c>
      <c r="J172" s="15">
        <v>46224.351388888892</v>
      </c>
      <c r="K172" s="15">
        <v>46227.68472222222</v>
      </c>
      <c r="L172" s="15">
        <v>46234.655555555553</v>
      </c>
      <c r="M172">
        <v>560</v>
      </c>
      <c r="O172" t="s">
        <v>1958</v>
      </c>
      <c r="S172" t="s">
        <v>355</v>
      </c>
      <c r="T172" t="s">
        <v>369</v>
      </c>
      <c r="U172" t="s">
        <v>239</v>
      </c>
      <c r="V172" t="s">
        <v>7</v>
      </c>
      <c r="W172" t="s">
        <v>7</v>
      </c>
      <c r="X172" t="s">
        <v>7</v>
      </c>
      <c r="Z172">
        <v>1</v>
      </c>
      <c r="AA172" t="s">
        <v>122</v>
      </c>
      <c r="AB172" t="s">
        <v>355</v>
      </c>
      <c r="AC172">
        <v>2200</v>
      </c>
      <c r="AD172" t="s">
        <v>232</v>
      </c>
      <c r="AE172">
        <v>560</v>
      </c>
    </row>
    <row r="173" spans="1:32" x14ac:dyDescent="0.3">
      <c r="A173" t="s">
        <v>348</v>
      </c>
      <c r="B173" t="s">
        <v>279</v>
      </c>
      <c r="C173" t="s">
        <v>192</v>
      </c>
      <c r="D173" t="s">
        <v>309</v>
      </c>
      <c r="E173" t="s">
        <v>1134</v>
      </c>
      <c r="F173" s="15">
        <v>46223.623645833337</v>
      </c>
      <c r="G173" t="s">
        <v>402</v>
      </c>
      <c r="H173">
        <v>3171</v>
      </c>
      <c r="I173" t="s">
        <v>1136</v>
      </c>
      <c r="J173" s="15">
        <v>46224.351388888892</v>
      </c>
      <c r="K173" s="15">
        <v>46227.68472222222</v>
      </c>
      <c r="L173" s="15"/>
      <c r="M173">
        <v>3171</v>
      </c>
      <c r="O173" t="s">
        <v>201</v>
      </c>
      <c r="P173" t="s">
        <v>1956</v>
      </c>
      <c r="S173" t="s">
        <v>355</v>
      </c>
      <c r="T173" t="s">
        <v>369</v>
      </c>
      <c r="U173" t="s">
        <v>239</v>
      </c>
      <c r="V173" t="s">
        <v>7</v>
      </c>
      <c r="W173" t="s">
        <v>7</v>
      </c>
      <c r="X173" t="s">
        <v>7</v>
      </c>
      <c r="Z173">
        <v>1</v>
      </c>
      <c r="AA173" t="s">
        <v>122</v>
      </c>
      <c r="AB173" t="s">
        <v>355</v>
      </c>
      <c r="AC173">
        <v>2200</v>
      </c>
      <c r="AD173" t="s">
        <v>232</v>
      </c>
      <c r="AE173">
        <v>3171</v>
      </c>
    </row>
    <row r="174" spans="1:32" x14ac:dyDescent="0.3">
      <c r="A174" t="s">
        <v>348</v>
      </c>
      <c r="B174" t="s">
        <v>63</v>
      </c>
      <c r="C174" t="s">
        <v>95</v>
      </c>
      <c r="D174" t="s">
        <v>309</v>
      </c>
      <c r="E174" t="s">
        <v>741</v>
      </c>
      <c r="F174" s="15">
        <v>46248.437847222223</v>
      </c>
      <c r="G174" t="s">
        <v>401</v>
      </c>
      <c r="H174">
        <v>1</v>
      </c>
      <c r="I174" t="s">
        <v>1095</v>
      </c>
      <c r="J174" s="15">
        <v>46248.662499999999</v>
      </c>
      <c r="K174" s="15">
        <v>46253.628472222219</v>
      </c>
      <c r="L174" s="15"/>
      <c r="M174">
        <v>1</v>
      </c>
      <c r="O174" t="s">
        <v>201</v>
      </c>
      <c r="P174" t="s">
        <v>1954</v>
      </c>
      <c r="S174" t="s">
        <v>357</v>
      </c>
      <c r="T174" t="s">
        <v>369</v>
      </c>
      <c r="U174" t="s">
        <v>239</v>
      </c>
      <c r="V174" t="s">
        <v>7</v>
      </c>
      <c r="W174" t="s">
        <v>7</v>
      </c>
      <c r="X174" t="s">
        <v>7</v>
      </c>
      <c r="AA174" t="s">
        <v>96</v>
      </c>
      <c r="AB174" t="s">
        <v>357</v>
      </c>
      <c r="AC174">
        <v>101</v>
      </c>
      <c r="AD174" t="s">
        <v>225</v>
      </c>
      <c r="AE174">
        <v>1</v>
      </c>
      <c r="AF174">
        <v>1</v>
      </c>
    </row>
    <row r="175" spans="1:32" x14ac:dyDescent="0.3">
      <c r="A175" t="s">
        <v>348</v>
      </c>
      <c r="B175" t="s">
        <v>63</v>
      </c>
      <c r="C175" t="s">
        <v>95</v>
      </c>
      <c r="D175" t="s">
        <v>309</v>
      </c>
      <c r="E175" t="s">
        <v>1096</v>
      </c>
      <c r="F175" s="15">
        <v>46239.634884259256</v>
      </c>
      <c r="G175" t="s">
        <v>401</v>
      </c>
      <c r="H175">
        <v>1</v>
      </c>
      <c r="I175" t="s">
        <v>1097</v>
      </c>
      <c r="J175" s="15">
        <v>46240.408333333333</v>
      </c>
      <c r="K175" s="15">
        <v>46246.645833333336</v>
      </c>
      <c r="L175" s="15"/>
      <c r="M175">
        <v>1</v>
      </c>
      <c r="O175" t="s">
        <v>201</v>
      </c>
      <c r="P175" t="s">
        <v>1954</v>
      </c>
      <c r="S175" t="s">
        <v>357</v>
      </c>
      <c r="T175" t="s">
        <v>369</v>
      </c>
      <c r="U175" t="s">
        <v>239</v>
      </c>
      <c r="V175" t="s">
        <v>7</v>
      </c>
      <c r="W175" t="s">
        <v>7</v>
      </c>
      <c r="X175" t="s">
        <v>7</v>
      </c>
      <c r="AA175" t="s">
        <v>96</v>
      </c>
      <c r="AB175" t="s">
        <v>357</v>
      </c>
      <c r="AC175">
        <v>101</v>
      </c>
      <c r="AD175" t="s">
        <v>225</v>
      </c>
      <c r="AE175">
        <v>1</v>
      </c>
      <c r="AF175">
        <v>1</v>
      </c>
    </row>
    <row r="176" spans="1:32" x14ac:dyDescent="0.3">
      <c r="A176" t="s">
        <v>348</v>
      </c>
      <c r="B176" t="s">
        <v>63</v>
      </c>
      <c r="C176" t="s">
        <v>95</v>
      </c>
      <c r="D176" t="s">
        <v>309</v>
      </c>
      <c r="E176" t="s">
        <v>1098</v>
      </c>
      <c r="F176" s="15">
        <v>46245.601261574076</v>
      </c>
      <c r="G176" t="s">
        <v>405</v>
      </c>
      <c r="H176">
        <v>1</v>
      </c>
      <c r="I176" t="s">
        <v>1099</v>
      </c>
      <c r="J176" s="15">
        <v>46246.638194444444</v>
      </c>
      <c r="K176" s="15">
        <v>46252.386805555558</v>
      </c>
      <c r="L176" s="15"/>
      <c r="M176">
        <v>1</v>
      </c>
      <c r="O176" t="s">
        <v>201</v>
      </c>
      <c r="P176" t="s">
        <v>1954</v>
      </c>
      <c r="S176" t="s">
        <v>355</v>
      </c>
      <c r="T176" t="s">
        <v>369</v>
      </c>
      <c r="U176" t="s">
        <v>239</v>
      </c>
      <c r="V176" t="s">
        <v>7</v>
      </c>
      <c r="W176" t="s">
        <v>7</v>
      </c>
      <c r="X176" t="s">
        <v>7</v>
      </c>
      <c r="AA176" t="s">
        <v>96</v>
      </c>
      <c r="AB176" t="s">
        <v>355</v>
      </c>
      <c r="AC176">
        <v>2200</v>
      </c>
      <c r="AD176" t="s">
        <v>225</v>
      </c>
      <c r="AE176">
        <v>1</v>
      </c>
      <c r="AF176">
        <v>1</v>
      </c>
    </row>
    <row r="177" spans="1:32" x14ac:dyDescent="0.3">
      <c r="A177" t="s">
        <v>348</v>
      </c>
      <c r="B177" t="s">
        <v>63</v>
      </c>
      <c r="C177" t="s">
        <v>95</v>
      </c>
      <c r="D177" t="s">
        <v>309</v>
      </c>
      <c r="E177" t="s">
        <v>1100</v>
      </c>
      <c r="F177" s="15">
        <v>46245.375648148147</v>
      </c>
      <c r="G177" t="s">
        <v>402</v>
      </c>
      <c r="H177">
        <v>5</v>
      </c>
      <c r="I177" t="s">
        <v>1101</v>
      </c>
      <c r="J177" s="15">
        <v>46246.395138888889</v>
      </c>
      <c r="K177" s="15">
        <v>46248.681250000001</v>
      </c>
      <c r="L177" s="15"/>
      <c r="M177">
        <v>5</v>
      </c>
      <c r="O177" t="s">
        <v>201</v>
      </c>
      <c r="P177" t="s">
        <v>1954</v>
      </c>
      <c r="S177" t="s">
        <v>355</v>
      </c>
      <c r="T177" t="s">
        <v>369</v>
      </c>
      <c r="U177" t="s">
        <v>239</v>
      </c>
      <c r="V177" t="s">
        <v>7</v>
      </c>
      <c r="W177" t="s">
        <v>7</v>
      </c>
      <c r="X177" t="s">
        <v>7</v>
      </c>
      <c r="AA177" t="s">
        <v>96</v>
      </c>
      <c r="AB177" t="s">
        <v>355</v>
      </c>
      <c r="AC177">
        <v>2200</v>
      </c>
      <c r="AD177" t="s">
        <v>225</v>
      </c>
      <c r="AE177">
        <v>5</v>
      </c>
      <c r="AF177">
        <v>1</v>
      </c>
    </row>
    <row r="178" spans="1:32" x14ac:dyDescent="0.3">
      <c r="A178" t="s">
        <v>348</v>
      </c>
      <c r="B178" t="s">
        <v>63</v>
      </c>
      <c r="C178" t="s">
        <v>95</v>
      </c>
      <c r="D178" t="s">
        <v>309</v>
      </c>
      <c r="E178" t="s">
        <v>1102</v>
      </c>
      <c r="F178" s="15">
        <v>46239.715613425928</v>
      </c>
      <c r="G178" t="s">
        <v>402</v>
      </c>
      <c r="H178">
        <v>3</v>
      </c>
      <c r="I178" t="s">
        <v>1103</v>
      </c>
      <c r="J178" s="15">
        <v>46241.71597222222</v>
      </c>
      <c r="K178" s="15">
        <v>46246.671527777777</v>
      </c>
      <c r="L178" s="15"/>
      <c r="M178">
        <v>3</v>
      </c>
      <c r="O178" t="s">
        <v>201</v>
      </c>
      <c r="P178" t="s">
        <v>1954</v>
      </c>
      <c r="S178" t="s">
        <v>355</v>
      </c>
      <c r="T178" t="s">
        <v>369</v>
      </c>
      <c r="U178" t="s">
        <v>239</v>
      </c>
      <c r="V178" t="s">
        <v>7</v>
      </c>
      <c r="W178" t="s">
        <v>7</v>
      </c>
      <c r="X178" t="s">
        <v>7</v>
      </c>
      <c r="AA178" t="s">
        <v>96</v>
      </c>
      <c r="AB178" t="s">
        <v>355</v>
      </c>
      <c r="AC178">
        <v>2200</v>
      </c>
      <c r="AD178" t="s">
        <v>225</v>
      </c>
      <c r="AE178">
        <v>3</v>
      </c>
      <c r="AF178">
        <v>1</v>
      </c>
    </row>
    <row r="179" spans="1:32" x14ac:dyDescent="0.3">
      <c r="A179" t="s">
        <v>348</v>
      </c>
      <c r="B179" t="s">
        <v>63</v>
      </c>
      <c r="C179" t="s">
        <v>95</v>
      </c>
      <c r="D179" t="s">
        <v>309</v>
      </c>
      <c r="E179" t="s">
        <v>1104</v>
      </c>
      <c r="F179" s="15">
        <v>46238.474398148152</v>
      </c>
      <c r="G179" t="s">
        <v>402</v>
      </c>
      <c r="H179">
        <v>1</v>
      </c>
      <c r="I179" t="s">
        <v>1105</v>
      </c>
      <c r="J179" s="15">
        <v>46238.659722222219</v>
      </c>
      <c r="K179" s="15">
        <v>46241.456944444442</v>
      </c>
      <c r="L179" s="15"/>
      <c r="M179">
        <v>1</v>
      </c>
      <c r="O179" t="s">
        <v>201</v>
      </c>
      <c r="P179" t="s">
        <v>1954</v>
      </c>
      <c r="S179" t="s">
        <v>355</v>
      </c>
      <c r="T179" t="s">
        <v>369</v>
      </c>
      <c r="U179" t="s">
        <v>239</v>
      </c>
      <c r="V179" t="s">
        <v>7</v>
      </c>
      <c r="W179" t="s">
        <v>7</v>
      </c>
      <c r="X179" t="s">
        <v>7</v>
      </c>
      <c r="AA179" t="s">
        <v>96</v>
      </c>
      <c r="AB179" t="s">
        <v>355</v>
      </c>
      <c r="AC179">
        <v>2200</v>
      </c>
      <c r="AD179" t="s">
        <v>225</v>
      </c>
      <c r="AE179">
        <v>1</v>
      </c>
      <c r="AF179">
        <v>1</v>
      </c>
    </row>
    <row r="180" spans="1:32" x14ac:dyDescent="0.3">
      <c r="A180" t="s">
        <v>348</v>
      </c>
      <c r="B180" t="s">
        <v>63</v>
      </c>
      <c r="C180" t="s">
        <v>95</v>
      </c>
      <c r="D180" t="s">
        <v>309</v>
      </c>
      <c r="E180" t="s">
        <v>1106</v>
      </c>
      <c r="F180" s="15">
        <v>46244.43917824074</v>
      </c>
      <c r="G180" t="s">
        <v>406</v>
      </c>
      <c r="H180">
        <v>1</v>
      </c>
      <c r="I180" t="s">
        <v>1107</v>
      </c>
      <c r="J180" s="15">
        <v>46245.671527777777</v>
      </c>
      <c r="K180" s="15">
        <v>46251.602083333331</v>
      </c>
      <c r="L180" s="15"/>
      <c r="M180">
        <v>1</v>
      </c>
      <c r="O180" t="s">
        <v>201</v>
      </c>
      <c r="P180" t="s">
        <v>1954</v>
      </c>
      <c r="S180" t="s">
        <v>354</v>
      </c>
      <c r="T180" t="s">
        <v>369</v>
      </c>
      <c r="U180" t="s">
        <v>239</v>
      </c>
      <c r="V180" t="s">
        <v>7</v>
      </c>
      <c r="W180" t="s">
        <v>7</v>
      </c>
      <c r="X180" t="s">
        <v>7</v>
      </c>
      <c r="AA180" t="s">
        <v>96</v>
      </c>
      <c r="AB180" t="s">
        <v>354</v>
      </c>
      <c r="AC180">
        <v>50</v>
      </c>
      <c r="AD180" t="s">
        <v>225</v>
      </c>
      <c r="AE180">
        <v>1</v>
      </c>
      <c r="AF180">
        <v>2.1</v>
      </c>
    </row>
    <row r="181" spans="1:32" x14ac:dyDescent="0.3">
      <c r="A181" t="s">
        <v>348</v>
      </c>
      <c r="B181" t="s">
        <v>63</v>
      </c>
      <c r="C181" t="s">
        <v>95</v>
      </c>
      <c r="D181" t="s">
        <v>309</v>
      </c>
      <c r="E181" t="s">
        <v>1106</v>
      </c>
      <c r="F181" s="15">
        <v>46244.43917824074</v>
      </c>
      <c r="G181" t="s">
        <v>406</v>
      </c>
      <c r="H181">
        <v>2</v>
      </c>
      <c r="I181" t="s">
        <v>1107</v>
      </c>
      <c r="J181" s="15">
        <v>46245.671527777777</v>
      </c>
      <c r="K181" s="15">
        <v>46251.602083333331</v>
      </c>
      <c r="L181" s="15"/>
      <c r="M181">
        <v>2</v>
      </c>
      <c r="O181" t="s">
        <v>1958</v>
      </c>
      <c r="S181" t="s">
        <v>354</v>
      </c>
      <c r="T181" t="s">
        <v>369</v>
      </c>
      <c r="U181" t="s">
        <v>239</v>
      </c>
      <c r="V181" t="s">
        <v>7</v>
      </c>
      <c r="W181" t="s">
        <v>7</v>
      </c>
      <c r="X181" t="s">
        <v>7</v>
      </c>
      <c r="AA181" t="s">
        <v>96</v>
      </c>
      <c r="AB181" t="s">
        <v>354</v>
      </c>
      <c r="AC181">
        <v>50</v>
      </c>
      <c r="AD181" t="s">
        <v>225</v>
      </c>
      <c r="AE181">
        <v>2</v>
      </c>
    </row>
    <row r="182" spans="1:32" x14ac:dyDescent="0.3">
      <c r="A182" t="s">
        <v>348</v>
      </c>
      <c r="B182" t="s">
        <v>63</v>
      </c>
      <c r="C182" t="s">
        <v>95</v>
      </c>
      <c r="D182" t="s">
        <v>309</v>
      </c>
      <c r="E182" t="s">
        <v>1106</v>
      </c>
      <c r="F182" s="15">
        <v>46244.43917824074</v>
      </c>
      <c r="G182" t="s">
        <v>406</v>
      </c>
      <c r="H182">
        <v>4</v>
      </c>
      <c r="I182" t="s">
        <v>1107</v>
      </c>
      <c r="J182" s="15">
        <v>46245.671527777777</v>
      </c>
      <c r="K182" s="15">
        <v>46251.602083333331</v>
      </c>
      <c r="L182" s="15"/>
      <c r="M182">
        <v>4</v>
      </c>
      <c r="O182" t="s">
        <v>1958</v>
      </c>
      <c r="S182" t="s">
        <v>354</v>
      </c>
      <c r="T182" t="s">
        <v>369</v>
      </c>
      <c r="U182" t="s">
        <v>239</v>
      </c>
      <c r="V182" t="s">
        <v>7</v>
      </c>
      <c r="W182" t="s">
        <v>7</v>
      </c>
      <c r="X182" t="s">
        <v>7</v>
      </c>
      <c r="AA182" t="s">
        <v>96</v>
      </c>
      <c r="AB182" t="s">
        <v>354</v>
      </c>
      <c r="AC182">
        <v>50</v>
      </c>
      <c r="AD182" t="s">
        <v>225</v>
      </c>
      <c r="AE182">
        <v>4</v>
      </c>
    </row>
    <row r="183" spans="1:32" x14ac:dyDescent="0.3">
      <c r="A183" t="s">
        <v>348</v>
      </c>
      <c r="B183" t="s">
        <v>63</v>
      </c>
      <c r="C183" t="s">
        <v>95</v>
      </c>
      <c r="D183" t="s">
        <v>309</v>
      </c>
      <c r="E183" t="s">
        <v>1106</v>
      </c>
      <c r="F183" s="15">
        <v>46244.43917824074</v>
      </c>
      <c r="G183" t="s">
        <v>406</v>
      </c>
      <c r="H183">
        <v>1</v>
      </c>
      <c r="I183" t="s">
        <v>1107</v>
      </c>
      <c r="J183" s="15">
        <v>46245.671527777777</v>
      </c>
      <c r="K183" s="15">
        <v>46251.602083333331</v>
      </c>
      <c r="L183" s="15"/>
      <c r="M183">
        <v>1</v>
      </c>
      <c r="O183" t="s">
        <v>1958</v>
      </c>
      <c r="S183" t="s">
        <v>354</v>
      </c>
      <c r="T183" t="s">
        <v>369</v>
      </c>
      <c r="U183" t="s">
        <v>239</v>
      </c>
      <c r="V183" t="s">
        <v>7</v>
      </c>
      <c r="W183" t="s">
        <v>7</v>
      </c>
      <c r="X183" t="s">
        <v>7</v>
      </c>
      <c r="AA183" t="s">
        <v>96</v>
      </c>
      <c r="AB183" t="s">
        <v>354</v>
      </c>
      <c r="AC183">
        <v>50</v>
      </c>
      <c r="AD183" t="s">
        <v>225</v>
      </c>
      <c r="AE183">
        <v>1</v>
      </c>
    </row>
    <row r="184" spans="1:32" x14ac:dyDescent="0.3">
      <c r="A184" t="s">
        <v>348</v>
      </c>
      <c r="B184" t="s">
        <v>63</v>
      </c>
      <c r="C184" t="s">
        <v>95</v>
      </c>
      <c r="D184" t="s">
        <v>309</v>
      </c>
      <c r="E184" t="s">
        <v>1106</v>
      </c>
      <c r="F184" s="15">
        <v>46244.43917824074</v>
      </c>
      <c r="G184" t="s">
        <v>406</v>
      </c>
      <c r="H184">
        <v>3</v>
      </c>
      <c r="I184" t="s">
        <v>1107</v>
      </c>
      <c r="J184" s="15">
        <v>46245.671527777777</v>
      </c>
      <c r="K184" s="15">
        <v>46251.602083333331</v>
      </c>
      <c r="L184" s="15"/>
      <c r="M184">
        <v>3</v>
      </c>
      <c r="O184" t="s">
        <v>1958</v>
      </c>
      <c r="S184" t="s">
        <v>354</v>
      </c>
      <c r="T184" t="s">
        <v>369</v>
      </c>
      <c r="U184" t="s">
        <v>239</v>
      </c>
      <c r="V184" t="s">
        <v>7</v>
      </c>
      <c r="W184" t="s">
        <v>7</v>
      </c>
      <c r="X184" t="s">
        <v>7</v>
      </c>
      <c r="AA184" t="s">
        <v>96</v>
      </c>
      <c r="AB184" t="s">
        <v>354</v>
      </c>
      <c r="AC184">
        <v>50</v>
      </c>
      <c r="AD184" t="s">
        <v>225</v>
      </c>
      <c r="AE184">
        <v>3</v>
      </c>
    </row>
    <row r="185" spans="1:32" x14ac:dyDescent="0.3">
      <c r="A185" t="s">
        <v>348</v>
      </c>
      <c r="B185" t="s">
        <v>63</v>
      </c>
      <c r="C185" t="s">
        <v>95</v>
      </c>
      <c r="D185" t="s">
        <v>309</v>
      </c>
      <c r="E185" t="s">
        <v>1106</v>
      </c>
      <c r="F185" s="15">
        <v>46244.43917824074</v>
      </c>
      <c r="G185" t="s">
        <v>406</v>
      </c>
      <c r="H185">
        <v>4</v>
      </c>
      <c r="I185" t="s">
        <v>1107</v>
      </c>
      <c r="J185" s="15">
        <v>46245.671527777777</v>
      </c>
      <c r="K185" s="15">
        <v>46251.602083333331</v>
      </c>
      <c r="L185" s="15"/>
      <c r="M185">
        <v>4</v>
      </c>
      <c r="O185" t="s">
        <v>1958</v>
      </c>
      <c r="S185" t="s">
        <v>354</v>
      </c>
      <c r="T185" t="s">
        <v>369</v>
      </c>
      <c r="U185" t="s">
        <v>239</v>
      </c>
      <c r="V185" t="s">
        <v>7</v>
      </c>
      <c r="W185" t="s">
        <v>7</v>
      </c>
      <c r="X185" t="s">
        <v>7</v>
      </c>
      <c r="AA185" t="s">
        <v>96</v>
      </c>
      <c r="AB185" t="s">
        <v>354</v>
      </c>
      <c r="AC185">
        <v>50</v>
      </c>
      <c r="AD185" t="s">
        <v>225</v>
      </c>
      <c r="AE185">
        <v>4</v>
      </c>
    </row>
    <row r="186" spans="1:32" x14ac:dyDescent="0.3">
      <c r="A186" t="s">
        <v>348</v>
      </c>
      <c r="B186" t="s">
        <v>63</v>
      </c>
      <c r="C186" t="s">
        <v>95</v>
      </c>
      <c r="D186" t="s">
        <v>309</v>
      </c>
      <c r="E186" t="s">
        <v>1106</v>
      </c>
      <c r="F186" s="15">
        <v>46244.43917824074</v>
      </c>
      <c r="G186" t="s">
        <v>406</v>
      </c>
      <c r="H186">
        <v>2</v>
      </c>
      <c r="I186" t="s">
        <v>1107</v>
      </c>
      <c r="J186" s="15">
        <v>46245.671527777777</v>
      </c>
      <c r="K186" s="15">
        <v>46251.602083333331</v>
      </c>
      <c r="L186" s="15"/>
      <c r="M186">
        <v>2</v>
      </c>
      <c r="O186" t="s">
        <v>1958</v>
      </c>
      <c r="S186" t="s">
        <v>354</v>
      </c>
      <c r="T186" t="s">
        <v>369</v>
      </c>
      <c r="U186" t="s">
        <v>239</v>
      </c>
      <c r="V186" t="s">
        <v>7</v>
      </c>
      <c r="W186" t="s">
        <v>7</v>
      </c>
      <c r="X186" t="s">
        <v>7</v>
      </c>
      <c r="AA186" t="s">
        <v>96</v>
      </c>
      <c r="AB186" t="s">
        <v>354</v>
      </c>
      <c r="AC186">
        <v>50</v>
      </c>
      <c r="AD186" t="s">
        <v>225</v>
      </c>
      <c r="AE186">
        <v>2</v>
      </c>
    </row>
    <row r="187" spans="1:32" x14ac:dyDescent="0.3">
      <c r="A187" t="s">
        <v>348</v>
      </c>
      <c r="B187" t="s">
        <v>63</v>
      </c>
      <c r="C187" t="s">
        <v>95</v>
      </c>
      <c r="D187" t="s">
        <v>309</v>
      </c>
      <c r="E187" t="s">
        <v>1106</v>
      </c>
      <c r="F187" s="15">
        <v>46244.43917824074</v>
      </c>
      <c r="G187" t="s">
        <v>406</v>
      </c>
      <c r="H187">
        <v>2</v>
      </c>
      <c r="I187" t="s">
        <v>1107</v>
      </c>
      <c r="J187" s="15">
        <v>46245.671527777777</v>
      </c>
      <c r="K187" s="15">
        <v>46251.602083333331</v>
      </c>
      <c r="L187" s="15"/>
      <c r="M187">
        <v>2</v>
      </c>
      <c r="O187" t="s">
        <v>1958</v>
      </c>
      <c r="S187" t="s">
        <v>354</v>
      </c>
      <c r="T187" t="s">
        <v>369</v>
      </c>
      <c r="U187" t="s">
        <v>239</v>
      </c>
      <c r="V187" t="s">
        <v>7</v>
      </c>
      <c r="W187" t="s">
        <v>7</v>
      </c>
      <c r="X187" t="s">
        <v>7</v>
      </c>
      <c r="AA187" t="s">
        <v>96</v>
      </c>
      <c r="AB187" t="s">
        <v>354</v>
      </c>
      <c r="AC187">
        <v>50</v>
      </c>
      <c r="AD187" t="s">
        <v>225</v>
      </c>
      <c r="AE187">
        <v>2</v>
      </c>
    </row>
    <row r="188" spans="1:32" x14ac:dyDescent="0.3">
      <c r="A188" t="s">
        <v>348</v>
      </c>
      <c r="B188" t="s">
        <v>63</v>
      </c>
      <c r="C188" t="s">
        <v>95</v>
      </c>
      <c r="D188" t="s">
        <v>309</v>
      </c>
      <c r="E188" t="s">
        <v>1106</v>
      </c>
      <c r="F188" s="15">
        <v>46244.43917824074</v>
      </c>
      <c r="G188" t="s">
        <v>406</v>
      </c>
      <c r="H188">
        <v>2</v>
      </c>
      <c r="I188" t="s">
        <v>1107</v>
      </c>
      <c r="J188" s="15">
        <v>46245.671527777777</v>
      </c>
      <c r="K188" s="15">
        <v>46251.602083333331</v>
      </c>
      <c r="L188" s="15"/>
      <c r="M188">
        <v>2</v>
      </c>
      <c r="O188" t="s">
        <v>1958</v>
      </c>
      <c r="S188" t="s">
        <v>354</v>
      </c>
      <c r="T188" t="s">
        <v>369</v>
      </c>
      <c r="U188" t="s">
        <v>239</v>
      </c>
      <c r="V188" t="s">
        <v>7</v>
      </c>
      <c r="W188" t="s">
        <v>7</v>
      </c>
      <c r="X188" t="s">
        <v>7</v>
      </c>
      <c r="AA188" t="s">
        <v>96</v>
      </c>
      <c r="AB188" t="s">
        <v>354</v>
      </c>
      <c r="AC188">
        <v>50</v>
      </c>
      <c r="AD188" t="s">
        <v>225</v>
      </c>
      <c r="AE188">
        <v>2</v>
      </c>
    </row>
    <row r="189" spans="1:32" x14ac:dyDescent="0.3">
      <c r="A189" t="s">
        <v>348</v>
      </c>
      <c r="B189" t="s">
        <v>63</v>
      </c>
      <c r="C189" t="s">
        <v>95</v>
      </c>
      <c r="D189" t="s">
        <v>309</v>
      </c>
      <c r="E189" t="s">
        <v>1108</v>
      </c>
      <c r="F189" s="15">
        <v>46244.468541666669</v>
      </c>
      <c r="G189" t="s">
        <v>399</v>
      </c>
      <c r="H189">
        <v>1</v>
      </c>
      <c r="I189" t="s">
        <v>1109</v>
      </c>
      <c r="J189" s="15">
        <v>46244.694444444445</v>
      </c>
      <c r="K189" s="15">
        <v>46248.702777777777</v>
      </c>
      <c r="L189" s="15"/>
      <c r="M189">
        <v>1</v>
      </c>
      <c r="O189" t="s">
        <v>201</v>
      </c>
      <c r="P189" t="s">
        <v>1954</v>
      </c>
      <c r="S189" t="s">
        <v>354</v>
      </c>
      <c r="T189" t="s">
        <v>369</v>
      </c>
      <c r="U189" t="s">
        <v>239</v>
      </c>
      <c r="V189" t="s">
        <v>7</v>
      </c>
      <c r="W189" t="s">
        <v>7</v>
      </c>
      <c r="X189" t="s">
        <v>7</v>
      </c>
      <c r="AA189" t="s">
        <v>96</v>
      </c>
      <c r="AB189" t="s">
        <v>354</v>
      </c>
      <c r="AC189">
        <v>50</v>
      </c>
      <c r="AD189" t="s">
        <v>225</v>
      </c>
      <c r="AE189">
        <v>1</v>
      </c>
      <c r="AF189">
        <v>1</v>
      </c>
    </row>
    <row r="190" spans="1:32" x14ac:dyDescent="0.3">
      <c r="A190" t="s">
        <v>348</v>
      </c>
      <c r="B190" t="s">
        <v>63</v>
      </c>
      <c r="C190" t="s">
        <v>95</v>
      </c>
      <c r="D190" t="s">
        <v>309</v>
      </c>
      <c r="E190" t="s">
        <v>1110</v>
      </c>
      <c r="F190" s="15">
        <v>46244.466851851852</v>
      </c>
      <c r="G190" t="s">
        <v>399</v>
      </c>
      <c r="H190">
        <v>1</v>
      </c>
      <c r="I190" t="s">
        <v>1111</v>
      </c>
      <c r="J190" s="15">
        <v>46247.593055555553</v>
      </c>
      <c r="K190" s="15">
        <v>46252.873611111114</v>
      </c>
      <c r="L190" s="15"/>
      <c r="M190">
        <v>1</v>
      </c>
      <c r="O190" t="s">
        <v>201</v>
      </c>
      <c r="P190" t="s">
        <v>1954</v>
      </c>
      <c r="S190" t="s">
        <v>354</v>
      </c>
      <c r="T190" t="s">
        <v>369</v>
      </c>
      <c r="U190" t="s">
        <v>239</v>
      </c>
      <c r="V190" t="s">
        <v>7</v>
      </c>
      <c r="W190" t="s">
        <v>7</v>
      </c>
      <c r="X190" t="s">
        <v>7</v>
      </c>
      <c r="AA190" t="s">
        <v>96</v>
      </c>
      <c r="AB190" t="s">
        <v>354</v>
      </c>
      <c r="AC190">
        <v>50</v>
      </c>
      <c r="AD190" t="s">
        <v>225</v>
      </c>
      <c r="AE190">
        <v>1</v>
      </c>
      <c r="AF190">
        <v>1</v>
      </c>
    </row>
    <row r="191" spans="1:32" x14ac:dyDescent="0.3">
      <c r="A191" t="s">
        <v>348</v>
      </c>
      <c r="B191" t="s">
        <v>63</v>
      </c>
      <c r="C191" t="s">
        <v>95</v>
      </c>
      <c r="D191" t="s">
        <v>309</v>
      </c>
      <c r="E191" t="s">
        <v>1112</v>
      </c>
      <c r="F191" s="15">
        <v>46241.40283564815</v>
      </c>
      <c r="G191" t="s">
        <v>742</v>
      </c>
      <c r="H191">
        <v>1</v>
      </c>
      <c r="I191" t="s">
        <v>1113</v>
      </c>
      <c r="J191" s="15">
        <v>46241.429861111108</v>
      </c>
      <c r="K191" s="15">
        <v>46246.593055555553</v>
      </c>
      <c r="L191" s="15"/>
      <c r="M191">
        <v>1</v>
      </c>
      <c r="O191" t="s">
        <v>201</v>
      </c>
      <c r="P191" t="s">
        <v>1954</v>
      </c>
      <c r="S191" t="s">
        <v>356</v>
      </c>
      <c r="T191" t="s">
        <v>369</v>
      </c>
      <c r="U191" t="s">
        <v>239</v>
      </c>
      <c r="V191" t="s">
        <v>7</v>
      </c>
      <c r="W191" t="s">
        <v>7</v>
      </c>
      <c r="X191" t="s">
        <v>7</v>
      </c>
      <c r="AA191" t="s">
        <v>96</v>
      </c>
      <c r="AB191" t="s">
        <v>356</v>
      </c>
      <c r="AC191">
        <v>109</v>
      </c>
      <c r="AD191" t="s">
        <v>225</v>
      </c>
      <c r="AE191">
        <v>1</v>
      </c>
      <c r="AF191">
        <v>1</v>
      </c>
    </row>
    <row r="192" spans="1:32" x14ac:dyDescent="0.3">
      <c r="A192" t="s">
        <v>348</v>
      </c>
      <c r="B192" t="s">
        <v>63</v>
      </c>
      <c r="C192" t="s">
        <v>95</v>
      </c>
      <c r="D192" t="s">
        <v>309</v>
      </c>
      <c r="E192" t="s">
        <v>1114</v>
      </c>
      <c r="F192" s="15">
        <v>46202.512337962966</v>
      </c>
      <c r="G192" t="s">
        <v>419</v>
      </c>
      <c r="H192">
        <v>2</v>
      </c>
      <c r="I192" t="s">
        <v>1115</v>
      </c>
      <c r="J192" s="15">
        <v>46241.424259259256</v>
      </c>
      <c r="K192" s="15">
        <v>46248.483460648145</v>
      </c>
      <c r="L192" s="15"/>
      <c r="M192">
        <v>2</v>
      </c>
      <c r="O192" t="s">
        <v>201</v>
      </c>
      <c r="P192" t="s">
        <v>1954</v>
      </c>
      <c r="S192" t="s">
        <v>356</v>
      </c>
      <c r="T192" t="s">
        <v>369</v>
      </c>
      <c r="U192" t="s">
        <v>239</v>
      </c>
      <c r="V192" t="s">
        <v>7</v>
      </c>
      <c r="W192" t="s">
        <v>7</v>
      </c>
      <c r="X192" t="s">
        <v>7</v>
      </c>
      <c r="AA192" t="s">
        <v>96</v>
      </c>
      <c r="AB192" t="s">
        <v>356</v>
      </c>
      <c r="AC192">
        <v>109</v>
      </c>
      <c r="AD192" t="s">
        <v>225</v>
      </c>
      <c r="AE192">
        <v>2</v>
      </c>
      <c r="AF192">
        <v>1</v>
      </c>
    </row>
    <row r="193" spans="1:32" x14ac:dyDescent="0.3">
      <c r="A193" t="s">
        <v>348</v>
      </c>
      <c r="B193" t="s">
        <v>63</v>
      </c>
      <c r="C193" t="s">
        <v>95</v>
      </c>
      <c r="D193" t="s">
        <v>309</v>
      </c>
      <c r="E193" t="s">
        <v>1116</v>
      </c>
      <c r="F193" s="15">
        <v>46230.40084490741</v>
      </c>
      <c r="G193" t="s">
        <v>1117</v>
      </c>
      <c r="H193">
        <v>6</v>
      </c>
      <c r="I193" t="s">
        <v>1118</v>
      </c>
      <c r="J193" s="15">
        <v>46233.454386574071</v>
      </c>
      <c r="K193" s="15">
        <v>46238.481249999997</v>
      </c>
      <c r="L193" s="15"/>
      <c r="M193">
        <v>6</v>
      </c>
      <c r="O193" t="s">
        <v>201</v>
      </c>
      <c r="P193" t="s">
        <v>1954</v>
      </c>
      <c r="S193" t="s">
        <v>356</v>
      </c>
      <c r="T193" t="s">
        <v>369</v>
      </c>
      <c r="U193" t="s">
        <v>239</v>
      </c>
      <c r="V193" t="s">
        <v>7</v>
      </c>
      <c r="W193" t="s">
        <v>7</v>
      </c>
      <c r="X193" t="s">
        <v>7</v>
      </c>
      <c r="AA193" t="s">
        <v>96</v>
      </c>
      <c r="AB193" t="s">
        <v>356</v>
      </c>
      <c r="AC193">
        <v>109</v>
      </c>
      <c r="AD193" t="s">
        <v>225</v>
      </c>
      <c r="AE193">
        <v>6</v>
      </c>
      <c r="AF193">
        <v>5</v>
      </c>
    </row>
    <row r="194" spans="1:32" x14ac:dyDescent="0.3">
      <c r="A194" t="s">
        <v>348</v>
      </c>
      <c r="B194" t="s">
        <v>63</v>
      </c>
      <c r="C194" t="s">
        <v>95</v>
      </c>
      <c r="D194" t="s">
        <v>309</v>
      </c>
      <c r="E194" t="s">
        <v>1116</v>
      </c>
      <c r="F194" s="15">
        <v>46230.40084490741</v>
      </c>
      <c r="G194" t="s">
        <v>1117</v>
      </c>
      <c r="H194">
        <v>4</v>
      </c>
      <c r="I194" t="s">
        <v>1118</v>
      </c>
      <c r="J194" s="15">
        <v>46233.454386574071</v>
      </c>
      <c r="K194" s="15">
        <v>46238.481249999997</v>
      </c>
      <c r="L194" s="15"/>
      <c r="M194">
        <v>4</v>
      </c>
      <c r="O194" t="s">
        <v>1958</v>
      </c>
      <c r="S194" t="s">
        <v>356</v>
      </c>
      <c r="T194" t="s">
        <v>369</v>
      </c>
      <c r="U194" t="s">
        <v>239</v>
      </c>
      <c r="V194" t="s">
        <v>7</v>
      </c>
      <c r="W194" t="s">
        <v>7</v>
      </c>
      <c r="X194" t="s">
        <v>7</v>
      </c>
      <c r="AA194" t="s">
        <v>96</v>
      </c>
      <c r="AB194" t="s">
        <v>356</v>
      </c>
      <c r="AC194">
        <v>109</v>
      </c>
      <c r="AD194" t="s">
        <v>225</v>
      </c>
      <c r="AE194">
        <v>4</v>
      </c>
    </row>
    <row r="195" spans="1:32" x14ac:dyDescent="0.3">
      <c r="A195" t="s">
        <v>348</v>
      </c>
      <c r="B195" t="s">
        <v>63</v>
      </c>
      <c r="C195" t="s">
        <v>95</v>
      </c>
      <c r="D195" t="s">
        <v>309</v>
      </c>
      <c r="E195" t="s">
        <v>1116</v>
      </c>
      <c r="F195" s="15">
        <v>46230.40084490741</v>
      </c>
      <c r="G195" t="s">
        <v>1117</v>
      </c>
      <c r="H195">
        <v>5</v>
      </c>
      <c r="I195" t="s">
        <v>1118</v>
      </c>
      <c r="J195" s="15">
        <v>46233.454386574071</v>
      </c>
      <c r="K195" s="15">
        <v>46238.481249999997</v>
      </c>
      <c r="L195" s="15"/>
      <c r="M195">
        <v>5</v>
      </c>
      <c r="O195" t="s">
        <v>1958</v>
      </c>
      <c r="S195" t="s">
        <v>356</v>
      </c>
      <c r="T195" t="s">
        <v>369</v>
      </c>
      <c r="U195" t="s">
        <v>239</v>
      </c>
      <c r="V195" t="s">
        <v>7</v>
      </c>
      <c r="W195" t="s">
        <v>7</v>
      </c>
      <c r="X195" t="s">
        <v>7</v>
      </c>
      <c r="AA195" t="s">
        <v>96</v>
      </c>
      <c r="AB195" t="s">
        <v>356</v>
      </c>
      <c r="AC195">
        <v>109</v>
      </c>
      <c r="AD195" t="s">
        <v>225</v>
      </c>
      <c r="AE195">
        <v>5</v>
      </c>
    </row>
    <row r="196" spans="1:32" x14ac:dyDescent="0.3">
      <c r="A196" t="s">
        <v>348</v>
      </c>
      <c r="B196" t="s">
        <v>63</v>
      </c>
      <c r="C196" t="s">
        <v>95</v>
      </c>
      <c r="D196" t="s">
        <v>309</v>
      </c>
      <c r="E196" t="s">
        <v>1116</v>
      </c>
      <c r="F196" s="15">
        <v>46230.40084490741</v>
      </c>
      <c r="G196" t="s">
        <v>1117</v>
      </c>
      <c r="H196">
        <v>5</v>
      </c>
      <c r="I196" t="s">
        <v>1118</v>
      </c>
      <c r="J196" s="15">
        <v>46233.454386574071</v>
      </c>
      <c r="K196" s="15">
        <v>46238.481249999997</v>
      </c>
      <c r="L196" s="15"/>
      <c r="M196">
        <v>5</v>
      </c>
      <c r="O196" t="s">
        <v>1958</v>
      </c>
      <c r="S196" t="s">
        <v>356</v>
      </c>
      <c r="T196" t="s">
        <v>369</v>
      </c>
      <c r="U196" t="s">
        <v>239</v>
      </c>
      <c r="V196" t="s">
        <v>7</v>
      </c>
      <c r="W196" t="s">
        <v>7</v>
      </c>
      <c r="X196" t="s">
        <v>7</v>
      </c>
      <c r="AA196" t="s">
        <v>96</v>
      </c>
      <c r="AB196" t="s">
        <v>356</v>
      </c>
      <c r="AC196">
        <v>109</v>
      </c>
      <c r="AD196" t="s">
        <v>225</v>
      </c>
      <c r="AE196">
        <v>5</v>
      </c>
    </row>
    <row r="197" spans="1:32" x14ac:dyDescent="0.3">
      <c r="A197" t="s">
        <v>348</v>
      </c>
      <c r="B197" t="s">
        <v>63</v>
      </c>
      <c r="C197" t="s">
        <v>95</v>
      </c>
      <c r="D197" t="s">
        <v>309</v>
      </c>
      <c r="E197" t="s">
        <v>1116</v>
      </c>
      <c r="F197" s="15">
        <v>46230.40084490741</v>
      </c>
      <c r="G197" t="s">
        <v>1117</v>
      </c>
      <c r="H197">
        <v>6</v>
      </c>
      <c r="I197" t="s">
        <v>1118</v>
      </c>
      <c r="J197" s="15">
        <v>46233.454386574071</v>
      </c>
      <c r="K197" s="15">
        <v>46238.481249999997</v>
      </c>
      <c r="L197" s="15"/>
      <c r="M197">
        <v>6</v>
      </c>
      <c r="O197" t="s">
        <v>1958</v>
      </c>
      <c r="S197" t="s">
        <v>356</v>
      </c>
      <c r="T197" t="s">
        <v>369</v>
      </c>
      <c r="U197" t="s">
        <v>239</v>
      </c>
      <c r="V197" t="s">
        <v>7</v>
      </c>
      <c r="W197" t="s">
        <v>7</v>
      </c>
      <c r="X197" t="s">
        <v>7</v>
      </c>
      <c r="AA197" t="s">
        <v>96</v>
      </c>
      <c r="AB197" t="s">
        <v>356</v>
      </c>
      <c r="AC197">
        <v>109</v>
      </c>
      <c r="AD197" t="s">
        <v>225</v>
      </c>
      <c r="AE197">
        <v>6</v>
      </c>
    </row>
    <row r="198" spans="1:32" x14ac:dyDescent="0.3">
      <c r="A198" t="s">
        <v>348</v>
      </c>
      <c r="B198" t="s">
        <v>63</v>
      </c>
      <c r="C198" t="s">
        <v>95</v>
      </c>
      <c r="D198" t="s">
        <v>309</v>
      </c>
      <c r="E198" t="s">
        <v>1116</v>
      </c>
      <c r="F198" s="15">
        <v>46230.40084490741</v>
      </c>
      <c r="G198" t="s">
        <v>1117</v>
      </c>
      <c r="H198">
        <v>4</v>
      </c>
      <c r="I198" t="s">
        <v>1118</v>
      </c>
      <c r="J198" s="15">
        <v>46233.454386574071</v>
      </c>
      <c r="K198" s="15">
        <v>46238.481249999997</v>
      </c>
      <c r="L198" s="15"/>
      <c r="M198">
        <v>4</v>
      </c>
      <c r="O198" t="s">
        <v>1958</v>
      </c>
      <c r="S198" t="s">
        <v>356</v>
      </c>
      <c r="T198" t="s">
        <v>369</v>
      </c>
      <c r="U198" t="s">
        <v>239</v>
      </c>
      <c r="V198" t="s">
        <v>7</v>
      </c>
      <c r="W198" t="s">
        <v>7</v>
      </c>
      <c r="X198" t="s">
        <v>7</v>
      </c>
      <c r="AA198" t="s">
        <v>96</v>
      </c>
      <c r="AB198" t="s">
        <v>356</v>
      </c>
      <c r="AC198">
        <v>109</v>
      </c>
      <c r="AD198" t="s">
        <v>225</v>
      </c>
      <c r="AE198">
        <v>4</v>
      </c>
    </row>
    <row r="199" spans="1:32" x14ac:dyDescent="0.3">
      <c r="A199" t="s">
        <v>348</v>
      </c>
      <c r="B199" t="s">
        <v>63</v>
      </c>
      <c r="C199" t="s">
        <v>95</v>
      </c>
      <c r="D199" t="s">
        <v>309</v>
      </c>
      <c r="E199" t="s">
        <v>1116</v>
      </c>
      <c r="F199" s="15">
        <v>46230.40084490741</v>
      </c>
      <c r="G199" t="s">
        <v>1117</v>
      </c>
      <c r="H199">
        <v>6</v>
      </c>
      <c r="I199" t="s">
        <v>1118</v>
      </c>
      <c r="J199" s="15">
        <v>46233.454386574071</v>
      </c>
      <c r="K199" s="15">
        <v>46238.481249999997</v>
      </c>
      <c r="L199" s="15"/>
      <c r="M199">
        <v>6</v>
      </c>
      <c r="O199" t="s">
        <v>1958</v>
      </c>
      <c r="S199" t="s">
        <v>356</v>
      </c>
      <c r="T199" t="s">
        <v>369</v>
      </c>
      <c r="U199" t="s">
        <v>239</v>
      </c>
      <c r="V199" t="s">
        <v>7</v>
      </c>
      <c r="W199" t="s">
        <v>7</v>
      </c>
      <c r="X199" t="s">
        <v>7</v>
      </c>
      <c r="AA199" t="s">
        <v>96</v>
      </c>
      <c r="AB199" t="s">
        <v>356</v>
      </c>
      <c r="AC199">
        <v>109</v>
      </c>
      <c r="AD199" t="s">
        <v>225</v>
      </c>
      <c r="AE199">
        <v>6</v>
      </c>
    </row>
    <row r="200" spans="1:32" x14ac:dyDescent="0.3">
      <c r="A200" t="s">
        <v>348</v>
      </c>
      <c r="B200" t="s">
        <v>63</v>
      </c>
      <c r="C200" t="s">
        <v>95</v>
      </c>
      <c r="D200" t="s">
        <v>309</v>
      </c>
      <c r="E200" t="s">
        <v>1116</v>
      </c>
      <c r="F200" s="15">
        <v>46230.40084490741</v>
      </c>
      <c r="G200" t="s">
        <v>1117</v>
      </c>
      <c r="H200">
        <v>3</v>
      </c>
      <c r="I200" t="s">
        <v>1118</v>
      </c>
      <c r="J200" s="15">
        <v>46233.454386574071</v>
      </c>
      <c r="K200" s="15">
        <v>46238.481249999997</v>
      </c>
      <c r="L200" s="15"/>
      <c r="M200">
        <v>3</v>
      </c>
      <c r="O200" t="s">
        <v>1958</v>
      </c>
      <c r="S200" t="s">
        <v>356</v>
      </c>
      <c r="T200" t="s">
        <v>369</v>
      </c>
      <c r="U200" t="s">
        <v>239</v>
      </c>
      <c r="V200" t="s">
        <v>7</v>
      </c>
      <c r="W200" t="s">
        <v>7</v>
      </c>
      <c r="X200" t="s">
        <v>7</v>
      </c>
      <c r="AA200" t="s">
        <v>96</v>
      </c>
      <c r="AB200" t="s">
        <v>356</v>
      </c>
      <c r="AC200">
        <v>109</v>
      </c>
      <c r="AD200" t="s">
        <v>225</v>
      </c>
      <c r="AE200">
        <v>3</v>
      </c>
    </row>
    <row r="201" spans="1:32" x14ac:dyDescent="0.3">
      <c r="A201" t="s">
        <v>348</v>
      </c>
      <c r="B201" t="s">
        <v>63</v>
      </c>
      <c r="C201" t="s">
        <v>95</v>
      </c>
      <c r="D201" t="s">
        <v>309</v>
      </c>
      <c r="E201" t="s">
        <v>1116</v>
      </c>
      <c r="F201" s="15">
        <v>46230.40084490741</v>
      </c>
      <c r="G201" t="s">
        <v>1117</v>
      </c>
      <c r="H201">
        <v>5</v>
      </c>
      <c r="I201" t="s">
        <v>1118</v>
      </c>
      <c r="J201" s="15">
        <v>46233.454386574071</v>
      </c>
      <c r="K201" s="15">
        <v>46238.481249999997</v>
      </c>
      <c r="L201" s="15"/>
      <c r="M201">
        <v>5</v>
      </c>
      <c r="O201" t="s">
        <v>1958</v>
      </c>
      <c r="S201" t="s">
        <v>356</v>
      </c>
      <c r="T201" t="s">
        <v>369</v>
      </c>
      <c r="U201" t="s">
        <v>239</v>
      </c>
      <c r="V201" t="s">
        <v>7</v>
      </c>
      <c r="W201" t="s">
        <v>7</v>
      </c>
      <c r="X201" t="s">
        <v>7</v>
      </c>
      <c r="AA201" t="s">
        <v>96</v>
      </c>
      <c r="AB201" t="s">
        <v>356</v>
      </c>
      <c r="AC201">
        <v>109</v>
      </c>
      <c r="AD201" t="s">
        <v>225</v>
      </c>
      <c r="AE201">
        <v>5</v>
      </c>
    </row>
    <row r="202" spans="1:32" x14ac:dyDescent="0.3">
      <c r="A202" t="s">
        <v>348</v>
      </c>
      <c r="B202" t="s">
        <v>63</v>
      </c>
      <c r="C202" t="s">
        <v>95</v>
      </c>
      <c r="D202" t="s">
        <v>309</v>
      </c>
      <c r="E202" t="s">
        <v>1116</v>
      </c>
      <c r="F202" s="15">
        <v>46230.40084490741</v>
      </c>
      <c r="G202" t="s">
        <v>1117</v>
      </c>
      <c r="H202">
        <v>6</v>
      </c>
      <c r="I202" t="s">
        <v>1118</v>
      </c>
      <c r="J202" s="15">
        <v>46233.454386574071</v>
      </c>
      <c r="K202" s="15">
        <v>46238.481249999997</v>
      </c>
      <c r="L202" s="15"/>
      <c r="M202">
        <v>6</v>
      </c>
      <c r="O202" t="s">
        <v>1958</v>
      </c>
      <c r="S202" t="s">
        <v>356</v>
      </c>
      <c r="T202" t="s">
        <v>369</v>
      </c>
      <c r="U202" t="s">
        <v>239</v>
      </c>
      <c r="V202" t="s">
        <v>7</v>
      </c>
      <c r="W202" t="s">
        <v>7</v>
      </c>
      <c r="X202" t="s">
        <v>7</v>
      </c>
      <c r="AA202" t="s">
        <v>96</v>
      </c>
      <c r="AB202" t="s">
        <v>356</v>
      </c>
      <c r="AC202">
        <v>109</v>
      </c>
      <c r="AD202" t="s">
        <v>225</v>
      </c>
      <c r="AE202">
        <v>6</v>
      </c>
    </row>
    <row r="203" spans="1:32" x14ac:dyDescent="0.3">
      <c r="A203" t="s">
        <v>348</v>
      </c>
      <c r="B203" t="s">
        <v>63</v>
      </c>
      <c r="C203" t="s">
        <v>95</v>
      </c>
      <c r="D203" t="s">
        <v>309</v>
      </c>
      <c r="E203" t="s">
        <v>1121</v>
      </c>
      <c r="F203" s="15">
        <v>46212.717303240737</v>
      </c>
      <c r="G203" t="s">
        <v>402</v>
      </c>
      <c r="H203">
        <v>2</v>
      </c>
      <c r="I203" t="s">
        <v>1122</v>
      </c>
      <c r="J203" s="15">
        <v>46231.477627314816</v>
      </c>
      <c r="K203" s="15">
        <v>46238.444444444445</v>
      </c>
      <c r="L203" s="15"/>
      <c r="M203">
        <v>2</v>
      </c>
      <c r="O203" t="s">
        <v>201</v>
      </c>
      <c r="P203" t="s">
        <v>1954</v>
      </c>
      <c r="S203" t="s">
        <v>355</v>
      </c>
      <c r="T203" t="s">
        <v>369</v>
      </c>
      <c r="U203" t="s">
        <v>239</v>
      </c>
      <c r="V203" t="s">
        <v>7</v>
      </c>
      <c r="W203" t="s">
        <v>7</v>
      </c>
      <c r="X203" t="s">
        <v>7</v>
      </c>
      <c r="AA203" t="s">
        <v>96</v>
      </c>
      <c r="AB203" t="s">
        <v>355</v>
      </c>
      <c r="AC203">
        <v>2200</v>
      </c>
      <c r="AD203" t="s">
        <v>225</v>
      </c>
      <c r="AE203">
        <v>2</v>
      </c>
      <c r="AF203">
        <v>1.9</v>
      </c>
    </row>
    <row r="204" spans="1:32" x14ac:dyDescent="0.3">
      <c r="A204" t="s">
        <v>348</v>
      </c>
      <c r="B204" t="s">
        <v>63</v>
      </c>
      <c r="C204" t="s">
        <v>95</v>
      </c>
      <c r="D204" t="s">
        <v>309</v>
      </c>
      <c r="E204" t="s">
        <v>1121</v>
      </c>
      <c r="F204" s="15">
        <v>46212.717303240737</v>
      </c>
      <c r="G204" t="s">
        <v>402</v>
      </c>
      <c r="H204">
        <v>2</v>
      </c>
      <c r="I204" t="s">
        <v>1122</v>
      </c>
      <c r="J204" s="15">
        <v>46231.477627314816</v>
      </c>
      <c r="K204" s="15">
        <v>46238.444444444445</v>
      </c>
      <c r="L204" s="15"/>
      <c r="M204">
        <v>2</v>
      </c>
      <c r="O204" t="s">
        <v>1958</v>
      </c>
      <c r="S204" t="s">
        <v>355</v>
      </c>
      <c r="T204" t="s">
        <v>369</v>
      </c>
      <c r="U204" t="s">
        <v>239</v>
      </c>
      <c r="V204" t="s">
        <v>7</v>
      </c>
      <c r="W204" t="s">
        <v>7</v>
      </c>
      <c r="X204" t="s">
        <v>7</v>
      </c>
      <c r="AA204" t="s">
        <v>96</v>
      </c>
      <c r="AB204" t="s">
        <v>355</v>
      </c>
      <c r="AC204">
        <v>2200</v>
      </c>
      <c r="AD204" t="s">
        <v>225</v>
      </c>
      <c r="AE204">
        <v>2</v>
      </c>
    </row>
    <row r="205" spans="1:32" x14ac:dyDescent="0.3">
      <c r="A205" t="s">
        <v>348</v>
      </c>
      <c r="B205" t="s">
        <v>63</v>
      </c>
      <c r="C205" t="s">
        <v>95</v>
      </c>
      <c r="D205" t="s">
        <v>309</v>
      </c>
      <c r="E205" t="s">
        <v>1123</v>
      </c>
      <c r="F205" s="15">
        <v>46223.754212962966</v>
      </c>
      <c r="G205" t="s">
        <v>402</v>
      </c>
      <c r="H205">
        <v>1</v>
      </c>
      <c r="I205" t="s">
        <v>1124</v>
      </c>
      <c r="J205" s="15">
        <v>46232.484236111108</v>
      </c>
      <c r="K205" s="15">
        <v>46238.427083333336</v>
      </c>
      <c r="L205" s="15"/>
      <c r="M205">
        <v>1</v>
      </c>
      <c r="O205" t="s">
        <v>201</v>
      </c>
      <c r="P205" t="s">
        <v>1954</v>
      </c>
      <c r="S205" t="s">
        <v>355</v>
      </c>
      <c r="T205" t="s">
        <v>369</v>
      </c>
      <c r="U205" t="s">
        <v>239</v>
      </c>
      <c r="V205" t="s">
        <v>7</v>
      </c>
      <c r="W205" t="s">
        <v>7</v>
      </c>
      <c r="X205" t="s">
        <v>7</v>
      </c>
      <c r="AA205" t="s">
        <v>96</v>
      </c>
      <c r="AB205" t="s">
        <v>355</v>
      </c>
      <c r="AC205">
        <v>2200</v>
      </c>
      <c r="AD205" t="s">
        <v>225</v>
      </c>
      <c r="AE205">
        <v>1</v>
      </c>
    </row>
    <row r="206" spans="1:32" x14ac:dyDescent="0.3">
      <c r="A206" t="s">
        <v>348</v>
      </c>
      <c r="B206" t="s">
        <v>63</v>
      </c>
      <c r="C206" t="s">
        <v>95</v>
      </c>
      <c r="D206" t="s">
        <v>309</v>
      </c>
      <c r="E206" t="s">
        <v>1125</v>
      </c>
      <c r="F206" s="15">
        <v>46233.719895833332</v>
      </c>
      <c r="G206" t="s">
        <v>420</v>
      </c>
      <c r="H206">
        <v>6</v>
      </c>
      <c r="I206" t="s">
        <v>1126</v>
      </c>
      <c r="J206" s="15">
        <v>46234.410682870373</v>
      </c>
      <c r="K206" s="15">
        <v>46238.434027777781</v>
      </c>
      <c r="L206" s="15"/>
      <c r="M206">
        <v>6</v>
      </c>
      <c r="O206" t="s">
        <v>201</v>
      </c>
      <c r="P206" t="s">
        <v>1954</v>
      </c>
      <c r="S206" t="s">
        <v>355</v>
      </c>
      <c r="T206" t="s">
        <v>369</v>
      </c>
      <c r="U206" t="s">
        <v>239</v>
      </c>
      <c r="V206" t="s">
        <v>7</v>
      </c>
      <c r="W206" t="s">
        <v>7</v>
      </c>
      <c r="X206" t="s">
        <v>7</v>
      </c>
      <c r="AA206" t="s">
        <v>96</v>
      </c>
      <c r="AB206" t="s">
        <v>355</v>
      </c>
      <c r="AC206">
        <v>2200</v>
      </c>
      <c r="AD206" t="s">
        <v>225</v>
      </c>
      <c r="AE206">
        <v>6</v>
      </c>
    </row>
    <row r="207" spans="1:32" x14ac:dyDescent="0.3">
      <c r="A207" t="s">
        <v>348</v>
      </c>
      <c r="B207" t="s">
        <v>63</v>
      </c>
      <c r="C207" t="s">
        <v>95</v>
      </c>
      <c r="D207" t="s">
        <v>309</v>
      </c>
      <c r="E207" t="s">
        <v>1125</v>
      </c>
      <c r="F207" s="15">
        <v>46233.719895833332</v>
      </c>
      <c r="G207" t="s">
        <v>420</v>
      </c>
      <c r="H207">
        <v>2</v>
      </c>
      <c r="I207" t="s">
        <v>1127</v>
      </c>
      <c r="J207" s="15">
        <v>46234.408483796295</v>
      </c>
      <c r="K207" s="15">
        <v>46238.436805555553</v>
      </c>
      <c r="L207" s="15"/>
      <c r="M207">
        <v>2</v>
      </c>
      <c r="O207" t="s">
        <v>201</v>
      </c>
      <c r="P207" t="s">
        <v>1954</v>
      </c>
      <c r="S207" t="s">
        <v>355</v>
      </c>
      <c r="T207" t="s">
        <v>369</v>
      </c>
      <c r="U207" t="s">
        <v>239</v>
      </c>
      <c r="V207" t="s">
        <v>7</v>
      </c>
      <c r="W207" t="s">
        <v>7</v>
      </c>
      <c r="X207" t="s">
        <v>7</v>
      </c>
      <c r="AA207" t="s">
        <v>96</v>
      </c>
      <c r="AB207" t="s">
        <v>355</v>
      </c>
      <c r="AC207">
        <v>2200</v>
      </c>
      <c r="AD207" t="s">
        <v>225</v>
      </c>
      <c r="AE207">
        <v>2</v>
      </c>
    </row>
    <row r="208" spans="1:32" x14ac:dyDescent="0.3">
      <c r="A208" t="s">
        <v>348</v>
      </c>
      <c r="B208" t="s">
        <v>63</v>
      </c>
      <c r="C208" t="s">
        <v>95</v>
      </c>
      <c r="D208" t="s">
        <v>309</v>
      </c>
      <c r="E208" t="s">
        <v>1125</v>
      </c>
      <c r="F208" s="15">
        <v>46233.719895833332</v>
      </c>
      <c r="G208" t="s">
        <v>420</v>
      </c>
      <c r="H208">
        <v>6</v>
      </c>
      <c r="I208" t="s">
        <v>1126</v>
      </c>
      <c r="J208" s="15">
        <v>46234.410682870373</v>
      </c>
      <c r="K208" s="15">
        <v>46238.434027777781</v>
      </c>
      <c r="L208" s="15"/>
      <c r="M208">
        <v>6</v>
      </c>
      <c r="O208" t="s">
        <v>1958</v>
      </c>
      <c r="S208" t="s">
        <v>355</v>
      </c>
      <c r="T208" t="s">
        <v>369</v>
      </c>
      <c r="U208" t="s">
        <v>239</v>
      </c>
      <c r="V208" t="s">
        <v>7</v>
      </c>
      <c r="W208" t="s">
        <v>7</v>
      </c>
      <c r="X208" t="s">
        <v>7</v>
      </c>
      <c r="AA208" t="s">
        <v>96</v>
      </c>
      <c r="AB208" t="s">
        <v>355</v>
      </c>
      <c r="AC208">
        <v>2200</v>
      </c>
      <c r="AD208" t="s">
        <v>225</v>
      </c>
      <c r="AE208">
        <v>6</v>
      </c>
    </row>
    <row r="209" spans="1:32" x14ac:dyDescent="0.3">
      <c r="A209" t="s">
        <v>348</v>
      </c>
      <c r="B209" t="s">
        <v>63</v>
      </c>
      <c r="C209" t="s">
        <v>95</v>
      </c>
      <c r="D209" t="s">
        <v>309</v>
      </c>
      <c r="E209" t="s">
        <v>1114</v>
      </c>
      <c r="F209" s="15">
        <v>46202.512337962966</v>
      </c>
      <c r="G209" t="s">
        <v>419</v>
      </c>
      <c r="H209">
        <v>26</v>
      </c>
      <c r="I209" t="s">
        <v>1128</v>
      </c>
      <c r="J209" s="15">
        <v>46203.361828703702</v>
      </c>
      <c r="K209" s="15">
        <v>46212.739201388889</v>
      </c>
      <c r="L209" s="15"/>
      <c r="M209">
        <v>26</v>
      </c>
      <c r="O209" t="s">
        <v>201</v>
      </c>
      <c r="P209" t="s">
        <v>1954</v>
      </c>
      <c r="S209" t="s">
        <v>356</v>
      </c>
      <c r="T209" t="s">
        <v>369</v>
      </c>
      <c r="U209" t="s">
        <v>239</v>
      </c>
      <c r="V209" t="s">
        <v>7</v>
      </c>
      <c r="W209" t="s">
        <v>7</v>
      </c>
      <c r="X209" t="s">
        <v>7</v>
      </c>
      <c r="AA209" t="s">
        <v>96</v>
      </c>
      <c r="AB209" t="s">
        <v>356</v>
      </c>
      <c r="AC209">
        <v>109</v>
      </c>
      <c r="AD209" t="s">
        <v>225</v>
      </c>
      <c r="AE209">
        <v>26</v>
      </c>
      <c r="AF209">
        <v>3.9</v>
      </c>
    </row>
    <row r="210" spans="1:32" x14ac:dyDescent="0.3">
      <c r="A210" t="s">
        <v>348</v>
      </c>
      <c r="B210" t="s">
        <v>63</v>
      </c>
      <c r="C210" t="s">
        <v>95</v>
      </c>
      <c r="D210" t="s">
        <v>309</v>
      </c>
      <c r="E210" t="s">
        <v>1114</v>
      </c>
      <c r="F210" s="15">
        <v>46202.512337962966</v>
      </c>
      <c r="G210" t="s">
        <v>419</v>
      </c>
      <c r="H210">
        <v>13</v>
      </c>
      <c r="I210" t="s">
        <v>1128</v>
      </c>
      <c r="J210" s="15">
        <v>46203.361828703702</v>
      </c>
      <c r="K210" s="15">
        <v>46212.739201388889</v>
      </c>
      <c r="L210" s="15"/>
      <c r="M210">
        <v>13</v>
      </c>
      <c r="O210" t="s">
        <v>1958</v>
      </c>
      <c r="S210" t="s">
        <v>356</v>
      </c>
      <c r="T210" t="s">
        <v>369</v>
      </c>
      <c r="U210" t="s">
        <v>239</v>
      </c>
      <c r="V210" t="s">
        <v>7</v>
      </c>
      <c r="W210" t="s">
        <v>7</v>
      </c>
      <c r="X210" t="s">
        <v>7</v>
      </c>
      <c r="AA210" t="s">
        <v>96</v>
      </c>
      <c r="AB210" t="s">
        <v>356</v>
      </c>
      <c r="AC210">
        <v>109</v>
      </c>
      <c r="AD210" t="s">
        <v>225</v>
      </c>
      <c r="AE210">
        <v>13</v>
      </c>
    </row>
    <row r="211" spans="1:32" x14ac:dyDescent="0.3">
      <c r="A211" t="s">
        <v>348</v>
      </c>
      <c r="B211" t="s">
        <v>63</v>
      </c>
      <c r="C211" t="s">
        <v>95</v>
      </c>
      <c r="D211" t="s">
        <v>309</v>
      </c>
      <c r="E211" t="s">
        <v>1114</v>
      </c>
      <c r="F211" s="15">
        <v>46202.512337962966</v>
      </c>
      <c r="G211" t="s">
        <v>419</v>
      </c>
      <c r="H211">
        <v>30</v>
      </c>
      <c r="I211" t="s">
        <v>1129</v>
      </c>
      <c r="J211" s="15">
        <v>46239.591469907406</v>
      </c>
      <c r="K211" s="15">
        <v>46241.497916666667</v>
      </c>
      <c r="L211" s="15"/>
      <c r="M211">
        <v>30</v>
      </c>
      <c r="O211" t="s">
        <v>201</v>
      </c>
      <c r="P211" t="s">
        <v>1954</v>
      </c>
      <c r="S211" t="s">
        <v>356</v>
      </c>
      <c r="T211" t="s">
        <v>369</v>
      </c>
      <c r="U211" t="s">
        <v>239</v>
      </c>
      <c r="V211" t="s">
        <v>7</v>
      </c>
      <c r="W211" t="s">
        <v>7</v>
      </c>
      <c r="X211" t="s">
        <v>7</v>
      </c>
      <c r="AA211" t="s">
        <v>96</v>
      </c>
      <c r="AB211" t="s">
        <v>356</v>
      </c>
      <c r="AC211">
        <v>109</v>
      </c>
      <c r="AD211" t="s">
        <v>225</v>
      </c>
      <c r="AE211">
        <v>30</v>
      </c>
      <c r="AF211">
        <v>3</v>
      </c>
    </row>
    <row r="212" spans="1:32" x14ac:dyDescent="0.3">
      <c r="A212" t="s">
        <v>348</v>
      </c>
      <c r="B212" t="s">
        <v>63</v>
      </c>
      <c r="C212" t="s">
        <v>95</v>
      </c>
      <c r="D212" t="s">
        <v>309</v>
      </c>
      <c r="E212" t="s">
        <v>1130</v>
      </c>
      <c r="F212" s="15">
        <v>46253.45040509259</v>
      </c>
      <c r="G212" t="s">
        <v>402</v>
      </c>
      <c r="H212">
        <v>1</v>
      </c>
      <c r="I212" t="s">
        <v>1131</v>
      </c>
      <c r="J212" s="15">
        <v>46255.393750000003</v>
      </c>
      <c r="K212" s="15">
        <v>46258.414583333331</v>
      </c>
      <c r="L212" s="15"/>
      <c r="M212">
        <v>1</v>
      </c>
      <c r="O212" t="s">
        <v>201</v>
      </c>
      <c r="P212" t="s">
        <v>1954</v>
      </c>
      <c r="S212" t="s">
        <v>355</v>
      </c>
      <c r="T212" t="s">
        <v>369</v>
      </c>
      <c r="U212" t="s">
        <v>239</v>
      </c>
      <c r="V212" t="s">
        <v>7</v>
      </c>
      <c r="W212" t="s">
        <v>7</v>
      </c>
      <c r="X212" t="s">
        <v>7</v>
      </c>
      <c r="AA212" t="s">
        <v>96</v>
      </c>
      <c r="AB212" t="s">
        <v>355</v>
      </c>
      <c r="AC212">
        <v>2200</v>
      </c>
      <c r="AD212" t="s">
        <v>225</v>
      </c>
      <c r="AE212">
        <v>1</v>
      </c>
      <c r="AF212">
        <v>1</v>
      </c>
    </row>
    <row r="213" spans="1:32" x14ac:dyDescent="0.3">
      <c r="A213" t="s">
        <v>348</v>
      </c>
      <c r="B213" t="s">
        <v>63</v>
      </c>
      <c r="C213" t="s">
        <v>95</v>
      </c>
      <c r="D213" t="s">
        <v>309</v>
      </c>
      <c r="E213" t="s">
        <v>1132</v>
      </c>
      <c r="F213" s="15">
        <v>46225.356817129628</v>
      </c>
      <c r="G213" t="s">
        <v>399</v>
      </c>
      <c r="H213">
        <v>1</v>
      </c>
      <c r="I213" t="s">
        <v>1133</v>
      </c>
      <c r="J213" s="15">
        <v>46233.380069444444</v>
      </c>
      <c r="K213" s="15">
        <v>46238.463194444441</v>
      </c>
      <c r="L213" s="15"/>
      <c r="M213">
        <v>1</v>
      </c>
      <c r="O213" t="s">
        <v>201</v>
      </c>
      <c r="P213" t="s">
        <v>1954</v>
      </c>
      <c r="S213" t="s">
        <v>354</v>
      </c>
      <c r="T213" t="s">
        <v>369</v>
      </c>
      <c r="U213" t="s">
        <v>239</v>
      </c>
      <c r="V213" t="s">
        <v>7</v>
      </c>
      <c r="W213" t="s">
        <v>7</v>
      </c>
      <c r="X213" t="s">
        <v>7</v>
      </c>
      <c r="AA213" t="s">
        <v>96</v>
      </c>
      <c r="AB213" t="s">
        <v>354</v>
      </c>
      <c r="AC213">
        <v>50</v>
      </c>
      <c r="AD213" t="s">
        <v>225</v>
      </c>
      <c r="AE213">
        <v>1</v>
      </c>
      <c r="AF213">
        <v>1</v>
      </c>
    </row>
    <row r="214" spans="1:32" x14ac:dyDescent="0.3">
      <c r="A214" t="s">
        <v>348</v>
      </c>
      <c r="B214" t="s">
        <v>63</v>
      </c>
      <c r="C214" t="s">
        <v>95</v>
      </c>
      <c r="D214" t="s">
        <v>309</v>
      </c>
      <c r="E214" t="s">
        <v>1119</v>
      </c>
      <c r="F214" s="15">
        <v>46232.31826388889</v>
      </c>
      <c r="G214" t="s">
        <v>401</v>
      </c>
      <c r="H214">
        <v>1</v>
      </c>
      <c r="I214" t="s">
        <v>1120</v>
      </c>
      <c r="J214" s="15">
        <v>46232.407094907408</v>
      </c>
      <c r="K214" s="15">
        <v>46238.423611111109</v>
      </c>
      <c r="L214" s="15"/>
      <c r="M214">
        <v>1</v>
      </c>
      <c r="O214" t="s">
        <v>201</v>
      </c>
      <c r="P214" t="s">
        <v>1954</v>
      </c>
      <c r="S214" t="s">
        <v>357</v>
      </c>
      <c r="T214" t="s">
        <v>369</v>
      </c>
      <c r="U214" t="s">
        <v>239</v>
      </c>
      <c r="V214" t="s">
        <v>7</v>
      </c>
      <c r="W214" t="s">
        <v>7</v>
      </c>
      <c r="X214" t="s">
        <v>7</v>
      </c>
      <c r="AA214" t="s">
        <v>96</v>
      </c>
      <c r="AB214" t="s">
        <v>357</v>
      </c>
      <c r="AC214">
        <v>101</v>
      </c>
      <c r="AD214" t="s">
        <v>225</v>
      </c>
      <c r="AE214">
        <v>1</v>
      </c>
      <c r="AF214">
        <v>1</v>
      </c>
    </row>
    <row r="215" spans="1:32" x14ac:dyDescent="0.3">
      <c r="A215" t="s">
        <v>348</v>
      </c>
      <c r="B215" t="s">
        <v>63</v>
      </c>
      <c r="C215" t="s">
        <v>95</v>
      </c>
      <c r="D215" t="s">
        <v>309</v>
      </c>
      <c r="E215" t="s">
        <v>1134</v>
      </c>
      <c r="F215" s="15">
        <v>46223.623645833337</v>
      </c>
      <c r="G215" t="s">
        <v>402</v>
      </c>
      <c r="H215">
        <v>1</v>
      </c>
      <c r="I215" t="s">
        <v>1135</v>
      </c>
      <c r="J215" s="15">
        <v>46224.351388888892</v>
      </c>
      <c r="K215" s="15">
        <v>46227.68472222222</v>
      </c>
      <c r="L215" s="15">
        <v>46234.655555555553</v>
      </c>
      <c r="M215">
        <v>1</v>
      </c>
      <c r="O215" t="s">
        <v>201</v>
      </c>
      <c r="P215" t="s">
        <v>1954</v>
      </c>
      <c r="S215" t="s">
        <v>355</v>
      </c>
      <c r="T215" t="s">
        <v>369</v>
      </c>
      <c r="U215" t="s">
        <v>239</v>
      </c>
      <c r="V215" t="s">
        <v>7</v>
      </c>
      <c r="W215" t="s">
        <v>7</v>
      </c>
      <c r="X215" t="s">
        <v>7</v>
      </c>
      <c r="AA215" t="s">
        <v>96</v>
      </c>
      <c r="AB215" t="s">
        <v>355</v>
      </c>
      <c r="AC215">
        <v>2200</v>
      </c>
      <c r="AD215" t="s">
        <v>225</v>
      </c>
      <c r="AE215">
        <v>1</v>
      </c>
      <c r="AF215">
        <v>1</v>
      </c>
    </row>
    <row r="216" spans="1:32" x14ac:dyDescent="0.3">
      <c r="A216" t="s">
        <v>348</v>
      </c>
      <c r="B216" t="s">
        <v>63</v>
      </c>
      <c r="C216" t="s">
        <v>95</v>
      </c>
      <c r="D216" t="s">
        <v>309</v>
      </c>
      <c r="E216" t="s">
        <v>1134</v>
      </c>
      <c r="F216" s="15">
        <v>46223.623645833337</v>
      </c>
      <c r="G216" t="s">
        <v>402</v>
      </c>
      <c r="H216">
        <v>1</v>
      </c>
      <c r="I216" t="s">
        <v>1135</v>
      </c>
      <c r="J216" s="15">
        <v>46224.351388888892</v>
      </c>
      <c r="K216" s="15">
        <v>46227.68472222222</v>
      </c>
      <c r="L216" s="15">
        <v>46234.655555555553</v>
      </c>
      <c r="M216">
        <v>1</v>
      </c>
      <c r="O216" t="s">
        <v>1958</v>
      </c>
      <c r="S216" t="s">
        <v>355</v>
      </c>
      <c r="T216" t="s">
        <v>369</v>
      </c>
      <c r="U216" t="s">
        <v>239</v>
      </c>
      <c r="V216" t="s">
        <v>7</v>
      </c>
      <c r="W216" t="s">
        <v>7</v>
      </c>
      <c r="X216" t="s">
        <v>7</v>
      </c>
      <c r="AA216" t="s">
        <v>96</v>
      </c>
      <c r="AB216" t="s">
        <v>355</v>
      </c>
      <c r="AC216">
        <v>2200</v>
      </c>
      <c r="AD216" t="s">
        <v>225</v>
      </c>
      <c r="AE216">
        <v>1</v>
      </c>
    </row>
    <row r="217" spans="1:32" x14ac:dyDescent="0.3">
      <c r="A217" t="s">
        <v>348</v>
      </c>
      <c r="B217" t="s">
        <v>63</v>
      </c>
      <c r="C217" t="s">
        <v>95</v>
      </c>
      <c r="D217" t="s">
        <v>309</v>
      </c>
      <c r="E217" t="s">
        <v>1134</v>
      </c>
      <c r="F217" s="15">
        <v>46223.623645833337</v>
      </c>
      <c r="G217" t="s">
        <v>402</v>
      </c>
      <c r="H217">
        <v>3</v>
      </c>
      <c r="I217" t="s">
        <v>1136</v>
      </c>
      <c r="J217" s="15">
        <v>46224.351388888892</v>
      </c>
      <c r="K217" s="15">
        <v>46227.68472222222</v>
      </c>
      <c r="L217" s="15"/>
      <c r="M217">
        <v>3</v>
      </c>
      <c r="O217" t="s">
        <v>201</v>
      </c>
      <c r="P217" t="s">
        <v>1954</v>
      </c>
      <c r="S217" t="s">
        <v>355</v>
      </c>
      <c r="T217" t="s">
        <v>369</v>
      </c>
      <c r="U217" t="s">
        <v>239</v>
      </c>
      <c r="V217" t="s">
        <v>7</v>
      </c>
      <c r="W217" t="s">
        <v>7</v>
      </c>
      <c r="X217" t="s">
        <v>7</v>
      </c>
      <c r="AA217" t="s">
        <v>96</v>
      </c>
      <c r="AB217" t="s">
        <v>355</v>
      </c>
      <c r="AC217">
        <v>2200</v>
      </c>
      <c r="AD217" t="s">
        <v>225</v>
      </c>
      <c r="AE217">
        <v>3</v>
      </c>
    </row>
    <row r="218" spans="1:32" x14ac:dyDescent="0.3">
      <c r="A218" t="s">
        <v>348</v>
      </c>
      <c r="B218" t="s">
        <v>63</v>
      </c>
      <c r="C218" t="s">
        <v>95</v>
      </c>
      <c r="D218" t="s">
        <v>309</v>
      </c>
      <c r="E218" t="s">
        <v>1137</v>
      </c>
      <c r="F218" s="15">
        <v>46217.60359953704</v>
      </c>
      <c r="G218" t="s">
        <v>420</v>
      </c>
      <c r="H218">
        <v>1</v>
      </c>
      <c r="I218" t="s">
        <v>1138</v>
      </c>
      <c r="J218" s="15">
        <v>46220.352083333331</v>
      </c>
      <c r="K218" s="15">
        <v>46227.702777777777</v>
      </c>
      <c r="L218" s="15"/>
      <c r="M218">
        <v>1</v>
      </c>
      <c r="O218" t="s">
        <v>201</v>
      </c>
      <c r="P218" t="s">
        <v>1954</v>
      </c>
      <c r="S218" t="s">
        <v>357</v>
      </c>
      <c r="T218" t="s">
        <v>369</v>
      </c>
      <c r="U218" t="s">
        <v>239</v>
      </c>
      <c r="V218" t="s">
        <v>7</v>
      </c>
      <c r="W218" t="s">
        <v>7</v>
      </c>
      <c r="X218" t="s">
        <v>7</v>
      </c>
      <c r="AA218" t="s">
        <v>96</v>
      </c>
      <c r="AB218" t="s">
        <v>357</v>
      </c>
      <c r="AC218">
        <v>101</v>
      </c>
      <c r="AD218" t="s">
        <v>225</v>
      </c>
      <c r="AE218">
        <v>1</v>
      </c>
      <c r="AF218">
        <v>1</v>
      </c>
    </row>
    <row r="219" spans="1:32" x14ac:dyDescent="0.3">
      <c r="A219" t="s">
        <v>348</v>
      </c>
      <c r="B219" t="s">
        <v>63</v>
      </c>
      <c r="C219" t="s">
        <v>95</v>
      </c>
      <c r="D219" t="s">
        <v>309</v>
      </c>
      <c r="E219" t="s">
        <v>1137</v>
      </c>
      <c r="F219" s="15">
        <v>46217.60359953704</v>
      </c>
      <c r="G219" t="s">
        <v>420</v>
      </c>
      <c r="H219">
        <v>4</v>
      </c>
      <c r="I219" t="s">
        <v>1138</v>
      </c>
      <c r="J219" s="15">
        <v>46220.352083333331</v>
      </c>
      <c r="K219" s="15">
        <v>46227.702777777777</v>
      </c>
      <c r="L219" s="15"/>
      <c r="M219">
        <v>4</v>
      </c>
      <c r="O219" t="s">
        <v>1958</v>
      </c>
      <c r="S219" t="s">
        <v>357</v>
      </c>
      <c r="T219" t="s">
        <v>369</v>
      </c>
      <c r="U219" t="s">
        <v>239</v>
      </c>
      <c r="V219" t="s">
        <v>7</v>
      </c>
      <c r="W219" t="s">
        <v>7</v>
      </c>
      <c r="X219" t="s">
        <v>7</v>
      </c>
      <c r="AA219" t="s">
        <v>96</v>
      </c>
      <c r="AB219" t="s">
        <v>357</v>
      </c>
      <c r="AC219">
        <v>101</v>
      </c>
      <c r="AD219" t="s">
        <v>225</v>
      </c>
      <c r="AE219">
        <v>4</v>
      </c>
    </row>
    <row r="220" spans="1:32" x14ac:dyDescent="0.3">
      <c r="A220" t="s">
        <v>348</v>
      </c>
      <c r="B220" t="s">
        <v>63</v>
      </c>
      <c r="C220" t="s">
        <v>95</v>
      </c>
      <c r="D220" t="s">
        <v>309</v>
      </c>
      <c r="E220" t="s">
        <v>1137</v>
      </c>
      <c r="F220" s="15">
        <v>46217.60359953704</v>
      </c>
      <c r="G220" t="s">
        <v>420</v>
      </c>
      <c r="H220">
        <v>1</v>
      </c>
      <c r="I220" t="s">
        <v>1138</v>
      </c>
      <c r="J220" s="15">
        <v>46220.352083333331</v>
      </c>
      <c r="K220" s="15">
        <v>46227.702777777777</v>
      </c>
      <c r="L220" s="15"/>
      <c r="M220">
        <v>1</v>
      </c>
      <c r="O220" t="s">
        <v>1958</v>
      </c>
      <c r="S220" t="s">
        <v>357</v>
      </c>
      <c r="T220" t="s">
        <v>369</v>
      </c>
      <c r="U220" t="s">
        <v>239</v>
      </c>
      <c r="V220" t="s">
        <v>7</v>
      </c>
      <c r="W220" t="s">
        <v>7</v>
      </c>
      <c r="X220" t="s">
        <v>7</v>
      </c>
      <c r="AA220" t="s">
        <v>96</v>
      </c>
      <c r="AB220" t="s">
        <v>357</v>
      </c>
      <c r="AC220">
        <v>101</v>
      </c>
      <c r="AD220" t="s">
        <v>225</v>
      </c>
      <c r="AE220">
        <v>1</v>
      </c>
    </row>
    <row r="221" spans="1:32" x14ac:dyDescent="0.3">
      <c r="A221" t="s">
        <v>348</v>
      </c>
      <c r="B221" t="s">
        <v>281</v>
      </c>
      <c r="C221" t="s">
        <v>85</v>
      </c>
      <c r="D221" t="s">
        <v>309</v>
      </c>
      <c r="E221" t="s">
        <v>1137</v>
      </c>
      <c r="F221" s="15">
        <v>46217.60359953704</v>
      </c>
      <c r="G221" t="s">
        <v>420</v>
      </c>
      <c r="H221">
        <v>1</v>
      </c>
      <c r="I221" t="s">
        <v>1138</v>
      </c>
      <c r="J221" s="15">
        <v>46220.352083333331</v>
      </c>
      <c r="K221" s="15">
        <v>46227.702777777777</v>
      </c>
      <c r="L221" s="15"/>
      <c r="M221">
        <v>1</v>
      </c>
      <c r="O221" t="s">
        <v>201</v>
      </c>
      <c r="P221" t="s">
        <v>1956</v>
      </c>
      <c r="S221" t="s">
        <v>357</v>
      </c>
      <c r="T221" t="s">
        <v>369</v>
      </c>
      <c r="U221" t="s">
        <v>239</v>
      </c>
      <c r="V221" t="s">
        <v>7</v>
      </c>
      <c r="W221" t="s">
        <v>7</v>
      </c>
      <c r="X221" t="s">
        <v>7</v>
      </c>
      <c r="Z221">
        <v>1</v>
      </c>
      <c r="AA221" t="s">
        <v>122</v>
      </c>
      <c r="AB221" t="s">
        <v>357</v>
      </c>
      <c r="AC221">
        <v>101</v>
      </c>
      <c r="AD221" t="s">
        <v>231</v>
      </c>
      <c r="AE221">
        <v>1</v>
      </c>
      <c r="AF221">
        <v>1.6</v>
      </c>
    </row>
    <row r="222" spans="1:32" x14ac:dyDescent="0.3">
      <c r="A222" t="s">
        <v>348</v>
      </c>
      <c r="B222" t="s">
        <v>281</v>
      </c>
      <c r="C222" t="s">
        <v>85</v>
      </c>
      <c r="D222" t="s">
        <v>309</v>
      </c>
      <c r="E222" t="s">
        <v>1137</v>
      </c>
      <c r="F222" s="15">
        <v>46217.60359953704</v>
      </c>
      <c r="G222" t="s">
        <v>420</v>
      </c>
      <c r="H222">
        <v>14</v>
      </c>
      <c r="I222" t="s">
        <v>1138</v>
      </c>
      <c r="J222" s="15">
        <v>46220.352083333331</v>
      </c>
      <c r="K222" s="15">
        <v>46227.702777777777</v>
      </c>
      <c r="L222" s="15"/>
      <c r="M222">
        <v>14</v>
      </c>
      <c r="O222" t="s">
        <v>1958</v>
      </c>
      <c r="S222" t="s">
        <v>357</v>
      </c>
      <c r="T222" t="s">
        <v>369</v>
      </c>
      <c r="U222" t="s">
        <v>239</v>
      </c>
      <c r="V222" t="s">
        <v>7</v>
      </c>
      <c r="W222" t="s">
        <v>7</v>
      </c>
      <c r="X222" t="s">
        <v>7</v>
      </c>
      <c r="Z222">
        <v>1</v>
      </c>
      <c r="AA222" t="s">
        <v>122</v>
      </c>
      <c r="AB222" t="s">
        <v>357</v>
      </c>
      <c r="AC222">
        <v>101</v>
      </c>
      <c r="AD222" t="s">
        <v>231</v>
      </c>
      <c r="AE222">
        <v>14</v>
      </c>
    </row>
    <row r="223" spans="1:32" x14ac:dyDescent="0.3">
      <c r="A223" t="s">
        <v>348</v>
      </c>
      <c r="B223" t="s">
        <v>279</v>
      </c>
      <c r="C223" t="s">
        <v>197</v>
      </c>
      <c r="D223" t="s">
        <v>309</v>
      </c>
      <c r="E223" t="s">
        <v>1114</v>
      </c>
      <c r="F223" s="15">
        <v>46202.512337962966</v>
      </c>
      <c r="G223" t="s">
        <v>419</v>
      </c>
      <c r="H223">
        <v>30</v>
      </c>
      <c r="I223" t="s">
        <v>1129</v>
      </c>
      <c r="J223" s="15">
        <v>46239.591469907406</v>
      </c>
      <c r="K223" s="15">
        <v>46241.497916666667</v>
      </c>
      <c r="L223" s="15"/>
      <c r="M223">
        <v>30</v>
      </c>
      <c r="O223" t="s">
        <v>201</v>
      </c>
      <c r="P223" t="s">
        <v>1954</v>
      </c>
      <c r="S223" t="s">
        <v>356</v>
      </c>
      <c r="T223" t="s">
        <v>369</v>
      </c>
      <c r="U223" t="s">
        <v>239</v>
      </c>
      <c r="V223" t="s">
        <v>7</v>
      </c>
      <c r="W223" t="s">
        <v>7</v>
      </c>
      <c r="X223" t="s">
        <v>7</v>
      </c>
      <c r="Z223">
        <v>16</v>
      </c>
      <c r="AA223" t="s">
        <v>122</v>
      </c>
      <c r="AB223" t="s">
        <v>356</v>
      </c>
      <c r="AC223">
        <v>109</v>
      </c>
      <c r="AD223" t="s">
        <v>232</v>
      </c>
      <c r="AE223">
        <v>480</v>
      </c>
      <c r="AF223">
        <v>48</v>
      </c>
    </row>
    <row r="224" spans="1:32" x14ac:dyDescent="0.3">
      <c r="A224" t="s">
        <v>348</v>
      </c>
      <c r="B224" t="s">
        <v>60</v>
      </c>
      <c r="C224" t="s">
        <v>92</v>
      </c>
      <c r="D224" t="s">
        <v>309</v>
      </c>
      <c r="E224" t="s">
        <v>1114</v>
      </c>
      <c r="F224" s="15">
        <v>46202.512337962966</v>
      </c>
      <c r="G224" t="s">
        <v>419</v>
      </c>
      <c r="H224">
        <v>736</v>
      </c>
      <c r="I224" t="s">
        <v>1128</v>
      </c>
      <c r="J224" s="15">
        <v>46203.361828703702</v>
      </c>
      <c r="K224" s="15">
        <v>46212.739201388889</v>
      </c>
      <c r="L224" s="15"/>
      <c r="M224">
        <v>736</v>
      </c>
      <c r="O224" t="s">
        <v>201</v>
      </c>
      <c r="P224" t="s">
        <v>1954</v>
      </c>
      <c r="S224" t="s">
        <v>356</v>
      </c>
      <c r="T224" t="s">
        <v>369</v>
      </c>
      <c r="U224" t="s">
        <v>239</v>
      </c>
      <c r="V224" t="s">
        <v>7</v>
      </c>
      <c r="W224" t="s">
        <v>7</v>
      </c>
      <c r="X224" t="s">
        <v>7</v>
      </c>
      <c r="AA224" t="s">
        <v>92</v>
      </c>
      <c r="AB224" t="s">
        <v>356</v>
      </c>
      <c r="AC224">
        <v>109</v>
      </c>
      <c r="AD224" t="s">
        <v>236</v>
      </c>
      <c r="AE224">
        <v>736</v>
      </c>
      <c r="AF224">
        <v>79.599999999999994</v>
      </c>
    </row>
    <row r="225" spans="1:32" x14ac:dyDescent="0.3">
      <c r="A225" t="s">
        <v>348</v>
      </c>
      <c r="B225" t="s">
        <v>60</v>
      </c>
      <c r="C225" t="s">
        <v>92</v>
      </c>
      <c r="D225" t="s">
        <v>309</v>
      </c>
      <c r="E225" t="s">
        <v>1114</v>
      </c>
      <c r="F225" s="15">
        <v>46202.512337962966</v>
      </c>
      <c r="G225" t="s">
        <v>419</v>
      </c>
      <c r="H225">
        <v>60</v>
      </c>
      <c r="I225" t="s">
        <v>1128</v>
      </c>
      <c r="J225" s="15">
        <v>46203.361828703702</v>
      </c>
      <c r="K225" s="15">
        <v>46212.739201388889</v>
      </c>
      <c r="L225" s="15"/>
      <c r="M225">
        <v>60</v>
      </c>
      <c r="O225" t="s">
        <v>1958</v>
      </c>
      <c r="S225" t="s">
        <v>356</v>
      </c>
      <c r="T225" t="s">
        <v>369</v>
      </c>
      <c r="U225" t="s">
        <v>239</v>
      </c>
      <c r="V225" t="s">
        <v>7</v>
      </c>
      <c r="W225" t="s">
        <v>7</v>
      </c>
      <c r="X225" t="s">
        <v>7</v>
      </c>
      <c r="AA225" t="s">
        <v>92</v>
      </c>
      <c r="AB225" t="s">
        <v>356</v>
      </c>
      <c r="AC225">
        <v>109</v>
      </c>
      <c r="AD225" t="s">
        <v>236</v>
      </c>
      <c r="AE225">
        <v>60</v>
      </c>
    </row>
    <row r="226" spans="1:32" x14ac:dyDescent="0.3">
      <c r="A226" t="s">
        <v>348</v>
      </c>
      <c r="B226" t="s">
        <v>281</v>
      </c>
      <c r="C226" t="s">
        <v>85</v>
      </c>
      <c r="D226" t="s">
        <v>309</v>
      </c>
      <c r="E226" t="s">
        <v>1139</v>
      </c>
      <c r="F226" s="15">
        <v>46238.326192129629</v>
      </c>
      <c r="G226" t="s">
        <v>401</v>
      </c>
      <c r="H226">
        <v>5</v>
      </c>
      <c r="I226" t="s">
        <v>1140</v>
      </c>
      <c r="J226" s="15">
        <v>46238.341504629629</v>
      </c>
      <c r="K226" s="15">
        <v>46239.65625</v>
      </c>
      <c r="L226" s="15"/>
      <c r="M226">
        <v>5</v>
      </c>
      <c r="O226" t="s">
        <v>201</v>
      </c>
      <c r="P226" t="s">
        <v>1954</v>
      </c>
      <c r="S226" t="s">
        <v>357</v>
      </c>
      <c r="T226" t="s">
        <v>369</v>
      </c>
      <c r="U226" t="s">
        <v>239</v>
      </c>
      <c r="V226" t="s">
        <v>7</v>
      </c>
      <c r="W226" t="s">
        <v>7</v>
      </c>
      <c r="X226" t="s">
        <v>7</v>
      </c>
      <c r="Z226">
        <v>1</v>
      </c>
      <c r="AA226" t="s">
        <v>122</v>
      </c>
      <c r="AB226" t="s">
        <v>357</v>
      </c>
      <c r="AC226">
        <v>101</v>
      </c>
      <c r="AD226" t="s">
        <v>231</v>
      </c>
      <c r="AE226">
        <v>5</v>
      </c>
      <c r="AF226">
        <v>1</v>
      </c>
    </row>
    <row r="227" spans="1:32" x14ac:dyDescent="0.3">
      <c r="A227" t="s">
        <v>348</v>
      </c>
      <c r="B227" t="s">
        <v>281</v>
      </c>
      <c r="C227" t="s">
        <v>85</v>
      </c>
      <c r="D227" t="s">
        <v>309</v>
      </c>
      <c r="E227" t="s">
        <v>1139</v>
      </c>
      <c r="F227" s="15">
        <v>46238.326192129629</v>
      </c>
      <c r="G227" t="s">
        <v>401</v>
      </c>
      <c r="H227">
        <v>5</v>
      </c>
      <c r="I227" t="s">
        <v>1140</v>
      </c>
      <c r="J227" s="15">
        <v>46238.341504629629</v>
      </c>
      <c r="K227" s="15">
        <v>46239.65625</v>
      </c>
      <c r="L227" s="15"/>
      <c r="M227">
        <v>5</v>
      </c>
      <c r="O227" t="s">
        <v>1958</v>
      </c>
      <c r="S227" t="s">
        <v>357</v>
      </c>
      <c r="T227" t="s">
        <v>369</v>
      </c>
      <c r="U227" t="s">
        <v>239</v>
      </c>
      <c r="V227" t="s">
        <v>7</v>
      </c>
      <c r="W227" t="s">
        <v>7</v>
      </c>
      <c r="X227" t="s">
        <v>7</v>
      </c>
      <c r="Z227">
        <v>1</v>
      </c>
      <c r="AA227" t="s">
        <v>122</v>
      </c>
      <c r="AB227" t="s">
        <v>357</v>
      </c>
      <c r="AC227">
        <v>101</v>
      </c>
      <c r="AD227" t="s">
        <v>231</v>
      </c>
      <c r="AE227">
        <v>5</v>
      </c>
    </row>
    <row r="228" spans="1:32" x14ac:dyDescent="0.3">
      <c r="A228" t="s">
        <v>348</v>
      </c>
      <c r="B228" t="s">
        <v>63</v>
      </c>
      <c r="C228" t="s">
        <v>95</v>
      </c>
      <c r="D228" t="s">
        <v>309</v>
      </c>
      <c r="E228" t="s">
        <v>1139</v>
      </c>
      <c r="F228" s="15">
        <v>46238.326192129629</v>
      </c>
      <c r="G228" t="s">
        <v>401</v>
      </c>
      <c r="H228">
        <v>1</v>
      </c>
      <c r="I228" t="s">
        <v>1140</v>
      </c>
      <c r="J228" s="15">
        <v>46238.341504629629</v>
      </c>
      <c r="K228" s="15">
        <v>46239.65625</v>
      </c>
      <c r="L228" s="15"/>
      <c r="M228">
        <v>1</v>
      </c>
      <c r="O228" t="s">
        <v>201</v>
      </c>
      <c r="P228" t="s">
        <v>1954</v>
      </c>
      <c r="S228" t="s">
        <v>357</v>
      </c>
      <c r="T228" t="s">
        <v>369</v>
      </c>
      <c r="U228" t="s">
        <v>239</v>
      </c>
      <c r="V228" t="s">
        <v>7</v>
      </c>
      <c r="W228" t="s">
        <v>7</v>
      </c>
      <c r="X228" t="s">
        <v>7</v>
      </c>
      <c r="AA228" t="s">
        <v>96</v>
      </c>
      <c r="AB228" t="s">
        <v>357</v>
      </c>
      <c r="AC228">
        <v>101</v>
      </c>
      <c r="AD228" t="s">
        <v>225</v>
      </c>
      <c r="AE228">
        <v>1</v>
      </c>
      <c r="AF228">
        <v>1.5</v>
      </c>
    </row>
    <row r="229" spans="1:32" x14ac:dyDescent="0.3">
      <c r="A229" t="s">
        <v>348</v>
      </c>
      <c r="B229" t="s">
        <v>63</v>
      </c>
      <c r="C229" t="s">
        <v>95</v>
      </c>
      <c r="D229" t="s">
        <v>309</v>
      </c>
      <c r="E229" t="s">
        <v>1139</v>
      </c>
      <c r="F229" s="15">
        <v>46238.326192129629</v>
      </c>
      <c r="G229" t="s">
        <v>401</v>
      </c>
      <c r="H229">
        <v>1</v>
      </c>
      <c r="I229" t="s">
        <v>1140</v>
      </c>
      <c r="J229" s="15">
        <v>46238.341504629629</v>
      </c>
      <c r="K229" s="15">
        <v>46239.65625</v>
      </c>
      <c r="L229" s="15"/>
      <c r="M229">
        <v>1</v>
      </c>
      <c r="O229" t="s">
        <v>1958</v>
      </c>
      <c r="S229" t="s">
        <v>357</v>
      </c>
      <c r="T229" t="s">
        <v>369</v>
      </c>
      <c r="U229" t="s">
        <v>239</v>
      </c>
      <c r="V229" t="s">
        <v>7</v>
      </c>
      <c r="W229" t="s">
        <v>7</v>
      </c>
      <c r="X229" t="s">
        <v>7</v>
      </c>
      <c r="AA229" t="s">
        <v>96</v>
      </c>
      <c r="AB229" t="s">
        <v>357</v>
      </c>
      <c r="AC229">
        <v>101</v>
      </c>
      <c r="AD229" t="s">
        <v>225</v>
      </c>
      <c r="AE229">
        <v>1</v>
      </c>
    </row>
    <row r="230" spans="1:32" x14ac:dyDescent="0.3">
      <c r="A230" t="s">
        <v>348</v>
      </c>
      <c r="B230" t="s">
        <v>57</v>
      </c>
      <c r="C230" t="s">
        <v>117</v>
      </c>
      <c r="D230" t="s">
        <v>309</v>
      </c>
      <c r="E230" t="s">
        <v>1139</v>
      </c>
      <c r="F230" s="15">
        <v>46238.326192129629</v>
      </c>
      <c r="G230" t="s">
        <v>401</v>
      </c>
      <c r="H230">
        <v>1</v>
      </c>
      <c r="I230" t="s">
        <v>1140</v>
      </c>
      <c r="J230" s="15">
        <v>46238.341504629629</v>
      </c>
      <c r="K230" s="15">
        <v>46239.65625</v>
      </c>
      <c r="L230" s="15"/>
      <c r="M230">
        <v>1</v>
      </c>
      <c r="O230" t="s">
        <v>201</v>
      </c>
      <c r="P230" t="s">
        <v>1954</v>
      </c>
      <c r="S230" t="s">
        <v>357</v>
      </c>
      <c r="T230" t="s">
        <v>369</v>
      </c>
      <c r="U230" t="s">
        <v>239</v>
      </c>
      <c r="V230" t="s">
        <v>7</v>
      </c>
      <c r="W230" t="s">
        <v>7</v>
      </c>
      <c r="X230" t="s">
        <v>7</v>
      </c>
      <c r="AA230" t="s">
        <v>127</v>
      </c>
      <c r="AB230" t="s">
        <v>357</v>
      </c>
      <c r="AC230">
        <v>101</v>
      </c>
      <c r="AD230" t="s">
        <v>233</v>
      </c>
      <c r="AE230">
        <v>1</v>
      </c>
      <c r="AF230">
        <v>1</v>
      </c>
    </row>
    <row r="231" spans="1:32" x14ac:dyDescent="0.3">
      <c r="A231" t="s">
        <v>348</v>
      </c>
      <c r="B231" t="s">
        <v>57</v>
      </c>
      <c r="C231" t="s">
        <v>117</v>
      </c>
      <c r="D231" t="s">
        <v>309</v>
      </c>
      <c r="E231" t="s">
        <v>1139</v>
      </c>
      <c r="F231" s="15">
        <v>46238.326192129629</v>
      </c>
      <c r="G231" t="s">
        <v>401</v>
      </c>
      <c r="H231">
        <v>1</v>
      </c>
      <c r="I231" t="s">
        <v>1140</v>
      </c>
      <c r="J231" s="15">
        <v>46238.341504629629</v>
      </c>
      <c r="K231" s="15">
        <v>46239.65625</v>
      </c>
      <c r="L231" s="15"/>
      <c r="M231">
        <v>1</v>
      </c>
      <c r="O231" t="s">
        <v>1958</v>
      </c>
      <c r="S231" t="s">
        <v>357</v>
      </c>
      <c r="T231" t="s">
        <v>369</v>
      </c>
      <c r="U231" t="s">
        <v>239</v>
      </c>
      <c r="V231" t="s">
        <v>7</v>
      </c>
      <c r="W231" t="s">
        <v>7</v>
      </c>
      <c r="X231" t="s">
        <v>7</v>
      </c>
      <c r="AA231" t="s">
        <v>127</v>
      </c>
      <c r="AB231" t="s">
        <v>357</v>
      </c>
      <c r="AC231">
        <v>101</v>
      </c>
      <c r="AD231" t="s">
        <v>233</v>
      </c>
      <c r="AE231">
        <v>1</v>
      </c>
    </row>
    <row r="232" spans="1:32" x14ac:dyDescent="0.3">
      <c r="A232" t="s">
        <v>348</v>
      </c>
      <c r="B232" t="s">
        <v>63</v>
      </c>
      <c r="C232" t="s">
        <v>95</v>
      </c>
      <c r="D232" t="s">
        <v>309</v>
      </c>
      <c r="E232" t="s">
        <v>1125</v>
      </c>
      <c r="F232" s="15">
        <v>46233.719895833332</v>
      </c>
      <c r="G232" t="s">
        <v>420</v>
      </c>
      <c r="H232">
        <v>108</v>
      </c>
      <c r="I232" t="s">
        <v>1141</v>
      </c>
      <c r="J232" s="15">
        <v>46244.494745370372</v>
      </c>
      <c r="K232" s="15">
        <v>46247.731863425928</v>
      </c>
      <c r="L232" s="15"/>
      <c r="M232">
        <v>108</v>
      </c>
      <c r="O232" t="s">
        <v>201</v>
      </c>
      <c r="P232" t="s">
        <v>1954</v>
      </c>
      <c r="S232" t="s">
        <v>355</v>
      </c>
      <c r="T232" t="s">
        <v>369</v>
      </c>
      <c r="U232" t="s">
        <v>239</v>
      </c>
      <c r="V232" t="s">
        <v>7</v>
      </c>
      <c r="W232" t="s">
        <v>7</v>
      </c>
      <c r="X232" t="s">
        <v>7</v>
      </c>
      <c r="AA232" t="s">
        <v>96</v>
      </c>
      <c r="AB232" t="s">
        <v>355</v>
      </c>
      <c r="AC232">
        <v>2200</v>
      </c>
      <c r="AD232" t="s">
        <v>225</v>
      </c>
      <c r="AE232">
        <v>108</v>
      </c>
      <c r="AF232">
        <v>10.8</v>
      </c>
    </row>
    <row r="233" spans="1:32" x14ac:dyDescent="0.3">
      <c r="A233" t="s">
        <v>348</v>
      </c>
      <c r="B233" t="s">
        <v>57</v>
      </c>
      <c r="C233" t="s">
        <v>117</v>
      </c>
      <c r="D233" t="s">
        <v>309</v>
      </c>
      <c r="E233" t="s">
        <v>1125</v>
      </c>
      <c r="F233" s="15">
        <v>46233.719895833332</v>
      </c>
      <c r="G233" t="s">
        <v>420</v>
      </c>
      <c r="H233">
        <v>108</v>
      </c>
      <c r="I233" t="s">
        <v>1141</v>
      </c>
      <c r="J233" s="15">
        <v>46244.494745370372</v>
      </c>
      <c r="K233" s="15">
        <v>46247.731863425928</v>
      </c>
      <c r="L233" s="15"/>
      <c r="M233">
        <v>108</v>
      </c>
      <c r="O233" t="s">
        <v>201</v>
      </c>
      <c r="P233" t="s">
        <v>1954</v>
      </c>
      <c r="S233" t="s">
        <v>355</v>
      </c>
      <c r="T233" t="s">
        <v>369</v>
      </c>
      <c r="U233" t="s">
        <v>239</v>
      </c>
      <c r="V233" t="s">
        <v>7</v>
      </c>
      <c r="W233" t="s">
        <v>7</v>
      </c>
      <c r="X233" t="s">
        <v>7</v>
      </c>
      <c r="AA233" t="s">
        <v>127</v>
      </c>
      <c r="AB233" t="s">
        <v>355</v>
      </c>
      <c r="AC233">
        <v>2200</v>
      </c>
      <c r="AD233" t="s">
        <v>233</v>
      </c>
      <c r="AE233">
        <v>10.8</v>
      </c>
      <c r="AF233">
        <v>1.08</v>
      </c>
    </row>
    <row r="234" spans="1:32" x14ac:dyDescent="0.3">
      <c r="A234" t="s">
        <v>348</v>
      </c>
      <c r="B234" t="s">
        <v>63</v>
      </c>
      <c r="C234" t="s">
        <v>95</v>
      </c>
      <c r="D234" t="s">
        <v>309</v>
      </c>
      <c r="E234" t="s">
        <v>1125</v>
      </c>
      <c r="F234" s="15">
        <v>46233.719895833332</v>
      </c>
      <c r="G234" t="s">
        <v>420</v>
      </c>
      <c r="H234">
        <v>12</v>
      </c>
      <c r="I234" t="s">
        <v>1142</v>
      </c>
      <c r="J234" s="15">
        <v>46237.708252314813</v>
      </c>
      <c r="K234" s="15">
        <v>46240.458333333336</v>
      </c>
      <c r="L234" s="15"/>
      <c r="M234">
        <v>12</v>
      </c>
      <c r="O234" t="s">
        <v>201</v>
      </c>
      <c r="P234" t="s">
        <v>1954</v>
      </c>
      <c r="S234" t="s">
        <v>355</v>
      </c>
      <c r="T234" t="s">
        <v>369</v>
      </c>
      <c r="U234" t="s">
        <v>239</v>
      </c>
      <c r="V234" t="s">
        <v>7</v>
      </c>
      <c r="W234" t="s">
        <v>7</v>
      </c>
      <c r="X234" t="s">
        <v>7</v>
      </c>
      <c r="AA234" t="s">
        <v>96</v>
      </c>
      <c r="AB234" t="s">
        <v>355</v>
      </c>
      <c r="AC234">
        <v>2200</v>
      </c>
      <c r="AD234" t="s">
        <v>225</v>
      </c>
      <c r="AE234">
        <v>12</v>
      </c>
      <c r="AF234">
        <v>1.2</v>
      </c>
    </row>
    <row r="235" spans="1:32" x14ac:dyDescent="0.3">
      <c r="A235" t="s">
        <v>348</v>
      </c>
      <c r="B235" t="s">
        <v>57</v>
      </c>
      <c r="C235" t="s">
        <v>117</v>
      </c>
      <c r="D235" t="s">
        <v>309</v>
      </c>
      <c r="E235" t="s">
        <v>1125</v>
      </c>
      <c r="F235" s="15">
        <v>46233.719895833332</v>
      </c>
      <c r="G235" t="s">
        <v>420</v>
      </c>
      <c r="H235">
        <v>12</v>
      </c>
      <c r="I235" t="s">
        <v>1142</v>
      </c>
      <c r="J235" s="15">
        <v>46237.708252314813</v>
      </c>
      <c r="K235" s="15">
        <v>46240.458333333336</v>
      </c>
      <c r="L235" s="15"/>
      <c r="M235">
        <v>12</v>
      </c>
      <c r="O235" t="s">
        <v>201</v>
      </c>
      <c r="P235" t="s">
        <v>1954</v>
      </c>
      <c r="S235" t="s">
        <v>355</v>
      </c>
      <c r="T235" t="s">
        <v>369</v>
      </c>
      <c r="U235" t="s">
        <v>239</v>
      </c>
      <c r="V235" t="s">
        <v>7</v>
      </c>
      <c r="W235" t="s">
        <v>7</v>
      </c>
      <c r="X235" t="s">
        <v>7</v>
      </c>
      <c r="AA235" t="s">
        <v>127</v>
      </c>
      <c r="AB235" t="s">
        <v>355</v>
      </c>
      <c r="AC235">
        <v>2200</v>
      </c>
      <c r="AD235" t="s">
        <v>233</v>
      </c>
      <c r="AE235">
        <v>1.2</v>
      </c>
      <c r="AF235">
        <v>1</v>
      </c>
    </row>
    <row r="236" spans="1:32" x14ac:dyDescent="0.3">
      <c r="A236" t="s">
        <v>348</v>
      </c>
      <c r="B236" t="s">
        <v>279</v>
      </c>
      <c r="C236" t="s">
        <v>197</v>
      </c>
      <c r="D236" t="s">
        <v>309</v>
      </c>
      <c r="E236" t="s">
        <v>1125</v>
      </c>
      <c r="F236" s="15">
        <v>46233.719895833332</v>
      </c>
      <c r="G236" t="s">
        <v>420</v>
      </c>
      <c r="H236">
        <v>12</v>
      </c>
      <c r="I236" t="s">
        <v>1142</v>
      </c>
      <c r="J236" s="15">
        <v>46237.708252314813</v>
      </c>
      <c r="K236" s="15">
        <v>46240.458333333336</v>
      </c>
      <c r="L236" s="15"/>
      <c r="M236">
        <v>12</v>
      </c>
      <c r="O236" t="s">
        <v>201</v>
      </c>
      <c r="P236" t="s">
        <v>1954</v>
      </c>
      <c r="S236" t="s">
        <v>355</v>
      </c>
      <c r="T236" t="s">
        <v>369</v>
      </c>
      <c r="U236" t="s">
        <v>239</v>
      </c>
      <c r="V236" t="s">
        <v>7</v>
      </c>
      <c r="W236" t="s">
        <v>7</v>
      </c>
      <c r="X236" t="s">
        <v>7</v>
      </c>
      <c r="Z236">
        <v>16</v>
      </c>
      <c r="AA236" t="s">
        <v>122</v>
      </c>
      <c r="AB236" t="s">
        <v>355</v>
      </c>
      <c r="AC236">
        <v>2200</v>
      </c>
      <c r="AD236" t="s">
        <v>232</v>
      </c>
      <c r="AE236">
        <v>192</v>
      </c>
      <c r="AF236">
        <v>19.2</v>
      </c>
    </row>
    <row r="237" spans="1:32" x14ac:dyDescent="0.3">
      <c r="A237" t="s">
        <v>348</v>
      </c>
      <c r="B237" t="s">
        <v>281</v>
      </c>
      <c r="C237" t="s">
        <v>85</v>
      </c>
      <c r="D237" t="s">
        <v>309</v>
      </c>
      <c r="E237" t="s">
        <v>1125</v>
      </c>
      <c r="F237" s="15">
        <v>46233.719895833332</v>
      </c>
      <c r="G237" t="s">
        <v>420</v>
      </c>
      <c r="H237">
        <v>2</v>
      </c>
      <c r="I237" t="s">
        <v>1127</v>
      </c>
      <c r="J237" s="15">
        <v>46234.408483796295</v>
      </c>
      <c r="K237" s="15">
        <v>46238.436805555553</v>
      </c>
      <c r="L237" s="15"/>
      <c r="M237">
        <v>2</v>
      </c>
      <c r="O237" t="s">
        <v>201</v>
      </c>
      <c r="P237" t="s">
        <v>1954</v>
      </c>
      <c r="S237" t="s">
        <v>355</v>
      </c>
      <c r="T237" t="s">
        <v>369</v>
      </c>
      <c r="U237" t="s">
        <v>239</v>
      </c>
      <c r="V237" t="s">
        <v>7</v>
      </c>
      <c r="W237" t="s">
        <v>7</v>
      </c>
      <c r="X237" t="s">
        <v>7</v>
      </c>
      <c r="Z237">
        <v>1</v>
      </c>
      <c r="AA237" t="s">
        <v>122</v>
      </c>
      <c r="AB237" t="s">
        <v>355</v>
      </c>
      <c r="AC237">
        <v>2200</v>
      </c>
      <c r="AD237" t="s">
        <v>231</v>
      </c>
      <c r="AE237">
        <v>2</v>
      </c>
      <c r="AF237">
        <v>1</v>
      </c>
    </row>
    <row r="238" spans="1:32" x14ac:dyDescent="0.3">
      <c r="A238" t="s">
        <v>348</v>
      </c>
      <c r="B238" t="s">
        <v>279</v>
      </c>
      <c r="C238" t="s">
        <v>197</v>
      </c>
      <c r="D238" t="s">
        <v>309</v>
      </c>
      <c r="E238" t="s">
        <v>1125</v>
      </c>
      <c r="F238" s="15">
        <v>46233.719895833332</v>
      </c>
      <c r="G238" t="s">
        <v>420</v>
      </c>
      <c r="H238">
        <v>108</v>
      </c>
      <c r="I238" t="s">
        <v>1141</v>
      </c>
      <c r="J238" s="15">
        <v>46244.494745370372</v>
      </c>
      <c r="K238" s="15">
        <v>46247.731863425928</v>
      </c>
      <c r="L238" s="15"/>
      <c r="M238">
        <v>108</v>
      </c>
      <c r="O238" t="s">
        <v>201</v>
      </c>
      <c r="P238" t="s">
        <v>1956</v>
      </c>
      <c r="S238" t="s">
        <v>355</v>
      </c>
      <c r="T238" t="s">
        <v>369</v>
      </c>
      <c r="U238" t="s">
        <v>239</v>
      </c>
      <c r="V238" t="s">
        <v>7</v>
      </c>
      <c r="W238" t="s">
        <v>7</v>
      </c>
      <c r="X238" t="s">
        <v>7</v>
      </c>
      <c r="Z238">
        <v>16</v>
      </c>
      <c r="AA238" t="s">
        <v>122</v>
      </c>
      <c r="AB238" t="s">
        <v>355</v>
      </c>
      <c r="AC238">
        <v>2200</v>
      </c>
      <c r="AD238" t="s">
        <v>232</v>
      </c>
      <c r="AE238">
        <v>1728</v>
      </c>
      <c r="AF238">
        <v>172.8</v>
      </c>
    </row>
    <row r="239" spans="1:32" x14ac:dyDescent="0.3">
      <c r="A239" t="s">
        <v>348</v>
      </c>
      <c r="B239" t="s">
        <v>47</v>
      </c>
      <c r="C239" t="s">
        <v>68</v>
      </c>
      <c r="D239" t="s">
        <v>309</v>
      </c>
      <c r="E239" t="s">
        <v>1143</v>
      </c>
      <c r="F239" s="15">
        <v>46211.698680555557</v>
      </c>
      <c r="G239" t="s">
        <v>403</v>
      </c>
      <c r="H239">
        <v>2</v>
      </c>
      <c r="I239" t="s">
        <v>1144</v>
      </c>
      <c r="J239" s="15">
        <v>46219.448703703703</v>
      </c>
      <c r="K239" s="15">
        <v>46220.459722222222</v>
      </c>
      <c r="L239" s="15"/>
      <c r="M239">
        <v>2</v>
      </c>
      <c r="O239" t="s">
        <v>201</v>
      </c>
      <c r="P239" t="s">
        <v>1956</v>
      </c>
      <c r="S239" t="s">
        <v>356</v>
      </c>
      <c r="T239" t="s">
        <v>369</v>
      </c>
      <c r="U239" t="s">
        <v>239</v>
      </c>
      <c r="V239" t="s">
        <v>348</v>
      </c>
      <c r="W239" t="s">
        <v>369</v>
      </c>
      <c r="X239" t="s">
        <v>239</v>
      </c>
      <c r="Y239">
        <v>0</v>
      </c>
      <c r="AA239" t="s">
        <v>90</v>
      </c>
      <c r="AB239" t="s">
        <v>356</v>
      </c>
      <c r="AC239">
        <v>109</v>
      </c>
      <c r="AD239" t="s">
        <v>218</v>
      </c>
      <c r="AE239">
        <v>1</v>
      </c>
      <c r="AF239">
        <v>1</v>
      </c>
    </row>
    <row r="240" spans="1:32" x14ac:dyDescent="0.3">
      <c r="A240" t="s">
        <v>348</v>
      </c>
      <c r="B240" t="s">
        <v>279</v>
      </c>
      <c r="C240" t="s">
        <v>197</v>
      </c>
      <c r="D240" t="s">
        <v>309</v>
      </c>
      <c r="E240" t="s">
        <v>1137</v>
      </c>
      <c r="F240" s="15">
        <v>46217.60359953704</v>
      </c>
      <c r="G240" t="s">
        <v>420</v>
      </c>
      <c r="H240">
        <v>13</v>
      </c>
      <c r="I240" t="s">
        <v>1145</v>
      </c>
      <c r="J240" s="15">
        <v>46237.518055555556</v>
      </c>
      <c r="K240" s="15">
        <v>46239.647916666669</v>
      </c>
      <c r="L240" s="15"/>
      <c r="M240">
        <v>13</v>
      </c>
      <c r="O240" t="s">
        <v>201</v>
      </c>
      <c r="P240" t="s">
        <v>1954</v>
      </c>
      <c r="S240" t="s">
        <v>357</v>
      </c>
      <c r="T240" t="s">
        <v>369</v>
      </c>
      <c r="U240" t="s">
        <v>239</v>
      </c>
      <c r="V240" t="s">
        <v>7</v>
      </c>
      <c r="W240" t="s">
        <v>7</v>
      </c>
      <c r="X240" t="s">
        <v>7</v>
      </c>
      <c r="Z240">
        <v>16</v>
      </c>
      <c r="AA240" t="s">
        <v>122</v>
      </c>
      <c r="AB240" t="s">
        <v>357</v>
      </c>
      <c r="AC240">
        <v>101</v>
      </c>
      <c r="AD240" t="s">
        <v>232</v>
      </c>
      <c r="AE240">
        <v>208</v>
      </c>
      <c r="AF240">
        <v>20.8</v>
      </c>
    </row>
    <row r="241" spans="1:32" x14ac:dyDescent="0.3">
      <c r="A241" t="s">
        <v>348</v>
      </c>
      <c r="B241" t="s">
        <v>57</v>
      </c>
      <c r="C241" t="s">
        <v>117</v>
      </c>
      <c r="D241" t="s">
        <v>309</v>
      </c>
      <c r="E241" t="s">
        <v>1146</v>
      </c>
      <c r="F241" s="15">
        <v>46247.424131944441</v>
      </c>
      <c r="G241" t="s">
        <v>399</v>
      </c>
      <c r="H241">
        <v>1</v>
      </c>
      <c r="I241" t="s">
        <v>1147</v>
      </c>
      <c r="J241" s="15">
        <v>46247.640277777777</v>
      </c>
      <c r="K241" s="15">
        <v>46253.622916666667</v>
      </c>
      <c r="L241" s="15"/>
      <c r="M241">
        <v>1</v>
      </c>
      <c r="O241" t="s">
        <v>201</v>
      </c>
      <c r="P241" t="s">
        <v>1954</v>
      </c>
      <c r="S241" t="s">
        <v>353</v>
      </c>
      <c r="T241" t="s">
        <v>368</v>
      </c>
      <c r="U241" t="s">
        <v>239</v>
      </c>
      <c r="V241" t="s">
        <v>7</v>
      </c>
      <c r="W241" t="s">
        <v>7</v>
      </c>
      <c r="X241" t="s">
        <v>7</v>
      </c>
      <c r="AA241" t="s">
        <v>127</v>
      </c>
      <c r="AB241" t="s">
        <v>353</v>
      </c>
      <c r="AC241">
        <v>2100</v>
      </c>
      <c r="AD241" t="s">
        <v>233</v>
      </c>
      <c r="AE241">
        <v>1</v>
      </c>
      <c r="AF241">
        <v>1</v>
      </c>
    </row>
    <row r="242" spans="1:32" x14ac:dyDescent="0.3">
      <c r="A242" t="s">
        <v>348</v>
      </c>
      <c r="B242" t="s">
        <v>57</v>
      </c>
      <c r="C242" t="s">
        <v>117</v>
      </c>
      <c r="D242" t="s">
        <v>309</v>
      </c>
      <c r="E242" t="s">
        <v>1148</v>
      </c>
      <c r="F242" s="15">
        <v>46241.653622685182</v>
      </c>
      <c r="G242" t="s">
        <v>399</v>
      </c>
      <c r="H242">
        <v>1</v>
      </c>
      <c r="I242" t="s">
        <v>1149</v>
      </c>
      <c r="J242" s="15">
        <v>46247.673611111109</v>
      </c>
      <c r="K242" s="15">
        <v>46253.618055555555</v>
      </c>
      <c r="L242" s="15"/>
      <c r="M242">
        <v>1</v>
      </c>
      <c r="O242" t="s">
        <v>201</v>
      </c>
      <c r="P242" t="s">
        <v>1954</v>
      </c>
      <c r="S242" t="s">
        <v>353</v>
      </c>
      <c r="T242" t="s">
        <v>368</v>
      </c>
      <c r="U242" t="s">
        <v>239</v>
      </c>
      <c r="V242" t="s">
        <v>7</v>
      </c>
      <c r="W242" t="s">
        <v>7</v>
      </c>
      <c r="X242" t="s">
        <v>7</v>
      </c>
      <c r="AA242" t="s">
        <v>127</v>
      </c>
      <c r="AB242" t="s">
        <v>353</v>
      </c>
      <c r="AC242">
        <v>2100</v>
      </c>
      <c r="AD242" t="s">
        <v>233</v>
      </c>
      <c r="AE242">
        <v>1</v>
      </c>
    </row>
    <row r="243" spans="1:32" x14ac:dyDescent="0.3">
      <c r="A243" t="s">
        <v>348</v>
      </c>
      <c r="B243" t="s">
        <v>57</v>
      </c>
      <c r="C243" t="s">
        <v>117</v>
      </c>
      <c r="D243" t="s">
        <v>309</v>
      </c>
      <c r="E243" t="s">
        <v>1150</v>
      </c>
      <c r="F243" s="15">
        <v>46238.350578703707</v>
      </c>
      <c r="G243" t="s">
        <v>399</v>
      </c>
      <c r="H243">
        <v>1</v>
      </c>
      <c r="I243" t="s">
        <v>1151</v>
      </c>
      <c r="J243" s="15">
        <v>46238.650694444441</v>
      </c>
      <c r="K243" s="15">
        <v>46241.494444444441</v>
      </c>
      <c r="L243" s="15"/>
      <c r="M243">
        <v>1</v>
      </c>
      <c r="O243" t="s">
        <v>201</v>
      </c>
      <c r="P243" t="s">
        <v>1954</v>
      </c>
      <c r="S243" t="s">
        <v>353</v>
      </c>
      <c r="T243" t="s">
        <v>368</v>
      </c>
      <c r="U243" t="s">
        <v>239</v>
      </c>
      <c r="V243" t="s">
        <v>7</v>
      </c>
      <c r="W243" t="s">
        <v>7</v>
      </c>
      <c r="X243" t="s">
        <v>7</v>
      </c>
      <c r="AA243" t="s">
        <v>127</v>
      </c>
      <c r="AB243" t="s">
        <v>353</v>
      </c>
      <c r="AC243">
        <v>2100</v>
      </c>
      <c r="AD243" t="s">
        <v>233</v>
      </c>
      <c r="AE243">
        <v>1</v>
      </c>
      <c r="AF243">
        <v>1</v>
      </c>
    </row>
    <row r="244" spans="1:32" x14ac:dyDescent="0.3">
      <c r="A244" t="s">
        <v>348</v>
      </c>
      <c r="B244" t="s">
        <v>279</v>
      </c>
      <c r="C244" t="s">
        <v>192</v>
      </c>
      <c r="D244" t="s">
        <v>309</v>
      </c>
      <c r="E244" t="s">
        <v>1146</v>
      </c>
      <c r="F244" s="15">
        <v>46247.424131944441</v>
      </c>
      <c r="G244" t="s">
        <v>399</v>
      </c>
      <c r="H244">
        <v>557</v>
      </c>
      <c r="I244" t="s">
        <v>1147</v>
      </c>
      <c r="J244" s="15">
        <v>46247.640277777777</v>
      </c>
      <c r="K244" s="15">
        <v>46253.622916666667</v>
      </c>
      <c r="L244" s="15"/>
      <c r="M244">
        <v>557</v>
      </c>
      <c r="O244" t="s">
        <v>201</v>
      </c>
      <c r="P244" t="s">
        <v>1956</v>
      </c>
      <c r="S244" t="s">
        <v>353</v>
      </c>
      <c r="T244" t="s">
        <v>368</v>
      </c>
      <c r="U244" t="s">
        <v>239</v>
      </c>
      <c r="V244" t="s">
        <v>7</v>
      </c>
      <c r="W244" t="s">
        <v>7</v>
      </c>
      <c r="X244" t="s">
        <v>7</v>
      </c>
      <c r="Z244">
        <v>1</v>
      </c>
      <c r="AA244" t="s">
        <v>122</v>
      </c>
      <c r="AB244" t="s">
        <v>353</v>
      </c>
      <c r="AC244">
        <v>2100</v>
      </c>
      <c r="AD244" t="s">
        <v>232</v>
      </c>
      <c r="AE244">
        <v>557</v>
      </c>
      <c r="AF244">
        <v>95</v>
      </c>
    </row>
    <row r="245" spans="1:32" x14ac:dyDescent="0.3">
      <c r="A245" t="s">
        <v>348</v>
      </c>
      <c r="B245" t="s">
        <v>279</v>
      </c>
      <c r="C245" t="s">
        <v>192</v>
      </c>
      <c r="D245" t="s">
        <v>309</v>
      </c>
      <c r="E245" t="s">
        <v>1148</v>
      </c>
      <c r="F245" s="15">
        <v>46241.653622685182</v>
      </c>
      <c r="G245" t="s">
        <v>399</v>
      </c>
      <c r="H245">
        <v>393</v>
      </c>
      <c r="I245" t="s">
        <v>1149</v>
      </c>
      <c r="J245" s="15">
        <v>46247.673611111109</v>
      </c>
      <c r="K245" s="15">
        <v>46253.618055555555</v>
      </c>
      <c r="L245" s="15"/>
      <c r="M245">
        <v>393</v>
      </c>
      <c r="O245" t="s">
        <v>201</v>
      </c>
      <c r="P245" t="s">
        <v>1956</v>
      </c>
      <c r="S245" t="s">
        <v>353</v>
      </c>
      <c r="T245" t="s">
        <v>368</v>
      </c>
      <c r="U245" t="s">
        <v>239</v>
      </c>
      <c r="V245" t="s">
        <v>7</v>
      </c>
      <c r="W245" t="s">
        <v>7</v>
      </c>
      <c r="X245" t="s">
        <v>7</v>
      </c>
      <c r="Z245">
        <v>1</v>
      </c>
      <c r="AA245" t="s">
        <v>122</v>
      </c>
      <c r="AB245" t="s">
        <v>353</v>
      </c>
      <c r="AC245">
        <v>2100</v>
      </c>
      <c r="AD245" t="s">
        <v>232</v>
      </c>
      <c r="AE245">
        <v>393</v>
      </c>
    </row>
    <row r="246" spans="1:32" x14ac:dyDescent="0.3">
      <c r="A246" t="s">
        <v>348</v>
      </c>
      <c r="B246" t="s">
        <v>279</v>
      </c>
      <c r="C246" t="s">
        <v>192</v>
      </c>
      <c r="D246" t="s">
        <v>309</v>
      </c>
      <c r="E246" t="s">
        <v>1150</v>
      </c>
      <c r="F246" s="15">
        <v>46238.350578703707</v>
      </c>
      <c r="G246" t="s">
        <v>399</v>
      </c>
      <c r="H246">
        <v>224</v>
      </c>
      <c r="I246" t="s">
        <v>1151</v>
      </c>
      <c r="J246" s="15">
        <v>46238.650694444441</v>
      </c>
      <c r="K246" s="15">
        <v>46241.494444444441</v>
      </c>
      <c r="L246" s="15"/>
      <c r="M246">
        <v>224</v>
      </c>
      <c r="O246" t="s">
        <v>201</v>
      </c>
      <c r="P246" t="s">
        <v>1954</v>
      </c>
      <c r="S246" t="s">
        <v>353</v>
      </c>
      <c r="T246" t="s">
        <v>368</v>
      </c>
      <c r="U246" t="s">
        <v>239</v>
      </c>
      <c r="V246" t="s">
        <v>7</v>
      </c>
      <c r="W246" t="s">
        <v>7</v>
      </c>
      <c r="X246" t="s">
        <v>7</v>
      </c>
      <c r="Z246">
        <v>1</v>
      </c>
      <c r="AA246" t="s">
        <v>122</v>
      </c>
      <c r="AB246" t="s">
        <v>353</v>
      </c>
      <c r="AC246">
        <v>2100</v>
      </c>
      <c r="AD246" t="s">
        <v>232</v>
      </c>
      <c r="AE246">
        <v>224</v>
      </c>
      <c r="AF246">
        <v>22.4</v>
      </c>
    </row>
    <row r="247" spans="1:32" x14ac:dyDescent="0.3">
      <c r="A247" t="s">
        <v>348</v>
      </c>
      <c r="B247" t="s">
        <v>63</v>
      </c>
      <c r="C247" t="s">
        <v>95</v>
      </c>
      <c r="D247" t="s">
        <v>309</v>
      </c>
      <c r="E247" t="s">
        <v>1146</v>
      </c>
      <c r="F247" s="15">
        <v>46247.424131944441</v>
      </c>
      <c r="G247" t="s">
        <v>399</v>
      </c>
      <c r="H247">
        <v>1</v>
      </c>
      <c r="I247" t="s">
        <v>1147</v>
      </c>
      <c r="J247" s="15">
        <v>46247.640277777777</v>
      </c>
      <c r="K247" s="15">
        <v>46253.622916666667</v>
      </c>
      <c r="L247" s="15"/>
      <c r="M247">
        <v>1</v>
      </c>
      <c r="O247" t="s">
        <v>201</v>
      </c>
      <c r="P247" t="s">
        <v>1954</v>
      </c>
      <c r="S247" t="s">
        <v>353</v>
      </c>
      <c r="T247" t="s">
        <v>368</v>
      </c>
      <c r="U247" t="s">
        <v>239</v>
      </c>
      <c r="V247" t="s">
        <v>7</v>
      </c>
      <c r="W247" t="s">
        <v>7</v>
      </c>
      <c r="X247" t="s">
        <v>7</v>
      </c>
      <c r="AA247" t="s">
        <v>96</v>
      </c>
      <c r="AB247" t="s">
        <v>353</v>
      </c>
      <c r="AC247">
        <v>2100</v>
      </c>
      <c r="AD247" t="s">
        <v>225</v>
      </c>
      <c r="AE247">
        <v>1</v>
      </c>
      <c r="AF247">
        <v>1</v>
      </c>
    </row>
    <row r="248" spans="1:32" x14ac:dyDescent="0.3">
      <c r="A248" t="s">
        <v>348</v>
      </c>
      <c r="B248" t="s">
        <v>63</v>
      </c>
      <c r="C248" t="s">
        <v>95</v>
      </c>
      <c r="D248" t="s">
        <v>309</v>
      </c>
      <c r="E248" t="s">
        <v>1148</v>
      </c>
      <c r="F248" s="15">
        <v>46241.653622685182</v>
      </c>
      <c r="G248" t="s">
        <v>399</v>
      </c>
      <c r="H248">
        <v>1</v>
      </c>
      <c r="I248" t="s">
        <v>1149</v>
      </c>
      <c r="J248" s="15">
        <v>46247.673611111109</v>
      </c>
      <c r="K248" s="15">
        <v>46253.618055555555</v>
      </c>
      <c r="L248" s="15"/>
      <c r="M248">
        <v>1</v>
      </c>
      <c r="O248" t="s">
        <v>201</v>
      </c>
      <c r="P248" t="s">
        <v>1954</v>
      </c>
      <c r="S248" t="s">
        <v>353</v>
      </c>
      <c r="T248" t="s">
        <v>368</v>
      </c>
      <c r="U248" t="s">
        <v>239</v>
      </c>
      <c r="V248" t="s">
        <v>7</v>
      </c>
      <c r="W248" t="s">
        <v>7</v>
      </c>
      <c r="X248" t="s">
        <v>7</v>
      </c>
      <c r="AA248" t="s">
        <v>96</v>
      </c>
      <c r="AB248" t="s">
        <v>353</v>
      </c>
      <c r="AC248">
        <v>2100</v>
      </c>
      <c r="AD248" t="s">
        <v>225</v>
      </c>
      <c r="AE248">
        <v>1</v>
      </c>
    </row>
    <row r="249" spans="1:32" x14ac:dyDescent="0.3">
      <c r="A249" t="s">
        <v>348</v>
      </c>
      <c r="B249" t="s">
        <v>63</v>
      </c>
      <c r="C249" t="s">
        <v>95</v>
      </c>
      <c r="D249" t="s">
        <v>309</v>
      </c>
      <c r="E249" t="s">
        <v>1150</v>
      </c>
      <c r="F249" s="15">
        <v>46238.350578703707</v>
      </c>
      <c r="G249" t="s">
        <v>399</v>
      </c>
      <c r="H249">
        <v>1</v>
      </c>
      <c r="I249" t="s">
        <v>1151</v>
      </c>
      <c r="J249" s="15">
        <v>46238.650694444441</v>
      </c>
      <c r="K249" s="15">
        <v>46241.494444444441</v>
      </c>
      <c r="L249" s="15"/>
      <c r="M249">
        <v>1</v>
      </c>
      <c r="O249" t="s">
        <v>201</v>
      </c>
      <c r="P249" t="s">
        <v>1954</v>
      </c>
      <c r="S249" t="s">
        <v>353</v>
      </c>
      <c r="T249" t="s">
        <v>368</v>
      </c>
      <c r="U249" t="s">
        <v>239</v>
      </c>
      <c r="V249" t="s">
        <v>7</v>
      </c>
      <c r="W249" t="s">
        <v>7</v>
      </c>
      <c r="X249" t="s">
        <v>7</v>
      </c>
      <c r="AA249" t="s">
        <v>96</v>
      </c>
      <c r="AB249" t="s">
        <v>353</v>
      </c>
      <c r="AC249">
        <v>2100</v>
      </c>
      <c r="AD249" t="s">
        <v>225</v>
      </c>
      <c r="AE249">
        <v>1</v>
      </c>
      <c r="AF249">
        <v>1</v>
      </c>
    </row>
    <row r="250" spans="1:32" x14ac:dyDescent="0.3">
      <c r="A250" t="s">
        <v>348</v>
      </c>
      <c r="B250" t="s">
        <v>45</v>
      </c>
      <c r="C250" t="s">
        <v>68</v>
      </c>
      <c r="D250" t="s">
        <v>309</v>
      </c>
      <c r="E250" t="s">
        <v>1152</v>
      </c>
      <c r="F250" s="15">
        <v>46234.569490740738</v>
      </c>
      <c r="G250" t="s">
        <v>398</v>
      </c>
      <c r="H250">
        <v>5</v>
      </c>
      <c r="I250" t="s">
        <v>1153</v>
      </c>
      <c r="J250" s="15">
        <v>46234.710416666669</v>
      </c>
      <c r="K250" s="15">
        <v>46239.541666666664</v>
      </c>
      <c r="L250" s="15"/>
      <c r="M250">
        <v>5</v>
      </c>
      <c r="O250" t="s">
        <v>201</v>
      </c>
      <c r="P250" t="s">
        <v>1956</v>
      </c>
      <c r="S250" t="s">
        <v>353</v>
      </c>
      <c r="T250" t="s">
        <v>368</v>
      </c>
      <c r="U250" t="s">
        <v>239</v>
      </c>
      <c r="V250" t="s">
        <v>348</v>
      </c>
      <c r="W250" t="s">
        <v>369</v>
      </c>
      <c r="X250" t="s">
        <v>239</v>
      </c>
      <c r="Y250">
        <v>103</v>
      </c>
      <c r="AA250" t="s">
        <v>67</v>
      </c>
      <c r="AB250" t="s">
        <v>353</v>
      </c>
      <c r="AC250">
        <v>2100</v>
      </c>
      <c r="AD250" t="s">
        <v>217</v>
      </c>
      <c r="AE250">
        <v>1</v>
      </c>
      <c r="AF250">
        <v>1</v>
      </c>
    </row>
    <row r="251" spans="1:32" x14ac:dyDescent="0.3">
      <c r="A251" t="s">
        <v>348</v>
      </c>
      <c r="B251" t="s">
        <v>45</v>
      </c>
      <c r="C251" t="s">
        <v>68</v>
      </c>
      <c r="D251" t="s">
        <v>309</v>
      </c>
      <c r="E251" t="s">
        <v>1154</v>
      </c>
      <c r="F251" s="15">
        <v>46233.473078703704</v>
      </c>
      <c r="G251" t="s">
        <v>398</v>
      </c>
      <c r="H251">
        <v>3</v>
      </c>
      <c r="I251" t="s">
        <v>1155</v>
      </c>
      <c r="J251" s="15">
        <v>46233.640972222223</v>
      </c>
      <c r="K251" s="15">
        <v>46237.458333333336</v>
      </c>
      <c r="L251" s="15"/>
      <c r="M251">
        <v>3</v>
      </c>
      <c r="O251" t="s">
        <v>201</v>
      </c>
      <c r="P251" t="s">
        <v>1954</v>
      </c>
      <c r="S251" t="s">
        <v>353</v>
      </c>
      <c r="T251" t="s">
        <v>368</v>
      </c>
      <c r="U251" t="s">
        <v>239</v>
      </c>
      <c r="V251" t="s">
        <v>348</v>
      </c>
      <c r="W251" t="s">
        <v>369</v>
      </c>
      <c r="X251" t="s">
        <v>239</v>
      </c>
      <c r="Y251">
        <v>103</v>
      </c>
      <c r="AA251" t="s">
        <v>67</v>
      </c>
      <c r="AB251" t="s">
        <v>353</v>
      </c>
      <c r="AC251">
        <v>2100</v>
      </c>
      <c r="AD251" t="s">
        <v>217</v>
      </c>
      <c r="AE251">
        <v>1</v>
      </c>
      <c r="AF251">
        <v>1</v>
      </c>
    </row>
    <row r="252" spans="1:32" x14ac:dyDescent="0.3">
      <c r="A252" t="s">
        <v>348</v>
      </c>
      <c r="B252" t="s">
        <v>45</v>
      </c>
      <c r="C252" t="s">
        <v>68</v>
      </c>
      <c r="D252" t="s">
        <v>309</v>
      </c>
      <c r="E252" t="s">
        <v>1156</v>
      </c>
      <c r="F252" s="15">
        <v>46233.472222222219</v>
      </c>
      <c r="G252" t="s">
        <v>398</v>
      </c>
      <c r="H252">
        <v>2</v>
      </c>
      <c r="I252" t="s">
        <v>1155</v>
      </c>
      <c r="J252" s="15">
        <v>46233.640972222223</v>
      </c>
      <c r="K252" s="15">
        <v>46237.458333333336</v>
      </c>
      <c r="L252" s="15"/>
      <c r="M252">
        <v>2</v>
      </c>
      <c r="O252" t="s">
        <v>201</v>
      </c>
      <c r="P252" t="s">
        <v>1954</v>
      </c>
      <c r="S252" t="s">
        <v>353</v>
      </c>
      <c r="T252" t="s">
        <v>368</v>
      </c>
      <c r="U252" t="s">
        <v>239</v>
      </c>
      <c r="V252" t="s">
        <v>348</v>
      </c>
      <c r="W252" t="s">
        <v>369</v>
      </c>
      <c r="X252" t="s">
        <v>239</v>
      </c>
      <c r="AA252" t="s">
        <v>67</v>
      </c>
      <c r="AB252" t="s">
        <v>353</v>
      </c>
      <c r="AC252">
        <v>2100</v>
      </c>
      <c r="AD252" t="s">
        <v>217</v>
      </c>
      <c r="AE252">
        <v>1</v>
      </c>
    </row>
    <row r="253" spans="1:32" x14ac:dyDescent="0.3">
      <c r="A253" t="s">
        <v>348</v>
      </c>
      <c r="B253" t="s">
        <v>45</v>
      </c>
      <c r="C253" t="s">
        <v>68</v>
      </c>
      <c r="D253" t="s">
        <v>309</v>
      </c>
      <c r="E253" t="s">
        <v>1157</v>
      </c>
      <c r="F253" s="15">
        <v>46233.471770833334</v>
      </c>
      <c r="G253" t="s">
        <v>398</v>
      </c>
      <c r="H253">
        <v>3</v>
      </c>
      <c r="I253" t="s">
        <v>1155</v>
      </c>
      <c r="J253" s="15">
        <v>46233.640972222223</v>
      </c>
      <c r="K253" s="15">
        <v>46237.458333333336</v>
      </c>
      <c r="L253" s="15"/>
      <c r="M253">
        <v>3</v>
      </c>
      <c r="O253" t="s">
        <v>201</v>
      </c>
      <c r="P253" t="s">
        <v>1954</v>
      </c>
      <c r="S253" t="s">
        <v>353</v>
      </c>
      <c r="T253" t="s">
        <v>368</v>
      </c>
      <c r="U253" t="s">
        <v>239</v>
      </c>
      <c r="V253" t="s">
        <v>348</v>
      </c>
      <c r="W253" t="s">
        <v>369</v>
      </c>
      <c r="X253" t="s">
        <v>239</v>
      </c>
      <c r="AA253" t="s">
        <v>67</v>
      </c>
      <c r="AB253" t="s">
        <v>353</v>
      </c>
      <c r="AC253">
        <v>2100</v>
      </c>
      <c r="AD253" t="s">
        <v>217</v>
      </c>
      <c r="AE253">
        <v>1</v>
      </c>
    </row>
    <row r="254" spans="1:32" x14ac:dyDescent="0.3">
      <c r="A254" t="s">
        <v>348</v>
      </c>
      <c r="B254" t="s">
        <v>279</v>
      </c>
      <c r="C254" t="s">
        <v>197</v>
      </c>
      <c r="D254" t="s">
        <v>309</v>
      </c>
      <c r="E254" t="s">
        <v>1158</v>
      </c>
      <c r="F254" s="15">
        <v>46239.427071759259</v>
      </c>
      <c r="G254" t="s">
        <v>402</v>
      </c>
      <c r="H254">
        <v>1</v>
      </c>
      <c r="I254" t="s">
        <v>1159</v>
      </c>
      <c r="J254" s="15">
        <v>46240.368750000001</v>
      </c>
      <c r="K254" s="15">
        <v>46246.47152777778</v>
      </c>
      <c r="L254" s="15"/>
      <c r="M254">
        <v>1</v>
      </c>
      <c r="O254" t="s">
        <v>201</v>
      </c>
      <c r="P254" t="s">
        <v>1956</v>
      </c>
      <c r="S254" t="s">
        <v>353</v>
      </c>
      <c r="T254" t="s">
        <v>368</v>
      </c>
      <c r="U254" t="s">
        <v>239</v>
      </c>
      <c r="V254" t="s">
        <v>7</v>
      </c>
      <c r="W254" t="s">
        <v>7</v>
      </c>
      <c r="X254" t="s">
        <v>7</v>
      </c>
      <c r="Z254">
        <v>16</v>
      </c>
      <c r="AA254" t="s">
        <v>122</v>
      </c>
      <c r="AB254" t="s">
        <v>353</v>
      </c>
      <c r="AC254">
        <v>2100</v>
      </c>
      <c r="AD254" t="s">
        <v>232</v>
      </c>
      <c r="AE254">
        <v>16</v>
      </c>
      <c r="AF254">
        <v>60.8</v>
      </c>
    </row>
    <row r="255" spans="1:32" x14ac:dyDescent="0.3">
      <c r="A255" t="s">
        <v>348</v>
      </c>
      <c r="B255" t="s">
        <v>279</v>
      </c>
      <c r="C255" t="s">
        <v>197</v>
      </c>
      <c r="D255" t="s">
        <v>309</v>
      </c>
      <c r="E255" t="s">
        <v>1158</v>
      </c>
      <c r="F255" s="15">
        <v>46239.427071759259</v>
      </c>
      <c r="G255" t="s">
        <v>402</v>
      </c>
      <c r="H255">
        <v>9</v>
      </c>
      <c r="I255" t="s">
        <v>1159</v>
      </c>
      <c r="J255" s="15">
        <v>46240.368750000001</v>
      </c>
      <c r="K255" s="15">
        <v>46246.47152777778</v>
      </c>
      <c r="L255" s="15"/>
      <c r="M255">
        <v>9</v>
      </c>
      <c r="O255" t="s">
        <v>1958</v>
      </c>
      <c r="S255" t="s">
        <v>353</v>
      </c>
      <c r="T255" t="s">
        <v>368</v>
      </c>
      <c r="U255" t="s">
        <v>239</v>
      </c>
      <c r="V255" t="s">
        <v>7</v>
      </c>
      <c r="W255" t="s">
        <v>7</v>
      </c>
      <c r="X255" t="s">
        <v>7</v>
      </c>
      <c r="Z255">
        <v>16</v>
      </c>
      <c r="AA255" t="s">
        <v>122</v>
      </c>
      <c r="AB255" t="s">
        <v>353</v>
      </c>
      <c r="AC255">
        <v>2100</v>
      </c>
      <c r="AD255" t="s">
        <v>232</v>
      </c>
      <c r="AE255">
        <v>144</v>
      </c>
    </row>
    <row r="256" spans="1:32" x14ac:dyDescent="0.3">
      <c r="A256" t="s">
        <v>348</v>
      </c>
      <c r="B256" t="s">
        <v>279</v>
      </c>
      <c r="C256" t="s">
        <v>197</v>
      </c>
      <c r="D256" t="s">
        <v>309</v>
      </c>
      <c r="E256" t="s">
        <v>1158</v>
      </c>
      <c r="F256" s="15">
        <v>46239.427071759259</v>
      </c>
      <c r="G256" t="s">
        <v>402</v>
      </c>
      <c r="H256">
        <v>25</v>
      </c>
      <c r="I256" t="s">
        <v>1159</v>
      </c>
      <c r="J256" s="15">
        <v>46240.368750000001</v>
      </c>
      <c r="K256" s="15">
        <v>46246.47152777778</v>
      </c>
      <c r="L256" s="15"/>
      <c r="M256">
        <v>25</v>
      </c>
      <c r="O256" t="s">
        <v>1958</v>
      </c>
      <c r="S256" t="s">
        <v>353</v>
      </c>
      <c r="T256" t="s">
        <v>368</v>
      </c>
      <c r="U256" t="s">
        <v>239</v>
      </c>
      <c r="V256" t="s">
        <v>7</v>
      </c>
      <c r="W256" t="s">
        <v>7</v>
      </c>
      <c r="X256" t="s">
        <v>7</v>
      </c>
      <c r="Z256">
        <v>16</v>
      </c>
      <c r="AA256" t="s">
        <v>122</v>
      </c>
      <c r="AB256" t="s">
        <v>353</v>
      </c>
      <c r="AC256">
        <v>2100</v>
      </c>
      <c r="AD256" t="s">
        <v>232</v>
      </c>
      <c r="AE256">
        <v>400</v>
      </c>
    </row>
    <row r="257" spans="1:32" x14ac:dyDescent="0.3">
      <c r="A257" t="s">
        <v>348</v>
      </c>
      <c r="B257" t="s">
        <v>279</v>
      </c>
      <c r="C257" t="s">
        <v>197</v>
      </c>
      <c r="D257" t="s">
        <v>309</v>
      </c>
      <c r="E257" t="s">
        <v>1158</v>
      </c>
      <c r="F257" s="15">
        <v>46239.427071759259</v>
      </c>
      <c r="G257" t="s">
        <v>402</v>
      </c>
      <c r="H257">
        <v>1</v>
      </c>
      <c r="I257" t="s">
        <v>1159</v>
      </c>
      <c r="J257" s="15">
        <v>46240.368750000001</v>
      </c>
      <c r="K257" s="15">
        <v>46246.47152777778</v>
      </c>
      <c r="L257" s="15"/>
      <c r="M257">
        <v>1</v>
      </c>
      <c r="O257" t="s">
        <v>1958</v>
      </c>
      <c r="S257" t="s">
        <v>353</v>
      </c>
      <c r="T257" t="s">
        <v>368</v>
      </c>
      <c r="U257" t="s">
        <v>239</v>
      </c>
      <c r="V257" t="s">
        <v>7</v>
      </c>
      <c r="W257" t="s">
        <v>7</v>
      </c>
      <c r="X257" t="s">
        <v>7</v>
      </c>
      <c r="Z257">
        <v>16</v>
      </c>
      <c r="AA257" t="s">
        <v>122</v>
      </c>
      <c r="AB257" t="s">
        <v>353</v>
      </c>
      <c r="AC257">
        <v>2100</v>
      </c>
      <c r="AD257" t="s">
        <v>232</v>
      </c>
      <c r="AE257">
        <v>16</v>
      </c>
    </row>
    <row r="258" spans="1:32" x14ac:dyDescent="0.3">
      <c r="A258" t="s">
        <v>348</v>
      </c>
      <c r="B258" t="s">
        <v>279</v>
      </c>
      <c r="C258" t="s">
        <v>197</v>
      </c>
      <c r="D258" t="s">
        <v>309</v>
      </c>
      <c r="E258" t="s">
        <v>1158</v>
      </c>
      <c r="F258" s="15">
        <v>46239.427071759259</v>
      </c>
      <c r="G258" t="s">
        <v>402</v>
      </c>
      <c r="H258">
        <v>2</v>
      </c>
      <c r="I258" t="s">
        <v>1159</v>
      </c>
      <c r="J258" s="15">
        <v>46240.368750000001</v>
      </c>
      <c r="K258" s="15">
        <v>46246.47152777778</v>
      </c>
      <c r="L258" s="15"/>
      <c r="M258">
        <v>2</v>
      </c>
      <c r="O258" t="s">
        <v>1958</v>
      </c>
      <c r="S258" t="s">
        <v>353</v>
      </c>
      <c r="T258" t="s">
        <v>368</v>
      </c>
      <c r="U258" t="s">
        <v>239</v>
      </c>
      <c r="V258" t="s">
        <v>7</v>
      </c>
      <c r="W258" t="s">
        <v>7</v>
      </c>
      <c r="X258" t="s">
        <v>7</v>
      </c>
      <c r="Z258">
        <v>16</v>
      </c>
      <c r="AA258" t="s">
        <v>122</v>
      </c>
      <c r="AB258" t="s">
        <v>353</v>
      </c>
      <c r="AC258">
        <v>2100</v>
      </c>
      <c r="AD258" t="s">
        <v>232</v>
      </c>
      <c r="AE258">
        <v>32</v>
      </c>
    </row>
    <row r="259" spans="1:32" x14ac:dyDescent="0.3">
      <c r="A259" t="s">
        <v>348</v>
      </c>
      <c r="B259" t="s">
        <v>63</v>
      </c>
      <c r="C259" t="s">
        <v>95</v>
      </c>
      <c r="D259" t="s">
        <v>309</v>
      </c>
      <c r="E259" t="s">
        <v>1158</v>
      </c>
      <c r="F259" s="15">
        <v>46239.427071759259</v>
      </c>
      <c r="G259" t="s">
        <v>402</v>
      </c>
      <c r="H259">
        <v>9</v>
      </c>
      <c r="I259" t="s">
        <v>1159</v>
      </c>
      <c r="J259" s="15">
        <v>46240.368750000001</v>
      </c>
      <c r="K259" s="15">
        <v>46246.47152777778</v>
      </c>
      <c r="L259" s="15"/>
      <c r="M259">
        <v>9</v>
      </c>
      <c r="O259" t="s">
        <v>201</v>
      </c>
      <c r="P259" t="s">
        <v>1954</v>
      </c>
      <c r="S259" t="s">
        <v>353</v>
      </c>
      <c r="T259" t="s">
        <v>368</v>
      </c>
      <c r="U259" t="s">
        <v>239</v>
      </c>
      <c r="V259" t="s">
        <v>7</v>
      </c>
      <c r="W259" t="s">
        <v>7</v>
      </c>
      <c r="X259" t="s">
        <v>7</v>
      </c>
      <c r="AA259" t="s">
        <v>96</v>
      </c>
      <c r="AB259" t="s">
        <v>353</v>
      </c>
      <c r="AC259">
        <v>2100</v>
      </c>
      <c r="AD259" t="s">
        <v>225</v>
      </c>
      <c r="AE259">
        <v>9</v>
      </c>
      <c r="AF259">
        <v>3.8</v>
      </c>
    </row>
    <row r="260" spans="1:32" x14ac:dyDescent="0.3">
      <c r="A260" t="s">
        <v>348</v>
      </c>
      <c r="B260" t="s">
        <v>63</v>
      </c>
      <c r="C260" t="s">
        <v>95</v>
      </c>
      <c r="D260" t="s">
        <v>309</v>
      </c>
      <c r="E260" t="s">
        <v>1158</v>
      </c>
      <c r="F260" s="15">
        <v>46239.427071759259</v>
      </c>
      <c r="G260" t="s">
        <v>402</v>
      </c>
      <c r="H260">
        <v>25</v>
      </c>
      <c r="I260" t="s">
        <v>1159</v>
      </c>
      <c r="J260" s="15">
        <v>46240.368750000001</v>
      </c>
      <c r="K260" s="15">
        <v>46246.47152777778</v>
      </c>
      <c r="L260" s="15"/>
      <c r="M260">
        <v>25</v>
      </c>
      <c r="O260" t="s">
        <v>1958</v>
      </c>
      <c r="S260" t="s">
        <v>353</v>
      </c>
      <c r="T260" t="s">
        <v>368</v>
      </c>
      <c r="U260" t="s">
        <v>239</v>
      </c>
      <c r="V260" t="s">
        <v>7</v>
      </c>
      <c r="W260" t="s">
        <v>7</v>
      </c>
      <c r="X260" t="s">
        <v>7</v>
      </c>
      <c r="AA260" t="s">
        <v>96</v>
      </c>
      <c r="AB260" t="s">
        <v>353</v>
      </c>
      <c r="AC260">
        <v>2100</v>
      </c>
      <c r="AD260" t="s">
        <v>225</v>
      </c>
      <c r="AE260">
        <v>25</v>
      </c>
    </row>
    <row r="261" spans="1:32" x14ac:dyDescent="0.3">
      <c r="A261" t="s">
        <v>348</v>
      </c>
      <c r="B261" t="s">
        <v>63</v>
      </c>
      <c r="C261" t="s">
        <v>95</v>
      </c>
      <c r="D261" t="s">
        <v>309</v>
      </c>
      <c r="E261" t="s">
        <v>1158</v>
      </c>
      <c r="F261" s="15">
        <v>46239.427071759259</v>
      </c>
      <c r="G261" t="s">
        <v>402</v>
      </c>
      <c r="H261">
        <v>1</v>
      </c>
      <c r="I261" t="s">
        <v>1159</v>
      </c>
      <c r="J261" s="15">
        <v>46240.368750000001</v>
      </c>
      <c r="K261" s="15">
        <v>46246.47152777778</v>
      </c>
      <c r="L261" s="15"/>
      <c r="M261">
        <v>1</v>
      </c>
      <c r="O261" t="s">
        <v>1958</v>
      </c>
      <c r="S261" t="s">
        <v>353</v>
      </c>
      <c r="T261" t="s">
        <v>368</v>
      </c>
      <c r="U261" t="s">
        <v>239</v>
      </c>
      <c r="V261" t="s">
        <v>7</v>
      </c>
      <c r="W261" t="s">
        <v>7</v>
      </c>
      <c r="X261" t="s">
        <v>7</v>
      </c>
      <c r="AA261" t="s">
        <v>96</v>
      </c>
      <c r="AB261" t="s">
        <v>353</v>
      </c>
      <c r="AC261">
        <v>2100</v>
      </c>
      <c r="AD261" t="s">
        <v>225</v>
      </c>
      <c r="AE261">
        <v>1</v>
      </c>
    </row>
    <row r="262" spans="1:32" x14ac:dyDescent="0.3">
      <c r="A262" t="s">
        <v>348</v>
      </c>
      <c r="B262" t="s">
        <v>63</v>
      </c>
      <c r="C262" t="s">
        <v>95</v>
      </c>
      <c r="D262" t="s">
        <v>309</v>
      </c>
      <c r="E262" t="s">
        <v>1158</v>
      </c>
      <c r="F262" s="15">
        <v>46239.427071759259</v>
      </c>
      <c r="G262" t="s">
        <v>402</v>
      </c>
      <c r="H262">
        <v>2</v>
      </c>
      <c r="I262" t="s">
        <v>1159</v>
      </c>
      <c r="J262" s="15">
        <v>46240.368750000001</v>
      </c>
      <c r="K262" s="15">
        <v>46246.47152777778</v>
      </c>
      <c r="L262" s="15"/>
      <c r="M262">
        <v>2</v>
      </c>
      <c r="O262" t="s">
        <v>1958</v>
      </c>
      <c r="S262" t="s">
        <v>353</v>
      </c>
      <c r="T262" t="s">
        <v>368</v>
      </c>
      <c r="U262" t="s">
        <v>239</v>
      </c>
      <c r="V262" t="s">
        <v>7</v>
      </c>
      <c r="W262" t="s">
        <v>7</v>
      </c>
      <c r="X262" t="s">
        <v>7</v>
      </c>
      <c r="AA262" t="s">
        <v>96</v>
      </c>
      <c r="AB262" t="s">
        <v>353</v>
      </c>
      <c r="AC262">
        <v>2100</v>
      </c>
      <c r="AD262" t="s">
        <v>225</v>
      </c>
      <c r="AE262">
        <v>2</v>
      </c>
    </row>
    <row r="263" spans="1:32" x14ac:dyDescent="0.3">
      <c r="A263" t="s">
        <v>348</v>
      </c>
      <c r="B263" t="s">
        <v>63</v>
      </c>
      <c r="C263" t="s">
        <v>95</v>
      </c>
      <c r="D263" t="s">
        <v>309</v>
      </c>
      <c r="E263" t="s">
        <v>1158</v>
      </c>
      <c r="F263" s="15">
        <v>46239.427071759259</v>
      </c>
      <c r="G263" t="s">
        <v>402</v>
      </c>
      <c r="H263">
        <v>1</v>
      </c>
      <c r="I263" t="s">
        <v>1159</v>
      </c>
      <c r="J263" s="15">
        <v>46240.368750000001</v>
      </c>
      <c r="K263" s="15">
        <v>46246.47152777778</v>
      </c>
      <c r="L263" s="15"/>
      <c r="M263">
        <v>1</v>
      </c>
      <c r="O263" t="s">
        <v>1958</v>
      </c>
      <c r="S263" t="s">
        <v>353</v>
      </c>
      <c r="T263" t="s">
        <v>368</v>
      </c>
      <c r="U263" t="s">
        <v>239</v>
      </c>
      <c r="V263" t="s">
        <v>7</v>
      </c>
      <c r="W263" t="s">
        <v>7</v>
      </c>
      <c r="X263" t="s">
        <v>7</v>
      </c>
      <c r="AA263" t="s">
        <v>96</v>
      </c>
      <c r="AB263" t="s">
        <v>353</v>
      </c>
      <c r="AC263">
        <v>2100</v>
      </c>
      <c r="AD263" t="s">
        <v>225</v>
      </c>
      <c r="AE263">
        <v>1</v>
      </c>
    </row>
    <row r="264" spans="1:32" x14ac:dyDescent="0.3">
      <c r="A264" t="s">
        <v>348</v>
      </c>
      <c r="B264" t="s">
        <v>57</v>
      </c>
      <c r="C264" t="s">
        <v>117</v>
      </c>
      <c r="D264" t="s">
        <v>309</v>
      </c>
      <c r="E264" t="s">
        <v>1158</v>
      </c>
      <c r="F264" s="15">
        <v>46239.427071759259</v>
      </c>
      <c r="G264" t="s">
        <v>402</v>
      </c>
      <c r="H264">
        <v>9</v>
      </c>
      <c r="I264" t="s">
        <v>1159</v>
      </c>
      <c r="J264" s="15">
        <v>46240.368750000001</v>
      </c>
      <c r="K264" s="15">
        <v>46246.47152777778</v>
      </c>
      <c r="L264" s="15"/>
      <c r="M264">
        <v>9</v>
      </c>
      <c r="O264" t="s">
        <v>201</v>
      </c>
      <c r="P264" t="s">
        <v>1954</v>
      </c>
      <c r="S264" t="s">
        <v>353</v>
      </c>
      <c r="T264" t="s">
        <v>368</v>
      </c>
      <c r="U264" t="s">
        <v>239</v>
      </c>
      <c r="V264" t="s">
        <v>7</v>
      </c>
      <c r="W264" t="s">
        <v>7</v>
      </c>
      <c r="X264" t="s">
        <v>7</v>
      </c>
      <c r="AA264" t="s">
        <v>127</v>
      </c>
      <c r="AB264" t="s">
        <v>353</v>
      </c>
      <c r="AC264">
        <v>2100</v>
      </c>
      <c r="AD264" t="s">
        <v>233</v>
      </c>
      <c r="AE264">
        <v>1</v>
      </c>
      <c r="AF264">
        <v>1</v>
      </c>
    </row>
    <row r="265" spans="1:32" x14ac:dyDescent="0.3">
      <c r="A265" t="s">
        <v>348</v>
      </c>
      <c r="B265" t="s">
        <v>57</v>
      </c>
      <c r="C265" t="s">
        <v>117</v>
      </c>
      <c r="D265" t="s">
        <v>309</v>
      </c>
      <c r="E265" t="s">
        <v>1158</v>
      </c>
      <c r="F265" s="15">
        <v>46239.427071759259</v>
      </c>
      <c r="G265" t="s">
        <v>402</v>
      </c>
      <c r="H265">
        <v>25</v>
      </c>
      <c r="I265" t="s">
        <v>1159</v>
      </c>
      <c r="J265" s="15">
        <v>46240.368750000001</v>
      </c>
      <c r="K265" s="15">
        <v>46246.47152777778</v>
      </c>
      <c r="L265" s="15"/>
      <c r="M265">
        <v>25</v>
      </c>
      <c r="O265" t="s">
        <v>1958</v>
      </c>
      <c r="S265" t="s">
        <v>353</v>
      </c>
      <c r="T265" t="s">
        <v>368</v>
      </c>
      <c r="U265" t="s">
        <v>239</v>
      </c>
      <c r="V265" t="s">
        <v>7</v>
      </c>
      <c r="W265" t="s">
        <v>7</v>
      </c>
      <c r="X265" t="s">
        <v>7</v>
      </c>
      <c r="AA265" t="s">
        <v>127</v>
      </c>
      <c r="AB265" t="s">
        <v>353</v>
      </c>
      <c r="AC265">
        <v>2100</v>
      </c>
      <c r="AD265" t="s">
        <v>233</v>
      </c>
      <c r="AE265">
        <v>2.5</v>
      </c>
    </row>
    <row r="266" spans="1:32" x14ac:dyDescent="0.3">
      <c r="A266" t="s">
        <v>348</v>
      </c>
      <c r="B266" t="s">
        <v>57</v>
      </c>
      <c r="C266" t="s">
        <v>117</v>
      </c>
      <c r="D266" t="s">
        <v>309</v>
      </c>
      <c r="E266" t="s">
        <v>1158</v>
      </c>
      <c r="F266" s="15">
        <v>46239.427071759259</v>
      </c>
      <c r="G266" t="s">
        <v>402</v>
      </c>
      <c r="H266">
        <v>1</v>
      </c>
      <c r="I266" t="s">
        <v>1159</v>
      </c>
      <c r="J266" s="15">
        <v>46240.368750000001</v>
      </c>
      <c r="K266" s="15">
        <v>46246.47152777778</v>
      </c>
      <c r="L266" s="15"/>
      <c r="M266">
        <v>1</v>
      </c>
      <c r="O266" t="s">
        <v>1958</v>
      </c>
      <c r="S266" t="s">
        <v>353</v>
      </c>
      <c r="T266" t="s">
        <v>368</v>
      </c>
      <c r="U266" t="s">
        <v>239</v>
      </c>
      <c r="V266" t="s">
        <v>7</v>
      </c>
      <c r="W266" t="s">
        <v>7</v>
      </c>
      <c r="X266" t="s">
        <v>7</v>
      </c>
      <c r="AA266" t="s">
        <v>127</v>
      </c>
      <c r="AB266" t="s">
        <v>353</v>
      </c>
      <c r="AC266">
        <v>2100</v>
      </c>
      <c r="AD266" t="s">
        <v>233</v>
      </c>
      <c r="AE266">
        <v>1</v>
      </c>
    </row>
    <row r="267" spans="1:32" x14ac:dyDescent="0.3">
      <c r="A267" t="s">
        <v>348</v>
      </c>
      <c r="B267" t="s">
        <v>57</v>
      </c>
      <c r="C267" t="s">
        <v>117</v>
      </c>
      <c r="D267" t="s">
        <v>309</v>
      </c>
      <c r="E267" t="s">
        <v>1158</v>
      </c>
      <c r="F267" s="15">
        <v>46239.427071759259</v>
      </c>
      <c r="G267" t="s">
        <v>402</v>
      </c>
      <c r="H267">
        <v>1</v>
      </c>
      <c r="I267" t="s">
        <v>1159</v>
      </c>
      <c r="J267" s="15">
        <v>46240.368750000001</v>
      </c>
      <c r="K267" s="15">
        <v>46246.47152777778</v>
      </c>
      <c r="L267" s="15"/>
      <c r="M267">
        <v>1</v>
      </c>
      <c r="O267" t="s">
        <v>1958</v>
      </c>
      <c r="S267" t="s">
        <v>353</v>
      </c>
      <c r="T267" t="s">
        <v>368</v>
      </c>
      <c r="U267" t="s">
        <v>239</v>
      </c>
      <c r="V267" t="s">
        <v>7</v>
      </c>
      <c r="W267" t="s">
        <v>7</v>
      </c>
      <c r="X267" t="s">
        <v>7</v>
      </c>
      <c r="AA267" t="s">
        <v>127</v>
      </c>
      <c r="AB267" t="s">
        <v>353</v>
      </c>
      <c r="AC267">
        <v>2100</v>
      </c>
      <c r="AD267" t="s">
        <v>233</v>
      </c>
      <c r="AE267">
        <v>1</v>
      </c>
    </row>
    <row r="268" spans="1:32" x14ac:dyDescent="0.3">
      <c r="A268" t="s">
        <v>348</v>
      </c>
      <c r="B268" t="s">
        <v>57</v>
      </c>
      <c r="C268" t="s">
        <v>117</v>
      </c>
      <c r="D268" t="s">
        <v>309</v>
      </c>
      <c r="E268" t="s">
        <v>1158</v>
      </c>
      <c r="F268" s="15">
        <v>46239.427071759259</v>
      </c>
      <c r="G268" t="s">
        <v>402</v>
      </c>
      <c r="H268">
        <v>2</v>
      </c>
      <c r="I268" t="s">
        <v>1159</v>
      </c>
      <c r="J268" s="15">
        <v>46240.368750000001</v>
      </c>
      <c r="K268" s="15">
        <v>46246.47152777778</v>
      </c>
      <c r="L268" s="15"/>
      <c r="M268">
        <v>2</v>
      </c>
      <c r="O268" t="s">
        <v>1958</v>
      </c>
      <c r="S268" t="s">
        <v>353</v>
      </c>
      <c r="T268" t="s">
        <v>368</v>
      </c>
      <c r="U268" t="s">
        <v>239</v>
      </c>
      <c r="V268" t="s">
        <v>7</v>
      </c>
      <c r="W268" t="s">
        <v>7</v>
      </c>
      <c r="X268" t="s">
        <v>7</v>
      </c>
      <c r="AA268" t="s">
        <v>127</v>
      </c>
      <c r="AB268" t="s">
        <v>353</v>
      </c>
      <c r="AC268">
        <v>2100</v>
      </c>
      <c r="AD268" t="s">
        <v>233</v>
      </c>
      <c r="AE268">
        <v>1</v>
      </c>
    </row>
    <row r="269" spans="1:32" x14ac:dyDescent="0.3">
      <c r="A269" t="s">
        <v>348</v>
      </c>
      <c r="B269" t="s">
        <v>45</v>
      </c>
      <c r="C269" t="s">
        <v>68</v>
      </c>
      <c r="D269" t="s">
        <v>309</v>
      </c>
      <c r="E269" t="s">
        <v>1160</v>
      </c>
      <c r="F269" s="15">
        <v>46244.473298611112</v>
      </c>
      <c r="G269" t="s">
        <v>398</v>
      </c>
      <c r="H269">
        <v>2</v>
      </c>
      <c r="I269" t="s">
        <v>1161</v>
      </c>
      <c r="J269" s="15">
        <v>46245.607638888891</v>
      </c>
      <c r="K269" s="15">
        <v>46246.458333333336</v>
      </c>
      <c r="L269" s="15"/>
      <c r="M269">
        <v>2</v>
      </c>
      <c r="O269" t="s">
        <v>201</v>
      </c>
      <c r="P269" t="s">
        <v>1954</v>
      </c>
      <c r="S269" t="s">
        <v>353</v>
      </c>
      <c r="T269" t="s">
        <v>368</v>
      </c>
      <c r="U269" t="s">
        <v>239</v>
      </c>
      <c r="V269" t="s">
        <v>348</v>
      </c>
      <c r="W269" t="s">
        <v>369</v>
      </c>
      <c r="X269" t="s">
        <v>239</v>
      </c>
      <c r="Y269">
        <v>103</v>
      </c>
      <c r="AA269" t="s">
        <v>67</v>
      </c>
      <c r="AB269" t="s">
        <v>353</v>
      </c>
      <c r="AC269">
        <v>2100</v>
      </c>
      <c r="AD269" t="s">
        <v>217</v>
      </c>
      <c r="AE269">
        <v>1</v>
      </c>
      <c r="AF269">
        <v>1</v>
      </c>
    </row>
    <row r="270" spans="1:32" x14ac:dyDescent="0.3">
      <c r="A270" t="s">
        <v>348</v>
      </c>
      <c r="B270" t="s">
        <v>45</v>
      </c>
      <c r="C270" t="s">
        <v>68</v>
      </c>
      <c r="D270" t="s">
        <v>309</v>
      </c>
      <c r="E270" t="s">
        <v>1162</v>
      </c>
      <c r="F270" s="15">
        <v>46246.66033564815</v>
      </c>
      <c r="G270" t="s">
        <v>398</v>
      </c>
      <c r="H270">
        <v>3</v>
      </c>
      <c r="I270" t="s">
        <v>1163</v>
      </c>
      <c r="J270" s="15">
        <v>46246.69027777778</v>
      </c>
      <c r="K270" s="15">
        <v>46252.458333333336</v>
      </c>
      <c r="L270" s="15"/>
      <c r="M270">
        <v>3</v>
      </c>
      <c r="O270" t="s">
        <v>201</v>
      </c>
      <c r="P270" t="s">
        <v>1956</v>
      </c>
      <c r="S270" t="s">
        <v>353</v>
      </c>
      <c r="T270" t="s">
        <v>368</v>
      </c>
      <c r="U270" t="s">
        <v>239</v>
      </c>
      <c r="V270" t="s">
        <v>348</v>
      </c>
      <c r="W270" t="s">
        <v>369</v>
      </c>
      <c r="X270" t="s">
        <v>239</v>
      </c>
      <c r="Y270">
        <v>103</v>
      </c>
      <c r="AA270" t="s">
        <v>67</v>
      </c>
      <c r="AB270" t="s">
        <v>353</v>
      </c>
      <c r="AC270">
        <v>2100</v>
      </c>
      <c r="AD270" t="s">
        <v>217</v>
      </c>
      <c r="AE270">
        <v>1</v>
      </c>
      <c r="AF270">
        <v>1</v>
      </c>
    </row>
    <row r="271" spans="1:32" x14ac:dyDescent="0.3">
      <c r="A271" t="s">
        <v>348</v>
      </c>
      <c r="B271" t="s">
        <v>45</v>
      </c>
      <c r="C271" t="s">
        <v>68</v>
      </c>
      <c r="D271" t="s">
        <v>309</v>
      </c>
      <c r="E271" t="s">
        <v>1164</v>
      </c>
      <c r="F271" s="15">
        <v>46246.659872685188</v>
      </c>
      <c r="G271" t="s">
        <v>1165</v>
      </c>
      <c r="H271">
        <v>3</v>
      </c>
      <c r="I271" t="s">
        <v>1163</v>
      </c>
      <c r="J271" s="15">
        <v>46246.69027777778</v>
      </c>
      <c r="K271" s="15">
        <v>46252.458333333336</v>
      </c>
      <c r="L271" s="15"/>
      <c r="M271">
        <v>3</v>
      </c>
      <c r="O271" t="s">
        <v>201</v>
      </c>
      <c r="P271" t="s">
        <v>1956</v>
      </c>
      <c r="S271" t="s">
        <v>353</v>
      </c>
      <c r="T271" t="s">
        <v>368</v>
      </c>
      <c r="U271" t="s">
        <v>239</v>
      </c>
      <c r="V271" t="s">
        <v>348</v>
      </c>
      <c r="W271" t="s">
        <v>369</v>
      </c>
      <c r="X271" t="s">
        <v>239</v>
      </c>
      <c r="AA271" t="s">
        <v>67</v>
      </c>
      <c r="AB271" t="s">
        <v>353</v>
      </c>
      <c r="AC271">
        <v>2100</v>
      </c>
      <c r="AD271" t="s">
        <v>217</v>
      </c>
      <c r="AE271">
        <v>1</v>
      </c>
    </row>
    <row r="272" spans="1:32" x14ac:dyDescent="0.3">
      <c r="A272" t="s">
        <v>348</v>
      </c>
      <c r="B272" t="s">
        <v>45</v>
      </c>
      <c r="C272" t="s">
        <v>68</v>
      </c>
      <c r="D272" t="s">
        <v>309</v>
      </c>
      <c r="E272" t="s">
        <v>1166</v>
      </c>
      <c r="F272" s="15">
        <v>46245.574305555558</v>
      </c>
      <c r="G272" t="s">
        <v>398</v>
      </c>
      <c r="H272">
        <v>3</v>
      </c>
      <c r="I272" t="s">
        <v>1167</v>
      </c>
      <c r="J272" s="15">
        <v>46245.65902777778</v>
      </c>
      <c r="K272" s="15">
        <v>46246.458333333336</v>
      </c>
      <c r="L272" s="15"/>
      <c r="M272">
        <v>3</v>
      </c>
      <c r="O272" t="s">
        <v>201</v>
      </c>
      <c r="P272" t="s">
        <v>1954</v>
      </c>
      <c r="S272" t="s">
        <v>353</v>
      </c>
      <c r="T272" t="s">
        <v>368</v>
      </c>
      <c r="U272" t="s">
        <v>239</v>
      </c>
      <c r="V272" t="s">
        <v>348</v>
      </c>
      <c r="W272" t="s">
        <v>369</v>
      </c>
      <c r="X272" t="s">
        <v>239</v>
      </c>
      <c r="AA272" t="s">
        <v>67</v>
      </c>
      <c r="AB272" t="s">
        <v>353</v>
      </c>
      <c r="AC272">
        <v>2100</v>
      </c>
      <c r="AD272" t="s">
        <v>217</v>
      </c>
      <c r="AE272">
        <v>1</v>
      </c>
    </row>
    <row r="273" spans="1:32" x14ac:dyDescent="0.3">
      <c r="A273" t="s">
        <v>348</v>
      </c>
      <c r="B273" t="s">
        <v>45</v>
      </c>
      <c r="C273" t="s">
        <v>68</v>
      </c>
      <c r="D273" t="s">
        <v>309</v>
      </c>
      <c r="E273" t="s">
        <v>1168</v>
      </c>
      <c r="F273" s="15">
        <v>46244.657546296294</v>
      </c>
      <c r="G273" t="s">
        <v>398</v>
      </c>
      <c r="H273">
        <v>5</v>
      </c>
      <c r="I273" t="s">
        <v>1169</v>
      </c>
      <c r="J273" s="15">
        <v>46245.393750000003</v>
      </c>
      <c r="K273" s="15">
        <v>46246.458333333336</v>
      </c>
      <c r="L273" s="15"/>
      <c r="M273">
        <v>5</v>
      </c>
      <c r="O273" t="s">
        <v>201</v>
      </c>
      <c r="P273" t="s">
        <v>1954</v>
      </c>
      <c r="S273" t="s">
        <v>353</v>
      </c>
      <c r="T273" t="s">
        <v>368</v>
      </c>
      <c r="U273" t="s">
        <v>239</v>
      </c>
      <c r="V273" t="s">
        <v>348</v>
      </c>
      <c r="W273" t="s">
        <v>369</v>
      </c>
      <c r="X273" t="s">
        <v>239</v>
      </c>
      <c r="AA273" t="s">
        <v>67</v>
      </c>
      <c r="AB273" t="s">
        <v>353</v>
      </c>
      <c r="AC273">
        <v>2100</v>
      </c>
      <c r="AD273" t="s">
        <v>217</v>
      </c>
      <c r="AE273">
        <v>1</v>
      </c>
    </row>
    <row r="274" spans="1:32" x14ac:dyDescent="0.3">
      <c r="A274" t="s">
        <v>348</v>
      </c>
      <c r="B274" t="s">
        <v>45</v>
      </c>
      <c r="C274" t="s">
        <v>68</v>
      </c>
      <c r="D274" t="s">
        <v>309</v>
      </c>
      <c r="E274" t="s">
        <v>1170</v>
      </c>
      <c r="F274" s="15">
        <v>46244.47451388889</v>
      </c>
      <c r="G274" t="s">
        <v>398</v>
      </c>
      <c r="H274">
        <v>3</v>
      </c>
      <c r="I274" t="s">
        <v>1171</v>
      </c>
      <c r="J274" s="15">
        <v>46244.695833333331</v>
      </c>
      <c r="K274" s="15">
        <v>46246.458333333336</v>
      </c>
      <c r="L274" s="15"/>
      <c r="M274">
        <v>3</v>
      </c>
      <c r="O274" t="s">
        <v>201</v>
      </c>
      <c r="P274" t="s">
        <v>1954</v>
      </c>
      <c r="S274" t="s">
        <v>353</v>
      </c>
      <c r="T274" t="s">
        <v>368</v>
      </c>
      <c r="U274" t="s">
        <v>239</v>
      </c>
      <c r="V274" t="s">
        <v>348</v>
      </c>
      <c r="W274" t="s">
        <v>369</v>
      </c>
      <c r="X274" t="s">
        <v>239</v>
      </c>
      <c r="Y274">
        <v>103</v>
      </c>
      <c r="AA274" t="s">
        <v>67</v>
      </c>
      <c r="AB274" t="s">
        <v>353</v>
      </c>
      <c r="AC274">
        <v>2100</v>
      </c>
      <c r="AD274" t="s">
        <v>217</v>
      </c>
      <c r="AE274">
        <v>1</v>
      </c>
    </row>
    <row r="275" spans="1:32" x14ac:dyDescent="0.3">
      <c r="A275" t="s">
        <v>348</v>
      </c>
      <c r="B275" t="s">
        <v>45</v>
      </c>
      <c r="C275" t="s">
        <v>68</v>
      </c>
      <c r="D275" t="s">
        <v>309</v>
      </c>
      <c r="E275" t="s">
        <v>1172</v>
      </c>
      <c r="F275" s="15">
        <v>46246.658784722225</v>
      </c>
      <c r="G275" t="s">
        <v>398</v>
      </c>
      <c r="H275">
        <v>1</v>
      </c>
      <c r="I275" t="s">
        <v>1163</v>
      </c>
      <c r="J275" s="15">
        <v>46246.69027777778</v>
      </c>
      <c r="K275" s="15">
        <v>46252.458333333336</v>
      </c>
      <c r="L275" s="15"/>
      <c r="M275">
        <v>1</v>
      </c>
      <c r="O275" t="s">
        <v>201</v>
      </c>
      <c r="P275" t="s">
        <v>1956</v>
      </c>
      <c r="S275" t="s">
        <v>353</v>
      </c>
      <c r="T275" t="s">
        <v>368</v>
      </c>
      <c r="U275" t="s">
        <v>239</v>
      </c>
      <c r="V275" t="s">
        <v>348</v>
      </c>
      <c r="W275" t="s">
        <v>369</v>
      </c>
      <c r="X275" t="s">
        <v>239</v>
      </c>
      <c r="AA275" t="s">
        <v>67</v>
      </c>
      <c r="AB275" t="s">
        <v>353</v>
      </c>
      <c r="AC275">
        <v>2100</v>
      </c>
      <c r="AD275" t="s">
        <v>217</v>
      </c>
      <c r="AE275">
        <v>1</v>
      </c>
    </row>
    <row r="276" spans="1:32" x14ac:dyDescent="0.3">
      <c r="A276" t="s">
        <v>348</v>
      </c>
      <c r="B276" t="s">
        <v>45</v>
      </c>
      <c r="C276" t="s">
        <v>68</v>
      </c>
      <c r="D276" t="s">
        <v>309</v>
      </c>
      <c r="E276" t="s">
        <v>1173</v>
      </c>
      <c r="F276" s="15">
        <v>46244.477743055555</v>
      </c>
      <c r="G276" t="s">
        <v>398</v>
      </c>
      <c r="H276">
        <v>1</v>
      </c>
      <c r="I276" t="s">
        <v>1171</v>
      </c>
      <c r="J276" s="15">
        <v>46244.695833333331</v>
      </c>
      <c r="K276" s="15">
        <v>46246.458333333336</v>
      </c>
      <c r="L276" s="15"/>
      <c r="M276">
        <v>1</v>
      </c>
      <c r="O276" t="s">
        <v>201</v>
      </c>
      <c r="P276" t="s">
        <v>1954</v>
      </c>
      <c r="S276" t="s">
        <v>353</v>
      </c>
      <c r="T276" t="s">
        <v>368</v>
      </c>
      <c r="U276" t="s">
        <v>239</v>
      </c>
      <c r="V276" t="s">
        <v>348</v>
      </c>
      <c r="W276" t="s">
        <v>369</v>
      </c>
      <c r="X276" t="s">
        <v>239</v>
      </c>
      <c r="AA276" t="s">
        <v>67</v>
      </c>
      <c r="AB276" t="s">
        <v>353</v>
      </c>
      <c r="AC276">
        <v>2100</v>
      </c>
      <c r="AD276" t="s">
        <v>217</v>
      </c>
      <c r="AE276">
        <v>1</v>
      </c>
    </row>
    <row r="277" spans="1:32" x14ac:dyDescent="0.3">
      <c r="A277" t="s">
        <v>348</v>
      </c>
      <c r="B277" t="s">
        <v>45</v>
      </c>
      <c r="C277" t="s">
        <v>68</v>
      </c>
      <c r="D277" t="s">
        <v>309</v>
      </c>
      <c r="E277" t="s">
        <v>1174</v>
      </c>
      <c r="F277" s="15">
        <v>46244.473958333336</v>
      </c>
      <c r="G277" t="s">
        <v>398</v>
      </c>
      <c r="H277">
        <v>1</v>
      </c>
      <c r="I277" t="s">
        <v>1175</v>
      </c>
      <c r="J277" s="15">
        <v>46244.682638888888</v>
      </c>
      <c r="K277" s="15">
        <v>46246.458333333336</v>
      </c>
      <c r="L277" s="15"/>
      <c r="M277">
        <v>1</v>
      </c>
      <c r="O277" t="s">
        <v>201</v>
      </c>
      <c r="P277" t="s">
        <v>1954</v>
      </c>
      <c r="S277" t="s">
        <v>353</v>
      </c>
      <c r="T277" t="s">
        <v>368</v>
      </c>
      <c r="U277" t="s">
        <v>239</v>
      </c>
      <c r="V277" t="s">
        <v>348</v>
      </c>
      <c r="W277" t="s">
        <v>369</v>
      </c>
      <c r="X277" t="s">
        <v>239</v>
      </c>
      <c r="AA277" t="s">
        <v>67</v>
      </c>
      <c r="AB277" t="s">
        <v>353</v>
      </c>
      <c r="AC277">
        <v>2100</v>
      </c>
      <c r="AD277" t="s">
        <v>217</v>
      </c>
      <c r="AE277">
        <v>1</v>
      </c>
    </row>
    <row r="278" spans="1:32" x14ac:dyDescent="0.3">
      <c r="A278" t="s">
        <v>348</v>
      </c>
      <c r="B278" t="s">
        <v>45</v>
      </c>
      <c r="C278" t="s">
        <v>68</v>
      </c>
      <c r="D278" t="s">
        <v>309</v>
      </c>
      <c r="E278" t="s">
        <v>1176</v>
      </c>
      <c r="F278" s="15">
        <v>46244.476030092592</v>
      </c>
      <c r="G278" t="s">
        <v>398</v>
      </c>
      <c r="H278">
        <v>3</v>
      </c>
      <c r="I278" t="s">
        <v>1175</v>
      </c>
      <c r="J278" s="15">
        <v>46244.682638888888</v>
      </c>
      <c r="K278" s="15">
        <v>46246.458333333336</v>
      </c>
      <c r="L278" s="15"/>
      <c r="M278">
        <v>3</v>
      </c>
      <c r="O278" t="s">
        <v>201</v>
      </c>
      <c r="P278" t="s">
        <v>1954</v>
      </c>
      <c r="S278" t="s">
        <v>353</v>
      </c>
      <c r="T278" t="s">
        <v>368</v>
      </c>
      <c r="U278" t="s">
        <v>239</v>
      </c>
      <c r="V278" t="s">
        <v>348</v>
      </c>
      <c r="W278" t="s">
        <v>369</v>
      </c>
      <c r="X278" t="s">
        <v>239</v>
      </c>
      <c r="AA278" t="s">
        <v>67</v>
      </c>
      <c r="AB278" t="s">
        <v>353</v>
      </c>
      <c r="AC278">
        <v>2100</v>
      </c>
      <c r="AD278" t="s">
        <v>217</v>
      </c>
      <c r="AE278">
        <v>1</v>
      </c>
    </row>
    <row r="279" spans="1:32" x14ac:dyDescent="0.3">
      <c r="A279" t="s">
        <v>348</v>
      </c>
      <c r="B279" t="s">
        <v>45</v>
      </c>
      <c r="C279" t="s">
        <v>68</v>
      </c>
      <c r="D279" t="s">
        <v>309</v>
      </c>
      <c r="E279" t="s">
        <v>1177</v>
      </c>
      <c r="F279" s="15">
        <v>46237.458333333336</v>
      </c>
      <c r="G279" t="s">
        <v>398</v>
      </c>
      <c r="H279">
        <v>5</v>
      </c>
      <c r="I279" t="s">
        <v>1178</v>
      </c>
      <c r="J279" s="15">
        <v>46237.70208333333</v>
      </c>
      <c r="K279" s="15">
        <v>46239.5</v>
      </c>
      <c r="L279" s="15"/>
      <c r="M279">
        <v>5</v>
      </c>
      <c r="O279" t="s">
        <v>201</v>
      </c>
      <c r="P279" t="s">
        <v>1954</v>
      </c>
      <c r="S279" t="s">
        <v>353</v>
      </c>
      <c r="T279" t="s">
        <v>368</v>
      </c>
      <c r="U279" t="s">
        <v>239</v>
      </c>
      <c r="V279" t="s">
        <v>348</v>
      </c>
      <c r="W279" t="s">
        <v>369</v>
      </c>
      <c r="X279" t="s">
        <v>239</v>
      </c>
      <c r="Y279">
        <v>103</v>
      </c>
      <c r="AA279" t="s">
        <v>67</v>
      </c>
      <c r="AB279" t="s">
        <v>353</v>
      </c>
      <c r="AC279">
        <v>2100</v>
      </c>
      <c r="AD279" t="s">
        <v>217</v>
      </c>
      <c r="AE279">
        <v>1</v>
      </c>
    </row>
    <row r="280" spans="1:32" x14ac:dyDescent="0.3">
      <c r="A280" t="s">
        <v>348</v>
      </c>
      <c r="B280" t="s">
        <v>45</v>
      </c>
      <c r="C280" t="s">
        <v>68</v>
      </c>
      <c r="D280" t="s">
        <v>309</v>
      </c>
      <c r="E280" t="s">
        <v>1179</v>
      </c>
      <c r="F280" s="15">
        <v>46244.476921296293</v>
      </c>
      <c r="G280" t="s">
        <v>398</v>
      </c>
      <c r="H280">
        <v>3</v>
      </c>
      <c r="I280" t="s">
        <v>1175</v>
      </c>
      <c r="J280" s="15">
        <v>46244.682638888888</v>
      </c>
      <c r="K280" s="15">
        <v>46246.458333333336</v>
      </c>
      <c r="L280" s="15"/>
      <c r="M280">
        <v>3</v>
      </c>
      <c r="O280" t="s">
        <v>201</v>
      </c>
      <c r="P280" t="s">
        <v>1954</v>
      </c>
      <c r="S280" t="s">
        <v>353</v>
      </c>
      <c r="T280" t="s">
        <v>368</v>
      </c>
      <c r="U280" t="s">
        <v>239</v>
      </c>
      <c r="V280" t="s">
        <v>348</v>
      </c>
      <c r="W280" t="s">
        <v>369</v>
      </c>
      <c r="X280" t="s">
        <v>239</v>
      </c>
      <c r="AA280" t="s">
        <v>67</v>
      </c>
      <c r="AB280" t="s">
        <v>353</v>
      </c>
      <c r="AC280">
        <v>2100</v>
      </c>
      <c r="AD280" t="s">
        <v>217</v>
      </c>
      <c r="AE280">
        <v>1</v>
      </c>
    </row>
    <row r="281" spans="1:32" x14ac:dyDescent="0.3">
      <c r="A281" t="s">
        <v>348</v>
      </c>
      <c r="B281" t="s">
        <v>45</v>
      </c>
      <c r="C281" t="s">
        <v>68</v>
      </c>
      <c r="D281" t="s">
        <v>309</v>
      </c>
      <c r="E281" t="s">
        <v>1180</v>
      </c>
      <c r="F281" s="15">
        <v>46246.659317129626</v>
      </c>
      <c r="G281" t="s">
        <v>398</v>
      </c>
      <c r="H281">
        <v>3</v>
      </c>
      <c r="I281" t="s">
        <v>1163</v>
      </c>
      <c r="J281" s="15">
        <v>46246.69027777778</v>
      </c>
      <c r="K281" s="15">
        <v>46252.458333333336</v>
      </c>
      <c r="L281" s="15"/>
      <c r="M281">
        <v>3</v>
      </c>
      <c r="O281" t="s">
        <v>201</v>
      </c>
      <c r="P281" t="s">
        <v>1956</v>
      </c>
      <c r="S281" t="s">
        <v>353</v>
      </c>
      <c r="T281" t="s">
        <v>368</v>
      </c>
      <c r="U281" t="s">
        <v>239</v>
      </c>
      <c r="V281" t="s">
        <v>348</v>
      </c>
      <c r="W281" t="s">
        <v>369</v>
      </c>
      <c r="X281" t="s">
        <v>239</v>
      </c>
      <c r="AA281" t="s">
        <v>67</v>
      </c>
      <c r="AB281" t="s">
        <v>353</v>
      </c>
      <c r="AC281">
        <v>2100</v>
      </c>
      <c r="AD281" t="s">
        <v>217</v>
      </c>
      <c r="AE281">
        <v>1</v>
      </c>
    </row>
    <row r="282" spans="1:32" x14ac:dyDescent="0.3">
      <c r="A282" t="s">
        <v>348</v>
      </c>
      <c r="B282" t="s">
        <v>45</v>
      </c>
      <c r="C282" t="s">
        <v>68</v>
      </c>
      <c r="D282" t="s">
        <v>309</v>
      </c>
      <c r="E282" t="s">
        <v>1181</v>
      </c>
      <c r="F282" s="15">
        <v>46251.598506944443</v>
      </c>
      <c r="G282" t="s">
        <v>398</v>
      </c>
      <c r="H282">
        <v>3</v>
      </c>
      <c r="I282" t="s">
        <v>1182</v>
      </c>
      <c r="J282" s="15">
        <v>46253.477083333331</v>
      </c>
      <c r="K282" s="15">
        <v>46255.493055555555</v>
      </c>
      <c r="L282" s="15"/>
      <c r="M282">
        <v>3</v>
      </c>
      <c r="O282" t="s">
        <v>201</v>
      </c>
      <c r="P282" t="s">
        <v>1956</v>
      </c>
      <c r="S282" t="s">
        <v>353</v>
      </c>
      <c r="T282" t="s">
        <v>368</v>
      </c>
      <c r="U282" t="s">
        <v>239</v>
      </c>
      <c r="V282" t="s">
        <v>348</v>
      </c>
      <c r="W282" t="s">
        <v>369</v>
      </c>
      <c r="X282" t="s">
        <v>239</v>
      </c>
      <c r="Y282">
        <v>103</v>
      </c>
      <c r="AA282" t="s">
        <v>67</v>
      </c>
      <c r="AB282" t="s">
        <v>353</v>
      </c>
      <c r="AC282">
        <v>2100</v>
      </c>
      <c r="AD282" t="s">
        <v>217</v>
      </c>
      <c r="AE282">
        <v>1</v>
      </c>
      <c r="AF282">
        <v>1</v>
      </c>
    </row>
    <row r="283" spans="1:32" x14ac:dyDescent="0.3">
      <c r="A283" t="s">
        <v>348</v>
      </c>
      <c r="B283" t="s">
        <v>51</v>
      </c>
      <c r="C283" t="s">
        <v>258</v>
      </c>
      <c r="D283" t="s">
        <v>309</v>
      </c>
      <c r="E283" t="s">
        <v>1183</v>
      </c>
      <c r="F283" s="15">
        <v>46251.581516203703</v>
      </c>
      <c r="G283" t="s">
        <v>398</v>
      </c>
      <c r="H283">
        <v>100</v>
      </c>
      <c r="I283" t="s">
        <v>1184</v>
      </c>
      <c r="J283" s="15">
        <v>46253.445138888892</v>
      </c>
      <c r="K283" s="15">
        <v>46255.493055555555</v>
      </c>
      <c r="L283" s="15"/>
      <c r="M283">
        <v>100</v>
      </c>
      <c r="O283" t="s">
        <v>201</v>
      </c>
      <c r="P283" t="s">
        <v>1956</v>
      </c>
      <c r="S283" t="s">
        <v>353</v>
      </c>
      <c r="T283" t="s">
        <v>368</v>
      </c>
      <c r="U283" t="s">
        <v>239</v>
      </c>
      <c r="V283" t="s">
        <v>7</v>
      </c>
      <c r="W283" t="s">
        <v>7</v>
      </c>
      <c r="X283" t="s">
        <v>7</v>
      </c>
      <c r="AA283" t="s">
        <v>238</v>
      </c>
      <c r="AB283" t="s">
        <v>353</v>
      </c>
      <c r="AC283">
        <v>2100</v>
      </c>
      <c r="AD283" t="s">
        <v>7</v>
      </c>
      <c r="AF283">
        <v>0</v>
      </c>
    </row>
    <row r="284" spans="1:32" x14ac:dyDescent="0.3">
      <c r="A284" t="s">
        <v>348</v>
      </c>
      <c r="B284" t="s">
        <v>51</v>
      </c>
      <c r="C284" t="s">
        <v>258</v>
      </c>
      <c r="D284" t="s">
        <v>309</v>
      </c>
      <c r="E284" t="s">
        <v>1185</v>
      </c>
      <c r="F284" s="15">
        <v>46251.566979166666</v>
      </c>
      <c r="G284" t="s">
        <v>398</v>
      </c>
      <c r="H284">
        <v>450</v>
      </c>
      <c r="I284" t="s">
        <v>1184</v>
      </c>
      <c r="J284" s="15">
        <v>46253.445138888892</v>
      </c>
      <c r="K284" s="15">
        <v>46255.493055555555</v>
      </c>
      <c r="L284" s="15"/>
      <c r="M284">
        <v>450</v>
      </c>
      <c r="O284" t="s">
        <v>201</v>
      </c>
      <c r="P284" t="s">
        <v>1956</v>
      </c>
      <c r="S284" t="s">
        <v>353</v>
      </c>
      <c r="T284" t="s">
        <v>368</v>
      </c>
      <c r="U284" t="s">
        <v>239</v>
      </c>
      <c r="V284" t="s">
        <v>7</v>
      </c>
      <c r="W284" t="s">
        <v>7</v>
      </c>
      <c r="X284" t="s">
        <v>7</v>
      </c>
      <c r="AA284" t="s">
        <v>238</v>
      </c>
      <c r="AB284" t="s">
        <v>353</v>
      </c>
      <c r="AC284">
        <v>2100</v>
      </c>
      <c r="AD284" t="s">
        <v>7</v>
      </c>
    </row>
    <row r="285" spans="1:32" x14ac:dyDescent="0.3">
      <c r="A285" t="s">
        <v>348</v>
      </c>
      <c r="B285" t="s">
        <v>51</v>
      </c>
      <c r="C285" t="s">
        <v>258</v>
      </c>
      <c r="D285" t="s">
        <v>309</v>
      </c>
      <c r="E285" t="s">
        <v>1186</v>
      </c>
      <c r="F285" s="15">
        <v>46244.518692129626</v>
      </c>
      <c r="G285" t="s">
        <v>1187</v>
      </c>
      <c r="H285">
        <v>64</v>
      </c>
      <c r="I285" t="s">
        <v>1188</v>
      </c>
      <c r="J285" s="15">
        <v>46245.446527777778</v>
      </c>
      <c r="K285" s="15">
        <v>46246.4375</v>
      </c>
      <c r="L285" s="15"/>
      <c r="M285">
        <v>64</v>
      </c>
      <c r="O285" t="s">
        <v>201</v>
      </c>
      <c r="P285" t="s">
        <v>1954</v>
      </c>
      <c r="S285" t="s">
        <v>353</v>
      </c>
      <c r="T285" t="s">
        <v>368</v>
      </c>
      <c r="U285" t="s">
        <v>239</v>
      </c>
      <c r="V285" t="s">
        <v>7</v>
      </c>
      <c r="W285" t="s">
        <v>7</v>
      </c>
      <c r="X285" t="s">
        <v>7</v>
      </c>
      <c r="AA285" t="s">
        <v>238</v>
      </c>
      <c r="AB285" t="s">
        <v>353</v>
      </c>
      <c r="AC285">
        <v>2100</v>
      </c>
      <c r="AD285" t="s">
        <v>7</v>
      </c>
      <c r="AF285">
        <v>0</v>
      </c>
    </row>
    <row r="286" spans="1:32" x14ac:dyDescent="0.3">
      <c r="A286" t="s">
        <v>348</v>
      </c>
      <c r="B286" t="s">
        <v>51</v>
      </c>
      <c r="C286" t="s">
        <v>258</v>
      </c>
      <c r="D286" t="s">
        <v>309</v>
      </c>
      <c r="E286" t="s">
        <v>1189</v>
      </c>
      <c r="F286" s="15">
        <v>46240.542048611111</v>
      </c>
      <c r="G286" t="s">
        <v>402</v>
      </c>
      <c r="H286">
        <v>450</v>
      </c>
      <c r="I286" t="s">
        <v>1190</v>
      </c>
      <c r="J286" s="15">
        <v>46244.459722222222</v>
      </c>
      <c r="K286" s="15">
        <v>46246.4375</v>
      </c>
      <c r="L286" s="15"/>
      <c r="M286">
        <v>450</v>
      </c>
      <c r="O286" t="s">
        <v>201</v>
      </c>
      <c r="P286" t="s">
        <v>1954</v>
      </c>
      <c r="S286" t="s">
        <v>353</v>
      </c>
      <c r="T286" t="s">
        <v>368</v>
      </c>
      <c r="U286" t="s">
        <v>239</v>
      </c>
      <c r="V286" t="s">
        <v>7</v>
      </c>
      <c r="W286" t="s">
        <v>7</v>
      </c>
      <c r="X286" t="s">
        <v>7</v>
      </c>
      <c r="AA286" t="s">
        <v>238</v>
      </c>
      <c r="AB286" t="s">
        <v>353</v>
      </c>
      <c r="AC286">
        <v>2100</v>
      </c>
      <c r="AD286" t="s">
        <v>7</v>
      </c>
    </row>
    <row r="287" spans="1:32" x14ac:dyDescent="0.3">
      <c r="A287" t="s">
        <v>348</v>
      </c>
      <c r="B287" t="s">
        <v>45</v>
      </c>
      <c r="C287" t="s">
        <v>68</v>
      </c>
      <c r="D287" t="s">
        <v>309</v>
      </c>
      <c r="E287" t="s">
        <v>1191</v>
      </c>
      <c r="F287" s="15">
        <v>46254.355046296296</v>
      </c>
      <c r="G287" t="s">
        <v>412</v>
      </c>
      <c r="H287">
        <v>35</v>
      </c>
      <c r="I287" t="s">
        <v>1192</v>
      </c>
      <c r="J287" s="15">
        <v>46254.531944444447</v>
      </c>
      <c r="K287" s="15">
        <v>46258.410416666666</v>
      </c>
      <c r="L287" s="15"/>
      <c r="M287">
        <v>35</v>
      </c>
      <c r="O287" t="s">
        <v>201</v>
      </c>
      <c r="P287" t="s">
        <v>1954</v>
      </c>
      <c r="S287" t="s">
        <v>359</v>
      </c>
      <c r="T287" t="s">
        <v>368</v>
      </c>
      <c r="U287" t="s">
        <v>239</v>
      </c>
      <c r="V287" t="s">
        <v>348</v>
      </c>
      <c r="W287" t="s">
        <v>369</v>
      </c>
      <c r="X287" t="s">
        <v>239</v>
      </c>
      <c r="Y287">
        <v>93</v>
      </c>
      <c r="AA287" t="s">
        <v>67</v>
      </c>
      <c r="AB287" t="s">
        <v>465</v>
      </c>
      <c r="AC287">
        <v>289</v>
      </c>
      <c r="AD287" t="s">
        <v>217</v>
      </c>
      <c r="AE287">
        <v>3.5</v>
      </c>
      <c r="AF287">
        <v>1</v>
      </c>
    </row>
    <row r="288" spans="1:32" x14ac:dyDescent="0.3">
      <c r="A288" t="s">
        <v>348</v>
      </c>
      <c r="B288" t="s">
        <v>45</v>
      </c>
      <c r="C288" t="s">
        <v>68</v>
      </c>
      <c r="D288" t="s">
        <v>309</v>
      </c>
      <c r="E288" t="s">
        <v>1193</v>
      </c>
      <c r="F288" s="15">
        <v>46253.542812500003</v>
      </c>
      <c r="G288" t="s">
        <v>398</v>
      </c>
      <c r="H288">
        <v>3</v>
      </c>
      <c r="I288" t="s">
        <v>1194</v>
      </c>
      <c r="J288" s="15">
        <v>46254.361805555556</v>
      </c>
      <c r="K288" s="15">
        <v>46255.493055555555</v>
      </c>
      <c r="L288" s="15"/>
      <c r="M288">
        <v>3</v>
      </c>
      <c r="O288" t="s">
        <v>201</v>
      </c>
      <c r="P288" t="s">
        <v>1954</v>
      </c>
      <c r="S288" t="s">
        <v>353</v>
      </c>
      <c r="T288" t="s">
        <v>368</v>
      </c>
      <c r="U288" t="s">
        <v>239</v>
      </c>
      <c r="V288" t="s">
        <v>348</v>
      </c>
      <c r="W288" t="s">
        <v>369</v>
      </c>
      <c r="X288" t="s">
        <v>239</v>
      </c>
      <c r="Y288">
        <v>103</v>
      </c>
      <c r="AA288" t="s">
        <v>67</v>
      </c>
      <c r="AB288" t="s">
        <v>353</v>
      </c>
      <c r="AC288">
        <v>2100</v>
      </c>
      <c r="AD288" t="s">
        <v>217</v>
      </c>
      <c r="AE288">
        <v>1</v>
      </c>
    </row>
    <row r="289" spans="1:32" x14ac:dyDescent="0.3">
      <c r="A289" t="s">
        <v>348</v>
      </c>
      <c r="B289" t="s">
        <v>45</v>
      </c>
      <c r="C289" t="s">
        <v>68</v>
      </c>
      <c r="D289" t="s">
        <v>309</v>
      </c>
      <c r="E289" t="s">
        <v>1195</v>
      </c>
      <c r="F289" s="15">
        <v>46253.545694444445</v>
      </c>
      <c r="G289" t="s">
        <v>398</v>
      </c>
      <c r="H289">
        <v>3</v>
      </c>
      <c r="I289" t="s">
        <v>1194</v>
      </c>
      <c r="J289" s="15">
        <v>46254.361805555556</v>
      </c>
      <c r="K289" s="15">
        <v>46255.493055555555</v>
      </c>
      <c r="L289" s="15"/>
      <c r="M289">
        <v>3</v>
      </c>
      <c r="O289" t="s">
        <v>201</v>
      </c>
      <c r="P289" t="s">
        <v>1954</v>
      </c>
      <c r="S289" t="s">
        <v>353</v>
      </c>
      <c r="T289" t="s">
        <v>368</v>
      </c>
      <c r="U289" t="s">
        <v>239</v>
      </c>
      <c r="V289" t="s">
        <v>348</v>
      </c>
      <c r="W289" t="s">
        <v>369</v>
      </c>
      <c r="X289" t="s">
        <v>239</v>
      </c>
      <c r="AA289" t="s">
        <v>67</v>
      </c>
      <c r="AB289" t="s">
        <v>353</v>
      </c>
      <c r="AC289">
        <v>2100</v>
      </c>
      <c r="AD289" t="s">
        <v>217</v>
      </c>
      <c r="AE289">
        <v>1</v>
      </c>
    </row>
    <row r="290" spans="1:32" x14ac:dyDescent="0.3">
      <c r="A290" t="s">
        <v>348</v>
      </c>
      <c r="B290" t="s">
        <v>45</v>
      </c>
      <c r="C290" t="s">
        <v>68</v>
      </c>
      <c r="D290" t="s">
        <v>309</v>
      </c>
      <c r="E290" t="s">
        <v>1196</v>
      </c>
      <c r="F290" s="15">
        <v>46253.545173611114</v>
      </c>
      <c r="G290" t="s">
        <v>398</v>
      </c>
      <c r="H290">
        <v>3</v>
      </c>
      <c r="I290" t="s">
        <v>1194</v>
      </c>
      <c r="J290" s="15">
        <v>46254.361805555556</v>
      </c>
      <c r="K290" s="15">
        <v>46255.493055555555</v>
      </c>
      <c r="L290" s="15"/>
      <c r="M290">
        <v>3</v>
      </c>
      <c r="O290" t="s">
        <v>201</v>
      </c>
      <c r="P290" t="s">
        <v>1954</v>
      </c>
      <c r="S290" t="s">
        <v>353</v>
      </c>
      <c r="T290" t="s">
        <v>368</v>
      </c>
      <c r="U290" t="s">
        <v>239</v>
      </c>
      <c r="V290" t="s">
        <v>348</v>
      </c>
      <c r="W290" t="s">
        <v>369</v>
      </c>
      <c r="X290" t="s">
        <v>239</v>
      </c>
      <c r="AA290" t="s">
        <v>67</v>
      </c>
      <c r="AB290" t="s">
        <v>353</v>
      </c>
      <c r="AC290">
        <v>2100</v>
      </c>
      <c r="AD290" t="s">
        <v>217</v>
      </c>
      <c r="AE290">
        <v>1</v>
      </c>
    </row>
    <row r="291" spans="1:32" x14ac:dyDescent="0.3">
      <c r="A291" t="s">
        <v>348</v>
      </c>
      <c r="B291" t="s">
        <v>45</v>
      </c>
      <c r="C291" t="s">
        <v>68</v>
      </c>
      <c r="D291" t="s">
        <v>309</v>
      </c>
      <c r="E291" t="s">
        <v>1197</v>
      </c>
      <c r="F291" s="15">
        <v>46233.471192129633</v>
      </c>
      <c r="G291" t="s">
        <v>398</v>
      </c>
      <c r="H291">
        <v>3</v>
      </c>
      <c r="I291" t="s">
        <v>1198</v>
      </c>
      <c r="J291" s="15">
        <v>46233.615185185183</v>
      </c>
      <c r="K291" s="15">
        <v>46237.458333333336</v>
      </c>
      <c r="L291" s="15"/>
      <c r="M291">
        <v>3</v>
      </c>
      <c r="O291" t="s">
        <v>201</v>
      </c>
      <c r="P291" t="s">
        <v>1954</v>
      </c>
      <c r="S291" t="s">
        <v>353</v>
      </c>
      <c r="T291" t="s">
        <v>368</v>
      </c>
      <c r="U291" t="s">
        <v>239</v>
      </c>
      <c r="V291" t="s">
        <v>348</v>
      </c>
      <c r="W291" t="s">
        <v>369</v>
      </c>
      <c r="X291" t="s">
        <v>239</v>
      </c>
      <c r="AA291" t="s">
        <v>67</v>
      </c>
      <c r="AB291" t="s">
        <v>353</v>
      </c>
      <c r="AC291">
        <v>2100</v>
      </c>
      <c r="AD291" t="s">
        <v>217</v>
      </c>
      <c r="AE291">
        <v>1</v>
      </c>
    </row>
    <row r="292" spans="1:32" x14ac:dyDescent="0.3">
      <c r="A292" t="s">
        <v>348</v>
      </c>
      <c r="B292" t="s">
        <v>45</v>
      </c>
      <c r="C292" t="s">
        <v>68</v>
      </c>
      <c r="D292" t="s">
        <v>309</v>
      </c>
      <c r="E292" t="s">
        <v>1199</v>
      </c>
      <c r="F292" s="15">
        <v>46233.470659722225</v>
      </c>
      <c r="G292" t="s">
        <v>398</v>
      </c>
      <c r="H292">
        <v>3</v>
      </c>
      <c r="I292" t="s">
        <v>1198</v>
      </c>
      <c r="J292" s="15">
        <v>46233.615185185183</v>
      </c>
      <c r="K292" s="15">
        <v>46237.458333333336</v>
      </c>
      <c r="L292" s="15"/>
      <c r="M292">
        <v>3</v>
      </c>
      <c r="O292" t="s">
        <v>201</v>
      </c>
      <c r="P292" t="s">
        <v>1954</v>
      </c>
      <c r="S292" t="s">
        <v>353</v>
      </c>
      <c r="T292" t="s">
        <v>368</v>
      </c>
      <c r="U292" t="s">
        <v>239</v>
      </c>
      <c r="V292" t="s">
        <v>348</v>
      </c>
      <c r="W292" t="s">
        <v>369</v>
      </c>
      <c r="X292" t="s">
        <v>239</v>
      </c>
      <c r="AA292" t="s">
        <v>67</v>
      </c>
      <c r="AB292" t="s">
        <v>353</v>
      </c>
      <c r="AC292">
        <v>2100</v>
      </c>
      <c r="AD292" t="s">
        <v>217</v>
      </c>
      <c r="AE292">
        <v>1</v>
      </c>
    </row>
    <row r="293" spans="1:32" x14ac:dyDescent="0.3">
      <c r="A293" t="s">
        <v>348</v>
      </c>
      <c r="B293" t="s">
        <v>45</v>
      </c>
      <c r="C293" t="s">
        <v>68</v>
      </c>
      <c r="D293" t="s">
        <v>309</v>
      </c>
      <c r="E293" t="s">
        <v>1200</v>
      </c>
      <c r="F293" s="15">
        <v>46233.468287037038</v>
      </c>
      <c r="G293" t="s">
        <v>398</v>
      </c>
      <c r="H293">
        <v>3</v>
      </c>
      <c r="I293" t="s">
        <v>1198</v>
      </c>
      <c r="J293" s="15">
        <v>46233.615185185183</v>
      </c>
      <c r="K293" s="15">
        <v>46237.458333333336</v>
      </c>
      <c r="L293" s="15"/>
      <c r="M293">
        <v>3</v>
      </c>
      <c r="O293" t="s">
        <v>201</v>
      </c>
      <c r="P293" t="s">
        <v>1954</v>
      </c>
      <c r="S293" t="s">
        <v>353</v>
      </c>
      <c r="T293" t="s">
        <v>368</v>
      </c>
      <c r="U293" t="s">
        <v>239</v>
      </c>
      <c r="V293" t="s">
        <v>348</v>
      </c>
      <c r="W293" t="s">
        <v>369</v>
      </c>
      <c r="X293" t="s">
        <v>239</v>
      </c>
      <c r="AA293" t="s">
        <v>67</v>
      </c>
      <c r="AB293" t="s">
        <v>353</v>
      </c>
      <c r="AC293">
        <v>2100</v>
      </c>
      <c r="AD293" t="s">
        <v>217</v>
      </c>
      <c r="AE293">
        <v>1</v>
      </c>
    </row>
    <row r="294" spans="1:32" x14ac:dyDescent="0.3">
      <c r="A294" t="s">
        <v>348</v>
      </c>
      <c r="B294" t="s">
        <v>45</v>
      </c>
      <c r="C294" t="s">
        <v>68</v>
      </c>
      <c r="D294" t="s">
        <v>309</v>
      </c>
      <c r="E294" t="s">
        <v>1201</v>
      </c>
      <c r="F294" s="15">
        <v>46225.582372685189</v>
      </c>
      <c r="G294" t="s">
        <v>398</v>
      </c>
      <c r="H294">
        <v>3</v>
      </c>
      <c r="I294" t="s">
        <v>1202</v>
      </c>
      <c r="J294" s="15">
        <v>46226.429560185185</v>
      </c>
      <c r="K294" s="15">
        <v>46231.455555555556</v>
      </c>
      <c r="L294" s="15"/>
      <c r="M294">
        <v>3</v>
      </c>
      <c r="O294" t="s">
        <v>201</v>
      </c>
      <c r="P294" t="s">
        <v>1956</v>
      </c>
      <c r="S294" t="s">
        <v>353</v>
      </c>
      <c r="T294" t="s">
        <v>368</v>
      </c>
      <c r="U294" t="s">
        <v>239</v>
      </c>
      <c r="V294" t="s">
        <v>348</v>
      </c>
      <c r="W294" t="s">
        <v>369</v>
      </c>
      <c r="X294" t="s">
        <v>239</v>
      </c>
      <c r="Y294">
        <v>103</v>
      </c>
      <c r="AA294" t="s">
        <v>67</v>
      </c>
      <c r="AB294" t="s">
        <v>353</v>
      </c>
      <c r="AC294">
        <v>2100</v>
      </c>
      <c r="AD294" t="s">
        <v>217</v>
      </c>
      <c r="AE294">
        <v>1</v>
      </c>
      <c r="AF294">
        <v>1</v>
      </c>
    </row>
    <row r="295" spans="1:32" x14ac:dyDescent="0.3">
      <c r="A295" t="s">
        <v>348</v>
      </c>
      <c r="B295" t="s">
        <v>45</v>
      </c>
      <c r="C295" t="s">
        <v>68</v>
      </c>
      <c r="D295" t="s">
        <v>309</v>
      </c>
      <c r="E295" t="s">
        <v>1203</v>
      </c>
      <c r="F295" s="15">
        <v>46225.581944444442</v>
      </c>
      <c r="G295" t="s">
        <v>398</v>
      </c>
      <c r="H295">
        <v>1</v>
      </c>
      <c r="I295" t="s">
        <v>1202</v>
      </c>
      <c r="J295" s="15">
        <v>46226.429560185185</v>
      </c>
      <c r="K295" s="15">
        <v>46231.455555555556</v>
      </c>
      <c r="L295" s="15"/>
      <c r="M295">
        <v>1</v>
      </c>
      <c r="O295" t="s">
        <v>201</v>
      </c>
      <c r="P295" t="s">
        <v>1956</v>
      </c>
      <c r="S295" t="s">
        <v>353</v>
      </c>
      <c r="T295" t="s">
        <v>368</v>
      </c>
      <c r="U295" t="s">
        <v>239</v>
      </c>
      <c r="V295" t="s">
        <v>348</v>
      </c>
      <c r="W295" t="s">
        <v>369</v>
      </c>
      <c r="X295" t="s">
        <v>239</v>
      </c>
      <c r="AA295" t="s">
        <v>67</v>
      </c>
      <c r="AB295" t="s">
        <v>353</v>
      </c>
      <c r="AC295">
        <v>2100</v>
      </c>
      <c r="AD295" t="s">
        <v>217</v>
      </c>
      <c r="AE295">
        <v>1</v>
      </c>
    </row>
    <row r="296" spans="1:32" x14ac:dyDescent="0.3">
      <c r="A296" t="s">
        <v>348</v>
      </c>
      <c r="B296" t="s">
        <v>45</v>
      </c>
      <c r="C296" t="s">
        <v>68</v>
      </c>
      <c r="D296" t="s">
        <v>309</v>
      </c>
      <c r="E296" t="s">
        <v>1204</v>
      </c>
      <c r="F296" s="15">
        <v>46225.581226851849</v>
      </c>
      <c r="G296" t="s">
        <v>398</v>
      </c>
      <c r="H296">
        <v>3</v>
      </c>
      <c r="I296" t="s">
        <v>1202</v>
      </c>
      <c r="J296" s="15">
        <v>46226.429560185185</v>
      </c>
      <c r="K296" s="15">
        <v>46231.455555555556</v>
      </c>
      <c r="L296" s="15"/>
      <c r="M296">
        <v>3</v>
      </c>
      <c r="O296" t="s">
        <v>201</v>
      </c>
      <c r="P296" t="s">
        <v>1956</v>
      </c>
      <c r="S296" t="s">
        <v>353</v>
      </c>
      <c r="T296" t="s">
        <v>368</v>
      </c>
      <c r="U296" t="s">
        <v>239</v>
      </c>
      <c r="V296" t="s">
        <v>348</v>
      </c>
      <c r="W296" t="s">
        <v>369</v>
      </c>
      <c r="X296" t="s">
        <v>239</v>
      </c>
      <c r="AA296" t="s">
        <v>67</v>
      </c>
      <c r="AB296" t="s">
        <v>353</v>
      </c>
      <c r="AC296">
        <v>2100</v>
      </c>
      <c r="AD296" t="s">
        <v>217</v>
      </c>
      <c r="AE296">
        <v>1</v>
      </c>
    </row>
    <row r="297" spans="1:32" x14ac:dyDescent="0.3">
      <c r="A297" t="s">
        <v>348</v>
      </c>
      <c r="B297" t="s">
        <v>45</v>
      </c>
      <c r="C297" t="s">
        <v>68</v>
      </c>
      <c r="D297" t="s">
        <v>309</v>
      </c>
      <c r="E297" t="s">
        <v>1205</v>
      </c>
      <c r="F297" s="15">
        <v>46225.358090277776</v>
      </c>
      <c r="G297" t="s">
        <v>402</v>
      </c>
      <c r="H297">
        <v>26</v>
      </c>
      <c r="I297" t="s">
        <v>1206</v>
      </c>
      <c r="J297" s="15">
        <v>46226.397361111114</v>
      </c>
      <c r="K297" s="15">
        <v>46227.5</v>
      </c>
      <c r="L297" s="15"/>
      <c r="M297">
        <v>26</v>
      </c>
      <c r="O297" t="s">
        <v>201</v>
      </c>
      <c r="P297" t="s">
        <v>1954</v>
      </c>
      <c r="S297" t="s">
        <v>353</v>
      </c>
      <c r="T297" t="s">
        <v>368</v>
      </c>
      <c r="U297" t="s">
        <v>239</v>
      </c>
      <c r="V297" t="s">
        <v>348</v>
      </c>
      <c r="W297" t="s">
        <v>369</v>
      </c>
      <c r="X297" t="s">
        <v>239</v>
      </c>
      <c r="AA297" t="s">
        <v>67</v>
      </c>
      <c r="AB297" t="s">
        <v>353</v>
      </c>
      <c r="AC297">
        <v>2100</v>
      </c>
      <c r="AD297" t="s">
        <v>217</v>
      </c>
      <c r="AE297">
        <v>2.6</v>
      </c>
      <c r="AF297">
        <v>1.23</v>
      </c>
    </row>
    <row r="298" spans="1:32" x14ac:dyDescent="0.3">
      <c r="A298" t="s">
        <v>348</v>
      </c>
      <c r="B298" t="s">
        <v>45</v>
      </c>
      <c r="C298" t="s">
        <v>68</v>
      </c>
      <c r="D298" t="s">
        <v>309</v>
      </c>
      <c r="E298" t="s">
        <v>1207</v>
      </c>
      <c r="F298" s="15">
        <v>46225.333067129628</v>
      </c>
      <c r="G298" t="s">
        <v>413</v>
      </c>
      <c r="H298">
        <v>8</v>
      </c>
      <c r="I298" t="s">
        <v>1208</v>
      </c>
      <c r="J298" s="15">
        <v>46225.466446759259</v>
      </c>
      <c r="K298" s="15">
        <v>46227.5</v>
      </c>
      <c r="L298" s="15">
        <v>46227.5</v>
      </c>
      <c r="M298">
        <v>8</v>
      </c>
      <c r="O298" t="s">
        <v>201</v>
      </c>
      <c r="P298" t="s">
        <v>1956</v>
      </c>
      <c r="S298" t="s">
        <v>353</v>
      </c>
      <c r="T298" t="s">
        <v>368</v>
      </c>
      <c r="U298" t="s">
        <v>239</v>
      </c>
      <c r="V298" t="s">
        <v>348</v>
      </c>
      <c r="W298" t="s">
        <v>369</v>
      </c>
      <c r="X298" t="s">
        <v>239</v>
      </c>
      <c r="Y298">
        <v>103</v>
      </c>
      <c r="AA298" t="s">
        <v>67</v>
      </c>
      <c r="AB298" t="s">
        <v>353</v>
      </c>
      <c r="AC298">
        <v>2100</v>
      </c>
      <c r="AD298" t="s">
        <v>217</v>
      </c>
      <c r="AE298">
        <v>1</v>
      </c>
    </row>
    <row r="299" spans="1:32" x14ac:dyDescent="0.3">
      <c r="A299" t="s">
        <v>348</v>
      </c>
      <c r="B299" t="s">
        <v>45</v>
      </c>
      <c r="C299" t="s">
        <v>68</v>
      </c>
      <c r="D299" t="s">
        <v>309</v>
      </c>
      <c r="E299" t="s">
        <v>1209</v>
      </c>
      <c r="F299" s="15">
        <v>46223.488009259258</v>
      </c>
      <c r="G299" t="s">
        <v>398</v>
      </c>
      <c r="H299">
        <v>2</v>
      </c>
      <c r="I299" t="s">
        <v>1210</v>
      </c>
      <c r="J299" s="15">
        <v>46223.579861111109</v>
      </c>
      <c r="K299" s="15">
        <v>46231.451388888891</v>
      </c>
      <c r="L299" s="15">
        <v>46230.708333333336</v>
      </c>
      <c r="M299">
        <v>2</v>
      </c>
      <c r="O299" t="s">
        <v>201</v>
      </c>
      <c r="P299" t="s">
        <v>1956</v>
      </c>
      <c r="S299" t="s">
        <v>353</v>
      </c>
      <c r="T299" t="s">
        <v>368</v>
      </c>
      <c r="U299" t="s">
        <v>239</v>
      </c>
      <c r="V299" t="s">
        <v>348</v>
      </c>
      <c r="W299" t="s">
        <v>369</v>
      </c>
      <c r="X299" t="s">
        <v>239</v>
      </c>
      <c r="Y299">
        <v>103</v>
      </c>
      <c r="AA299" t="s">
        <v>67</v>
      </c>
      <c r="AB299" t="s">
        <v>353</v>
      </c>
      <c r="AC299">
        <v>2100</v>
      </c>
      <c r="AD299" t="s">
        <v>217</v>
      </c>
      <c r="AE299">
        <v>1</v>
      </c>
    </row>
    <row r="300" spans="1:32" x14ac:dyDescent="0.3">
      <c r="A300" t="s">
        <v>348</v>
      </c>
      <c r="B300" t="s">
        <v>45</v>
      </c>
      <c r="C300" t="s">
        <v>68</v>
      </c>
      <c r="D300" t="s">
        <v>309</v>
      </c>
      <c r="E300" t="s">
        <v>1211</v>
      </c>
      <c r="F300" s="15">
        <v>46223.487222222226</v>
      </c>
      <c r="G300" t="s">
        <v>398</v>
      </c>
      <c r="H300">
        <v>1</v>
      </c>
      <c r="I300" t="s">
        <v>1210</v>
      </c>
      <c r="J300" s="15">
        <v>46223.579861111109</v>
      </c>
      <c r="K300" s="15">
        <v>46231.451388888891</v>
      </c>
      <c r="L300" s="15">
        <v>46230.708333333336</v>
      </c>
      <c r="M300">
        <v>1</v>
      </c>
      <c r="O300" t="s">
        <v>201</v>
      </c>
      <c r="P300" t="s">
        <v>1956</v>
      </c>
      <c r="S300" t="s">
        <v>353</v>
      </c>
      <c r="T300" t="s">
        <v>368</v>
      </c>
      <c r="U300" t="s">
        <v>239</v>
      </c>
      <c r="V300" t="s">
        <v>348</v>
      </c>
      <c r="W300" t="s">
        <v>369</v>
      </c>
      <c r="X300" t="s">
        <v>239</v>
      </c>
      <c r="AA300" t="s">
        <v>67</v>
      </c>
      <c r="AB300" t="s">
        <v>353</v>
      </c>
      <c r="AC300">
        <v>2100</v>
      </c>
      <c r="AD300" t="s">
        <v>217</v>
      </c>
      <c r="AE300">
        <v>1</v>
      </c>
    </row>
    <row r="301" spans="1:32" x14ac:dyDescent="0.3">
      <c r="A301" t="s">
        <v>348</v>
      </c>
      <c r="B301" t="s">
        <v>45</v>
      </c>
      <c r="C301" t="s">
        <v>68</v>
      </c>
      <c r="D301" t="s">
        <v>309</v>
      </c>
      <c r="E301" t="s">
        <v>1212</v>
      </c>
      <c r="F301" s="15">
        <v>46225.339780092596</v>
      </c>
      <c r="G301" t="s">
        <v>402</v>
      </c>
      <c r="H301">
        <v>4</v>
      </c>
      <c r="I301" t="s">
        <v>1213</v>
      </c>
      <c r="J301" s="15">
        <v>46225.680555555555</v>
      </c>
      <c r="K301" s="15">
        <v>46227.5</v>
      </c>
      <c r="L301" s="15"/>
      <c r="M301">
        <v>4</v>
      </c>
      <c r="O301" t="s">
        <v>201</v>
      </c>
      <c r="P301" t="s">
        <v>1954</v>
      </c>
      <c r="S301" t="s">
        <v>353</v>
      </c>
      <c r="T301" t="s">
        <v>368</v>
      </c>
      <c r="U301" t="s">
        <v>239</v>
      </c>
      <c r="V301" t="s">
        <v>348</v>
      </c>
      <c r="W301" t="s">
        <v>369</v>
      </c>
      <c r="X301" t="s">
        <v>239</v>
      </c>
      <c r="AA301" t="s">
        <v>67</v>
      </c>
      <c r="AB301" t="s">
        <v>353</v>
      </c>
      <c r="AC301">
        <v>2100</v>
      </c>
      <c r="AD301" t="s">
        <v>217</v>
      </c>
      <c r="AE301">
        <v>1</v>
      </c>
    </row>
    <row r="302" spans="1:32" x14ac:dyDescent="0.3">
      <c r="A302" t="s">
        <v>348</v>
      </c>
      <c r="B302" t="s">
        <v>45</v>
      </c>
      <c r="C302" t="s">
        <v>68</v>
      </c>
      <c r="D302" t="s">
        <v>309</v>
      </c>
      <c r="E302" t="s">
        <v>1214</v>
      </c>
      <c r="F302" s="15">
        <v>46225.337905092594</v>
      </c>
      <c r="G302" t="s">
        <v>402</v>
      </c>
      <c r="H302">
        <v>2</v>
      </c>
      <c r="I302" t="s">
        <v>1213</v>
      </c>
      <c r="J302" s="15">
        <v>46225.680555555555</v>
      </c>
      <c r="K302" s="15">
        <v>46227.5</v>
      </c>
      <c r="L302" s="15"/>
      <c r="M302">
        <v>2</v>
      </c>
      <c r="O302" t="s">
        <v>201</v>
      </c>
      <c r="P302" t="s">
        <v>1954</v>
      </c>
      <c r="S302" t="s">
        <v>353</v>
      </c>
      <c r="T302" t="s">
        <v>368</v>
      </c>
      <c r="U302" t="s">
        <v>239</v>
      </c>
      <c r="V302" t="s">
        <v>348</v>
      </c>
      <c r="W302" t="s">
        <v>369</v>
      </c>
      <c r="X302" t="s">
        <v>239</v>
      </c>
      <c r="AA302" t="s">
        <v>67</v>
      </c>
      <c r="AB302" t="s">
        <v>353</v>
      </c>
      <c r="AC302">
        <v>2100</v>
      </c>
      <c r="AD302" t="s">
        <v>217</v>
      </c>
      <c r="AE302">
        <v>1</v>
      </c>
    </row>
    <row r="303" spans="1:32" x14ac:dyDescent="0.3">
      <c r="A303" t="s">
        <v>348</v>
      </c>
      <c r="B303" t="s">
        <v>45</v>
      </c>
      <c r="C303" t="s">
        <v>68</v>
      </c>
      <c r="D303" t="s">
        <v>309</v>
      </c>
      <c r="E303" t="s">
        <v>1215</v>
      </c>
      <c r="F303" s="15">
        <v>46225.337650462963</v>
      </c>
      <c r="G303" t="s">
        <v>402</v>
      </c>
      <c r="H303">
        <v>1</v>
      </c>
      <c r="I303" t="s">
        <v>1213</v>
      </c>
      <c r="J303" s="15">
        <v>46225.680555555555</v>
      </c>
      <c r="K303" s="15">
        <v>46227.5</v>
      </c>
      <c r="L303" s="15"/>
      <c r="M303">
        <v>1</v>
      </c>
      <c r="O303" t="s">
        <v>201</v>
      </c>
      <c r="P303" t="s">
        <v>1954</v>
      </c>
      <c r="S303" t="s">
        <v>353</v>
      </c>
      <c r="T303" t="s">
        <v>368</v>
      </c>
      <c r="U303" t="s">
        <v>239</v>
      </c>
      <c r="V303" t="s">
        <v>348</v>
      </c>
      <c r="W303" t="s">
        <v>369</v>
      </c>
      <c r="X303" t="s">
        <v>239</v>
      </c>
      <c r="AA303" t="s">
        <v>67</v>
      </c>
      <c r="AB303" t="s">
        <v>353</v>
      </c>
      <c r="AC303">
        <v>2100</v>
      </c>
      <c r="AD303" t="s">
        <v>217</v>
      </c>
      <c r="AE303">
        <v>1</v>
      </c>
    </row>
    <row r="304" spans="1:32" x14ac:dyDescent="0.3">
      <c r="A304" t="s">
        <v>348</v>
      </c>
      <c r="B304" t="s">
        <v>45</v>
      </c>
      <c r="C304" t="s">
        <v>68</v>
      </c>
      <c r="D304" t="s">
        <v>309</v>
      </c>
      <c r="E304" t="s">
        <v>1216</v>
      </c>
      <c r="F304" s="15">
        <v>46224.651469907411</v>
      </c>
      <c r="G304" t="s">
        <v>402</v>
      </c>
      <c r="H304">
        <v>16</v>
      </c>
      <c r="I304" t="s">
        <v>1217</v>
      </c>
      <c r="J304" s="15">
        <v>46225.65902777778</v>
      </c>
      <c r="K304" s="15">
        <v>46227.5</v>
      </c>
      <c r="L304" s="15">
        <v>46227</v>
      </c>
      <c r="M304">
        <v>16</v>
      </c>
      <c r="O304" t="s">
        <v>201</v>
      </c>
      <c r="P304" t="s">
        <v>1954</v>
      </c>
      <c r="S304" t="s">
        <v>353</v>
      </c>
      <c r="T304" t="s">
        <v>368</v>
      </c>
      <c r="U304" t="s">
        <v>239</v>
      </c>
      <c r="V304" t="s">
        <v>348</v>
      </c>
      <c r="W304" t="s">
        <v>369</v>
      </c>
      <c r="X304" t="s">
        <v>239</v>
      </c>
      <c r="AA304" t="s">
        <v>67</v>
      </c>
      <c r="AB304" t="s">
        <v>353</v>
      </c>
      <c r="AC304">
        <v>2100</v>
      </c>
      <c r="AD304" t="s">
        <v>217</v>
      </c>
      <c r="AE304">
        <v>1.6</v>
      </c>
    </row>
    <row r="305" spans="1:32" x14ac:dyDescent="0.3">
      <c r="A305" t="s">
        <v>348</v>
      </c>
      <c r="B305" t="s">
        <v>45</v>
      </c>
      <c r="C305" t="s">
        <v>68</v>
      </c>
      <c r="D305" t="s">
        <v>309</v>
      </c>
      <c r="E305" t="s">
        <v>1218</v>
      </c>
      <c r="F305" s="15">
        <v>46224.65053240741</v>
      </c>
      <c r="G305" t="s">
        <v>402</v>
      </c>
      <c r="H305">
        <v>6</v>
      </c>
      <c r="I305" t="s">
        <v>1217</v>
      </c>
      <c r="J305" s="15">
        <v>46225.65902777778</v>
      </c>
      <c r="K305" s="15">
        <v>46227.5</v>
      </c>
      <c r="L305" s="15">
        <v>46227</v>
      </c>
      <c r="M305">
        <v>6</v>
      </c>
      <c r="O305" t="s">
        <v>201</v>
      </c>
      <c r="P305" t="s">
        <v>1954</v>
      </c>
      <c r="S305" t="s">
        <v>353</v>
      </c>
      <c r="T305" t="s">
        <v>368</v>
      </c>
      <c r="U305" t="s">
        <v>239</v>
      </c>
      <c r="V305" t="s">
        <v>348</v>
      </c>
      <c r="W305" t="s">
        <v>369</v>
      </c>
      <c r="X305" t="s">
        <v>239</v>
      </c>
      <c r="AA305" t="s">
        <v>67</v>
      </c>
      <c r="AB305" t="s">
        <v>353</v>
      </c>
      <c r="AC305">
        <v>2100</v>
      </c>
      <c r="AD305" t="s">
        <v>217</v>
      </c>
      <c r="AE305">
        <v>1</v>
      </c>
    </row>
    <row r="306" spans="1:32" x14ac:dyDescent="0.3">
      <c r="A306" t="s">
        <v>348</v>
      </c>
      <c r="B306" t="s">
        <v>45</v>
      </c>
      <c r="C306" t="s">
        <v>68</v>
      </c>
      <c r="D306" t="s">
        <v>309</v>
      </c>
      <c r="E306" t="s">
        <v>1219</v>
      </c>
      <c r="F306" s="15">
        <v>46225.340196759258</v>
      </c>
      <c r="G306" t="s">
        <v>402</v>
      </c>
      <c r="H306">
        <v>3</v>
      </c>
      <c r="I306" t="s">
        <v>1213</v>
      </c>
      <c r="J306" s="15">
        <v>46225.680555555555</v>
      </c>
      <c r="K306" s="15">
        <v>46227.5</v>
      </c>
      <c r="L306" s="15"/>
      <c r="M306">
        <v>3</v>
      </c>
      <c r="O306" t="s">
        <v>201</v>
      </c>
      <c r="P306" t="s">
        <v>1954</v>
      </c>
      <c r="S306" t="s">
        <v>353</v>
      </c>
      <c r="T306" t="s">
        <v>368</v>
      </c>
      <c r="U306" t="s">
        <v>239</v>
      </c>
      <c r="V306" t="s">
        <v>348</v>
      </c>
      <c r="W306" t="s">
        <v>369</v>
      </c>
      <c r="X306" t="s">
        <v>239</v>
      </c>
      <c r="AA306" t="s">
        <v>67</v>
      </c>
      <c r="AB306" t="s">
        <v>353</v>
      </c>
      <c r="AC306">
        <v>2100</v>
      </c>
      <c r="AD306" t="s">
        <v>217</v>
      </c>
      <c r="AE306">
        <v>1</v>
      </c>
    </row>
    <row r="307" spans="1:32" x14ac:dyDescent="0.3">
      <c r="A307" t="s">
        <v>348</v>
      </c>
      <c r="B307" t="s">
        <v>45</v>
      </c>
      <c r="C307" t="s">
        <v>68</v>
      </c>
      <c r="D307" t="s">
        <v>309</v>
      </c>
      <c r="E307" t="s">
        <v>1220</v>
      </c>
      <c r="F307" s="15">
        <v>46225.340752314813</v>
      </c>
      <c r="G307" t="s">
        <v>402</v>
      </c>
      <c r="H307">
        <v>3</v>
      </c>
      <c r="I307" t="s">
        <v>1213</v>
      </c>
      <c r="J307" s="15">
        <v>46225.680555555555</v>
      </c>
      <c r="K307" s="15">
        <v>46227.5</v>
      </c>
      <c r="L307" s="15"/>
      <c r="M307">
        <v>3</v>
      </c>
      <c r="O307" t="s">
        <v>201</v>
      </c>
      <c r="P307" t="s">
        <v>1954</v>
      </c>
      <c r="S307" t="s">
        <v>353</v>
      </c>
      <c r="T307" t="s">
        <v>368</v>
      </c>
      <c r="U307" t="s">
        <v>239</v>
      </c>
      <c r="V307" t="s">
        <v>348</v>
      </c>
      <c r="W307" t="s">
        <v>369</v>
      </c>
      <c r="X307" t="s">
        <v>239</v>
      </c>
      <c r="AA307" t="s">
        <v>67</v>
      </c>
      <c r="AB307" t="s">
        <v>353</v>
      </c>
      <c r="AC307">
        <v>2100</v>
      </c>
      <c r="AD307" t="s">
        <v>217</v>
      </c>
      <c r="AE307">
        <v>1</v>
      </c>
    </row>
    <row r="308" spans="1:32" x14ac:dyDescent="0.3">
      <c r="A308" t="s">
        <v>348</v>
      </c>
      <c r="B308" t="s">
        <v>63</v>
      </c>
      <c r="C308" t="s">
        <v>95</v>
      </c>
      <c r="D308" t="s">
        <v>309</v>
      </c>
      <c r="E308" t="s">
        <v>1221</v>
      </c>
      <c r="F308" s="15">
        <v>46230.561921296299</v>
      </c>
      <c r="G308" t="s">
        <v>399</v>
      </c>
      <c r="H308">
        <v>1</v>
      </c>
      <c r="I308" t="s">
        <v>1222</v>
      </c>
      <c r="J308" s="15">
        <v>46231.383333333331</v>
      </c>
      <c r="K308" s="15">
        <v>46237.474999999999</v>
      </c>
      <c r="L308" s="15"/>
      <c r="M308">
        <v>1</v>
      </c>
      <c r="O308" t="s">
        <v>201</v>
      </c>
      <c r="P308" t="s">
        <v>1954</v>
      </c>
      <c r="S308" t="s">
        <v>353</v>
      </c>
      <c r="T308" t="s">
        <v>368</v>
      </c>
      <c r="U308" t="s">
        <v>239</v>
      </c>
      <c r="V308" t="s">
        <v>7</v>
      </c>
      <c r="W308" t="s">
        <v>7</v>
      </c>
      <c r="X308" t="s">
        <v>7</v>
      </c>
      <c r="AA308" t="s">
        <v>96</v>
      </c>
      <c r="AB308" t="s">
        <v>353</v>
      </c>
      <c r="AC308">
        <v>2100</v>
      </c>
      <c r="AD308" t="s">
        <v>225</v>
      </c>
      <c r="AE308">
        <v>1</v>
      </c>
      <c r="AF308">
        <v>1</v>
      </c>
    </row>
    <row r="309" spans="1:32" x14ac:dyDescent="0.3">
      <c r="A309" t="s">
        <v>348</v>
      </c>
      <c r="B309" t="s">
        <v>57</v>
      </c>
      <c r="C309" t="s">
        <v>117</v>
      </c>
      <c r="D309" t="s">
        <v>309</v>
      </c>
      <c r="E309" t="s">
        <v>1221</v>
      </c>
      <c r="F309" s="15">
        <v>46230.561921296299</v>
      </c>
      <c r="G309" t="s">
        <v>399</v>
      </c>
      <c r="H309">
        <v>1</v>
      </c>
      <c r="I309" t="s">
        <v>1222</v>
      </c>
      <c r="J309" s="15">
        <v>46231.383333333331</v>
      </c>
      <c r="K309" s="15">
        <v>46237.474999999999</v>
      </c>
      <c r="L309" s="15"/>
      <c r="M309">
        <v>1</v>
      </c>
      <c r="O309" t="s">
        <v>201</v>
      </c>
      <c r="P309" t="s">
        <v>1954</v>
      </c>
      <c r="S309" t="s">
        <v>353</v>
      </c>
      <c r="T309" t="s">
        <v>368</v>
      </c>
      <c r="U309" t="s">
        <v>239</v>
      </c>
      <c r="V309" t="s">
        <v>7</v>
      </c>
      <c r="W309" t="s">
        <v>7</v>
      </c>
      <c r="X309" t="s">
        <v>7</v>
      </c>
      <c r="AA309" t="s">
        <v>127</v>
      </c>
      <c r="AB309" t="s">
        <v>353</v>
      </c>
      <c r="AC309">
        <v>2100</v>
      </c>
      <c r="AD309" t="s">
        <v>233</v>
      </c>
      <c r="AE309">
        <v>1</v>
      </c>
      <c r="AF309">
        <v>1</v>
      </c>
    </row>
    <row r="310" spans="1:32" x14ac:dyDescent="0.3">
      <c r="A310" t="s">
        <v>348</v>
      </c>
      <c r="B310" t="s">
        <v>279</v>
      </c>
      <c r="C310" t="s">
        <v>192</v>
      </c>
      <c r="D310" t="s">
        <v>309</v>
      </c>
      <c r="E310" t="s">
        <v>1221</v>
      </c>
      <c r="F310" s="15">
        <v>46230.561921296299</v>
      </c>
      <c r="G310" t="s">
        <v>399</v>
      </c>
      <c r="H310">
        <v>245</v>
      </c>
      <c r="I310" t="s">
        <v>1222</v>
      </c>
      <c r="J310" s="15">
        <v>46231.383333333331</v>
      </c>
      <c r="K310" s="15">
        <v>46237.474999999999</v>
      </c>
      <c r="L310" s="15"/>
      <c r="M310">
        <v>245</v>
      </c>
      <c r="O310" t="s">
        <v>201</v>
      </c>
      <c r="P310" t="s">
        <v>1956</v>
      </c>
      <c r="S310" t="s">
        <v>353</v>
      </c>
      <c r="T310" t="s">
        <v>368</v>
      </c>
      <c r="U310" t="s">
        <v>239</v>
      </c>
      <c r="V310" t="s">
        <v>7</v>
      </c>
      <c r="W310" t="s">
        <v>7</v>
      </c>
      <c r="X310" t="s">
        <v>7</v>
      </c>
      <c r="Z310">
        <v>1</v>
      </c>
      <c r="AA310" t="s">
        <v>122</v>
      </c>
      <c r="AB310" t="s">
        <v>353</v>
      </c>
      <c r="AC310">
        <v>2100</v>
      </c>
      <c r="AD310" t="s">
        <v>232</v>
      </c>
      <c r="AE310">
        <v>245</v>
      </c>
      <c r="AF310">
        <v>24.5</v>
      </c>
    </row>
    <row r="311" spans="1:32" x14ac:dyDescent="0.3">
      <c r="A311" t="s">
        <v>348</v>
      </c>
      <c r="B311" t="s">
        <v>45</v>
      </c>
      <c r="C311" t="s">
        <v>68</v>
      </c>
      <c r="D311" t="s">
        <v>309</v>
      </c>
      <c r="E311" t="s">
        <v>1223</v>
      </c>
      <c r="F311" s="15">
        <v>46230.441238425927</v>
      </c>
      <c r="G311" t="s">
        <v>398</v>
      </c>
      <c r="H311">
        <v>3</v>
      </c>
      <c r="I311" t="s">
        <v>1224</v>
      </c>
      <c r="J311" s="15">
        <v>46230.705555555556</v>
      </c>
      <c r="K311" s="15">
        <v>46231.431944444441</v>
      </c>
      <c r="L311" s="15"/>
      <c r="M311">
        <v>3</v>
      </c>
      <c r="O311" t="s">
        <v>201</v>
      </c>
      <c r="P311" t="s">
        <v>1954</v>
      </c>
      <c r="S311" t="s">
        <v>353</v>
      </c>
      <c r="T311" t="s">
        <v>368</v>
      </c>
      <c r="U311" t="s">
        <v>239</v>
      </c>
      <c r="V311" t="s">
        <v>348</v>
      </c>
      <c r="W311" t="s">
        <v>369</v>
      </c>
      <c r="X311" t="s">
        <v>239</v>
      </c>
      <c r="Y311">
        <v>103</v>
      </c>
      <c r="AA311" t="s">
        <v>67</v>
      </c>
      <c r="AB311" t="s">
        <v>353</v>
      </c>
      <c r="AC311">
        <v>2100</v>
      </c>
      <c r="AD311" t="s">
        <v>217</v>
      </c>
      <c r="AE311">
        <v>1</v>
      </c>
    </row>
    <row r="312" spans="1:32" x14ac:dyDescent="0.3">
      <c r="A312" t="s">
        <v>348</v>
      </c>
      <c r="B312" t="s">
        <v>45</v>
      </c>
      <c r="C312" t="s">
        <v>68</v>
      </c>
      <c r="D312" t="s">
        <v>309</v>
      </c>
      <c r="E312" t="s">
        <v>1225</v>
      </c>
      <c r="F312" s="15">
        <v>46230.439814814818</v>
      </c>
      <c r="G312" t="s">
        <v>398</v>
      </c>
      <c r="H312">
        <v>4</v>
      </c>
      <c r="I312" t="s">
        <v>1224</v>
      </c>
      <c r="J312" s="15">
        <v>46230.705555555556</v>
      </c>
      <c r="K312" s="15">
        <v>46231.431944444441</v>
      </c>
      <c r="L312" s="15"/>
      <c r="M312">
        <v>4</v>
      </c>
      <c r="O312" t="s">
        <v>201</v>
      </c>
      <c r="P312" t="s">
        <v>1954</v>
      </c>
      <c r="S312" t="s">
        <v>353</v>
      </c>
      <c r="T312" t="s">
        <v>368</v>
      </c>
      <c r="U312" t="s">
        <v>239</v>
      </c>
      <c r="V312" t="s">
        <v>348</v>
      </c>
      <c r="W312" t="s">
        <v>369</v>
      </c>
      <c r="X312" t="s">
        <v>239</v>
      </c>
      <c r="AA312" t="s">
        <v>67</v>
      </c>
      <c r="AB312" t="s">
        <v>353</v>
      </c>
      <c r="AC312">
        <v>2100</v>
      </c>
      <c r="AD312" t="s">
        <v>217</v>
      </c>
      <c r="AE312">
        <v>1</v>
      </c>
    </row>
    <row r="313" spans="1:32" x14ac:dyDescent="0.3">
      <c r="A313" t="s">
        <v>348</v>
      </c>
      <c r="B313" t="s">
        <v>43</v>
      </c>
      <c r="C313" t="s">
        <v>105</v>
      </c>
      <c r="D313" t="s">
        <v>309</v>
      </c>
      <c r="E313" t="s">
        <v>1226</v>
      </c>
      <c r="F313" s="15">
        <v>46226.43414351852</v>
      </c>
      <c r="G313" t="s">
        <v>1227</v>
      </c>
      <c r="H313">
        <v>1</v>
      </c>
      <c r="I313" t="s">
        <v>1228</v>
      </c>
      <c r="J313" s="15">
        <v>46226.474999999999</v>
      </c>
      <c r="K313" s="15">
        <v>46231.455555555556</v>
      </c>
      <c r="L313" s="15"/>
      <c r="M313">
        <v>1</v>
      </c>
      <c r="O313" t="s">
        <v>201</v>
      </c>
      <c r="P313" t="s">
        <v>1956</v>
      </c>
      <c r="S313" t="s">
        <v>353</v>
      </c>
      <c r="T313" t="s">
        <v>368</v>
      </c>
      <c r="U313" t="s">
        <v>239</v>
      </c>
      <c r="V313" t="s">
        <v>348</v>
      </c>
      <c r="W313" t="s">
        <v>369</v>
      </c>
      <c r="X313" t="s">
        <v>239</v>
      </c>
      <c r="AA313" t="s">
        <v>67</v>
      </c>
      <c r="AB313" t="s">
        <v>353</v>
      </c>
      <c r="AC313">
        <v>2100</v>
      </c>
      <c r="AD313" t="s">
        <v>217</v>
      </c>
      <c r="AE313">
        <v>1</v>
      </c>
    </row>
    <row r="314" spans="1:32" x14ac:dyDescent="0.3">
      <c r="A314" t="s">
        <v>348</v>
      </c>
      <c r="B314" t="s">
        <v>45</v>
      </c>
      <c r="C314" t="s">
        <v>68</v>
      </c>
      <c r="D314" t="s">
        <v>309</v>
      </c>
      <c r="E314" t="s">
        <v>1229</v>
      </c>
      <c r="F314" s="15">
        <v>46225.341481481482</v>
      </c>
      <c r="G314" t="s">
        <v>402</v>
      </c>
      <c r="H314">
        <v>11</v>
      </c>
      <c r="I314" t="s">
        <v>1213</v>
      </c>
      <c r="J314" s="15">
        <v>46225.680555555555</v>
      </c>
      <c r="K314" s="15">
        <v>46227.5</v>
      </c>
      <c r="L314" s="15"/>
      <c r="M314">
        <v>11</v>
      </c>
      <c r="O314" t="s">
        <v>201</v>
      </c>
      <c r="P314" t="s">
        <v>1954</v>
      </c>
      <c r="S314" t="s">
        <v>353</v>
      </c>
      <c r="T314" t="s">
        <v>368</v>
      </c>
      <c r="U314" t="s">
        <v>239</v>
      </c>
      <c r="V314" t="s">
        <v>348</v>
      </c>
      <c r="W314" t="s">
        <v>369</v>
      </c>
      <c r="X314" t="s">
        <v>239</v>
      </c>
      <c r="AA314" t="s">
        <v>67</v>
      </c>
      <c r="AB314" t="s">
        <v>353</v>
      </c>
      <c r="AC314">
        <v>2100</v>
      </c>
      <c r="AD314" t="s">
        <v>217</v>
      </c>
      <c r="AE314">
        <v>1.1000000000000001</v>
      </c>
    </row>
    <row r="315" spans="1:32" x14ac:dyDescent="0.3">
      <c r="A315" t="s">
        <v>348</v>
      </c>
      <c r="B315" t="s">
        <v>45</v>
      </c>
      <c r="C315" t="s">
        <v>68</v>
      </c>
      <c r="D315" t="s">
        <v>309</v>
      </c>
      <c r="E315" t="s">
        <v>1230</v>
      </c>
      <c r="F315" s="15">
        <v>46244.522743055553</v>
      </c>
      <c r="G315" t="s">
        <v>408</v>
      </c>
      <c r="H315">
        <v>6</v>
      </c>
      <c r="I315" t="s">
        <v>1231</v>
      </c>
      <c r="J315" s="15">
        <v>46244.706250000003</v>
      </c>
      <c r="K315" s="15">
        <v>46247.409722222219</v>
      </c>
      <c r="L315" s="15"/>
      <c r="M315">
        <v>6</v>
      </c>
      <c r="O315" t="s">
        <v>201</v>
      </c>
      <c r="P315" t="s">
        <v>1956</v>
      </c>
      <c r="S315" t="s">
        <v>358</v>
      </c>
      <c r="T315" t="s">
        <v>370</v>
      </c>
      <c r="U315" t="s">
        <v>239</v>
      </c>
      <c r="V315" t="s">
        <v>348</v>
      </c>
      <c r="W315" t="s">
        <v>369</v>
      </c>
      <c r="X315" t="s">
        <v>239</v>
      </c>
      <c r="Y315">
        <v>0</v>
      </c>
      <c r="AA315" t="s">
        <v>67</v>
      </c>
      <c r="AB315" t="s">
        <v>358</v>
      </c>
      <c r="AC315">
        <v>1050</v>
      </c>
      <c r="AD315" t="s">
        <v>217</v>
      </c>
      <c r="AE315">
        <v>1</v>
      </c>
      <c r="AF315">
        <v>1</v>
      </c>
    </row>
    <row r="316" spans="1:32" x14ac:dyDescent="0.3">
      <c r="A316" t="s">
        <v>348</v>
      </c>
      <c r="B316" t="s">
        <v>51</v>
      </c>
      <c r="C316" t="s">
        <v>258</v>
      </c>
      <c r="D316" t="s">
        <v>309</v>
      </c>
      <c r="E316" t="s">
        <v>1232</v>
      </c>
      <c r="F316" s="15">
        <v>46247.655405092592</v>
      </c>
      <c r="G316" t="s">
        <v>408</v>
      </c>
      <c r="H316">
        <v>120</v>
      </c>
      <c r="I316" t="s">
        <v>1233</v>
      </c>
      <c r="J316" s="15">
        <v>46247.70208333333</v>
      </c>
      <c r="K316" s="15">
        <v>46253.604166666664</v>
      </c>
      <c r="L316" s="15"/>
      <c r="M316">
        <v>120</v>
      </c>
      <c r="O316" t="s">
        <v>201</v>
      </c>
      <c r="P316" t="s">
        <v>1956</v>
      </c>
      <c r="S316" t="s">
        <v>358</v>
      </c>
      <c r="T316" t="s">
        <v>370</v>
      </c>
      <c r="U316" t="s">
        <v>239</v>
      </c>
      <c r="V316" t="s">
        <v>7</v>
      </c>
      <c r="W316" t="s">
        <v>7</v>
      </c>
      <c r="X316" t="s">
        <v>7</v>
      </c>
      <c r="AA316" t="s">
        <v>238</v>
      </c>
      <c r="AB316" t="s">
        <v>358</v>
      </c>
      <c r="AC316">
        <v>1050</v>
      </c>
      <c r="AD316" t="s">
        <v>7</v>
      </c>
      <c r="AF316">
        <v>0</v>
      </c>
    </row>
    <row r="317" spans="1:32" x14ac:dyDescent="0.3">
      <c r="A317" t="s">
        <v>348</v>
      </c>
      <c r="B317" t="s">
        <v>45</v>
      </c>
      <c r="C317" t="s">
        <v>68</v>
      </c>
      <c r="D317" t="s">
        <v>309</v>
      </c>
      <c r="E317" t="s">
        <v>1234</v>
      </c>
      <c r="F317" s="15">
        <v>46252.385625000003</v>
      </c>
      <c r="G317" t="s">
        <v>404</v>
      </c>
      <c r="H317">
        <v>45</v>
      </c>
      <c r="I317" t="s">
        <v>1235</v>
      </c>
      <c r="J317" s="15">
        <v>46252.684027777781</v>
      </c>
      <c r="K317" s="15">
        <v>46254.560416666667</v>
      </c>
      <c r="L317" s="15"/>
      <c r="M317">
        <v>45</v>
      </c>
      <c r="O317" t="s">
        <v>201</v>
      </c>
      <c r="P317" t="s">
        <v>1956</v>
      </c>
      <c r="S317" t="s">
        <v>358</v>
      </c>
      <c r="T317" t="s">
        <v>370</v>
      </c>
      <c r="U317" t="s">
        <v>239</v>
      </c>
      <c r="V317" t="s">
        <v>348</v>
      </c>
      <c r="W317" t="s">
        <v>369</v>
      </c>
      <c r="X317" t="s">
        <v>239</v>
      </c>
      <c r="Y317">
        <v>0</v>
      </c>
      <c r="AA317" t="s">
        <v>67</v>
      </c>
      <c r="AB317" t="s">
        <v>358</v>
      </c>
      <c r="AC317">
        <v>1050</v>
      </c>
      <c r="AD317" t="s">
        <v>217</v>
      </c>
      <c r="AE317">
        <v>4.5</v>
      </c>
      <c r="AF317">
        <v>1</v>
      </c>
    </row>
    <row r="318" spans="1:32" x14ac:dyDescent="0.3">
      <c r="A318" t="s">
        <v>348</v>
      </c>
      <c r="B318" t="s">
        <v>45</v>
      </c>
      <c r="C318" t="s">
        <v>68</v>
      </c>
      <c r="D318" t="s">
        <v>309</v>
      </c>
      <c r="E318" t="s">
        <v>1236</v>
      </c>
      <c r="F318" s="15">
        <v>46251.574641203704</v>
      </c>
      <c r="G318" t="s">
        <v>408</v>
      </c>
      <c r="H318">
        <v>15</v>
      </c>
      <c r="I318" t="s">
        <v>1237</v>
      </c>
      <c r="J318" s="15">
        <v>46252.347222222219</v>
      </c>
      <c r="K318" s="15">
        <v>46253.486111111109</v>
      </c>
      <c r="L318" s="15"/>
      <c r="M318">
        <v>15</v>
      </c>
      <c r="O318" t="s">
        <v>201</v>
      </c>
      <c r="P318" t="s">
        <v>1956</v>
      </c>
      <c r="S318" t="s">
        <v>358</v>
      </c>
      <c r="T318" t="s">
        <v>370</v>
      </c>
      <c r="U318" t="s">
        <v>239</v>
      </c>
      <c r="V318" t="s">
        <v>348</v>
      </c>
      <c r="W318" t="s">
        <v>369</v>
      </c>
      <c r="X318" t="s">
        <v>239</v>
      </c>
      <c r="AA318" t="s">
        <v>67</v>
      </c>
      <c r="AB318" t="s">
        <v>358</v>
      </c>
      <c r="AC318">
        <v>1050</v>
      </c>
      <c r="AD318" t="s">
        <v>217</v>
      </c>
      <c r="AE318">
        <v>1.5</v>
      </c>
      <c r="AF318">
        <v>1</v>
      </c>
    </row>
    <row r="319" spans="1:32" x14ac:dyDescent="0.3">
      <c r="A319" t="s">
        <v>348</v>
      </c>
      <c r="B319" t="s">
        <v>45</v>
      </c>
      <c r="C319" t="s">
        <v>68</v>
      </c>
      <c r="D319" t="s">
        <v>309</v>
      </c>
      <c r="E319" t="s">
        <v>1238</v>
      </c>
      <c r="F319" s="15">
        <v>46224.403738425928</v>
      </c>
      <c r="G319" t="s">
        <v>404</v>
      </c>
      <c r="H319">
        <v>50</v>
      </c>
      <c r="I319" t="s">
        <v>1239</v>
      </c>
      <c r="J319" s="15">
        <v>46224.678472222222</v>
      </c>
      <c r="K319" s="15">
        <v>46227.503472222219</v>
      </c>
      <c r="L319" s="15"/>
      <c r="M319">
        <v>50</v>
      </c>
      <c r="O319" t="s">
        <v>201</v>
      </c>
      <c r="P319" t="s">
        <v>1956</v>
      </c>
      <c r="S319" t="s">
        <v>358</v>
      </c>
      <c r="T319" t="s">
        <v>370</v>
      </c>
      <c r="U319" t="s">
        <v>239</v>
      </c>
      <c r="V319" t="s">
        <v>348</v>
      </c>
      <c r="W319" t="s">
        <v>369</v>
      </c>
      <c r="X319" t="s">
        <v>239</v>
      </c>
      <c r="Y319">
        <v>0</v>
      </c>
      <c r="AA319" t="s">
        <v>67</v>
      </c>
      <c r="AB319" t="s">
        <v>358</v>
      </c>
      <c r="AC319">
        <v>1050</v>
      </c>
      <c r="AD319" t="s">
        <v>217</v>
      </c>
      <c r="AE319">
        <v>5</v>
      </c>
      <c r="AF319">
        <v>1</v>
      </c>
    </row>
    <row r="320" spans="1:32" x14ac:dyDescent="0.3">
      <c r="A320" t="s">
        <v>348</v>
      </c>
      <c r="B320" t="s">
        <v>45</v>
      </c>
      <c r="C320" t="s">
        <v>68</v>
      </c>
      <c r="D320" t="s">
        <v>309</v>
      </c>
      <c r="E320" t="s">
        <v>1240</v>
      </c>
      <c r="F320" s="15">
        <v>46230.325821759259</v>
      </c>
      <c r="G320" t="s">
        <v>408</v>
      </c>
      <c r="H320">
        <v>22</v>
      </c>
      <c r="I320" t="s">
        <v>1241</v>
      </c>
      <c r="J320" s="15">
        <v>46230.419444444444</v>
      </c>
      <c r="K320" s="15">
        <v>46232.520833333336</v>
      </c>
      <c r="L320" s="15"/>
      <c r="M320">
        <v>22</v>
      </c>
      <c r="O320" t="s">
        <v>201</v>
      </c>
      <c r="P320" t="s">
        <v>1956</v>
      </c>
      <c r="S320" t="s">
        <v>358</v>
      </c>
      <c r="T320" t="s">
        <v>370</v>
      </c>
      <c r="U320" t="s">
        <v>239</v>
      </c>
      <c r="V320" t="s">
        <v>348</v>
      </c>
      <c r="W320" t="s">
        <v>369</v>
      </c>
      <c r="X320" t="s">
        <v>239</v>
      </c>
      <c r="Y320">
        <v>0</v>
      </c>
      <c r="AA320" t="s">
        <v>67</v>
      </c>
      <c r="AB320" t="s">
        <v>358</v>
      </c>
      <c r="AC320">
        <v>1050</v>
      </c>
      <c r="AD320" t="s">
        <v>217</v>
      </c>
      <c r="AE320">
        <v>2.2000000000000002</v>
      </c>
      <c r="AF320">
        <v>1</v>
      </c>
    </row>
    <row r="321" spans="1:32" x14ac:dyDescent="0.3">
      <c r="A321" t="s">
        <v>348</v>
      </c>
      <c r="B321" t="s">
        <v>48</v>
      </c>
      <c r="C321" t="s">
        <v>68</v>
      </c>
      <c r="D321" t="s">
        <v>309</v>
      </c>
      <c r="E321" t="s">
        <v>1242</v>
      </c>
      <c r="F321" s="15">
        <v>46226.544976851852</v>
      </c>
      <c r="G321" t="s">
        <v>404</v>
      </c>
      <c r="H321">
        <v>1</v>
      </c>
      <c r="I321" t="s">
        <v>1243</v>
      </c>
      <c r="J321" s="15">
        <v>46227.467361111114</v>
      </c>
      <c r="K321" s="15">
        <v>46230.449305555558</v>
      </c>
      <c r="L321" s="15"/>
      <c r="M321">
        <v>1</v>
      </c>
      <c r="O321" t="s">
        <v>201</v>
      </c>
      <c r="P321" t="s">
        <v>1954</v>
      </c>
      <c r="S321" t="s">
        <v>358</v>
      </c>
      <c r="T321" t="s">
        <v>370</v>
      </c>
      <c r="U321" t="s">
        <v>239</v>
      </c>
      <c r="V321" t="s">
        <v>348</v>
      </c>
      <c r="W321" t="s">
        <v>369</v>
      </c>
      <c r="X321" t="s">
        <v>239</v>
      </c>
      <c r="Y321">
        <v>0</v>
      </c>
      <c r="AA321" t="s">
        <v>90</v>
      </c>
      <c r="AB321" t="s">
        <v>358</v>
      </c>
      <c r="AC321">
        <v>1050</v>
      </c>
      <c r="AD321" t="s">
        <v>217</v>
      </c>
      <c r="AE321">
        <v>1</v>
      </c>
      <c r="AF321">
        <v>1</v>
      </c>
    </row>
    <row r="322" spans="1:32" x14ac:dyDescent="0.3">
      <c r="A322" t="s">
        <v>349</v>
      </c>
      <c r="B322" t="s">
        <v>43</v>
      </c>
      <c r="C322" t="s">
        <v>105</v>
      </c>
      <c r="D322" t="s">
        <v>309</v>
      </c>
      <c r="E322" t="s">
        <v>1244</v>
      </c>
      <c r="F322" s="15">
        <v>46251.397696759261</v>
      </c>
      <c r="G322" t="s">
        <v>402</v>
      </c>
      <c r="H322">
        <v>1</v>
      </c>
      <c r="I322" t="s">
        <v>1245</v>
      </c>
      <c r="J322" s="15">
        <v>46252.372916666667</v>
      </c>
      <c r="K322" s="15">
        <v>46255.615277777775</v>
      </c>
      <c r="L322" s="15">
        <v>46255</v>
      </c>
      <c r="M322">
        <v>1</v>
      </c>
      <c r="O322" t="s">
        <v>201</v>
      </c>
      <c r="P322" t="s">
        <v>1956</v>
      </c>
      <c r="S322" t="s">
        <v>750</v>
      </c>
      <c r="T322" t="s">
        <v>751</v>
      </c>
      <c r="U322" t="s">
        <v>261</v>
      </c>
      <c r="V322" t="s">
        <v>349</v>
      </c>
      <c r="W322" t="s">
        <v>393</v>
      </c>
      <c r="X322" t="s">
        <v>261</v>
      </c>
      <c r="Y322">
        <v>0</v>
      </c>
      <c r="AA322" t="s">
        <v>67</v>
      </c>
      <c r="AB322" t="s">
        <v>750</v>
      </c>
      <c r="AC322">
        <v>2300</v>
      </c>
      <c r="AD322" t="s">
        <v>217</v>
      </c>
      <c r="AE322">
        <v>1</v>
      </c>
      <c r="AF322">
        <v>1</v>
      </c>
    </row>
    <row r="323" spans="1:32" x14ac:dyDescent="0.3">
      <c r="A323" t="s">
        <v>349</v>
      </c>
      <c r="B323" t="s">
        <v>63</v>
      </c>
      <c r="C323" t="s">
        <v>95</v>
      </c>
      <c r="D323" t="s">
        <v>309</v>
      </c>
      <c r="E323" t="s">
        <v>1158</v>
      </c>
      <c r="F323" s="15">
        <v>46239.427071759259</v>
      </c>
      <c r="G323" t="s">
        <v>402</v>
      </c>
      <c r="H323">
        <v>18</v>
      </c>
      <c r="I323" t="s">
        <v>1246</v>
      </c>
      <c r="J323" s="15">
        <v>46240.370833333334</v>
      </c>
      <c r="K323" s="15">
        <v>46253.495833333334</v>
      </c>
      <c r="L323" s="15"/>
      <c r="M323">
        <v>18</v>
      </c>
      <c r="O323" t="s">
        <v>201</v>
      </c>
      <c r="P323" t="s">
        <v>1954</v>
      </c>
      <c r="S323" t="s">
        <v>750</v>
      </c>
      <c r="T323" t="s">
        <v>751</v>
      </c>
      <c r="U323" t="s">
        <v>261</v>
      </c>
      <c r="V323" t="s">
        <v>7</v>
      </c>
      <c r="W323" t="s">
        <v>7</v>
      </c>
      <c r="X323" t="s">
        <v>7</v>
      </c>
      <c r="AA323" t="s">
        <v>96</v>
      </c>
      <c r="AB323" t="s">
        <v>750</v>
      </c>
      <c r="AC323">
        <v>2300</v>
      </c>
      <c r="AD323" t="s">
        <v>225</v>
      </c>
      <c r="AE323">
        <v>18</v>
      </c>
      <c r="AF323">
        <v>1.8</v>
      </c>
    </row>
    <row r="324" spans="1:32" x14ac:dyDescent="0.3">
      <c r="A324" t="s">
        <v>349</v>
      </c>
      <c r="B324" t="s">
        <v>57</v>
      </c>
      <c r="C324" t="s">
        <v>117</v>
      </c>
      <c r="D324" t="s">
        <v>309</v>
      </c>
      <c r="E324" t="s">
        <v>1158</v>
      </c>
      <c r="F324" s="15">
        <v>46239.427071759259</v>
      </c>
      <c r="G324" t="s">
        <v>402</v>
      </c>
      <c r="H324">
        <v>18</v>
      </c>
      <c r="I324" t="s">
        <v>1246</v>
      </c>
      <c r="J324" s="15">
        <v>46240.370833333334</v>
      </c>
      <c r="K324" s="15">
        <v>46253.495833333334</v>
      </c>
      <c r="L324" s="15"/>
      <c r="M324">
        <v>18</v>
      </c>
      <c r="O324" t="s">
        <v>201</v>
      </c>
      <c r="P324" t="s">
        <v>1954</v>
      </c>
      <c r="S324" t="s">
        <v>750</v>
      </c>
      <c r="T324" t="s">
        <v>751</v>
      </c>
      <c r="U324" t="s">
        <v>261</v>
      </c>
      <c r="V324" t="s">
        <v>7</v>
      </c>
      <c r="W324" t="s">
        <v>7</v>
      </c>
      <c r="X324" t="s">
        <v>7</v>
      </c>
      <c r="AA324" t="s">
        <v>127</v>
      </c>
      <c r="AB324" t="s">
        <v>750</v>
      </c>
      <c r="AC324">
        <v>2300</v>
      </c>
      <c r="AD324" t="s">
        <v>233</v>
      </c>
      <c r="AE324">
        <v>1.8</v>
      </c>
      <c r="AF324">
        <v>1</v>
      </c>
    </row>
    <row r="325" spans="1:32" x14ac:dyDescent="0.3">
      <c r="A325" t="s">
        <v>349</v>
      </c>
      <c r="B325" t="s">
        <v>279</v>
      </c>
      <c r="C325" t="s">
        <v>197</v>
      </c>
      <c r="D325" t="s">
        <v>309</v>
      </c>
      <c r="E325" t="s">
        <v>1158</v>
      </c>
      <c r="F325" s="15">
        <v>46239.427071759259</v>
      </c>
      <c r="G325" t="s">
        <v>402</v>
      </c>
      <c r="H325">
        <v>18</v>
      </c>
      <c r="I325" t="s">
        <v>1246</v>
      </c>
      <c r="J325" s="15">
        <v>46240.370833333334</v>
      </c>
      <c r="K325" s="15">
        <v>46253.495833333334</v>
      </c>
      <c r="L325" s="15"/>
      <c r="M325">
        <v>18</v>
      </c>
      <c r="O325" t="s">
        <v>201</v>
      </c>
      <c r="P325" t="s">
        <v>1956</v>
      </c>
      <c r="S325" t="s">
        <v>750</v>
      </c>
      <c r="T325" t="s">
        <v>751</v>
      </c>
      <c r="U325" t="s">
        <v>261</v>
      </c>
      <c r="V325" t="s">
        <v>7</v>
      </c>
      <c r="W325" t="s">
        <v>7</v>
      </c>
      <c r="X325" t="s">
        <v>7</v>
      </c>
      <c r="Z325">
        <v>16</v>
      </c>
      <c r="AA325" t="s">
        <v>122</v>
      </c>
      <c r="AB325" t="s">
        <v>750</v>
      </c>
      <c r="AC325">
        <v>2300</v>
      </c>
      <c r="AD325" t="s">
        <v>232</v>
      </c>
      <c r="AE325">
        <v>288</v>
      </c>
      <c r="AF325">
        <v>28.8</v>
      </c>
    </row>
    <row r="326" spans="1:32" x14ac:dyDescent="0.3">
      <c r="A326" t="s">
        <v>349</v>
      </c>
      <c r="B326" t="s">
        <v>45</v>
      </c>
      <c r="C326" t="s">
        <v>68</v>
      </c>
      <c r="D326" t="s">
        <v>309</v>
      </c>
      <c r="E326" t="s">
        <v>1247</v>
      </c>
      <c r="F326" s="15">
        <v>46251.388148148151</v>
      </c>
      <c r="G326" t="s">
        <v>752</v>
      </c>
      <c r="H326">
        <v>10</v>
      </c>
      <c r="I326" t="s">
        <v>1248</v>
      </c>
      <c r="J326" s="15">
        <v>46251.484722222223</v>
      </c>
      <c r="K326" s="15">
        <v>46255.618055555555</v>
      </c>
      <c r="L326" s="15">
        <v>46255.486111111109</v>
      </c>
      <c r="M326">
        <v>10</v>
      </c>
      <c r="O326" t="s">
        <v>201</v>
      </c>
      <c r="P326" t="s">
        <v>1956</v>
      </c>
      <c r="S326" t="s">
        <v>750</v>
      </c>
      <c r="T326" t="s">
        <v>751</v>
      </c>
      <c r="U326" t="s">
        <v>261</v>
      </c>
      <c r="V326" t="s">
        <v>349</v>
      </c>
      <c r="W326" t="s">
        <v>393</v>
      </c>
      <c r="X326" t="s">
        <v>261</v>
      </c>
      <c r="Y326">
        <v>0</v>
      </c>
      <c r="AA326" t="s">
        <v>67</v>
      </c>
      <c r="AB326" t="s">
        <v>750</v>
      </c>
      <c r="AC326">
        <v>2300</v>
      </c>
      <c r="AD326" t="s">
        <v>217</v>
      </c>
      <c r="AE326">
        <v>1</v>
      </c>
    </row>
    <row r="327" spans="1:32" x14ac:dyDescent="0.3">
      <c r="A327" t="s">
        <v>349</v>
      </c>
      <c r="B327" t="s">
        <v>51</v>
      </c>
      <c r="C327" t="s">
        <v>258</v>
      </c>
      <c r="D327" t="s">
        <v>309</v>
      </c>
      <c r="E327" t="s">
        <v>753</v>
      </c>
      <c r="F327" s="15">
        <v>46252.367824074077</v>
      </c>
      <c r="G327" t="s">
        <v>752</v>
      </c>
      <c r="H327">
        <v>150</v>
      </c>
      <c r="I327" t="s">
        <v>754</v>
      </c>
      <c r="J327" s="15">
        <v>46253.532638888886</v>
      </c>
      <c r="K327" s="15">
        <v>46255.618055555555</v>
      </c>
      <c r="L327" s="15"/>
      <c r="M327">
        <v>150</v>
      </c>
      <c r="O327" t="s">
        <v>201</v>
      </c>
      <c r="P327" t="s">
        <v>1956</v>
      </c>
      <c r="S327" t="s">
        <v>750</v>
      </c>
      <c r="T327" t="s">
        <v>751</v>
      </c>
      <c r="U327" t="s">
        <v>261</v>
      </c>
      <c r="V327" t="s">
        <v>7</v>
      </c>
      <c r="W327" t="s">
        <v>7</v>
      </c>
      <c r="X327" t="s">
        <v>7</v>
      </c>
      <c r="AA327" t="s">
        <v>238</v>
      </c>
      <c r="AB327" t="s">
        <v>750</v>
      </c>
      <c r="AC327">
        <v>2300</v>
      </c>
      <c r="AD327" t="s">
        <v>7</v>
      </c>
      <c r="AF327">
        <v>0</v>
      </c>
    </row>
    <row r="328" spans="1:32" x14ac:dyDescent="0.3">
      <c r="A328" t="s">
        <v>349</v>
      </c>
      <c r="B328" t="s">
        <v>45</v>
      </c>
      <c r="C328" t="s">
        <v>68</v>
      </c>
      <c r="D328" t="s">
        <v>309</v>
      </c>
      <c r="E328" t="s">
        <v>1249</v>
      </c>
      <c r="F328" s="15">
        <v>46251.394097222219</v>
      </c>
      <c r="G328" t="s">
        <v>752</v>
      </c>
      <c r="H328">
        <v>5</v>
      </c>
      <c r="I328" t="s">
        <v>1250</v>
      </c>
      <c r="J328" s="15">
        <v>46251.520138888889</v>
      </c>
      <c r="K328" s="15">
        <v>46255.615277777775</v>
      </c>
      <c r="L328" s="15">
        <v>46255.520138888889</v>
      </c>
      <c r="M328">
        <v>5</v>
      </c>
      <c r="O328" t="s">
        <v>201</v>
      </c>
      <c r="P328" t="s">
        <v>1956</v>
      </c>
      <c r="S328" t="s">
        <v>750</v>
      </c>
      <c r="T328" t="s">
        <v>751</v>
      </c>
      <c r="U328" t="s">
        <v>261</v>
      </c>
      <c r="V328" t="s">
        <v>349</v>
      </c>
      <c r="W328" t="s">
        <v>393</v>
      </c>
      <c r="X328" t="s">
        <v>261</v>
      </c>
      <c r="AA328" t="s">
        <v>67</v>
      </c>
      <c r="AB328" t="s">
        <v>750</v>
      </c>
      <c r="AC328">
        <v>2300</v>
      </c>
      <c r="AD328" t="s">
        <v>217</v>
      </c>
      <c r="AE328">
        <v>1</v>
      </c>
    </row>
    <row r="329" spans="1:32" x14ac:dyDescent="0.3">
      <c r="A329" t="s">
        <v>349</v>
      </c>
      <c r="B329" t="s">
        <v>48</v>
      </c>
      <c r="C329" t="s">
        <v>68</v>
      </c>
      <c r="D329" t="s">
        <v>309</v>
      </c>
      <c r="E329" t="s">
        <v>1251</v>
      </c>
      <c r="F329" s="15">
        <v>46226.72587962963</v>
      </c>
      <c r="G329" t="s">
        <v>402</v>
      </c>
      <c r="H329">
        <v>1</v>
      </c>
      <c r="I329" t="s">
        <v>1252</v>
      </c>
      <c r="J329" s="15">
        <v>46227.348449074074</v>
      </c>
      <c r="K329" s="15">
        <v>46232.441666666666</v>
      </c>
      <c r="L329" s="15">
        <v>46232.441666666666</v>
      </c>
      <c r="M329">
        <v>1</v>
      </c>
      <c r="O329" t="s">
        <v>201</v>
      </c>
      <c r="P329" t="s">
        <v>1956</v>
      </c>
      <c r="S329" t="s">
        <v>750</v>
      </c>
      <c r="T329" t="s">
        <v>751</v>
      </c>
      <c r="U329" t="s">
        <v>261</v>
      </c>
      <c r="V329" t="s">
        <v>349</v>
      </c>
      <c r="W329" t="s">
        <v>393</v>
      </c>
      <c r="X329" t="s">
        <v>261</v>
      </c>
      <c r="Y329">
        <v>0</v>
      </c>
      <c r="AA329" t="s">
        <v>90</v>
      </c>
      <c r="AB329" t="s">
        <v>750</v>
      </c>
      <c r="AC329">
        <v>2300</v>
      </c>
      <c r="AD329" t="s">
        <v>217</v>
      </c>
      <c r="AE329">
        <v>1</v>
      </c>
      <c r="AF329">
        <v>1</v>
      </c>
    </row>
    <row r="330" spans="1:32" x14ac:dyDescent="0.3">
      <c r="A330" t="s">
        <v>349</v>
      </c>
      <c r="B330" t="s">
        <v>45</v>
      </c>
      <c r="C330" t="s">
        <v>68</v>
      </c>
      <c r="D330" t="s">
        <v>309</v>
      </c>
      <c r="E330" t="s">
        <v>1253</v>
      </c>
      <c r="F330" s="15">
        <v>46219.31449074074</v>
      </c>
      <c r="G330" t="s">
        <v>752</v>
      </c>
      <c r="H330">
        <v>9</v>
      </c>
      <c r="I330" t="s">
        <v>1254</v>
      </c>
      <c r="J330" s="15">
        <v>46219.41547453704</v>
      </c>
      <c r="K330" s="15">
        <v>46232.447916666664</v>
      </c>
      <c r="L330" s="15">
        <v>46224.708333333336</v>
      </c>
      <c r="M330">
        <v>9</v>
      </c>
      <c r="O330" t="s">
        <v>201</v>
      </c>
      <c r="P330" t="s">
        <v>1956</v>
      </c>
      <c r="S330" t="s">
        <v>750</v>
      </c>
      <c r="T330" t="s">
        <v>751</v>
      </c>
      <c r="U330" t="s">
        <v>261</v>
      </c>
      <c r="V330" t="s">
        <v>349</v>
      </c>
      <c r="W330" t="s">
        <v>393</v>
      </c>
      <c r="X330" t="s">
        <v>261</v>
      </c>
      <c r="Y330">
        <v>0</v>
      </c>
      <c r="AA330" t="s">
        <v>67</v>
      </c>
      <c r="AB330" t="s">
        <v>750</v>
      </c>
      <c r="AC330">
        <v>2300</v>
      </c>
      <c r="AD330" t="s">
        <v>217</v>
      </c>
      <c r="AE330">
        <v>1</v>
      </c>
    </row>
    <row r="331" spans="1:32" x14ac:dyDescent="0.3">
      <c r="A331" t="s">
        <v>350</v>
      </c>
      <c r="B331" t="s">
        <v>57</v>
      </c>
      <c r="C331" t="s">
        <v>117</v>
      </c>
      <c r="D331" t="s">
        <v>309</v>
      </c>
      <c r="E331" t="s">
        <v>755</v>
      </c>
      <c r="F331" s="15">
        <v>46241.564421296294</v>
      </c>
      <c r="G331" t="s">
        <v>420</v>
      </c>
      <c r="H331">
        <v>3</v>
      </c>
      <c r="I331" t="s">
        <v>756</v>
      </c>
      <c r="J331" s="15">
        <v>46248.417361111111</v>
      </c>
      <c r="K331" s="15">
        <v>46254.490972222222</v>
      </c>
      <c r="L331" s="15"/>
      <c r="M331">
        <v>3</v>
      </c>
      <c r="O331" t="s">
        <v>201</v>
      </c>
      <c r="P331" t="s">
        <v>1954</v>
      </c>
      <c r="S331" t="s">
        <v>365</v>
      </c>
      <c r="T331" t="s">
        <v>377</v>
      </c>
      <c r="U331" t="s">
        <v>293</v>
      </c>
      <c r="V331" t="s">
        <v>7</v>
      </c>
      <c r="W331" t="s">
        <v>7</v>
      </c>
      <c r="X331" t="s">
        <v>7</v>
      </c>
      <c r="AA331" t="s">
        <v>127</v>
      </c>
      <c r="AB331" t="s">
        <v>397</v>
      </c>
      <c r="AC331">
        <v>2940</v>
      </c>
      <c r="AD331" t="s">
        <v>233</v>
      </c>
      <c r="AE331">
        <v>1</v>
      </c>
      <c r="AF331">
        <v>1</v>
      </c>
    </row>
    <row r="332" spans="1:32" x14ac:dyDescent="0.3">
      <c r="A332" t="s">
        <v>350</v>
      </c>
      <c r="B332" t="s">
        <v>57</v>
      </c>
      <c r="C332" t="s">
        <v>117</v>
      </c>
      <c r="D332" t="s">
        <v>309</v>
      </c>
      <c r="E332" t="s">
        <v>755</v>
      </c>
      <c r="F332" s="15">
        <v>46241.564421296294</v>
      </c>
      <c r="G332" t="s">
        <v>420</v>
      </c>
      <c r="H332">
        <v>26</v>
      </c>
      <c r="I332" t="s">
        <v>756</v>
      </c>
      <c r="J332" s="15">
        <v>46248.417361111111</v>
      </c>
      <c r="K332" s="15">
        <v>46254.490972222222</v>
      </c>
      <c r="L332" s="15"/>
      <c r="M332">
        <v>26</v>
      </c>
      <c r="O332" t="s">
        <v>1958</v>
      </c>
      <c r="S332" t="s">
        <v>365</v>
      </c>
      <c r="T332" t="s">
        <v>377</v>
      </c>
      <c r="U332" t="s">
        <v>293</v>
      </c>
      <c r="V332" t="s">
        <v>7</v>
      </c>
      <c r="W332" t="s">
        <v>7</v>
      </c>
      <c r="X332" t="s">
        <v>7</v>
      </c>
      <c r="AA332" t="s">
        <v>127</v>
      </c>
      <c r="AB332" t="s">
        <v>397</v>
      </c>
      <c r="AC332">
        <v>2940</v>
      </c>
      <c r="AD332" t="s">
        <v>233</v>
      </c>
      <c r="AE332">
        <v>2.6</v>
      </c>
    </row>
    <row r="333" spans="1:32" x14ac:dyDescent="0.3">
      <c r="A333" t="s">
        <v>350</v>
      </c>
      <c r="B333" t="s">
        <v>57</v>
      </c>
      <c r="C333" t="s">
        <v>117</v>
      </c>
      <c r="D333" t="s">
        <v>309</v>
      </c>
      <c r="E333" t="s">
        <v>755</v>
      </c>
      <c r="F333" s="15">
        <v>46241.564421296294</v>
      </c>
      <c r="G333" t="s">
        <v>420</v>
      </c>
      <c r="H333">
        <v>6</v>
      </c>
      <c r="I333" t="s">
        <v>756</v>
      </c>
      <c r="J333" s="15">
        <v>46248.417361111111</v>
      </c>
      <c r="K333" s="15">
        <v>46254.490972222222</v>
      </c>
      <c r="L333" s="15"/>
      <c r="M333">
        <v>6</v>
      </c>
      <c r="O333" t="s">
        <v>1958</v>
      </c>
      <c r="S333" t="s">
        <v>365</v>
      </c>
      <c r="T333" t="s">
        <v>377</v>
      </c>
      <c r="U333" t="s">
        <v>293</v>
      </c>
      <c r="V333" t="s">
        <v>7</v>
      </c>
      <c r="W333" t="s">
        <v>7</v>
      </c>
      <c r="X333" t="s">
        <v>7</v>
      </c>
      <c r="AA333" t="s">
        <v>127</v>
      </c>
      <c r="AB333" t="s">
        <v>397</v>
      </c>
      <c r="AC333">
        <v>2940</v>
      </c>
      <c r="AD333" t="s">
        <v>233</v>
      </c>
      <c r="AE333">
        <v>1</v>
      </c>
    </row>
    <row r="334" spans="1:32" x14ac:dyDescent="0.3">
      <c r="A334" t="s">
        <v>350</v>
      </c>
      <c r="B334" t="s">
        <v>57</v>
      </c>
      <c r="C334" t="s">
        <v>117</v>
      </c>
      <c r="D334" t="s">
        <v>309</v>
      </c>
      <c r="E334" t="s">
        <v>755</v>
      </c>
      <c r="F334" s="15">
        <v>46241.564421296294</v>
      </c>
      <c r="G334" t="s">
        <v>420</v>
      </c>
      <c r="H334">
        <v>7</v>
      </c>
      <c r="I334" t="s">
        <v>756</v>
      </c>
      <c r="J334" s="15">
        <v>46248.417361111111</v>
      </c>
      <c r="K334" s="15">
        <v>46254.490972222222</v>
      </c>
      <c r="L334" s="15"/>
      <c r="M334">
        <v>7</v>
      </c>
      <c r="O334" t="s">
        <v>1958</v>
      </c>
      <c r="S334" t="s">
        <v>365</v>
      </c>
      <c r="T334" t="s">
        <v>377</v>
      </c>
      <c r="U334" t="s">
        <v>293</v>
      </c>
      <c r="V334" t="s">
        <v>7</v>
      </c>
      <c r="W334" t="s">
        <v>7</v>
      </c>
      <c r="X334" t="s">
        <v>7</v>
      </c>
      <c r="AA334" t="s">
        <v>127</v>
      </c>
      <c r="AB334" t="s">
        <v>397</v>
      </c>
      <c r="AC334">
        <v>2940</v>
      </c>
      <c r="AD334" t="s">
        <v>233</v>
      </c>
      <c r="AE334">
        <v>1</v>
      </c>
    </row>
    <row r="335" spans="1:32" x14ac:dyDescent="0.3">
      <c r="A335" t="s">
        <v>350</v>
      </c>
      <c r="B335" t="s">
        <v>63</v>
      </c>
      <c r="C335" t="s">
        <v>95</v>
      </c>
      <c r="D335" t="s">
        <v>309</v>
      </c>
      <c r="E335" t="s">
        <v>755</v>
      </c>
      <c r="F335" s="15">
        <v>46241.564421296294</v>
      </c>
      <c r="G335" t="s">
        <v>420</v>
      </c>
      <c r="H335">
        <v>6</v>
      </c>
      <c r="I335" t="s">
        <v>756</v>
      </c>
      <c r="J335" s="15">
        <v>46248.417361111111</v>
      </c>
      <c r="K335" s="15">
        <v>46254.490972222222</v>
      </c>
      <c r="L335" s="15"/>
      <c r="M335">
        <v>6</v>
      </c>
      <c r="O335" t="s">
        <v>201</v>
      </c>
      <c r="P335" t="s">
        <v>1954</v>
      </c>
      <c r="S335" t="s">
        <v>365</v>
      </c>
      <c r="T335" t="s">
        <v>377</v>
      </c>
      <c r="U335" t="s">
        <v>293</v>
      </c>
      <c r="V335" t="s">
        <v>7</v>
      </c>
      <c r="W335" t="s">
        <v>7</v>
      </c>
      <c r="X335" t="s">
        <v>7</v>
      </c>
      <c r="AA335" t="s">
        <v>96</v>
      </c>
      <c r="AB335" t="s">
        <v>397</v>
      </c>
      <c r="AC335">
        <v>2940</v>
      </c>
      <c r="AD335" t="s">
        <v>225</v>
      </c>
      <c r="AE335">
        <v>6</v>
      </c>
      <c r="AF335">
        <v>10.9</v>
      </c>
    </row>
    <row r="336" spans="1:32" x14ac:dyDescent="0.3">
      <c r="A336" t="s">
        <v>350</v>
      </c>
      <c r="B336" t="s">
        <v>63</v>
      </c>
      <c r="C336" t="s">
        <v>95</v>
      </c>
      <c r="D336" t="s">
        <v>309</v>
      </c>
      <c r="E336" t="s">
        <v>755</v>
      </c>
      <c r="F336" s="15">
        <v>46241.564421296294</v>
      </c>
      <c r="G336" t="s">
        <v>420</v>
      </c>
      <c r="H336">
        <v>26</v>
      </c>
      <c r="I336" t="s">
        <v>756</v>
      </c>
      <c r="J336" s="15">
        <v>46248.417361111111</v>
      </c>
      <c r="K336" s="15">
        <v>46254.490972222222</v>
      </c>
      <c r="L336" s="15"/>
      <c r="M336">
        <v>26</v>
      </c>
      <c r="O336" t="s">
        <v>1958</v>
      </c>
      <c r="S336" t="s">
        <v>365</v>
      </c>
      <c r="T336" t="s">
        <v>377</v>
      </c>
      <c r="U336" t="s">
        <v>293</v>
      </c>
      <c r="V336" t="s">
        <v>7</v>
      </c>
      <c r="W336" t="s">
        <v>7</v>
      </c>
      <c r="X336" t="s">
        <v>7</v>
      </c>
      <c r="AA336" t="s">
        <v>96</v>
      </c>
      <c r="AB336" t="s">
        <v>397</v>
      </c>
      <c r="AC336">
        <v>2940</v>
      </c>
      <c r="AD336" t="s">
        <v>225</v>
      </c>
      <c r="AE336">
        <v>26</v>
      </c>
    </row>
    <row r="337" spans="1:32" x14ac:dyDescent="0.3">
      <c r="A337" t="s">
        <v>350</v>
      </c>
      <c r="B337" t="s">
        <v>63</v>
      </c>
      <c r="C337" t="s">
        <v>95</v>
      </c>
      <c r="D337" t="s">
        <v>309</v>
      </c>
      <c r="E337" t="s">
        <v>755</v>
      </c>
      <c r="F337" s="15">
        <v>46241.564421296294</v>
      </c>
      <c r="G337" t="s">
        <v>420</v>
      </c>
      <c r="H337">
        <v>1</v>
      </c>
      <c r="I337" t="s">
        <v>756</v>
      </c>
      <c r="J337" s="15">
        <v>46248.417361111111</v>
      </c>
      <c r="K337" s="15">
        <v>46254.490972222222</v>
      </c>
      <c r="L337" s="15"/>
      <c r="M337">
        <v>1</v>
      </c>
      <c r="O337" t="s">
        <v>1958</v>
      </c>
      <c r="S337" t="s">
        <v>365</v>
      </c>
      <c r="T337" t="s">
        <v>377</v>
      </c>
      <c r="U337" t="s">
        <v>293</v>
      </c>
      <c r="V337" t="s">
        <v>7</v>
      </c>
      <c r="W337" t="s">
        <v>7</v>
      </c>
      <c r="X337" t="s">
        <v>7</v>
      </c>
      <c r="AA337" t="s">
        <v>96</v>
      </c>
      <c r="AB337" t="s">
        <v>397</v>
      </c>
      <c r="AC337">
        <v>2940</v>
      </c>
      <c r="AD337" t="s">
        <v>225</v>
      </c>
      <c r="AE337">
        <v>1</v>
      </c>
    </row>
    <row r="338" spans="1:32" x14ac:dyDescent="0.3">
      <c r="A338" t="s">
        <v>350</v>
      </c>
      <c r="B338" t="s">
        <v>63</v>
      </c>
      <c r="C338" t="s">
        <v>95</v>
      </c>
      <c r="D338" t="s">
        <v>309</v>
      </c>
      <c r="E338" t="s">
        <v>755</v>
      </c>
      <c r="F338" s="15">
        <v>46241.564421296294</v>
      </c>
      <c r="G338" t="s">
        <v>420</v>
      </c>
      <c r="H338">
        <v>32</v>
      </c>
      <c r="I338" t="s">
        <v>756</v>
      </c>
      <c r="J338" s="15">
        <v>46248.417361111111</v>
      </c>
      <c r="K338" s="15">
        <v>46254.490972222222</v>
      </c>
      <c r="L338" s="15"/>
      <c r="M338">
        <v>32</v>
      </c>
      <c r="O338" t="s">
        <v>1958</v>
      </c>
      <c r="S338" t="s">
        <v>365</v>
      </c>
      <c r="T338" t="s">
        <v>377</v>
      </c>
      <c r="U338" t="s">
        <v>293</v>
      </c>
      <c r="V338" t="s">
        <v>7</v>
      </c>
      <c r="W338" t="s">
        <v>7</v>
      </c>
      <c r="X338" t="s">
        <v>7</v>
      </c>
      <c r="AA338" t="s">
        <v>96</v>
      </c>
      <c r="AB338" t="s">
        <v>397</v>
      </c>
      <c r="AC338">
        <v>2940</v>
      </c>
      <c r="AD338" t="s">
        <v>225</v>
      </c>
      <c r="AE338">
        <v>32</v>
      </c>
    </row>
    <row r="339" spans="1:32" x14ac:dyDescent="0.3">
      <c r="A339" t="s">
        <v>350</v>
      </c>
      <c r="B339" t="s">
        <v>63</v>
      </c>
      <c r="C339" t="s">
        <v>95</v>
      </c>
      <c r="D339" t="s">
        <v>309</v>
      </c>
      <c r="E339" t="s">
        <v>755</v>
      </c>
      <c r="F339" s="15">
        <v>46241.564421296294</v>
      </c>
      <c r="G339" t="s">
        <v>420</v>
      </c>
      <c r="H339">
        <v>25</v>
      </c>
      <c r="I339" t="s">
        <v>756</v>
      </c>
      <c r="J339" s="15">
        <v>46248.417361111111</v>
      </c>
      <c r="K339" s="15">
        <v>46254.490972222222</v>
      </c>
      <c r="L339" s="15"/>
      <c r="M339">
        <v>25</v>
      </c>
      <c r="O339" t="s">
        <v>1958</v>
      </c>
      <c r="S339" t="s">
        <v>365</v>
      </c>
      <c r="T339" t="s">
        <v>377</v>
      </c>
      <c r="U339" t="s">
        <v>293</v>
      </c>
      <c r="V339" t="s">
        <v>7</v>
      </c>
      <c r="W339" t="s">
        <v>7</v>
      </c>
      <c r="X339" t="s">
        <v>7</v>
      </c>
      <c r="AA339" t="s">
        <v>96</v>
      </c>
      <c r="AB339" t="s">
        <v>397</v>
      </c>
      <c r="AC339">
        <v>2940</v>
      </c>
      <c r="AD339" t="s">
        <v>225</v>
      </c>
      <c r="AE339">
        <v>25</v>
      </c>
    </row>
    <row r="340" spans="1:32" x14ac:dyDescent="0.3">
      <c r="A340" t="s">
        <v>350</v>
      </c>
      <c r="B340" t="s">
        <v>63</v>
      </c>
      <c r="C340" t="s">
        <v>95</v>
      </c>
      <c r="D340" t="s">
        <v>309</v>
      </c>
      <c r="E340" t="s">
        <v>755</v>
      </c>
      <c r="F340" s="15">
        <v>46241.564421296294</v>
      </c>
      <c r="G340" t="s">
        <v>420</v>
      </c>
      <c r="H340">
        <v>3</v>
      </c>
      <c r="I340" t="s">
        <v>756</v>
      </c>
      <c r="J340" s="15">
        <v>46248.417361111111</v>
      </c>
      <c r="K340" s="15">
        <v>46254.490972222222</v>
      </c>
      <c r="L340" s="15"/>
      <c r="M340">
        <v>3</v>
      </c>
      <c r="O340" t="s">
        <v>1958</v>
      </c>
      <c r="S340" t="s">
        <v>365</v>
      </c>
      <c r="T340" t="s">
        <v>377</v>
      </c>
      <c r="U340" t="s">
        <v>293</v>
      </c>
      <c r="V340" t="s">
        <v>7</v>
      </c>
      <c r="W340" t="s">
        <v>7</v>
      </c>
      <c r="X340" t="s">
        <v>7</v>
      </c>
      <c r="AA340" t="s">
        <v>96</v>
      </c>
      <c r="AB340" t="s">
        <v>397</v>
      </c>
      <c r="AC340">
        <v>2940</v>
      </c>
      <c r="AD340" t="s">
        <v>225</v>
      </c>
      <c r="AE340">
        <v>3</v>
      </c>
    </row>
    <row r="341" spans="1:32" x14ac:dyDescent="0.3">
      <c r="A341" t="s">
        <v>350</v>
      </c>
      <c r="B341" t="s">
        <v>63</v>
      </c>
      <c r="C341" t="s">
        <v>95</v>
      </c>
      <c r="D341" t="s">
        <v>309</v>
      </c>
      <c r="E341" t="s">
        <v>755</v>
      </c>
      <c r="F341" s="15">
        <v>46241.564421296294</v>
      </c>
      <c r="G341" t="s">
        <v>420</v>
      </c>
      <c r="H341">
        <v>2</v>
      </c>
      <c r="I341" t="s">
        <v>756</v>
      </c>
      <c r="J341" s="15">
        <v>46248.417361111111</v>
      </c>
      <c r="K341" s="15">
        <v>46254.490972222222</v>
      </c>
      <c r="L341" s="15"/>
      <c r="M341">
        <v>2</v>
      </c>
      <c r="O341" t="s">
        <v>1958</v>
      </c>
      <c r="S341" t="s">
        <v>365</v>
      </c>
      <c r="T341" t="s">
        <v>377</v>
      </c>
      <c r="U341" t="s">
        <v>293</v>
      </c>
      <c r="V341" t="s">
        <v>7</v>
      </c>
      <c r="W341" t="s">
        <v>7</v>
      </c>
      <c r="X341" t="s">
        <v>7</v>
      </c>
      <c r="AA341" t="s">
        <v>96</v>
      </c>
      <c r="AB341" t="s">
        <v>397</v>
      </c>
      <c r="AC341">
        <v>2940</v>
      </c>
      <c r="AD341" t="s">
        <v>225</v>
      </c>
      <c r="AE341">
        <v>2</v>
      </c>
    </row>
    <row r="342" spans="1:32" x14ac:dyDescent="0.3">
      <c r="A342" t="s">
        <v>350</v>
      </c>
      <c r="B342" t="s">
        <v>63</v>
      </c>
      <c r="C342" t="s">
        <v>95</v>
      </c>
      <c r="D342" t="s">
        <v>309</v>
      </c>
      <c r="E342" t="s">
        <v>755</v>
      </c>
      <c r="F342" s="15">
        <v>46241.564421296294</v>
      </c>
      <c r="G342" t="s">
        <v>420</v>
      </c>
      <c r="H342">
        <v>12</v>
      </c>
      <c r="I342" t="s">
        <v>756</v>
      </c>
      <c r="J342" s="15">
        <v>46248.417361111111</v>
      </c>
      <c r="K342" s="15">
        <v>46254.490972222222</v>
      </c>
      <c r="L342" s="15"/>
      <c r="M342">
        <v>12</v>
      </c>
      <c r="O342" t="s">
        <v>1958</v>
      </c>
      <c r="S342" t="s">
        <v>365</v>
      </c>
      <c r="T342" t="s">
        <v>377</v>
      </c>
      <c r="U342" t="s">
        <v>293</v>
      </c>
      <c r="V342" t="s">
        <v>7</v>
      </c>
      <c r="W342" t="s">
        <v>7</v>
      </c>
      <c r="X342" t="s">
        <v>7</v>
      </c>
      <c r="AA342" t="s">
        <v>96</v>
      </c>
      <c r="AB342" t="s">
        <v>397</v>
      </c>
      <c r="AC342">
        <v>2940</v>
      </c>
      <c r="AD342" t="s">
        <v>225</v>
      </c>
      <c r="AE342">
        <v>12</v>
      </c>
    </row>
    <row r="343" spans="1:32" x14ac:dyDescent="0.3">
      <c r="A343" t="s">
        <v>350</v>
      </c>
      <c r="B343" t="s">
        <v>57</v>
      </c>
      <c r="C343" t="s">
        <v>117</v>
      </c>
      <c r="D343" t="s">
        <v>309</v>
      </c>
      <c r="E343" t="s">
        <v>755</v>
      </c>
      <c r="F343" s="15">
        <v>46241.564421296294</v>
      </c>
      <c r="G343" t="s">
        <v>420</v>
      </c>
      <c r="H343">
        <v>3</v>
      </c>
      <c r="I343" t="s">
        <v>757</v>
      </c>
      <c r="J343" s="15">
        <v>46245.577777777777</v>
      </c>
      <c r="K343" s="15">
        <v>46253.505555555559</v>
      </c>
      <c r="L343" s="15"/>
      <c r="M343">
        <v>3</v>
      </c>
      <c r="O343" t="s">
        <v>201</v>
      </c>
      <c r="P343" t="s">
        <v>1954</v>
      </c>
      <c r="S343" t="s">
        <v>365</v>
      </c>
      <c r="T343" t="s">
        <v>377</v>
      </c>
      <c r="U343" t="s">
        <v>293</v>
      </c>
      <c r="V343" t="s">
        <v>7</v>
      </c>
      <c r="W343" t="s">
        <v>7</v>
      </c>
      <c r="X343" t="s">
        <v>7</v>
      </c>
      <c r="AA343" t="s">
        <v>127</v>
      </c>
      <c r="AB343" t="s">
        <v>397</v>
      </c>
      <c r="AC343">
        <v>2940</v>
      </c>
      <c r="AD343" t="s">
        <v>233</v>
      </c>
      <c r="AE343">
        <v>1</v>
      </c>
      <c r="AF343">
        <v>1.2899999999999998</v>
      </c>
    </row>
    <row r="344" spans="1:32" x14ac:dyDescent="0.3">
      <c r="A344" t="s">
        <v>350</v>
      </c>
      <c r="B344" t="s">
        <v>57</v>
      </c>
      <c r="C344" t="s">
        <v>117</v>
      </c>
      <c r="D344" t="s">
        <v>309</v>
      </c>
      <c r="E344" t="s">
        <v>755</v>
      </c>
      <c r="F344" s="15">
        <v>46241.564421296294</v>
      </c>
      <c r="G344" t="s">
        <v>420</v>
      </c>
      <c r="H344">
        <v>5</v>
      </c>
      <c r="I344" t="s">
        <v>757</v>
      </c>
      <c r="J344" s="15">
        <v>46245.577777777777</v>
      </c>
      <c r="K344" s="15">
        <v>46253.505555555559</v>
      </c>
      <c r="L344" s="15"/>
      <c r="M344">
        <v>5</v>
      </c>
      <c r="O344" t="s">
        <v>1958</v>
      </c>
      <c r="S344" t="s">
        <v>365</v>
      </c>
      <c r="T344" t="s">
        <v>377</v>
      </c>
      <c r="U344" t="s">
        <v>293</v>
      </c>
      <c r="V344" t="s">
        <v>7</v>
      </c>
      <c r="W344" t="s">
        <v>7</v>
      </c>
      <c r="X344" t="s">
        <v>7</v>
      </c>
      <c r="AA344" t="s">
        <v>127</v>
      </c>
      <c r="AB344" t="s">
        <v>397</v>
      </c>
      <c r="AC344">
        <v>2940</v>
      </c>
      <c r="AD344" t="s">
        <v>233</v>
      </c>
      <c r="AE344">
        <v>1</v>
      </c>
    </row>
    <row r="345" spans="1:32" x14ac:dyDescent="0.3">
      <c r="A345" t="s">
        <v>350</v>
      </c>
      <c r="B345" t="s">
        <v>63</v>
      </c>
      <c r="C345" t="s">
        <v>95</v>
      </c>
      <c r="D345" t="s">
        <v>309</v>
      </c>
      <c r="E345" t="s">
        <v>755</v>
      </c>
      <c r="F345" s="15">
        <v>46241.564421296294</v>
      </c>
      <c r="G345" t="s">
        <v>420</v>
      </c>
      <c r="H345">
        <v>3</v>
      </c>
      <c r="I345" t="s">
        <v>757</v>
      </c>
      <c r="J345" s="15">
        <v>46245.577777777777</v>
      </c>
      <c r="K345" s="15">
        <v>46253.505555555559</v>
      </c>
      <c r="L345" s="15"/>
      <c r="M345">
        <v>3</v>
      </c>
      <c r="O345" t="s">
        <v>201</v>
      </c>
      <c r="P345" t="s">
        <v>1954</v>
      </c>
      <c r="S345" t="s">
        <v>365</v>
      </c>
      <c r="T345" t="s">
        <v>377</v>
      </c>
      <c r="U345" t="s">
        <v>293</v>
      </c>
      <c r="V345" t="s">
        <v>7</v>
      </c>
      <c r="W345" t="s">
        <v>7</v>
      </c>
      <c r="X345" t="s">
        <v>7</v>
      </c>
      <c r="AA345" t="s">
        <v>96</v>
      </c>
      <c r="AB345" t="s">
        <v>397</v>
      </c>
      <c r="AC345">
        <v>2940</v>
      </c>
      <c r="AD345" t="s">
        <v>225</v>
      </c>
      <c r="AE345">
        <v>3</v>
      </c>
      <c r="AF345">
        <v>2.4</v>
      </c>
    </row>
    <row r="346" spans="1:32" x14ac:dyDescent="0.3">
      <c r="A346" t="s">
        <v>350</v>
      </c>
      <c r="B346" t="s">
        <v>63</v>
      </c>
      <c r="C346" t="s">
        <v>95</v>
      </c>
      <c r="D346" t="s">
        <v>309</v>
      </c>
      <c r="E346" t="s">
        <v>755</v>
      </c>
      <c r="F346" s="15">
        <v>46241.564421296294</v>
      </c>
      <c r="G346" t="s">
        <v>420</v>
      </c>
      <c r="H346">
        <v>9</v>
      </c>
      <c r="I346" t="s">
        <v>757</v>
      </c>
      <c r="J346" s="15">
        <v>46245.577777777777</v>
      </c>
      <c r="K346" s="15">
        <v>46253.505555555559</v>
      </c>
      <c r="L346" s="15"/>
      <c r="M346">
        <v>9</v>
      </c>
      <c r="O346" t="s">
        <v>1958</v>
      </c>
      <c r="S346" t="s">
        <v>365</v>
      </c>
      <c r="T346" t="s">
        <v>377</v>
      </c>
      <c r="U346" t="s">
        <v>293</v>
      </c>
      <c r="V346" t="s">
        <v>7</v>
      </c>
      <c r="W346" t="s">
        <v>7</v>
      </c>
      <c r="X346" t="s">
        <v>7</v>
      </c>
      <c r="AA346" t="s">
        <v>96</v>
      </c>
      <c r="AB346" t="s">
        <v>397</v>
      </c>
      <c r="AC346">
        <v>2940</v>
      </c>
      <c r="AD346" t="s">
        <v>225</v>
      </c>
      <c r="AE346">
        <v>9</v>
      </c>
    </row>
    <row r="347" spans="1:32" x14ac:dyDescent="0.3">
      <c r="A347" t="s">
        <v>350</v>
      </c>
      <c r="B347" t="s">
        <v>63</v>
      </c>
      <c r="C347" t="s">
        <v>95</v>
      </c>
      <c r="D347" t="s">
        <v>309</v>
      </c>
      <c r="E347" t="s">
        <v>755</v>
      </c>
      <c r="F347" s="15">
        <v>46241.564421296294</v>
      </c>
      <c r="G347" t="s">
        <v>420</v>
      </c>
      <c r="H347">
        <v>5</v>
      </c>
      <c r="I347" t="s">
        <v>757</v>
      </c>
      <c r="J347" s="15">
        <v>46245.577777777777</v>
      </c>
      <c r="K347" s="15">
        <v>46253.505555555559</v>
      </c>
      <c r="L347" s="15"/>
      <c r="M347">
        <v>5</v>
      </c>
      <c r="O347" t="s">
        <v>1958</v>
      </c>
      <c r="S347" t="s">
        <v>365</v>
      </c>
      <c r="T347" t="s">
        <v>377</v>
      </c>
      <c r="U347" t="s">
        <v>293</v>
      </c>
      <c r="V347" t="s">
        <v>7</v>
      </c>
      <c r="W347" t="s">
        <v>7</v>
      </c>
      <c r="X347" t="s">
        <v>7</v>
      </c>
      <c r="AA347" t="s">
        <v>96</v>
      </c>
      <c r="AB347" t="s">
        <v>397</v>
      </c>
      <c r="AC347">
        <v>2940</v>
      </c>
      <c r="AD347" t="s">
        <v>225</v>
      </c>
      <c r="AE347">
        <v>5</v>
      </c>
    </row>
    <row r="348" spans="1:32" x14ac:dyDescent="0.3">
      <c r="A348" t="s">
        <v>350</v>
      </c>
      <c r="B348" t="s">
        <v>279</v>
      </c>
      <c r="C348" t="s">
        <v>197</v>
      </c>
      <c r="D348" t="s">
        <v>309</v>
      </c>
      <c r="E348" t="s">
        <v>755</v>
      </c>
      <c r="F348" s="15">
        <v>46241.564421296294</v>
      </c>
      <c r="G348" t="s">
        <v>420</v>
      </c>
      <c r="H348">
        <v>26</v>
      </c>
      <c r="I348" t="s">
        <v>756</v>
      </c>
      <c r="J348" s="15">
        <v>46248.417361111111</v>
      </c>
      <c r="K348" s="15">
        <v>46254.490972222222</v>
      </c>
      <c r="L348" s="15"/>
      <c r="M348">
        <v>26</v>
      </c>
      <c r="O348" t="s">
        <v>201</v>
      </c>
      <c r="P348" t="s">
        <v>1956</v>
      </c>
      <c r="S348" t="s">
        <v>365</v>
      </c>
      <c r="T348" t="s">
        <v>377</v>
      </c>
      <c r="U348" t="s">
        <v>293</v>
      </c>
      <c r="V348" t="s">
        <v>7</v>
      </c>
      <c r="W348" t="s">
        <v>7</v>
      </c>
      <c r="X348" t="s">
        <v>7</v>
      </c>
      <c r="Z348">
        <v>16</v>
      </c>
      <c r="AA348" t="s">
        <v>122</v>
      </c>
      <c r="AB348" t="s">
        <v>397</v>
      </c>
      <c r="AC348">
        <v>2940</v>
      </c>
      <c r="AD348" t="s">
        <v>232</v>
      </c>
      <c r="AE348">
        <v>416</v>
      </c>
      <c r="AF348">
        <v>67.2</v>
      </c>
    </row>
    <row r="349" spans="1:32" x14ac:dyDescent="0.3">
      <c r="A349" t="s">
        <v>350</v>
      </c>
      <c r="B349" t="s">
        <v>279</v>
      </c>
      <c r="C349" t="s">
        <v>197</v>
      </c>
      <c r="D349" t="s">
        <v>309</v>
      </c>
      <c r="E349" t="s">
        <v>755</v>
      </c>
      <c r="F349" s="15">
        <v>46241.564421296294</v>
      </c>
      <c r="G349" t="s">
        <v>420</v>
      </c>
      <c r="H349">
        <v>3</v>
      </c>
      <c r="I349" t="s">
        <v>756</v>
      </c>
      <c r="J349" s="15">
        <v>46248.417361111111</v>
      </c>
      <c r="K349" s="15">
        <v>46254.490972222222</v>
      </c>
      <c r="L349" s="15"/>
      <c r="M349">
        <v>3</v>
      </c>
      <c r="O349" t="s">
        <v>1958</v>
      </c>
      <c r="S349" t="s">
        <v>365</v>
      </c>
      <c r="T349" t="s">
        <v>377</v>
      </c>
      <c r="U349" t="s">
        <v>293</v>
      </c>
      <c r="V349" t="s">
        <v>7</v>
      </c>
      <c r="W349" t="s">
        <v>7</v>
      </c>
      <c r="X349" t="s">
        <v>7</v>
      </c>
      <c r="Z349">
        <v>16</v>
      </c>
      <c r="AA349" t="s">
        <v>122</v>
      </c>
      <c r="AB349" t="s">
        <v>397</v>
      </c>
      <c r="AC349">
        <v>2940</v>
      </c>
      <c r="AD349" t="s">
        <v>232</v>
      </c>
      <c r="AE349">
        <v>48</v>
      </c>
    </row>
    <row r="350" spans="1:32" x14ac:dyDescent="0.3">
      <c r="A350" t="s">
        <v>350</v>
      </c>
      <c r="B350" t="s">
        <v>279</v>
      </c>
      <c r="C350" t="s">
        <v>197</v>
      </c>
      <c r="D350" t="s">
        <v>309</v>
      </c>
      <c r="E350" t="s">
        <v>755</v>
      </c>
      <c r="F350" s="15">
        <v>46241.564421296294</v>
      </c>
      <c r="G350" t="s">
        <v>420</v>
      </c>
      <c r="H350">
        <v>6</v>
      </c>
      <c r="I350" t="s">
        <v>756</v>
      </c>
      <c r="J350" s="15">
        <v>46248.417361111111</v>
      </c>
      <c r="K350" s="15">
        <v>46254.490972222222</v>
      </c>
      <c r="L350" s="15"/>
      <c r="M350">
        <v>6</v>
      </c>
      <c r="O350" t="s">
        <v>1958</v>
      </c>
      <c r="S350" t="s">
        <v>365</v>
      </c>
      <c r="T350" t="s">
        <v>377</v>
      </c>
      <c r="U350" t="s">
        <v>293</v>
      </c>
      <c r="V350" t="s">
        <v>7</v>
      </c>
      <c r="W350" t="s">
        <v>7</v>
      </c>
      <c r="X350" t="s">
        <v>7</v>
      </c>
      <c r="Z350">
        <v>16</v>
      </c>
      <c r="AA350" t="s">
        <v>122</v>
      </c>
      <c r="AB350" t="s">
        <v>397</v>
      </c>
      <c r="AC350">
        <v>2940</v>
      </c>
      <c r="AD350" t="s">
        <v>232</v>
      </c>
      <c r="AE350">
        <v>96</v>
      </c>
    </row>
    <row r="351" spans="1:32" x14ac:dyDescent="0.3">
      <c r="A351" t="s">
        <v>350</v>
      </c>
      <c r="B351" t="s">
        <v>279</v>
      </c>
      <c r="C351" t="s">
        <v>197</v>
      </c>
      <c r="D351" t="s">
        <v>309</v>
      </c>
      <c r="E351" t="s">
        <v>755</v>
      </c>
      <c r="F351" s="15">
        <v>46241.564421296294</v>
      </c>
      <c r="G351" t="s">
        <v>420</v>
      </c>
      <c r="H351">
        <v>7</v>
      </c>
      <c r="I351" t="s">
        <v>756</v>
      </c>
      <c r="J351" s="15">
        <v>46248.417361111111</v>
      </c>
      <c r="K351" s="15">
        <v>46254.490972222222</v>
      </c>
      <c r="L351" s="15"/>
      <c r="M351">
        <v>7</v>
      </c>
      <c r="O351" t="s">
        <v>1958</v>
      </c>
      <c r="S351" t="s">
        <v>365</v>
      </c>
      <c r="T351" t="s">
        <v>377</v>
      </c>
      <c r="U351" t="s">
        <v>293</v>
      </c>
      <c r="V351" t="s">
        <v>7</v>
      </c>
      <c r="W351" t="s">
        <v>7</v>
      </c>
      <c r="X351" t="s">
        <v>7</v>
      </c>
      <c r="Z351">
        <v>16</v>
      </c>
      <c r="AA351" t="s">
        <v>122</v>
      </c>
      <c r="AB351" t="s">
        <v>397</v>
      </c>
      <c r="AC351">
        <v>2940</v>
      </c>
      <c r="AD351" t="s">
        <v>232</v>
      </c>
      <c r="AE351">
        <v>112</v>
      </c>
    </row>
    <row r="352" spans="1:32" x14ac:dyDescent="0.3">
      <c r="A352" t="s">
        <v>350</v>
      </c>
      <c r="B352" t="s">
        <v>63</v>
      </c>
      <c r="C352" t="s">
        <v>95</v>
      </c>
      <c r="D352" t="s">
        <v>309</v>
      </c>
      <c r="E352" t="s">
        <v>755</v>
      </c>
      <c r="F352" s="15">
        <v>46241.564421296294</v>
      </c>
      <c r="G352" t="s">
        <v>420</v>
      </c>
      <c r="H352">
        <v>7</v>
      </c>
      <c r="I352" t="s">
        <v>758</v>
      </c>
      <c r="J352" s="15">
        <v>46245.47152777778</v>
      </c>
      <c r="K352" s="15">
        <v>46253.505555555559</v>
      </c>
      <c r="L352" s="15"/>
      <c r="M352">
        <v>7</v>
      </c>
      <c r="O352" t="s">
        <v>201</v>
      </c>
      <c r="P352" t="s">
        <v>1954</v>
      </c>
      <c r="S352" t="s">
        <v>365</v>
      </c>
      <c r="T352" t="s">
        <v>377</v>
      </c>
      <c r="U352" t="s">
        <v>293</v>
      </c>
      <c r="V352" t="s">
        <v>7</v>
      </c>
      <c r="W352" t="s">
        <v>7</v>
      </c>
      <c r="X352" t="s">
        <v>7</v>
      </c>
      <c r="AA352" t="s">
        <v>96</v>
      </c>
      <c r="AB352" t="s">
        <v>397</v>
      </c>
      <c r="AC352">
        <v>2940</v>
      </c>
      <c r="AD352" t="s">
        <v>225</v>
      </c>
      <c r="AE352">
        <v>7</v>
      </c>
    </row>
    <row r="353" spans="1:32" x14ac:dyDescent="0.3">
      <c r="A353" t="s">
        <v>350</v>
      </c>
      <c r="B353" t="s">
        <v>279</v>
      </c>
      <c r="C353" t="s">
        <v>197</v>
      </c>
      <c r="D353" t="s">
        <v>309</v>
      </c>
      <c r="E353" t="s">
        <v>755</v>
      </c>
      <c r="F353" s="15">
        <v>46241.564421296294</v>
      </c>
      <c r="G353" t="s">
        <v>420</v>
      </c>
      <c r="H353">
        <v>30</v>
      </c>
      <c r="I353" t="s">
        <v>758</v>
      </c>
      <c r="J353" s="15">
        <v>46245.47152777778</v>
      </c>
      <c r="K353" s="15">
        <v>46253.505555555559</v>
      </c>
      <c r="L353" s="15"/>
      <c r="M353">
        <v>30</v>
      </c>
      <c r="O353" t="s">
        <v>201</v>
      </c>
      <c r="P353" t="s">
        <v>1956</v>
      </c>
      <c r="S353" t="s">
        <v>365</v>
      </c>
      <c r="T353" t="s">
        <v>377</v>
      </c>
      <c r="U353" t="s">
        <v>293</v>
      </c>
      <c r="V353" t="s">
        <v>7</v>
      </c>
      <c r="W353" t="s">
        <v>7</v>
      </c>
      <c r="X353" t="s">
        <v>7</v>
      </c>
      <c r="Z353">
        <v>16</v>
      </c>
      <c r="AA353" t="s">
        <v>122</v>
      </c>
      <c r="AB353" t="s">
        <v>397</v>
      </c>
      <c r="AC353">
        <v>2940</v>
      </c>
      <c r="AD353" t="s">
        <v>232</v>
      </c>
      <c r="AE353">
        <v>480</v>
      </c>
      <c r="AF353">
        <v>192</v>
      </c>
    </row>
    <row r="354" spans="1:32" x14ac:dyDescent="0.3">
      <c r="A354" t="s">
        <v>350</v>
      </c>
      <c r="B354" t="s">
        <v>279</v>
      </c>
      <c r="C354" t="s">
        <v>197</v>
      </c>
      <c r="D354" t="s">
        <v>309</v>
      </c>
      <c r="E354" t="s">
        <v>755</v>
      </c>
      <c r="F354" s="15">
        <v>46241.564421296294</v>
      </c>
      <c r="G354" t="s">
        <v>420</v>
      </c>
      <c r="H354">
        <v>32</v>
      </c>
      <c r="I354" t="s">
        <v>758</v>
      </c>
      <c r="J354" s="15">
        <v>46245.47152777778</v>
      </c>
      <c r="K354" s="15">
        <v>46253.505555555559</v>
      </c>
      <c r="L354" s="15"/>
      <c r="M354">
        <v>32</v>
      </c>
      <c r="O354" t="s">
        <v>1958</v>
      </c>
      <c r="S354" t="s">
        <v>365</v>
      </c>
      <c r="T354" t="s">
        <v>377</v>
      </c>
      <c r="U354" t="s">
        <v>293</v>
      </c>
      <c r="V354" t="s">
        <v>7</v>
      </c>
      <c r="W354" t="s">
        <v>7</v>
      </c>
      <c r="X354" t="s">
        <v>7</v>
      </c>
      <c r="Z354">
        <v>16</v>
      </c>
      <c r="AA354" t="s">
        <v>122</v>
      </c>
      <c r="AB354" t="s">
        <v>397</v>
      </c>
      <c r="AC354">
        <v>2940</v>
      </c>
      <c r="AD354" t="s">
        <v>232</v>
      </c>
      <c r="AE354">
        <v>512</v>
      </c>
    </row>
    <row r="355" spans="1:32" x14ac:dyDescent="0.3">
      <c r="A355" t="s">
        <v>350</v>
      </c>
      <c r="B355" t="s">
        <v>279</v>
      </c>
      <c r="C355" t="s">
        <v>197</v>
      </c>
      <c r="D355" t="s">
        <v>309</v>
      </c>
      <c r="E355" t="s">
        <v>755</v>
      </c>
      <c r="F355" s="15">
        <v>46241.564421296294</v>
      </c>
      <c r="G355" t="s">
        <v>420</v>
      </c>
      <c r="H355">
        <v>25</v>
      </c>
      <c r="I355" t="s">
        <v>758</v>
      </c>
      <c r="J355" s="15">
        <v>46245.47152777778</v>
      </c>
      <c r="K355" s="15">
        <v>46253.505555555559</v>
      </c>
      <c r="L355" s="15"/>
      <c r="M355">
        <v>25</v>
      </c>
      <c r="O355" t="s">
        <v>1958</v>
      </c>
      <c r="S355" t="s">
        <v>365</v>
      </c>
      <c r="T355" t="s">
        <v>377</v>
      </c>
      <c r="U355" t="s">
        <v>293</v>
      </c>
      <c r="V355" t="s">
        <v>7</v>
      </c>
      <c r="W355" t="s">
        <v>7</v>
      </c>
      <c r="X355" t="s">
        <v>7</v>
      </c>
      <c r="Z355">
        <v>16</v>
      </c>
      <c r="AA355" t="s">
        <v>122</v>
      </c>
      <c r="AB355" t="s">
        <v>397</v>
      </c>
      <c r="AC355">
        <v>2940</v>
      </c>
      <c r="AD355" t="s">
        <v>232</v>
      </c>
      <c r="AE355">
        <v>400</v>
      </c>
    </row>
    <row r="356" spans="1:32" x14ac:dyDescent="0.3">
      <c r="A356" t="s">
        <v>350</v>
      </c>
      <c r="B356" t="s">
        <v>279</v>
      </c>
      <c r="C356" t="s">
        <v>197</v>
      </c>
      <c r="D356" t="s">
        <v>309</v>
      </c>
      <c r="E356" t="s">
        <v>755</v>
      </c>
      <c r="F356" s="15">
        <v>46241.564421296294</v>
      </c>
      <c r="G356" t="s">
        <v>420</v>
      </c>
      <c r="H356">
        <v>2</v>
      </c>
      <c r="I356" t="s">
        <v>758</v>
      </c>
      <c r="J356" s="15">
        <v>46245.47152777778</v>
      </c>
      <c r="K356" s="15">
        <v>46253.505555555559</v>
      </c>
      <c r="L356" s="15"/>
      <c r="M356">
        <v>2</v>
      </c>
      <c r="O356" t="s">
        <v>1958</v>
      </c>
      <c r="S356" t="s">
        <v>365</v>
      </c>
      <c r="T356" t="s">
        <v>377</v>
      </c>
      <c r="U356" t="s">
        <v>293</v>
      </c>
      <c r="V356" t="s">
        <v>7</v>
      </c>
      <c r="W356" t="s">
        <v>7</v>
      </c>
      <c r="X356" t="s">
        <v>7</v>
      </c>
      <c r="Z356">
        <v>16</v>
      </c>
      <c r="AA356" t="s">
        <v>122</v>
      </c>
      <c r="AB356" t="s">
        <v>397</v>
      </c>
      <c r="AC356">
        <v>2940</v>
      </c>
      <c r="AD356" t="s">
        <v>232</v>
      </c>
      <c r="AE356">
        <v>32</v>
      </c>
    </row>
    <row r="357" spans="1:32" x14ac:dyDescent="0.3">
      <c r="A357" t="s">
        <v>350</v>
      </c>
      <c r="B357" t="s">
        <v>279</v>
      </c>
      <c r="C357" t="s">
        <v>197</v>
      </c>
      <c r="D357" t="s">
        <v>309</v>
      </c>
      <c r="E357" t="s">
        <v>755</v>
      </c>
      <c r="F357" s="15">
        <v>46241.564421296294</v>
      </c>
      <c r="G357" t="s">
        <v>420</v>
      </c>
      <c r="H357">
        <v>12</v>
      </c>
      <c r="I357" t="s">
        <v>758</v>
      </c>
      <c r="J357" s="15">
        <v>46245.47152777778</v>
      </c>
      <c r="K357" s="15">
        <v>46253.505555555559</v>
      </c>
      <c r="L357" s="15"/>
      <c r="M357">
        <v>12</v>
      </c>
      <c r="O357" t="s">
        <v>1958</v>
      </c>
      <c r="S357" t="s">
        <v>365</v>
      </c>
      <c r="T357" t="s">
        <v>377</v>
      </c>
      <c r="U357" t="s">
        <v>293</v>
      </c>
      <c r="V357" t="s">
        <v>7</v>
      </c>
      <c r="W357" t="s">
        <v>7</v>
      </c>
      <c r="X357" t="s">
        <v>7</v>
      </c>
      <c r="Z357">
        <v>16</v>
      </c>
      <c r="AA357" t="s">
        <v>122</v>
      </c>
      <c r="AB357" t="s">
        <v>397</v>
      </c>
      <c r="AC357">
        <v>2940</v>
      </c>
      <c r="AD357" t="s">
        <v>232</v>
      </c>
      <c r="AE357">
        <v>192</v>
      </c>
    </row>
    <row r="358" spans="1:32" x14ac:dyDescent="0.3">
      <c r="A358" t="s">
        <v>350</v>
      </c>
      <c r="B358" t="s">
        <v>279</v>
      </c>
      <c r="C358" t="s">
        <v>197</v>
      </c>
      <c r="D358" t="s">
        <v>309</v>
      </c>
      <c r="E358" t="s">
        <v>755</v>
      </c>
      <c r="F358" s="15">
        <v>46241.564421296294</v>
      </c>
      <c r="G358" t="s">
        <v>420</v>
      </c>
      <c r="H358">
        <v>2</v>
      </c>
      <c r="I358" t="s">
        <v>758</v>
      </c>
      <c r="J358" s="15">
        <v>46245.47152777778</v>
      </c>
      <c r="K358" s="15">
        <v>46253.505555555559</v>
      </c>
      <c r="L358" s="15"/>
      <c r="M358">
        <v>2</v>
      </c>
      <c r="O358" t="s">
        <v>1958</v>
      </c>
      <c r="S358" t="s">
        <v>365</v>
      </c>
      <c r="T358" t="s">
        <v>377</v>
      </c>
      <c r="U358" t="s">
        <v>293</v>
      </c>
      <c r="V358" t="s">
        <v>7</v>
      </c>
      <c r="W358" t="s">
        <v>7</v>
      </c>
      <c r="X358" t="s">
        <v>7</v>
      </c>
      <c r="Z358">
        <v>16</v>
      </c>
      <c r="AA358" t="s">
        <v>122</v>
      </c>
      <c r="AB358" t="s">
        <v>397</v>
      </c>
      <c r="AC358">
        <v>2940</v>
      </c>
      <c r="AD358" t="s">
        <v>232</v>
      </c>
      <c r="AE358">
        <v>32</v>
      </c>
    </row>
    <row r="359" spans="1:32" x14ac:dyDescent="0.3">
      <c r="A359" t="s">
        <v>350</v>
      </c>
      <c r="B359" t="s">
        <v>57</v>
      </c>
      <c r="C359" t="s">
        <v>117</v>
      </c>
      <c r="D359" t="s">
        <v>309</v>
      </c>
      <c r="E359" t="s">
        <v>755</v>
      </c>
      <c r="F359" s="15">
        <v>46241.564421296294</v>
      </c>
      <c r="G359" t="s">
        <v>420</v>
      </c>
      <c r="H359">
        <v>1</v>
      </c>
      <c r="I359" t="s">
        <v>758</v>
      </c>
      <c r="J359" s="15">
        <v>46245.47152777778</v>
      </c>
      <c r="K359" s="15">
        <v>46253.505555555559</v>
      </c>
      <c r="L359" s="15"/>
      <c r="M359">
        <v>1</v>
      </c>
      <c r="O359" t="s">
        <v>201</v>
      </c>
      <c r="P359" t="s">
        <v>1954</v>
      </c>
      <c r="S359" t="s">
        <v>365</v>
      </c>
      <c r="T359" t="s">
        <v>377</v>
      </c>
      <c r="U359" t="s">
        <v>293</v>
      </c>
      <c r="V359" t="s">
        <v>7</v>
      </c>
      <c r="W359" t="s">
        <v>7</v>
      </c>
      <c r="X359" t="s">
        <v>7</v>
      </c>
      <c r="AA359" t="s">
        <v>127</v>
      </c>
      <c r="AB359" t="s">
        <v>397</v>
      </c>
      <c r="AC359">
        <v>2940</v>
      </c>
      <c r="AD359" t="s">
        <v>233</v>
      </c>
      <c r="AE359">
        <v>1</v>
      </c>
    </row>
    <row r="360" spans="1:32" x14ac:dyDescent="0.3">
      <c r="A360" t="s">
        <v>350</v>
      </c>
      <c r="B360" t="s">
        <v>57</v>
      </c>
      <c r="C360" t="s">
        <v>117</v>
      </c>
      <c r="D360" t="s">
        <v>309</v>
      </c>
      <c r="E360" t="s">
        <v>755</v>
      </c>
      <c r="F360" s="15">
        <v>46241.564421296294</v>
      </c>
      <c r="G360" t="s">
        <v>420</v>
      </c>
      <c r="H360">
        <v>32</v>
      </c>
      <c r="I360" t="s">
        <v>758</v>
      </c>
      <c r="J360" s="15">
        <v>46245.47152777778</v>
      </c>
      <c r="K360" s="15">
        <v>46253.505555555559</v>
      </c>
      <c r="L360" s="15"/>
      <c r="M360">
        <v>32</v>
      </c>
      <c r="O360" t="s">
        <v>1958</v>
      </c>
      <c r="S360" t="s">
        <v>365</v>
      </c>
      <c r="T360" t="s">
        <v>377</v>
      </c>
      <c r="U360" t="s">
        <v>293</v>
      </c>
      <c r="V360" t="s">
        <v>7</v>
      </c>
      <c r="W360" t="s">
        <v>7</v>
      </c>
      <c r="X360" t="s">
        <v>7</v>
      </c>
      <c r="AA360" t="s">
        <v>127</v>
      </c>
      <c r="AB360" t="s">
        <v>397</v>
      </c>
      <c r="AC360">
        <v>2940</v>
      </c>
      <c r="AD360" t="s">
        <v>233</v>
      </c>
      <c r="AE360">
        <v>3.2</v>
      </c>
    </row>
    <row r="361" spans="1:32" x14ac:dyDescent="0.3">
      <c r="A361" t="s">
        <v>350</v>
      </c>
      <c r="B361" t="s">
        <v>57</v>
      </c>
      <c r="C361" t="s">
        <v>117</v>
      </c>
      <c r="D361" t="s">
        <v>309</v>
      </c>
      <c r="E361" t="s">
        <v>755</v>
      </c>
      <c r="F361" s="15">
        <v>46241.564421296294</v>
      </c>
      <c r="G361" t="s">
        <v>420</v>
      </c>
      <c r="H361">
        <v>25</v>
      </c>
      <c r="I361" t="s">
        <v>758</v>
      </c>
      <c r="J361" s="15">
        <v>46245.47152777778</v>
      </c>
      <c r="K361" s="15">
        <v>46253.505555555559</v>
      </c>
      <c r="L361" s="15"/>
      <c r="M361">
        <v>25</v>
      </c>
      <c r="O361" t="s">
        <v>1958</v>
      </c>
      <c r="S361" t="s">
        <v>365</v>
      </c>
      <c r="T361" t="s">
        <v>377</v>
      </c>
      <c r="U361" t="s">
        <v>293</v>
      </c>
      <c r="V361" t="s">
        <v>7</v>
      </c>
      <c r="W361" t="s">
        <v>7</v>
      </c>
      <c r="X361" t="s">
        <v>7</v>
      </c>
      <c r="AA361" t="s">
        <v>127</v>
      </c>
      <c r="AB361" t="s">
        <v>397</v>
      </c>
      <c r="AC361">
        <v>2940</v>
      </c>
      <c r="AD361" t="s">
        <v>233</v>
      </c>
      <c r="AE361">
        <v>2.5</v>
      </c>
    </row>
    <row r="362" spans="1:32" x14ac:dyDescent="0.3">
      <c r="A362" t="s">
        <v>350</v>
      </c>
      <c r="B362" t="s">
        <v>57</v>
      </c>
      <c r="C362" t="s">
        <v>117</v>
      </c>
      <c r="D362" t="s">
        <v>309</v>
      </c>
      <c r="E362" t="s">
        <v>755</v>
      </c>
      <c r="F362" s="15">
        <v>46241.564421296294</v>
      </c>
      <c r="G362" t="s">
        <v>420</v>
      </c>
      <c r="H362">
        <v>2</v>
      </c>
      <c r="I362" t="s">
        <v>758</v>
      </c>
      <c r="J362" s="15">
        <v>46245.47152777778</v>
      </c>
      <c r="K362" s="15">
        <v>46253.505555555559</v>
      </c>
      <c r="L362" s="15"/>
      <c r="M362">
        <v>2</v>
      </c>
      <c r="O362" t="s">
        <v>1958</v>
      </c>
      <c r="S362" t="s">
        <v>365</v>
      </c>
      <c r="T362" t="s">
        <v>377</v>
      </c>
      <c r="U362" t="s">
        <v>293</v>
      </c>
      <c r="V362" t="s">
        <v>7</v>
      </c>
      <c r="W362" t="s">
        <v>7</v>
      </c>
      <c r="X362" t="s">
        <v>7</v>
      </c>
      <c r="AA362" t="s">
        <v>127</v>
      </c>
      <c r="AB362" t="s">
        <v>397</v>
      </c>
      <c r="AC362">
        <v>2940</v>
      </c>
      <c r="AD362" t="s">
        <v>233</v>
      </c>
      <c r="AE362">
        <v>1</v>
      </c>
    </row>
    <row r="363" spans="1:32" x14ac:dyDescent="0.3">
      <c r="A363" t="s">
        <v>350</v>
      </c>
      <c r="B363" t="s">
        <v>57</v>
      </c>
      <c r="C363" t="s">
        <v>117</v>
      </c>
      <c r="D363" t="s">
        <v>309</v>
      </c>
      <c r="E363" t="s">
        <v>755</v>
      </c>
      <c r="F363" s="15">
        <v>46241.564421296294</v>
      </c>
      <c r="G363" t="s">
        <v>420</v>
      </c>
      <c r="H363">
        <v>12</v>
      </c>
      <c r="I363" t="s">
        <v>758</v>
      </c>
      <c r="J363" s="15">
        <v>46245.47152777778</v>
      </c>
      <c r="K363" s="15">
        <v>46253.505555555559</v>
      </c>
      <c r="L363" s="15"/>
      <c r="M363">
        <v>12</v>
      </c>
      <c r="O363" t="s">
        <v>1958</v>
      </c>
      <c r="S363" t="s">
        <v>365</v>
      </c>
      <c r="T363" t="s">
        <v>377</v>
      </c>
      <c r="U363" t="s">
        <v>293</v>
      </c>
      <c r="V363" t="s">
        <v>7</v>
      </c>
      <c r="W363" t="s">
        <v>7</v>
      </c>
      <c r="X363" t="s">
        <v>7</v>
      </c>
      <c r="AA363" t="s">
        <v>127</v>
      </c>
      <c r="AB363" t="s">
        <v>397</v>
      </c>
      <c r="AC363">
        <v>2940</v>
      </c>
      <c r="AD363" t="s">
        <v>233</v>
      </c>
      <c r="AE363">
        <v>1.2</v>
      </c>
    </row>
    <row r="364" spans="1:32" x14ac:dyDescent="0.3">
      <c r="A364" t="s">
        <v>350</v>
      </c>
      <c r="B364" t="s">
        <v>279</v>
      </c>
      <c r="C364" t="s">
        <v>197</v>
      </c>
      <c r="D364" t="s">
        <v>309</v>
      </c>
      <c r="E364" t="s">
        <v>755</v>
      </c>
      <c r="F364" s="15">
        <v>46241.564421296294</v>
      </c>
      <c r="G364" t="s">
        <v>420</v>
      </c>
      <c r="H364">
        <v>3</v>
      </c>
      <c r="I364" t="s">
        <v>757</v>
      </c>
      <c r="J364" s="15">
        <v>46245.577777777777</v>
      </c>
      <c r="K364" s="15">
        <v>46253.505555555559</v>
      </c>
      <c r="L364" s="15"/>
      <c r="M364">
        <v>3</v>
      </c>
      <c r="O364" t="s">
        <v>201</v>
      </c>
      <c r="P364" t="s">
        <v>1956</v>
      </c>
      <c r="S364" t="s">
        <v>365</v>
      </c>
      <c r="T364" t="s">
        <v>377</v>
      </c>
      <c r="U364" t="s">
        <v>293</v>
      </c>
      <c r="V364" t="s">
        <v>7</v>
      </c>
      <c r="W364" t="s">
        <v>7</v>
      </c>
      <c r="X364" t="s">
        <v>7</v>
      </c>
      <c r="Z364">
        <v>16</v>
      </c>
      <c r="AA364" t="s">
        <v>122</v>
      </c>
      <c r="AB364" t="s">
        <v>397</v>
      </c>
      <c r="AC364">
        <v>2940</v>
      </c>
      <c r="AD364" t="s">
        <v>232</v>
      </c>
      <c r="AE364">
        <v>48</v>
      </c>
    </row>
    <row r="365" spans="1:32" x14ac:dyDescent="0.3">
      <c r="A365" t="s">
        <v>350</v>
      </c>
      <c r="B365" t="s">
        <v>279</v>
      </c>
      <c r="C365" t="s">
        <v>197</v>
      </c>
      <c r="D365" t="s">
        <v>309</v>
      </c>
      <c r="E365" t="s">
        <v>755</v>
      </c>
      <c r="F365" s="15">
        <v>46241.564421296294</v>
      </c>
      <c r="G365" t="s">
        <v>420</v>
      </c>
      <c r="H365">
        <v>5</v>
      </c>
      <c r="I365" t="s">
        <v>757</v>
      </c>
      <c r="J365" s="15">
        <v>46245.577777777777</v>
      </c>
      <c r="K365" s="15">
        <v>46253.505555555559</v>
      </c>
      <c r="L365" s="15"/>
      <c r="M365">
        <v>5</v>
      </c>
      <c r="O365" t="s">
        <v>1958</v>
      </c>
      <c r="S365" t="s">
        <v>365</v>
      </c>
      <c r="T365" t="s">
        <v>377</v>
      </c>
      <c r="U365" t="s">
        <v>293</v>
      </c>
      <c r="V365" t="s">
        <v>7</v>
      </c>
      <c r="W365" t="s">
        <v>7</v>
      </c>
      <c r="X365" t="s">
        <v>7</v>
      </c>
      <c r="Z365">
        <v>16</v>
      </c>
      <c r="AA365" t="s">
        <v>122</v>
      </c>
      <c r="AB365" t="s">
        <v>397</v>
      </c>
      <c r="AC365">
        <v>2940</v>
      </c>
      <c r="AD365" t="s">
        <v>232</v>
      </c>
      <c r="AE365">
        <v>80</v>
      </c>
    </row>
    <row r="366" spans="1:32" x14ac:dyDescent="0.3">
      <c r="A366" t="s">
        <v>350</v>
      </c>
      <c r="B366" t="s">
        <v>279</v>
      </c>
      <c r="C366" t="s">
        <v>197</v>
      </c>
      <c r="D366" t="s">
        <v>309</v>
      </c>
      <c r="E366" t="s">
        <v>755</v>
      </c>
      <c r="F366" s="15">
        <v>46241.564421296294</v>
      </c>
      <c r="G366" t="s">
        <v>420</v>
      </c>
      <c r="H366">
        <v>9</v>
      </c>
      <c r="I366" t="s">
        <v>757</v>
      </c>
      <c r="J366" s="15">
        <v>46245.577777777777</v>
      </c>
      <c r="K366" s="15">
        <v>46253.505555555559</v>
      </c>
      <c r="L366" s="15"/>
      <c r="M366">
        <v>9</v>
      </c>
      <c r="O366" t="s">
        <v>1958</v>
      </c>
      <c r="S366" t="s">
        <v>365</v>
      </c>
      <c r="T366" t="s">
        <v>377</v>
      </c>
      <c r="U366" t="s">
        <v>293</v>
      </c>
      <c r="V366" t="s">
        <v>7</v>
      </c>
      <c r="W366" t="s">
        <v>7</v>
      </c>
      <c r="X366" t="s">
        <v>7</v>
      </c>
      <c r="Z366">
        <v>16</v>
      </c>
      <c r="AA366" t="s">
        <v>122</v>
      </c>
      <c r="AB366" t="s">
        <v>397</v>
      </c>
      <c r="AC366">
        <v>2940</v>
      </c>
      <c r="AD366" t="s">
        <v>232</v>
      </c>
      <c r="AE366">
        <v>144</v>
      </c>
    </row>
    <row r="367" spans="1:32" x14ac:dyDescent="0.3">
      <c r="A367" t="s">
        <v>350</v>
      </c>
      <c r="B367" t="s">
        <v>57</v>
      </c>
      <c r="C367" t="s">
        <v>117</v>
      </c>
      <c r="D367" t="s">
        <v>309</v>
      </c>
      <c r="E367" t="s">
        <v>755</v>
      </c>
      <c r="F367" s="15">
        <v>46241.564421296294</v>
      </c>
      <c r="G367" t="s">
        <v>420</v>
      </c>
      <c r="H367">
        <v>9</v>
      </c>
      <c r="I367" t="s">
        <v>757</v>
      </c>
      <c r="J367" s="15">
        <v>46245.577777777777</v>
      </c>
      <c r="K367" s="15">
        <v>46253.505555555559</v>
      </c>
      <c r="L367" s="15"/>
      <c r="M367">
        <v>9</v>
      </c>
      <c r="O367" t="s">
        <v>1958</v>
      </c>
      <c r="S367" t="s">
        <v>365</v>
      </c>
      <c r="T367" t="s">
        <v>377</v>
      </c>
      <c r="U367" t="s">
        <v>293</v>
      </c>
      <c r="V367" t="s">
        <v>7</v>
      </c>
      <c r="W367" t="s">
        <v>7</v>
      </c>
      <c r="X367" t="s">
        <v>7</v>
      </c>
      <c r="AA367" t="s">
        <v>127</v>
      </c>
      <c r="AB367" t="s">
        <v>397</v>
      </c>
      <c r="AC367">
        <v>2940</v>
      </c>
      <c r="AD367" t="s">
        <v>233</v>
      </c>
      <c r="AE367">
        <v>1</v>
      </c>
    </row>
    <row r="368" spans="1:32" x14ac:dyDescent="0.3">
      <c r="A368" t="s">
        <v>350</v>
      </c>
      <c r="B368" t="s">
        <v>63</v>
      </c>
      <c r="C368" t="s">
        <v>95</v>
      </c>
      <c r="D368" t="s">
        <v>309</v>
      </c>
      <c r="E368" t="s">
        <v>755</v>
      </c>
      <c r="F368" s="15">
        <v>46241.564421296294</v>
      </c>
      <c r="G368" t="s">
        <v>420</v>
      </c>
      <c r="H368">
        <v>2</v>
      </c>
      <c r="I368" t="s">
        <v>756</v>
      </c>
      <c r="J368" s="15">
        <v>46248.417361111111</v>
      </c>
      <c r="K368" s="15">
        <v>46254.490972222222</v>
      </c>
      <c r="L368" s="15"/>
      <c r="M368">
        <v>2</v>
      </c>
      <c r="O368" t="s">
        <v>1958</v>
      </c>
      <c r="S368" t="s">
        <v>365</v>
      </c>
      <c r="T368" t="s">
        <v>377</v>
      </c>
      <c r="U368" t="s">
        <v>293</v>
      </c>
      <c r="V368" t="s">
        <v>7</v>
      </c>
      <c r="W368" t="s">
        <v>7</v>
      </c>
      <c r="X368" t="s">
        <v>7</v>
      </c>
      <c r="AA368" t="s">
        <v>96</v>
      </c>
      <c r="AB368" t="s">
        <v>397</v>
      </c>
      <c r="AC368">
        <v>2940</v>
      </c>
      <c r="AD368" t="s">
        <v>225</v>
      </c>
      <c r="AE368">
        <v>2</v>
      </c>
    </row>
    <row r="369" spans="1:32" x14ac:dyDescent="0.3">
      <c r="A369" t="s">
        <v>347</v>
      </c>
      <c r="B369" t="s">
        <v>51</v>
      </c>
      <c r="C369" t="s">
        <v>258</v>
      </c>
      <c r="D369" t="s">
        <v>309</v>
      </c>
      <c r="E369" t="s">
        <v>1255</v>
      </c>
      <c r="F369" s="15">
        <v>46253.364374999997</v>
      </c>
      <c r="G369" t="s">
        <v>759</v>
      </c>
      <c r="H369">
        <v>105</v>
      </c>
      <c r="I369" t="s">
        <v>1256</v>
      </c>
      <c r="J369" s="15">
        <v>46253.631249999999</v>
      </c>
      <c r="K369" s="15">
        <v>46254.472222222219</v>
      </c>
      <c r="L369" s="15"/>
      <c r="M369">
        <v>105</v>
      </c>
      <c r="O369" t="s">
        <v>201</v>
      </c>
      <c r="P369" t="s">
        <v>1954</v>
      </c>
      <c r="S369" t="s">
        <v>1257</v>
      </c>
      <c r="T369" t="s">
        <v>1258</v>
      </c>
      <c r="U369" t="s">
        <v>240</v>
      </c>
      <c r="V369" t="s">
        <v>7</v>
      </c>
      <c r="W369" t="s">
        <v>7</v>
      </c>
      <c r="X369" t="s">
        <v>7</v>
      </c>
      <c r="AA369" t="s">
        <v>238</v>
      </c>
      <c r="AB369" t="s">
        <v>1257</v>
      </c>
      <c r="AD369" t="s">
        <v>7</v>
      </c>
      <c r="AF369">
        <v>0</v>
      </c>
    </row>
    <row r="370" spans="1:32" x14ac:dyDescent="0.3">
      <c r="A370" t="s">
        <v>347</v>
      </c>
      <c r="B370" t="s">
        <v>51</v>
      </c>
      <c r="C370" t="s">
        <v>258</v>
      </c>
      <c r="D370" t="s">
        <v>309</v>
      </c>
      <c r="E370" t="s">
        <v>1259</v>
      </c>
      <c r="F370" s="15">
        <v>46252.495659722219</v>
      </c>
      <c r="G370" t="s">
        <v>1260</v>
      </c>
      <c r="H370">
        <v>220</v>
      </c>
      <c r="I370" t="s">
        <v>1261</v>
      </c>
      <c r="J370" s="15">
        <v>46253.654861111114</v>
      </c>
      <c r="K370" s="15">
        <v>46255.357638888891</v>
      </c>
      <c r="L370" s="15"/>
      <c r="M370">
        <v>220</v>
      </c>
      <c r="O370" t="s">
        <v>201</v>
      </c>
      <c r="P370" t="s">
        <v>1954</v>
      </c>
      <c r="S370" t="s">
        <v>1257</v>
      </c>
      <c r="T370" t="s">
        <v>1258</v>
      </c>
      <c r="U370" t="s">
        <v>240</v>
      </c>
      <c r="V370" t="s">
        <v>7</v>
      </c>
      <c r="W370" t="s">
        <v>7</v>
      </c>
      <c r="X370" t="s">
        <v>7</v>
      </c>
      <c r="AA370" t="s">
        <v>238</v>
      </c>
      <c r="AB370" t="s">
        <v>1257</v>
      </c>
      <c r="AD370" t="s">
        <v>7</v>
      </c>
      <c r="AF370">
        <v>0</v>
      </c>
    </row>
    <row r="371" spans="1:32" x14ac:dyDescent="0.3">
      <c r="A371" t="s">
        <v>347</v>
      </c>
      <c r="B371" t="s">
        <v>45</v>
      </c>
      <c r="C371" t="s">
        <v>68</v>
      </c>
      <c r="D371" t="s">
        <v>309</v>
      </c>
      <c r="E371" t="s">
        <v>1262</v>
      </c>
      <c r="F371" s="15">
        <v>46244.678773148145</v>
      </c>
      <c r="G371" t="s">
        <v>1260</v>
      </c>
      <c r="H371">
        <v>25</v>
      </c>
      <c r="I371" t="s">
        <v>1263</v>
      </c>
      <c r="J371" s="15">
        <v>46245.410416666666</v>
      </c>
      <c r="K371" s="15">
        <v>46246.395833333336</v>
      </c>
      <c r="L371" s="15"/>
      <c r="M371">
        <v>25</v>
      </c>
      <c r="O371" t="s">
        <v>201</v>
      </c>
      <c r="P371" t="s">
        <v>1954</v>
      </c>
      <c r="S371" t="s">
        <v>1257</v>
      </c>
      <c r="T371" t="s">
        <v>1258</v>
      </c>
      <c r="U371" t="s">
        <v>240</v>
      </c>
      <c r="V371" t="s">
        <v>347</v>
      </c>
      <c r="W371" t="s">
        <v>351</v>
      </c>
      <c r="X371" t="s">
        <v>240</v>
      </c>
      <c r="Y371">
        <v>3</v>
      </c>
      <c r="AA371" t="s">
        <v>67</v>
      </c>
      <c r="AB371" t="s">
        <v>1257</v>
      </c>
      <c r="AD371" t="s">
        <v>217</v>
      </c>
      <c r="AE371">
        <v>2.5</v>
      </c>
      <c r="AF371">
        <v>1</v>
      </c>
    </row>
    <row r="372" spans="1:32" x14ac:dyDescent="0.3">
      <c r="A372" t="s">
        <v>347</v>
      </c>
      <c r="B372" t="s">
        <v>45</v>
      </c>
      <c r="C372" t="s">
        <v>68</v>
      </c>
      <c r="D372" t="s">
        <v>309</v>
      </c>
      <c r="E372" t="s">
        <v>1264</v>
      </c>
      <c r="F372" s="15">
        <v>46252.494293981479</v>
      </c>
      <c r="G372" t="s">
        <v>1260</v>
      </c>
      <c r="H372">
        <v>25</v>
      </c>
      <c r="I372" t="s">
        <v>1265</v>
      </c>
      <c r="J372" s="15">
        <v>46252.644444444442</v>
      </c>
      <c r="K372" s="15">
        <v>46253.423611111109</v>
      </c>
      <c r="L372" s="15"/>
      <c r="M372">
        <v>25</v>
      </c>
      <c r="O372" t="s">
        <v>201</v>
      </c>
      <c r="P372" t="s">
        <v>1954</v>
      </c>
      <c r="S372" t="s">
        <v>1257</v>
      </c>
      <c r="T372" t="s">
        <v>1258</v>
      </c>
      <c r="U372" t="s">
        <v>240</v>
      </c>
      <c r="V372" t="s">
        <v>347</v>
      </c>
      <c r="W372" t="s">
        <v>351</v>
      </c>
      <c r="X372" t="s">
        <v>240</v>
      </c>
      <c r="Y372">
        <v>3</v>
      </c>
      <c r="AA372" t="s">
        <v>67</v>
      </c>
      <c r="AB372" t="s">
        <v>1257</v>
      </c>
      <c r="AD372" t="s">
        <v>217</v>
      </c>
      <c r="AE372">
        <v>2.5</v>
      </c>
      <c r="AF372">
        <v>1</v>
      </c>
    </row>
    <row r="373" spans="1:32" x14ac:dyDescent="0.3">
      <c r="A373" t="s">
        <v>347</v>
      </c>
      <c r="B373" t="s">
        <v>45</v>
      </c>
      <c r="C373" t="s">
        <v>68</v>
      </c>
      <c r="D373" t="s">
        <v>309</v>
      </c>
      <c r="E373" t="s">
        <v>1266</v>
      </c>
      <c r="F373" s="15">
        <v>46237.299120370371</v>
      </c>
      <c r="G373" t="s">
        <v>1260</v>
      </c>
      <c r="H373">
        <v>20</v>
      </c>
      <c r="I373" t="s">
        <v>1267</v>
      </c>
      <c r="J373" s="15">
        <v>46237.356944444444</v>
      </c>
      <c r="K373" s="15">
        <v>46239.371527777781</v>
      </c>
      <c r="L373" s="15"/>
      <c r="M373">
        <v>20</v>
      </c>
      <c r="O373" t="s">
        <v>201</v>
      </c>
      <c r="P373" t="s">
        <v>1956</v>
      </c>
      <c r="S373" t="s">
        <v>1257</v>
      </c>
      <c r="T373" t="s">
        <v>1258</v>
      </c>
      <c r="U373" t="s">
        <v>240</v>
      </c>
      <c r="V373" t="s">
        <v>347</v>
      </c>
      <c r="W373" t="s">
        <v>351</v>
      </c>
      <c r="X373" t="s">
        <v>240</v>
      </c>
      <c r="Y373">
        <v>3</v>
      </c>
      <c r="AA373" t="s">
        <v>67</v>
      </c>
      <c r="AB373" t="s">
        <v>1257</v>
      </c>
      <c r="AD373" t="s">
        <v>217</v>
      </c>
      <c r="AE373">
        <v>2</v>
      </c>
      <c r="AF373">
        <v>1</v>
      </c>
    </row>
    <row r="374" spans="1:32" x14ac:dyDescent="0.3">
      <c r="A374" t="s">
        <v>347</v>
      </c>
      <c r="B374" t="s">
        <v>51</v>
      </c>
      <c r="C374" t="s">
        <v>258</v>
      </c>
      <c r="D374" t="s">
        <v>309</v>
      </c>
      <c r="E374" t="s">
        <v>1268</v>
      </c>
      <c r="F374" s="15">
        <v>46218.456944444442</v>
      </c>
      <c r="G374" t="s">
        <v>1269</v>
      </c>
      <c r="H374">
        <v>6</v>
      </c>
      <c r="I374" t="s">
        <v>1270</v>
      </c>
      <c r="J374" s="15">
        <v>46218.598611111112</v>
      </c>
      <c r="K374" s="15">
        <v>46220.557638888888</v>
      </c>
      <c r="L374" s="15"/>
      <c r="M374">
        <v>6</v>
      </c>
      <c r="O374" t="s">
        <v>201</v>
      </c>
      <c r="P374" t="s">
        <v>1954</v>
      </c>
      <c r="S374" t="s">
        <v>361</v>
      </c>
      <c r="T374" t="s">
        <v>372</v>
      </c>
      <c r="U374" t="s">
        <v>240</v>
      </c>
      <c r="V374" t="s">
        <v>7</v>
      </c>
      <c r="W374" t="s">
        <v>7</v>
      </c>
      <c r="X374" t="s">
        <v>7</v>
      </c>
      <c r="AA374" t="s">
        <v>238</v>
      </c>
      <c r="AB374" t="s">
        <v>361</v>
      </c>
      <c r="AC374">
        <v>1100</v>
      </c>
      <c r="AD374" t="s">
        <v>7</v>
      </c>
      <c r="AF374">
        <v>0</v>
      </c>
    </row>
    <row r="375" spans="1:32" x14ac:dyDescent="0.3">
      <c r="A375" t="s">
        <v>347</v>
      </c>
      <c r="B375" t="s">
        <v>51</v>
      </c>
      <c r="C375" t="s">
        <v>258</v>
      </c>
      <c r="D375" t="s">
        <v>309</v>
      </c>
      <c r="E375" t="s">
        <v>1271</v>
      </c>
      <c r="F375" s="15">
        <v>46230.652881944443</v>
      </c>
      <c r="G375" t="s">
        <v>1269</v>
      </c>
      <c r="H375">
        <v>20</v>
      </c>
      <c r="I375" t="s">
        <v>1272</v>
      </c>
      <c r="J375" s="15">
        <v>46230.70208333333</v>
      </c>
      <c r="K375" s="15">
        <v>46232.451388888891</v>
      </c>
      <c r="L375" s="15"/>
      <c r="M375">
        <v>20</v>
      </c>
      <c r="O375" t="s">
        <v>201</v>
      </c>
      <c r="P375" t="s">
        <v>1954</v>
      </c>
      <c r="S375" t="s">
        <v>361</v>
      </c>
      <c r="T375" t="s">
        <v>372</v>
      </c>
      <c r="U375" t="s">
        <v>240</v>
      </c>
      <c r="V375" t="s">
        <v>7</v>
      </c>
      <c r="W375" t="s">
        <v>7</v>
      </c>
      <c r="X375" t="s">
        <v>7</v>
      </c>
      <c r="AA375" t="s">
        <v>238</v>
      </c>
      <c r="AB375" t="s">
        <v>361</v>
      </c>
      <c r="AC375">
        <v>1100</v>
      </c>
      <c r="AD375" t="s">
        <v>7</v>
      </c>
      <c r="AF375">
        <v>0</v>
      </c>
    </row>
    <row r="376" spans="1:32" x14ac:dyDescent="0.3">
      <c r="A376" t="s">
        <v>347</v>
      </c>
      <c r="B376" t="s">
        <v>63</v>
      </c>
      <c r="C376" t="s">
        <v>95</v>
      </c>
      <c r="D376" t="s">
        <v>309</v>
      </c>
      <c r="E376" t="s">
        <v>1273</v>
      </c>
      <c r="F376" s="15">
        <v>46248.469560185185</v>
      </c>
      <c r="G376" t="s">
        <v>411</v>
      </c>
      <c r="H376">
        <v>26</v>
      </c>
      <c r="I376" t="s">
        <v>1274</v>
      </c>
      <c r="J376" s="15">
        <v>46251.56527777778</v>
      </c>
      <c r="K376" s="15">
        <v>46254.506944444445</v>
      </c>
      <c r="L376" s="15"/>
      <c r="M376">
        <v>26</v>
      </c>
      <c r="O376" t="s">
        <v>201</v>
      </c>
      <c r="P376" t="s">
        <v>1954</v>
      </c>
      <c r="S376" t="s">
        <v>361</v>
      </c>
      <c r="T376" t="s">
        <v>372</v>
      </c>
      <c r="U376" t="s">
        <v>240</v>
      </c>
      <c r="V376" t="s">
        <v>7</v>
      </c>
      <c r="W376" t="s">
        <v>7</v>
      </c>
      <c r="X376" t="s">
        <v>7</v>
      </c>
      <c r="AA376" t="s">
        <v>96</v>
      </c>
      <c r="AB376" t="s">
        <v>361</v>
      </c>
      <c r="AC376">
        <v>1100</v>
      </c>
      <c r="AD376" t="s">
        <v>225</v>
      </c>
      <c r="AE376">
        <v>26</v>
      </c>
      <c r="AF376">
        <v>2.6</v>
      </c>
    </row>
    <row r="377" spans="1:32" x14ac:dyDescent="0.3">
      <c r="A377" t="s">
        <v>347</v>
      </c>
      <c r="B377" t="s">
        <v>279</v>
      </c>
      <c r="C377" t="s">
        <v>197</v>
      </c>
      <c r="D377" t="s">
        <v>309</v>
      </c>
      <c r="E377" t="s">
        <v>1273</v>
      </c>
      <c r="F377" s="15">
        <v>46248.469560185185</v>
      </c>
      <c r="G377" t="s">
        <v>411</v>
      </c>
      <c r="H377">
        <v>26</v>
      </c>
      <c r="I377" t="s">
        <v>1274</v>
      </c>
      <c r="J377" s="15">
        <v>46251.56527777778</v>
      </c>
      <c r="K377" s="15">
        <v>46254.506944444445</v>
      </c>
      <c r="L377" s="15"/>
      <c r="M377">
        <v>26</v>
      </c>
      <c r="O377" t="s">
        <v>201</v>
      </c>
      <c r="P377" t="s">
        <v>1954</v>
      </c>
      <c r="S377" t="s">
        <v>361</v>
      </c>
      <c r="T377" t="s">
        <v>372</v>
      </c>
      <c r="U377" t="s">
        <v>240</v>
      </c>
      <c r="V377" t="s">
        <v>7</v>
      </c>
      <c r="W377" t="s">
        <v>7</v>
      </c>
      <c r="X377" t="s">
        <v>7</v>
      </c>
      <c r="Z377">
        <v>16</v>
      </c>
      <c r="AA377" t="s">
        <v>122</v>
      </c>
      <c r="AB377" t="s">
        <v>361</v>
      </c>
      <c r="AC377">
        <v>1100</v>
      </c>
      <c r="AD377" t="s">
        <v>232</v>
      </c>
      <c r="AE377">
        <v>416</v>
      </c>
      <c r="AF377">
        <v>41.6</v>
      </c>
    </row>
    <row r="378" spans="1:32" x14ac:dyDescent="0.3">
      <c r="A378" t="s">
        <v>347</v>
      </c>
      <c r="B378" t="s">
        <v>57</v>
      </c>
      <c r="C378" t="s">
        <v>117</v>
      </c>
      <c r="D378" t="s">
        <v>309</v>
      </c>
      <c r="E378" t="s">
        <v>1273</v>
      </c>
      <c r="F378" s="15">
        <v>46248.469560185185</v>
      </c>
      <c r="G378" t="s">
        <v>411</v>
      </c>
      <c r="H378">
        <v>26</v>
      </c>
      <c r="I378" t="s">
        <v>1274</v>
      </c>
      <c r="J378" s="15">
        <v>46251.56527777778</v>
      </c>
      <c r="K378" s="15">
        <v>46254.506944444445</v>
      </c>
      <c r="L378" s="15"/>
      <c r="M378">
        <v>26</v>
      </c>
      <c r="O378" t="s">
        <v>201</v>
      </c>
      <c r="P378" t="s">
        <v>1954</v>
      </c>
      <c r="S378" t="s">
        <v>361</v>
      </c>
      <c r="T378" t="s">
        <v>372</v>
      </c>
      <c r="U378" t="s">
        <v>240</v>
      </c>
      <c r="V378" t="s">
        <v>7</v>
      </c>
      <c r="W378" t="s">
        <v>7</v>
      </c>
      <c r="X378" t="s">
        <v>7</v>
      </c>
      <c r="AA378" t="s">
        <v>127</v>
      </c>
      <c r="AB378" t="s">
        <v>361</v>
      </c>
      <c r="AC378">
        <v>1100</v>
      </c>
      <c r="AD378" t="s">
        <v>233</v>
      </c>
      <c r="AE378">
        <v>2.6</v>
      </c>
      <c r="AF378">
        <v>1</v>
      </c>
    </row>
    <row r="379" spans="1:32" x14ac:dyDescent="0.3">
      <c r="A379" t="s">
        <v>347</v>
      </c>
      <c r="B379" t="s">
        <v>51</v>
      </c>
      <c r="C379" t="s">
        <v>258</v>
      </c>
      <c r="D379" t="s">
        <v>309</v>
      </c>
      <c r="E379" t="s">
        <v>1275</v>
      </c>
      <c r="F379" s="15">
        <v>46253.319224537037</v>
      </c>
      <c r="G379" t="s">
        <v>400</v>
      </c>
      <c r="H379">
        <v>32</v>
      </c>
      <c r="I379" t="s">
        <v>1276</v>
      </c>
      <c r="J379" s="15">
        <v>46253.518750000003</v>
      </c>
      <c r="K379" s="15">
        <v>46254.46875</v>
      </c>
      <c r="L379" s="15"/>
      <c r="M379">
        <v>32</v>
      </c>
      <c r="O379" t="s">
        <v>201</v>
      </c>
      <c r="P379" t="s">
        <v>1954</v>
      </c>
      <c r="S379" t="s">
        <v>362</v>
      </c>
      <c r="T379" t="s">
        <v>373</v>
      </c>
      <c r="U379" t="s">
        <v>240</v>
      </c>
      <c r="V379" t="s">
        <v>7</v>
      </c>
      <c r="W379" t="s">
        <v>7</v>
      </c>
      <c r="X379" t="s">
        <v>7</v>
      </c>
      <c r="AA379" t="s">
        <v>238</v>
      </c>
      <c r="AB379" t="s">
        <v>362</v>
      </c>
      <c r="AD379" t="s">
        <v>7</v>
      </c>
      <c r="AF379">
        <v>0</v>
      </c>
    </row>
    <row r="380" spans="1:32" x14ac:dyDescent="0.3">
      <c r="A380" t="s">
        <v>347</v>
      </c>
      <c r="B380" t="s">
        <v>51</v>
      </c>
      <c r="C380" t="s">
        <v>258</v>
      </c>
      <c r="D380" t="s">
        <v>309</v>
      </c>
      <c r="E380" t="s">
        <v>1277</v>
      </c>
      <c r="F380" s="15">
        <v>46253.318599537037</v>
      </c>
      <c r="G380" t="s">
        <v>400</v>
      </c>
      <c r="H380">
        <v>32</v>
      </c>
      <c r="I380" t="s">
        <v>1276</v>
      </c>
      <c r="J380" s="15">
        <v>46253.518750000003</v>
      </c>
      <c r="K380" s="15">
        <v>46254.46875</v>
      </c>
      <c r="L380" s="15"/>
      <c r="M380">
        <v>32</v>
      </c>
      <c r="O380" t="s">
        <v>201</v>
      </c>
      <c r="P380" t="s">
        <v>1954</v>
      </c>
      <c r="S380" t="s">
        <v>362</v>
      </c>
      <c r="T380" t="s">
        <v>373</v>
      </c>
      <c r="U380" t="s">
        <v>240</v>
      </c>
      <c r="V380" t="s">
        <v>7</v>
      </c>
      <c r="W380" t="s">
        <v>7</v>
      </c>
      <c r="X380" t="s">
        <v>7</v>
      </c>
      <c r="AA380" t="s">
        <v>238</v>
      </c>
      <c r="AB380" t="s">
        <v>362</v>
      </c>
      <c r="AD380" t="s">
        <v>7</v>
      </c>
    </row>
    <row r="381" spans="1:32" x14ac:dyDescent="0.3">
      <c r="A381" t="s">
        <v>347</v>
      </c>
      <c r="B381" t="s">
        <v>51</v>
      </c>
      <c r="C381" t="s">
        <v>258</v>
      </c>
      <c r="D381" t="s">
        <v>309</v>
      </c>
      <c r="E381" t="s">
        <v>1278</v>
      </c>
      <c r="F381" s="15">
        <v>46253.319699074076</v>
      </c>
      <c r="G381" t="s">
        <v>400</v>
      </c>
      <c r="H381">
        <v>32</v>
      </c>
      <c r="I381" t="s">
        <v>1276</v>
      </c>
      <c r="J381" s="15">
        <v>46253.518750000003</v>
      </c>
      <c r="K381" s="15">
        <v>46254.46875</v>
      </c>
      <c r="L381" s="15"/>
      <c r="M381">
        <v>32</v>
      </c>
      <c r="O381" t="s">
        <v>201</v>
      </c>
      <c r="P381" t="s">
        <v>1954</v>
      </c>
      <c r="S381" t="s">
        <v>362</v>
      </c>
      <c r="T381" t="s">
        <v>373</v>
      </c>
      <c r="U381" t="s">
        <v>240</v>
      </c>
      <c r="V381" t="s">
        <v>7</v>
      </c>
      <c r="W381" t="s">
        <v>7</v>
      </c>
      <c r="X381" t="s">
        <v>7</v>
      </c>
      <c r="AA381" t="s">
        <v>238</v>
      </c>
      <c r="AB381" t="s">
        <v>362</v>
      </c>
      <c r="AD381" t="s">
        <v>7</v>
      </c>
    </row>
    <row r="382" spans="1:32" x14ac:dyDescent="0.3">
      <c r="A382" t="s">
        <v>347</v>
      </c>
      <c r="B382" t="s">
        <v>43</v>
      </c>
      <c r="C382" t="s">
        <v>105</v>
      </c>
      <c r="D382" t="s">
        <v>309</v>
      </c>
      <c r="E382" t="s">
        <v>1279</v>
      </c>
      <c r="F382" s="15">
        <v>46244.665532407409</v>
      </c>
      <c r="G382" t="s">
        <v>400</v>
      </c>
      <c r="H382">
        <v>3</v>
      </c>
      <c r="I382" t="s">
        <v>1280</v>
      </c>
      <c r="J382" s="15">
        <v>46246.388194444444</v>
      </c>
      <c r="K382" s="15">
        <v>46247.479166666664</v>
      </c>
      <c r="L382" s="15"/>
      <c r="M382">
        <v>3</v>
      </c>
      <c r="O382" t="s">
        <v>201</v>
      </c>
      <c r="P382" t="s">
        <v>1954</v>
      </c>
      <c r="S382" t="s">
        <v>362</v>
      </c>
      <c r="T382" t="s">
        <v>373</v>
      </c>
      <c r="U382" t="s">
        <v>240</v>
      </c>
      <c r="V382" t="s">
        <v>347</v>
      </c>
      <c r="W382" t="s">
        <v>351</v>
      </c>
      <c r="X382" t="s">
        <v>240</v>
      </c>
      <c r="Y382">
        <v>48</v>
      </c>
      <c r="AA382" t="s">
        <v>67</v>
      </c>
      <c r="AB382" t="s">
        <v>362</v>
      </c>
      <c r="AD382" t="s">
        <v>217</v>
      </c>
      <c r="AE382">
        <v>1</v>
      </c>
      <c r="AF382">
        <v>1</v>
      </c>
    </row>
    <row r="383" spans="1:32" x14ac:dyDescent="0.3">
      <c r="A383" t="s">
        <v>347</v>
      </c>
      <c r="B383" t="s">
        <v>45</v>
      </c>
      <c r="C383" t="s">
        <v>68</v>
      </c>
      <c r="D383" t="s">
        <v>309</v>
      </c>
      <c r="E383" t="s">
        <v>1281</v>
      </c>
      <c r="F383" s="15">
        <v>46244.660208333335</v>
      </c>
      <c r="G383" t="s">
        <v>400</v>
      </c>
      <c r="H383">
        <v>25</v>
      </c>
      <c r="I383" t="s">
        <v>1282</v>
      </c>
      <c r="J383" s="15">
        <v>46245.366666666669</v>
      </c>
      <c r="K383" s="15">
        <v>46246.611111111109</v>
      </c>
      <c r="L383" s="15"/>
      <c r="M383">
        <v>25</v>
      </c>
      <c r="O383" t="s">
        <v>201</v>
      </c>
      <c r="P383" t="s">
        <v>1954</v>
      </c>
      <c r="S383" t="s">
        <v>362</v>
      </c>
      <c r="T383" t="s">
        <v>373</v>
      </c>
      <c r="U383" t="s">
        <v>240</v>
      </c>
      <c r="V383" t="s">
        <v>347</v>
      </c>
      <c r="W383" t="s">
        <v>351</v>
      </c>
      <c r="X383" t="s">
        <v>240</v>
      </c>
      <c r="Y383">
        <v>48</v>
      </c>
      <c r="AA383" t="s">
        <v>67</v>
      </c>
      <c r="AB383" t="s">
        <v>362</v>
      </c>
      <c r="AD383" t="s">
        <v>217</v>
      </c>
      <c r="AE383">
        <v>2.5</v>
      </c>
      <c r="AF383">
        <v>1</v>
      </c>
    </row>
    <row r="384" spans="1:32" x14ac:dyDescent="0.3">
      <c r="A384" t="s">
        <v>347</v>
      </c>
      <c r="B384" t="s">
        <v>51</v>
      </c>
      <c r="C384" t="s">
        <v>258</v>
      </c>
      <c r="D384" t="s">
        <v>309</v>
      </c>
      <c r="E384" t="s">
        <v>1283</v>
      </c>
      <c r="F384" s="15">
        <v>46244.662893518522</v>
      </c>
      <c r="G384" t="s">
        <v>400</v>
      </c>
      <c r="H384">
        <v>25</v>
      </c>
      <c r="I384" t="s">
        <v>1284</v>
      </c>
      <c r="J384" s="15">
        <v>46245.432638888888</v>
      </c>
      <c r="K384" s="15">
        <v>46246.611111111109</v>
      </c>
      <c r="L384" s="15"/>
      <c r="M384">
        <v>25</v>
      </c>
      <c r="O384" t="s">
        <v>201</v>
      </c>
      <c r="P384" t="s">
        <v>1954</v>
      </c>
      <c r="S384" t="s">
        <v>362</v>
      </c>
      <c r="T384" t="s">
        <v>373</v>
      </c>
      <c r="U384" t="s">
        <v>240</v>
      </c>
      <c r="V384" t="s">
        <v>7</v>
      </c>
      <c r="W384" t="s">
        <v>7</v>
      </c>
      <c r="X384" t="s">
        <v>7</v>
      </c>
      <c r="AA384" t="s">
        <v>238</v>
      </c>
      <c r="AB384" t="s">
        <v>362</v>
      </c>
      <c r="AD384" t="s">
        <v>7</v>
      </c>
      <c r="AF384">
        <v>0</v>
      </c>
    </row>
    <row r="385" spans="1:32" x14ac:dyDescent="0.3">
      <c r="A385" t="s">
        <v>347</v>
      </c>
      <c r="B385" t="s">
        <v>51</v>
      </c>
      <c r="C385" t="s">
        <v>258</v>
      </c>
      <c r="D385" t="s">
        <v>309</v>
      </c>
      <c r="E385" t="s">
        <v>1285</v>
      </c>
      <c r="F385" s="15">
        <v>46244.662442129629</v>
      </c>
      <c r="G385" t="s">
        <v>400</v>
      </c>
      <c r="H385">
        <v>25</v>
      </c>
      <c r="I385" t="s">
        <v>1284</v>
      </c>
      <c r="J385" s="15">
        <v>46245.432638888888</v>
      </c>
      <c r="K385" s="15">
        <v>46246.611111111109</v>
      </c>
      <c r="L385" s="15"/>
      <c r="M385">
        <v>25</v>
      </c>
      <c r="O385" t="s">
        <v>201</v>
      </c>
      <c r="P385" t="s">
        <v>1954</v>
      </c>
      <c r="S385" t="s">
        <v>362</v>
      </c>
      <c r="T385" t="s">
        <v>373</v>
      </c>
      <c r="U385" t="s">
        <v>240</v>
      </c>
      <c r="V385" t="s">
        <v>7</v>
      </c>
      <c r="W385" t="s">
        <v>7</v>
      </c>
      <c r="X385" t="s">
        <v>7</v>
      </c>
      <c r="AA385" t="s">
        <v>238</v>
      </c>
      <c r="AB385" t="s">
        <v>362</v>
      </c>
      <c r="AD385" t="s">
        <v>7</v>
      </c>
    </row>
    <row r="386" spans="1:32" x14ac:dyDescent="0.3">
      <c r="A386" t="s">
        <v>347</v>
      </c>
      <c r="B386" t="s">
        <v>51</v>
      </c>
      <c r="C386" t="s">
        <v>258</v>
      </c>
      <c r="D386" t="s">
        <v>309</v>
      </c>
      <c r="E386" t="s">
        <v>1286</v>
      </c>
      <c r="F386" s="15">
        <v>46244.661898148152</v>
      </c>
      <c r="G386" t="s">
        <v>400</v>
      </c>
      <c r="H386">
        <v>25</v>
      </c>
      <c r="I386" t="s">
        <v>1284</v>
      </c>
      <c r="J386" s="15">
        <v>46245.432638888888</v>
      </c>
      <c r="K386" s="15">
        <v>46246.611111111109</v>
      </c>
      <c r="L386" s="15"/>
      <c r="M386">
        <v>25</v>
      </c>
      <c r="O386" t="s">
        <v>201</v>
      </c>
      <c r="P386" t="s">
        <v>1954</v>
      </c>
      <c r="S386" t="s">
        <v>362</v>
      </c>
      <c r="T386" t="s">
        <v>373</v>
      </c>
      <c r="U386" t="s">
        <v>240</v>
      </c>
      <c r="V386" t="s">
        <v>7</v>
      </c>
      <c r="W386" t="s">
        <v>7</v>
      </c>
      <c r="X386" t="s">
        <v>7</v>
      </c>
      <c r="AA386" t="s">
        <v>238</v>
      </c>
      <c r="AB386" t="s">
        <v>362</v>
      </c>
      <c r="AD386" t="s">
        <v>7</v>
      </c>
    </row>
    <row r="387" spans="1:32" x14ac:dyDescent="0.3">
      <c r="A387" t="s">
        <v>347</v>
      </c>
      <c r="B387" t="s">
        <v>45</v>
      </c>
      <c r="C387" t="s">
        <v>68</v>
      </c>
      <c r="D387" t="s">
        <v>309</v>
      </c>
      <c r="E387" t="s">
        <v>1287</v>
      </c>
      <c r="F387" s="15">
        <v>46253.320972222224</v>
      </c>
      <c r="G387" t="s">
        <v>400</v>
      </c>
      <c r="H387">
        <v>25</v>
      </c>
      <c r="I387" t="s">
        <v>1288</v>
      </c>
      <c r="J387" s="15">
        <v>46253.515277777777</v>
      </c>
      <c r="K387" s="15">
        <v>46255.638888888891</v>
      </c>
      <c r="L387" s="15"/>
      <c r="M387">
        <v>25</v>
      </c>
      <c r="O387" t="s">
        <v>201</v>
      </c>
      <c r="P387" t="s">
        <v>1956</v>
      </c>
      <c r="S387" t="s">
        <v>362</v>
      </c>
      <c r="T387" t="s">
        <v>373</v>
      </c>
      <c r="U387" t="s">
        <v>240</v>
      </c>
      <c r="V387" t="s">
        <v>347</v>
      </c>
      <c r="W387" t="s">
        <v>351</v>
      </c>
      <c r="X387" t="s">
        <v>240</v>
      </c>
      <c r="Y387">
        <v>48</v>
      </c>
      <c r="AA387" t="s">
        <v>67</v>
      </c>
      <c r="AB387" t="s">
        <v>362</v>
      </c>
      <c r="AD387" t="s">
        <v>217</v>
      </c>
      <c r="AE387">
        <v>2.5</v>
      </c>
      <c r="AF387">
        <v>1</v>
      </c>
    </row>
    <row r="388" spans="1:32" x14ac:dyDescent="0.3">
      <c r="A388" t="s">
        <v>347</v>
      </c>
      <c r="B388" t="s">
        <v>45</v>
      </c>
      <c r="C388" t="s">
        <v>68</v>
      </c>
      <c r="D388" t="s">
        <v>309</v>
      </c>
      <c r="E388" t="s">
        <v>1289</v>
      </c>
      <c r="F388" s="15">
        <v>46233.603067129632</v>
      </c>
      <c r="G388" t="s">
        <v>1290</v>
      </c>
      <c r="H388">
        <v>50</v>
      </c>
      <c r="I388" t="s">
        <v>1291</v>
      </c>
      <c r="J388" s="15">
        <v>46233.630254629628</v>
      </c>
      <c r="K388" s="15">
        <v>46237.586805555555</v>
      </c>
      <c r="L388" s="15"/>
      <c r="M388">
        <v>50</v>
      </c>
      <c r="O388" t="s">
        <v>201</v>
      </c>
      <c r="P388" t="s">
        <v>1954</v>
      </c>
      <c r="S388" t="s">
        <v>362</v>
      </c>
      <c r="T388" t="s">
        <v>373</v>
      </c>
      <c r="U388" t="s">
        <v>240</v>
      </c>
      <c r="V388" t="s">
        <v>347</v>
      </c>
      <c r="W388" t="s">
        <v>351</v>
      </c>
      <c r="X388" t="s">
        <v>240</v>
      </c>
      <c r="Y388">
        <v>48</v>
      </c>
      <c r="AA388" t="s">
        <v>67</v>
      </c>
      <c r="AB388" t="s">
        <v>362</v>
      </c>
      <c r="AD388" t="s">
        <v>217</v>
      </c>
      <c r="AE388">
        <v>5</v>
      </c>
      <c r="AF388">
        <v>1</v>
      </c>
    </row>
    <row r="389" spans="1:32" x14ac:dyDescent="0.3">
      <c r="A389" t="s">
        <v>347</v>
      </c>
      <c r="B389" t="s">
        <v>48</v>
      </c>
      <c r="C389" t="s">
        <v>68</v>
      </c>
      <c r="D389" t="s">
        <v>309</v>
      </c>
      <c r="E389" t="s">
        <v>1292</v>
      </c>
      <c r="F389" s="15">
        <v>46238.544641203705</v>
      </c>
      <c r="G389" t="s">
        <v>400</v>
      </c>
      <c r="H389">
        <v>3</v>
      </c>
      <c r="I389" t="s">
        <v>1293</v>
      </c>
      <c r="J389" s="15">
        <v>46238.632962962962</v>
      </c>
      <c r="K389" s="15">
        <v>46240.518055555556</v>
      </c>
      <c r="L389" s="15"/>
      <c r="M389">
        <v>3</v>
      </c>
      <c r="O389" t="s">
        <v>201</v>
      </c>
      <c r="P389" t="s">
        <v>1954</v>
      </c>
      <c r="S389" t="s">
        <v>362</v>
      </c>
      <c r="T389" t="s">
        <v>373</v>
      </c>
      <c r="U389" t="s">
        <v>240</v>
      </c>
      <c r="V389" t="s">
        <v>347</v>
      </c>
      <c r="W389" t="s">
        <v>351</v>
      </c>
      <c r="X389" t="s">
        <v>240</v>
      </c>
      <c r="Y389">
        <v>48</v>
      </c>
      <c r="AA389" t="s">
        <v>90</v>
      </c>
      <c r="AB389" t="s">
        <v>362</v>
      </c>
      <c r="AD389" t="s">
        <v>217</v>
      </c>
      <c r="AE389">
        <v>1</v>
      </c>
      <c r="AF389">
        <v>1</v>
      </c>
    </row>
    <row r="390" spans="1:32" x14ac:dyDescent="0.3">
      <c r="A390" t="s">
        <v>347</v>
      </c>
      <c r="B390" t="s">
        <v>63</v>
      </c>
      <c r="C390" t="s">
        <v>95</v>
      </c>
      <c r="D390" t="s">
        <v>309</v>
      </c>
      <c r="E390" t="s">
        <v>1294</v>
      </c>
      <c r="F390" s="15">
        <v>46231.685798611114</v>
      </c>
      <c r="G390" t="s">
        <v>399</v>
      </c>
      <c r="H390">
        <v>1</v>
      </c>
      <c r="I390" t="s">
        <v>1295</v>
      </c>
      <c r="J390" s="15">
        <v>46232.496759259258</v>
      </c>
      <c r="K390" s="15">
        <v>46237.791666666664</v>
      </c>
      <c r="L390" s="15"/>
      <c r="M390">
        <v>1</v>
      </c>
      <c r="O390" t="s">
        <v>201</v>
      </c>
      <c r="P390" t="s">
        <v>1954</v>
      </c>
      <c r="S390" t="s">
        <v>1296</v>
      </c>
      <c r="T390" t="s">
        <v>351</v>
      </c>
      <c r="U390" t="s">
        <v>240</v>
      </c>
      <c r="V390" t="s">
        <v>7</v>
      </c>
      <c r="W390" t="s">
        <v>7</v>
      </c>
      <c r="X390" t="s">
        <v>7</v>
      </c>
      <c r="AA390" t="s">
        <v>96</v>
      </c>
      <c r="AB390" t="s">
        <v>1296</v>
      </c>
      <c r="AC390">
        <v>200</v>
      </c>
      <c r="AD390" t="s">
        <v>225</v>
      </c>
      <c r="AE390">
        <v>1</v>
      </c>
      <c r="AF390">
        <v>1</v>
      </c>
    </row>
    <row r="391" spans="1:32" x14ac:dyDescent="0.3">
      <c r="A391" t="s">
        <v>347</v>
      </c>
      <c r="B391" t="s">
        <v>57</v>
      </c>
      <c r="C391" t="s">
        <v>117</v>
      </c>
      <c r="D391" t="s">
        <v>309</v>
      </c>
      <c r="E391" t="s">
        <v>1294</v>
      </c>
      <c r="F391" s="15">
        <v>46231.685798611114</v>
      </c>
      <c r="G391" t="s">
        <v>399</v>
      </c>
      <c r="H391">
        <v>1</v>
      </c>
      <c r="I391" t="s">
        <v>1295</v>
      </c>
      <c r="J391" s="15">
        <v>46232.496759259258</v>
      </c>
      <c r="K391" s="15">
        <v>46237.791666666664</v>
      </c>
      <c r="L391" s="15"/>
      <c r="M391">
        <v>1</v>
      </c>
      <c r="O391" t="s">
        <v>201</v>
      </c>
      <c r="P391" t="s">
        <v>1954</v>
      </c>
      <c r="S391" t="s">
        <v>1296</v>
      </c>
      <c r="T391" t="s">
        <v>351</v>
      </c>
      <c r="U391" t="s">
        <v>240</v>
      </c>
      <c r="V391" t="s">
        <v>7</v>
      </c>
      <c r="W391" t="s">
        <v>7</v>
      </c>
      <c r="X391" t="s">
        <v>7</v>
      </c>
      <c r="AA391" t="s">
        <v>127</v>
      </c>
      <c r="AB391" t="s">
        <v>1296</v>
      </c>
      <c r="AC391">
        <v>200</v>
      </c>
      <c r="AD391" t="s">
        <v>233</v>
      </c>
      <c r="AE391">
        <v>1</v>
      </c>
      <c r="AF391">
        <v>1</v>
      </c>
    </row>
    <row r="392" spans="1:32" x14ac:dyDescent="0.3">
      <c r="A392" t="s">
        <v>347</v>
      </c>
      <c r="B392" t="s">
        <v>279</v>
      </c>
      <c r="C392" t="s">
        <v>192</v>
      </c>
      <c r="D392" t="s">
        <v>309</v>
      </c>
      <c r="E392" t="s">
        <v>1294</v>
      </c>
      <c r="F392" s="15">
        <v>46231.685798611114</v>
      </c>
      <c r="G392" t="s">
        <v>399</v>
      </c>
      <c r="H392">
        <v>109</v>
      </c>
      <c r="I392" t="s">
        <v>1295</v>
      </c>
      <c r="J392" s="15">
        <v>46232.496759259258</v>
      </c>
      <c r="K392" s="15">
        <v>46237.791666666664</v>
      </c>
      <c r="L392" s="15"/>
      <c r="M392">
        <v>109</v>
      </c>
      <c r="O392" t="s">
        <v>201</v>
      </c>
      <c r="P392" t="s">
        <v>1956</v>
      </c>
      <c r="S392" t="s">
        <v>1296</v>
      </c>
      <c r="T392" t="s">
        <v>351</v>
      </c>
      <c r="U392" t="s">
        <v>240</v>
      </c>
      <c r="V392" t="s">
        <v>7</v>
      </c>
      <c r="W392" t="s">
        <v>7</v>
      </c>
      <c r="X392" t="s">
        <v>7</v>
      </c>
      <c r="Z392">
        <v>1</v>
      </c>
      <c r="AA392" t="s">
        <v>122</v>
      </c>
      <c r="AB392" t="s">
        <v>1296</v>
      </c>
      <c r="AC392">
        <v>200</v>
      </c>
      <c r="AD392" t="s">
        <v>232</v>
      </c>
      <c r="AE392">
        <v>109</v>
      </c>
      <c r="AF392">
        <v>10.9</v>
      </c>
    </row>
    <row r="393" spans="1:32" x14ac:dyDescent="0.3">
      <c r="A393" t="s">
        <v>347</v>
      </c>
      <c r="B393" t="s">
        <v>57</v>
      </c>
      <c r="C393" t="s">
        <v>117</v>
      </c>
      <c r="D393" t="s">
        <v>309</v>
      </c>
      <c r="E393" t="s">
        <v>1297</v>
      </c>
      <c r="F393" s="15">
        <v>46227.492546296293</v>
      </c>
      <c r="G393" t="s">
        <v>401</v>
      </c>
      <c r="H393">
        <v>1</v>
      </c>
      <c r="I393" t="s">
        <v>1298</v>
      </c>
      <c r="J393" s="15">
        <v>46227.612233796295</v>
      </c>
      <c r="K393" s="15">
        <v>46233.329861111109</v>
      </c>
      <c r="L393" s="15"/>
      <c r="M393">
        <v>1</v>
      </c>
      <c r="O393" t="s">
        <v>201</v>
      </c>
      <c r="P393" t="s">
        <v>1954</v>
      </c>
      <c r="S393" t="s">
        <v>1296</v>
      </c>
      <c r="T393" t="s">
        <v>351</v>
      </c>
      <c r="U393" t="s">
        <v>240</v>
      </c>
      <c r="V393" t="s">
        <v>7</v>
      </c>
      <c r="W393" t="s">
        <v>7</v>
      </c>
      <c r="X393" t="s">
        <v>7</v>
      </c>
      <c r="AA393" t="s">
        <v>127</v>
      </c>
      <c r="AB393" t="s">
        <v>1296</v>
      </c>
      <c r="AC393">
        <v>200</v>
      </c>
      <c r="AD393" t="s">
        <v>233</v>
      </c>
      <c r="AE393">
        <v>1</v>
      </c>
      <c r="AF393">
        <v>1</v>
      </c>
    </row>
    <row r="394" spans="1:32" x14ac:dyDescent="0.3">
      <c r="A394" t="s">
        <v>347</v>
      </c>
      <c r="B394" t="s">
        <v>279</v>
      </c>
      <c r="C394" t="s">
        <v>192</v>
      </c>
      <c r="D394" t="s">
        <v>309</v>
      </c>
      <c r="E394" t="s">
        <v>1297</v>
      </c>
      <c r="F394" s="15">
        <v>46227.492546296293</v>
      </c>
      <c r="G394" t="s">
        <v>401</v>
      </c>
      <c r="H394">
        <v>1</v>
      </c>
      <c r="I394" t="s">
        <v>1298</v>
      </c>
      <c r="J394" s="15">
        <v>46227.612233796295</v>
      </c>
      <c r="K394" s="15">
        <v>46233.329861111109</v>
      </c>
      <c r="L394" s="15"/>
      <c r="M394">
        <v>1</v>
      </c>
      <c r="O394" t="s">
        <v>201</v>
      </c>
      <c r="P394" t="s">
        <v>1956</v>
      </c>
      <c r="S394" t="s">
        <v>1296</v>
      </c>
      <c r="T394" t="s">
        <v>351</v>
      </c>
      <c r="U394" t="s">
        <v>240</v>
      </c>
      <c r="V394" t="s">
        <v>7</v>
      </c>
      <c r="W394" t="s">
        <v>7</v>
      </c>
      <c r="X394" t="s">
        <v>7</v>
      </c>
      <c r="Z394">
        <v>1</v>
      </c>
      <c r="AA394" t="s">
        <v>122</v>
      </c>
      <c r="AB394" t="s">
        <v>1296</v>
      </c>
      <c r="AC394">
        <v>200</v>
      </c>
      <c r="AD394" t="s">
        <v>232</v>
      </c>
      <c r="AE394">
        <v>1</v>
      </c>
      <c r="AF394">
        <v>1</v>
      </c>
    </row>
    <row r="395" spans="1:32" x14ac:dyDescent="0.3">
      <c r="A395" t="s">
        <v>347</v>
      </c>
      <c r="B395" t="s">
        <v>63</v>
      </c>
      <c r="C395" t="s">
        <v>95</v>
      </c>
      <c r="D395" t="s">
        <v>309</v>
      </c>
      <c r="E395" t="s">
        <v>1297</v>
      </c>
      <c r="F395" s="15">
        <v>46227.492546296293</v>
      </c>
      <c r="G395" t="s">
        <v>401</v>
      </c>
      <c r="H395">
        <v>1</v>
      </c>
      <c r="I395" t="s">
        <v>1298</v>
      </c>
      <c r="J395" s="15">
        <v>46227.612233796295</v>
      </c>
      <c r="K395" s="15">
        <v>46233.329861111109</v>
      </c>
      <c r="L395" s="15"/>
      <c r="M395">
        <v>1</v>
      </c>
      <c r="O395" t="s">
        <v>201</v>
      </c>
      <c r="P395" t="s">
        <v>1954</v>
      </c>
      <c r="S395" t="s">
        <v>1296</v>
      </c>
      <c r="T395" t="s">
        <v>351</v>
      </c>
      <c r="U395" t="s">
        <v>240</v>
      </c>
      <c r="V395" t="s">
        <v>7</v>
      </c>
      <c r="W395" t="s">
        <v>7</v>
      </c>
      <c r="X395" t="s">
        <v>7</v>
      </c>
      <c r="AA395" t="s">
        <v>96</v>
      </c>
      <c r="AB395" t="s">
        <v>1296</v>
      </c>
      <c r="AC395">
        <v>200</v>
      </c>
      <c r="AD395" t="s">
        <v>225</v>
      </c>
      <c r="AE395">
        <v>1</v>
      </c>
      <c r="AF395">
        <v>1</v>
      </c>
    </row>
    <row r="396" spans="1:32" x14ac:dyDescent="0.3">
      <c r="A396" t="s">
        <v>348</v>
      </c>
      <c r="B396" t="s">
        <v>45</v>
      </c>
      <c r="C396" t="s">
        <v>68</v>
      </c>
      <c r="D396" t="s">
        <v>309</v>
      </c>
      <c r="E396" t="s">
        <v>1299</v>
      </c>
      <c r="F396" s="15">
        <v>46224.647638888891</v>
      </c>
      <c r="G396" t="s">
        <v>1300</v>
      </c>
      <c r="H396">
        <v>1</v>
      </c>
      <c r="I396" t="s">
        <v>1301</v>
      </c>
      <c r="J396" s="15">
        <v>46225.434756944444</v>
      </c>
      <c r="K396" s="15">
        <v>46226.447916666664</v>
      </c>
      <c r="L396" s="15"/>
      <c r="M396">
        <v>1</v>
      </c>
      <c r="O396" t="s">
        <v>201</v>
      </c>
      <c r="P396" t="s">
        <v>1954</v>
      </c>
      <c r="S396" t="s">
        <v>1302</v>
      </c>
      <c r="T396" t="s">
        <v>1303</v>
      </c>
      <c r="U396" t="s">
        <v>287</v>
      </c>
      <c r="V396" t="s">
        <v>348</v>
      </c>
      <c r="W396" t="s">
        <v>369</v>
      </c>
      <c r="X396" t="s">
        <v>239</v>
      </c>
      <c r="Y396">
        <v>76</v>
      </c>
      <c r="AA396" t="s">
        <v>67</v>
      </c>
      <c r="AB396" t="s">
        <v>1302</v>
      </c>
      <c r="AD396" t="s">
        <v>217</v>
      </c>
      <c r="AE396">
        <v>1</v>
      </c>
      <c r="AF396">
        <v>1</v>
      </c>
    </row>
    <row r="397" spans="1:32" x14ac:dyDescent="0.3">
      <c r="A397" t="s">
        <v>348</v>
      </c>
      <c r="B397" t="s">
        <v>63</v>
      </c>
      <c r="C397" t="s">
        <v>95</v>
      </c>
      <c r="D397" t="s">
        <v>309</v>
      </c>
      <c r="E397" t="s">
        <v>1304</v>
      </c>
      <c r="F397" s="15">
        <v>46241.647488425922</v>
      </c>
      <c r="G397" t="s">
        <v>399</v>
      </c>
      <c r="H397">
        <v>1</v>
      </c>
      <c r="I397" t="s">
        <v>1305</v>
      </c>
      <c r="J397" s="15">
        <v>46244.369074074071</v>
      </c>
      <c r="K397" s="15">
        <v>46247.349988425929</v>
      </c>
      <c r="L397" s="15"/>
      <c r="M397">
        <v>1</v>
      </c>
      <c r="O397" t="s">
        <v>201</v>
      </c>
      <c r="P397" t="s">
        <v>1954</v>
      </c>
      <c r="S397" t="s">
        <v>353</v>
      </c>
      <c r="T397" t="s">
        <v>368</v>
      </c>
      <c r="U397" t="s">
        <v>239</v>
      </c>
      <c r="V397" t="s">
        <v>7</v>
      </c>
      <c r="W397" t="s">
        <v>7</v>
      </c>
      <c r="X397" t="s">
        <v>7</v>
      </c>
      <c r="AA397" t="s">
        <v>96</v>
      </c>
      <c r="AB397" t="s">
        <v>353</v>
      </c>
      <c r="AC397">
        <v>2100</v>
      </c>
      <c r="AD397" t="s">
        <v>225</v>
      </c>
      <c r="AE397">
        <v>1</v>
      </c>
      <c r="AF397">
        <v>1</v>
      </c>
    </row>
    <row r="398" spans="1:32" x14ac:dyDescent="0.3">
      <c r="A398" t="s">
        <v>348</v>
      </c>
      <c r="B398" t="s">
        <v>57</v>
      </c>
      <c r="C398" t="s">
        <v>117</v>
      </c>
      <c r="D398" t="s">
        <v>309</v>
      </c>
      <c r="E398" t="s">
        <v>1304</v>
      </c>
      <c r="F398" s="15">
        <v>46241.647488425922</v>
      </c>
      <c r="G398" t="s">
        <v>399</v>
      </c>
      <c r="H398">
        <v>1</v>
      </c>
      <c r="I398" t="s">
        <v>1305</v>
      </c>
      <c r="J398" s="15">
        <v>46244.369074074071</v>
      </c>
      <c r="K398" s="15">
        <v>46247.349988425929</v>
      </c>
      <c r="L398" s="15"/>
      <c r="M398">
        <v>1</v>
      </c>
      <c r="O398" t="s">
        <v>201</v>
      </c>
      <c r="P398" t="s">
        <v>1954</v>
      </c>
      <c r="S398" t="s">
        <v>353</v>
      </c>
      <c r="T398" t="s">
        <v>368</v>
      </c>
      <c r="U398" t="s">
        <v>239</v>
      </c>
      <c r="V398" t="s">
        <v>7</v>
      </c>
      <c r="W398" t="s">
        <v>7</v>
      </c>
      <c r="X398" t="s">
        <v>7</v>
      </c>
      <c r="AA398" t="s">
        <v>127</v>
      </c>
      <c r="AB398" t="s">
        <v>353</v>
      </c>
      <c r="AC398">
        <v>2100</v>
      </c>
      <c r="AD398" t="s">
        <v>233</v>
      </c>
      <c r="AE398">
        <v>1</v>
      </c>
      <c r="AF398">
        <v>1</v>
      </c>
    </row>
    <row r="399" spans="1:32" x14ac:dyDescent="0.3">
      <c r="A399" t="s">
        <v>348</v>
      </c>
      <c r="B399" t="s">
        <v>48</v>
      </c>
      <c r="C399" t="s">
        <v>68</v>
      </c>
      <c r="D399" t="s">
        <v>309</v>
      </c>
      <c r="E399" t="s">
        <v>1306</v>
      </c>
      <c r="F399" s="15">
        <v>46216.601365740738</v>
      </c>
      <c r="G399" t="s">
        <v>402</v>
      </c>
      <c r="H399">
        <v>1</v>
      </c>
      <c r="I399" t="s">
        <v>1307</v>
      </c>
      <c r="J399" s="15">
        <v>46220.410416666666</v>
      </c>
      <c r="K399" s="15">
        <v>46223.497916666667</v>
      </c>
      <c r="L399" s="15"/>
      <c r="M399">
        <v>1</v>
      </c>
      <c r="O399" t="s">
        <v>201</v>
      </c>
      <c r="P399" t="s">
        <v>1956</v>
      </c>
      <c r="S399" t="s">
        <v>354</v>
      </c>
      <c r="T399" t="s">
        <v>369</v>
      </c>
      <c r="U399" t="s">
        <v>239</v>
      </c>
      <c r="V399" t="s">
        <v>348</v>
      </c>
      <c r="W399" t="s">
        <v>369</v>
      </c>
      <c r="X399" t="s">
        <v>239</v>
      </c>
      <c r="Y399">
        <v>0</v>
      </c>
      <c r="AA399" t="s">
        <v>90</v>
      </c>
      <c r="AB399" t="s">
        <v>354</v>
      </c>
      <c r="AC399">
        <v>50</v>
      </c>
      <c r="AD399" t="s">
        <v>217</v>
      </c>
      <c r="AE399">
        <v>1</v>
      </c>
      <c r="AF399">
        <v>1</v>
      </c>
    </row>
    <row r="400" spans="1:32" x14ac:dyDescent="0.3">
      <c r="A400" t="s">
        <v>348</v>
      </c>
      <c r="B400" t="s">
        <v>57</v>
      </c>
      <c r="C400" t="s">
        <v>117</v>
      </c>
      <c r="D400" t="s">
        <v>309</v>
      </c>
      <c r="E400" t="s">
        <v>1137</v>
      </c>
      <c r="F400" s="15">
        <v>46217.60359953704</v>
      </c>
      <c r="G400" t="s">
        <v>420</v>
      </c>
      <c r="H400">
        <v>13</v>
      </c>
      <c r="I400" t="s">
        <v>1145</v>
      </c>
      <c r="J400" s="15">
        <v>46237.518055555556</v>
      </c>
      <c r="K400" s="15">
        <v>46239.647916666669</v>
      </c>
      <c r="L400" s="15"/>
      <c r="M400">
        <v>13</v>
      </c>
      <c r="O400" t="s">
        <v>201</v>
      </c>
      <c r="P400" t="s">
        <v>1954</v>
      </c>
      <c r="S400" t="s">
        <v>357</v>
      </c>
      <c r="T400" t="s">
        <v>369</v>
      </c>
      <c r="U400" t="s">
        <v>239</v>
      </c>
      <c r="V400" t="s">
        <v>7</v>
      </c>
      <c r="W400" t="s">
        <v>7</v>
      </c>
      <c r="X400" t="s">
        <v>7</v>
      </c>
      <c r="AA400" t="s">
        <v>127</v>
      </c>
      <c r="AB400" t="s">
        <v>357</v>
      </c>
      <c r="AC400">
        <v>101</v>
      </c>
      <c r="AD400" t="s">
        <v>233</v>
      </c>
      <c r="AE400">
        <v>1.3</v>
      </c>
    </row>
    <row r="401" spans="1:32" x14ac:dyDescent="0.3">
      <c r="A401" t="s">
        <v>348</v>
      </c>
      <c r="B401" t="s">
        <v>281</v>
      </c>
      <c r="C401" t="s">
        <v>85</v>
      </c>
      <c r="D401" t="s">
        <v>309</v>
      </c>
      <c r="E401" t="s">
        <v>1137</v>
      </c>
      <c r="F401" s="15">
        <v>46217.60359953704</v>
      </c>
      <c r="G401" t="s">
        <v>420</v>
      </c>
      <c r="H401">
        <v>1</v>
      </c>
      <c r="I401" t="s">
        <v>1138</v>
      </c>
      <c r="J401" s="15">
        <v>46220.352083333331</v>
      </c>
      <c r="K401" s="15">
        <v>46227.702777777777</v>
      </c>
      <c r="L401" s="15"/>
      <c r="M401">
        <v>1</v>
      </c>
      <c r="O401" t="s">
        <v>1958</v>
      </c>
      <c r="S401" t="s">
        <v>357</v>
      </c>
      <c r="T401" t="s">
        <v>369</v>
      </c>
      <c r="U401" t="s">
        <v>239</v>
      </c>
      <c r="V401" t="s">
        <v>7</v>
      </c>
      <c r="W401" t="s">
        <v>7</v>
      </c>
      <c r="X401" t="s">
        <v>7</v>
      </c>
      <c r="Z401">
        <v>1</v>
      </c>
      <c r="AA401" t="s">
        <v>122</v>
      </c>
      <c r="AB401" t="s">
        <v>357</v>
      </c>
      <c r="AC401">
        <v>101</v>
      </c>
      <c r="AD401" t="s">
        <v>231</v>
      </c>
      <c r="AE401">
        <v>1</v>
      </c>
    </row>
    <row r="402" spans="1:32" x14ac:dyDescent="0.3">
      <c r="A402" t="s">
        <v>348</v>
      </c>
      <c r="B402" t="s">
        <v>279</v>
      </c>
      <c r="C402" t="s">
        <v>192</v>
      </c>
      <c r="D402" t="s">
        <v>309</v>
      </c>
      <c r="E402" t="s">
        <v>1304</v>
      </c>
      <c r="F402" s="15">
        <v>46241.647488425922</v>
      </c>
      <c r="G402" t="s">
        <v>399</v>
      </c>
      <c r="H402">
        <v>340</v>
      </c>
      <c r="I402" t="s">
        <v>1305</v>
      </c>
      <c r="J402" s="15">
        <v>46244.369074074071</v>
      </c>
      <c r="K402" s="15">
        <v>46247.349988425929</v>
      </c>
      <c r="L402" s="15"/>
      <c r="M402">
        <v>340</v>
      </c>
      <c r="O402" t="s">
        <v>201</v>
      </c>
      <c r="P402" t="s">
        <v>1954</v>
      </c>
      <c r="S402" t="s">
        <v>353</v>
      </c>
      <c r="T402" t="s">
        <v>368</v>
      </c>
      <c r="U402" t="s">
        <v>239</v>
      </c>
      <c r="V402" t="s">
        <v>7</v>
      </c>
      <c r="W402" t="s">
        <v>7</v>
      </c>
      <c r="X402" t="s">
        <v>7</v>
      </c>
      <c r="Z402">
        <v>1</v>
      </c>
      <c r="AA402" t="s">
        <v>122</v>
      </c>
      <c r="AB402" t="s">
        <v>353</v>
      </c>
      <c r="AC402">
        <v>2100</v>
      </c>
      <c r="AD402" t="s">
        <v>232</v>
      </c>
      <c r="AE402">
        <v>340</v>
      </c>
      <c r="AF402">
        <v>34</v>
      </c>
    </row>
    <row r="403" spans="1:32" x14ac:dyDescent="0.3">
      <c r="A403" t="s">
        <v>348</v>
      </c>
      <c r="B403" t="s">
        <v>48</v>
      </c>
      <c r="C403" t="s">
        <v>68</v>
      </c>
      <c r="D403" t="s">
        <v>309</v>
      </c>
      <c r="E403" t="s">
        <v>1308</v>
      </c>
      <c r="F403" s="15">
        <v>46241.31753472222</v>
      </c>
      <c r="G403" t="s">
        <v>401</v>
      </c>
      <c r="H403">
        <v>2</v>
      </c>
      <c r="I403" t="s">
        <v>1309</v>
      </c>
      <c r="J403" s="15">
        <v>46241.34952546296</v>
      </c>
      <c r="K403" s="15">
        <v>46244.479166666664</v>
      </c>
      <c r="L403" s="15"/>
      <c r="M403">
        <v>2</v>
      </c>
      <c r="O403" t="s">
        <v>201</v>
      </c>
      <c r="P403" t="s">
        <v>1956</v>
      </c>
      <c r="S403" t="s">
        <v>357</v>
      </c>
      <c r="T403" t="s">
        <v>369</v>
      </c>
      <c r="U403" t="s">
        <v>239</v>
      </c>
      <c r="V403" t="s">
        <v>348</v>
      </c>
      <c r="W403" t="s">
        <v>369</v>
      </c>
      <c r="X403" t="s">
        <v>239</v>
      </c>
      <c r="AA403" t="s">
        <v>90</v>
      </c>
      <c r="AB403" t="s">
        <v>357</v>
      </c>
      <c r="AC403">
        <v>101</v>
      </c>
      <c r="AD403" t="s">
        <v>217</v>
      </c>
      <c r="AE403">
        <v>1</v>
      </c>
    </row>
    <row r="404" spans="1:32" x14ac:dyDescent="0.3">
      <c r="A404" t="s">
        <v>348</v>
      </c>
      <c r="B404" t="s">
        <v>63</v>
      </c>
      <c r="C404" t="s">
        <v>95</v>
      </c>
      <c r="D404" t="s">
        <v>309</v>
      </c>
      <c r="E404" t="s">
        <v>1310</v>
      </c>
      <c r="F404" s="15">
        <v>46239.716504629629</v>
      </c>
      <c r="G404" t="s">
        <v>402</v>
      </c>
      <c r="H404">
        <v>1</v>
      </c>
      <c r="I404" t="s">
        <v>1311</v>
      </c>
      <c r="J404" s="15">
        <v>46240.376805555556</v>
      </c>
      <c r="K404" s="15">
        <v>46246.703472222223</v>
      </c>
      <c r="L404" s="15"/>
      <c r="M404">
        <v>1</v>
      </c>
      <c r="O404" t="s">
        <v>201</v>
      </c>
      <c r="P404" t="s">
        <v>1954</v>
      </c>
      <c r="S404" t="s">
        <v>355</v>
      </c>
      <c r="T404" t="s">
        <v>369</v>
      </c>
      <c r="U404" t="s">
        <v>239</v>
      </c>
      <c r="V404" t="s">
        <v>7</v>
      </c>
      <c r="W404" t="s">
        <v>7</v>
      </c>
      <c r="X404" t="s">
        <v>7</v>
      </c>
      <c r="AA404" t="s">
        <v>96</v>
      </c>
      <c r="AB404" t="s">
        <v>355</v>
      </c>
      <c r="AC404">
        <v>2200</v>
      </c>
      <c r="AD404" t="s">
        <v>225</v>
      </c>
      <c r="AE404">
        <v>1</v>
      </c>
    </row>
    <row r="405" spans="1:32" x14ac:dyDescent="0.3">
      <c r="A405" t="s">
        <v>348</v>
      </c>
      <c r="B405" t="s">
        <v>57</v>
      </c>
      <c r="C405" t="s">
        <v>117</v>
      </c>
      <c r="D405" t="s">
        <v>309</v>
      </c>
      <c r="E405" t="s">
        <v>1310</v>
      </c>
      <c r="F405" s="15">
        <v>46239.716504629629</v>
      </c>
      <c r="G405" t="s">
        <v>402</v>
      </c>
      <c r="H405">
        <v>1</v>
      </c>
      <c r="I405" t="s">
        <v>1311</v>
      </c>
      <c r="J405" s="15">
        <v>46240.376805555556</v>
      </c>
      <c r="K405" s="15">
        <v>46246.703472222223</v>
      </c>
      <c r="L405" s="15"/>
      <c r="M405">
        <v>1</v>
      </c>
      <c r="O405" t="s">
        <v>201</v>
      </c>
      <c r="P405" t="s">
        <v>1954</v>
      </c>
      <c r="S405" t="s">
        <v>355</v>
      </c>
      <c r="T405" t="s">
        <v>369</v>
      </c>
      <c r="U405" t="s">
        <v>239</v>
      </c>
      <c r="V405" t="s">
        <v>7</v>
      </c>
      <c r="W405" t="s">
        <v>7</v>
      </c>
      <c r="X405" t="s">
        <v>7</v>
      </c>
      <c r="AA405" t="s">
        <v>127</v>
      </c>
      <c r="AB405" t="s">
        <v>355</v>
      </c>
      <c r="AC405">
        <v>2200</v>
      </c>
      <c r="AD405" t="s">
        <v>233</v>
      </c>
      <c r="AE405">
        <v>1</v>
      </c>
    </row>
    <row r="406" spans="1:32" x14ac:dyDescent="0.3">
      <c r="A406" t="s">
        <v>348</v>
      </c>
      <c r="B406" t="s">
        <v>279</v>
      </c>
      <c r="C406" t="s">
        <v>192</v>
      </c>
      <c r="D406" t="s">
        <v>309</v>
      </c>
      <c r="E406" t="s">
        <v>1310</v>
      </c>
      <c r="F406" s="15">
        <v>46239.716504629629</v>
      </c>
      <c r="G406" t="s">
        <v>402</v>
      </c>
      <c r="H406">
        <v>1246</v>
      </c>
      <c r="I406" t="s">
        <v>1311</v>
      </c>
      <c r="J406" s="15">
        <v>46240.376805555556</v>
      </c>
      <c r="K406" s="15">
        <v>46246.703472222223</v>
      </c>
      <c r="L406" s="15"/>
      <c r="M406">
        <v>1246</v>
      </c>
      <c r="O406" t="s">
        <v>201</v>
      </c>
      <c r="P406" t="s">
        <v>1956</v>
      </c>
      <c r="S406" t="s">
        <v>355</v>
      </c>
      <c r="T406" t="s">
        <v>369</v>
      </c>
      <c r="U406" t="s">
        <v>239</v>
      </c>
      <c r="V406" t="s">
        <v>7</v>
      </c>
      <c r="W406" t="s">
        <v>7</v>
      </c>
      <c r="X406" t="s">
        <v>7</v>
      </c>
      <c r="Z406">
        <v>1</v>
      </c>
      <c r="AA406" t="s">
        <v>122</v>
      </c>
      <c r="AB406" t="s">
        <v>355</v>
      </c>
      <c r="AC406">
        <v>2200</v>
      </c>
      <c r="AD406" t="s">
        <v>232</v>
      </c>
      <c r="AE406">
        <v>1246</v>
      </c>
    </row>
    <row r="407" spans="1:32" x14ac:dyDescent="0.3">
      <c r="A407" t="s">
        <v>348</v>
      </c>
      <c r="B407" t="s">
        <v>63</v>
      </c>
      <c r="C407" t="s">
        <v>95</v>
      </c>
      <c r="D407" t="s">
        <v>309</v>
      </c>
      <c r="E407" t="s">
        <v>1137</v>
      </c>
      <c r="F407" s="15">
        <v>46217.60359953704</v>
      </c>
      <c r="G407" t="s">
        <v>420</v>
      </c>
      <c r="H407">
        <v>13</v>
      </c>
      <c r="I407" t="s">
        <v>1145</v>
      </c>
      <c r="J407" s="15">
        <v>46237.518055555556</v>
      </c>
      <c r="K407" s="15">
        <v>46239.647916666669</v>
      </c>
      <c r="L407" s="15"/>
      <c r="M407">
        <v>13</v>
      </c>
      <c r="O407" t="s">
        <v>201</v>
      </c>
      <c r="P407" t="s">
        <v>1954</v>
      </c>
      <c r="S407" t="s">
        <v>357</v>
      </c>
      <c r="T407" t="s">
        <v>369</v>
      </c>
      <c r="U407" t="s">
        <v>239</v>
      </c>
      <c r="V407" t="s">
        <v>7</v>
      </c>
      <c r="W407" t="s">
        <v>7</v>
      </c>
      <c r="X407" t="s">
        <v>7</v>
      </c>
      <c r="AA407" t="s">
        <v>96</v>
      </c>
      <c r="AB407" t="s">
        <v>357</v>
      </c>
      <c r="AC407">
        <v>101</v>
      </c>
      <c r="AD407" t="s">
        <v>225</v>
      </c>
      <c r="AE407">
        <v>13</v>
      </c>
    </row>
    <row r="408" spans="1:32" x14ac:dyDescent="0.3">
      <c r="A408" t="s">
        <v>350</v>
      </c>
      <c r="B408" t="s">
        <v>57</v>
      </c>
      <c r="C408" t="s">
        <v>117</v>
      </c>
      <c r="D408" t="s">
        <v>309</v>
      </c>
      <c r="E408" t="s">
        <v>755</v>
      </c>
      <c r="F408" s="15">
        <v>46241.564421296294</v>
      </c>
      <c r="G408" t="s">
        <v>420</v>
      </c>
      <c r="H408">
        <v>2</v>
      </c>
      <c r="I408" t="s">
        <v>758</v>
      </c>
      <c r="J408" s="15">
        <v>46245.47152777778</v>
      </c>
      <c r="K408" s="15">
        <v>46253.505555555559</v>
      </c>
      <c r="L408" s="15"/>
      <c r="M408">
        <v>2</v>
      </c>
      <c r="O408" t="s">
        <v>1958</v>
      </c>
      <c r="S408" t="s">
        <v>365</v>
      </c>
      <c r="T408" t="s">
        <v>377</v>
      </c>
      <c r="U408" t="s">
        <v>293</v>
      </c>
      <c r="V408" t="s">
        <v>7</v>
      </c>
      <c r="W408" t="s">
        <v>7</v>
      </c>
      <c r="X408" t="s">
        <v>7</v>
      </c>
      <c r="AA408" t="s">
        <v>127</v>
      </c>
      <c r="AB408" t="s">
        <v>397</v>
      </c>
      <c r="AC408">
        <v>2940</v>
      </c>
      <c r="AD408" t="s">
        <v>233</v>
      </c>
      <c r="AE408">
        <v>1</v>
      </c>
    </row>
    <row r="409" spans="1:32" x14ac:dyDescent="0.3">
      <c r="A409" t="s">
        <v>350</v>
      </c>
      <c r="B409" t="s">
        <v>63</v>
      </c>
      <c r="C409" t="s">
        <v>95</v>
      </c>
      <c r="D409" t="s">
        <v>309</v>
      </c>
      <c r="E409" t="s">
        <v>1312</v>
      </c>
      <c r="F409" s="15">
        <v>46253.349317129629</v>
      </c>
      <c r="G409" t="s">
        <v>401</v>
      </c>
      <c r="H409">
        <v>1</v>
      </c>
      <c r="I409" t="s">
        <v>1313</v>
      </c>
      <c r="J409" s="15">
        <v>46254.589212962965</v>
      </c>
      <c r="K409" s="15">
        <v>46254.65625</v>
      </c>
      <c r="L409" s="15"/>
      <c r="M409">
        <v>1</v>
      </c>
      <c r="O409" t="s">
        <v>201</v>
      </c>
      <c r="P409" t="s">
        <v>1954</v>
      </c>
      <c r="S409" t="s">
        <v>363</v>
      </c>
      <c r="T409" t="s">
        <v>352</v>
      </c>
      <c r="U409" t="s">
        <v>262</v>
      </c>
      <c r="V409" t="s">
        <v>7</v>
      </c>
      <c r="W409" t="s">
        <v>7</v>
      </c>
      <c r="X409" t="s">
        <v>7</v>
      </c>
      <c r="AA409" t="s">
        <v>96</v>
      </c>
      <c r="AB409" t="s">
        <v>396</v>
      </c>
      <c r="AC409">
        <v>2011</v>
      </c>
      <c r="AD409" t="s">
        <v>225</v>
      </c>
      <c r="AE409">
        <v>1</v>
      </c>
      <c r="AF409">
        <v>1</v>
      </c>
    </row>
    <row r="410" spans="1:32" x14ac:dyDescent="0.3">
      <c r="A410" t="s">
        <v>350</v>
      </c>
      <c r="B410" t="s">
        <v>279</v>
      </c>
      <c r="C410" t="s">
        <v>192</v>
      </c>
      <c r="D410" t="s">
        <v>309</v>
      </c>
      <c r="E410" t="s">
        <v>1314</v>
      </c>
      <c r="F410" s="15">
        <v>46253.579560185186</v>
      </c>
      <c r="G410" t="s">
        <v>401</v>
      </c>
      <c r="H410">
        <v>8</v>
      </c>
      <c r="I410" t="s">
        <v>1315</v>
      </c>
      <c r="J410" s="15">
        <v>46258.391006944446</v>
      </c>
      <c r="K410" s="15">
        <v>46259.304861111108</v>
      </c>
      <c r="L410" s="15"/>
      <c r="M410">
        <v>8</v>
      </c>
      <c r="O410" t="s">
        <v>201</v>
      </c>
      <c r="P410" t="s">
        <v>1954</v>
      </c>
      <c r="S410" t="s">
        <v>363</v>
      </c>
      <c r="T410" t="s">
        <v>352</v>
      </c>
      <c r="U410" t="s">
        <v>262</v>
      </c>
      <c r="V410" t="s">
        <v>7</v>
      </c>
      <c r="W410" t="s">
        <v>7</v>
      </c>
      <c r="X410" t="s">
        <v>7</v>
      </c>
      <c r="Z410">
        <v>1</v>
      </c>
      <c r="AA410" t="s">
        <v>122</v>
      </c>
      <c r="AB410" t="s">
        <v>396</v>
      </c>
      <c r="AC410">
        <v>2011</v>
      </c>
      <c r="AD410" t="s">
        <v>232</v>
      </c>
      <c r="AE410">
        <v>8</v>
      </c>
      <c r="AF410">
        <v>1</v>
      </c>
    </row>
    <row r="411" spans="1:32" x14ac:dyDescent="0.3">
      <c r="A411" t="s">
        <v>350</v>
      </c>
      <c r="B411" t="s">
        <v>57</v>
      </c>
      <c r="C411" t="s">
        <v>117</v>
      </c>
      <c r="D411" t="s">
        <v>309</v>
      </c>
      <c r="E411" t="s">
        <v>1314</v>
      </c>
      <c r="F411" s="15">
        <v>46253.579560185186</v>
      </c>
      <c r="G411" t="s">
        <v>401</v>
      </c>
      <c r="H411">
        <v>1</v>
      </c>
      <c r="I411" t="s">
        <v>1315</v>
      </c>
      <c r="J411" s="15">
        <v>46258.391006944446</v>
      </c>
      <c r="K411" s="15">
        <v>46259.304861111108</v>
      </c>
      <c r="L411" s="15"/>
      <c r="M411">
        <v>1</v>
      </c>
      <c r="O411" t="s">
        <v>201</v>
      </c>
      <c r="P411" t="s">
        <v>1954</v>
      </c>
      <c r="S411" t="s">
        <v>363</v>
      </c>
      <c r="T411" t="s">
        <v>352</v>
      </c>
      <c r="U411" t="s">
        <v>262</v>
      </c>
      <c r="V411" t="s">
        <v>7</v>
      </c>
      <c r="W411" t="s">
        <v>7</v>
      </c>
      <c r="X411" t="s">
        <v>7</v>
      </c>
      <c r="AA411" t="s">
        <v>127</v>
      </c>
      <c r="AB411" t="s">
        <v>396</v>
      </c>
      <c r="AC411">
        <v>2011</v>
      </c>
      <c r="AD411" t="s">
        <v>233</v>
      </c>
      <c r="AE411">
        <v>1</v>
      </c>
      <c r="AF411">
        <v>1</v>
      </c>
    </row>
    <row r="412" spans="1:32" x14ac:dyDescent="0.3">
      <c r="A412" t="s">
        <v>350</v>
      </c>
      <c r="B412" t="s">
        <v>63</v>
      </c>
      <c r="C412" t="s">
        <v>95</v>
      </c>
      <c r="D412" t="s">
        <v>309</v>
      </c>
      <c r="E412" t="s">
        <v>1314</v>
      </c>
      <c r="F412" s="15">
        <v>46253.579560185186</v>
      </c>
      <c r="G412" t="s">
        <v>401</v>
      </c>
      <c r="H412">
        <v>1</v>
      </c>
      <c r="I412" t="s">
        <v>1315</v>
      </c>
      <c r="J412" s="15">
        <v>46258.391006944446</v>
      </c>
      <c r="K412" s="15">
        <v>46259.304861111108</v>
      </c>
      <c r="L412" s="15"/>
      <c r="M412">
        <v>1</v>
      </c>
      <c r="O412" t="s">
        <v>201</v>
      </c>
      <c r="P412" t="s">
        <v>1954</v>
      </c>
      <c r="S412" t="s">
        <v>363</v>
      </c>
      <c r="T412" t="s">
        <v>352</v>
      </c>
      <c r="U412" t="s">
        <v>262</v>
      </c>
      <c r="V412" t="s">
        <v>7</v>
      </c>
      <c r="W412" t="s">
        <v>7</v>
      </c>
      <c r="X412" t="s">
        <v>7</v>
      </c>
      <c r="AA412" t="s">
        <v>96</v>
      </c>
      <c r="AB412" t="s">
        <v>396</v>
      </c>
      <c r="AC412">
        <v>2011</v>
      </c>
      <c r="AD412" t="s">
        <v>225</v>
      </c>
      <c r="AE412">
        <v>1</v>
      </c>
      <c r="AF412">
        <v>1</v>
      </c>
    </row>
    <row r="413" spans="1:32" x14ac:dyDescent="0.3">
      <c r="A413" t="s">
        <v>350</v>
      </c>
      <c r="B413" t="s">
        <v>279</v>
      </c>
      <c r="C413" t="s">
        <v>192</v>
      </c>
      <c r="D413" t="s">
        <v>309</v>
      </c>
      <c r="E413" t="s">
        <v>1316</v>
      </c>
      <c r="F413" s="15">
        <v>46247.459618055553</v>
      </c>
      <c r="G413" t="s">
        <v>1317</v>
      </c>
      <c r="H413">
        <v>1</v>
      </c>
      <c r="I413" t="s">
        <v>1318</v>
      </c>
      <c r="J413" s="15">
        <v>46247.561030092591</v>
      </c>
      <c r="K413" s="15">
        <v>46254.421527777777</v>
      </c>
      <c r="L413" s="15"/>
      <c r="M413">
        <v>1</v>
      </c>
      <c r="O413" t="s">
        <v>201</v>
      </c>
      <c r="P413" t="s">
        <v>1956</v>
      </c>
      <c r="S413" t="s">
        <v>363</v>
      </c>
      <c r="T413" t="s">
        <v>352</v>
      </c>
      <c r="U413" t="s">
        <v>262</v>
      </c>
      <c r="V413" t="s">
        <v>7</v>
      </c>
      <c r="W413" t="s">
        <v>7</v>
      </c>
      <c r="X413" t="s">
        <v>7</v>
      </c>
      <c r="Z413">
        <v>1</v>
      </c>
      <c r="AA413" t="s">
        <v>122</v>
      </c>
      <c r="AB413" t="s">
        <v>396</v>
      </c>
      <c r="AC413">
        <v>2011</v>
      </c>
      <c r="AD413" t="s">
        <v>232</v>
      </c>
      <c r="AE413">
        <v>1</v>
      </c>
      <c r="AF413">
        <v>7.9</v>
      </c>
    </row>
    <row r="414" spans="1:32" x14ac:dyDescent="0.3">
      <c r="A414" t="s">
        <v>350</v>
      </c>
      <c r="B414" t="s">
        <v>57</v>
      </c>
      <c r="C414" t="s">
        <v>117</v>
      </c>
      <c r="D414" t="s">
        <v>309</v>
      </c>
      <c r="E414" t="s">
        <v>1319</v>
      </c>
      <c r="F414" s="15">
        <v>46251.30840277778</v>
      </c>
      <c r="G414" t="s">
        <v>405</v>
      </c>
      <c r="H414">
        <v>8</v>
      </c>
      <c r="I414" t="s">
        <v>1320</v>
      </c>
      <c r="J414" s="15">
        <v>46251.581250000003</v>
      </c>
      <c r="K414" s="15">
        <v>46252.500694444447</v>
      </c>
      <c r="L414" s="15"/>
      <c r="M414">
        <v>8</v>
      </c>
      <c r="O414" t="s">
        <v>201</v>
      </c>
      <c r="P414" t="s">
        <v>1954</v>
      </c>
      <c r="S414" t="s">
        <v>363</v>
      </c>
      <c r="T414" t="s">
        <v>352</v>
      </c>
      <c r="U414" t="s">
        <v>262</v>
      </c>
      <c r="V414" t="s">
        <v>7</v>
      </c>
      <c r="W414" t="s">
        <v>7</v>
      </c>
      <c r="X414" t="s">
        <v>7</v>
      </c>
      <c r="AA414" t="s">
        <v>127</v>
      </c>
      <c r="AB414" t="s">
        <v>396</v>
      </c>
      <c r="AC414">
        <v>2011</v>
      </c>
      <c r="AD414" t="s">
        <v>233</v>
      </c>
      <c r="AE414">
        <v>1</v>
      </c>
      <c r="AF414">
        <v>1</v>
      </c>
    </row>
    <row r="415" spans="1:32" x14ac:dyDescent="0.3">
      <c r="A415" t="s">
        <v>350</v>
      </c>
      <c r="B415" t="s">
        <v>63</v>
      </c>
      <c r="C415" t="s">
        <v>95</v>
      </c>
      <c r="D415" t="s">
        <v>309</v>
      </c>
      <c r="E415" t="s">
        <v>1319</v>
      </c>
      <c r="F415" s="15">
        <v>46251.30840277778</v>
      </c>
      <c r="G415" t="s">
        <v>405</v>
      </c>
      <c r="H415">
        <v>8</v>
      </c>
      <c r="I415" t="s">
        <v>1320</v>
      </c>
      <c r="J415" s="15">
        <v>46251.581250000003</v>
      </c>
      <c r="K415" s="15">
        <v>46252.500694444447</v>
      </c>
      <c r="L415" s="15"/>
      <c r="M415">
        <v>8</v>
      </c>
      <c r="O415" t="s">
        <v>201</v>
      </c>
      <c r="P415" t="s">
        <v>1954</v>
      </c>
      <c r="S415" t="s">
        <v>363</v>
      </c>
      <c r="T415" t="s">
        <v>352</v>
      </c>
      <c r="U415" t="s">
        <v>262</v>
      </c>
      <c r="V415" t="s">
        <v>7</v>
      </c>
      <c r="W415" t="s">
        <v>7</v>
      </c>
      <c r="X415" t="s">
        <v>7</v>
      </c>
      <c r="AA415" t="s">
        <v>96</v>
      </c>
      <c r="AB415" t="s">
        <v>396</v>
      </c>
      <c r="AC415">
        <v>2011</v>
      </c>
      <c r="AD415" t="s">
        <v>225</v>
      </c>
      <c r="AE415">
        <v>8</v>
      </c>
      <c r="AF415">
        <v>1.9</v>
      </c>
    </row>
    <row r="416" spans="1:32" x14ac:dyDescent="0.3">
      <c r="A416" t="s">
        <v>350</v>
      </c>
      <c r="B416" t="s">
        <v>279</v>
      </c>
      <c r="C416" t="s">
        <v>192</v>
      </c>
      <c r="D416" t="s">
        <v>309</v>
      </c>
      <c r="E416" t="s">
        <v>1321</v>
      </c>
      <c r="F416" s="15">
        <v>46251.36582175926</v>
      </c>
      <c r="G416" t="s">
        <v>405</v>
      </c>
      <c r="H416">
        <v>908</v>
      </c>
      <c r="I416" t="s">
        <v>1322</v>
      </c>
      <c r="J416" s="15">
        <v>46251.588622685187</v>
      </c>
      <c r="K416" s="15">
        <v>46252.654166666667</v>
      </c>
      <c r="L416" s="15"/>
      <c r="M416">
        <v>908</v>
      </c>
      <c r="O416" t="s">
        <v>201</v>
      </c>
      <c r="P416" t="s">
        <v>1954</v>
      </c>
      <c r="S416" t="s">
        <v>363</v>
      </c>
      <c r="T416" t="s">
        <v>352</v>
      </c>
      <c r="U416" t="s">
        <v>262</v>
      </c>
      <c r="V416" t="s">
        <v>7</v>
      </c>
      <c r="W416" t="s">
        <v>7</v>
      </c>
      <c r="X416" t="s">
        <v>7</v>
      </c>
      <c r="Z416">
        <v>1</v>
      </c>
      <c r="AA416" t="s">
        <v>122</v>
      </c>
      <c r="AB416" t="s">
        <v>396</v>
      </c>
      <c r="AC416">
        <v>2011</v>
      </c>
      <c r="AD416" t="s">
        <v>232</v>
      </c>
      <c r="AE416">
        <v>908</v>
      </c>
      <c r="AF416">
        <v>156.4</v>
      </c>
    </row>
    <row r="417" spans="1:32" x14ac:dyDescent="0.3">
      <c r="A417" t="s">
        <v>350</v>
      </c>
      <c r="B417" t="s">
        <v>57</v>
      </c>
      <c r="C417" t="s">
        <v>117</v>
      </c>
      <c r="D417" t="s">
        <v>309</v>
      </c>
      <c r="E417" t="s">
        <v>1321</v>
      </c>
      <c r="F417" s="15">
        <v>46251.36582175926</v>
      </c>
      <c r="G417" t="s">
        <v>405</v>
      </c>
      <c r="H417">
        <v>11</v>
      </c>
      <c r="I417" t="s">
        <v>1322</v>
      </c>
      <c r="J417" s="15">
        <v>46251.588622685187</v>
      </c>
      <c r="K417" s="15">
        <v>46252.654166666667</v>
      </c>
      <c r="L417" s="15"/>
      <c r="M417">
        <v>11</v>
      </c>
      <c r="O417" t="s">
        <v>201</v>
      </c>
      <c r="P417" t="s">
        <v>1954</v>
      </c>
      <c r="S417" t="s">
        <v>363</v>
      </c>
      <c r="T417" t="s">
        <v>352</v>
      </c>
      <c r="U417" t="s">
        <v>262</v>
      </c>
      <c r="V417" t="s">
        <v>7</v>
      </c>
      <c r="W417" t="s">
        <v>7</v>
      </c>
      <c r="X417" t="s">
        <v>7</v>
      </c>
      <c r="AA417" t="s">
        <v>127</v>
      </c>
      <c r="AB417" t="s">
        <v>396</v>
      </c>
      <c r="AC417">
        <v>2011</v>
      </c>
      <c r="AD417" t="s">
        <v>233</v>
      </c>
      <c r="AE417">
        <v>1.1000000000000001</v>
      </c>
    </row>
    <row r="418" spans="1:32" x14ac:dyDescent="0.3">
      <c r="A418" t="s">
        <v>350</v>
      </c>
      <c r="B418" t="s">
        <v>63</v>
      </c>
      <c r="C418" t="s">
        <v>95</v>
      </c>
      <c r="D418" t="s">
        <v>309</v>
      </c>
      <c r="E418" t="s">
        <v>1321</v>
      </c>
      <c r="F418" s="15">
        <v>46251.36582175926</v>
      </c>
      <c r="G418" t="s">
        <v>405</v>
      </c>
      <c r="H418">
        <v>11</v>
      </c>
      <c r="I418" t="s">
        <v>1322</v>
      </c>
      <c r="J418" s="15">
        <v>46251.588622685187</v>
      </c>
      <c r="K418" s="15">
        <v>46252.654166666667</v>
      </c>
      <c r="L418" s="15"/>
      <c r="M418">
        <v>11</v>
      </c>
      <c r="O418" t="s">
        <v>201</v>
      </c>
      <c r="P418" t="s">
        <v>1954</v>
      </c>
      <c r="S418" t="s">
        <v>363</v>
      </c>
      <c r="T418" t="s">
        <v>352</v>
      </c>
      <c r="U418" t="s">
        <v>262</v>
      </c>
      <c r="V418" t="s">
        <v>7</v>
      </c>
      <c r="W418" t="s">
        <v>7</v>
      </c>
      <c r="X418" t="s">
        <v>7</v>
      </c>
      <c r="AA418" t="s">
        <v>96</v>
      </c>
      <c r="AB418" t="s">
        <v>396</v>
      </c>
      <c r="AC418">
        <v>2011</v>
      </c>
      <c r="AD418" t="s">
        <v>225</v>
      </c>
      <c r="AE418">
        <v>11</v>
      </c>
    </row>
    <row r="419" spans="1:32" x14ac:dyDescent="0.3">
      <c r="A419" t="s">
        <v>350</v>
      </c>
      <c r="B419" t="s">
        <v>279</v>
      </c>
      <c r="C419" t="s">
        <v>192</v>
      </c>
      <c r="D419" t="s">
        <v>309</v>
      </c>
      <c r="E419" t="s">
        <v>1323</v>
      </c>
      <c r="F419" s="15">
        <v>46253.33861111111</v>
      </c>
      <c r="G419" t="s">
        <v>405</v>
      </c>
      <c r="H419">
        <v>77</v>
      </c>
      <c r="I419" t="s">
        <v>1324</v>
      </c>
      <c r="J419" s="15">
        <v>46254.578773148147</v>
      </c>
      <c r="K419" s="15">
        <v>46254.634722222225</v>
      </c>
      <c r="L419" s="15"/>
      <c r="M419">
        <v>77</v>
      </c>
      <c r="O419" t="s">
        <v>201</v>
      </c>
      <c r="P419" t="s">
        <v>1954</v>
      </c>
      <c r="S419" t="s">
        <v>363</v>
      </c>
      <c r="T419" t="s">
        <v>352</v>
      </c>
      <c r="U419" t="s">
        <v>262</v>
      </c>
      <c r="V419" t="s">
        <v>7</v>
      </c>
      <c r="W419" t="s">
        <v>7</v>
      </c>
      <c r="X419" t="s">
        <v>7</v>
      </c>
      <c r="Z419">
        <v>1</v>
      </c>
      <c r="AA419" t="s">
        <v>122</v>
      </c>
      <c r="AB419" t="s">
        <v>396</v>
      </c>
      <c r="AC419">
        <v>2011</v>
      </c>
      <c r="AD419" t="s">
        <v>232</v>
      </c>
      <c r="AE419">
        <v>77</v>
      </c>
    </row>
    <row r="420" spans="1:32" x14ac:dyDescent="0.3">
      <c r="A420" t="s">
        <v>350</v>
      </c>
      <c r="B420" t="s">
        <v>57</v>
      </c>
      <c r="C420" t="s">
        <v>117</v>
      </c>
      <c r="D420" t="s">
        <v>309</v>
      </c>
      <c r="E420" t="s">
        <v>1323</v>
      </c>
      <c r="F420" s="15">
        <v>46253.33861111111</v>
      </c>
      <c r="G420" t="s">
        <v>405</v>
      </c>
      <c r="H420">
        <v>2</v>
      </c>
      <c r="I420" t="s">
        <v>1324</v>
      </c>
      <c r="J420" s="15">
        <v>46254.578773148147</v>
      </c>
      <c r="K420" s="15">
        <v>46254.634722222225</v>
      </c>
      <c r="L420" s="15"/>
      <c r="M420">
        <v>2</v>
      </c>
      <c r="O420" t="s">
        <v>201</v>
      </c>
      <c r="P420" t="s">
        <v>1954</v>
      </c>
      <c r="S420" t="s">
        <v>363</v>
      </c>
      <c r="T420" t="s">
        <v>352</v>
      </c>
      <c r="U420" t="s">
        <v>262</v>
      </c>
      <c r="V420" t="s">
        <v>7</v>
      </c>
      <c r="W420" t="s">
        <v>7</v>
      </c>
      <c r="X420" t="s">
        <v>7</v>
      </c>
      <c r="AA420" t="s">
        <v>127</v>
      </c>
      <c r="AB420" t="s">
        <v>396</v>
      </c>
      <c r="AC420">
        <v>2011</v>
      </c>
      <c r="AD420" t="s">
        <v>233</v>
      </c>
      <c r="AE420">
        <v>1</v>
      </c>
      <c r="AF420">
        <v>1</v>
      </c>
    </row>
    <row r="421" spans="1:32" x14ac:dyDescent="0.3">
      <c r="A421" t="s">
        <v>350</v>
      </c>
      <c r="B421" t="s">
        <v>279</v>
      </c>
      <c r="C421" t="s">
        <v>192</v>
      </c>
      <c r="D421" t="s">
        <v>309</v>
      </c>
      <c r="E421" t="s">
        <v>1312</v>
      </c>
      <c r="F421" s="15">
        <v>46253.349317129629</v>
      </c>
      <c r="G421" t="s">
        <v>401</v>
      </c>
      <c r="H421">
        <v>1</v>
      </c>
      <c r="I421" t="s">
        <v>1313</v>
      </c>
      <c r="J421" s="15">
        <v>46254.589212962965</v>
      </c>
      <c r="K421" s="15">
        <v>46254.65625</v>
      </c>
      <c r="L421" s="15"/>
      <c r="M421">
        <v>1</v>
      </c>
      <c r="O421" t="s">
        <v>201</v>
      </c>
      <c r="P421" t="s">
        <v>1954</v>
      </c>
      <c r="S421" t="s">
        <v>363</v>
      </c>
      <c r="T421" t="s">
        <v>352</v>
      </c>
      <c r="U421" t="s">
        <v>262</v>
      </c>
      <c r="V421" t="s">
        <v>7</v>
      </c>
      <c r="W421" t="s">
        <v>7</v>
      </c>
      <c r="X421" t="s">
        <v>7</v>
      </c>
      <c r="Z421">
        <v>1</v>
      </c>
      <c r="AA421" t="s">
        <v>122</v>
      </c>
      <c r="AB421" t="s">
        <v>396</v>
      </c>
      <c r="AC421">
        <v>2011</v>
      </c>
      <c r="AD421" t="s">
        <v>232</v>
      </c>
      <c r="AE421">
        <v>1</v>
      </c>
    </row>
    <row r="422" spans="1:32" x14ac:dyDescent="0.3">
      <c r="A422" t="s">
        <v>350</v>
      </c>
      <c r="B422" t="s">
        <v>57</v>
      </c>
      <c r="C422" t="s">
        <v>117</v>
      </c>
      <c r="D422" t="s">
        <v>309</v>
      </c>
      <c r="E422" t="s">
        <v>1312</v>
      </c>
      <c r="F422" s="15">
        <v>46253.349317129629</v>
      </c>
      <c r="G422" t="s">
        <v>401</v>
      </c>
      <c r="H422">
        <v>1</v>
      </c>
      <c r="I422" t="s">
        <v>1313</v>
      </c>
      <c r="J422" s="15">
        <v>46254.589212962965</v>
      </c>
      <c r="K422" s="15">
        <v>46254.65625</v>
      </c>
      <c r="L422" s="15"/>
      <c r="M422">
        <v>1</v>
      </c>
      <c r="O422" t="s">
        <v>201</v>
      </c>
      <c r="P422" t="s">
        <v>1954</v>
      </c>
      <c r="S422" t="s">
        <v>363</v>
      </c>
      <c r="T422" t="s">
        <v>352</v>
      </c>
      <c r="U422" t="s">
        <v>262</v>
      </c>
      <c r="V422" t="s">
        <v>7</v>
      </c>
      <c r="W422" t="s">
        <v>7</v>
      </c>
      <c r="X422" t="s">
        <v>7</v>
      </c>
      <c r="AA422" t="s">
        <v>127</v>
      </c>
      <c r="AB422" t="s">
        <v>396</v>
      </c>
      <c r="AC422">
        <v>2011</v>
      </c>
      <c r="AD422" t="s">
        <v>233</v>
      </c>
      <c r="AE422">
        <v>1</v>
      </c>
    </row>
    <row r="423" spans="1:32" x14ac:dyDescent="0.3">
      <c r="A423" t="s">
        <v>350</v>
      </c>
      <c r="B423" t="s">
        <v>279</v>
      </c>
      <c r="C423" t="s">
        <v>192</v>
      </c>
      <c r="D423" t="s">
        <v>309</v>
      </c>
      <c r="E423" t="s">
        <v>1319</v>
      </c>
      <c r="F423" s="15">
        <v>46251.30840277778</v>
      </c>
      <c r="G423" t="s">
        <v>405</v>
      </c>
      <c r="H423">
        <v>656</v>
      </c>
      <c r="I423" t="s">
        <v>1320</v>
      </c>
      <c r="J423" s="15">
        <v>46251.581250000003</v>
      </c>
      <c r="K423" s="15">
        <v>46252.500694444447</v>
      </c>
      <c r="L423" s="15"/>
      <c r="M423">
        <v>656</v>
      </c>
      <c r="O423" t="s">
        <v>201</v>
      </c>
      <c r="P423" t="s">
        <v>1954</v>
      </c>
      <c r="S423" t="s">
        <v>363</v>
      </c>
      <c r="T423" t="s">
        <v>352</v>
      </c>
      <c r="U423" t="s">
        <v>262</v>
      </c>
      <c r="V423" t="s">
        <v>7</v>
      </c>
      <c r="W423" t="s">
        <v>7</v>
      </c>
      <c r="X423" t="s">
        <v>7</v>
      </c>
      <c r="Z423">
        <v>1</v>
      </c>
      <c r="AA423" t="s">
        <v>122</v>
      </c>
      <c r="AB423" t="s">
        <v>396</v>
      </c>
      <c r="AC423">
        <v>2011</v>
      </c>
      <c r="AD423" t="s">
        <v>232</v>
      </c>
      <c r="AE423">
        <v>656</v>
      </c>
    </row>
    <row r="424" spans="1:32" x14ac:dyDescent="0.3">
      <c r="A424" t="s">
        <v>350</v>
      </c>
      <c r="B424" t="s">
        <v>63</v>
      </c>
      <c r="C424" t="s">
        <v>95</v>
      </c>
      <c r="D424" t="s">
        <v>309</v>
      </c>
      <c r="E424" t="s">
        <v>1323</v>
      </c>
      <c r="F424" s="15">
        <v>46253.33861111111</v>
      </c>
      <c r="G424" t="s">
        <v>405</v>
      </c>
      <c r="H424">
        <v>2</v>
      </c>
      <c r="I424" t="s">
        <v>1324</v>
      </c>
      <c r="J424" s="15">
        <v>46254.578773148147</v>
      </c>
      <c r="K424" s="15">
        <v>46254.634722222225</v>
      </c>
      <c r="L424" s="15"/>
      <c r="M424">
        <v>2</v>
      </c>
      <c r="O424" t="s">
        <v>201</v>
      </c>
      <c r="P424" t="s">
        <v>1954</v>
      </c>
      <c r="S424" t="s">
        <v>363</v>
      </c>
      <c r="T424" t="s">
        <v>352</v>
      </c>
      <c r="U424" t="s">
        <v>262</v>
      </c>
      <c r="V424" t="s">
        <v>7</v>
      </c>
      <c r="W424" t="s">
        <v>7</v>
      </c>
      <c r="X424" t="s">
        <v>7</v>
      </c>
      <c r="AA424" t="s">
        <v>96</v>
      </c>
      <c r="AB424" t="s">
        <v>396</v>
      </c>
      <c r="AC424">
        <v>2011</v>
      </c>
      <c r="AD424" t="s">
        <v>225</v>
      </c>
      <c r="AE424">
        <v>2</v>
      </c>
    </row>
    <row r="425" spans="1:32" x14ac:dyDescent="0.3">
      <c r="A425" t="s">
        <v>350</v>
      </c>
      <c r="B425" t="s">
        <v>279</v>
      </c>
      <c r="C425" t="s">
        <v>192</v>
      </c>
      <c r="D425" t="s">
        <v>309</v>
      </c>
      <c r="E425" t="s">
        <v>1325</v>
      </c>
      <c r="F425" s="15">
        <v>46176.3434837963</v>
      </c>
      <c r="G425" t="s">
        <v>405</v>
      </c>
      <c r="H425">
        <v>1289</v>
      </c>
      <c r="I425" t="s">
        <v>1326</v>
      </c>
      <c r="J425" s="15">
        <v>46176.640972222223</v>
      </c>
      <c r="K425" s="15">
        <v>46232.525000000001</v>
      </c>
      <c r="L425" s="15"/>
      <c r="M425">
        <v>1289</v>
      </c>
      <c r="O425" t="s">
        <v>201</v>
      </c>
      <c r="P425" t="s">
        <v>1956</v>
      </c>
      <c r="S425" t="s">
        <v>363</v>
      </c>
      <c r="T425" t="s">
        <v>352</v>
      </c>
      <c r="U425" t="s">
        <v>262</v>
      </c>
      <c r="V425" t="s">
        <v>7</v>
      </c>
      <c r="W425" t="s">
        <v>7</v>
      </c>
      <c r="X425" t="s">
        <v>7</v>
      </c>
      <c r="Z425">
        <v>1</v>
      </c>
      <c r="AA425" t="s">
        <v>122</v>
      </c>
      <c r="AB425" t="s">
        <v>396</v>
      </c>
      <c r="AC425">
        <v>2011</v>
      </c>
      <c r="AD425" t="s">
        <v>232</v>
      </c>
      <c r="AE425">
        <v>1289</v>
      </c>
      <c r="AF425">
        <v>279.39999999999998</v>
      </c>
    </row>
    <row r="426" spans="1:32" x14ac:dyDescent="0.3">
      <c r="A426" t="s">
        <v>350</v>
      </c>
      <c r="B426" t="s">
        <v>51</v>
      </c>
      <c r="C426" t="s">
        <v>258</v>
      </c>
      <c r="D426" t="s">
        <v>309</v>
      </c>
      <c r="E426" t="s">
        <v>1327</v>
      </c>
      <c r="F426" s="15">
        <v>46227.403078703705</v>
      </c>
      <c r="G426" t="s">
        <v>418</v>
      </c>
      <c r="H426">
        <v>40</v>
      </c>
      <c r="I426" t="s">
        <v>1328</v>
      </c>
      <c r="J426" s="15">
        <v>46227.627268518518</v>
      </c>
      <c r="K426" s="15">
        <v>46234.486111111109</v>
      </c>
      <c r="L426" s="15"/>
      <c r="M426">
        <v>40</v>
      </c>
      <c r="O426" t="s">
        <v>201</v>
      </c>
      <c r="P426" t="s">
        <v>1956</v>
      </c>
      <c r="S426" t="s">
        <v>363</v>
      </c>
      <c r="T426" t="s">
        <v>352</v>
      </c>
      <c r="U426" t="s">
        <v>262</v>
      </c>
      <c r="V426" t="s">
        <v>7</v>
      </c>
      <c r="W426" t="s">
        <v>7</v>
      </c>
      <c r="X426" t="s">
        <v>7</v>
      </c>
      <c r="AA426" t="s">
        <v>238</v>
      </c>
      <c r="AB426" t="s">
        <v>396</v>
      </c>
      <c r="AC426">
        <v>2011</v>
      </c>
      <c r="AD426" t="s">
        <v>7</v>
      </c>
      <c r="AF426">
        <v>0</v>
      </c>
    </row>
    <row r="427" spans="1:32" x14ac:dyDescent="0.3">
      <c r="A427" t="s">
        <v>350</v>
      </c>
      <c r="B427" t="s">
        <v>45</v>
      </c>
      <c r="C427" t="s">
        <v>68</v>
      </c>
      <c r="D427" t="s">
        <v>309</v>
      </c>
      <c r="E427" t="s">
        <v>1329</v>
      </c>
      <c r="F427" s="15">
        <v>46223.312245370369</v>
      </c>
      <c r="G427" t="s">
        <v>421</v>
      </c>
      <c r="H427">
        <v>9</v>
      </c>
      <c r="I427" t="s">
        <v>1330</v>
      </c>
      <c r="J427" s="15">
        <v>46223.463888888888</v>
      </c>
      <c r="K427" s="15">
        <v>46226.486805555556</v>
      </c>
      <c r="L427" s="15"/>
      <c r="M427">
        <v>9</v>
      </c>
      <c r="O427" t="s">
        <v>201</v>
      </c>
      <c r="P427" t="s">
        <v>1956</v>
      </c>
      <c r="S427" t="s">
        <v>395</v>
      </c>
      <c r="T427" t="s">
        <v>376</v>
      </c>
      <c r="U427" t="s">
        <v>295</v>
      </c>
      <c r="V427" t="s">
        <v>350</v>
      </c>
      <c r="W427" t="s">
        <v>374</v>
      </c>
      <c r="X427" t="s">
        <v>262</v>
      </c>
      <c r="AA427" t="s">
        <v>67</v>
      </c>
      <c r="AB427" t="s">
        <v>395</v>
      </c>
      <c r="AD427" t="s">
        <v>217</v>
      </c>
      <c r="AE427">
        <v>1</v>
      </c>
      <c r="AF427">
        <v>1</v>
      </c>
    </row>
    <row r="428" spans="1:32" x14ac:dyDescent="0.3">
      <c r="A428" t="s">
        <v>350</v>
      </c>
      <c r="B428" t="s">
        <v>45</v>
      </c>
      <c r="C428" t="s">
        <v>68</v>
      </c>
      <c r="D428" t="s">
        <v>309</v>
      </c>
      <c r="E428" t="s">
        <v>1331</v>
      </c>
      <c r="F428" s="15">
        <v>46217.387696759259</v>
      </c>
      <c r="G428" t="s">
        <v>1332</v>
      </c>
      <c r="H428">
        <v>2</v>
      </c>
      <c r="I428" t="s">
        <v>1333</v>
      </c>
      <c r="J428" s="15">
        <v>46217.475694444445</v>
      </c>
      <c r="K428" s="15">
        <v>46230.486111111109</v>
      </c>
      <c r="L428" s="15"/>
      <c r="M428">
        <v>2</v>
      </c>
      <c r="O428" t="s">
        <v>201</v>
      </c>
      <c r="P428" t="s">
        <v>1956</v>
      </c>
      <c r="S428" t="s">
        <v>364</v>
      </c>
      <c r="T428" t="s">
        <v>375</v>
      </c>
      <c r="U428" t="s">
        <v>265</v>
      </c>
      <c r="V428" t="s">
        <v>350</v>
      </c>
      <c r="W428" t="s">
        <v>374</v>
      </c>
      <c r="X428" t="s">
        <v>262</v>
      </c>
      <c r="Y428">
        <v>678</v>
      </c>
      <c r="AA428" t="s">
        <v>67</v>
      </c>
      <c r="AB428" t="s">
        <v>364</v>
      </c>
      <c r="AC428">
        <v>1950</v>
      </c>
      <c r="AD428" t="s">
        <v>217</v>
      </c>
      <c r="AE428">
        <v>1</v>
      </c>
      <c r="AF428">
        <v>1</v>
      </c>
    </row>
    <row r="429" spans="1:32" x14ac:dyDescent="0.3">
      <c r="A429" t="s">
        <v>350</v>
      </c>
      <c r="B429" t="s">
        <v>63</v>
      </c>
      <c r="C429" t="s">
        <v>95</v>
      </c>
      <c r="D429" t="s">
        <v>309</v>
      </c>
      <c r="E429" t="s">
        <v>1334</v>
      </c>
      <c r="F429" s="15">
        <v>46244.363599537035</v>
      </c>
      <c r="G429" t="s">
        <v>405</v>
      </c>
      <c r="H429">
        <v>9</v>
      </c>
      <c r="I429" t="s">
        <v>1335</v>
      </c>
      <c r="J429" s="15">
        <v>46244.70039351852</v>
      </c>
      <c r="K429" s="15">
        <v>46246.680555555555</v>
      </c>
      <c r="L429" s="15"/>
      <c r="M429">
        <v>9</v>
      </c>
      <c r="O429" t="s">
        <v>201</v>
      </c>
      <c r="P429" t="s">
        <v>1954</v>
      </c>
      <c r="S429" t="s">
        <v>363</v>
      </c>
      <c r="T429" t="s">
        <v>352</v>
      </c>
      <c r="U429" t="s">
        <v>262</v>
      </c>
      <c r="V429" t="s">
        <v>7</v>
      </c>
      <c r="W429" t="s">
        <v>7</v>
      </c>
      <c r="X429" t="s">
        <v>7</v>
      </c>
      <c r="AA429" t="s">
        <v>96</v>
      </c>
      <c r="AB429" t="s">
        <v>396</v>
      </c>
      <c r="AC429">
        <v>2011</v>
      </c>
      <c r="AD429" t="s">
        <v>225</v>
      </c>
      <c r="AE429">
        <v>9</v>
      </c>
      <c r="AF429">
        <v>1</v>
      </c>
    </row>
    <row r="430" spans="1:32" x14ac:dyDescent="0.3">
      <c r="A430" t="s">
        <v>350</v>
      </c>
      <c r="B430" t="s">
        <v>57</v>
      </c>
      <c r="C430" t="s">
        <v>117</v>
      </c>
      <c r="D430" t="s">
        <v>309</v>
      </c>
      <c r="E430" t="s">
        <v>1334</v>
      </c>
      <c r="F430" s="15">
        <v>46244.363599537035</v>
      </c>
      <c r="G430" t="s">
        <v>405</v>
      </c>
      <c r="H430">
        <v>9</v>
      </c>
      <c r="I430" t="s">
        <v>1335</v>
      </c>
      <c r="J430" s="15">
        <v>46244.70039351852</v>
      </c>
      <c r="K430" s="15">
        <v>46246.680555555555</v>
      </c>
      <c r="L430" s="15"/>
      <c r="M430">
        <v>9</v>
      </c>
      <c r="O430" t="s">
        <v>201</v>
      </c>
      <c r="P430" t="s">
        <v>1954</v>
      </c>
      <c r="S430" t="s">
        <v>363</v>
      </c>
      <c r="T430" t="s">
        <v>352</v>
      </c>
      <c r="U430" t="s">
        <v>262</v>
      </c>
      <c r="V430" t="s">
        <v>7</v>
      </c>
      <c r="W430" t="s">
        <v>7</v>
      </c>
      <c r="X430" t="s">
        <v>7</v>
      </c>
      <c r="AA430" t="s">
        <v>127</v>
      </c>
      <c r="AB430" t="s">
        <v>396</v>
      </c>
      <c r="AC430">
        <v>2011</v>
      </c>
      <c r="AD430" t="s">
        <v>233</v>
      </c>
      <c r="AE430">
        <v>1</v>
      </c>
      <c r="AF430">
        <v>1</v>
      </c>
    </row>
    <row r="431" spans="1:32" x14ac:dyDescent="0.3">
      <c r="A431" t="s">
        <v>350</v>
      </c>
      <c r="B431" t="s">
        <v>279</v>
      </c>
      <c r="C431" t="s">
        <v>192</v>
      </c>
      <c r="D431" t="s">
        <v>309</v>
      </c>
      <c r="E431" t="s">
        <v>1334</v>
      </c>
      <c r="F431" s="15">
        <v>46244.363599537035</v>
      </c>
      <c r="G431" t="s">
        <v>405</v>
      </c>
      <c r="H431">
        <v>730</v>
      </c>
      <c r="I431" t="s">
        <v>1335</v>
      </c>
      <c r="J431" s="15">
        <v>46244.70039351852</v>
      </c>
      <c r="K431" s="15">
        <v>46246.680555555555</v>
      </c>
      <c r="L431" s="15"/>
      <c r="M431">
        <v>730</v>
      </c>
      <c r="O431" t="s">
        <v>201</v>
      </c>
      <c r="P431" t="s">
        <v>1954</v>
      </c>
      <c r="S431" t="s">
        <v>363</v>
      </c>
      <c r="T431" t="s">
        <v>352</v>
      </c>
      <c r="U431" t="s">
        <v>262</v>
      </c>
      <c r="V431" t="s">
        <v>7</v>
      </c>
      <c r="W431" t="s">
        <v>7</v>
      </c>
      <c r="X431" t="s">
        <v>7</v>
      </c>
      <c r="Z431">
        <v>1</v>
      </c>
      <c r="AA431" t="s">
        <v>122</v>
      </c>
      <c r="AB431" t="s">
        <v>396</v>
      </c>
      <c r="AC431">
        <v>2011</v>
      </c>
      <c r="AD431" t="s">
        <v>232</v>
      </c>
      <c r="AE431">
        <v>730</v>
      </c>
      <c r="AF431">
        <v>73</v>
      </c>
    </row>
    <row r="432" spans="1:32" x14ac:dyDescent="0.3">
      <c r="A432" t="s">
        <v>350</v>
      </c>
      <c r="B432" t="s">
        <v>63</v>
      </c>
      <c r="C432" t="s">
        <v>95</v>
      </c>
      <c r="D432" t="s">
        <v>309</v>
      </c>
      <c r="E432" t="s">
        <v>1119</v>
      </c>
      <c r="F432" s="15">
        <v>46232.31826388889</v>
      </c>
      <c r="G432" t="s">
        <v>401</v>
      </c>
      <c r="H432">
        <v>1</v>
      </c>
      <c r="I432" t="s">
        <v>1336</v>
      </c>
      <c r="J432" s="15">
        <v>46232.40520833333</v>
      </c>
      <c r="K432" s="15">
        <v>46239.288888888892</v>
      </c>
      <c r="L432" s="15"/>
      <c r="M432">
        <v>1</v>
      </c>
      <c r="O432" t="s">
        <v>201</v>
      </c>
      <c r="P432" t="s">
        <v>1954</v>
      </c>
      <c r="S432" t="s">
        <v>363</v>
      </c>
      <c r="T432" t="s">
        <v>352</v>
      </c>
      <c r="U432" t="s">
        <v>262</v>
      </c>
      <c r="V432" t="s">
        <v>7</v>
      </c>
      <c r="W432" t="s">
        <v>7</v>
      </c>
      <c r="X432" t="s">
        <v>7</v>
      </c>
      <c r="AA432" t="s">
        <v>96</v>
      </c>
      <c r="AB432" t="s">
        <v>396</v>
      </c>
      <c r="AC432">
        <v>2011</v>
      </c>
      <c r="AD432" t="s">
        <v>225</v>
      </c>
      <c r="AE432">
        <v>1</v>
      </c>
      <c r="AF432">
        <v>1</v>
      </c>
    </row>
    <row r="433" spans="1:32" x14ac:dyDescent="0.3">
      <c r="A433" t="s">
        <v>350</v>
      </c>
      <c r="B433" t="s">
        <v>57</v>
      </c>
      <c r="C433" t="s">
        <v>117</v>
      </c>
      <c r="D433" t="s">
        <v>309</v>
      </c>
      <c r="E433" t="s">
        <v>1119</v>
      </c>
      <c r="F433" s="15">
        <v>46232.31826388889</v>
      </c>
      <c r="G433" t="s">
        <v>401</v>
      </c>
      <c r="H433">
        <v>1</v>
      </c>
      <c r="I433" t="s">
        <v>1336</v>
      </c>
      <c r="J433" s="15">
        <v>46232.40520833333</v>
      </c>
      <c r="K433" s="15">
        <v>46239.288888888892</v>
      </c>
      <c r="L433" s="15"/>
      <c r="M433">
        <v>1</v>
      </c>
      <c r="O433" t="s">
        <v>201</v>
      </c>
      <c r="P433" t="s">
        <v>1954</v>
      </c>
      <c r="S433" t="s">
        <v>363</v>
      </c>
      <c r="T433" t="s">
        <v>352</v>
      </c>
      <c r="U433" t="s">
        <v>262</v>
      </c>
      <c r="V433" t="s">
        <v>7</v>
      </c>
      <c r="W433" t="s">
        <v>7</v>
      </c>
      <c r="X433" t="s">
        <v>7</v>
      </c>
      <c r="AA433" t="s">
        <v>127</v>
      </c>
      <c r="AB433" t="s">
        <v>396</v>
      </c>
      <c r="AC433">
        <v>2011</v>
      </c>
      <c r="AD433" t="s">
        <v>233</v>
      </c>
      <c r="AE433">
        <v>1</v>
      </c>
      <c r="AF433">
        <v>1</v>
      </c>
    </row>
    <row r="434" spans="1:32" x14ac:dyDescent="0.3">
      <c r="A434" t="s">
        <v>350</v>
      </c>
      <c r="B434" t="s">
        <v>279</v>
      </c>
      <c r="C434" t="s">
        <v>192</v>
      </c>
      <c r="D434" t="s">
        <v>309</v>
      </c>
      <c r="E434" t="s">
        <v>1119</v>
      </c>
      <c r="F434" s="15">
        <v>46232.31826388889</v>
      </c>
      <c r="G434" t="s">
        <v>401</v>
      </c>
      <c r="H434">
        <v>8</v>
      </c>
      <c r="I434" t="s">
        <v>1336</v>
      </c>
      <c r="J434" s="15">
        <v>46232.40520833333</v>
      </c>
      <c r="K434" s="15">
        <v>46239.288888888892</v>
      </c>
      <c r="L434" s="15"/>
      <c r="M434">
        <v>8</v>
      </c>
      <c r="O434" t="s">
        <v>201</v>
      </c>
      <c r="P434" t="s">
        <v>1956</v>
      </c>
      <c r="S434" t="s">
        <v>363</v>
      </c>
      <c r="T434" t="s">
        <v>352</v>
      </c>
      <c r="U434" t="s">
        <v>262</v>
      </c>
      <c r="V434" t="s">
        <v>7</v>
      </c>
      <c r="W434" t="s">
        <v>7</v>
      </c>
      <c r="X434" t="s">
        <v>7</v>
      </c>
      <c r="Z434">
        <v>1</v>
      </c>
      <c r="AA434" t="s">
        <v>122</v>
      </c>
      <c r="AB434" t="s">
        <v>396</v>
      </c>
      <c r="AC434">
        <v>2011</v>
      </c>
      <c r="AD434" t="s">
        <v>232</v>
      </c>
      <c r="AE434">
        <v>8</v>
      </c>
      <c r="AF434">
        <v>1</v>
      </c>
    </row>
    <row r="435" spans="1:32" x14ac:dyDescent="0.3">
      <c r="A435" t="s">
        <v>350</v>
      </c>
      <c r="B435" t="s">
        <v>63</v>
      </c>
      <c r="C435" t="s">
        <v>95</v>
      </c>
      <c r="D435" t="s">
        <v>309</v>
      </c>
      <c r="E435" t="s">
        <v>1337</v>
      </c>
      <c r="F435" s="15">
        <v>46231.310787037037</v>
      </c>
      <c r="G435" t="s">
        <v>405</v>
      </c>
      <c r="H435">
        <v>13</v>
      </c>
      <c r="I435" t="s">
        <v>1338</v>
      </c>
      <c r="J435" s="15">
        <v>46231.40347222222</v>
      </c>
      <c r="K435" s="15">
        <v>46233.611805555556</v>
      </c>
      <c r="L435" s="15"/>
      <c r="M435">
        <v>13</v>
      </c>
      <c r="O435" t="s">
        <v>201</v>
      </c>
      <c r="P435" t="s">
        <v>1954</v>
      </c>
      <c r="S435" t="s">
        <v>363</v>
      </c>
      <c r="T435" t="s">
        <v>352</v>
      </c>
      <c r="U435" t="s">
        <v>262</v>
      </c>
      <c r="V435" t="s">
        <v>7</v>
      </c>
      <c r="W435" t="s">
        <v>7</v>
      </c>
      <c r="X435" t="s">
        <v>7</v>
      </c>
      <c r="AA435" t="s">
        <v>96</v>
      </c>
      <c r="AB435" t="s">
        <v>396</v>
      </c>
      <c r="AC435">
        <v>2011</v>
      </c>
      <c r="AD435" t="s">
        <v>225</v>
      </c>
      <c r="AE435">
        <v>13</v>
      </c>
      <c r="AF435">
        <v>1.3</v>
      </c>
    </row>
    <row r="436" spans="1:32" x14ac:dyDescent="0.3">
      <c r="A436" t="s">
        <v>350</v>
      </c>
      <c r="B436" t="s">
        <v>57</v>
      </c>
      <c r="C436" t="s">
        <v>117</v>
      </c>
      <c r="D436" t="s">
        <v>309</v>
      </c>
      <c r="E436" t="s">
        <v>1337</v>
      </c>
      <c r="F436" s="15">
        <v>46231.310787037037</v>
      </c>
      <c r="G436" t="s">
        <v>405</v>
      </c>
      <c r="H436">
        <v>13</v>
      </c>
      <c r="I436" t="s">
        <v>1338</v>
      </c>
      <c r="J436" s="15">
        <v>46231.40347222222</v>
      </c>
      <c r="K436" s="15">
        <v>46233.611805555556</v>
      </c>
      <c r="L436" s="15"/>
      <c r="M436">
        <v>13</v>
      </c>
      <c r="O436" t="s">
        <v>201</v>
      </c>
      <c r="P436" t="s">
        <v>1954</v>
      </c>
      <c r="S436" t="s">
        <v>363</v>
      </c>
      <c r="T436" t="s">
        <v>352</v>
      </c>
      <c r="U436" t="s">
        <v>262</v>
      </c>
      <c r="V436" t="s">
        <v>7</v>
      </c>
      <c r="W436" t="s">
        <v>7</v>
      </c>
      <c r="X436" t="s">
        <v>7</v>
      </c>
      <c r="AA436" t="s">
        <v>127</v>
      </c>
      <c r="AB436" t="s">
        <v>396</v>
      </c>
      <c r="AC436">
        <v>2011</v>
      </c>
      <c r="AD436" t="s">
        <v>233</v>
      </c>
      <c r="AE436">
        <v>1.3</v>
      </c>
      <c r="AF436">
        <v>1</v>
      </c>
    </row>
    <row r="437" spans="1:32" x14ac:dyDescent="0.3">
      <c r="A437" t="s">
        <v>350</v>
      </c>
      <c r="B437" t="s">
        <v>279</v>
      </c>
      <c r="C437" t="s">
        <v>192</v>
      </c>
      <c r="D437" t="s">
        <v>309</v>
      </c>
      <c r="E437" t="s">
        <v>1337</v>
      </c>
      <c r="F437" s="15">
        <v>46231.310787037037</v>
      </c>
      <c r="G437" t="s">
        <v>405</v>
      </c>
      <c r="H437">
        <v>1092</v>
      </c>
      <c r="I437" t="s">
        <v>1338</v>
      </c>
      <c r="J437" s="15">
        <v>46231.40347222222</v>
      </c>
      <c r="K437" s="15">
        <v>46233.611805555556</v>
      </c>
      <c r="L437" s="15"/>
      <c r="M437">
        <v>1092</v>
      </c>
      <c r="O437" t="s">
        <v>201</v>
      </c>
      <c r="P437" t="s">
        <v>1954</v>
      </c>
      <c r="S437" t="s">
        <v>363</v>
      </c>
      <c r="T437" t="s">
        <v>352</v>
      </c>
      <c r="U437" t="s">
        <v>262</v>
      </c>
      <c r="V437" t="s">
        <v>7</v>
      </c>
      <c r="W437" t="s">
        <v>7</v>
      </c>
      <c r="X437" t="s">
        <v>7</v>
      </c>
      <c r="Z437">
        <v>1</v>
      </c>
      <c r="AA437" t="s">
        <v>122</v>
      </c>
      <c r="AB437" t="s">
        <v>396</v>
      </c>
      <c r="AC437">
        <v>2011</v>
      </c>
      <c r="AD437" t="s">
        <v>232</v>
      </c>
      <c r="AE437">
        <v>1092</v>
      </c>
      <c r="AF437">
        <v>109.2</v>
      </c>
    </row>
    <row r="438" spans="1:32" x14ac:dyDescent="0.3">
      <c r="A438" t="s">
        <v>350</v>
      </c>
      <c r="B438" t="s">
        <v>63</v>
      </c>
      <c r="C438" t="s">
        <v>95</v>
      </c>
      <c r="D438" t="s">
        <v>309</v>
      </c>
      <c r="E438" t="s">
        <v>1339</v>
      </c>
      <c r="F438" s="15">
        <v>46230.596712962964</v>
      </c>
      <c r="G438" t="s">
        <v>405</v>
      </c>
      <c r="H438">
        <v>4</v>
      </c>
      <c r="I438" t="s">
        <v>1340</v>
      </c>
      <c r="J438" s="15">
        <v>46230.690266203703</v>
      </c>
      <c r="K438" s="15">
        <v>46232.591666666667</v>
      </c>
      <c r="L438" s="15"/>
      <c r="M438">
        <v>4</v>
      </c>
      <c r="O438" t="s">
        <v>201</v>
      </c>
      <c r="P438" t="s">
        <v>1954</v>
      </c>
      <c r="S438" t="s">
        <v>363</v>
      </c>
      <c r="T438" t="s">
        <v>352</v>
      </c>
      <c r="U438" t="s">
        <v>262</v>
      </c>
      <c r="V438" t="s">
        <v>7</v>
      </c>
      <c r="W438" t="s">
        <v>7</v>
      </c>
      <c r="X438" t="s">
        <v>7</v>
      </c>
      <c r="AA438" t="s">
        <v>96</v>
      </c>
      <c r="AB438" t="s">
        <v>396</v>
      </c>
      <c r="AC438">
        <v>2011</v>
      </c>
      <c r="AD438" t="s">
        <v>225</v>
      </c>
      <c r="AE438">
        <v>4</v>
      </c>
      <c r="AF438">
        <v>3.4</v>
      </c>
    </row>
    <row r="439" spans="1:32" x14ac:dyDescent="0.3">
      <c r="A439" t="s">
        <v>350</v>
      </c>
      <c r="B439" t="s">
        <v>57</v>
      </c>
      <c r="C439" t="s">
        <v>117</v>
      </c>
      <c r="D439" t="s">
        <v>309</v>
      </c>
      <c r="E439" t="s">
        <v>1339</v>
      </c>
      <c r="F439" s="15">
        <v>46230.596712962964</v>
      </c>
      <c r="G439" t="s">
        <v>405</v>
      </c>
      <c r="H439">
        <v>4</v>
      </c>
      <c r="I439" t="s">
        <v>1340</v>
      </c>
      <c r="J439" s="15">
        <v>46230.690266203703</v>
      </c>
      <c r="K439" s="15">
        <v>46232.591666666667</v>
      </c>
      <c r="L439" s="15"/>
      <c r="M439">
        <v>4</v>
      </c>
      <c r="O439" t="s">
        <v>201</v>
      </c>
      <c r="P439" t="s">
        <v>1954</v>
      </c>
      <c r="S439" t="s">
        <v>363</v>
      </c>
      <c r="T439" t="s">
        <v>352</v>
      </c>
      <c r="U439" t="s">
        <v>262</v>
      </c>
      <c r="V439" t="s">
        <v>7</v>
      </c>
      <c r="W439" t="s">
        <v>7</v>
      </c>
      <c r="X439" t="s">
        <v>7</v>
      </c>
      <c r="AA439" t="s">
        <v>127</v>
      </c>
      <c r="AB439" t="s">
        <v>396</v>
      </c>
      <c r="AC439">
        <v>2011</v>
      </c>
      <c r="AD439" t="s">
        <v>233</v>
      </c>
      <c r="AE439">
        <v>1</v>
      </c>
      <c r="AF439">
        <v>1</v>
      </c>
    </row>
    <row r="440" spans="1:32" x14ac:dyDescent="0.3">
      <c r="A440" t="s">
        <v>350</v>
      </c>
      <c r="B440" t="s">
        <v>279</v>
      </c>
      <c r="C440" t="s">
        <v>192</v>
      </c>
      <c r="D440" t="s">
        <v>309</v>
      </c>
      <c r="E440" t="s">
        <v>1339</v>
      </c>
      <c r="F440" s="15">
        <v>46230.596712962964</v>
      </c>
      <c r="G440" t="s">
        <v>405</v>
      </c>
      <c r="H440">
        <v>409</v>
      </c>
      <c r="I440" t="s">
        <v>1340</v>
      </c>
      <c r="J440" s="15">
        <v>46230.690266203703</v>
      </c>
      <c r="K440" s="15">
        <v>46232.591666666667</v>
      </c>
      <c r="L440" s="15"/>
      <c r="M440">
        <v>409</v>
      </c>
      <c r="O440" t="s">
        <v>201</v>
      </c>
      <c r="P440" t="s">
        <v>1954</v>
      </c>
      <c r="S440" t="s">
        <v>363</v>
      </c>
      <c r="T440" t="s">
        <v>352</v>
      </c>
      <c r="U440" t="s">
        <v>262</v>
      </c>
      <c r="V440" t="s">
        <v>7</v>
      </c>
      <c r="W440" t="s">
        <v>7</v>
      </c>
      <c r="X440" t="s">
        <v>7</v>
      </c>
      <c r="Z440">
        <v>1</v>
      </c>
      <c r="AA440" t="s">
        <v>122</v>
      </c>
      <c r="AB440" t="s">
        <v>396</v>
      </c>
      <c r="AC440">
        <v>2011</v>
      </c>
      <c r="AD440" t="s">
        <v>232</v>
      </c>
      <c r="AE440">
        <v>409</v>
      </c>
    </row>
    <row r="441" spans="1:32" x14ac:dyDescent="0.3">
      <c r="A441" t="s">
        <v>350</v>
      </c>
      <c r="B441" t="s">
        <v>63</v>
      </c>
      <c r="C441" t="s">
        <v>95</v>
      </c>
      <c r="D441" t="s">
        <v>309</v>
      </c>
      <c r="E441" t="s">
        <v>1341</v>
      </c>
      <c r="F441" s="15">
        <v>46230.594074074077</v>
      </c>
      <c r="G441" t="s">
        <v>405</v>
      </c>
      <c r="H441">
        <v>14</v>
      </c>
      <c r="I441" t="s">
        <v>1342</v>
      </c>
      <c r="J441" s="15">
        <v>46231.398611111108</v>
      </c>
      <c r="K441" s="15">
        <v>46232.455960648149</v>
      </c>
      <c r="L441" s="15">
        <v>46232.682638888888</v>
      </c>
      <c r="M441">
        <v>14</v>
      </c>
      <c r="O441" t="s">
        <v>201</v>
      </c>
      <c r="P441" t="s">
        <v>1954</v>
      </c>
      <c r="S441" t="s">
        <v>363</v>
      </c>
      <c r="T441" t="s">
        <v>352</v>
      </c>
      <c r="U441" t="s">
        <v>262</v>
      </c>
      <c r="V441" t="s">
        <v>7</v>
      </c>
      <c r="W441" t="s">
        <v>7</v>
      </c>
      <c r="X441" t="s">
        <v>7</v>
      </c>
      <c r="AA441" t="s">
        <v>96</v>
      </c>
      <c r="AB441" t="s">
        <v>396</v>
      </c>
      <c r="AC441">
        <v>2011</v>
      </c>
      <c r="AD441" t="s">
        <v>225</v>
      </c>
      <c r="AE441">
        <v>14</v>
      </c>
    </row>
    <row r="442" spans="1:32" x14ac:dyDescent="0.3">
      <c r="A442" t="s">
        <v>350</v>
      </c>
      <c r="B442" t="s">
        <v>57</v>
      </c>
      <c r="C442" t="s">
        <v>117</v>
      </c>
      <c r="D442" t="s">
        <v>309</v>
      </c>
      <c r="E442" t="s">
        <v>1341</v>
      </c>
      <c r="F442" s="15">
        <v>46230.594074074077</v>
      </c>
      <c r="G442" t="s">
        <v>405</v>
      </c>
      <c r="H442">
        <v>14</v>
      </c>
      <c r="I442" t="s">
        <v>1342</v>
      </c>
      <c r="J442" s="15">
        <v>46231.398611111108</v>
      </c>
      <c r="K442" s="15">
        <v>46232.455960648149</v>
      </c>
      <c r="L442" s="15">
        <v>46232.682638888888</v>
      </c>
      <c r="M442">
        <v>14</v>
      </c>
      <c r="O442" t="s">
        <v>201</v>
      </c>
      <c r="P442" t="s">
        <v>1954</v>
      </c>
      <c r="S442" t="s">
        <v>363</v>
      </c>
      <c r="T442" t="s">
        <v>352</v>
      </c>
      <c r="U442" t="s">
        <v>262</v>
      </c>
      <c r="V442" t="s">
        <v>7</v>
      </c>
      <c r="W442" t="s">
        <v>7</v>
      </c>
      <c r="X442" t="s">
        <v>7</v>
      </c>
      <c r="AA442" t="s">
        <v>127</v>
      </c>
      <c r="AB442" t="s">
        <v>396</v>
      </c>
      <c r="AC442">
        <v>2011</v>
      </c>
      <c r="AD442" t="s">
        <v>233</v>
      </c>
      <c r="AE442">
        <v>1.4</v>
      </c>
    </row>
    <row r="443" spans="1:32" x14ac:dyDescent="0.3">
      <c r="A443" t="s">
        <v>350</v>
      </c>
      <c r="B443" t="s">
        <v>279</v>
      </c>
      <c r="C443" t="s">
        <v>192</v>
      </c>
      <c r="D443" t="s">
        <v>309</v>
      </c>
      <c r="E443" t="s">
        <v>1341</v>
      </c>
      <c r="F443" s="15">
        <v>46230.594074074077</v>
      </c>
      <c r="G443" t="s">
        <v>405</v>
      </c>
      <c r="H443">
        <v>1096</v>
      </c>
      <c r="I443" t="s">
        <v>1342</v>
      </c>
      <c r="J443" s="15">
        <v>46231.398611111108</v>
      </c>
      <c r="K443" s="15">
        <v>46232.455960648149</v>
      </c>
      <c r="L443" s="15">
        <v>46232.682638888888</v>
      </c>
      <c r="M443">
        <v>1096</v>
      </c>
      <c r="O443" t="s">
        <v>201</v>
      </c>
      <c r="P443" t="s">
        <v>1954</v>
      </c>
      <c r="S443" t="s">
        <v>363</v>
      </c>
      <c r="T443" t="s">
        <v>352</v>
      </c>
      <c r="U443" t="s">
        <v>262</v>
      </c>
      <c r="V443" t="s">
        <v>7</v>
      </c>
      <c r="W443" t="s">
        <v>7</v>
      </c>
      <c r="X443" t="s">
        <v>7</v>
      </c>
      <c r="Z443">
        <v>1</v>
      </c>
      <c r="AA443" t="s">
        <v>122</v>
      </c>
      <c r="AB443" t="s">
        <v>396</v>
      </c>
      <c r="AC443">
        <v>2011</v>
      </c>
      <c r="AD443" t="s">
        <v>232</v>
      </c>
      <c r="AE443">
        <v>1096</v>
      </c>
    </row>
    <row r="444" spans="1:32" x14ac:dyDescent="0.3">
      <c r="A444" t="s">
        <v>350</v>
      </c>
      <c r="B444" t="s">
        <v>63</v>
      </c>
      <c r="C444" t="s">
        <v>95</v>
      </c>
      <c r="D444" t="s">
        <v>309</v>
      </c>
      <c r="E444" t="s">
        <v>1343</v>
      </c>
      <c r="F444" s="15">
        <v>46192.397974537038</v>
      </c>
      <c r="G444" t="s">
        <v>401</v>
      </c>
      <c r="H444">
        <v>1</v>
      </c>
      <c r="I444" t="s">
        <v>1344</v>
      </c>
      <c r="J444" s="15">
        <v>46192.704861111109</v>
      </c>
      <c r="K444" s="15">
        <v>46219.397222222222</v>
      </c>
      <c r="L444" s="15"/>
      <c r="M444">
        <v>1</v>
      </c>
      <c r="O444" t="s">
        <v>201</v>
      </c>
      <c r="P444" t="s">
        <v>1954</v>
      </c>
      <c r="S444" t="s">
        <v>363</v>
      </c>
      <c r="T444" t="s">
        <v>352</v>
      </c>
      <c r="U444" t="s">
        <v>262</v>
      </c>
      <c r="V444" t="s">
        <v>7</v>
      </c>
      <c r="W444" t="s">
        <v>7</v>
      </c>
      <c r="X444" t="s">
        <v>7</v>
      </c>
      <c r="AA444" t="s">
        <v>96</v>
      </c>
      <c r="AB444" t="s">
        <v>396</v>
      </c>
      <c r="AC444">
        <v>2011</v>
      </c>
      <c r="AD444" t="s">
        <v>225</v>
      </c>
      <c r="AE444">
        <v>1</v>
      </c>
      <c r="AF444">
        <v>1</v>
      </c>
    </row>
    <row r="445" spans="1:32" x14ac:dyDescent="0.3">
      <c r="A445" t="s">
        <v>350</v>
      </c>
      <c r="B445" t="s">
        <v>57</v>
      </c>
      <c r="C445" t="s">
        <v>117</v>
      </c>
      <c r="D445" t="s">
        <v>309</v>
      </c>
      <c r="E445" t="s">
        <v>1343</v>
      </c>
      <c r="F445" s="15">
        <v>46192.397974537038</v>
      </c>
      <c r="G445" t="s">
        <v>401</v>
      </c>
      <c r="H445">
        <v>1</v>
      </c>
      <c r="I445" t="s">
        <v>1344</v>
      </c>
      <c r="J445" s="15">
        <v>46192.704861111109</v>
      </c>
      <c r="K445" s="15">
        <v>46219.397222222222</v>
      </c>
      <c r="L445" s="15"/>
      <c r="M445">
        <v>1</v>
      </c>
      <c r="O445" t="s">
        <v>201</v>
      </c>
      <c r="P445" t="s">
        <v>1954</v>
      </c>
      <c r="S445" t="s">
        <v>363</v>
      </c>
      <c r="T445" t="s">
        <v>352</v>
      </c>
      <c r="U445" t="s">
        <v>262</v>
      </c>
      <c r="V445" t="s">
        <v>7</v>
      </c>
      <c r="W445" t="s">
        <v>7</v>
      </c>
      <c r="X445" t="s">
        <v>7</v>
      </c>
      <c r="AA445" t="s">
        <v>127</v>
      </c>
      <c r="AB445" t="s">
        <v>396</v>
      </c>
      <c r="AC445">
        <v>2011</v>
      </c>
      <c r="AD445" t="s">
        <v>233</v>
      </c>
      <c r="AE445">
        <v>1</v>
      </c>
      <c r="AF445">
        <v>1</v>
      </c>
    </row>
    <row r="446" spans="1:32" x14ac:dyDescent="0.3">
      <c r="A446" t="s">
        <v>350</v>
      </c>
      <c r="B446" t="s">
        <v>279</v>
      </c>
      <c r="C446" t="s">
        <v>192</v>
      </c>
      <c r="D446" t="s">
        <v>309</v>
      </c>
      <c r="E446" t="s">
        <v>1343</v>
      </c>
      <c r="F446" s="15">
        <v>46192.397974537038</v>
      </c>
      <c r="G446" t="s">
        <v>401</v>
      </c>
      <c r="H446">
        <v>1</v>
      </c>
      <c r="I446" t="s">
        <v>1344</v>
      </c>
      <c r="J446" s="15">
        <v>46192.704861111109</v>
      </c>
      <c r="K446" s="15">
        <v>46219.397222222222</v>
      </c>
      <c r="L446" s="15"/>
      <c r="M446">
        <v>1</v>
      </c>
      <c r="O446" t="s">
        <v>201</v>
      </c>
      <c r="P446" t="s">
        <v>1956</v>
      </c>
      <c r="S446" t="s">
        <v>363</v>
      </c>
      <c r="T446" t="s">
        <v>352</v>
      </c>
      <c r="U446" t="s">
        <v>262</v>
      </c>
      <c r="V446" t="s">
        <v>7</v>
      </c>
      <c r="W446" t="s">
        <v>7</v>
      </c>
      <c r="X446" t="s">
        <v>7</v>
      </c>
      <c r="Z446">
        <v>1</v>
      </c>
      <c r="AA446" t="s">
        <v>122</v>
      </c>
      <c r="AB446" t="s">
        <v>396</v>
      </c>
      <c r="AC446">
        <v>2011</v>
      </c>
      <c r="AD446" t="s">
        <v>232</v>
      </c>
      <c r="AE446">
        <v>1</v>
      </c>
      <c r="AF446">
        <v>1</v>
      </c>
    </row>
    <row r="447" spans="1:32" x14ac:dyDescent="0.3">
      <c r="A447" t="s">
        <v>350</v>
      </c>
      <c r="B447" t="s">
        <v>63</v>
      </c>
      <c r="C447" t="s">
        <v>95</v>
      </c>
      <c r="D447" t="s">
        <v>309</v>
      </c>
      <c r="E447" t="s">
        <v>1343</v>
      </c>
      <c r="F447" s="15">
        <v>46192.397974537038</v>
      </c>
      <c r="G447" t="s">
        <v>401</v>
      </c>
      <c r="H447">
        <v>2</v>
      </c>
      <c r="I447" t="s">
        <v>1344</v>
      </c>
      <c r="J447" s="15">
        <v>46192.704861111109</v>
      </c>
      <c r="K447" s="15">
        <v>46219.397222222222</v>
      </c>
      <c r="L447" s="15"/>
      <c r="M447">
        <v>1</v>
      </c>
      <c r="O447" t="s">
        <v>1958</v>
      </c>
      <c r="S447" t="s">
        <v>363</v>
      </c>
      <c r="T447" t="s">
        <v>352</v>
      </c>
      <c r="U447" t="s">
        <v>262</v>
      </c>
      <c r="V447" t="s">
        <v>7</v>
      </c>
      <c r="W447" t="s">
        <v>7</v>
      </c>
      <c r="X447" t="s">
        <v>7</v>
      </c>
      <c r="AA447" t="s">
        <v>96</v>
      </c>
      <c r="AB447" t="s">
        <v>396</v>
      </c>
      <c r="AC447">
        <v>2011</v>
      </c>
      <c r="AD447" t="s">
        <v>225</v>
      </c>
      <c r="AE447">
        <v>1</v>
      </c>
    </row>
    <row r="448" spans="1:32" x14ac:dyDescent="0.3">
      <c r="A448" t="s">
        <v>350</v>
      </c>
      <c r="B448" t="s">
        <v>57</v>
      </c>
      <c r="C448" t="s">
        <v>117</v>
      </c>
      <c r="D448" t="s">
        <v>309</v>
      </c>
      <c r="E448" t="s">
        <v>1343</v>
      </c>
      <c r="F448" s="15">
        <v>46192.397974537038</v>
      </c>
      <c r="G448" t="s">
        <v>401</v>
      </c>
      <c r="H448">
        <v>2</v>
      </c>
      <c r="I448" t="s">
        <v>1344</v>
      </c>
      <c r="J448" s="15">
        <v>46192.704861111109</v>
      </c>
      <c r="K448" s="15">
        <v>46219.397222222222</v>
      </c>
      <c r="L448" s="15"/>
      <c r="M448">
        <v>1</v>
      </c>
      <c r="O448" t="s">
        <v>1958</v>
      </c>
      <c r="S448" t="s">
        <v>363</v>
      </c>
      <c r="T448" t="s">
        <v>352</v>
      </c>
      <c r="U448" t="s">
        <v>262</v>
      </c>
      <c r="V448" t="s">
        <v>7</v>
      </c>
      <c r="W448" t="s">
        <v>7</v>
      </c>
      <c r="X448" t="s">
        <v>7</v>
      </c>
      <c r="AA448" t="s">
        <v>127</v>
      </c>
      <c r="AB448" t="s">
        <v>396</v>
      </c>
      <c r="AC448">
        <v>2011</v>
      </c>
      <c r="AD448" t="s">
        <v>233</v>
      </c>
      <c r="AE448">
        <v>1</v>
      </c>
    </row>
    <row r="449" spans="1:32" x14ac:dyDescent="0.3">
      <c r="A449" t="s">
        <v>350</v>
      </c>
      <c r="B449" t="s">
        <v>279</v>
      </c>
      <c r="C449" t="s">
        <v>192</v>
      </c>
      <c r="D449" t="s">
        <v>309</v>
      </c>
      <c r="E449" t="s">
        <v>1343</v>
      </c>
      <c r="F449" s="15">
        <v>46192.397974537038</v>
      </c>
      <c r="G449" t="s">
        <v>401</v>
      </c>
      <c r="H449">
        <v>6</v>
      </c>
      <c r="I449" t="s">
        <v>1344</v>
      </c>
      <c r="J449" s="15">
        <v>46192.704861111109</v>
      </c>
      <c r="K449" s="15">
        <v>46219.397222222222</v>
      </c>
      <c r="L449" s="15"/>
      <c r="M449">
        <v>5</v>
      </c>
      <c r="O449" t="s">
        <v>1958</v>
      </c>
      <c r="S449" t="s">
        <v>363</v>
      </c>
      <c r="T449" t="s">
        <v>352</v>
      </c>
      <c r="U449" t="s">
        <v>262</v>
      </c>
      <c r="V449" t="s">
        <v>7</v>
      </c>
      <c r="W449" t="s">
        <v>7</v>
      </c>
      <c r="X449" t="s">
        <v>7</v>
      </c>
      <c r="Z449">
        <v>1</v>
      </c>
      <c r="AA449" t="s">
        <v>122</v>
      </c>
      <c r="AB449" t="s">
        <v>396</v>
      </c>
      <c r="AC449">
        <v>2011</v>
      </c>
      <c r="AD449" t="s">
        <v>232</v>
      </c>
      <c r="AE449">
        <v>5</v>
      </c>
    </row>
    <row r="450" spans="1:32" x14ac:dyDescent="0.3">
      <c r="A450" t="s">
        <v>350</v>
      </c>
      <c r="B450" t="s">
        <v>63</v>
      </c>
      <c r="C450" t="s">
        <v>95</v>
      </c>
      <c r="D450" t="s">
        <v>309</v>
      </c>
      <c r="E450" t="s">
        <v>1325</v>
      </c>
      <c r="F450" s="15">
        <v>46176.3434837963</v>
      </c>
      <c r="G450" t="s">
        <v>405</v>
      </c>
      <c r="H450">
        <v>16</v>
      </c>
      <c r="I450" t="s">
        <v>1326</v>
      </c>
      <c r="J450" s="15">
        <v>46176.640972222223</v>
      </c>
      <c r="K450" s="15">
        <v>46232.525000000001</v>
      </c>
      <c r="L450" s="15"/>
      <c r="M450">
        <v>16</v>
      </c>
      <c r="O450" t="s">
        <v>201</v>
      </c>
      <c r="P450" t="s">
        <v>1954</v>
      </c>
      <c r="S450" t="s">
        <v>363</v>
      </c>
      <c r="T450" t="s">
        <v>352</v>
      </c>
      <c r="U450" t="s">
        <v>262</v>
      </c>
      <c r="V450" t="s">
        <v>7</v>
      </c>
      <c r="W450" t="s">
        <v>7</v>
      </c>
      <c r="X450" t="s">
        <v>7</v>
      </c>
      <c r="AA450" t="s">
        <v>96</v>
      </c>
      <c r="AB450" t="s">
        <v>396</v>
      </c>
      <c r="AC450">
        <v>2011</v>
      </c>
      <c r="AD450" t="s">
        <v>225</v>
      </c>
      <c r="AE450">
        <v>16</v>
      </c>
    </row>
    <row r="451" spans="1:32" x14ac:dyDescent="0.3">
      <c r="A451" t="s">
        <v>350</v>
      </c>
      <c r="B451" t="s">
        <v>57</v>
      </c>
      <c r="C451" t="s">
        <v>117</v>
      </c>
      <c r="D451" t="s">
        <v>309</v>
      </c>
      <c r="E451" t="s">
        <v>1325</v>
      </c>
      <c r="F451" s="15">
        <v>46176.3434837963</v>
      </c>
      <c r="G451" t="s">
        <v>405</v>
      </c>
      <c r="H451">
        <v>16</v>
      </c>
      <c r="I451" t="s">
        <v>1326</v>
      </c>
      <c r="J451" s="15">
        <v>46176.640972222223</v>
      </c>
      <c r="K451" s="15">
        <v>46232.525000000001</v>
      </c>
      <c r="L451" s="15"/>
      <c r="M451">
        <v>16</v>
      </c>
      <c r="O451" t="s">
        <v>201</v>
      </c>
      <c r="P451" t="s">
        <v>1954</v>
      </c>
      <c r="S451" t="s">
        <v>363</v>
      </c>
      <c r="T451" t="s">
        <v>352</v>
      </c>
      <c r="U451" t="s">
        <v>262</v>
      </c>
      <c r="V451" t="s">
        <v>7</v>
      </c>
      <c r="W451" t="s">
        <v>7</v>
      </c>
      <c r="X451" t="s">
        <v>7</v>
      </c>
      <c r="AA451" t="s">
        <v>127</v>
      </c>
      <c r="AB451" t="s">
        <v>396</v>
      </c>
      <c r="AC451">
        <v>2011</v>
      </c>
      <c r="AD451" t="s">
        <v>233</v>
      </c>
      <c r="AE451">
        <v>1.6</v>
      </c>
    </row>
    <row r="452" spans="1:32" x14ac:dyDescent="0.3">
      <c r="A452" t="s">
        <v>350</v>
      </c>
      <c r="B452" t="s">
        <v>279</v>
      </c>
      <c r="C452" t="s">
        <v>192</v>
      </c>
      <c r="D452" t="s">
        <v>309</v>
      </c>
      <c r="E452" t="s">
        <v>1345</v>
      </c>
      <c r="F452" s="15">
        <v>46232.494386574072</v>
      </c>
      <c r="G452" t="s">
        <v>1346</v>
      </c>
      <c r="H452">
        <v>2565</v>
      </c>
      <c r="I452" t="s">
        <v>1347</v>
      </c>
      <c r="J452" s="15">
        <v>46232.61041666667</v>
      </c>
      <c r="K452" s="15">
        <v>46237.611111111109</v>
      </c>
      <c r="L452" s="15"/>
      <c r="M452">
        <v>2565</v>
      </c>
      <c r="O452" t="s">
        <v>201</v>
      </c>
      <c r="P452" t="s">
        <v>1954</v>
      </c>
      <c r="S452" t="s">
        <v>363</v>
      </c>
      <c r="T452" t="s">
        <v>352</v>
      </c>
      <c r="U452" t="s">
        <v>262</v>
      </c>
      <c r="V452" t="s">
        <v>7</v>
      </c>
      <c r="W452" t="s">
        <v>7</v>
      </c>
      <c r="X452" t="s">
        <v>7</v>
      </c>
      <c r="Z452">
        <v>1</v>
      </c>
      <c r="AA452" t="s">
        <v>122</v>
      </c>
      <c r="AB452" t="s">
        <v>396</v>
      </c>
      <c r="AC452">
        <v>2011</v>
      </c>
      <c r="AD452" t="s">
        <v>232</v>
      </c>
      <c r="AE452">
        <v>2565</v>
      </c>
      <c r="AF452">
        <v>256.5</v>
      </c>
    </row>
    <row r="453" spans="1:32" x14ac:dyDescent="0.3">
      <c r="A453" t="s">
        <v>350</v>
      </c>
      <c r="B453" t="s">
        <v>51</v>
      </c>
      <c r="C453" t="s">
        <v>258</v>
      </c>
      <c r="D453" t="s">
        <v>309</v>
      </c>
      <c r="E453" t="s">
        <v>1348</v>
      </c>
      <c r="F453" s="15">
        <v>46223.473726851851</v>
      </c>
      <c r="G453" t="s">
        <v>402</v>
      </c>
      <c r="H453">
        <v>80</v>
      </c>
      <c r="I453" t="s">
        <v>1349</v>
      </c>
      <c r="J453" s="15">
        <v>46223.613449074073</v>
      </c>
      <c r="K453" s="15">
        <v>46223.613449074073</v>
      </c>
      <c r="L453" s="15"/>
      <c r="M453">
        <v>80</v>
      </c>
      <c r="O453" t="s">
        <v>201</v>
      </c>
      <c r="P453" t="s">
        <v>1954</v>
      </c>
      <c r="S453" t="s">
        <v>363</v>
      </c>
      <c r="T453" t="s">
        <v>352</v>
      </c>
      <c r="U453" t="s">
        <v>262</v>
      </c>
      <c r="V453" t="s">
        <v>7</v>
      </c>
      <c r="W453" t="s">
        <v>7</v>
      </c>
      <c r="X453" t="s">
        <v>7</v>
      </c>
      <c r="AA453" t="s">
        <v>238</v>
      </c>
      <c r="AB453" t="s">
        <v>396</v>
      </c>
      <c r="AC453">
        <v>2011</v>
      </c>
      <c r="AD453" t="s">
        <v>7</v>
      </c>
      <c r="AF453">
        <v>0</v>
      </c>
    </row>
    <row r="454" spans="1:32" x14ac:dyDescent="0.3">
      <c r="A454" t="s">
        <v>350</v>
      </c>
      <c r="B454" t="s">
        <v>57</v>
      </c>
      <c r="C454" t="s">
        <v>117</v>
      </c>
      <c r="D454" t="s">
        <v>309</v>
      </c>
      <c r="E454" t="s">
        <v>1345</v>
      </c>
      <c r="F454" s="15">
        <v>46232.494386574072</v>
      </c>
      <c r="G454" t="s">
        <v>1346</v>
      </c>
      <c r="H454">
        <v>33</v>
      </c>
      <c r="I454" t="s">
        <v>1347</v>
      </c>
      <c r="J454" s="15">
        <v>46232.61041666667</v>
      </c>
      <c r="K454" s="15">
        <v>46237.611111111109</v>
      </c>
      <c r="L454" s="15"/>
      <c r="M454">
        <v>33</v>
      </c>
      <c r="O454" t="s">
        <v>201</v>
      </c>
      <c r="P454" t="s">
        <v>1954</v>
      </c>
      <c r="S454" t="s">
        <v>363</v>
      </c>
      <c r="T454" t="s">
        <v>352</v>
      </c>
      <c r="U454" t="s">
        <v>262</v>
      </c>
      <c r="V454" t="s">
        <v>7</v>
      </c>
      <c r="W454" t="s">
        <v>7</v>
      </c>
      <c r="X454" t="s">
        <v>7</v>
      </c>
      <c r="AA454" t="s">
        <v>127</v>
      </c>
      <c r="AB454" t="s">
        <v>396</v>
      </c>
      <c r="AC454">
        <v>2011</v>
      </c>
      <c r="AD454" t="s">
        <v>233</v>
      </c>
      <c r="AE454">
        <v>3.3</v>
      </c>
      <c r="AF454">
        <v>1</v>
      </c>
    </row>
    <row r="455" spans="1:32" x14ac:dyDescent="0.3">
      <c r="A455" t="s">
        <v>350</v>
      </c>
      <c r="B455" t="s">
        <v>279</v>
      </c>
      <c r="C455" t="s">
        <v>192</v>
      </c>
      <c r="D455" t="s">
        <v>309</v>
      </c>
      <c r="E455" t="s">
        <v>1345</v>
      </c>
      <c r="F455" s="15">
        <v>46232.494386574072</v>
      </c>
      <c r="G455" t="s">
        <v>1346</v>
      </c>
      <c r="H455">
        <v>2425</v>
      </c>
      <c r="I455" t="s">
        <v>1347</v>
      </c>
      <c r="J455" s="15">
        <v>46232.61041666667</v>
      </c>
      <c r="K455" s="15">
        <v>46258.618750000001</v>
      </c>
      <c r="L455" s="15"/>
      <c r="M455">
        <v>2425</v>
      </c>
      <c r="O455" t="s">
        <v>1958</v>
      </c>
      <c r="S455" t="s">
        <v>363</v>
      </c>
      <c r="T455" t="s">
        <v>352</v>
      </c>
      <c r="U455" t="s">
        <v>262</v>
      </c>
      <c r="V455" t="s">
        <v>7</v>
      </c>
      <c r="W455" t="s">
        <v>7</v>
      </c>
      <c r="X455" t="s">
        <v>7</v>
      </c>
      <c r="Z455">
        <v>1</v>
      </c>
      <c r="AA455" t="s">
        <v>122</v>
      </c>
      <c r="AB455" t="s">
        <v>396</v>
      </c>
      <c r="AC455">
        <v>2011</v>
      </c>
      <c r="AD455" t="s">
        <v>232</v>
      </c>
      <c r="AE455">
        <v>2425</v>
      </c>
      <c r="AF455">
        <v>243</v>
      </c>
    </row>
    <row r="456" spans="1:32" x14ac:dyDescent="0.3">
      <c r="A456" t="s">
        <v>350</v>
      </c>
      <c r="B456" t="s">
        <v>51</v>
      </c>
      <c r="C456" t="s">
        <v>258</v>
      </c>
      <c r="D456" t="s">
        <v>309</v>
      </c>
      <c r="E456" t="s">
        <v>1350</v>
      </c>
      <c r="F456" s="15">
        <v>46220.3280787037</v>
      </c>
      <c r="G456" t="s">
        <v>421</v>
      </c>
      <c r="H456">
        <v>200</v>
      </c>
      <c r="I456" t="s">
        <v>1351</v>
      </c>
      <c r="J456" s="15">
        <v>46220.679861111108</v>
      </c>
      <c r="K456" s="15">
        <v>46226.486805555556</v>
      </c>
      <c r="L456" s="15"/>
      <c r="M456">
        <v>200</v>
      </c>
      <c r="O456" t="s">
        <v>201</v>
      </c>
      <c r="P456" t="s">
        <v>1956</v>
      </c>
      <c r="S456" t="s">
        <v>395</v>
      </c>
      <c r="T456" t="s">
        <v>376</v>
      </c>
      <c r="U456" t="s">
        <v>295</v>
      </c>
      <c r="V456" t="s">
        <v>7</v>
      </c>
      <c r="W456" t="s">
        <v>7</v>
      </c>
      <c r="X456" t="s">
        <v>7</v>
      </c>
      <c r="AA456" t="s">
        <v>238</v>
      </c>
      <c r="AB456" t="s">
        <v>395</v>
      </c>
      <c r="AD456" t="s">
        <v>7</v>
      </c>
      <c r="AF456">
        <v>0</v>
      </c>
    </row>
    <row r="457" spans="1:32" x14ac:dyDescent="0.3">
      <c r="A457" t="s">
        <v>350</v>
      </c>
      <c r="B457" t="s">
        <v>63</v>
      </c>
      <c r="C457" t="s">
        <v>95</v>
      </c>
      <c r="D457" t="s">
        <v>309</v>
      </c>
      <c r="E457" t="s">
        <v>740</v>
      </c>
      <c r="F457" s="15">
        <v>46253.600624999999</v>
      </c>
      <c r="G457" t="s">
        <v>401</v>
      </c>
      <c r="H457">
        <v>1</v>
      </c>
      <c r="I457" t="s">
        <v>1352</v>
      </c>
      <c r="J457" s="15">
        <v>46254.588888888888</v>
      </c>
      <c r="K457" s="15">
        <v>46258.355555555558</v>
      </c>
      <c r="L457" s="15"/>
      <c r="M457">
        <v>1</v>
      </c>
      <c r="O457" t="s">
        <v>201</v>
      </c>
      <c r="P457" t="s">
        <v>1954</v>
      </c>
      <c r="S457" t="s">
        <v>363</v>
      </c>
      <c r="T457" t="s">
        <v>352</v>
      </c>
      <c r="U457" t="s">
        <v>262</v>
      </c>
      <c r="V457" t="s">
        <v>7</v>
      </c>
      <c r="W457" t="s">
        <v>7</v>
      </c>
      <c r="X457" t="s">
        <v>7</v>
      </c>
      <c r="AA457" t="s">
        <v>96</v>
      </c>
      <c r="AB457" t="s">
        <v>396</v>
      </c>
      <c r="AC457">
        <v>2011</v>
      </c>
      <c r="AD457" t="s">
        <v>225</v>
      </c>
      <c r="AE457">
        <v>1</v>
      </c>
      <c r="AF457">
        <v>3.7</v>
      </c>
    </row>
    <row r="458" spans="1:32" x14ac:dyDescent="0.3">
      <c r="A458" t="s">
        <v>350</v>
      </c>
      <c r="B458" t="s">
        <v>57</v>
      </c>
      <c r="C458" t="s">
        <v>117</v>
      </c>
      <c r="D458" t="s">
        <v>309</v>
      </c>
      <c r="E458" t="s">
        <v>740</v>
      </c>
      <c r="F458" s="15">
        <v>46253.600624999999</v>
      </c>
      <c r="G458" t="s">
        <v>401</v>
      </c>
      <c r="H458">
        <v>1</v>
      </c>
      <c r="I458" t="s">
        <v>1352</v>
      </c>
      <c r="J458" s="15">
        <v>46254.588888888888</v>
      </c>
      <c r="K458" s="15">
        <v>46258.355555555558</v>
      </c>
      <c r="L458" s="15"/>
      <c r="M458">
        <v>1</v>
      </c>
      <c r="O458" t="s">
        <v>201</v>
      </c>
      <c r="P458" t="s">
        <v>1954</v>
      </c>
      <c r="S458" t="s">
        <v>363</v>
      </c>
      <c r="T458" t="s">
        <v>352</v>
      </c>
      <c r="U458" t="s">
        <v>262</v>
      </c>
      <c r="V458" t="s">
        <v>7</v>
      </c>
      <c r="W458" t="s">
        <v>7</v>
      </c>
      <c r="X458" t="s">
        <v>7</v>
      </c>
      <c r="AA458" t="s">
        <v>127</v>
      </c>
      <c r="AB458" t="s">
        <v>396</v>
      </c>
      <c r="AC458">
        <v>2011</v>
      </c>
      <c r="AD458" t="s">
        <v>233</v>
      </c>
      <c r="AE458">
        <v>1</v>
      </c>
      <c r="AF458">
        <v>1</v>
      </c>
    </row>
    <row r="459" spans="1:32" x14ac:dyDescent="0.3">
      <c r="A459" t="s">
        <v>350</v>
      </c>
      <c r="B459" t="s">
        <v>279</v>
      </c>
      <c r="C459" t="s">
        <v>192</v>
      </c>
      <c r="D459" t="s">
        <v>309</v>
      </c>
      <c r="E459" t="s">
        <v>740</v>
      </c>
      <c r="F459" s="15">
        <v>46253.600624999999</v>
      </c>
      <c r="G459" t="s">
        <v>401</v>
      </c>
      <c r="H459">
        <v>5</v>
      </c>
      <c r="I459" t="s">
        <v>1352</v>
      </c>
      <c r="J459" s="15">
        <v>46254.588888888888</v>
      </c>
      <c r="K459" s="15">
        <v>46258.355555555558</v>
      </c>
      <c r="L459" s="15"/>
      <c r="M459">
        <v>5</v>
      </c>
      <c r="O459" t="s">
        <v>201</v>
      </c>
      <c r="P459" t="s">
        <v>1954</v>
      </c>
      <c r="S459" t="s">
        <v>363</v>
      </c>
      <c r="T459" t="s">
        <v>352</v>
      </c>
      <c r="U459" t="s">
        <v>262</v>
      </c>
      <c r="V459" t="s">
        <v>7</v>
      </c>
      <c r="W459" t="s">
        <v>7</v>
      </c>
      <c r="X459" t="s">
        <v>7</v>
      </c>
      <c r="Z459">
        <v>1</v>
      </c>
      <c r="AA459" t="s">
        <v>122</v>
      </c>
      <c r="AB459" t="s">
        <v>396</v>
      </c>
      <c r="AC459">
        <v>2011</v>
      </c>
      <c r="AD459" t="s">
        <v>232</v>
      </c>
      <c r="AE459">
        <v>5</v>
      </c>
    </row>
    <row r="460" spans="1:32" x14ac:dyDescent="0.3">
      <c r="A460" t="s">
        <v>350</v>
      </c>
      <c r="B460" t="s">
        <v>63</v>
      </c>
      <c r="C460" t="s">
        <v>95</v>
      </c>
      <c r="D460" t="s">
        <v>309</v>
      </c>
      <c r="E460" t="s">
        <v>1353</v>
      </c>
      <c r="F460" s="15">
        <v>46251.363252314812</v>
      </c>
      <c r="G460" t="s">
        <v>405</v>
      </c>
      <c r="H460">
        <v>9</v>
      </c>
      <c r="I460" t="s">
        <v>1354</v>
      </c>
      <c r="J460" s="15">
        <v>46252.660416666666</v>
      </c>
      <c r="K460" s="15">
        <v>46253.341666666667</v>
      </c>
      <c r="L460" s="15"/>
      <c r="M460">
        <v>9</v>
      </c>
      <c r="O460" t="s">
        <v>201</v>
      </c>
      <c r="P460" t="s">
        <v>1954</v>
      </c>
      <c r="S460" t="s">
        <v>363</v>
      </c>
      <c r="T460" t="s">
        <v>352</v>
      </c>
      <c r="U460" t="s">
        <v>262</v>
      </c>
      <c r="V460" t="s">
        <v>7</v>
      </c>
      <c r="W460" t="s">
        <v>7</v>
      </c>
      <c r="X460" t="s">
        <v>7</v>
      </c>
      <c r="AA460" t="s">
        <v>96</v>
      </c>
      <c r="AB460" t="s">
        <v>396</v>
      </c>
      <c r="AC460">
        <v>2011</v>
      </c>
      <c r="AD460" t="s">
        <v>225</v>
      </c>
      <c r="AE460">
        <v>9</v>
      </c>
      <c r="AF460">
        <v>1</v>
      </c>
    </row>
    <row r="461" spans="1:32" x14ac:dyDescent="0.3">
      <c r="A461" t="s">
        <v>350</v>
      </c>
      <c r="B461" t="s">
        <v>57</v>
      </c>
      <c r="C461" t="s">
        <v>117</v>
      </c>
      <c r="D461" t="s">
        <v>309</v>
      </c>
      <c r="E461" t="s">
        <v>1353</v>
      </c>
      <c r="F461" s="15">
        <v>46251.363252314812</v>
      </c>
      <c r="G461" t="s">
        <v>405</v>
      </c>
      <c r="H461">
        <v>9</v>
      </c>
      <c r="I461" t="s">
        <v>1354</v>
      </c>
      <c r="J461" s="15">
        <v>46252.660416666666</v>
      </c>
      <c r="K461" s="15">
        <v>46253.341666666667</v>
      </c>
      <c r="L461" s="15"/>
      <c r="M461">
        <v>9</v>
      </c>
      <c r="O461" t="s">
        <v>201</v>
      </c>
      <c r="P461" t="s">
        <v>1954</v>
      </c>
      <c r="S461" t="s">
        <v>363</v>
      </c>
      <c r="T461" t="s">
        <v>352</v>
      </c>
      <c r="U461" t="s">
        <v>262</v>
      </c>
      <c r="V461" t="s">
        <v>7</v>
      </c>
      <c r="W461" t="s">
        <v>7</v>
      </c>
      <c r="X461" t="s">
        <v>7</v>
      </c>
      <c r="AA461" t="s">
        <v>127</v>
      </c>
      <c r="AB461" t="s">
        <v>396</v>
      </c>
      <c r="AC461">
        <v>2011</v>
      </c>
      <c r="AD461" t="s">
        <v>233</v>
      </c>
      <c r="AE461">
        <v>1</v>
      </c>
      <c r="AF461">
        <v>1</v>
      </c>
    </row>
    <row r="462" spans="1:32" x14ac:dyDescent="0.3">
      <c r="A462" t="s">
        <v>350</v>
      </c>
      <c r="B462" t="s">
        <v>279</v>
      </c>
      <c r="C462" t="s">
        <v>192</v>
      </c>
      <c r="D462" t="s">
        <v>309</v>
      </c>
      <c r="E462" t="s">
        <v>1353</v>
      </c>
      <c r="F462" s="15">
        <v>46251.363252314812</v>
      </c>
      <c r="G462" t="s">
        <v>405</v>
      </c>
      <c r="H462">
        <v>754</v>
      </c>
      <c r="I462" t="s">
        <v>1354</v>
      </c>
      <c r="J462" s="15">
        <v>46252.660416666666</v>
      </c>
      <c r="K462" s="15">
        <v>46253.341666666667</v>
      </c>
      <c r="L462" s="15"/>
      <c r="M462">
        <v>754</v>
      </c>
      <c r="O462" t="s">
        <v>201</v>
      </c>
      <c r="P462" t="s">
        <v>1954</v>
      </c>
      <c r="S462" t="s">
        <v>363</v>
      </c>
      <c r="T462" t="s">
        <v>352</v>
      </c>
      <c r="U462" t="s">
        <v>262</v>
      </c>
      <c r="V462" t="s">
        <v>7</v>
      </c>
      <c r="W462" t="s">
        <v>7</v>
      </c>
      <c r="X462" t="s">
        <v>7</v>
      </c>
      <c r="Z462">
        <v>1</v>
      </c>
      <c r="AA462" t="s">
        <v>122</v>
      </c>
      <c r="AB462" t="s">
        <v>396</v>
      </c>
      <c r="AC462">
        <v>2011</v>
      </c>
      <c r="AD462" t="s">
        <v>232</v>
      </c>
      <c r="AE462">
        <v>754</v>
      </c>
      <c r="AF462">
        <v>75.400000000000006</v>
      </c>
    </row>
    <row r="463" spans="1:32" x14ac:dyDescent="0.3">
      <c r="A463" t="s">
        <v>350</v>
      </c>
      <c r="B463" t="s">
        <v>63</v>
      </c>
      <c r="C463" t="s">
        <v>95</v>
      </c>
      <c r="D463" t="s">
        <v>309</v>
      </c>
      <c r="E463" t="s">
        <v>1355</v>
      </c>
      <c r="F463" s="15">
        <v>46251.313101851854</v>
      </c>
      <c r="G463" t="s">
        <v>405</v>
      </c>
      <c r="H463">
        <v>8</v>
      </c>
      <c r="I463" t="s">
        <v>1356</v>
      </c>
      <c r="J463" s="15">
        <v>46251.351388888892</v>
      </c>
      <c r="K463" s="15">
        <v>46251.582638888889</v>
      </c>
      <c r="L463" s="15"/>
      <c r="M463">
        <v>8</v>
      </c>
      <c r="O463" t="s">
        <v>201</v>
      </c>
      <c r="P463" t="s">
        <v>1954</v>
      </c>
      <c r="S463" t="s">
        <v>363</v>
      </c>
      <c r="T463" t="s">
        <v>352</v>
      </c>
      <c r="U463" t="s">
        <v>262</v>
      </c>
      <c r="V463" t="s">
        <v>7</v>
      </c>
      <c r="W463" t="s">
        <v>7</v>
      </c>
      <c r="X463" t="s">
        <v>7</v>
      </c>
      <c r="AA463" t="s">
        <v>96</v>
      </c>
      <c r="AB463" t="s">
        <v>396</v>
      </c>
      <c r="AC463">
        <v>2011</v>
      </c>
      <c r="AD463" t="s">
        <v>225</v>
      </c>
      <c r="AE463">
        <v>8</v>
      </c>
      <c r="AF463">
        <v>1</v>
      </c>
    </row>
    <row r="464" spans="1:32" x14ac:dyDescent="0.3">
      <c r="A464" t="s">
        <v>350</v>
      </c>
      <c r="B464" t="s">
        <v>57</v>
      </c>
      <c r="C464" t="s">
        <v>117</v>
      </c>
      <c r="D464" t="s">
        <v>309</v>
      </c>
      <c r="E464" t="s">
        <v>1355</v>
      </c>
      <c r="F464" s="15">
        <v>46251.313101851854</v>
      </c>
      <c r="G464" t="s">
        <v>405</v>
      </c>
      <c r="H464">
        <v>8</v>
      </c>
      <c r="I464" t="s">
        <v>1356</v>
      </c>
      <c r="J464" s="15">
        <v>46251.351388888892</v>
      </c>
      <c r="K464" s="15">
        <v>46251.582638888889</v>
      </c>
      <c r="L464" s="15"/>
      <c r="M464">
        <v>8</v>
      </c>
      <c r="O464" t="s">
        <v>201</v>
      </c>
      <c r="P464" t="s">
        <v>1954</v>
      </c>
      <c r="S464" t="s">
        <v>363</v>
      </c>
      <c r="T464" t="s">
        <v>352</v>
      </c>
      <c r="U464" t="s">
        <v>262</v>
      </c>
      <c r="V464" t="s">
        <v>7</v>
      </c>
      <c r="W464" t="s">
        <v>7</v>
      </c>
      <c r="X464" t="s">
        <v>7</v>
      </c>
      <c r="AA464" t="s">
        <v>127</v>
      </c>
      <c r="AB464" t="s">
        <v>396</v>
      </c>
      <c r="AC464">
        <v>2011</v>
      </c>
      <c r="AD464" t="s">
        <v>233</v>
      </c>
      <c r="AE464">
        <v>1</v>
      </c>
      <c r="AF464">
        <v>1</v>
      </c>
    </row>
    <row r="465" spans="1:32" x14ac:dyDescent="0.3">
      <c r="A465" t="s">
        <v>350</v>
      </c>
      <c r="B465" t="s">
        <v>279</v>
      </c>
      <c r="C465" t="s">
        <v>192</v>
      </c>
      <c r="D465" t="s">
        <v>309</v>
      </c>
      <c r="E465" t="s">
        <v>1355</v>
      </c>
      <c r="F465" s="15">
        <v>46251.313101851854</v>
      </c>
      <c r="G465" t="s">
        <v>405</v>
      </c>
      <c r="H465">
        <v>621</v>
      </c>
      <c r="I465" t="s">
        <v>1356</v>
      </c>
      <c r="J465" s="15">
        <v>46251.351388888892</v>
      </c>
      <c r="K465" s="15">
        <v>46251.582638888889</v>
      </c>
      <c r="L465" s="15"/>
      <c r="M465">
        <v>621</v>
      </c>
      <c r="O465" t="s">
        <v>201</v>
      </c>
      <c r="P465" t="s">
        <v>1954</v>
      </c>
      <c r="S465" t="s">
        <v>363</v>
      </c>
      <c r="T465" t="s">
        <v>352</v>
      </c>
      <c r="U465" t="s">
        <v>262</v>
      </c>
      <c r="V465" t="s">
        <v>7</v>
      </c>
      <c r="W465" t="s">
        <v>7</v>
      </c>
      <c r="X465" t="s">
        <v>7</v>
      </c>
      <c r="Z465">
        <v>1</v>
      </c>
      <c r="AA465" t="s">
        <v>122</v>
      </c>
      <c r="AB465" t="s">
        <v>396</v>
      </c>
      <c r="AC465">
        <v>2011</v>
      </c>
      <c r="AD465" t="s">
        <v>232</v>
      </c>
      <c r="AE465">
        <v>621</v>
      </c>
      <c r="AF465">
        <v>62.1</v>
      </c>
    </row>
    <row r="466" spans="1:32" x14ac:dyDescent="0.3">
      <c r="A466" t="s">
        <v>350</v>
      </c>
      <c r="B466" t="s">
        <v>57</v>
      </c>
      <c r="C466" t="s">
        <v>117</v>
      </c>
      <c r="D466" t="s">
        <v>309</v>
      </c>
      <c r="E466" t="s">
        <v>1316</v>
      </c>
      <c r="F466" s="15">
        <v>46247.459618055553</v>
      </c>
      <c r="G466" t="s">
        <v>1317</v>
      </c>
      <c r="H466">
        <v>1</v>
      </c>
      <c r="I466" t="s">
        <v>1318</v>
      </c>
      <c r="J466" s="15">
        <v>46247.561030092591</v>
      </c>
      <c r="K466" s="15">
        <v>46254.421527777777</v>
      </c>
      <c r="L466" s="15"/>
      <c r="M466">
        <v>1</v>
      </c>
      <c r="O466" t="s">
        <v>201</v>
      </c>
      <c r="P466" t="s">
        <v>1954</v>
      </c>
      <c r="S466" t="s">
        <v>363</v>
      </c>
      <c r="T466" t="s">
        <v>352</v>
      </c>
      <c r="U466" t="s">
        <v>262</v>
      </c>
      <c r="V466" t="s">
        <v>7</v>
      </c>
      <c r="W466" t="s">
        <v>7</v>
      </c>
      <c r="X466" t="s">
        <v>7</v>
      </c>
      <c r="AA466" t="s">
        <v>127</v>
      </c>
      <c r="AB466" t="s">
        <v>396</v>
      </c>
      <c r="AC466">
        <v>2011</v>
      </c>
      <c r="AD466" t="s">
        <v>233</v>
      </c>
      <c r="AE466">
        <v>1</v>
      </c>
    </row>
    <row r="467" spans="1:32" x14ac:dyDescent="0.3">
      <c r="A467" t="s">
        <v>350</v>
      </c>
      <c r="B467" t="s">
        <v>63</v>
      </c>
      <c r="C467" t="s">
        <v>95</v>
      </c>
      <c r="D467" t="s">
        <v>309</v>
      </c>
      <c r="E467" t="s">
        <v>1357</v>
      </c>
      <c r="F467" s="15">
        <v>46233.7187037037</v>
      </c>
      <c r="G467" t="s">
        <v>402</v>
      </c>
      <c r="H467">
        <v>59</v>
      </c>
      <c r="I467" t="s">
        <v>1358</v>
      </c>
      <c r="J467" s="15">
        <v>46234.474305555559</v>
      </c>
      <c r="K467" s="15">
        <v>46238.618750000001</v>
      </c>
      <c r="L467" s="15"/>
      <c r="M467">
        <v>59</v>
      </c>
      <c r="O467" t="s">
        <v>201</v>
      </c>
      <c r="P467" t="s">
        <v>1954</v>
      </c>
      <c r="S467" t="s">
        <v>363</v>
      </c>
      <c r="T467" t="s">
        <v>352</v>
      </c>
      <c r="U467" t="s">
        <v>262</v>
      </c>
      <c r="V467" t="s">
        <v>7</v>
      </c>
      <c r="W467" t="s">
        <v>7</v>
      </c>
      <c r="X467" t="s">
        <v>7</v>
      </c>
      <c r="AA467" t="s">
        <v>96</v>
      </c>
      <c r="AB467" t="s">
        <v>396</v>
      </c>
      <c r="AC467">
        <v>2011</v>
      </c>
      <c r="AD467" t="s">
        <v>225</v>
      </c>
      <c r="AE467">
        <v>59</v>
      </c>
      <c r="AF467">
        <v>10.8</v>
      </c>
    </row>
    <row r="468" spans="1:32" x14ac:dyDescent="0.3">
      <c r="A468" t="s">
        <v>350</v>
      </c>
      <c r="B468" t="s">
        <v>57</v>
      </c>
      <c r="C468" t="s">
        <v>117</v>
      </c>
      <c r="D468" t="s">
        <v>309</v>
      </c>
      <c r="E468" t="s">
        <v>1357</v>
      </c>
      <c r="F468" s="15">
        <v>46233.7187037037</v>
      </c>
      <c r="G468" t="s">
        <v>402</v>
      </c>
      <c r="H468">
        <v>59</v>
      </c>
      <c r="I468" t="s">
        <v>1358</v>
      </c>
      <c r="J468" s="15">
        <v>46234.474305555559</v>
      </c>
      <c r="K468" s="15">
        <v>46238.618750000001</v>
      </c>
      <c r="L468" s="15"/>
      <c r="M468">
        <v>59</v>
      </c>
      <c r="O468" t="s">
        <v>201</v>
      </c>
      <c r="P468" t="s">
        <v>1954</v>
      </c>
      <c r="S468" t="s">
        <v>363</v>
      </c>
      <c r="T468" t="s">
        <v>352</v>
      </c>
      <c r="U468" t="s">
        <v>262</v>
      </c>
      <c r="V468" t="s">
        <v>7</v>
      </c>
      <c r="W468" t="s">
        <v>7</v>
      </c>
      <c r="X468" t="s">
        <v>7</v>
      </c>
      <c r="AA468" t="s">
        <v>127</v>
      </c>
      <c r="AB468" t="s">
        <v>396</v>
      </c>
      <c r="AC468">
        <v>2011</v>
      </c>
      <c r="AD468" t="s">
        <v>233</v>
      </c>
      <c r="AE468">
        <v>5.9</v>
      </c>
      <c r="AF468">
        <v>1.08</v>
      </c>
    </row>
    <row r="469" spans="1:32" x14ac:dyDescent="0.3">
      <c r="A469" t="s">
        <v>350</v>
      </c>
      <c r="B469" t="s">
        <v>279</v>
      </c>
      <c r="C469" t="s">
        <v>192</v>
      </c>
      <c r="D469" t="s">
        <v>309</v>
      </c>
      <c r="E469" t="s">
        <v>1357</v>
      </c>
      <c r="F469" s="15">
        <v>46233.7187037037</v>
      </c>
      <c r="G469" t="s">
        <v>402</v>
      </c>
      <c r="H469">
        <v>2601</v>
      </c>
      <c r="I469" t="s">
        <v>1358</v>
      </c>
      <c r="J469" s="15">
        <v>46234.474305555559</v>
      </c>
      <c r="K469" s="15">
        <v>46238.618750000001</v>
      </c>
      <c r="L469" s="15"/>
      <c r="M469">
        <v>2601</v>
      </c>
      <c r="O469" t="s">
        <v>201</v>
      </c>
      <c r="P469" t="s">
        <v>1954</v>
      </c>
      <c r="S469" t="s">
        <v>363</v>
      </c>
      <c r="T469" t="s">
        <v>352</v>
      </c>
      <c r="U469" t="s">
        <v>262</v>
      </c>
      <c r="V469" t="s">
        <v>7</v>
      </c>
      <c r="W469" t="s">
        <v>7</v>
      </c>
      <c r="X469" t="s">
        <v>7</v>
      </c>
      <c r="Z469">
        <v>1</v>
      </c>
      <c r="AA469" t="s">
        <v>122</v>
      </c>
      <c r="AB469" t="s">
        <v>396</v>
      </c>
      <c r="AC469">
        <v>2011</v>
      </c>
      <c r="AD469" t="s">
        <v>232</v>
      </c>
      <c r="AE469">
        <v>2601</v>
      </c>
      <c r="AF469">
        <v>445.9</v>
      </c>
    </row>
    <row r="470" spans="1:32" x14ac:dyDescent="0.3">
      <c r="A470" t="s">
        <v>350</v>
      </c>
      <c r="B470" t="s">
        <v>63</v>
      </c>
      <c r="C470" t="s">
        <v>95</v>
      </c>
      <c r="D470" t="s">
        <v>309</v>
      </c>
      <c r="E470" t="s">
        <v>1359</v>
      </c>
      <c r="F470" s="15">
        <v>46233.717141203706</v>
      </c>
      <c r="G470" t="s">
        <v>402</v>
      </c>
      <c r="H470">
        <v>49</v>
      </c>
      <c r="I470" t="s">
        <v>1360</v>
      </c>
      <c r="J470" s="15">
        <v>46234.470833333333</v>
      </c>
      <c r="K470" s="15">
        <v>46238.338888888888</v>
      </c>
      <c r="L470" s="15"/>
      <c r="M470">
        <v>49</v>
      </c>
      <c r="O470" t="s">
        <v>201</v>
      </c>
      <c r="P470" t="s">
        <v>1954</v>
      </c>
      <c r="S470" t="s">
        <v>363</v>
      </c>
      <c r="T470" t="s">
        <v>352</v>
      </c>
      <c r="U470" t="s">
        <v>262</v>
      </c>
      <c r="V470" t="s">
        <v>7</v>
      </c>
      <c r="W470" t="s">
        <v>7</v>
      </c>
      <c r="X470" t="s">
        <v>7</v>
      </c>
      <c r="AA470" t="s">
        <v>96</v>
      </c>
      <c r="AB470" t="s">
        <v>396</v>
      </c>
      <c r="AC470">
        <v>2011</v>
      </c>
      <c r="AD470" t="s">
        <v>225</v>
      </c>
      <c r="AE470">
        <v>49</v>
      </c>
    </row>
    <row r="471" spans="1:32" x14ac:dyDescent="0.3">
      <c r="A471" t="s">
        <v>350</v>
      </c>
      <c r="B471" t="s">
        <v>57</v>
      </c>
      <c r="C471" t="s">
        <v>117</v>
      </c>
      <c r="D471" t="s">
        <v>309</v>
      </c>
      <c r="E471" t="s">
        <v>1359</v>
      </c>
      <c r="F471" s="15">
        <v>46233.717141203706</v>
      </c>
      <c r="G471" t="s">
        <v>402</v>
      </c>
      <c r="H471">
        <v>49</v>
      </c>
      <c r="I471" t="s">
        <v>1360</v>
      </c>
      <c r="J471" s="15">
        <v>46234.470833333333</v>
      </c>
      <c r="K471" s="15">
        <v>46238.338888888888</v>
      </c>
      <c r="L471" s="15"/>
      <c r="M471">
        <v>49</v>
      </c>
      <c r="O471" t="s">
        <v>201</v>
      </c>
      <c r="P471" t="s">
        <v>1954</v>
      </c>
      <c r="S471" t="s">
        <v>363</v>
      </c>
      <c r="T471" t="s">
        <v>352</v>
      </c>
      <c r="U471" t="s">
        <v>262</v>
      </c>
      <c r="V471" t="s">
        <v>7</v>
      </c>
      <c r="W471" t="s">
        <v>7</v>
      </c>
      <c r="X471" t="s">
        <v>7</v>
      </c>
      <c r="AA471" t="s">
        <v>127</v>
      </c>
      <c r="AB471" t="s">
        <v>396</v>
      </c>
      <c r="AC471">
        <v>2011</v>
      </c>
      <c r="AD471" t="s">
        <v>233</v>
      </c>
      <c r="AE471">
        <v>4.9000000000000004</v>
      </c>
    </row>
    <row r="472" spans="1:32" x14ac:dyDescent="0.3">
      <c r="A472" t="s">
        <v>350</v>
      </c>
      <c r="B472" t="s">
        <v>279</v>
      </c>
      <c r="C472" t="s">
        <v>192</v>
      </c>
      <c r="D472" t="s">
        <v>309</v>
      </c>
      <c r="E472" t="s">
        <v>1359</v>
      </c>
      <c r="F472" s="15">
        <v>46233.717141203706</v>
      </c>
      <c r="G472" t="s">
        <v>402</v>
      </c>
      <c r="H472">
        <v>1858</v>
      </c>
      <c r="I472" t="s">
        <v>1360</v>
      </c>
      <c r="J472" s="15">
        <v>46234.470833333333</v>
      </c>
      <c r="K472" s="15">
        <v>46238.338888888888</v>
      </c>
      <c r="L472" s="15"/>
      <c r="M472">
        <v>1858</v>
      </c>
      <c r="O472" t="s">
        <v>201</v>
      </c>
      <c r="P472" t="s">
        <v>1954</v>
      </c>
      <c r="S472" t="s">
        <v>363</v>
      </c>
      <c r="T472" t="s">
        <v>352</v>
      </c>
      <c r="U472" t="s">
        <v>262</v>
      </c>
      <c r="V472" t="s">
        <v>7</v>
      </c>
      <c r="W472" t="s">
        <v>7</v>
      </c>
      <c r="X472" t="s">
        <v>7</v>
      </c>
      <c r="Z472">
        <v>1</v>
      </c>
      <c r="AA472" t="s">
        <v>122</v>
      </c>
      <c r="AB472" t="s">
        <v>396</v>
      </c>
      <c r="AC472">
        <v>2011</v>
      </c>
      <c r="AD472" t="s">
        <v>232</v>
      </c>
      <c r="AE472">
        <v>1858</v>
      </c>
    </row>
    <row r="473" spans="1:32" x14ac:dyDescent="0.3">
      <c r="A473" t="s">
        <v>350</v>
      </c>
      <c r="B473" t="s">
        <v>63</v>
      </c>
      <c r="C473" t="s">
        <v>95</v>
      </c>
      <c r="D473" t="s">
        <v>309</v>
      </c>
      <c r="E473" t="s">
        <v>1345</v>
      </c>
      <c r="F473" s="15">
        <v>46232.494386574072</v>
      </c>
      <c r="G473" t="s">
        <v>1346</v>
      </c>
      <c r="H473">
        <v>24</v>
      </c>
      <c r="I473" t="s">
        <v>1347</v>
      </c>
      <c r="J473" s="15">
        <v>46232.61041666667</v>
      </c>
      <c r="K473" s="15">
        <v>46234.609722222223</v>
      </c>
      <c r="L473" s="15"/>
      <c r="M473">
        <v>24</v>
      </c>
      <c r="O473" t="s">
        <v>201</v>
      </c>
      <c r="P473" t="s">
        <v>1954</v>
      </c>
      <c r="S473" t="s">
        <v>363</v>
      </c>
      <c r="T473" t="s">
        <v>352</v>
      </c>
      <c r="U473" t="s">
        <v>262</v>
      </c>
      <c r="V473" t="s">
        <v>7</v>
      </c>
      <c r="W473" t="s">
        <v>7</v>
      </c>
      <c r="X473" t="s">
        <v>7</v>
      </c>
      <c r="AA473" t="s">
        <v>96</v>
      </c>
      <c r="AB473" t="s">
        <v>396</v>
      </c>
      <c r="AC473">
        <v>2011</v>
      </c>
      <c r="AD473" t="s">
        <v>225</v>
      </c>
      <c r="AE473">
        <v>24</v>
      </c>
      <c r="AF473">
        <v>4.8</v>
      </c>
    </row>
    <row r="474" spans="1:32" x14ac:dyDescent="0.3">
      <c r="A474" t="s">
        <v>350</v>
      </c>
      <c r="B474" t="s">
        <v>57</v>
      </c>
      <c r="C474" t="s">
        <v>117</v>
      </c>
      <c r="D474" t="s">
        <v>309</v>
      </c>
      <c r="E474" t="s">
        <v>1345</v>
      </c>
      <c r="F474" s="15">
        <v>46232.494386574072</v>
      </c>
      <c r="G474" t="s">
        <v>1346</v>
      </c>
      <c r="H474">
        <v>24</v>
      </c>
      <c r="I474" t="s">
        <v>1347</v>
      </c>
      <c r="J474" s="15">
        <v>46232.61041666667</v>
      </c>
      <c r="K474" s="15">
        <v>46234.609722222223</v>
      </c>
      <c r="L474" s="15"/>
      <c r="M474">
        <v>24</v>
      </c>
      <c r="O474" t="s">
        <v>1958</v>
      </c>
      <c r="S474" t="s">
        <v>363</v>
      </c>
      <c r="T474" t="s">
        <v>352</v>
      </c>
      <c r="U474" t="s">
        <v>262</v>
      </c>
      <c r="V474" t="s">
        <v>7</v>
      </c>
      <c r="W474" t="s">
        <v>7</v>
      </c>
      <c r="X474" t="s">
        <v>7</v>
      </c>
      <c r="AA474" t="s">
        <v>127</v>
      </c>
      <c r="AB474" t="s">
        <v>396</v>
      </c>
      <c r="AC474">
        <v>2011</v>
      </c>
      <c r="AD474" t="s">
        <v>233</v>
      </c>
      <c r="AE474">
        <v>2.4</v>
      </c>
      <c r="AF474">
        <v>1</v>
      </c>
    </row>
    <row r="475" spans="1:32" x14ac:dyDescent="0.3">
      <c r="A475" t="s">
        <v>350</v>
      </c>
      <c r="B475" t="s">
        <v>279</v>
      </c>
      <c r="C475" t="s">
        <v>192</v>
      </c>
      <c r="D475" t="s">
        <v>309</v>
      </c>
      <c r="E475" t="s">
        <v>1345</v>
      </c>
      <c r="F475" s="15">
        <v>46232.494386574072</v>
      </c>
      <c r="G475" t="s">
        <v>1346</v>
      </c>
      <c r="H475">
        <v>1610</v>
      </c>
      <c r="I475" t="s">
        <v>1347</v>
      </c>
      <c r="J475" s="15">
        <v>46232.61041666667</v>
      </c>
      <c r="K475" s="15">
        <v>46234.609722222223</v>
      </c>
      <c r="L475" s="15"/>
      <c r="M475">
        <v>1610</v>
      </c>
      <c r="O475" t="s">
        <v>1958</v>
      </c>
      <c r="S475" t="s">
        <v>363</v>
      </c>
      <c r="T475" t="s">
        <v>352</v>
      </c>
      <c r="U475" t="s">
        <v>262</v>
      </c>
      <c r="V475" t="s">
        <v>7</v>
      </c>
      <c r="W475" t="s">
        <v>7</v>
      </c>
      <c r="X475" t="s">
        <v>7</v>
      </c>
      <c r="Z475">
        <v>1</v>
      </c>
      <c r="AA475" t="s">
        <v>122</v>
      </c>
      <c r="AB475" t="s">
        <v>396</v>
      </c>
      <c r="AC475">
        <v>2011</v>
      </c>
      <c r="AD475" t="s">
        <v>232</v>
      </c>
      <c r="AE475">
        <v>1610</v>
      </c>
      <c r="AF475">
        <v>374</v>
      </c>
    </row>
    <row r="476" spans="1:32" x14ac:dyDescent="0.3">
      <c r="A476" t="s">
        <v>350</v>
      </c>
      <c r="B476" t="s">
        <v>63</v>
      </c>
      <c r="C476" t="s">
        <v>95</v>
      </c>
      <c r="D476" t="s">
        <v>309</v>
      </c>
      <c r="E476" t="s">
        <v>1345</v>
      </c>
      <c r="F476" s="15">
        <v>46232.494386574072</v>
      </c>
      <c r="G476" t="s">
        <v>1346</v>
      </c>
      <c r="H476">
        <v>24</v>
      </c>
      <c r="I476" t="s">
        <v>1347</v>
      </c>
      <c r="J476" s="15">
        <v>46232.61041666667</v>
      </c>
      <c r="K476" s="15">
        <v>46234.683333333334</v>
      </c>
      <c r="L476" s="15"/>
      <c r="M476">
        <v>24</v>
      </c>
      <c r="O476" t="s">
        <v>1958</v>
      </c>
      <c r="S476" t="s">
        <v>363</v>
      </c>
      <c r="T476" t="s">
        <v>352</v>
      </c>
      <c r="U476" t="s">
        <v>262</v>
      </c>
      <c r="V476" t="s">
        <v>7</v>
      </c>
      <c r="W476" t="s">
        <v>7</v>
      </c>
      <c r="X476" t="s">
        <v>7</v>
      </c>
      <c r="AA476" t="s">
        <v>96</v>
      </c>
      <c r="AB476" t="s">
        <v>396</v>
      </c>
      <c r="AC476">
        <v>2011</v>
      </c>
      <c r="AD476" t="s">
        <v>225</v>
      </c>
      <c r="AE476">
        <v>24</v>
      </c>
    </row>
    <row r="477" spans="1:32" x14ac:dyDescent="0.3">
      <c r="A477" t="s">
        <v>350</v>
      </c>
      <c r="B477" t="s">
        <v>57</v>
      </c>
      <c r="C477" t="s">
        <v>117</v>
      </c>
      <c r="D477" t="s">
        <v>309</v>
      </c>
      <c r="E477" t="s">
        <v>1345</v>
      </c>
      <c r="F477" s="15">
        <v>46232.494386574072</v>
      </c>
      <c r="G477" t="s">
        <v>1346</v>
      </c>
      <c r="H477">
        <v>24</v>
      </c>
      <c r="I477" t="s">
        <v>1347</v>
      </c>
      <c r="J477" s="15">
        <v>46232.61041666667</v>
      </c>
      <c r="K477" s="15">
        <v>46234.683333333334</v>
      </c>
      <c r="L477" s="15"/>
      <c r="M477">
        <v>24</v>
      </c>
      <c r="O477" t="s">
        <v>1958</v>
      </c>
      <c r="S477" t="s">
        <v>363</v>
      </c>
      <c r="T477" t="s">
        <v>352</v>
      </c>
      <c r="U477" t="s">
        <v>262</v>
      </c>
      <c r="V477" t="s">
        <v>7</v>
      </c>
      <c r="W477" t="s">
        <v>7</v>
      </c>
      <c r="X477" t="s">
        <v>7</v>
      </c>
      <c r="AA477" t="s">
        <v>127</v>
      </c>
      <c r="AB477" t="s">
        <v>396</v>
      </c>
      <c r="AC477">
        <v>2011</v>
      </c>
      <c r="AD477" t="s">
        <v>233</v>
      </c>
      <c r="AE477">
        <v>2.4</v>
      </c>
    </row>
    <row r="478" spans="1:32" x14ac:dyDescent="0.3">
      <c r="A478" t="s">
        <v>350</v>
      </c>
      <c r="B478" t="s">
        <v>279</v>
      </c>
      <c r="C478" t="s">
        <v>192</v>
      </c>
      <c r="D478" t="s">
        <v>309</v>
      </c>
      <c r="E478" t="s">
        <v>1345</v>
      </c>
      <c r="F478" s="15">
        <v>46232.494386574072</v>
      </c>
      <c r="G478" t="s">
        <v>1346</v>
      </c>
      <c r="H478">
        <v>2130</v>
      </c>
      <c r="I478" t="s">
        <v>1347</v>
      </c>
      <c r="J478" s="15">
        <v>46232.61041666667</v>
      </c>
      <c r="K478" s="15">
        <v>46234.683333333334</v>
      </c>
      <c r="L478" s="15"/>
      <c r="M478">
        <v>2130</v>
      </c>
      <c r="O478" t="s">
        <v>1958</v>
      </c>
      <c r="S478" t="s">
        <v>363</v>
      </c>
      <c r="T478" t="s">
        <v>352</v>
      </c>
      <c r="U478" t="s">
        <v>262</v>
      </c>
      <c r="V478" t="s">
        <v>7</v>
      </c>
      <c r="W478" t="s">
        <v>7</v>
      </c>
      <c r="X478" t="s">
        <v>7</v>
      </c>
      <c r="Z478">
        <v>1</v>
      </c>
      <c r="AA478" t="s">
        <v>122</v>
      </c>
      <c r="AB478" t="s">
        <v>396</v>
      </c>
      <c r="AC478">
        <v>2011</v>
      </c>
      <c r="AD478" t="s">
        <v>232</v>
      </c>
      <c r="AE478">
        <v>2130</v>
      </c>
    </row>
    <row r="479" spans="1:32" x14ac:dyDescent="0.3">
      <c r="A479" t="s">
        <v>350</v>
      </c>
      <c r="B479" t="s">
        <v>63</v>
      </c>
      <c r="C479" t="s">
        <v>95</v>
      </c>
      <c r="D479" t="s">
        <v>309</v>
      </c>
      <c r="E479" t="s">
        <v>1345</v>
      </c>
      <c r="F479" s="15">
        <v>46232.494386574072</v>
      </c>
      <c r="G479" t="s">
        <v>1346</v>
      </c>
      <c r="H479">
        <v>36</v>
      </c>
      <c r="I479" t="s">
        <v>1347</v>
      </c>
      <c r="J479" s="15">
        <v>46232.61041666667</v>
      </c>
      <c r="K479" s="15">
        <v>46258.618750000001</v>
      </c>
      <c r="L479" s="15"/>
      <c r="M479">
        <v>36</v>
      </c>
      <c r="O479" t="s">
        <v>1958</v>
      </c>
      <c r="S479" t="s">
        <v>363</v>
      </c>
      <c r="T479" t="s">
        <v>352</v>
      </c>
      <c r="U479" t="s">
        <v>262</v>
      </c>
      <c r="V479" t="s">
        <v>7</v>
      </c>
      <c r="W479" t="s">
        <v>7</v>
      </c>
      <c r="X479" t="s">
        <v>7</v>
      </c>
      <c r="AA479" t="s">
        <v>96</v>
      </c>
      <c r="AB479" t="s">
        <v>396</v>
      </c>
      <c r="AC479">
        <v>2011</v>
      </c>
      <c r="AD479" t="s">
        <v>225</v>
      </c>
      <c r="AE479">
        <v>36</v>
      </c>
    </row>
    <row r="480" spans="1:32" x14ac:dyDescent="0.3">
      <c r="A480" t="s">
        <v>350</v>
      </c>
      <c r="B480" t="s">
        <v>57</v>
      </c>
      <c r="C480" t="s">
        <v>117</v>
      </c>
      <c r="D480" t="s">
        <v>309</v>
      </c>
      <c r="E480" t="s">
        <v>1345</v>
      </c>
      <c r="F480" s="15">
        <v>46232.494386574072</v>
      </c>
      <c r="G480" t="s">
        <v>1346</v>
      </c>
      <c r="H480">
        <v>36</v>
      </c>
      <c r="I480" t="s">
        <v>1347</v>
      </c>
      <c r="J480" s="15">
        <v>46232.61041666667</v>
      </c>
      <c r="K480" s="15">
        <v>46258.618750000001</v>
      </c>
      <c r="L480" s="15"/>
      <c r="M480">
        <v>36</v>
      </c>
      <c r="O480" t="s">
        <v>1958</v>
      </c>
      <c r="S480" t="s">
        <v>363</v>
      </c>
      <c r="T480" t="s">
        <v>352</v>
      </c>
      <c r="U480" t="s">
        <v>262</v>
      </c>
      <c r="V480" t="s">
        <v>7</v>
      </c>
      <c r="W480" t="s">
        <v>7</v>
      </c>
      <c r="X480" t="s">
        <v>7</v>
      </c>
      <c r="AA480" t="s">
        <v>127</v>
      </c>
      <c r="AB480" t="s">
        <v>396</v>
      </c>
      <c r="AC480">
        <v>2011</v>
      </c>
      <c r="AD480" t="s">
        <v>233</v>
      </c>
      <c r="AE480">
        <v>3.6</v>
      </c>
    </row>
    <row r="481" spans="1:32" x14ac:dyDescent="0.3">
      <c r="A481" t="s">
        <v>350</v>
      </c>
      <c r="B481" t="s">
        <v>63</v>
      </c>
      <c r="C481" t="s">
        <v>95</v>
      </c>
      <c r="D481" t="s">
        <v>309</v>
      </c>
      <c r="E481" t="s">
        <v>1345</v>
      </c>
      <c r="F481" s="15">
        <v>46232.494386574072</v>
      </c>
      <c r="G481" t="s">
        <v>1346</v>
      </c>
      <c r="H481">
        <v>33</v>
      </c>
      <c r="I481" t="s">
        <v>1347</v>
      </c>
      <c r="J481" s="15">
        <v>46232.61041666667</v>
      </c>
      <c r="K481" s="15">
        <v>46237.611111111109</v>
      </c>
      <c r="L481" s="15"/>
      <c r="M481">
        <v>33</v>
      </c>
      <c r="O481" t="s">
        <v>1958</v>
      </c>
      <c r="S481" t="s">
        <v>363</v>
      </c>
      <c r="T481" t="s">
        <v>352</v>
      </c>
      <c r="U481" t="s">
        <v>262</v>
      </c>
      <c r="V481" t="s">
        <v>7</v>
      </c>
      <c r="W481" t="s">
        <v>7</v>
      </c>
      <c r="X481" t="s">
        <v>7</v>
      </c>
      <c r="AA481" t="s">
        <v>96</v>
      </c>
      <c r="AB481" t="s">
        <v>396</v>
      </c>
      <c r="AC481">
        <v>2011</v>
      </c>
      <c r="AD481" t="s">
        <v>225</v>
      </c>
      <c r="AE481">
        <v>33</v>
      </c>
      <c r="AF481">
        <v>3.3</v>
      </c>
    </row>
    <row r="482" spans="1:32" x14ac:dyDescent="0.3">
      <c r="A482" t="s">
        <v>350</v>
      </c>
      <c r="B482" t="s">
        <v>63</v>
      </c>
      <c r="C482" t="s">
        <v>95</v>
      </c>
      <c r="D482" t="s">
        <v>309</v>
      </c>
      <c r="E482" t="s">
        <v>1316</v>
      </c>
      <c r="F482" s="15">
        <v>46247.459618055553</v>
      </c>
      <c r="G482" t="s">
        <v>1317</v>
      </c>
      <c r="H482">
        <v>1</v>
      </c>
      <c r="I482" t="s">
        <v>1318</v>
      </c>
      <c r="J482" s="15">
        <v>46247.561030092591</v>
      </c>
      <c r="K482" s="15">
        <v>46254.421527777777</v>
      </c>
      <c r="L482" s="15"/>
      <c r="M482">
        <v>1</v>
      </c>
      <c r="O482" t="s">
        <v>201</v>
      </c>
      <c r="P482" t="s">
        <v>1954</v>
      </c>
      <c r="S482" t="s">
        <v>363</v>
      </c>
      <c r="T482" t="s">
        <v>352</v>
      </c>
      <c r="U482" t="s">
        <v>262</v>
      </c>
      <c r="V482" t="s">
        <v>7</v>
      </c>
      <c r="W482" t="s">
        <v>7</v>
      </c>
      <c r="X482" t="s">
        <v>7</v>
      </c>
      <c r="AA482" t="s">
        <v>96</v>
      </c>
      <c r="AB482" t="s">
        <v>396</v>
      </c>
      <c r="AC482">
        <v>2011</v>
      </c>
      <c r="AD482" t="s">
        <v>225</v>
      </c>
      <c r="AE482">
        <v>1</v>
      </c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143"/>
  <sheetViews>
    <sheetView workbookViewId="0">
      <pane ySplit="1" topLeftCell="A92" activePane="bottomLeft" state="frozen"/>
      <selection pane="bottomLeft" sqref="A1:Q14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628</v>
      </c>
      <c r="I1" t="s">
        <v>629</v>
      </c>
      <c r="J1" t="s">
        <v>630</v>
      </c>
      <c r="K1" t="s">
        <v>631</v>
      </c>
      <c r="L1" t="s">
        <v>632</v>
      </c>
      <c r="M1" t="s">
        <v>633</v>
      </c>
      <c r="N1" t="s">
        <v>524</v>
      </c>
      <c r="O1" t="s">
        <v>40</v>
      </c>
      <c r="P1" t="s">
        <v>367</v>
      </c>
      <c r="Q1" t="s">
        <v>210</v>
      </c>
      <c r="R1" t="s">
        <v>525</v>
      </c>
    </row>
    <row r="2" spans="1:18" x14ac:dyDescent="0.3">
      <c r="A2" t="s">
        <v>347</v>
      </c>
      <c r="B2" t="s">
        <v>43</v>
      </c>
      <c r="C2" t="s">
        <v>105</v>
      </c>
      <c r="D2" s="15">
        <v>46240.387291666666</v>
      </c>
      <c r="E2" t="s">
        <v>402</v>
      </c>
      <c r="F2">
        <v>2</v>
      </c>
      <c r="G2" s="15">
        <v>46241.395138888889</v>
      </c>
      <c r="H2" t="s">
        <v>360</v>
      </c>
      <c r="I2" t="s">
        <v>371</v>
      </c>
      <c r="J2" t="s">
        <v>240</v>
      </c>
      <c r="K2" t="s">
        <v>347</v>
      </c>
      <c r="L2" t="s">
        <v>351</v>
      </c>
      <c r="M2" t="s">
        <v>240</v>
      </c>
      <c r="N2">
        <v>13</v>
      </c>
      <c r="O2" t="s">
        <v>67</v>
      </c>
      <c r="P2" t="s">
        <v>360</v>
      </c>
      <c r="Q2" t="s">
        <v>217</v>
      </c>
      <c r="R2">
        <v>1</v>
      </c>
    </row>
    <row r="3" spans="1:18" x14ac:dyDescent="0.3">
      <c r="A3" t="s">
        <v>347</v>
      </c>
      <c r="B3" t="s">
        <v>47</v>
      </c>
      <c r="C3" t="s">
        <v>68</v>
      </c>
      <c r="D3" s="15">
        <v>46233.496469907404</v>
      </c>
      <c r="E3" t="s">
        <v>401</v>
      </c>
      <c r="F3">
        <v>2</v>
      </c>
      <c r="G3" s="15">
        <v>46234.427083333336</v>
      </c>
      <c r="H3" t="s">
        <v>360</v>
      </c>
      <c r="I3" t="s">
        <v>371</v>
      </c>
      <c r="J3" t="s">
        <v>240</v>
      </c>
      <c r="K3" t="s">
        <v>347</v>
      </c>
      <c r="L3" t="s">
        <v>351</v>
      </c>
      <c r="M3" t="s">
        <v>240</v>
      </c>
      <c r="N3">
        <v>13</v>
      </c>
      <c r="O3" t="s">
        <v>90</v>
      </c>
      <c r="P3" t="s">
        <v>360</v>
      </c>
      <c r="Q3" t="s">
        <v>218</v>
      </c>
      <c r="R3">
        <v>1</v>
      </c>
    </row>
    <row r="4" spans="1:18" x14ac:dyDescent="0.3">
      <c r="A4" t="s">
        <v>347</v>
      </c>
      <c r="B4" t="s">
        <v>45</v>
      </c>
      <c r="C4" t="s">
        <v>68</v>
      </c>
      <c r="D4" s="15">
        <v>46218.662442129629</v>
      </c>
      <c r="E4" t="s">
        <v>947</v>
      </c>
      <c r="F4">
        <v>50</v>
      </c>
      <c r="G4" s="15">
        <v>46224.486111111109</v>
      </c>
      <c r="H4" t="s">
        <v>360</v>
      </c>
      <c r="I4" t="s">
        <v>371</v>
      </c>
      <c r="J4" t="s">
        <v>240</v>
      </c>
      <c r="K4" t="s">
        <v>347</v>
      </c>
      <c r="L4" t="s">
        <v>351</v>
      </c>
      <c r="M4" t="s">
        <v>240</v>
      </c>
      <c r="N4">
        <v>13</v>
      </c>
      <c r="O4" t="s">
        <v>67</v>
      </c>
      <c r="P4" t="s">
        <v>360</v>
      </c>
      <c r="Q4" t="s">
        <v>217</v>
      </c>
      <c r="R4">
        <v>1</v>
      </c>
    </row>
    <row r="5" spans="1:18" x14ac:dyDescent="0.3">
      <c r="A5" t="s">
        <v>347</v>
      </c>
      <c r="B5" t="s">
        <v>45</v>
      </c>
      <c r="C5" t="s">
        <v>68</v>
      </c>
      <c r="D5" s="15">
        <v>46218.662719907406</v>
      </c>
      <c r="E5" t="s">
        <v>947</v>
      </c>
      <c r="F5">
        <v>50</v>
      </c>
      <c r="G5" s="15">
        <v>46224.486111111109</v>
      </c>
      <c r="H5" t="s">
        <v>360</v>
      </c>
      <c r="I5" t="s">
        <v>371</v>
      </c>
      <c r="J5" t="s">
        <v>240</v>
      </c>
      <c r="K5" t="s">
        <v>347</v>
      </c>
      <c r="L5" t="s">
        <v>351</v>
      </c>
      <c r="M5" t="s">
        <v>240</v>
      </c>
      <c r="O5" t="s">
        <v>67</v>
      </c>
      <c r="P5" t="s">
        <v>360</v>
      </c>
      <c r="Q5" t="s">
        <v>217</v>
      </c>
    </row>
    <row r="6" spans="1:18" x14ac:dyDescent="0.3">
      <c r="A6" t="s">
        <v>347</v>
      </c>
      <c r="B6" t="s">
        <v>48</v>
      </c>
      <c r="C6" t="s">
        <v>68</v>
      </c>
      <c r="D6" s="15">
        <v>46156.383645833332</v>
      </c>
      <c r="E6" t="s">
        <v>402</v>
      </c>
      <c r="F6">
        <v>1</v>
      </c>
      <c r="G6" s="15">
        <v>46230.438194444447</v>
      </c>
      <c r="H6" t="s">
        <v>360</v>
      </c>
      <c r="I6" t="s">
        <v>371</v>
      </c>
      <c r="J6" t="s">
        <v>240</v>
      </c>
      <c r="K6" t="s">
        <v>347</v>
      </c>
      <c r="L6" t="s">
        <v>351</v>
      </c>
      <c r="M6" t="s">
        <v>240</v>
      </c>
      <c r="N6">
        <v>13</v>
      </c>
      <c r="O6" t="s">
        <v>90</v>
      </c>
      <c r="P6" t="s">
        <v>360</v>
      </c>
      <c r="Q6" t="s">
        <v>217</v>
      </c>
      <c r="R6">
        <v>1</v>
      </c>
    </row>
    <row r="7" spans="1:18" x14ac:dyDescent="0.3">
      <c r="A7" t="s">
        <v>348</v>
      </c>
      <c r="B7" t="s">
        <v>43</v>
      </c>
      <c r="C7" t="s">
        <v>105</v>
      </c>
      <c r="D7" s="15">
        <v>46246.307928240742</v>
      </c>
      <c r="E7" t="s">
        <v>401</v>
      </c>
      <c r="F7">
        <v>1</v>
      </c>
      <c r="G7" s="15">
        <v>46247.461805555555</v>
      </c>
      <c r="H7" t="s">
        <v>357</v>
      </c>
      <c r="I7" t="s">
        <v>369</v>
      </c>
      <c r="J7" t="s">
        <v>239</v>
      </c>
      <c r="K7" t="s">
        <v>348</v>
      </c>
      <c r="L7" t="s">
        <v>369</v>
      </c>
      <c r="M7" t="s">
        <v>239</v>
      </c>
      <c r="N7">
        <v>0</v>
      </c>
      <c r="O7" t="s">
        <v>67</v>
      </c>
      <c r="P7" t="s">
        <v>357</v>
      </c>
      <c r="Q7" t="s">
        <v>217</v>
      </c>
      <c r="R7">
        <v>1</v>
      </c>
    </row>
    <row r="8" spans="1:18" x14ac:dyDescent="0.3">
      <c r="A8" t="s">
        <v>348</v>
      </c>
      <c r="B8" t="s">
        <v>43</v>
      </c>
      <c r="C8" t="s">
        <v>105</v>
      </c>
      <c r="D8" s="15">
        <v>46244.651597222219</v>
      </c>
      <c r="E8" t="s">
        <v>401</v>
      </c>
      <c r="F8">
        <v>2</v>
      </c>
      <c r="G8" s="15">
        <v>46246.481944444444</v>
      </c>
      <c r="H8" t="s">
        <v>357</v>
      </c>
      <c r="I8" t="s">
        <v>369</v>
      </c>
      <c r="J8" t="s">
        <v>239</v>
      </c>
      <c r="K8" t="s">
        <v>348</v>
      </c>
      <c r="L8" t="s">
        <v>369</v>
      </c>
      <c r="M8" t="s">
        <v>239</v>
      </c>
      <c r="N8">
        <v>0</v>
      </c>
      <c r="O8" t="s">
        <v>67</v>
      </c>
      <c r="P8" t="s">
        <v>357</v>
      </c>
      <c r="Q8" t="s">
        <v>217</v>
      </c>
      <c r="R8">
        <v>1</v>
      </c>
    </row>
    <row r="9" spans="1:18" x14ac:dyDescent="0.3">
      <c r="A9" t="s">
        <v>348</v>
      </c>
      <c r="B9" t="s">
        <v>43</v>
      </c>
      <c r="C9" t="s">
        <v>105</v>
      </c>
      <c r="D9" s="15">
        <v>46241.373356481483</v>
      </c>
      <c r="E9" t="s">
        <v>401</v>
      </c>
      <c r="F9">
        <v>2</v>
      </c>
      <c r="G9" s="15">
        <v>46244.479166666664</v>
      </c>
      <c r="H9" t="s">
        <v>357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N9">
        <v>0</v>
      </c>
      <c r="O9" t="s">
        <v>67</v>
      </c>
      <c r="P9" t="s">
        <v>357</v>
      </c>
      <c r="Q9" t="s">
        <v>217</v>
      </c>
      <c r="R9">
        <v>1</v>
      </c>
    </row>
    <row r="10" spans="1:18" x14ac:dyDescent="0.3">
      <c r="A10" t="s">
        <v>348</v>
      </c>
      <c r="B10" t="s">
        <v>43</v>
      </c>
      <c r="C10" t="s">
        <v>105</v>
      </c>
      <c r="D10" s="15">
        <v>46239.511006944442</v>
      </c>
      <c r="E10" t="s">
        <v>401</v>
      </c>
      <c r="F10">
        <v>3</v>
      </c>
      <c r="G10" s="15">
        <v>46240.486805555556</v>
      </c>
      <c r="H10" t="s">
        <v>357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N10">
        <v>0</v>
      </c>
      <c r="O10" t="s">
        <v>67</v>
      </c>
      <c r="P10" t="s">
        <v>357</v>
      </c>
      <c r="Q10" t="s">
        <v>217</v>
      </c>
      <c r="R10">
        <v>1</v>
      </c>
    </row>
    <row r="11" spans="1:18" x14ac:dyDescent="0.3">
      <c r="A11" t="s">
        <v>348</v>
      </c>
      <c r="B11" t="s">
        <v>45</v>
      </c>
      <c r="C11" t="s">
        <v>68</v>
      </c>
      <c r="D11" s="15">
        <v>46238.581493055557</v>
      </c>
      <c r="E11" t="s">
        <v>401</v>
      </c>
      <c r="F11">
        <v>9</v>
      </c>
      <c r="G11" s="15">
        <v>46240.479166666664</v>
      </c>
      <c r="H11" t="s">
        <v>357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67</v>
      </c>
      <c r="P11" t="s">
        <v>357</v>
      </c>
      <c r="Q11" t="s">
        <v>217</v>
      </c>
    </row>
    <row r="12" spans="1:18" x14ac:dyDescent="0.3">
      <c r="A12" t="s">
        <v>348</v>
      </c>
      <c r="B12" t="s">
        <v>43</v>
      </c>
      <c r="C12" t="s">
        <v>105</v>
      </c>
      <c r="D12" s="15">
        <v>46232.641296296293</v>
      </c>
      <c r="E12" t="s">
        <v>401</v>
      </c>
      <c r="F12">
        <v>3</v>
      </c>
      <c r="G12" s="15">
        <v>46233.513888888891</v>
      </c>
      <c r="H12" t="s">
        <v>357</v>
      </c>
      <c r="I12" t="s">
        <v>369</v>
      </c>
      <c r="J12" t="s">
        <v>239</v>
      </c>
      <c r="K12" t="s">
        <v>348</v>
      </c>
      <c r="L12" t="s">
        <v>369</v>
      </c>
      <c r="M12" t="s">
        <v>239</v>
      </c>
      <c r="N12">
        <v>0</v>
      </c>
      <c r="O12" t="s">
        <v>67</v>
      </c>
      <c r="P12" t="s">
        <v>357</v>
      </c>
      <c r="Q12" t="s">
        <v>217</v>
      </c>
      <c r="R12">
        <v>1</v>
      </c>
    </row>
    <row r="13" spans="1:18" x14ac:dyDescent="0.3">
      <c r="A13" t="s">
        <v>348</v>
      </c>
      <c r="B13" t="s">
        <v>43</v>
      </c>
      <c r="C13" t="s">
        <v>105</v>
      </c>
      <c r="D13" s="15">
        <v>46220.487835648149</v>
      </c>
      <c r="E13" t="s">
        <v>401</v>
      </c>
      <c r="F13">
        <v>3</v>
      </c>
      <c r="G13" s="15">
        <v>46224.423611111109</v>
      </c>
      <c r="H13" t="s">
        <v>357</v>
      </c>
      <c r="I13" t="s">
        <v>369</v>
      </c>
      <c r="J13" t="s">
        <v>239</v>
      </c>
      <c r="K13" t="s">
        <v>348</v>
      </c>
      <c r="L13" t="s">
        <v>369</v>
      </c>
      <c r="M13" t="s">
        <v>239</v>
      </c>
      <c r="N13">
        <v>0</v>
      </c>
      <c r="O13" t="s">
        <v>67</v>
      </c>
      <c r="P13" t="s">
        <v>357</v>
      </c>
      <c r="Q13" t="s">
        <v>217</v>
      </c>
      <c r="R13">
        <v>1</v>
      </c>
    </row>
    <row r="14" spans="1:18" x14ac:dyDescent="0.3">
      <c r="A14" t="s">
        <v>348</v>
      </c>
      <c r="B14" t="s">
        <v>47</v>
      </c>
      <c r="C14" t="s">
        <v>68</v>
      </c>
      <c r="D14" s="15">
        <v>46239.471967592595</v>
      </c>
      <c r="E14" t="s">
        <v>401</v>
      </c>
      <c r="F14">
        <v>1</v>
      </c>
      <c r="G14" s="15">
        <v>46240.488194444442</v>
      </c>
      <c r="H14" t="s">
        <v>357</v>
      </c>
      <c r="I14" t="s">
        <v>369</v>
      </c>
      <c r="J14" t="s">
        <v>239</v>
      </c>
      <c r="K14" t="s">
        <v>348</v>
      </c>
      <c r="L14" t="s">
        <v>369</v>
      </c>
      <c r="M14" t="s">
        <v>239</v>
      </c>
      <c r="N14">
        <v>0</v>
      </c>
      <c r="O14" t="s">
        <v>90</v>
      </c>
      <c r="P14" t="s">
        <v>357</v>
      </c>
      <c r="Q14" t="s">
        <v>218</v>
      </c>
      <c r="R14">
        <v>1</v>
      </c>
    </row>
    <row r="15" spans="1:18" x14ac:dyDescent="0.3">
      <c r="A15" t="s">
        <v>348</v>
      </c>
      <c r="B15" t="s">
        <v>47</v>
      </c>
      <c r="C15" t="s">
        <v>68</v>
      </c>
      <c r="D15" s="15">
        <v>46239.466099537036</v>
      </c>
      <c r="E15" t="s">
        <v>401</v>
      </c>
      <c r="F15">
        <v>1</v>
      </c>
      <c r="G15" s="15">
        <v>46240.467361111114</v>
      </c>
      <c r="H15" t="s">
        <v>357</v>
      </c>
      <c r="I15" t="s">
        <v>369</v>
      </c>
      <c r="J15" t="s">
        <v>239</v>
      </c>
      <c r="K15" t="s">
        <v>348</v>
      </c>
      <c r="L15" t="s">
        <v>369</v>
      </c>
      <c r="M15" t="s">
        <v>239</v>
      </c>
      <c r="O15" t="s">
        <v>90</v>
      </c>
      <c r="P15" t="s">
        <v>357</v>
      </c>
      <c r="Q15" t="s">
        <v>218</v>
      </c>
    </row>
    <row r="16" spans="1:18" x14ac:dyDescent="0.3">
      <c r="A16" t="s">
        <v>348</v>
      </c>
      <c r="B16" t="s">
        <v>47</v>
      </c>
      <c r="C16" t="s">
        <v>68</v>
      </c>
      <c r="D16" s="15">
        <v>46233.500243055554</v>
      </c>
      <c r="E16" t="s">
        <v>401</v>
      </c>
      <c r="F16">
        <v>2</v>
      </c>
      <c r="G16" s="15">
        <v>46234.449305555558</v>
      </c>
      <c r="H16" t="s">
        <v>357</v>
      </c>
      <c r="I16" t="s">
        <v>369</v>
      </c>
      <c r="J16" t="s">
        <v>239</v>
      </c>
      <c r="K16" t="s">
        <v>348</v>
      </c>
      <c r="L16" t="s">
        <v>369</v>
      </c>
      <c r="M16" t="s">
        <v>239</v>
      </c>
      <c r="N16">
        <v>0</v>
      </c>
      <c r="O16" t="s">
        <v>90</v>
      </c>
      <c r="P16" t="s">
        <v>357</v>
      </c>
      <c r="Q16" t="s">
        <v>218</v>
      </c>
      <c r="R16">
        <v>1</v>
      </c>
    </row>
    <row r="17" spans="1:18" x14ac:dyDescent="0.3">
      <c r="A17" t="s">
        <v>348</v>
      </c>
      <c r="B17" t="s">
        <v>47</v>
      </c>
      <c r="C17" t="s">
        <v>68</v>
      </c>
      <c r="D17" s="15">
        <v>46240.53496527778</v>
      </c>
      <c r="E17" t="s">
        <v>401</v>
      </c>
      <c r="F17">
        <v>1</v>
      </c>
      <c r="G17" s="15">
        <v>46241.430555555555</v>
      </c>
      <c r="H17" t="s">
        <v>357</v>
      </c>
      <c r="I17" t="s">
        <v>369</v>
      </c>
      <c r="J17" t="s">
        <v>239</v>
      </c>
      <c r="K17" t="s">
        <v>348</v>
      </c>
      <c r="L17" t="s">
        <v>369</v>
      </c>
      <c r="M17" t="s">
        <v>239</v>
      </c>
      <c r="N17">
        <v>0</v>
      </c>
      <c r="O17" t="s">
        <v>90</v>
      </c>
      <c r="P17" t="s">
        <v>357</v>
      </c>
      <c r="Q17" t="s">
        <v>218</v>
      </c>
      <c r="R17">
        <v>1</v>
      </c>
    </row>
    <row r="18" spans="1:18" x14ac:dyDescent="0.3">
      <c r="A18" t="s">
        <v>348</v>
      </c>
      <c r="B18" t="s">
        <v>48</v>
      </c>
      <c r="C18" t="s">
        <v>68</v>
      </c>
      <c r="D18" s="15">
        <v>46246.518310185187</v>
      </c>
      <c r="E18" t="s">
        <v>401</v>
      </c>
      <c r="F18">
        <v>1</v>
      </c>
      <c r="G18" s="15">
        <v>46254.573611111111</v>
      </c>
      <c r="H18" t="s">
        <v>357</v>
      </c>
      <c r="I18" t="s">
        <v>369</v>
      </c>
      <c r="J18" t="s">
        <v>239</v>
      </c>
      <c r="K18" t="s">
        <v>348</v>
      </c>
      <c r="L18" t="s">
        <v>369</v>
      </c>
      <c r="M18" t="s">
        <v>239</v>
      </c>
      <c r="N18">
        <v>0</v>
      </c>
      <c r="O18" t="s">
        <v>90</v>
      </c>
      <c r="P18" t="s">
        <v>357</v>
      </c>
      <c r="Q18" t="s">
        <v>217</v>
      </c>
      <c r="R18">
        <v>1</v>
      </c>
    </row>
    <row r="19" spans="1:18" x14ac:dyDescent="0.3">
      <c r="A19" t="s">
        <v>348</v>
      </c>
      <c r="B19" t="s">
        <v>48</v>
      </c>
      <c r="C19" t="s">
        <v>68</v>
      </c>
      <c r="D19" s="15">
        <v>46251.526550925926</v>
      </c>
      <c r="E19" t="s">
        <v>401</v>
      </c>
      <c r="F19">
        <v>1</v>
      </c>
      <c r="G19" s="15">
        <v>46254.573611111111</v>
      </c>
      <c r="H19" t="s">
        <v>357</v>
      </c>
      <c r="I19" t="s">
        <v>369</v>
      </c>
      <c r="J19" t="s">
        <v>239</v>
      </c>
      <c r="K19" t="s">
        <v>348</v>
      </c>
      <c r="L19" t="s">
        <v>369</v>
      </c>
      <c r="M19" t="s">
        <v>239</v>
      </c>
      <c r="O19" t="s">
        <v>90</v>
      </c>
      <c r="P19" t="s">
        <v>357</v>
      </c>
      <c r="Q19" t="s">
        <v>217</v>
      </c>
    </row>
    <row r="20" spans="1:18" x14ac:dyDescent="0.3">
      <c r="A20" t="s">
        <v>348</v>
      </c>
      <c r="B20" t="s">
        <v>48</v>
      </c>
      <c r="C20" t="s">
        <v>68</v>
      </c>
      <c r="D20" s="15">
        <v>46251.620995370373</v>
      </c>
      <c r="E20" t="s">
        <v>401</v>
      </c>
      <c r="F20">
        <v>2</v>
      </c>
      <c r="G20" s="15">
        <v>46254.573611111111</v>
      </c>
      <c r="H20" t="s">
        <v>357</v>
      </c>
      <c r="I20" t="s">
        <v>369</v>
      </c>
      <c r="J20" t="s">
        <v>239</v>
      </c>
      <c r="K20" t="s">
        <v>348</v>
      </c>
      <c r="L20" t="s">
        <v>369</v>
      </c>
      <c r="M20" t="s">
        <v>239</v>
      </c>
      <c r="O20" t="s">
        <v>90</v>
      </c>
      <c r="P20" t="s">
        <v>357</v>
      </c>
      <c r="Q20" t="s">
        <v>217</v>
      </c>
    </row>
    <row r="21" spans="1:18" x14ac:dyDescent="0.3">
      <c r="A21" t="s">
        <v>348</v>
      </c>
      <c r="B21" t="s">
        <v>48</v>
      </c>
      <c r="C21" t="s">
        <v>68</v>
      </c>
      <c r="D21" s="15">
        <v>46254.383645833332</v>
      </c>
      <c r="E21" t="s">
        <v>401</v>
      </c>
      <c r="F21">
        <v>1</v>
      </c>
      <c r="G21" s="15">
        <v>46258.484027777777</v>
      </c>
      <c r="H21" t="s">
        <v>357</v>
      </c>
      <c r="I21" t="s">
        <v>369</v>
      </c>
      <c r="J21" t="s">
        <v>239</v>
      </c>
      <c r="K21" t="s">
        <v>348</v>
      </c>
      <c r="L21" t="s">
        <v>369</v>
      </c>
      <c r="M21" t="s">
        <v>239</v>
      </c>
      <c r="N21">
        <v>0</v>
      </c>
      <c r="O21" t="s">
        <v>90</v>
      </c>
      <c r="P21" t="s">
        <v>357</v>
      </c>
      <c r="Q21" t="s">
        <v>217</v>
      </c>
      <c r="R21">
        <v>1</v>
      </c>
    </row>
    <row r="22" spans="1:18" x14ac:dyDescent="0.3">
      <c r="A22" t="s">
        <v>348</v>
      </c>
      <c r="B22" t="s">
        <v>48</v>
      </c>
      <c r="C22" t="s">
        <v>68</v>
      </c>
      <c r="D22" s="15">
        <v>46246.459398148145</v>
      </c>
      <c r="E22" t="s">
        <v>401</v>
      </c>
      <c r="F22">
        <v>1</v>
      </c>
      <c r="G22" s="15">
        <v>46258.484027777777</v>
      </c>
      <c r="H22" t="s">
        <v>357</v>
      </c>
      <c r="I22" t="s">
        <v>369</v>
      </c>
      <c r="J22" t="s">
        <v>239</v>
      </c>
      <c r="K22" t="s">
        <v>348</v>
      </c>
      <c r="L22" t="s">
        <v>369</v>
      </c>
      <c r="M22" t="s">
        <v>239</v>
      </c>
      <c r="O22" t="s">
        <v>90</v>
      </c>
      <c r="P22" t="s">
        <v>357</v>
      </c>
      <c r="Q22" t="s">
        <v>217</v>
      </c>
    </row>
    <row r="23" spans="1:18" x14ac:dyDescent="0.3">
      <c r="A23" t="s">
        <v>348</v>
      </c>
      <c r="B23" t="s">
        <v>48</v>
      </c>
      <c r="C23" t="s">
        <v>68</v>
      </c>
      <c r="D23" s="15">
        <v>46245.580497685187</v>
      </c>
      <c r="E23" t="s">
        <v>401</v>
      </c>
      <c r="F23">
        <v>1</v>
      </c>
      <c r="G23" s="15">
        <v>46258.484027777777</v>
      </c>
      <c r="H23" t="s">
        <v>357</v>
      </c>
      <c r="I23" t="s">
        <v>369</v>
      </c>
      <c r="J23" t="s">
        <v>239</v>
      </c>
      <c r="K23" t="s">
        <v>348</v>
      </c>
      <c r="L23" t="s">
        <v>369</v>
      </c>
      <c r="M23" t="s">
        <v>239</v>
      </c>
      <c r="O23" t="s">
        <v>90</v>
      </c>
      <c r="P23" t="s">
        <v>357</v>
      </c>
      <c r="Q23" t="s">
        <v>217</v>
      </c>
    </row>
    <row r="24" spans="1:18" x14ac:dyDescent="0.3">
      <c r="A24" t="s">
        <v>348</v>
      </c>
      <c r="B24" t="s">
        <v>48</v>
      </c>
      <c r="C24" t="s">
        <v>68</v>
      </c>
      <c r="D24" s="15">
        <v>46253.381192129629</v>
      </c>
      <c r="E24" t="s">
        <v>401</v>
      </c>
      <c r="F24">
        <v>1</v>
      </c>
      <c r="G24" s="15">
        <v>46255.386805555558</v>
      </c>
      <c r="H24" t="s">
        <v>357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N24">
        <v>0</v>
      </c>
      <c r="O24" t="s">
        <v>90</v>
      </c>
      <c r="P24" t="s">
        <v>357</v>
      </c>
      <c r="Q24" t="s">
        <v>217</v>
      </c>
      <c r="R24">
        <v>1</v>
      </c>
    </row>
    <row r="25" spans="1:18" x14ac:dyDescent="0.3">
      <c r="A25" t="s">
        <v>348</v>
      </c>
      <c r="B25" t="s">
        <v>48</v>
      </c>
      <c r="C25" t="s">
        <v>68</v>
      </c>
      <c r="D25" s="15">
        <v>46237.501354166663</v>
      </c>
      <c r="E25" t="s">
        <v>401</v>
      </c>
      <c r="F25">
        <v>1</v>
      </c>
      <c r="G25" s="15">
        <v>46239.477777777778</v>
      </c>
      <c r="H25" t="s">
        <v>357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N25">
        <v>0</v>
      </c>
      <c r="O25" t="s">
        <v>90</v>
      </c>
      <c r="P25" t="s">
        <v>357</v>
      </c>
      <c r="Q25" t="s">
        <v>217</v>
      </c>
      <c r="R25">
        <v>1</v>
      </c>
    </row>
    <row r="26" spans="1:18" x14ac:dyDescent="0.3">
      <c r="A26" t="s">
        <v>348</v>
      </c>
      <c r="B26" t="s">
        <v>48</v>
      </c>
      <c r="C26" t="s">
        <v>68</v>
      </c>
      <c r="D26" s="15">
        <v>46237.522916666669</v>
      </c>
      <c r="E26" t="s">
        <v>401</v>
      </c>
      <c r="F26">
        <v>2</v>
      </c>
      <c r="G26" s="15">
        <v>46239.477777777778</v>
      </c>
      <c r="H26" t="s">
        <v>357</v>
      </c>
      <c r="I26" t="s">
        <v>369</v>
      </c>
      <c r="J26" t="s">
        <v>239</v>
      </c>
      <c r="K26" t="s">
        <v>348</v>
      </c>
      <c r="L26" t="s">
        <v>369</v>
      </c>
      <c r="M26" t="s">
        <v>239</v>
      </c>
      <c r="O26" t="s">
        <v>90</v>
      </c>
      <c r="P26" t="s">
        <v>357</v>
      </c>
      <c r="Q26" t="s">
        <v>217</v>
      </c>
    </row>
    <row r="27" spans="1:18" x14ac:dyDescent="0.3">
      <c r="A27" t="s">
        <v>348</v>
      </c>
      <c r="B27" t="s">
        <v>48</v>
      </c>
      <c r="C27" t="s">
        <v>68</v>
      </c>
      <c r="D27" s="15">
        <v>46226.405069444445</v>
      </c>
      <c r="E27" t="s">
        <v>401</v>
      </c>
      <c r="F27">
        <v>2</v>
      </c>
      <c r="G27" s="15">
        <v>46230.652777777781</v>
      </c>
      <c r="H27" t="s">
        <v>357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90</v>
      </c>
      <c r="P27" t="s">
        <v>357</v>
      </c>
      <c r="Q27" t="s">
        <v>217</v>
      </c>
      <c r="R27">
        <v>1</v>
      </c>
    </row>
    <row r="28" spans="1:18" x14ac:dyDescent="0.3">
      <c r="A28" t="s">
        <v>348</v>
      </c>
      <c r="B28" t="s">
        <v>48</v>
      </c>
      <c r="C28" t="s">
        <v>68</v>
      </c>
      <c r="D28" s="15">
        <v>46224.393900462965</v>
      </c>
      <c r="E28" t="s">
        <v>401</v>
      </c>
      <c r="F28">
        <v>1</v>
      </c>
      <c r="G28" s="15">
        <v>46234.497916666667</v>
      </c>
      <c r="H28" t="s">
        <v>357</v>
      </c>
      <c r="I28" t="s">
        <v>369</v>
      </c>
      <c r="J28" t="s">
        <v>239</v>
      </c>
      <c r="K28" t="s">
        <v>348</v>
      </c>
      <c r="L28" t="s">
        <v>369</v>
      </c>
      <c r="M28" t="s">
        <v>239</v>
      </c>
      <c r="N28">
        <v>0</v>
      </c>
      <c r="O28" t="s">
        <v>90</v>
      </c>
      <c r="P28" t="s">
        <v>357</v>
      </c>
      <c r="Q28" t="s">
        <v>217</v>
      </c>
      <c r="R28">
        <v>1</v>
      </c>
    </row>
    <row r="29" spans="1:18" x14ac:dyDescent="0.3">
      <c r="A29" t="s">
        <v>348</v>
      </c>
      <c r="B29" t="s">
        <v>43</v>
      </c>
      <c r="C29" t="s">
        <v>105</v>
      </c>
      <c r="D29" s="15">
        <v>46244.369768518518</v>
      </c>
      <c r="E29" t="s">
        <v>402</v>
      </c>
      <c r="F29">
        <v>4</v>
      </c>
      <c r="G29" s="15">
        <v>46246.443055555559</v>
      </c>
      <c r="H29" t="s">
        <v>354</v>
      </c>
      <c r="I29" t="s">
        <v>369</v>
      </c>
      <c r="J29" t="s">
        <v>239</v>
      </c>
      <c r="K29" t="s">
        <v>348</v>
      </c>
      <c r="L29" t="s">
        <v>369</v>
      </c>
      <c r="M29" t="s">
        <v>239</v>
      </c>
      <c r="N29">
        <v>0</v>
      </c>
      <c r="O29" t="s">
        <v>67</v>
      </c>
      <c r="P29" t="s">
        <v>354</v>
      </c>
      <c r="Q29" t="s">
        <v>217</v>
      </c>
      <c r="R29">
        <v>1</v>
      </c>
    </row>
    <row r="30" spans="1:18" x14ac:dyDescent="0.3">
      <c r="A30" t="s">
        <v>348</v>
      </c>
      <c r="B30" t="s">
        <v>48</v>
      </c>
      <c r="C30" t="s">
        <v>68</v>
      </c>
      <c r="D30" s="15">
        <v>46244.381539351853</v>
      </c>
      <c r="E30" t="s">
        <v>402</v>
      </c>
      <c r="F30">
        <v>1</v>
      </c>
      <c r="G30" s="15">
        <v>46246.443055555559</v>
      </c>
      <c r="H30" t="s">
        <v>354</v>
      </c>
      <c r="I30" t="s">
        <v>369</v>
      </c>
      <c r="J30" t="s">
        <v>239</v>
      </c>
      <c r="K30" t="s">
        <v>348</v>
      </c>
      <c r="L30" t="s">
        <v>369</v>
      </c>
      <c r="M30" t="s">
        <v>239</v>
      </c>
      <c r="O30" t="s">
        <v>90</v>
      </c>
      <c r="P30" t="s">
        <v>354</v>
      </c>
      <c r="Q30" t="s">
        <v>217</v>
      </c>
    </row>
    <row r="31" spans="1:18" x14ac:dyDescent="0.3">
      <c r="A31" t="s">
        <v>348</v>
      </c>
      <c r="B31" t="s">
        <v>43</v>
      </c>
      <c r="C31" t="s">
        <v>105</v>
      </c>
      <c r="D31" s="15">
        <v>46227.579050925924</v>
      </c>
      <c r="E31" t="s">
        <v>402</v>
      </c>
      <c r="F31">
        <v>2</v>
      </c>
      <c r="G31" s="15">
        <v>46231.416666666664</v>
      </c>
      <c r="H31" t="s">
        <v>354</v>
      </c>
      <c r="I31" t="s">
        <v>369</v>
      </c>
      <c r="J31" t="s">
        <v>239</v>
      </c>
      <c r="K31" t="s">
        <v>348</v>
      </c>
      <c r="L31" t="s">
        <v>369</v>
      </c>
      <c r="M31" t="s">
        <v>239</v>
      </c>
      <c r="N31">
        <v>0</v>
      </c>
      <c r="O31" t="s">
        <v>67</v>
      </c>
      <c r="P31" t="s">
        <v>354</v>
      </c>
      <c r="Q31" t="s">
        <v>217</v>
      </c>
      <c r="R31">
        <v>1</v>
      </c>
    </row>
    <row r="32" spans="1:18" x14ac:dyDescent="0.3">
      <c r="A32" t="s">
        <v>348</v>
      </c>
      <c r="B32" t="s">
        <v>47</v>
      </c>
      <c r="C32" t="s">
        <v>68</v>
      </c>
      <c r="D32" s="15">
        <v>46240.53496527778</v>
      </c>
      <c r="E32" t="s">
        <v>401</v>
      </c>
      <c r="F32">
        <v>2</v>
      </c>
      <c r="G32" s="15">
        <v>46241.430555555555</v>
      </c>
      <c r="H32" t="s">
        <v>354</v>
      </c>
      <c r="I32" t="s">
        <v>369</v>
      </c>
      <c r="J32" t="s">
        <v>239</v>
      </c>
      <c r="K32" t="s">
        <v>348</v>
      </c>
      <c r="L32" t="s">
        <v>369</v>
      </c>
      <c r="M32" t="s">
        <v>239</v>
      </c>
      <c r="N32">
        <v>0</v>
      </c>
      <c r="O32" t="s">
        <v>90</v>
      </c>
      <c r="P32" t="s">
        <v>354</v>
      </c>
      <c r="Q32" t="s">
        <v>218</v>
      </c>
      <c r="R32">
        <v>1</v>
      </c>
    </row>
    <row r="33" spans="1:18" x14ac:dyDescent="0.3">
      <c r="A33" t="s">
        <v>348</v>
      </c>
      <c r="B33" t="s">
        <v>45</v>
      </c>
      <c r="C33" t="s">
        <v>68</v>
      </c>
      <c r="D33" s="15">
        <v>46238.415856481479</v>
      </c>
      <c r="E33" t="s">
        <v>406</v>
      </c>
      <c r="F33">
        <v>3</v>
      </c>
      <c r="G33" s="15">
        <v>46240.430555555555</v>
      </c>
      <c r="H33" t="s">
        <v>354</v>
      </c>
      <c r="I33" t="s">
        <v>369</v>
      </c>
      <c r="J33" t="s">
        <v>239</v>
      </c>
      <c r="K33" t="s">
        <v>348</v>
      </c>
      <c r="L33" t="s">
        <v>369</v>
      </c>
      <c r="M33" t="s">
        <v>239</v>
      </c>
      <c r="N33">
        <v>0</v>
      </c>
      <c r="O33" t="s">
        <v>67</v>
      </c>
      <c r="P33" t="s">
        <v>354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46238.416307870371</v>
      </c>
      <c r="E34" t="s">
        <v>406</v>
      </c>
      <c r="F34">
        <v>10</v>
      </c>
      <c r="G34" s="15">
        <v>46240.430555555555</v>
      </c>
      <c r="H34" t="s">
        <v>354</v>
      </c>
      <c r="I34" t="s">
        <v>369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354</v>
      </c>
      <c r="Q34" t="s">
        <v>217</v>
      </c>
    </row>
    <row r="35" spans="1:18" x14ac:dyDescent="0.3">
      <c r="A35" t="s">
        <v>348</v>
      </c>
      <c r="B35" t="s">
        <v>45</v>
      </c>
      <c r="C35" t="s">
        <v>68</v>
      </c>
      <c r="D35" s="15">
        <v>46238.415497685186</v>
      </c>
      <c r="E35" t="s">
        <v>406</v>
      </c>
      <c r="F35">
        <v>9</v>
      </c>
      <c r="G35" s="15">
        <v>46240.430555555555</v>
      </c>
      <c r="H35" t="s">
        <v>354</v>
      </c>
      <c r="I35" t="s">
        <v>369</v>
      </c>
      <c r="J35" t="s">
        <v>239</v>
      </c>
      <c r="K35" t="s">
        <v>348</v>
      </c>
      <c r="L35" t="s">
        <v>369</v>
      </c>
      <c r="M35" t="s">
        <v>239</v>
      </c>
      <c r="O35" t="s">
        <v>67</v>
      </c>
      <c r="P35" t="s">
        <v>354</v>
      </c>
      <c r="Q35" t="s">
        <v>217</v>
      </c>
    </row>
    <row r="36" spans="1:18" x14ac:dyDescent="0.3">
      <c r="A36" t="s">
        <v>348</v>
      </c>
      <c r="B36" t="s">
        <v>45</v>
      </c>
      <c r="C36" t="s">
        <v>68</v>
      </c>
      <c r="D36" s="15">
        <v>46237.469942129632</v>
      </c>
      <c r="E36" t="s">
        <v>402</v>
      </c>
      <c r="F36">
        <v>1</v>
      </c>
      <c r="G36" s="15">
        <v>46240.638888888891</v>
      </c>
      <c r="H36" t="s">
        <v>354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N36">
        <v>0</v>
      </c>
      <c r="O36" t="s">
        <v>67</v>
      </c>
      <c r="P36" t="s">
        <v>354</v>
      </c>
      <c r="Q36" t="s">
        <v>217</v>
      </c>
    </row>
    <row r="37" spans="1:18" x14ac:dyDescent="0.3">
      <c r="A37" t="s">
        <v>348</v>
      </c>
      <c r="B37" t="s">
        <v>48</v>
      </c>
      <c r="C37" t="s">
        <v>68</v>
      </c>
      <c r="D37" s="15">
        <v>46233.385277777779</v>
      </c>
      <c r="E37" t="s">
        <v>402</v>
      </c>
      <c r="F37">
        <v>1</v>
      </c>
      <c r="G37" s="15">
        <v>46240.420138888891</v>
      </c>
      <c r="H37" t="s">
        <v>354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N37">
        <v>0</v>
      </c>
      <c r="O37" t="s">
        <v>90</v>
      </c>
      <c r="P37" t="s">
        <v>354</v>
      </c>
      <c r="Q37" t="s">
        <v>217</v>
      </c>
    </row>
    <row r="38" spans="1:18" x14ac:dyDescent="0.3">
      <c r="A38" t="s">
        <v>348</v>
      </c>
      <c r="B38" t="s">
        <v>45</v>
      </c>
      <c r="C38" t="s">
        <v>68</v>
      </c>
      <c r="D38" s="15">
        <v>46225.311331018522</v>
      </c>
      <c r="E38" t="s">
        <v>399</v>
      </c>
      <c r="F38">
        <v>3</v>
      </c>
      <c r="G38" s="15">
        <v>46227.42291666667</v>
      </c>
      <c r="H38" t="s">
        <v>354</v>
      </c>
      <c r="I38" t="s">
        <v>369</v>
      </c>
      <c r="J38" t="s">
        <v>239</v>
      </c>
      <c r="K38" t="s">
        <v>348</v>
      </c>
      <c r="L38" t="s">
        <v>369</v>
      </c>
      <c r="M38" t="s">
        <v>239</v>
      </c>
      <c r="N38">
        <v>0</v>
      </c>
      <c r="O38" t="s">
        <v>67</v>
      </c>
      <c r="P38" t="s">
        <v>354</v>
      </c>
      <c r="Q38" t="s">
        <v>217</v>
      </c>
      <c r="R38">
        <v>1</v>
      </c>
    </row>
    <row r="39" spans="1:18" x14ac:dyDescent="0.3">
      <c r="A39" t="s">
        <v>348</v>
      </c>
      <c r="B39" t="s">
        <v>45</v>
      </c>
      <c r="C39" t="s">
        <v>68</v>
      </c>
      <c r="D39" s="15">
        <v>46225.310555555552</v>
      </c>
      <c r="E39" t="s">
        <v>399</v>
      </c>
      <c r="F39">
        <v>4</v>
      </c>
      <c r="G39" s="15">
        <v>46227.42291666667</v>
      </c>
      <c r="H39" t="s">
        <v>354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O39" t="s">
        <v>67</v>
      </c>
      <c r="P39" t="s">
        <v>354</v>
      </c>
      <c r="Q39" t="s">
        <v>217</v>
      </c>
    </row>
    <row r="40" spans="1:18" x14ac:dyDescent="0.3">
      <c r="A40" t="s">
        <v>348</v>
      </c>
      <c r="B40" t="s">
        <v>48</v>
      </c>
      <c r="C40" t="s">
        <v>68</v>
      </c>
      <c r="D40" s="15">
        <v>46225.384560185186</v>
      </c>
      <c r="E40" t="s">
        <v>402</v>
      </c>
      <c r="F40">
        <v>1</v>
      </c>
      <c r="G40" s="15">
        <v>46227.40347222222</v>
      </c>
      <c r="H40" t="s">
        <v>354</v>
      </c>
      <c r="I40" t="s">
        <v>369</v>
      </c>
      <c r="J40" t="s">
        <v>239</v>
      </c>
      <c r="K40" t="s">
        <v>348</v>
      </c>
      <c r="L40" t="s">
        <v>369</v>
      </c>
      <c r="M40" t="s">
        <v>239</v>
      </c>
      <c r="O40" t="s">
        <v>90</v>
      </c>
      <c r="P40" t="s">
        <v>354</v>
      </c>
      <c r="Q40" t="s">
        <v>217</v>
      </c>
    </row>
    <row r="41" spans="1:18" x14ac:dyDescent="0.3">
      <c r="A41" t="s">
        <v>348</v>
      </c>
      <c r="B41" t="s">
        <v>48</v>
      </c>
      <c r="C41" t="s">
        <v>68</v>
      </c>
      <c r="D41" s="15">
        <v>46225.554189814815</v>
      </c>
      <c r="E41" t="s">
        <v>402</v>
      </c>
      <c r="F41">
        <v>1</v>
      </c>
      <c r="G41" s="15">
        <v>46227.40347222222</v>
      </c>
      <c r="H41" t="s">
        <v>354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O41" t="s">
        <v>90</v>
      </c>
      <c r="P41" t="s">
        <v>354</v>
      </c>
      <c r="Q41" t="s">
        <v>217</v>
      </c>
    </row>
    <row r="42" spans="1:18" x14ac:dyDescent="0.3">
      <c r="A42" t="s">
        <v>348</v>
      </c>
      <c r="B42" t="s">
        <v>43</v>
      </c>
      <c r="C42" t="s">
        <v>105</v>
      </c>
      <c r="D42" s="15">
        <v>46226.328611111108</v>
      </c>
      <c r="E42" t="s">
        <v>402</v>
      </c>
      <c r="F42">
        <v>6</v>
      </c>
      <c r="G42" s="15">
        <v>46227.40347222222</v>
      </c>
      <c r="H42" t="s">
        <v>354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O42" t="s">
        <v>67</v>
      </c>
      <c r="P42" t="s">
        <v>354</v>
      </c>
      <c r="Q42" t="s">
        <v>217</v>
      </c>
    </row>
    <row r="43" spans="1:18" x14ac:dyDescent="0.3">
      <c r="A43" t="s">
        <v>348</v>
      </c>
      <c r="B43" t="s">
        <v>48</v>
      </c>
      <c r="C43" t="s">
        <v>68</v>
      </c>
      <c r="D43" s="15">
        <v>46252.400995370372</v>
      </c>
      <c r="E43" t="s">
        <v>402</v>
      </c>
      <c r="F43">
        <v>1</v>
      </c>
      <c r="G43" s="15">
        <v>46254.420138888891</v>
      </c>
      <c r="H43" t="s">
        <v>354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N43">
        <v>0</v>
      </c>
      <c r="O43" t="s">
        <v>90</v>
      </c>
      <c r="P43" t="s">
        <v>354</v>
      </c>
      <c r="Q43" t="s">
        <v>217</v>
      </c>
      <c r="R43">
        <v>1</v>
      </c>
    </row>
    <row r="44" spans="1:18" x14ac:dyDescent="0.3">
      <c r="A44" t="s">
        <v>348</v>
      </c>
      <c r="B44" t="s">
        <v>48</v>
      </c>
      <c r="C44" t="s">
        <v>68</v>
      </c>
      <c r="D44" s="15">
        <v>46252.400995370372</v>
      </c>
      <c r="E44" t="s">
        <v>402</v>
      </c>
      <c r="F44">
        <v>1</v>
      </c>
      <c r="G44" s="15">
        <v>46254.420138888891</v>
      </c>
      <c r="H44" t="s">
        <v>354</v>
      </c>
      <c r="I44" t="s">
        <v>369</v>
      </c>
      <c r="J44" t="s">
        <v>239</v>
      </c>
      <c r="K44" t="s">
        <v>348</v>
      </c>
      <c r="L44" t="s">
        <v>369</v>
      </c>
      <c r="M44" t="s">
        <v>239</v>
      </c>
      <c r="O44" t="s">
        <v>90</v>
      </c>
      <c r="P44" t="s">
        <v>354</v>
      </c>
      <c r="Q44" t="s">
        <v>217</v>
      </c>
    </row>
    <row r="45" spans="1:18" x14ac:dyDescent="0.3">
      <c r="A45" t="s">
        <v>348</v>
      </c>
      <c r="B45" t="s">
        <v>48</v>
      </c>
      <c r="C45" t="s">
        <v>68</v>
      </c>
      <c r="D45" s="15">
        <v>46251.60728009259</v>
      </c>
      <c r="E45" t="s">
        <v>402</v>
      </c>
      <c r="F45">
        <v>1</v>
      </c>
      <c r="G45" s="15">
        <v>46254.420138888891</v>
      </c>
      <c r="H45" t="s">
        <v>354</v>
      </c>
      <c r="I45" t="s">
        <v>369</v>
      </c>
      <c r="J45" t="s">
        <v>239</v>
      </c>
      <c r="K45" t="s">
        <v>348</v>
      </c>
      <c r="L45" t="s">
        <v>369</v>
      </c>
      <c r="M45" t="s">
        <v>239</v>
      </c>
      <c r="N45">
        <v>0</v>
      </c>
      <c r="O45" t="s">
        <v>90</v>
      </c>
      <c r="P45" t="s">
        <v>354</v>
      </c>
      <c r="Q45" t="s">
        <v>217</v>
      </c>
    </row>
    <row r="46" spans="1:18" x14ac:dyDescent="0.3">
      <c r="A46" t="s">
        <v>348</v>
      </c>
      <c r="B46" t="s">
        <v>48</v>
      </c>
      <c r="C46" t="s">
        <v>68</v>
      </c>
      <c r="D46" s="15">
        <v>46237.403981481482</v>
      </c>
      <c r="E46" t="s">
        <v>402</v>
      </c>
      <c r="F46">
        <v>1</v>
      </c>
      <c r="G46" s="15">
        <v>46239.458333333336</v>
      </c>
      <c r="H46" t="s">
        <v>354</v>
      </c>
      <c r="I46" t="s">
        <v>369</v>
      </c>
      <c r="J46" t="s">
        <v>239</v>
      </c>
      <c r="K46" t="s">
        <v>348</v>
      </c>
      <c r="L46" t="s">
        <v>369</v>
      </c>
      <c r="M46" t="s">
        <v>239</v>
      </c>
      <c r="N46">
        <v>0</v>
      </c>
      <c r="O46" t="s">
        <v>90</v>
      </c>
      <c r="P46" t="s">
        <v>354</v>
      </c>
      <c r="Q46" t="s">
        <v>217</v>
      </c>
      <c r="R46">
        <v>1</v>
      </c>
    </row>
    <row r="47" spans="1:18" x14ac:dyDescent="0.3">
      <c r="A47" t="s">
        <v>348</v>
      </c>
      <c r="B47" t="s">
        <v>48</v>
      </c>
      <c r="C47" t="s">
        <v>68</v>
      </c>
      <c r="D47" s="15">
        <v>46245.504618055558</v>
      </c>
      <c r="E47" t="s">
        <v>402</v>
      </c>
      <c r="F47">
        <v>1</v>
      </c>
      <c r="G47" s="15">
        <v>46252.390972222223</v>
      </c>
      <c r="H47" t="s">
        <v>354</v>
      </c>
      <c r="I47" t="s">
        <v>369</v>
      </c>
      <c r="J47" t="s">
        <v>239</v>
      </c>
      <c r="K47" t="s">
        <v>348</v>
      </c>
      <c r="L47" t="s">
        <v>369</v>
      </c>
      <c r="M47" t="s">
        <v>239</v>
      </c>
      <c r="N47">
        <v>0</v>
      </c>
      <c r="O47" t="s">
        <v>90</v>
      </c>
      <c r="P47" t="s">
        <v>354</v>
      </c>
      <c r="Q47" t="s">
        <v>217</v>
      </c>
      <c r="R47">
        <v>1</v>
      </c>
    </row>
    <row r="48" spans="1:18" x14ac:dyDescent="0.3">
      <c r="A48" t="s">
        <v>348</v>
      </c>
      <c r="B48" t="s">
        <v>48</v>
      </c>
      <c r="C48" t="s">
        <v>68</v>
      </c>
      <c r="D48" s="15">
        <v>46224.674085648148</v>
      </c>
      <c r="E48" t="s">
        <v>402</v>
      </c>
      <c r="F48">
        <v>1</v>
      </c>
      <c r="G48" s="15">
        <v>46230.489583333336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N48">
        <v>0</v>
      </c>
      <c r="O48" t="s">
        <v>90</v>
      </c>
      <c r="P48" t="s">
        <v>354</v>
      </c>
      <c r="Q48" t="s">
        <v>217</v>
      </c>
      <c r="R48">
        <v>1</v>
      </c>
    </row>
    <row r="49" spans="1:18" x14ac:dyDescent="0.3">
      <c r="A49" t="s">
        <v>348</v>
      </c>
      <c r="B49" t="s">
        <v>48</v>
      </c>
      <c r="C49" t="s">
        <v>68</v>
      </c>
      <c r="D49" s="15">
        <v>46220.546053240738</v>
      </c>
      <c r="E49" t="s">
        <v>402</v>
      </c>
      <c r="F49">
        <v>1</v>
      </c>
      <c r="G49" s="15">
        <v>46226.411805555559</v>
      </c>
      <c r="H49" t="s">
        <v>354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N49">
        <v>0</v>
      </c>
      <c r="O49" t="s">
        <v>90</v>
      </c>
      <c r="P49" t="s">
        <v>354</v>
      </c>
      <c r="Q49" t="s">
        <v>217</v>
      </c>
      <c r="R49">
        <v>1</v>
      </c>
    </row>
    <row r="50" spans="1:18" x14ac:dyDescent="0.3">
      <c r="A50" t="s">
        <v>348</v>
      </c>
      <c r="B50" t="s">
        <v>45</v>
      </c>
      <c r="C50" t="s">
        <v>68</v>
      </c>
      <c r="D50" s="15">
        <v>46255.309004629627</v>
      </c>
      <c r="E50" t="s">
        <v>402</v>
      </c>
      <c r="F50">
        <v>9</v>
      </c>
      <c r="G50" s="15">
        <v>46258.458333333336</v>
      </c>
      <c r="H50" t="s">
        <v>355</v>
      </c>
      <c r="I50" t="s">
        <v>369</v>
      </c>
      <c r="J50" t="s">
        <v>239</v>
      </c>
      <c r="K50" t="s">
        <v>348</v>
      </c>
      <c r="L50" t="s">
        <v>369</v>
      </c>
      <c r="M50" t="s">
        <v>239</v>
      </c>
      <c r="N50">
        <v>0</v>
      </c>
      <c r="O50" t="s">
        <v>67</v>
      </c>
      <c r="P50" t="s">
        <v>355</v>
      </c>
      <c r="Q50" t="s">
        <v>217</v>
      </c>
      <c r="R50">
        <v>1</v>
      </c>
    </row>
    <row r="51" spans="1:18" x14ac:dyDescent="0.3">
      <c r="A51" t="s">
        <v>348</v>
      </c>
      <c r="B51" t="s">
        <v>45</v>
      </c>
      <c r="C51" t="s">
        <v>68</v>
      </c>
      <c r="D51" s="15">
        <v>46254.394618055558</v>
      </c>
      <c r="E51" t="s">
        <v>402</v>
      </c>
      <c r="F51">
        <v>3</v>
      </c>
      <c r="G51" s="15">
        <v>46255.493055555555</v>
      </c>
      <c r="H51" t="s">
        <v>355</v>
      </c>
      <c r="I51" t="s">
        <v>369</v>
      </c>
      <c r="J51" t="s">
        <v>239</v>
      </c>
      <c r="K51" t="s">
        <v>348</v>
      </c>
      <c r="L51" t="s">
        <v>369</v>
      </c>
      <c r="M51" t="s">
        <v>239</v>
      </c>
      <c r="N51">
        <v>0</v>
      </c>
      <c r="O51" t="s">
        <v>67</v>
      </c>
      <c r="P51" t="s">
        <v>355</v>
      </c>
      <c r="Q51" t="s">
        <v>217</v>
      </c>
      <c r="R51">
        <v>1</v>
      </c>
    </row>
    <row r="52" spans="1:18" x14ac:dyDescent="0.3">
      <c r="A52" t="s">
        <v>348</v>
      </c>
      <c r="B52" t="s">
        <v>45</v>
      </c>
      <c r="C52" t="s">
        <v>68</v>
      </c>
      <c r="D52" s="15">
        <v>46254.395497685182</v>
      </c>
      <c r="E52" t="s">
        <v>402</v>
      </c>
      <c r="F52">
        <v>7</v>
      </c>
      <c r="G52" s="15">
        <v>46255.493055555555</v>
      </c>
      <c r="H52" t="s">
        <v>355</v>
      </c>
      <c r="I52" t="s">
        <v>369</v>
      </c>
      <c r="J52" t="s">
        <v>239</v>
      </c>
      <c r="K52" t="s">
        <v>348</v>
      </c>
      <c r="L52" t="s">
        <v>369</v>
      </c>
      <c r="M52" t="s">
        <v>239</v>
      </c>
      <c r="O52" t="s">
        <v>67</v>
      </c>
      <c r="P52" t="s">
        <v>355</v>
      </c>
      <c r="Q52" t="s">
        <v>217</v>
      </c>
    </row>
    <row r="53" spans="1:18" x14ac:dyDescent="0.3">
      <c r="A53" t="s">
        <v>348</v>
      </c>
      <c r="B53" t="s">
        <v>45</v>
      </c>
      <c r="C53" t="s">
        <v>68</v>
      </c>
      <c r="D53" s="15">
        <v>46254.396273148152</v>
      </c>
      <c r="E53" t="s">
        <v>402</v>
      </c>
      <c r="F53">
        <v>6</v>
      </c>
      <c r="G53" s="15">
        <v>46255.493055555555</v>
      </c>
      <c r="H53" t="s">
        <v>355</v>
      </c>
      <c r="I53" t="s">
        <v>369</v>
      </c>
      <c r="J53" t="s">
        <v>239</v>
      </c>
      <c r="K53" t="s">
        <v>348</v>
      </c>
      <c r="L53" t="s">
        <v>369</v>
      </c>
      <c r="M53" t="s">
        <v>239</v>
      </c>
      <c r="O53" t="s">
        <v>67</v>
      </c>
      <c r="P53" t="s">
        <v>355</v>
      </c>
      <c r="Q53" t="s">
        <v>217</v>
      </c>
    </row>
    <row r="54" spans="1:18" x14ac:dyDescent="0.3">
      <c r="A54" t="s">
        <v>348</v>
      </c>
      <c r="B54" t="s">
        <v>45</v>
      </c>
      <c r="C54" t="s">
        <v>68</v>
      </c>
      <c r="D54" s="15">
        <v>46231.659247685187</v>
      </c>
      <c r="E54" t="s">
        <v>1058</v>
      </c>
      <c r="F54">
        <v>13</v>
      </c>
      <c r="G54" s="15">
        <v>46233.416666666664</v>
      </c>
      <c r="H54" t="s">
        <v>355</v>
      </c>
      <c r="I54" t="s">
        <v>369</v>
      </c>
      <c r="J54" t="s">
        <v>239</v>
      </c>
      <c r="K54" t="s">
        <v>348</v>
      </c>
      <c r="L54" t="s">
        <v>369</v>
      </c>
      <c r="M54" t="s">
        <v>239</v>
      </c>
      <c r="N54">
        <v>0</v>
      </c>
      <c r="O54" t="s">
        <v>67</v>
      </c>
      <c r="P54" t="s">
        <v>355</v>
      </c>
      <c r="Q54" t="s">
        <v>217</v>
      </c>
      <c r="R54">
        <v>1</v>
      </c>
    </row>
    <row r="55" spans="1:18" x14ac:dyDescent="0.3">
      <c r="A55" t="s">
        <v>348</v>
      </c>
      <c r="B55" t="s">
        <v>45</v>
      </c>
      <c r="C55" t="s">
        <v>68</v>
      </c>
      <c r="D55" s="15">
        <v>46231.635254629633</v>
      </c>
      <c r="E55" t="s">
        <v>1058</v>
      </c>
      <c r="F55">
        <v>6</v>
      </c>
      <c r="G55" s="15">
        <v>46233.416666666664</v>
      </c>
      <c r="H55" t="s">
        <v>355</v>
      </c>
      <c r="I55" t="s">
        <v>369</v>
      </c>
      <c r="J55" t="s">
        <v>239</v>
      </c>
      <c r="K55" t="s">
        <v>348</v>
      </c>
      <c r="L55" t="s">
        <v>369</v>
      </c>
      <c r="M55" t="s">
        <v>239</v>
      </c>
      <c r="O55" t="s">
        <v>67</v>
      </c>
      <c r="P55" t="s">
        <v>355</v>
      </c>
      <c r="Q55" t="s">
        <v>217</v>
      </c>
    </row>
    <row r="56" spans="1:18" x14ac:dyDescent="0.3">
      <c r="A56" t="s">
        <v>348</v>
      </c>
      <c r="B56" t="s">
        <v>45</v>
      </c>
      <c r="C56" t="s">
        <v>68</v>
      </c>
      <c r="D56" s="15">
        <v>46231.634583333333</v>
      </c>
      <c r="E56" t="s">
        <v>1058</v>
      </c>
      <c r="F56">
        <v>4</v>
      </c>
      <c r="G56" s="15">
        <v>46233.416666666664</v>
      </c>
      <c r="H56" t="s">
        <v>355</v>
      </c>
      <c r="I56" t="s">
        <v>369</v>
      </c>
      <c r="J56" t="s">
        <v>239</v>
      </c>
      <c r="K56" t="s">
        <v>348</v>
      </c>
      <c r="L56" t="s">
        <v>369</v>
      </c>
      <c r="M56" t="s">
        <v>239</v>
      </c>
      <c r="O56" t="s">
        <v>67</v>
      </c>
      <c r="P56" t="s">
        <v>355</v>
      </c>
      <c r="Q56" t="s">
        <v>217</v>
      </c>
    </row>
    <row r="57" spans="1:18" x14ac:dyDescent="0.3">
      <c r="A57" t="s">
        <v>348</v>
      </c>
      <c r="B57" t="s">
        <v>45</v>
      </c>
      <c r="C57" t="s">
        <v>68</v>
      </c>
      <c r="D57" s="15">
        <v>46231.633784722224</v>
      </c>
      <c r="E57" t="s">
        <v>1058</v>
      </c>
      <c r="F57">
        <v>4</v>
      </c>
      <c r="G57" s="15">
        <v>46233.416666666664</v>
      </c>
      <c r="H57" t="s">
        <v>355</v>
      </c>
      <c r="I57" t="s">
        <v>369</v>
      </c>
      <c r="J57" t="s">
        <v>239</v>
      </c>
      <c r="K57" t="s">
        <v>348</v>
      </c>
      <c r="L57" t="s">
        <v>369</v>
      </c>
      <c r="M57" t="s">
        <v>239</v>
      </c>
      <c r="O57" t="s">
        <v>67</v>
      </c>
      <c r="P57" t="s">
        <v>355</v>
      </c>
      <c r="Q57" t="s">
        <v>217</v>
      </c>
    </row>
    <row r="58" spans="1:18" x14ac:dyDescent="0.3">
      <c r="A58" t="s">
        <v>348</v>
      </c>
      <c r="B58" t="s">
        <v>45</v>
      </c>
      <c r="C58" t="s">
        <v>68</v>
      </c>
      <c r="D58" s="15">
        <v>46231.632465277777</v>
      </c>
      <c r="E58" t="s">
        <v>1058</v>
      </c>
      <c r="F58">
        <v>1</v>
      </c>
      <c r="G58" s="15">
        <v>46233.416666666664</v>
      </c>
      <c r="H58" t="s">
        <v>355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O58" t="s">
        <v>67</v>
      </c>
      <c r="P58" t="s">
        <v>355</v>
      </c>
      <c r="Q58" t="s">
        <v>217</v>
      </c>
    </row>
    <row r="59" spans="1:18" x14ac:dyDescent="0.3">
      <c r="A59" t="s">
        <v>348</v>
      </c>
      <c r="B59" t="s">
        <v>45</v>
      </c>
      <c r="C59" t="s">
        <v>68</v>
      </c>
      <c r="D59" s="15">
        <v>46231.631620370368</v>
      </c>
      <c r="E59" t="s">
        <v>402</v>
      </c>
      <c r="F59">
        <v>1</v>
      </c>
      <c r="G59" s="15">
        <v>46233.416666666664</v>
      </c>
      <c r="H59" t="s">
        <v>355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O59" t="s">
        <v>67</v>
      </c>
      <c r="P59" t="s">
        <v>355</v>
      </c>
      <c r="Q59" t="s">
        <v>217</v>
      </c>
    </row>
    <row r="60" spans="1:18" x14ac:dyDescent="0.3">
      <c r="A60" t="s">
        <v>348</v>
      </c>
      <c r="B60" t="s">
        <v>48</v>
      </c>
      <c r="C60" t="s">
        <v>68</v>
      </c>
      <c r="D60" s="15">
        <v>46245.434259259258</v>
      </c>
      <c r="E60" t="s">
        <v>402</v>
      </c>
      <c r="F60">
        <v>3</v>
      </c>
      <c r="G60" s="15">
        <v>46247.425694444442</v>
      </c>
      <c r="H60" t="s">
        <v>355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N60">
        <v>0</v>
      </c>
      <c r="O60" t="s">
        <v>90</v>
      </c>
      <c r="P60" t="s">
        <v>355</v>
      </c>
      <c r="Q60" t="s">
        <v>217</v>
      </c>
      <c r="R60">
        <v>1</v>
      </c>
    </row>
    <row r="61" spans="1:18" x14ac:dyDescent="0.3">
      <c r="A61" t="s">
        <v>348</v>
      </c>
      <c r="B61" t="s">
        <v>48</v>
      </c>
      <c r="C61" t="s">
        <v>68</v>
      </c>
      <c r="D61" s="15">
        <v>46245.434259259258</v>
      </c>
      <c r="E61" t="s">
        <v>402</v>
      </c>
      <c r="F61">
        <v>1</v>
      </c>
      <c r="G61" s="15">
        <v>46254.503472222219</v>
      </c>
      <c r="H61" t="s">
        <v>355</v>
      </c>
      <c r="I61" t="s">
        <v>369</v>
      </c>
      <c r="J61" t="s">
        <v>239</v>
      </c>
      <c r="K61" t="s">
        <v>348</v>
      </c>
      <c r="L61" t="s">
        <v>369</v>
      </c>
      <c r="M61" t="s">
        <v>239</v>
      </c>
      <c r="N61">
        <v>0</v>
      </c>
      <c r="O61" t="s">
        <v>90</v>
      </c>
      <c r="P61" t="s">
        <v>355</v>
      </c>
      <c r="Q61" t="s">
        <v>217</v>
      </c>
      <c r="R61">
        <v>1</v>
      </c>
    </row>
    <row r="62" spans="1:18" x14ac:dyDescent="0.3">
      <c r="A62" t="s">
        <v>348</v>
      </c>
      <c r="B62" t="s">
        <v>48</v>
      </c>
      <c r="C62" t="s">
        <v>68</v>
      </c>
      <c r="D62" s="15">
        <v>46213.750648148147</v>
      </c>
      <c r="E62" t="s">
        <v>402</v>
      </c>
      <c r="F62">
        <v>5</v>
      </c>
      <c r="G62" s="15">
        <v>46231.397222222222</v>
      </c>
      <c r="H62" t="s">
        <v>355</v>
      </c>
      <c r="I62" t="s">
        <v>369</v>
      </c>
      <c r="J62" t="s">
        <v>239</v>
      </c>
      <c r="K62" t="s">
        <v>348</v>
      </c>
      <c r="L62" t="s">
        <v>369</v>
      </c>
      <c r="M62" t="s">
        <v>239</v>
      </c>
      <c r="N62">
        <v>0</v>
      </c>
      <c r="O62" t="s">
        <v>90</v>
      </c>
      <c r="P62" t="s">
        <v>355</v>
      </c>
      <c r="Q62" t="s">
        <v>217</v>
      </c>
      <c r="R62">
        <v>1</v>
      </c>
    </row>
    <row r="63" spans="1:18" x14ac:dyDescent="0.3">
      <c r="A63" t="s">
        <v>348</v>
      </c>
      <c r="B63" t="s">
        <v>45</v>
      </c>
      <c r="C63" t="s">
        <v>68</v>
      </c>
      <c r="D63" s="15">
        <v>46251.387743055559</v>
      </c>
      <c r="E63" t="s">
        <v>403</v>
      </c>
      <c r="F63">
        <v>15</v>
      </c>
      <c r="G63" s="15">
        <v>46252.638888888891</v>
      </c>
      <c r="H63" t="s">
        <v>356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N63">
        <v>0</v>
      </c>
      <c r="O63" t="s">
        <v>67</v>
      </c>
      <c r="P63" t="s">
        <v>356</v>
      </c>
      <c r="Q63" t="s">
        <v>217</v>
      </c>
      <c r="R63">
        <v>1</v>
      </c>
    </row>
    <row r="64" spans="1:18" x14ac:dyDescent="0.3">
      <c r="A64" t="s">
        <v>348</v>
      </c>
      <c r="B64" t="s">
        <v>45</v>
      </c>
      <c r="C64" t="s">
        <v>68</v>
      </c>
      <c r="D64" s="15">
        <v>46230.391215277778</v>
      </c>
      <c r="E64" t="s">
        <v>403</v>
      </c>
      <c r="F64">
        <v>15</v>
      </c>
      <c r="G64" s="15">
        <v>46231.458333333336</v>
      </c>
      <c r="H64" t="s">
        <v>356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N64">
        <v>0</v>
      </c>
      <c r="O64" t="s">
        <v>67</v>
      </c>
      <c r="P64" t="s">
        <v>356</v>
      </c>
      <c r="Q64" t="s">
        <v>217</v>
      </c>
      <c r="R64">
        <v>1</v>
      </c>
    </row>
    <row r="65" spans="1:18" x14ac:dyDescent="0.3">
      <c r="A65" t="s">
        <v>348</v>
      </c>
      <c r="B65" t="s">
        <v>45</v>
      </c>
      <c r="C65" t="s">
        <v>68</v>
      </c>
      <c r="D65" s="15">
        <v>46230.398877314816</v>
      </c>
      <c r="E65" t="s">
        <v>403</v>
      </c>
      <c r="F65">
        <v>10</v>
      </c>
      <c r="G65" s="15">
        <v>46232.696527777778</v>
      </c>
      <c r="H65" t="s">
        <v>356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67</v>
      </c>
      <c r="P65" t="s">
        <v>356</v>
      </c>
      <c r="Q65" t="s">
        <v>217</v>
      </c>
      <c r="R65">
        <v>1</v>
      </c>
    </row>
    <row r="66" spans="1:18" x14ac:dyDescent="0.3">
      <c r="A66" t="s">
        <v>348</v>
      </c>
      <c r="B66" t="s">
        <v>48</v>
      </c>
      <c r="C66" t="s">
        <v>68</v>
      </c>
      <c r="D66" s="15">
        <v>46252.576365740744</v>
      </c>
      <c r="E66" t="s">
        <v>742</v>
      </c>
      <c r="F66">
        <v>25</v>
      </c>
      <c r="G66" s="15">
        <v>46255.477083333331</v>
      </c>
      <c r="H66" t="s">
        <v>356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N66">
        <v>0</v>
      </c>
      <c r="O66" t="s">
        <v>90</v>
      </c>
      <c r="P66" t="s">
        <v>356</v>
      </c>
      <c r="Q66" t="s">
        <v>217</v>
      </c>
      <c r="R66">
        <v>1</v>
      </c>
    </row>
    <row r="67" spans="1:18" x14ac:dyDescent="0.3">
      <c r="A67" t="s">
        <v>348</v>
      </c>
      <c r="B67" t="s">
        <v>48</v>
      </c>
      <c r="C67" t="s">
        <v>68</v>
      </c>
      <c r="D67" s="15">
        <v>46252.581203703703</v>
      </c>
      <c r="E67" t="s">
        <v>742</v>
      </c>
      <c r="F67">
        <v>15</v>
      </c>
      <c r="G67" s="15">
        <v>46255.477083333331</v>
      </c>
      <c r="H67" t="s">
        <v>356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N67">
        <v>0</v>
      </c>
      <c r="O67" t="s">
        <v>90</v>
      </c>
      <c r="P67" t="s">
        <v>356</v>
      </c>
      <c r="Q67" t="s">
        <v>217</v>
      </c>
    </row>
    <row r="68" spans="1:18" x14ac:dyDescent="0.3">
      <c r="A68" t="s">
        <v>348</v>
      </c>
      <c r="B68" t="s">
        <v>48</v>
      </c>
      <c r="C68" t="s">
        <v>68</v>
      </c>
      <c r="D68" s="15">
        <v>46231.625231481485</v>
      </c>
      <c r="E68" t="s">
        <v>749</v>
      </c>
      <c r="F68">
        <v>10</v>
      </c>
      <c r="G68" s="15">
        <v>46238.509722222225</v>
      </c>
      <c r="H68" t="s">
        <v>356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N68">
        <v>0</v>
      </c>
      <c r="O68" t="s">
        <v>90</v>
      </c>
      <c r="P68" t="s">
        <v>356</v>
      </c>
      <c r="Q68" t="s">
        <v>217</v>
      </c>
      <c r="R68">
        <v>1</v>
      </c>
    </row>
    <row r="69" spans="1:18" x14ac:dyDescent="0.3">
      <c r="A69" t="s">
        <v>348</v>
      </c>
      <c r="B69" t="s">
        <v>48</v>
      </c>
      <c r="C69" t="s">
        <v>68</v>
      </c>
      <c r="D69" s="15">
        <v>46227.725787037038</v>
      </c>
      <c r="E69" t="s">
        <v>403</v>
      </c>
      <c r="F69">
        <v>16</v>
      </c>
      <c r="G69" s="15">
        <v>46234.413194444445</v>
      </c>
      <c r="H69" t="s">
        <v>356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N69">
        <v>0</v>
      </c>
      <c r="O69" t="s">
        <v>90</v>
      </c>
      <c r="P69" t="s">
        <v>356</v>
      </c>
      <c r="Q69" t="s">
        <v>217</v>
      </c>
      <c r="R69">
        <v>1</v>
      </c>
    </row>
    <row r="70" spans="1:18" x14ac:dyDescent="0.3">
      <c r="A70" t="s">
        <v>348</v>
      </c>
      <c r="B70" t="s">
        <v>45</v>
      </c>
      <c r="C70" t="s">
        <v>68</v>
      </c>
      <c r="D70" s="15">
        <v>46245.50304398148</v>
      </c>
      <c r="E70" t="s">
        <v>407</v>
      </c>
      <c r="F70">
        <v>5</v>
      </c>
      <c r="G70" s="15">
        <v>46247.46875</v>
      </c>
      <c r="H70" t="s">
        <v>464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O70" t="s">
        <v>67</v>
      </c>
      <c r="P70" t="s">
        <v>464</v>
      </c>
      <c r="Q70" t="s">
        <v>217</v>
      </c>
      <c r="R70">
        <v>1</v>
      </c>
    </row>
    <row r="71" spans="1:18" x14ac:dyDescent="0.3">
      <c r="A71" t="s">
        <v>348</v>
      </c>
      <c r="B71" t="s">
        <v>45</v>
      </c>
      <c r="C71" t="s">
        <v>68</v>
      </c>
      <c r="D71" s="15">
        <v>46245.502650462964</v>
      </c>
      <c r="E71" t="s">
        <v>407</v>
      </c>
      <c r="F71">
        <v>11</v>
      </c>
      <c r="G71" s="15">
        <v>46247.46875</v>
      </c>
      <c r="H71" t="s">
        <v>464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O71" t="s">
        <v>67</v>
      </c>
      <c r="P71" t="s">
        <v>464</v>
      </c>
      <c r="Q71" t="s">
        <v>217</v>
      </c>
    </row>
    <row r="72" spans="1:18" x14ac:dyDescent="0.3">
      <c r="A72" t="s">
        <v>348</v>
      </c>
      <c r="B72" t="s">
        <v>48</v>
      </c>
      <c r="C72" t="s">
        <v>68</v>
      </c>
      <c r="D72" s="15">
        <v>46252.486481481479</v>
      </c>
      <c r="E72" t="s">
        <v>407</v>
      </c>
      <c r="F72">
        <v>5</v>
      </c>
      <c r="G72" s="15">
        <v>46254.458333333336</v>
      </c>
      <c r="H72" t="s">
        <v>464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O72" t="s">
        <v>90</v>
      </c>
      <c r="P72" t="s">
        <v>464</v>
      </c>
      <c r="Q72" t="s">
        <v>217</v>
      </c>
      <c r="R72">
        <v>1</v>
      </c>
    </row>
    <row r="73" spans="1:18" x14ac:dyDescent="0.3">
      <c r="A73" t="s">
        <v>348</v>
      </c>
      <c r="B73" t="s">
        <v>48</v>
      </c>
      <c r="C73" t="s">
        <v>68</v>
      </c>
      <c r="D73" s="15">
        <v>46231.743472222224</v>
      </c>
      <c r="E73" t="s">
        <v>402</v>
      </c>
      <c r="F73">
        <v>1</v>
      </c>
      <c r="G73" s="15">
        <v>46240.513194444444</v>
      </c>
      <c r="H73" t="s">
        <v>355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355</v>
      </c>
      <c r="Q73" t="s">
        <v>217</v>
      </c>
      <c r="R73">
        <v>1</v>
      </c>
    </row>
    <row r="74" spans="1:18" x14ac:dyDescent="0.3">
      <c r="A74" t="s">
        <v>348</v>
      </c>
      <c r="B74" t="s">
        <v>48</v>
      </c>
      <c r="C74" t="s">
        <v>68</v>
      </c>
      <c r="D74" s="15">
        <v>46231.307928240742</v>
      </c>
      <c r="E74" t="s">
        <v>401</v>
      </c>
      <c r="F74">
        <v>1</v>
      </c>
      <c r="G74" s="15">
        <v>46232.486111111109</v>
      </c>
      <c r="H74" t="s">
        <v>357</v>
      </c>
      <c r="I74" t="s">
        <v>369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90</v>
      </c>
      <c r="P74" t="s">
        <v>357</v>
      </c>
      <c r="Q74" t="s">
        <v>217</v>
      </c>
      <c r="R74">
        <v>1</v>
      </c>
    </row>
    <row r="75" spans="1:18" x14ac:dyDescent="0.3">
      <c r="A75" t="s">
        <v>348</v>
      </c>
      <c r="B75" t="s">
        <v>48</v>
      </c>
      <c r="C75" t="s">
        <v>68</v>
      </c>
      <c r="D75" s="15">
        <v>46227.576932870368</v>
      </c>
      <c r="E75" t="s">
        <v>402</v>
      </c>
      <c r="F75">
        <v>1</v>
      </c>
      <c r="G75" s="15">
        <v>46234.439583333333</v>
      </c>
      <c r="H75" t="s">
        <v>354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N75">
        <v>0</v>
      </c>
      <c r="O75" t="s">
        <v>90</v>
      </c>
      <c r="P75" t="s">
        <v>354</v>
      </c>
      <c r="Q75" t="s">
        <v>217</v>
      </c>
      <c r="R75">
        <v>1</v>
      </c>
    </row>
    <row r="76" spans="1:18" x14ac:dyDescent="0.3">
      <c r="A76" t="s">
        <v>348</v>
      </c>
      <c r="B76" t="s">
        <v>47</v>
      </c>
      <c r="C76" t="s">
        <v>68</v>
      </c>
      <c r="D76" s="15">
        <v>46211.698680555557</v>
      </c>
      <c r="E76" t="s">
        <v>403</v>
      </c>
      <c r="F76">
        <v>2</v>
      </c>
      <c r="G76" s="15">
        <v>46220.459722222222</v>
      </c>
      <c r="H76" t="s">
        <v>356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N76">
        <v>0</v>
      </c>
      <c r="O76" t="s">
        <v>90</v>
      </c>
      <c r="P76" t="s">
        <v>356</v>
      </c>
      <c r="Q76" t="s">
        <v>218</v>
      </c>
      <c r="R76">
        <v>1</v>
      </c>
    </row>
    <row r="77" spans="1:18" x14ac:dyDescent="0.3">
      <c r="A77" t="s">
        <v>348</v>
      </c>
      <c r="B77" t="s">
        <v>45</v>
      </c>
      <c r="C77" t="s">
        <v>68</v>
      </c>
      <c r="D77" s="15">
        <v>46234.569490740738</v>
      </c>
      <c r="E77" t="s">
        <v>398</v>
      </c>
      <c r="F77">
        <v>5</v>
      </c>
      <c r="G77" s="15">
        <v>46239.541666666664</v>
      </c>
      <c r="H77" t="s">
        <v>353</v>
      </c>
      <c r="I77" t="s">
        <v>368</v>
      </c>
      <c r="J77" t="s">
        <v>239</v>
      </c>
      <c r="K77" t="s">
        <v>348</v>
      </c>
      <c r="L77" t="s">
        <v>369</v>
      </c>
      <c r="M77" t="s">
        <v>239</v>
      </c>
      <c r="N77">
        <v>103</v>
      </c>
      <c r="O77" t="s">
        <v>67</v>
      </c>
      <c r="P77" t="s">
        <v>353</v>
      </c>
      <c r="Q77" t="s">
        <v>217</v>
      </c>
      <c r="R77">
        <v>1</v>
      </c>
    </row>
    <row r="78" spans="1:18" x14ac:dyDescent="0.3">
      <c r="A78" t="s">
        <v>348</v>
      </c>
      <c r="B78" t="s">
        <v>45</v>
      </c>
      <c r="C78" t="s">
        <v>68</v>
      </c>
      <c r="D78" s="15">
        <v>46233.473078703704</v>
      </c>
      <c r="E78" t="s">
        <v>398</v>
      </c>
      <c r="F78">
        <v>3</v>
      </c>
      <c r="G78" s="15">
        <v>46237.458333333336</v>
      </c>
      <c r="H78" t="s">
        <v>353</v>
      </c>
      <c r="I78" t="s">
        <v>368</v>
      </c>
      <c r="J78" t="s">
        <v>239</v>
      </c>
      <c r="K78" t="s">
        <v>348</v>
      </c>
      <c r="L78" t="s">
        <v>369</v>
      </c>
      <c r="M78" t="s">
        <v>239</v>
      </c>
      <c r="N78">
        <v>103</v>
      </c>
      <c r="O78" t="s">
        <v>67</v>
      </c>
      <c r="P78" t="s">
        <v>353</v>
      </c>
      <c r="Q78" t="s">
        <v>217</v>
      </c>
      <c r="R78">
        <v>1</v>
      </c>
    </row>
    <row r="79" spans="1:18" x14ac:dyDescent="0.3">
      <c r="A79" t="s">
        <v>348</v>
      </c>
      <c r="B79" t="s">
        <v>45</v>
      </c>
      <c r="C79" t="s">
        <v>68</v>
      </c>
      <c r="D79" s="15">
        <v>46233.472222222219</v>
      </c>
      <c r="E79" t="s">
        <v>398</v>
      </c>
      <c r="F79">
        <v>2</v>
      </c>
      <c r="G79" s="15">
        <v>46237.458333333336</v>
      </c>
      <c r="H79" t="s">
        <v>353</v>
      </c>
      <c r="I79" t="s">
        <v>368</v>
      </c>
      <c r="J79" t="s">
        <v>239</v>
      </c>
      <c r="K79" t="s">
        <v>348</v>
      </c>
      <c r="L79" t="s">
        <v>369</v>
      </c>
      <c r="M79" t="s">
        <v>239</v>
      </c>
      <c r="O79" t="s">
        <v>67</v>
      </c>
      <c r="P79" t="s">
        <v>353</v>
      </c>
      <c r="Q79" t="s">
        <v>217</v>
      </c>
    </row>
    <row r="80" spans="1:18" x14ac:dyDescent="0.3">
      <c r="A80" t="s">
        <v>348</v>
      </c>
      <c r="B80" t="s">
        <v>45</v>
      </c>
      <c r="C80" t="s">
        <v>68</v>
      </c>
      <c r="D80" s="15">
        <v>46233.471770833334</v>
      </c>
      <c r="E80" t="s">
        <v>398</v>
      </c>
      <c r="F80">
        <v>3</v>
      </c>
      <c r="G80" s="15">
        <v>46237.458333333336</v>
      </c>
      <c r="H80" t="s">
        <v>353</v>
      </c>
      <c r="I80" t="s">
        <v>368</v>
      </c>
      <c r="J80" t="s">
        <v>239</v>
      </c>
      <c r="K80" t="s">
        <v>348</v>
      </c>
      <c r="L80" t="s">
        <v>369</v>
      </c>
      <c r="M80" t="s">
        <v>239</v>
      </c>
      <c r="O80" t="s">
        <v>67</v>
      </c>
      <c r="P80" t="s">
        <v>353</v>
      </c>
      <c r="Q80" t="s">
        <v>217</v>
      </c>
    </row>
    <row r="81" spans="1:18" x14ac:dyDescent="0.3">
      <c r="A81" t="s">
        <v>348</v>
      </c>
      <c r="B81" t="s">
        <v>45</v>
      </c>
      <c r="C81" t="s">
        <v>68</v>
      </c>
      <c r="D81" s="15">
        <v>46244.473298611112</v>
      </c>
      <c r="E81" t="s">
        <v>398</v>
      </c>
      <c r="F81">
        <v>2</v>
      </c>
      <c r="G81" s="15">
        <v>46246.458333333336</v>
      </c>
      <c r="H81" t="s">
        <v>353</v>
      </c>
      <c r="I81" t="s">
        <v>368</v>
      </c>
      <c r="J81" t="s">
        <v>239</v>
      </c>
      <c r="K81" t="s">
        <v>348</v>
      </c>
      <c r="L81" t="s">
        <v>369</v>
      </c>
      <c r="M81" t="s">
        <v>239</v>
      </c>
      <c r="N81">
        <v>103</v>
      </c>
      <c r="O81" t="s">
        <v>67</v>
      </c>
      <c r="P81" t="s">
        <v>353</v>
      </c>
      <c r="Q81" t="s">
        <v>217</v>
      </c>
      <c r="R81">
        <v>1</v>
      </c>
    </row>
    <row r="82" spans="1:18" x14ac:dyDescent="0.3">
      <c r="A82" t="s">
        <v>348</v>
      </c>
      <c r="B82" t="s">
        <v>45</v>
      </c>
      <c r="C82" t="s">
        <v>68</v>
      </c>
      <c r="D82" s="15">
        <v>46246.66033564815</v>
      </c>
      <c r="E82" t="s">
        <v>398</v>
      </c>
      <c r="F82">
        <v>3</v>
      </c>
      <c r="G82" s="15">
        <v>46252.458333333336</v>
      </c>
      <c r="H82" t="s">
        <v>353</v>
      </c>
      <c r="I82" t="s">
        <v>368</v>
      </c>
      <c r="J82" t="s">
        <v>239</v>
      </c>
      <c r="K82" t="s">
        <v>348</v>
      </c>
      <c r="L82" t="s">
        <v>369</v>
      </c>
      <c r="M82" t="s">
        <v>239</v>
      </c>
      <c r="N82">
        <v>103</v>
      </c>
      <c r="O82" t="s">
        <v>67</v>
      </c>
      <c r="P82" t="s">
        <v>353</v>
      </c>
      <c r="Q82" t="s">
        <v>217</v>
      </c>
      <c r="R82">
        <v>1</v>
      </c>
    </row>
    <row r="83" spans="1:18" x14ac:dyDescent="0.3">
      <c r="A83" t="s">
        <v>348</v>
      </c>
      <c r="B83" t="s">
        <v>45</v>
      </c>
      <c r="C83" t="s">
        <v>68</v>
      </c>
      <c r="D83" s="15">
        <v>46246.659872685188</v>
      </c>
      <c r="E83" t="s">
        <v>1165</v>
      </c>
      <c r="F83">
        <v>3</v>
      </c>
      <c r="G83" s="15">
        <v>46252.458333333336</v>
      </c>
      <c r="H83" t="s">
        <v>353</v>
      </c>
      <c r="I83" t="s">
        <v>368</v>
      </c>
      <c r="J83" t="s">
        <v>239</v>
      </c>
      <c r="K83" t="s">
        <v>348</v>
      </c>
      <c r="L83" t="s">
        <v>369</v>
      </c>
      <c r="M83" t="s">
        <v>239</v>
      </c>
      <c r="O83" t="s">
        <v>67</v>
      </c>
      <c r="P83" t="s">
        <v>353</v>
      </c>
      <c r="Q83" t="s">
        <v>217</v>
      </c>
    </row>
    <row r="84" spans="1:18" x14ac:dyDescent="0.3">
      <c r="A84" t="s">
        <v>348</v>
      </c>
      <c r="B84" t="s">
        <v>45</v>
      </c>
      <c r="C84" t="s">
        <v>68</v>
      </c>
      <c r="D84" s="15">
        <v>46245.574305555558</v>
      </c>
      <c r="E84" t="s">
        <v>398</v>
      </c>
      <c r="F84">
        <v>3</v>
      </c>
      <c r="G84" s="15">
        <v>46246.458333333336</v>
      </c>
      <c r="H84" t="s">
        <v>353</v>
      </c>
      <c r="I84" t="s">
        <v>368</v>
      </c>
      <c r="J84" t="s">
        <v>239</v>
      </c>
      <c r="K84" t="s">
        <v>348</v>
      </c>
      <c r="L84" t="s">
        <v>369</v>
      </c>
      <c r="M84" t="s">
        <v>239</v>
      </c>
      <c r="O84" t="s">
        <v>67</v>
      </c>
      <c r="P84" t="s">
        <v>353</v>
      </c>
      <c r="Q84" t="s">
        <v>217</v>
      </c>
    </row>
    <row r="85" spans="1:18" x14ac:dyDescent="0.3">
      <c r="A85" t="s">
        <v>348</v>
      </c>
      <c r="B85" t="s">
        <v>45</v>
      </c>
      <c r="C85" t="s">
        <v>68</v>
      </c>
      <c r="D85" s="15">
        <v>46244.657546296294</v>
      </c>
      <c r="E85" t="s">
        <v>398</v>
      </c>
      <c r="F85">
        <v>5</v>
      </c>
      <c r="G85" s="15">
        <v>46246.458333333336</v>
      </c>
      <c r="H85" t="s">
        <v>353</v>
      </c>
      <c r="I85" t="s">
        <v>368</v>
      </c>
      <c r="J85" t="s">
        <v>239</v>
      </c>
      <c r="K85" t="s">
        <v>348</v>
      </c>
      <c r="L85" t="s">
        <v>369</v>
      </c>
      <c r="M85" t="s">
        <v>239</v>
      </c>
      <c r="O85" t="s">
        <v>67</v>
      </c>
      <c r="P85" t="s">
        <v>353</v>
      </c>
      <c r="Q85" t="s">
        <v>217</v>
      </c>
    </row>
    <row r="86" spans="1:18" x14ac:dyDescent="0.3">
      <c r="A86" t="s">
        <v>348</v>
      </c>
      <c r="B86" t="s">
        <v>45</v>
      </c>
      <c r="C86" t="s">
        <v>68</v>
      </c>
      <c r="D86" s="15">
        <v>46244.47451388889</v>
      </c>
      <c r="E86" t="s">
        <v>398</v>
      </c>
      <c r="F86">
        <v>3</v>
      </c>
      <c r="G86" s="15">
        <v>46246.458333333336</v>
      </c>
      <c r="H86" t="s">
        <v>353</v>
      </c>
      <c r="I86" t="s">
        <v>368</v>
      </c>
      <c r="J86" t="s">
        <v>239</v>
      </c>
      <c r="K86" t="s">
        <v>348</v>
      </c>
      <c r="L86" t="s">
        <v>369</v>
      </c>
      <c r="M86" t="s">
        <v>239</v>
      </c>
      <c r="N86">
        <v>103</v>
      </c>
      <c r="O86" t="s">
        <v>67</v>
      </c>
      <c r="P86" t="s">
        <v>353</v>
      </c>
      <c r="Q86" t="s">
        <v>217</v>
      </c>
    </row>
    <row r="87" spans="1:18" x14ac:dyDescent="0.3">
      <c r="A87" t="s">
        <v>348</v>
      </c>
      <c r="B87" t="s">
        <v>45</v>
      </c>
      <c r="C87" t="s">
        <v>68</v>
      </c>
      <c r="D87" s="15">
        <v>46246.658784722225</v>
      </c>
      <c r="E87" t="s">
        <v>398</v>
      </c>
      <c r="F87">
        <v>1</v>
      </c>
      <c r="G87" s="15">
        <v>46252.458333333336</v>
      </c>
      <c r="H87" t="s">
        <v>353</v>
      </c>
      <c r="I87" t="s">
        <v>368</v>
      </c>
      <c r="J87" t="s">
        <v>239</v>
      </c>
      <c r="K87" t="s">
        <v>348</v>
      </c>
      <c r="L87" t="s">
        <v>369</v>
      </c>
      <c r="M87" t="s">
        <v>239</v>
      </c>
      <c r="O87" t="s">
        <v>67</v>
      </c>
      <c r="P87" t="s">
        <v>353</v>
      </c>
      <c r="Q87" t="s">
        <v>217</v>
      </c>
    </row>
    <row r="88" spans="1:18" x14ac:dyDescent="0.3">
      <c r="A88" t="s">
        <v>348</v>
      </c>
      <c r="B88" t="s">
        <v>45</v>
      </c>
      <c r="C88" t="s">
        <v>68</v>
      </c>
      <c r="D88" s="15">
        <v>46244.477743055555</v>
      </c>
      <c r="E88" t="s">
        <v>398</v>
      </c>
      <c r="F88">
        <v>1</v>
      </c>
      <c r="G88" s="15">
        <v>46246.458333333336</v>
      </c>
      <c r="H88" t="s">
        <v>353</v>
      </c>
      <c r="I88" t="s">
        <v>368</v>
      </c>
      <c r="J88" t="s">
        <v>239</v>
      </c>
      <c r="K88" t="s">
        <v>348</v>
      </c>
      <c r="L88" t="s">
        <v>369</v>
      </c>
      <c r="M88" t="s">
        <v>239</v>
      </c>
      <c r="O88" t="s">
        <v>67</v>
      </c>
      <c r="P88" t="s">
        <v>353</v>
      </c>
      <c r="Q88" t="s">
        <v>217</v>
      </c>
    </row>
    <row r="89" spans="1:18" x14ac:dyDescent="0.3">
      <c r="A89" t="s">
        <v>348</v>
      </c>
      <c r="B89" t="s">
        <v>45</v>
      </c>
      <c r="C89" t="s">
        <v>68</v>
      </c>
      <c r="D89" s="15">
        <v>46244.473958333336</v>
      </c>
      <c r="E89" t="s">
        <v>398</v>
      </c>
      <c r="F89">
        <v>1</v>
      </c>
      <c r="G89" s="15">
        <v>46246.458333333336</v>
      </c>
      <c r="H89" t="s">
        <v>353</v>
      </c>
      <c r="I89" t="s">
        <v>368</v>
      </c>
      <c r="J89" t="s">
        <v>239</v>
      </c>
      <c r="K89" t="s">
        <v>348</v>
      </c>
      <c r="L89" t="s">
        <v>369</v>
      </c>
      <c r="M89" t="s">
        <v>239</v>
      </c>
      <c r="O89" t="s">
        <v>67</v>
      </c>
      <c r="P89" t="s">
        <v>353</v>
      </c>
      <c r="Q89" t="s">
        <v>217</v>
      </c>
    </row>
    <row r="90" spans="1:18" x14ac:dyDescent="0.3">
      <c r="A90" t="s">
        <v>348</v>
      </c>
      <c r="B90" t="s">
        <v>45</v>
      </c>
      <c r="C90" t="s">
        <v>68</v>
      </c>
      <c r="D90" s="15">
        <v>46244.476030092592</v>
      </c>
      <c r="E90" t="s">
        <v>398</v>
      </c>
      <c r="F90">
        <v>3</v>
      </c>
      <c r="G90" s="15">
        <v>46246.458333333336</v>
      </c>
      <c r="H90" t="s">
        <v>353</v>
      </c>
      <c r="I90" t="s">
        <v>368</v>
      </c>
      <c r="J90" t="s">
        <v>239</v>
      </c>
      <c r="K90" t="s">
        <v>348</v>
      </c>
      <c r="L90" t="s">
        <v>369</v>
      </c>
      <c r="M90" t="s">
        <v>239</v>
      </c>
      <c r="O90" t="s">
        <v>67</v>
      </c>
      <c r="P90" t="s">
        <v>353</v>
      </c>
      <c r="Q90" t="s">
        <v>217</v>
      </c>
    </row>
    <row r="91" spans="1:18" x14ac:dyDescent="0.3">
      <c r="A91" t="s">
        <v>348</v>
      </c>
      <c r="B91" t="s">
        <v>45</v>
      </c>
      <c r="C91" t="s">
        <v>68</v>
      </c>
      <c r="D91" s="15">
        <v>46237.458333333336</v>
      </c>
      <c r="E91" t="s">
        <v>398</v>
      </c>
      <c r="F91">
        <v>5</v>
      </c>
      <c r="G91" s="15">
        <v>46239.5</v>
      </c>
      <c r="H91" t="s">
        <v>353</v>
      </c>
      <c r="I91" t="s">
        <v>368</v>
      </c>
      <c r="J91" t="s">
        <v>239</v>
      </c>
      <c r="K91" t="s">
        <v>348</v>
      </c>
      <c r="L91" t="s">
        <v>369</v>
      </c>
      <c r="M91" t="s">
        <v>239</v>
      </c>
      <c r="N91">
        <v>103</v>
      </c>
      <c r="O91" t="s">
        <v>67</v>
      </c>
      <c r="P91" t="s">
        <v>353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46244.476921296293</v>
      </c>
      <c r="E92" t="s">
        <v>398</v>
      </c>
      <c r="F92">
        <v>3</v>
      </c>
      <c r="G92" s="15">
        <v>46246.458333333336</v>
      </c>
      <c r="H92" t="s">
        <v>353</v>
      </c>
      <c r="I92" t="s">
        <v>368</v>
      </c>
      <c r="J92" t="s">
        <v>239</v>
      </c>
      <c r="K92" t="s">
        <v>348</v>
      </c>
      <c r="L92" t="s">
        <v>369</v>
      </c>
      <c r="M92" t="s">
        <v>239</v>
      </c>
      <c r="O92" t="s">
        <v>67</v>
      </c>
      <c r="P92" t="s">
        <v>353</v>
      </c>
      <c r="Q92" t="s">
        <v>217</v>
      </c>
    </row>
    <row r="93" spans="1:18" x14ac:dyDescent="0.3">
      <c r="A93" t="s">
        <v>348</v>
      </c>
      <c r="B93" t="s">
        <v>45</v>
      </c>
      <c r="C93" t="s">
        <v>68</v>
      </c>
      <c r="D93" s="15">
        <v>46246.659317129626</v>
      </c>
      <c r="E93" t="s">
        <v>398</v>
      </c>
      <c r="F93">
        <v>3</v>
      </c>
      <c r="G93" s="15">
        <v>46252.458333333336</v>
      </c>
      <c r="H93" t="s">
        <v>353</v>
      </c>
      <c r="I93" t="s">
        <v>368</v>
      </c>
      <c r="J93" t="s">
        <v>239</v>
      </c>
      <c r="K93" t="s">
        <v>348</v>
      </c>
      <c r="L93" t="s">
        <v>369</v>
      </c>
      <c r="M93" t="s">
        <v>239</v>
      </c>
      <c r="O93" t="s">
        <v>67</v>
      </c>
      <c r="P93" t="s">
        <v>353</v>
      </c>
      <c r="Q93" t="s">
        <v>217</v>
      </c>
    </row>
    <row r="94" spans="1:18" x14ac:dyDescent="0.3">
      <c r="A94" t="s">
        <v>348</v>
      </c>
      <c r="B94" t="s">
        <v>45</v>
      </c>
      <c r="C94" t="s">
        <v>68</v>
      </c>
      <c r="D94" s="15">
        <v>46251.598506944443</v>
      </c>
      <c r="E94" t="s">
        <v>398</v>
      </c>
      <c r="F94">
        <v>3</v>
      </c>
      <c r="G94" s="15">
        <v>46255.493055555555</v>
      </c>
      <c r="H94" t="s">
        <v>353</v>
      </c>
      <c r="I94" t="s">
        <v>368</v>
      </c>
      <c r="J94" t="s">
        <v>239</v>
      </c>
      <c r="K94" t="s">
        <v>348</v>
      </c>
      <c r="L94" t="s">
        <v>369</v>
      </c>
      <c r="M94" t="s">
        <v>239</v>
      </c>
      <c r="N94">
        <v>103</v>
      </c>
      <c r="O94" t="s">
        <v>67</v>
      </c>
      <c r="P94" t="s">
        <v>353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46254.355046296296</v>
      </c>
      <c r="E95" t="s">
        <v>412</v>
      </c>
      <c r="F95">
        <v>35</v>
      </c>
      <c r="G95" s="15">
        <v>46258.410416666666</v>
      </c>
      <c r="H95" t="s">
        <v>359</v>
      </c>
      <c r="I95" t="s">
        <v>368</v>
      </c>
      <c r="J95" t="s">
        <v>239</v>
      </c>
      <c r="K95" t="s">
        <v>348</v>
      </c>
      <c r="L95" t="s">
        <v>369</v>
      </c>
      <c r="M95" t="s">
        <v>239</v>
      </c>
      <c r="N95">
        <v>93</v>
      </c>
      <c r="O95" t="s">
        <v>67</v>
      </c>
      <c r="P95" t="s">
        <v>465</v>
      </c>
      <c r="Q95" t="s">
        <v>217</v>
      </c>
      <c r="R95">
        <v>1</v>
      </c>
    </row>
    <row r="96" spans="1:18" x14ac:dyDescent="0.3">
      <c r="A96" t="s">
        <v>348</v>
      </c>
      <c r="B96" t="s">
        <v>45</v>
      </c>
      <c r="C96" t="s">
        <v>68</v>
      </c>
      <c r="D96" s="15">
        <v>46253.542812500003</v>
      </c>
      <c r="E96" t="s">
        <v>398</v>
      </c>
      <c r="F96">
        <v>3</v>
      </c>
      <c r="G96" s="15">
        <v>46255.493055555555</v>
      </c>
      <c r="H96" t="s">
        <v>353</v>
      </c>
      <c r="I96" t="s">
        <v>368</v>
      </c>
      <c r="J96" t="s">
        <v>239</v>
      </c>
      <c r="K96" t="s">
        <v>348</v>
      </c>
      <c r="L96" t="s">
        <v>369</v>
      </c>
      <c r="M96" t="s">
        <v>239</v>
      </c>
      <c r="N96">
        <v>103</v>
      </c>
      <c r="O96" t="s">
        <v>67</v>
      </c>
      <c r="P96" t="s">
        <v>353</v>
      </c>
      <c r="Q96" t="s">
        <v>217</v>
      </c>
    </row>
    <row r="97" spans="1:18" x14ac:dyDescent="0.3">
      <c r="A97" t="s">
        <v>348</v>
      </c>
      <c r="B97" t="s">
        <v>45</v>
      </c>
      <c r="C97" t="s">
        <v>68</v>
      </c>
      <c r="D97" s="15">
        <v>46253.545694444445</v>
      </c>
      <c r="E97" t="s">
        <v>398</v>
      </c>
      <c r="F97">
        <v>3</v>
      </c>
      <c r="G97" s="15">
        <v>46255.493055555555</v>
      </c>
      <c r="H97" t="s">
        <v>353</v>
      </c>
      <c r="I97" t="s">
        <v>368</v>
      </c>
      <c r="J97" t="s">
        <v>239</v>
      </c>
      <c r="K97" t="s">
        <v>348</v>
      </c>
      <c r="L97" t="s">
        <v>369</v>
      </c>
      <c r="M97" t="s">
        <v>239</v>
      </c>
      <c r="O97" t="s">
        <v>67</v>
      </c>
      <c r="P97" t="s">
        <v>353</v>
      </c>
      <c r="Q97" t="s">
        <v>217</v>
      </c>
    </row>
    <row r="98" spans="1:18" x14ac:dyDescent="0.3">
      <c r="A98" t="s">
        <v>348</v>
      </c>
      <c r="B98" t="s">
        <v>45</v>
      </c>
      <c r="C98" t="s">
        <v>68</v>
      </c>
      <c r="D98" s="15">
        <v>46253.545173611114</v>
      </c>
      <c r="E98" t="s">
        <v>398</v>
      </c>
      <c r="F98">
        <v>3</v>
      </c>
      <c r="G98" s="15">
        <v>46255.493055555555</v>
      </c>
      <c r="H98" t="s">
        <v>353</v>
      </c>
      <c r="I98" t="s">
        <v>368</v>
      </c>
      <c r="J98" t="s">
        <v>239</v>
      </c>
      <c r="K98" t="s">
        <v>348</v>
      </c>
      <c r="L98" t="s">
        <v>369</v>
      </c>
      <c r="M98" t="s">
        <v>239</v>
      </c>
      <c r="O98" t="s">
        <v>67</v>
      </c>
      <c r="P98" t="s">
        <v>353</v>
      </c>
      <c r="Q98" t="s">
        <v>217</v>
      </c>
    </row>
    <row r="99" spans="1:18" x14ac:dyDescent="0.3">
      <c r="A99" t="s">
        <v>348</v>
      </c>
      <c r="B99" t="s">
        <v>45</v>
      </c>
      <c r="C99" t="s">
        <v>68</v>
      </c>
      <c r="D99" s="15">
        <v>46233.471192129633</v>
      </c>
      <c r="E99" t="s">
        <v>398</v>
      </c>
      <c r="F99">
        <v>3</v>
      </c>
      <c r="G99" s="15">
        <v>46237.458333333336</v>
      </c>
      <c r="H99" t="s">
        <v>353</v>
      </c>
      <c r="I99" t="s">
        <v>368</v>
      </c>
      <c r="J99" t="s">
        <v>239</v>
      </c>
      <c r="K99" t="s">
        <v>348</v>
      </c>
      <c r="L99" t="s">
        <v>369</v>
      </c>
      <c r="M99" t="s">
        <v>239</v>
      </c>
      <c r="O99" t="s">
        <v>67</v>
      </c>
      <c r="P99" t="s">
        <v>353</v>
      </c>
      <c r="Q99" t="s">
        <v>217</v>
      </c>
    </row>
    <row r="100" spans="1:18" x14ac:dyDescent="0.3">
      <c r="A100" t="s">
        <v>348</v>
      </c>
      <c r="B100" t="s">
        <v>45</v>
      </c>
      <c r="C100" t="s">
        <v>68</v>
      </c>
      <c r="D100" s="15">
        <v>46233.470659722225</v>
      </c>
      <c r="E100" t="s">
        <v>398</v>
      </c>
      <c r="F100">
        <v>3</v>
      </c>
      <c r="G100" s="15">
        <v>46237.458333333336</v>
      </c>
      <c r="H100" t="s">
        <v>353</v>
      </c>
      <c r="I100" t="s">
        <v>368</v>
      </c>
      <c r="J100" t="s">
        <v>239</v>
      </c>
      <c r="K100" t="s">
        <v>348</v>
      </c>
      <c r="L100" t="s">
        <v>369</v>
      </c>
      <c r="M100" t="s">
        <v>239</v>
      </c>
      <c r="O100" t="s">
        <v>67</v>
      </c>
      <c r="P100" t="s">
        <v>353</v>
      </c>
      <c r="Q100" t="s">
        <v>217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46233.468287037038</v>
      </c>
      <c r="E101" t="s">
        <v>398</v>
      </c>
      <c r="F101">
        <v>3</v>
      </c>
      <c r="G101" s="15">
        <v>46237.458333333336</v>
      </c>
      <c r="H101" t="s">
        <v>353</v>
      </c>
      <c r="I101" t="s">
        <v>368</v>
      </c>
      <c r="J101" t="s">
        <v>239</v>
      </c>
      <c r="K101" t="s">
        <v>348</v>
      </c>
      <c r="L101" t="s">
        <v>369</v>
      </c>
      <c r="M101" t="s">
        <v>239</v>
      </c>
      <c r="O101" t="s">
        <v>67</v>
      </c>
      <c r="P101" t="s">
        <v>353</v>
      </c>
      <c r="Q101" t="s">
        <v>217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46225.582372685189</v>
      </c>
      <c r="E102" t="s">
        <v>398</v>
      </c>
      <c r="F102">
        <v>3</v>
      </c>
      <c r="G102" s="15">
        <v>46231.455555555556</v>
      </c>
      <c r="H102" t="s">
        <v>353</v>
      </c>
      <c r="I102" t="s">
        <v>368</v>
      </c>
      <c r="J102" t="s">
        <v>239</v>
      </c>
      <c r="K102" t="s">
        <v>348</v>
      </c>
      <c r="L102" t="s">
        <v>369</v>
      </c>
      <c r="M102" t="s">
        <v>239</v>
      </c>
      <c r="N102">
        <v>103</v>
      </c>
      <c r="O102" t="s">
        <v>67</v>
      </c>
      <c r="P102" t="s">
        <v>353</v>
      </c>
      <c r="Q102" t="s">
        <v>217</v>
      </c>
      <c r="R102">
        <v>1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46225.581944444442</v>
      </c>
      <c r="E103" t="s">
        <v>398</v>
      </c>
      <c r="F103">
        <v>1</v>
      </c>
      <c r="G103" s="15">
        <v>46231.455555555556</v>
      </c>
      <c r="H103" t="s">
        <v>353</v>
      </c>
      <c r="I103" t="s">
        <v>368</v>
      </c>
      <c r="J103" t="s">
        <v>239</v>
      </c>
      <c r="K103" t="s">
        <v>348</v>
      </c>
      <c r="L103" t="s">
        <v>369</v>
      </c>
      <c r="M103" t="s">
        <v>239</v>
      </c>
      <c r="O103" t="s">
        <v>67</v>
      </c>
      <c r="P103" t="s">
        <v>353</v>
      </c>
      <c r="Q103" t="s">
        <v>217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46225.581226851849</v>
      </c>
      <c r="E104" t="s">
        <v>398</v>
      </c>
      <c r="F104">
        <v>3</v>
      </c>
      <c r="G104" s="15">
        <v>46231.455555555556</v>
      </c>
      <c r="H104" t="s">
        <v>353</v>
      </c>
      <c r="I104" t="s">
        <v>368</v>
      </c>
      <c r="J104" t="s">
        <v>239</v>
      </c>
      <c r="K104" t="s">
        <v>348</v>
      </c>
      <c r="L104" t="s">
        <v>369</v>
      </c>
      <c r="M104" t="s">
        <v>239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46225.358090277776</v>
      </c>
      <c r="E105" t="s">
        <v>402</v>
      </c>
      <c r="F105">
        <v>26</v>
      </c>
      <c r="G105" s="15">
        <v>46227.5</v>
      </c>
      <c r="H105" t="s">
        <v>353</v>
      </c>
      <c r="I105" t="s">
        <v>368</v>
      </c>
      <c r="J105" t="s">
        <v>239</v>
      </c>
      <c r="K105" t="s">
        <v>348</v>
      </c>
      <c r="L105" t="s">
        <v>369</v>
      </c>
      <c r="M105" t="s">
        <v>239</v>
      </c>
      <c r="O105" t="s">
        <v>67</v>
      </c>
      <c r="P105" t="s">
        <v>353</v>
      </c>
      <c r="Q105" t="s">
        <v>217</v>
      </c>
      <c r="R105">
        <v>1.23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46225.333067129628</v>
      </c>
      <c r="E106" t="s">
        <v>413</v>
      </c>
      <c r="F106">
        <v>8</v>
      </c>
      <c r="G106" s="15">
        <v>46227.5</v>
      </c>
      <c r="H106" t="s">
        <v>353</v>
      </c>
      <c r="I106" t="s">
        <v>368</v>
      </c>
      <c r="J106" t="s">
        <v>239</v>
      </c>
      <c r="K106" t="s">
        <v>348</v>
      </c>
      <c r="L106" t="s">
        <v>369</v>
      </c>
      <c r="M106" t="s">
        <v>239</v>
      </c>
      <c r="N106">
        <v>103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46223.488009259258</v>
      </c>
      <c r="E107" t="s">
        <v>398</v>
      </c>
      <c r="F107">
        <v>2</v>
      </c>
      <c r="G107" s="15">
        <v>46231.451388888891</v>
      </c>
      <c r="H107" t="s">
        <v>353</v>
      </c>
      <c r="I107" t="s">
        <v>368</v>
      </c>
      <c r="J107" t="s">
        <v>239</v>
      </c>
      <c r="K107" t="s">
        <v>348</v>
      </c>
      <c r="L107" t="s">
        <v>369</v>
      </c>
      <c r="M107" t="s">
        <v>239</v>
      </c>
      <c r="N107">
        <v>103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46223.487222222226</v>
      </c>
      <c r="E108" t="s">
        <v>398</v>
      </c>
      <c r="F108">
        <v>1</v>
      </c>
      <c r="G108" s="15">
        <v>46231.451388888891</v>
      </c>
      <c r="H108" t="s">
        <v>353</v>
      </c>
      <c r="I108" t="s">
        <v>368</v>
      </c>
      <c r="J108" t="s">
        <v>239</v>
      </c>
      <c r="K108" t="s">
        <v>348</v>
      </c>
      <c r="L108" t="s">
        <v>369</v>
      </c>
      <c r="M108" t="s">
        <v>239</v>
      </c>
      <c r="O108" t="s">
        <v>67</v>
      </c>
      <c r="P108" t="s">
        <v>353</v>
      </c>
      <c r="Q108" t="s">
        <v>217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46225.339780092596</v>
      </c>
      <c r="E109" t="s">
        <v>402</v>
      </c>
      <c r="F109">
        <v>4</v>
      </c>
      <c r="G109" s="15">
        <v>46227.5</v>
      </c>
      <c r="H109" t="s">
        <v>353</v>
      </c>
      <c r="I109" t="s">
        <v>368</v>
      </c>
      <c r="J109" t="s">
        <v>239</v>
      </c>
      <c r="K109" t="s">
        <v>348</v>
      </c>
      <c r="L109" t="s">
        <v>369</v>
      </c>
      <c r="M109" t="s">
        <v>239</v>
      </c>
      <c r="O109" t="s">
        <v>67</v>
      </c>
      <c r="P109" t="s">
        <v>353</v>
      </c>
      <c r="Q109" t="s">
        <v>217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46225.337905092594</v>
      </c>
      <c r="E110" t="s">
        <v>402</v>
      </c>
      <c r="F110">
        <v>2</v>
      </c>
      <c r="G110" s="15">
        <v>46227.5</v>
      </c>
      <c r="H110" t="s">
        <v>353</v>
      </c>
      <c r="I110" t="s">
        <v>368</v>
      </c>
      <c r="J110" t="s">
        <v>239</v>
      </c>
      <c r="K110" t="s">
        <v>348</v>
      </c>
      <c r="L110" t="s">
        <v>369</v>
      </c>
      <c r="M110" t="s">
        <v>239</v>
      </c>
      <c r="O110" t="s">
        <v>67</v>
      </c>
      <c r="P110" t="s">
        <v>353</v>
      </c>
      <c r="Q110" t="s">
        <v>217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46225.337650462963</v>
      </c>
      <c r="E111" t="s">
        <v>402</v>
      </c>
      <c r="F111">
        <v>1</v>
      </c>
      <c r="G111" s="15">
        <v>46227.5</v>
      </c>
      <c r="H111" t="s">
        <v>353</v>
      </c>
      <c r="I111" t="s">
        <v>368</v>
      </c>
      <c r="J111" t="s">
        <v>239</v>
      </c>
      <c r="K111" t="s">
        <v>348</v>
      </c>
      <c r="L111" t="s">
        <v>369</v>
      </c>
      <c r="M111" t="s">
        <v>239</v>
      </c>
      <c r="O111" t="s">
        <v>67</v>
      </c>
      <c r="P111" t="s">
        <v>353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46224.651469907411</v>
      </c>
      <c r="E112" t="s">
        <v>402</v>
      </c>
      <c r="F112">
        <v>16</v>
      </c>
      <c r="G112" s="15">
        <v>46227.5</v>
      </c>
      <c r="H112" t="s">
        <v>353</v>
      </c>
      <c r="I112" t="s">
        <v>368</v>
      </c>
      <c r="J112" t="s">
        <v>239</v>
      </c>
      <c r="K112" t="s">
        <v>348</v>
      </c>
      <c r="L112" t="s">
        <v>369</v>
      </c>
      <c r="M112" t="s">
        <v>239</v>
      </c>
      <c r="O112" t="s">
        <v>67</v>
      </c>
      <c r="P112" t="s">
        <v>353</v>
      </c>
      <c r="Q112" t="s">
        <v>217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46224.65053240741</v>
      </c>
      <c r="E113" t="s">
        <v>402</v>
      </c>
      <c r="F113">
        <v>6</v>
      </c>
      <c r="G113" s="15">
        <v>46227.5</v>
      </c>
      <c r="H113" t="s">
        <v>353</v>
      </c>
      <c r="I113" t="s">
        <v>368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353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46225.340196759258</v>
      </c>
      <c r="E114" t="s">
        <v>402</v>
      </c>
      <c r="F114">
        <v>3</v>
      </c>
      <c r="G114" s="15">
        <v>46227.5</v>
      </c>
      <c r="H114" t="s">
        <v>353</v>
      </c>
      <c r="I114" t="s">
        <v>368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353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46225.340752314813</v>
      </c>
      <c r="E115" t="s">
        <v>402</v>
      </c>
      <c r="F115">
        <v>3</v>
      </c>
      <c r="G115" s="15">
        <v>46227.5</v>
      </c>
      <c r="H115" t="s">
        <v>353</v>
      </c>
      <c r="I115" t="s">
        <v>368</v>
      </c>
      <c r="J115" t="s">
        <v>239</v>
      </c>
      <c r="K115" t="s">
        <v>348</v>
      </c>
      <c r="L115" t="s">
        <v>369</v>
      </c>
      <c r="M115" t="s">
        <v>239</v>
      </c>
      <c r="O115" t="s">
        <v>67</v>
      </c>
      <c r="P115" t="s">
        <v>353</v>
      </c>
      <c r="Q115" t="s">
        <v>217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46230.441238425927</v>
      </c>
      <c r="E116" t="s">
        <v>398</v>
      </c>
      <c r="F116">
        <v>3</v>
      </c>
      <c r="G116" s="15">
        <v>46231.431944444441</v>
      </c>
      <c r="H116" t="s">
        <v>353</v>
      </c>
      <c r="I116" t="s">
        <v>368</v>
      </c>
      <c r="J116" t="s">
        <v>239</v>
      </c>
      <c r="K116" t="s">
        <v>348</v>
      </c>
      <c r="L116" t="s">
        <v>369</v>
      </c>
      <c r="M116" t="s">
        <v>239</v>
      </c>
      <c r="N116">
        <v>103</v>
      </c>
      <c r="O116" t="s">
        <v>67</v>
      </c>
      <c r="P116" t="s">
        <v>353</v>
      </c>
      <c r="Q116" t="s">
        <v>217</v>
      </c>
    </row>
    <row r="117" spans="1:18" x14ac:dyDescent="0.3">
      <c r="A117" t="s">
        <v>348</v>
      </c>
      <c r="B117" t="s">
        <v>45</v>
      </c>
      <c r="C117" t="s">
        <v>68</v>
      </c>
      <c r="D117" s="15">
        <v>46230.439814814818</v>
      </c>
      <c r="E117" t="s">
        <v>398</v>
      </c>
      <c r="F117">
        <v>4</v>
      </c>
      <c r="G117" s="15">
        <v>46231.431944444441</v>
      </c>
      <c r="H117" t="s">
        <v>353</v>
      </c>
      <c r="I117" t="s">
        <v>368</v>
      </c>
      <c r="J117" t="s">
        <v>239</v>
      </c>
      <c r="K117" t="s">
        <v>348</v>
      </c>
      <c r="L117" t="s">
        <v>369</v>
      </c>
      <c r="M117" t="s">
        <v>239</v>
      </c>
      <c r="O117" t="s">
        <v>67</v>
      </c>
      <c r="P117" t="s">
        <v>353</v>
      </c>
      <c r="Q117" t="s">
        <v>217</v>
      </c>
    </row>
    <row r="118" spans="1:18" x14ac:dyDescent="0.3">
      <c r="A118" t="s">
        <v>348</v>
      </c>
      <c r="B118" t="s">
        <v>43</v>
      </c>
      <c r="C118" t="s">
        <v>105</v>
      </c>
      <c r="D118" s="15">
        <v>46226.43414351852</v>
      </c>
      <c r="E118" t="s">
        <v>1227</v>
      </c>
      <c r="F118">
        <v>1</v>
      </c>
      <c r="G118" s="15">
        <v>46231.455555555556</v>
      </c>
      <c r="H118" t="s">
        <v>353</v>
      </c>
      <c r="I118" t="s">
        <v>368</v>
      </c>
      <c r="J118" t="s">
        <v>239</v>
      </c>
      <c r="K118" t="s">
        <v>348</v>
      </c>
      <c r="L118" t="s">
        <v>369</v>
      </c>
      <c r="M118" t="s">
        <v>239</v>
      </c>
      <c r="O118" t="s">
        <v>67</v>
      </c>
      <c r="P118" t="s">
        <v>353</v>
      </c>
      <c r="Q118" t="s">
        <v>217</v>
      </c>
    </row>
    <row r="119" spans="1:18" x14ac:dyDescent="0.3">
      <c r="A119" t="s">
        <v>348</v>
      </c>
      <c r="B119" t="s">
        <v>45</v>
      </c>
      <c r="C119" t="s">
        <v>68</v>
      </c>
      <c r="D119" s="15">
        <v>46225.341481481482</v>
      </c>
      <c r="E119" t="s">
        <v>402</v>
      </c>
      <c r="F119">
        <v>11</v>
      </c>
      <c r="G119" s="15">
        <v>46227.5</v>
      </c>
      <c r="H119" t="s">
        <v>353</v>
      </c>
      <c r="I119" t="s">
        <v>368</v>
      </c>
      <c r="J119" t="s">
        <v>239</v>
      </c>
      <c r="K119" t="s">
        <v>348</v>
      </c>
      <c r="L119" t="s">
        <v>369</v>
      </c>
      <c r="M119" t="s">
        <v>239</v>
      </c>
      <c r="O119" t="s">
        <v>67</v>
      </c>
      <c r="P119" t="s">
        <v>353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46244.522743055553</v>
      </c>
      <c r="E120" t="s">
        <v>408</v>
      </c>
      <c r="F120">
        <v>6</v>
      </c>
      <c r="G120" s="15">
        <v>46247.409722222219</v>
      </c>
      <c r="H120" t="s">
        <v>358</v>
      </c>
      <c r="I120" t="s">
        <v>370</v>
      </c>
      <c r="J120" t="s">
        <v>239</v>
      </c>
      <c r="K120" t="s">
        <v>348</v>
      </c>
      <c r="L120" t="s">
        <v>369</v>
      </c>
      <c r="M120" t="s">
        <v>239</v>
      </c>
      <c r="N120">
        <v>0</v>
      </c>
      <c r="O120" t="s">
        <v>67</v>
      </c>
      <c r="P120" t="s">
        <v>358</v>
      </c>
      <c r="Q120" t="s">
        <v>217</v>
      </c>
      <c r="R120">
        <v>1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46252.385625000003</v>
      </c>
      <c r="E121" t="s">
        <v>404</v>
      </c>
      <c r="F121">
        <v>45</v>
      </c>
      <c r="G121" s="15">
        <v>46254.560416666667</v>
      </c>
      <c r="H121" t="s">
        <v>358</v>
      </c>
      <c r="I121" t="s">
        <v>370</v>
      </c>
      <c r="J121" t="s">
        <v>239</v>
      </c>
      <c r="K121" t="s">
        <v>348</v>
      </c>
      <c r="L121" t="s">
        <v>369</v>
      </c>
      <c r="M121" t="s">
        <v>239</v>
      </c>
      <c r="N121">
        <v>0</v>
      </c>
      <c r="O121" t="s">
        <v>67</v>
      </c>
      <c r="P121" t="s">
        <v>358</v>
      </c>
      <c r="Q121" t="s">
        <v>217</v>
      </c>
      <c r="R121">
        <v>1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46251.574641203704</v>
      </c>
      <c r="E122" t="s">
        <v>408</v>
      </c>
      <c r="F122">
        <v>15</v>
      </c>
      <c r="G122" s="15">
        <v>46253.486111111109</v>
      </c>
      <c r="H122" t="s">
        <v>358</v>
      </c>
      <c r="I122" t="s">
        <v>370</v>
      </c>
      <c r="J122" t="s">
        <v>239</v>
      </c>
      <c r="K122" t="s">
        <v>348</v>
      </c>
      <c r="L122" t="s">
        <v>369</v>
      </c>
      <c r="M122" t="s">
        <v>239</v>
      </c>
      <c r="O122" t="s">
        <v>67</v>
      </c>
      <c r="P122" t="s">
        <v>358</v>
      </c>
      <c r="Q122" t="s">
        <v>217</v>
      </c>
      <c r="R122">
        <v>1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46224.403738425928</v>
      </c>
      <c r="E123" t="s">
        <v>404</v>
      </c>
      <c r="F123">
        <v>50</v>
      </c>
      <c r="G123" s="15">
        <v>46227.503472222219</v>
      </c>
      <c r="H123" t="s">
        <v>358</v>
      </c>
      <c r="I123" t="s">
        <v>370</v>
      </c>
      <c r="J123" t="s">
        <v>239</v>
      </c>
      <c r="K123" t="s">
        <v>348</v>
      </c>
      <c r="L123" t="s">
        <v>369</v>
      </c>
      <c r="M123" t="s">
        <v>239</v>
      </c>
      <c r="N123">
        <v>0</v>
      </c>
      <c r="O123" t="s">
        <v>67</v>
      </c>
      <c r="P123" t="s">
        <v>358</v>
      </c>
      <c r="Q123" t="s">
        <v>217</v>
      </c>
      <c r="R123">
        <v>1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46230.325821759259</v>
      </c>
      <c r="E124" t="s">
        <v>408</v>
      </c>
      <c r="F124">
        <v>22</v>
      </c>
      <c r="G124" s="15">
        <v>46232.520833333336</v>
      </c>
      <c r="H124" t="s">
        <v>358</v>
      </c>
      <c r="I124" t="s">
        <v>370</v>
      </c>
      <c r="J124" t="s">
        <v>239</v>
      </c>
      <c r="K124" t="s">
        <v>348</v>
      </c>
      <c r="L124" t="s">
        <v>369</v>
      </c>
      <c r="M124" t="s">
        <v>239</v>
      </c>
      <c r="N124">
        <v>0</v>
      </c>
      <c r="O124" t="s">
        <v>67</v>
      </c>
      <c r="P124" t="s">
        <v>358</v>
      </c>
      <c r="Q124" t="s">
        <v>217</v>
      </c>
      <c r="R124">
        <v>1</v>
      </c>
    </row>
    <row r="125" spans="1:18" x14ac:dyDescent="0.3">
      <c r="A125" t="s">
        <v>348</v>
      </c>
      <c r="B125" t="s">
        <v>48</v>
      </c>
      <c r="C125" t="s">
        <v>68</v>
      </c>
      <c r="D125" s="15">
        <v>46226.544976851852</v>
      </c>
      <c r="E125" t="s">
        <v>404</v>
      </c>
      <c r="F125">
        <v>1</v>
      </c>
      <c r="G125" s="15">
        <v>46230.449305555558</v>
      </c>
      <c r="H125" t="s">
        <v>358</v>
      </c>
      <c r="I125" t="s">
        <v>370</v>
      </c>
      <c r="J125" t="s">
        <v>239</v>
      </c>
      <c r="K125" t="s">
        <v>348</v>
      </c>
      <c r="L125" t="s">
        <v>369</v>
      </c>
      <c r="M125" t="s">
        <v>239</v>
      </c>
      <c r="N125">
        <v>0</v>
      </c>
      <c r="O125" t="s">
        <v>90</v>
      </c>
      <c r="P125" t="s">
        <v>358</v>
      </c>
      <c r="Q125" t="s">
        <v>217</v>
      </c>
      <c r="R125">
        <v>1</v>
      </c>
    </row>
    <row r="126" spans="1:18" x14ac:dyDescent="0.3">
      <c r="A126" t="s">
        <v>349</v>
      </c>
      <c r="B126" t="s">
        <v>43</v>
      </c>
      <c r="C126" t="s">
        <v>105</v>
      </c>
      <c r="D126" s="15">
        <v>46251.397696759261</v>
      </c>
      <c r="E126" t="s">
        <v>402</v>
      </c>
      <c r="F126">
        <v>1</v>
      </c>
      <c r="G126" s="15">
        <v>46255.615277777775</v>
      </c>
      <c r="H126" t="s">
        <v>750</v>
      </c>
      <c r="I126" t="s">
        <v>751</v>
      </c>
      <c r="J126" t="s">
        <v>261</v>
      </c>
      <c r="K126" t="s">
        <v>349</v>
      </c>
      <c r="L126" t="s">
        <v>393</v>
      </c>
      <c r="M126" t="s">
        <v>261</v>
      </c>
      <c r="N126">
        <v>0</v>
      </c>
      <c r="O126" t="s">
        <v>67</v>
      </c>
      <c r="P126" t="s">
        <v>750</v>
      </c>
      <c r="Q126" t="s">
        <v>217</v>
      </c>
      <c r="R126">
        <v>1</v>
      </c>
    </row>
    <row r="127" spans="1:18" x14ac:dyDescent="0.3">
      <c r="A127" t="s">
        <v>349</v>
      </c>
      <c r="B127" t="s">
        <v>45</v>
      </c>
      <c r="C127" t="s">
        <v>68</v>
      </c>
      <c r="D127" s="15">
        <v>46251.388148148151</v>
      </c>
      <c r="E127" t="s">
        <v>752</v>
      </c>
      <c r="F127">
        <v>10</v>
      </c>
      <c r="G127" s="15">
        <v>46255.618055555555</v>
      </c>
      <c r="H127" t="s">
        <v>750</v>
      </c>
      <c r="I127" t="s">
        <v>751</v>
      </c>
      <c r="J127" t="s">
        <v>261</v>
      </c>
      <c r="K127" t="s">
        <v>349</v>
      </c>
      <c r="L127" t="s">
        <v>393</v>
      </c>
      <c r="M127" t="s">
        <v>261</v>
      </c>
      <c r="N127">
        <v>0</v>
      </c>
      <c r="O127" t="s">
        <v>67</v>
      </c>
      <c r="P127" t="s">
        <v>750</v>
      </c>
      <c r="Q127" t="s">
        <v>217</v>
      </c>
    </row>
    <row r="128" spans="1:18" x14ac:dyDescent="0.3">
      <c r="A128" t="s">
        <v>349</v>
      </c>
      <c r="B128" t="s">
        <v>45</v>
      </c>
      <c r="C128" t="s">
        <v>68</v>
      </c>
      <c r="D128" s="15">
        <v>46251.394097222219</v>
      </c>
      <c r="E128" t="s">
        <v>752</v>
      </c>
      <c r="F128">
        <v>5</v>
      </c>
      <c r="G128" s="15">
        <v>46255.615277777775</v>
      </c>
      <c r="H128" t="s">
        <v>750</v>
      </c>
      <c r="I128" t="s">
        <v>751</v>
      </c>
      <c r="J128" t="s">
        <v>261</v>
      </c>
      <c r="K128" t="s">
        <v>349</v>
      </c>
      <c r="L128" t="s">
        <v>393</v>
      </c>
      <c r="M128" t="s">
        <v>261</v>
      </c>
      <c r="O128" t="s">
        <v>67</v>
      </c>
      <c r="P128" t="s">
        <v>750</v>
      </c>
      <c r="Q128" t="s">
        <v>217</v>
      </c>
    </row>
    <row r="129" spans="1:18" x14ac:dyDescent="0.3">
      <c r="A129" t="s">
        <v>349</v>
      </c>
      <c r="B129" t="s">
        <v>48</v>
      </c>
      <c r="C129" t="s">
        <v>68</v>
      </c>
      <c r="D129" s="15">
        <v>46226.72587962963</v>
      </c>
      <c r="E129" t="s">
        <v>402</v>
      </c>
      <c r="F129">
        <v>1</v>
      </c>
      <c r="G129" s="15">
        <v>46232.441666666666</v>
      </c>
      <c r="H129" t="s">
        <v>750</v>
      </c>
      <c r="I129" t="s">
        <v>751</v>
      </c>
      <c r="J129" t="s">
        <v>261</v>
      </c>
      <c r="K129" t="s">
        <v>349</v>
      </c>
      <c r="L129" t="s">
        <v>393</v>
      </c>
      <c r="M129" t="s">
        <v>261</v>
      </c>
      <c r="N129">
        <v>0</v>
      </c>
      <c r="O129" t="s">
        <v>90</v>
      </c>
      <c r="P129" t="s">
        <v>750</v>
      </c>
      <c r="Q129" t="s">
        <v>217</v>
      </c>
      <c r="R129">
        <v>1</v>
      </c>
    </row>
    <row r="130" spans="1:18" x14ac:dyDescent="0.3">
      <c r="A130" t="s">
        <v>349</v>
      </c>
      <c r="B130" t="s">
        <v>45</v>
      </c>
      <c r="C130" t="s">
        <v>68</v>
      </c>
      <c r="D130" s="15">
        <v>46219.31449074074</v>
      </c>
      <c r="E130" t="s">
        <v>752</v>
      </c>
      <c r="F130">
        <v>9</v>
      </c>
      <c r="G130" s="15">
        <v>46232.447916666664</v>
      </c>
      <c r="H130" t="s">
        <v>750</v>
      </c>
      <c r="I130" t="s">
        <v>751</v>
      </c>
      <c r="J130" t="s">
        <v>261</v>
      </c>
      <c r="K130" t="s">
        <v>349</v>
      </c>
      <c r="L130" t="s">
        <v>393</v>
      </c>
      <c r="M130" t="s">
        <v>261</v>
      </c>
      <c r="N130">
        <v>0</v>
      </c>
      <c r="O130" t="s">
        <v>67</v>
      </c>
      <c r="P130" t="s">
        <v>750</v>
      </c>
      <c r="Q130" t="s">
        <v>217</v>
      </c>
    </row>
    <row r="131" spans="1:18" x14ac:dyDescent="0.3">
      <c r="A131" t="s">
        <v>347</v>
      </c>
      <c r="B131" t="s">
        <v>45</v>
      </c>
      <c r="C131" t="s">
        <v>68</v>
      </c>
      <c r="D131" s="15">
        <v>46244.678773148145</v>
      </c>
      <c r="E131" t="s">
        <v>1260</v>
      </c>
      <c r="F131">
        <v>25</v>
      </c>
      <c r="G131" s="15">
        <v>46246.395833333336</v>
      </c>
      <c r="H131" t="s">
        <v>1257</v>
      </c>
      <c r="I131" t="s">
        <v>1258</v>
      </c>
      <c r="J131" t="s">
        <v>240</v>
      </c>
      <c r="K131" t="s">
        <v>347</v>
      </c>
      <c r="L131" t="s">
        <v>351</v>
      </c>
      <c r="M131" t="s">
        <v>240</v>
      </c>
      <c r="N131">
        <v>3</v>
      </c>
      <c r="O131" t="s">
        <v>67</v>
      </c>
      <c r="P131" t="s">
        <v>1257</v>
      </c>
      <c r="Q131" t="s">
        <v>217</v>
      </c>
      <c r="R131">
        <v>1</v>
      </c>
    </row>
    <row r="132" spans="1:18" x14ac:dyDescent="0.3">
      <c r="A132" t="s">
        <v>347</v>
      </c>
      <c r="B132" t="s">
        <v>45</v>
      </c>
      <c r="C132" t="s">
        <v>68</v>
      </c>
      <c r="D132" s="15">
        <v>46252.494293981479</v>
      </c>
      <c r="E132" t="s">
        <v>1260</v>
      </c>
      <c r="F132">
        <v>25</v>
      </c>
      <c r="G132" s="15">
        <v>46253.423611111109</v>
      </c>
      <c r="H132" t="s">
        <v>1257</v>
      </c>
      <c r="I132" t="s">
        <v>1258</v>
      </c>
      <c r="J132" t="s">
        <v>240</v>
      </c>
      <c r="K132" t="s">
        <v>347</v>
      </c>
      <c r="L132" t="s">
        <v>351</v>
      </c>
      <c r="M132" t="s">
        <v>240</v>
      </c>
      <c r="N132">
        <v>3</v>
      </c>
      <c r="O132" t="s">
        <v>67</v>
      </c>
      <c r="P132" t="s">
        <v>1257</v>
      </c>
      <c r="Q132" t="s">
        <v>217</v>
      </c>
      <c r="R132">
        <v>1</v>
      </c>
    </row>
    <row r="133" spans="1:18" x14ac:dyDescent="0.3">
      <c r="A133" t="s">
        <v>347</v>
      </c>
      <c r="B133" t="s">
        <v>45</v>
      </c>
      <c r="C133" t="s">
        <v>68</v>
      </c>
      <c r="D133" s="15">
        <v>46237.299120370371</v>
      </c>
      <c r="E133" t="s">
        <v>1260</v>
      </c>
      <c r="F133">
        <v>20</v>
      </c>
      <c r="G133" s="15">
        <v>46239.371527777781</v>
      </c>
      <c r="H133" t="s">
        <v>1257</v>
      </c>
      <c r="I133" t="s">
        <v>1258</v>
      </c>
      <c r="J133" t="s">
        <v>240</v>
      </c>
      <c r="K133" t="s">
        <v>347</v>
      </c>
      <c r="L133" t="s">
        <v>351</v>
      </c>
      <c r="M133" t="s">
        <v>240</v>
      </c>
      <c r="N133">
        <v>3</v>
      </c>
      <c r="O133" t="s">
        <v>67</v>
      </c>
      <c r="P133" t="s">
        <v>1257</v>
      </c>
      <c r="Q133" t="s">
        <v>217</v>
      </c>
      <c r="R133">
        <v>1</v>
      </c>
    </row>
    <row r="134" spans="1:18" x14ac:dyDescent="0.3">
      <c r="A134" t="s">
        <v>347</v>
      </c>
      <c r="B134" t="s">
        <v>43</v>
      </c>
      <c r="C134" t="s">
        <v>105</v>
      </c>
      <c r="D134" s="15">
        <v>46244.665532407409</v>
      </c>
      <c r="E134" t="s">
        <v>400</v>
      </c>
      <c r="F134">
        <v>3</v>
      </c>
      <c r="G134" s="15">
        <v>46247.479166666664</v>
      </c>
      <c r="H134" t="s">
        <v>362</v>
      </c>
      <c r="I134" t="s">
        <v>373</v>
      </c>
      <c r="J134" t="s">
        <v>240</v>
      </c>
      <c r="K134" t="s">
        <v>347</v>
      </c>
      <c r="L134" t="s">
        <v>351</v>
      </c>
      <c r="M134" t="s">
        <v>240</v>
      </c>
      <c r="N134">
        <v>48</v>
      </c>
      <c r="O134" t="s">
        <v>67</v>
      </c>
      <c r="P134" t="s">
        <v>362</v>
      </c>
      <c r="Q134" t="s">
        <v>217</v>
      </c>
      <c r="R134">
        <v>1</v>
      </c>
    </row>
    <row r="135" spans="1:18" x14ac:dyDescent="0.3">
      <c r="A135" t="s">
        <v>347</v>
      </c>
      <c r="B135" t="s">
        <v>45</v>
      </c>
      <c r="C135" t="s">
        <v>68</v>
      </c>
      <c r="D135" s="15">
        <v>46244.660208333335</v>
      </c>
      <c r="E135" t="s">
        <v>400</v>
      </c>
      <c r="F135">
        <v>25</v>
      </c>
      <c r="G135" s="15">
        <v>46246.611111111109</v>
      </c>
      <c r="H135" t="s">
        <v>362</v>
      </c>
      <c r="I135" t="s">
        <v>373</v>
      </c>
      <c r="J135" t="s">
        <v>240</v>
      </c>
      <c r="K135" t="s">
        <v>347</v>
      </c>
      <c r="L135" t="s">
        <v>351</v>
      </c>
      <c r="M135" t="s">
        <v>240</v>
      </c>
      <c r="N135">
        <v>48</v>
      </c>
      <c r="O135" t="s">
        <v>67</v>
      </c>
      <c r="P135" t="s">
        <v>362</v>
      </c>
      <c r="Q135" t="s">
        <v>217</v>
      </c>
      <c r="R135">
        <v>1</v>
      </c>
    </row>
    <row r="136" spans="1:18" x14ac:dyDescent="0.3">
      <c r="A136" t="s">
        <v>347</v>
      </c>
      <c r="B136" t="s">
        <v>45</v>
      </c>
      <c r="C136" t="s">
        <v>68</v>
      </c>
      <c r="D136" s="15">
        <v>46253.320972222224</v>
      </c>
      <c r="E136" t="s">
        <v>400</v>
      </c>
      <c r="F136">
        <v>25</v>
      </c>
      <c r="G136" s="15">
        <v>46255.638888888891</v>
      </c>
      <c r="H136" t="s">
        <v>362</v>
      </c>
      <c r="I136" t="s">
        <v>373</v>
      </c>
      <c r="J136" t="s">
        <v>240</v>
      </c>
      <c r="K136" t="s">
        <v>347</v>
      </c>
      <c r="L136" t="s">
        <v>351</v>
      </c>
      <c r="M136" t="s">
        <v>240</v>
      </c>
      <c r="N136">
        <v>48</v>
      </c>
      <c r="O136" t="s">
        <v>67</v>
      </c>
      <c r="P136" t="s">
        <v>362</v>
      </c>
      <c r="Q136" t="s">
        <v>217</v>
      </c>
      <c r="R136">
        <v>1</v>
      </c>
    </row>
    <row r="137" spans="1:18" x14ac:dyDescent="0.3">
      <c r="A137" t="s">
        <v>347</v>
      </c>
      <c r="B137" t="s">
        <v>45</v>
      </c>
      <c r="C137" t="s">
        <v>68</v>
      </c>
      <c r="D137" s="15">
        <v>46233.603067129632</v>
      </c>
      <c r="E137" t="s">
        <v>1290</v>
      </c>
      <c r="F137">
        <v>50</v>
      </c>
      <c r="G137" s="15">
        <v>46237.586805555555</v>
      </c>
      <c r="H137" t="s">
        <v>362</v>
      </c>
      <c r="I137" t="s">
        <v>373</v>
      </c>
      <c r="J137" t="s">
        <v>240</v>
      </c>
      <c r="K137" t="s">
        <v>347</v>
      </c>
      <c r="L137" t="s">
        <v>351</v>
      </c>
      <c r="M137" t="s">
        <v>240</v>
      </c>
      <c r="N137">
        <v>48</v>
      </c>
      <c r="O137" t="s">
        <v>67</v>
      </c>
      <c r="P137" t="s">
        <v>362</v>
      </c>
      <c r="Q137" t="s">
        <v>217</v>
      </c>
      <c r="R137">
        <v>1</v>
      </c>
    </row>
    <row r="138" spans="1:18" x14ac:dyDescent="0.3">
      <c r="A138" t="s">
        <v>347</v>
      </c>
      <c r="B138" t="s">
        <v>48</v>
      </c>
      <c r="C138" t="s">
        <v>68</v>
      </c>
      <c r="D138" s="15">
        <v>46238.544641203705</v>
      </c>
      <c r="E138" t="s">
        <v>400</v>
      </c>
      <c r="F138">
        <v>3</v>
      </c>
      <c r="G138" s="15">
        <v>46240.518055555556</v>
      </c>
      <c r="H138" t="s">
        <v>362</v>
      </c>
      <c r="I138" t="s">
        <v>373</v>
      </c>
      <c r="J138" t="s">
        <v>240</v>
      </c>
      <c r="K138" t="s">
        <v>347</v>
      </c>
      <c r="L138" t="s">
        <v>351</v>
      </c>
      <c r="M138" t="s">
        <v>240</v>
      </c>
      <c r="N138">
        <v>48</v>
      </c>
      <c r="O138" t="s">
        <v>90</v>
      </c>
      <c r="P138" t="s">
        <v>362</v>
      </c>
      <c r="Q138" t="s">
        <v>217</v>
      </c>
      <c r="R138">
        <v>1</v>
      </c>
    </row>
    <row r="139" spans="1:18" x14ac:dyDescent="0.3">
      <c r="A139" t="s">
        <v>348</v>
      </c>
      <c r="B139" t="s">
        <v>45</v>
      </c>
      <c r="C139" t="s">
        <v>68</v>
      </c>
      <c r="D139" s="15">
        <v>46224.647638888891</v>
      </c>
      <c r="E139" t="s">
        <v>1300</v>
      </c>
      <c r="F139">
        <v>1</v>
      </c>
      <c r="G139" s="15">
        <v>46226.447916666664</v>
      </c>
      <c r="H139" t="s">
        <v>1302</v>
      </c>
      <c r="I139" t="s">
        <v>1303</v>
      </c>
      <c r="J139" t="s">
        <v>287</v>
      </c>
      <c r="K139" t="s">
        <v>348</v>
      </c>
      <c r="L139" t="s">
        <v>369</v>
      </c>
      <c r="M139" t="s">
        <v>239</v>
      </c>
      <c r="N139">
        <v>76</v>
      </c>
      <c r="O139" t="s">
        <v>67</v>
      </c>
      <c r="P139" t="s">
        <v>1302</v>
      </c>
      <c r="Q139" t="s">
        <v>217</v>
      </c>
      <c r="R139">
        <v>1</v>
      </c>
    </row>
    <row r="140" spans="1:18" x14ac:dyDescent="0.3">
      <c r="A140" t="s">
        <v>348</v>
      </c>
      <c r="B140" t="s">
        <v>48</v>
      </c>
      <c r="C140" t="s">
        <v>68</v>
      </c>
      <c r="D140" s="15">
        <v>46216.601365740738</v>
      </c>
      <c r="E140" t="s">
        <v>402</v>
      </c>
      <c r="F140">
        <v>1</v>
      </c>
      <c r="G140" s="15">
        <v>46223.497916666667</v>
      </c>
      <c r="H140" t="s">
        <v>354</v>
      </c>
      <c r="I140" t="s">
        <v>369</v>
      </c>
      <c r="J140" t="s">
        <v>239</v>
      </c>
      <c r="K140" t="s">
        <v>348</v>
      </c>
      <c r="L140" t="s">
        <v>369</v>
      </c>
      <c r="M140" t="s">
        <v>239</v>
      </c>
      <c r="N140">
        <v>0</v>
      </c>
      <c r="O140" t="s">
        <v>90</v>
      </c>
      <c r="P140" t="s">
        <v>354</v>
      </c>
      <c r="Q140" t="s">
        <v>217</v>
      </c>
      <c r="R140">
        <v>1</v>
      </c>
    </row>
    <row r="141" spans="1:18" x14ac:dyDescent="0.3">
      <c r="A141" t="s">
        <v>348</v>
      </c>
      <c r="B141" t="s">
        <v>48</v>
      </c>
      <c r="C141" t="s">
        <v>68</v>
      </c>
      <c r="D141" s="15">
        <v>46241.31753472222</v>
      </c>
      <c r="E141" t="s">
        <v>401</v>
      </c>
      <c r="F141">
        <v>2</v>
      </c>
      <c r="G141" s="15">
        <v>46244.479166666664</v>
      </c>
      <c r="H141" t="s">
        <v>357</v>
      </c>
      <c r="I141" t="s">
        <v>369</v>
      </c>
      <c r="J141" t="s">
        <v>239</v>
      </c>
      <c r="K141" t="s">
        <v>348</v>
      </c>
      <c r="L141" t="s">
        <v>369</v>
      </c>
      <c r="M141" t="s">
        <v>239</v>
      </c>
      <c r="O141" t="s">
        <v>90</v>
      </c>
      <c r="P141" t="s">
        <v>357</v>
      </c>
      <c r="Q141" t="s">
        <v>217</v>
      </c>
    </row>
    <row r="142" spans="1:18" x14ac:dyDescent="0.3">
      <c r="A142" t="s">
        <v>350</v>
      </c>
      <c r="B142" t="s">
        <v>45</v>
      </c>
      <c r="C142" t="s">
        <v>68</v>
      </c>
      <c r="D142" s="15">
        <v>46223.312245370369</v>
      </c>
      <c r="E142" t="s">
        <v>421</v>
      </c>
      <c r="F142">
        <v>9</v>
      </c>
      <c r="G142" s="15">
        <v>46226.486805555556</v>
      </c>
      <c r="H142" t="s">
        <v>395</v>
      </c>
      <c r="I142" t="s">
        <v>376</v>
      </c>
      <c r="J142" t="s">
        <v>295</v>
      </c>
      <c r="K142" t="s">
        <v>350</v>
      </c>
      <c r="L142" t="s">
        <v>374</v>
      </c>
      <c r="M142" t="s">
        <v>262</v>
      </c>
      <c r="O142" t="s">
        <v>67</v>
      </c>
      <c r="P142" t="s">
        <v>395</v>
      </c>
      <c r="Q142" t="s">
        <v>217</v>
      </c>
      <c r="R142">
        <v>1</v>
      </c>
    </row>
    <row r="143" spans="1:18" x14ac:dyDescent="0.3">
      <c r="A143" t="s">
        <v>350</v>
      </c>
      <c r="B143" t="s">
        <v>45</v>
      </c>
      <c r="C143" t="s">
        <v>68</v>
      </c>
      <c r="D143" s="15">
        <v>46217.387696759259</v>
      </c>
      <c r="E143" t="s">
        <v>1332</v>
      </c>
      <c r="F143">
        <v>2</v>
      </c>
      <c r="G143" s="15">
        <v>46230.486111111109</v>
      </c>
      <c r="H143" t="s">
        <v>364</v>
      </c>
      <c r="I143" t="s">
        <v>375</v>
      </c>
      <c r="J143" t="s">
        <v>265</v>
      </c>
      <c r="K143" t="s">
        <v>350</v>
      </c>
      <c r="L143" t="s">
        <v>374</v>
      </c>
      <c r="M143" t="s">
        <v>262</v>
      </c>
      <c r="N143">
        <v>678</v>
      </c>
      <c r="O143" t="s">
        <v>67</v>
      </c>
      <c r="P143" t="s">
        <v>364</v>
      </c>
      <c r="Q143" t="s">
        <v>217</v>
      </c>
      <c r="R143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28" t="s">
        <v>502</v>
      </c>
      <c r="I2" s="14"/>
      <c r="J2" s="14"/>
      <c r="K2" s="29"/>
      <c r="L2" s="14"/>
      <c r="M2" s="14"/>
      <c r="N2" s="29"/>
      <c r="O2" s="14"/>
      <c r="Q2" s="1"/>
      <c r="R2" s="30" t="s">
        <v>496</v>
      </c>
      <c r="S2" s="14"/>
      <c r="T2" s="29"/>
      <c r="U2" s="14"/>
      <c r="V2" s="14"/>
      <c r="Y2" s="30" t="s">
        <v>497</v>
      </c>
      <c r="Z2" s="29"/>
      <c r="AA2" s="14"/>
      <c r="AB2" s="14"/>
      <c r="AC2" s="29"/>
      <c r="AD2" s="14"/>
      <c r="AE2" s="14"/>
      <c r="AF2" s="29"/>
      <c r="AG2" s="14"/>
      <c r="AH2"/>
      <c r="AI2" s="1"/>
      <c r="AJ2" s="30" t="s">
        <v>498</v>
      </c>
      <c r="AK2" s="14"/>
      <c r="AL2" s="29"/>
      <c r="AM2" s="14"/>
      <c r="AN2" s="14"/>
      <c r="AO2" s="29"/>
      <c r="AR2" s="31" t="s">
        <v>499</v>
      </c>
      <c r="AS2" s="14"/>
      <c r="AT2" s="14"/>
      <c r="AU2" s="29"/>
      <c r="AV2" s="14"/>
      <c r="AW2" s="14"/>
      <c r="AX2" s="1"/>
      <c r="AZ2" s="30" t="s">
        <v>500</v>
      </c>
      <c r="BA2" s="29"/>
      <c r="BB2" s="14"/>
      <c r="BC2" s="14"/>
      <c r="BD2" s="29"/>
      <c r="BE2" s="14"/>
      <c r="BG2" s="1"/>
      <c r="BH2" s="30" t="s">
        <v>501</v>
      </c>
      <c r="BI2" s="30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301</v>
      </c>
      <c r="H3" s="2" t="s">
        <v>1</v>
      </c>
      <c r="I3" s="2" t="s">
        <v>343</v>
      </c>
      <c r="J3" s="2" t="s">
        <v>0</v>
      </c>
      <c r="K3" s="2" t="s">
        <v>3</v>
      </c>
      <c r="L3" s="2" t="s">
        <v>256</v>
      </c>
      <c r="M3" s="2" t="s">
        <v>255</v>
      </c>
      <c r="N3" s="2" t="s">
        <v>257</v>
      </c>
      <c r="O3" s="2" t="s">
        <v>252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210</v>
      </c>
      <c r="W3" s="2"/>
      <c r="Y3" s="1" t="s">
        <v>3</v>
      </c>
      <c r="Z3" s="2" t="s">
        <v>155</v>
      </c>
      <c r="AA3" s="1" t="s">
        <v>168</v>
      </c>
      <c r="AB3" s="1" t="s">
        <v>2</v>
      </c>
      <c r="AC3" s="2" t="s">
        <v>178</v>
      </c>
      <c r="AD3" s="1" t="s">
        <v>156</v>
      </c>
      <c r="AE3" s="1" t="s">
        <v>157</v>
      </c>
      <c r="AF3" s="1" t="s">
        <v>158</v>
      </c>
      <c r="AG3" s="1" t="s">
        <v>160</v>
      </c>
      <c r="AH3"/>
      <c r="AJ3" s="1" t="s">
        <v>3</v>
      </c>
      <c r="AK3" s="2" t="s">
        <v>155</v>
      </c>
      <c r="AL3" s="1" t="s">
        <v>168</v>
      </c>
      <c r="AM3" s="1" t="s">
        <v>2</v>
      </c>
      <c r="AN3" s="2" t="s">
        <v>40</v>
      </c>
      <c r="AO3" s="1" t="s">
        <v>160</v>
      </c>
      <c r="AR3" s="1" t="s">
        <v>3</v>
      </c>
      <c r="AS3" s="1" t="s">
        <v>155</v>
      </c>
      <c r="AT3" s="1" t="s">
        <v>168</v>
      </c>
      <c r="AU3" s="1" t="s">
        <v>2</v>
      </c>
      <c r="AV3" s="1" t="s">
        <v>40</v>
      </c>
      <c r="AW3" s="1" t="s">
        <v>160</v>
      </c>
      <c r="AZ3" s="2" t="s">
        <v>282</v>
      </c>
      <c r="BA3" s="1" t="s">
        <v>3</v>
      </c>
      <c r="BB3" s="2" t="s">
        <v>155</v>
      </c>
      <c r="BC3" s="2" t="s">
        <v>202</v>
      </c>
      <c r="BD3" s="2" t="s">
        <v>274</v>
      </c>
      <c r="BE3" s="2" t="s">
        <v>144</v>
      </c>
      <c r="BH3" s="1" t="s">
        <v>269</v>
      </c>
      <c r="BI3" s="1" t="s">
        <v>270</v>
      </c>
      <c r="BK3" t="s">
        <v>286</v>
      </c>
      <c r="BL3" t="s">
        <v>282</v>
      </c>
      <c r="BN3" s="2" t="s">
        <v>316</v>
      </c>
      <c r="BO3" s="1" t="s">
        <v>317</v>
      </c>
      <c r="BP3" t="s">
        <v>318</v>
      </c>
      <c r="BR3" t="s">
        <v>316</v>
      </c>
      <c r="BS3" t="s">
        <v>378</v>
      </c>
      <c r="BT3" t="s">
        <v>460</v>
      </c>
      <c r="BU3" t="s">
        <v>286</v>
      </c>
      <c r="BW3" t="s">
        <v>467</v>
      </c>
      <c r="BX3" t="s">
        <v>468</v>
      </c>
      <c r="BY3" t="s">
        <v>469</v>
      </c>
      <c r="BZ3" t="s">
        <v>470</v>
      </c>
      <c r="CA3" t="s">
        <v>471</v>
      </c>
      <c r="CB3" t="s">
        <v>472</v>
      </c>
      <c r="CD3" s="2" t="s">
        <v>286</v>
      </c>
      <c r="CE3" s="2" t="s">
        <v>282</v>
      </c>
      <c r="CG3" t="s">
        <v>476</v>
      </c>
      <c r="CI3" s="1" t="s">
        <v>477</v>
      </c>
      <c r="CK3" s="33" t="s">
        <v>136</v>
      </c>
      <c r="CL3" s="33" t="s">
        <v>625</v>
      </c>
      <c r="CM3" s="33" t="s">
        <v>2</v>
      </c>
      <c r="CN3" s="33" t="s">
        <v>160</v>
      </c>
      <c r="CO3" s="34" t="s">
        <v>526</v>
      </c>
    </row>
    <row r="4" spans="1:93" x14ac:dyDescent="0.3">
      <c r="B4" s="1" t="s">
        <v>310</v>
      </c>
      <c r="E4" s="1" t="s">
        <v>345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249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211</v>
      </c>
      <c r="Y4" s="1" t="s">
        <v>41</v>
      </c>
      <c r="Z4" s="1" t="s">
        <v>159</v>
      </c>
      <c r="AA4" s="1" t="s">
        <v>163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179</v>
      </c>
      <c r="AL4" s="1" t="s">
        <v>19</v>
      </c>
      <c r="AM4" s="1" t="s">
        <v>180</v>
      </c>
      <c r="AN4" s="1" t="s">
        <v>181</v>
      </c>
      <c r="AO4" s="5">
        <v>1</v>
      </c>
      <c r="AR4" s="1" t="s">
        <v>280</v>
      </c>
      <c r="AS4" s="1" t="s">
        <v>190</v>
      </c>
      <c r="AT4" s="1" t="s">
        <v>24</v>
      </c>
      <c r="AU4" s="1" t="s">
        <v>86</v>
      </c>
      <c r="AV4" s="1" t="s">
        <v>191</v>
      </c>
      <c r="AW4" s="5">
        <v>1</v>
      </c>
      <c r="AZ4" s="1" t="s">
        <v>345</v>
      </c>
      <c r="BA4" s="1" t="s">
        <v>51</v>
      </c>
      <c r="BB4" s="1" t="s">
        <v>200</v>
      </c>
      <c r="BC4" s="1" t="s">
        <v>156</v>
      </c>
      <c r="BD4" s="1" t="s">
        <v>201</v>
      </c>
      <c r="BE4" s="1">
        <v>1</v>
      </c>
      <c r="BH4" s="1" t="s">
        <v>45</v>
      </c>
      <c r="BI4" s="1" t="s">
        <v>45</v>
      </c>
      <c r="BK4" t="s">
        <v>263</v>
      </c>
      <c r="BL4" t="s">
        <v>345</v>
      </c>
      <c r="BN4" s="1" t="s">
        <v>319</v>
      </c>
      <c r="BO4" s="1" t="s">
        <v>320</v>
      </c>
      <c r="BP4" t="s">
        <v>321</v>
      </c>
      <c r="BR4" s="16" t="s">
        <v>455</v>
      </c>
      <c r="BS4" s="9" t="s">
        <v>422</v>
      </c>
      <c r="BT4" s="2" t="s">
        <v>374</v>
      </c>
      <c r="BU4" t="s">
        <v>262</v>
      </c>
      <c r="BW4" t="s">
        <v>473</v>
      </c>
      <c r="BX4" t="s">
        <v>383</v>
      </c>
      <c r="BY4" t="s">
        <v>387</v>
      </c>
      <c r="BZ4" t="s">
        <v>392</v>
      </c>
      <c r="CA4" t="s">
        <v>394</v>
      </c>
      <c r="CB4" t="s">
        <v>263</v>
      </c>
      <c r="CD4" s="1" t="s">
        <v>263</v>
      </c>
      <c r="CE4" s="1" t="s">
        <v>473</v>
      </c>
      <c r="CG4" t="s">
        <v>478</v>
      </c>
      <c r="CI4" s="1">
        <v>2025</v>
      </c>
      <c r="CK4" s="34" t="s">
        <v>348</v>
      </c>
      <c r="CL4" s="34" t="s">
        <v>531</v>
      </c>
      <c r="CM4" s="34" t="s">
        <v>78</v>
      </c>
      <c r="CN4" s="35">
        <v>0.98799999999999999</v>
      </c>
      <c r="CO4" s="34" t="str">
        <f t="shared" ref="CO4:CO35" si="0">CONCATENATE(CL4," &amp; ",CM4)</f>
        <v>A 100,0 X L 140,0 X P 51,0 &amp; Arquivo de aço 1</v>
      </c>
    </row>
    <row r="5" spans="1:93" x14ac:dyDescent="0.3">
      <c r="B5" s="1" t="s">
        <v>148</v>
      </c>
      <c r="E5" s="1" t="s">
        <v>346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249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211</v>
      </c>
      <c r="Y5" s="1" t="s">
        <v>41</v>
      </c>
      <c r="Z5" s="1" t="s">
        <v>159</v>
      </c>
      <c r="AA5" s="1" t="s">
        <v>163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179</v>
      </c>
      <c r="AL5" s="1" t="s">
        <v>19</v>
      </c>
      <c r="AM5" s="1" t="s">
        <v>185</v>
      </c>
      <c r="AN5" s="1" t="s">
        <v>181</v>
      </c>
      <c r="AO5" s="5">
        <v>0.5</v>
      </c>
      <c r="AR5" s="1" t="s">
        <v>281</v>
      </c>
      <c r="AS5" s="1" t="s">
        <v>190</v>
      </c>
      <c r="AT5" s="1" t="s">
        <v>24</v>
      </c>
      <c r="AU5" s="1" t="s">
        <v>85</v>
      </c>
      <c r="AV5" s="1" t="s">
        <v>191</v>
      </c>
      <c r="AW5" s="5">
        <v>1</v>
      </c>
      <c r="AZ5" s="1" t="s">
        <v>345</v>
      </c>
      <c r="BA5" s="1" t="s">
        <v>51</v>
      </c>
      <c r="BB5" s="1" t="s">
        <v>200</v>
      </c>
      <c r="BC5" s="1" t="s">
        <v>203</v>
      </c>
      <c r="BD5" s="1" t="s">
        <v>201</v>
      </c>
      <c r="BE5" s="1">
        <v>2</v>
      </c>
      <c r="BH5" s="1" t="s">
        <v>46</v>
      </c>
      <c r="BI5" s="1" t="s">
        <v>46</v>
      </c>
      <c r="BK5" t="s">
        <v>260</v>
      </c>
      <c r="BL5" t="s">
        <v>345</v>
      </c>
      <c r="BN5" s="1" t="s">
        <v>322</v>
      </c>
      <c r="BO5" s="1" t="s">
        <v>323</v>
      </c>
      <c r="BP5" t="s">
        <v>324</v>
      </c>
      <c r="BR5" s="16" t="s">
        <v>456</v>
      </c>
      <c r="BS5" s="9" t="s">
        <v>461</v>
      </c>
      <c r="BT5" s="9" t="s">
        <v>462</v>
      </c>
      <c r="BU5" t="s">
        <v>263</v>
      </c>
      <c r="BW5" t="s">
        <v>349</v>
      </c>
      <c r="BX5" t="s">
        <v>379</v>
      </c>
      <c r="BY5" t="s">
        <v>384</v>
      </c>
      <c r="BZ5" t="s">
        <v>388</v>
      </c>
      <c r="CA5" t="s">
        <v>393</v>
      </c>
      <c r="CB5" t="s">
        <v>261</v>
      </c>
      <c r="CD5" s="1" t="s">
        <v>260</v>
      </c>
      <c r="CE5" s="1" t="s">
        <v>473</v>
      </c>
      <c r="CG5" t="s">
        <v>479</v>
      </c>
      <c r="CI5" s="1">
        <v>2026</v>
      </c>
      <c r="CK5" s="34" t="s">
        <v>348</v>
      </c>
      <c r="CL5" s="34" t="s">
        <v>532</v>
      </c>
      <c r="CM5" s="34" t="s">
        <v>79</v>
      </c>
      <c r="CN5" s="35">
        <v>0.77700000000000002</v>
      </c>
      <c r="CO5" s="34" t="str">
        <f t="shared" si="0"/>
        <v>A 130,0 X L 060,0 X P 72,0 &amp; Arquivo de aço 2</v>
      </c>
    </row>
    <row r="6" spans="1:93" x14ac:dyDescent="0.3">
      <c r="B6" s="1" t="s">
        <v>142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250</v>
      </c>
      <c r="N6" s="2" t="s">
        <v>248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211</v>
      </c>
      <c r="Y6" s="1" t="s">
        <v>41</v>
      </c>
      <c r="Z6" s="1" t="s">
        <v>159</v>
      </c>
      <c r="AA6" s="1" t="s">
        <v>163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179</v>
      </c>
      <c r="AL6" s="1" t="s">
        <v>19</v>
      </c>
      <c r="AM6" s="1" t="s">
        <v>182</v>
      </c>
      <c r="AN6" s="1" t="s">
        <v>181</v>
      </c>
      <c r="AO6" s="5">
        <v>0.4</v>
      </c>
      <c r="AR6" s="1" t="s">
        <v>275</v>
      </c>
      <c r="AS6" s="1" t="s">
        <v>190</v>
      </c>
      <c r="AT6" s="1" t="s">
        <v>24</v>
      </c>
      <c r="AU6" s="1" t="s">
        <v>192</v>
      </c>
      <c r="AV6" s="1" t="s">
        <v>193</v>
      </c>
      <c r="AW6" s="5">
        <v>1</v>
      </c>
      <c r="AZ6" s="1" t="s">
        <v>345</v>
      </c>
      <c r="BA6" s="1" t="s">
        <v>51</v>
      </c>
      <c r="BB6" s="1" t="s">
        <v>200</v>
      </c>
      <c r="BC6" s="1" t="s">
        <v>204</v>
      </c>
      <c r="BD6" s="1" t="s">
        <v>201</v>
      </c>
      <c r="BE6" s="1">
        <v>2</v>
      </c>
      <c r="BH6" s="1" t="s">
        <v>43</v>
      </c>
      <c r="BI6" s="1" t="s">
        <v>43</v>
      </c>
      <c r="BK6" t="s">
        <v>288</v>
      </c>
      <c r="BL6" t="s">
        <v>345</v>
      </c>
      <c r="BN6" s="1" t="s">
        <v>325</v>
      </c>
      <c r="BO6" s="1" t="s">
        <v>326</v>
      </c>
      <c r="BP6" t="s">
        <v>327</v>
      </c>
      <c r="BR6" s="16" t="s">
        <v>457</v>
      </c>
      <c r="BS6" s="9" t="s">
        <v>463</v>
      </c>
      <c r="BT6" s="2" t="s">
        <v>393</v>
      </c>
      <c r="BU6" t="s">
        <v>261</v>
      </c>
      <c r="BW6" t="s">
        <v>348</v>
      </c>
      <c r="BX6" t="s">
        <v>380</v>
      </c>
      <c r="BY6" t="s">
        <v>366</v>
      </c>
      <c r="BZ6" t="s">
        <v>389</v>
      </c>
      <c r="CA6" t="s">
        <v>369</v>
      </c>
      <c r="CB6" t="s">
        <v>239</v>
      </c>
      <c r="CD6" s="1" t="s">
        <v>288</v>
      </c>
      <c r="CE6" s="1" t="s">
        <v>473</v>
      </c>
      <c r="CG6" t="s">
        <v>480</v>
      </c>
      <c r="CI6" s="1">
        <v>2027</v>
      </c>
      <c r="CK6" s="34" t="s">
        <v>348</v>
      </c>
      <c r="CL6" s="34" t="s">
        <v>533</v>
      </c>
      <c r="CM6" s="34" t="s">
        <v>79</v>
      </c>
      <c r="CN6" s="35">
        <v>0.78800000000000003</v>
      </c>
      <c r="CO6" s="34" t="str">
        <f t="shared" si="0"/>
        <v>A 130,0 X L 060,0 X P 73,0 &amp; Arquivo de aço 2</v>
      </c>
    </row>
    <row r="7" spans="1:93" x14ac:dyDescent="0.3">
      <c r="B7" s="1" t="s">
        <v>149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249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211</v>
      </c>
      <c r="Y7" s="1" t="s">
        <v>41</v>
      </c>
      <c r="Z7" s="1" t="s">
        <v>159</v>
      </c>
      <c r="AA7" s="1" t="s">
        <v>163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179</v>
      </c>
      <c r="AL7" s="1" t="s">
        <v>19</v>
      </c>
      <c r="AM7" s="1" t="s">
        <v>186</v>
      </c>
      <c r="AN7" s="1" t="s">
        <v>181</v>
      </c>
      <c r="AO7" s="5">
        <v>0.33</v>
      </c>
      <c r="AR7" s="1" t="s">
        <v>275</v>
      </c>
      <c r="AS7" s="1" t="s">
        <v>190</v>
      </c>
      <c r="AT7" s="1" t="s">
        <v>24</v>
      </c>
      <c r="AU7" s="1" t="s">
        <v>194</v>
      </c>
      <c r="AV7" s="1" t="s">
        <v>193</v>
      </c>
      <c r="AW7" s="5">
        <v>2</v>
      </c>
      <c r="AZ7" s="1" t="s">
        <v>345</v>
      </c>
      <c r="BA7" s="1" t="s">
        <v>45</v>
      </c>
      <c r="BB7" s="1" t="s">
        <v>205</v>
      </c>
      <c r="BC7" s="1" t="s">
        <v>156</v>
      </c>
      <c r="BD7" s="1" t="s">
        <v>201</v>
      </c>
      <c r="BE7" s="1">
        <v>1</v>
      </c>
      <c r="BH7" s="1" t="s">
        <v>47</v>
      </c>
      <c r="BI7" s="1" t="s">
        <v>47</v>
      </c>
      <c r="BK7" t="s">
        <v>289</v>
      </c>
      <c r="BL7" t="s">
        <v>345</v>
      </c>
      <c r="BN7" s="1" t="s">
        <v>328</v>
      </c>
      <c r="BO7" s="1" t="s">
        <v>329</v>
      </c>
      <c r="BP7" t="s">
        <v>330</v>
      </c>
      <c r="BR7" s="16" t="s">
        <v>458</v>
      </c>
      <c r="BS7" s="9" t="s">
        <v>409</v>
      </c>
      <c r="BT7" s="9" t="s">
        <v>369</v>
      </c>
      <c r="BU7" t="s">
        <v>239</v>
      </c>
      <c r="BW7" t="s">
        <v>347</v>
      </c>
      <c r="BX7" t="s">
        <v>381</v>
      </c>
      <c r="BY7" t="s">
        <v>385</v>
      </c>
      <c r="BZ7" t="s">
        <v>390</v>
      </c>
      <c r="CA7" t="s">
        <v>351</v>
      </c>
      <c r="CB7" t="s">
        <v>240</v>
      </c>
      <c r="CD7" s="1" t="s">
        <v>289</v>
      </c>
      <c r="CE7" s="1" t="s">
        <v>473</v>
      </c>
      <c r="CG7" t="s">
        <v>481</v>
      </c>
      <c r="CI7" s="1">
        <v>2028</v>
      </c>
      <c r="CK7" s="34" t="s">
        <v>348</v>
      </c>
      <c r="CL7" s="34" t="s">
        <v>534</v>
      </c>
      <c r="CM7" s="34" t="s">
        <v>80</v>
      </c>
      <c r="CN7" s="35">
        <v>0.93500000000000005</v>
      </c>
      <c r="CO7" s="34" t="str">
        <f t="shared" si="0"/>
        <v>A 140,0 X L 067,0 X P 72,0 &amp; Arquivo de aço 3</v>
      </c>
    </row>
    <row r="8" spans="1:93" x14ac:dyDescent="0.3">
      <c r="B8" s="1" t="s">
        <v>150</v>
      </c>
      <c r="E8" s="2" t="s">
        <v>302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250</v>
      </c>
      <c r="N8" s="2" t="s">
        <v>248</v>
      </c>
      <c r="O8" s="2"/>
      <c r="R8" s="1" t="s">
        <v>66</v>
      </c>
      <c r="S8" s="1" t="s">
        <v>41</v>
      </c>
      <c r="T8" s="12" t="s">
        <v>415</v>
      </c>
      <c r="U8" s="1" t="s">
        <v>67</v>
      </c>
      <c r="V8" s="1" t="s">
        <v>211</v>
      </c>
      <c r="Y8" s="1" t="s">
        <v>41</v>
      </c>
      <c r="Z8" s="1" t="s">
        <v>159</v>
      </c>
      <c r="AA8" s="1" t="s">
        <v>163</v>
      </c>
      <c r="AB8" s="1" t="s">
        <v>154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179</v>
      </c>
      <c r="AL8" s="1" t="s">
        <v>19</v>
      </c>
      <c r="AM8" s="1" t="s">
        <v>183</v>
      </c>
      <c r="AN8" s="1" t="s">
        <v>184</v>
      </c>
      <c r="AO8" s="5">
        <v>0.2</v>
      </c>
      <c r="AR8" s="1" t="s">
        <v>275</v>
      </c>
      <c r="AS8" s="1" t="s">
        <v>190</v>
      </c>
      <c r="AT8" s="1" t="s">
        <v>24</v>
      </c>
      <c r="AU8" s="1" t="s">
        <v>195</v>
      </c>
      <c r="AV8" s="1" t="s">
        <v>193</v>
      </c>
      <c r="AW8" s="5">
        <v>4</v>
      </c>
      <c r="AZ8" s="1" t="s">
        <v>345</v>
      </c>
      <c r="BA8" s="1" t="s">
        <v>45</v>
      </c>
      <c r="BB8" s="1" t="s">
        <v>205</v>
      </c>
      <c r="BC8" s="1" t="s">
        <v>203</v>
      </c>
      <c r="BD8" s="1" t="s">
        <v>201</v>
      </c>
      <c r="BE8" s="1">
        <v>2</v>
      </c>
      <c r="BH8" s="1" t="s">
        <v>48</v>
      </c>
      <c r="BI8" s="1" t="s">
        <v>48</v>
      </c>
      <c r="BK8" t="s">
        <v>290</v>
      </c>
      <c r="BL8" t="s">
        <v>345</v>
      </c>
      <c r="BN8" s="1" t="s">
        <v>311</v>
      </c>
      <c r="BO8" s="1" t="s">
        <v>331</v>
      </c>
      <c r="BP8" t="s">
        <v>332</v>
      </c>
      <c r="BR8" s="16" t="s">
        <v>459</v>
      </c>
      <c r="BS8" s="9" t="s">
        <v>410</v>
      </c>
      <c r="BT8" s="2" t="s">
        <v>351</v>
      </c>
      <c r="BU8" t="s">
        <v>240</v>
      </c>
      <c r="BW8" t="s">
        <v>350</v>
      </c>
      <c r="BX8" t="s">
        <v>382</v>
      </c>
      <c r="BY8" t="s">
        <v>386</v>
      </c>
      <c r="BZ8" t="s">
        <v>391</v>
      </c>
      <c r="CA8" t="s">
        <v>374</v>
      </c>
      <c r="CB8" t="s">
        <v>262</v>
      </c>
      <c r="CD8" s="1" t="s">
        <v>290</v>
      </c>
      <c r="CE8" s="1" t="s">
        <v>347</v>
      </c>
      <c r="CG8" t="s">
        <v>482</v>
      </c>
      <c r="CI8" s="1">
        <v>2029</v>
      </c>
      <c r="CK8" s="34" t="s">
        <v>348</v>
      </c>
      <c r="CL8" s="34" t="s">
        <v>535</v>
      </c>
      <c r="CM8" s="34" t="s">
        <v>81</v>
      </c>
      <c r="CN8" s="35">
        <v>1.42</v>
      </c>
      <c r="CO8" s="34" t="str">
        <f t="shared" si="0"/>
        <v>A 150,0 X L 090,0 X P 76,0 &amp; Arquivo de aço 4</v>
      </c>
    </row>
    <row r="9" spans="1:93" x14ac:dyDescent="0.3">
      <c r="E9" s="1" t="s">
        <v>147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250</v>
      </c>
      <c r="N9" s="2" t="s">
        <v>248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212</v>
      </c>
      <c r="Y9" s="1" t="s">
        <v>41</v>
      </c>
      <c r="Z9" s="1" t="s">
        <v>161</v>
      </c>
      <c r="AA9" s="1" t="s">
        <v>162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179</v>
      </c>
      <c r="AL9" s="1" t="s">
        <v>19</v>
      </c>
      <c r="AM9" s="1" t="s">
        <v>187</v>
      </c>
      <c r="AN9" s="1" t="s">
        <v>184</v>
      </c>
      <c r="AO9" s="5">
        <v>3.3000000000000002E-2</v>
      </c>
      <c r="AR9" s="1" t="s">
        <v>275</v>
      </c>
      <c r="AS9" s="1" t="s">
        <v>190</v>
      </c>
      <c r="AT9" s="1" t="s">
        <v>24</v>
      </c>
      <c r="AU9" s="1" t="s">
        <v>196</v>
      </c>
      <c r="AV9" s="1" t="s">
        <v>193</v>
      </c>
      <c r="AW9" s="5">
        <v>8</v>
      </c>
      <c r="AZ9" s="1" t="s">
        <v>345</v>
      </c>
      <c r="BA9" s="1" t="s">
        <v>45</v>
      </c>
      <c r="BB9" s="1" t="s">
        <v>205</v>
      </c>
      <c r="BC9" s="1" t="s">
        <v>204</v>
      </c>
      <c r="BD9" s="1" t="s">
        <v>201</v>
      </c>
      <c r="BE9" s="1">
        <v>2</v>
      </c>
      <c r="BH9" s="1" t="s">
        <v>49</v>
      </c>
      <c r="BI9" s="1" t="s">
        <v>49</v>
      </c>
      <c r="BK9" t="s">
        <v>268</v>
      </c>
      <c r="BL9" t="s">
        <v>345</v>
      </c>
      <c r="BN9" s="1" t="s">
        <v>333</v>
      </c>
      <c r="BO9" s="1" t="s">
        <v>334</v>
      </c>
      <c r="BP9" t="s">
        <v>335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268</v>
      </c>
      <c r="CE9" s="1" t="s">
        <v>347</v>
      </c>
      <c r="CG9" t="s">
        <v>483</v>
      </c>
      <c r="CI9" s="1">
        <v>2030</v>
      </c>
      <c r="CK9" s="34" t="s">
        <v>348</v>
      </c>
      <c r="CL9" s="34" t="s">
        <v>536</v>
      </c>
      <c r="CM9" s="34" t="s">
        <v>81</v>
      </c>
      <c r="CN9" s="34">
        <v>1.0329999999999999</v>
      </c>
      <c r="CO9" s="34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250</v>
      </c>
      <c r="N10" s="2" t="s">
        <v>248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212</v>
      </c>
      <c r="Y10" s="1" t="s">
        <v>41</v>
      </c>
      <c r="Z10" s="1" t="s">
        <v>161</v>
      </c>
      <c r="AA10" s="1" t="s">
        <v>162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179</v>
      </c>
      <c r="AL10" s="1" t="s">
        <v>19</v>
      </c>
      <c r="AM10" s="1" t="s">
        <v>76</v>
      </c>
      <c r="AN10" s="1" t="s">
        <v>165</v>
      </c>
      <c r="AO10" s="5">
        <v>0.1</v>
      </c>
      <c r="AR10" s="1" t="s">
        <v>275</v>
      </c>
      <c r="AS10" s="1" t="s">
        <v>190</v>
      </c>
      <c r="AT10" s="1" t="s">
        <v>24</v>
      </c>
      <c r="AU10" s="1" t="s">
        <v>197</v>
      </c>
      <c r="AV10" s="1" t="s">
        <v>193</v>
      </c>
      <c r="AW10" s="5">
        <v>16</v>
      </c>
      <c r="AZ10" s="1" t="s">
        <v>345</v>
      </c>
      <c r="BA10" s="1" t="s">
        <v>46</v>
      </c>
      <c r="BB10" s="1" t="s">
        <v>205</v>
      </c>
      <c r="BC10" s="1" t="s">
        <v>156</v>
      </c>
      <c r="BD10" s="1" t="s">
        <v>201</v>
      </c>
      <c r="BE10" s="1">
        <v>1</v>
      </c>
      <c r="BH10" s="1" t="s">
        <v>50</v>
      </c>
      <c r="BI10" s="1" t="s">
        <v>50</v>
      </c>
      <c r="BK10" t="s">
        <v>291</v>
      </c>
      <c r="BL10" t="s">
        <v>345</v>
      </c>
      <c r="BN10" s="1" t="s">
        <v>315</v>
      </c>
      <c r="BO10" s="1" t="s">
        <v>336</v>
      </c>
      <c r="BP10" t="s">
        <v>337</v>
      </c>
      <c r="CD10" s="1" t="s">
        <v>291</v>
      </c>
      <c r="CE10" s="1" t="s">
        <v>347</v>
      </c>
      <c r="CG10" t="s">
        <v>484</v>
      </c>
      <c r="CI10" s="1">
        <v>2031</v>
      </c>
      <c r="CK10" s="34" t="s">
        <v>348</v>
      </c>
      <c r="CL10" s="34" t="s">
        <v>537</v>
      </c>
      <c r="CM10" s="34" t="s">
        <v>82</v>
      </c>
      <c r="CN10" s="34">
        <v>1.22</v>
      </c>
      <c r="CO10" s="34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250</v>
      </c>
      <c r="N11" s="2" t="s">
        <v>248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213</v>
      </c>
      <c r="Y11" s="1" t="s">
        <v>41</v>
      </c>
      <c r="Z11" s="1" t="s">
        <v>164</v>
      </c>
      <c r="AA11" s="1" t="s">
        <v>165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179</v>
      </c>
      <c r="AL11" s="1" t="s">
        <v>19</v>
      </c>
      <c r="AM11" s="1" t="s">
        <v>166</v>
      </c>
      <c r="AN11" s="1" t="s">
        <v>165</v>
      </c>
      <c r="AO11" s="5">
        <v>2.5000000000000001E-2</v>
      </c>
      <c r="AR11" s="1" t="s">
        <v>275</v>
      </c>
      <c r="AS11" s="1" t="s">
        <v>190</v>
      </c>
      <c r="AT11" s="1" t="s">
        <v>24</v>
      </c>
      <c r="AU11" s="1" t="s">
        <v>198</v>
      </c>
      <c r="AV11" s="1" t="s">
        <v>199</v>
      </c>
      <c r="AW11" s="5">
        <v>13.45</v>
      </c>
      <c r="AZ11" s="1" t="s">
        <v>345</v>
      </c>
      <c r="BA11" s="1" t="s">
        <v>46</v>
      </c>
      <c r="BB11" s="1" t="s">
        <v>205</v>
      </c>
      <c r="BC11" s="1" t="s">
        <v>203</v>
      </c>
      <c r="BD11" s="1" t="s">
        <v>201</v>
      </c>
      <c r="BE11" s="1">
        <v>2</v>
      </c>
      <c r="BH11" s="1" t="s">
        <v>45</v>
      </c>
      <c r="BI11" s="1" t="s">
        <v>46</v>
      </c>
      <c r="BK11" t="s">
        <v>240</v>
      </c>
      <c r="BL11" t="s">
        <v>345</v>
      </c>
      <c r="BN11" s="1" t="s">
        <v>338</v>
      </c>
      <c r="BO11" s="1" t="s">
        <v>339</v>
      </c>
      <c r="BP11" t="s">
        <v>340</v>
      </c>
      <c r="CD11" s="1" t="s">
        <v>240</v>
      </c>
      <c r="CE11" s="1" t="s">
        <v>347</v>
      </c>
      <c r="CG11" t="s">
        <v>485</v>
      </c>
      <c r="CI11" s="1">
        <v>2032</v>
      </c>
      <c r="CK11" s="34" t="s">
        <v>349</v>
      </c>
      <c r="CL11" s="34" t="s">
        <v>425</v>
      </c>
      <c r="CM11" s="34" t="s">
        <v>415</v>
      </c>
      <c r="CN11" s="35" t="s">
        <v>528</v>
      </c>
      <c r="CO11" s="34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250</v>
      </c>
      <c r="N12" s="2" t="s">
        <v>248</v>
      </c>
      <c r="O12" s="2"/>
      <c r="R12" s="1" t="s">
        <v>75</v>
      </c>
      <c r="S12" s="1" t="s">
        <v>41</v>
      </c>
      <c r="T12" s="1" t="s">
        <v>166</v>
      </c>
      <c r="U12" s="1" t="s">
        <v>67</v>
      </c>
      <c r="V12" s="1" t="s">
        <v>213</v>
      </c>
      <c r="Y12" s="1" t="s">
        <v>41</v>
      </c>
      <c r="Z12" s="1" t="s">
        <v>164</v>
      </c>
      <c r="AA12" s="1" t="s">
        <v>165</v>
      </c>
      <c r="AB12" s="1" t="s">
        <v>166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179</v>
      </c>
      <c r="AL12" s="1" t="s">
        <v>19</v>
      </c>
      <c r="AM12" s="1" t="s">
        <v>86</v>
      </c>
      <c r="AN12" s="1" t="s">
        <v>188</v>
      </c>
      <c r="AO12" s="5">
        <v>0.01</v>
      </c>
      <c r="AR12" s="1" t="s">
        <v>276</v>
      </c>
      <c r="AS12" s="1" t="s">
        <v>190</v>
      </c>
      <c r="AT12" s="1" t="s">
        <v>24</v>
      </c>
      <c r="AU12" s="1" t="s">
        <v>192</v>
      </c>
      <c r="AV12" s="1" t="s">
        <v>193</v>
      </c>
      <c r="AW12" s="5">
        <v>1</v>
      </c>
      <c r="AZ12" s="1" t="s">
        <v>345</v>
      </c>
      <c r="BA12" s="1" t="s">
        <v>46</v>
      </c>
      <c r="BB12" s="1" t="s">
        <v>205</v>
      </c>
      <c r="BC12" s="1" t="s">
        <v>204</v>
      </c>
      <c r="BD12" s="1" t="s">
        <v>201</v>
      </c>
      <c r="BE12" s="1">
        <v>2</v>
      </c>
      <c r="BH12" s="1" t="s">
        <v>47</v>
      </c>
      <c r="BI12" s="1" t="s">
        <v>49</v>
      </c>
      <c r="BK12" t="s">
        <v>261</v>
      </c>
      <c r="BL12" t="s">
        <v>345</v>
      </c>
      <c r="BN12" s="1" t="s">
        <v>314</v>
      </c>
      <c r="BO12" s="1" t="s">
        <v>341</v>
      </c>
      <c r="BP12" t="s">
        <v>342</v>
      </c>
      <c r="CD12" s="1" t="s">
        <v>261</v>
      </c>
      <c r="CE12" s="1" t="s">
        <v>349</v>
      </c>
      <c r="CG12" t="s">
        <v>486</v>
      </c>
      <c r="CI12" s="1">
        <v>2033</v>
      </c>
      <c r="CK12" s="34" t="s">
        <v>348</v>
      </c>
      <c r="CL12" s="36" t="s">
        <v>425</v>
      </c>
      <c r="CM12" s="37" t="s">
        <v>415</v>
      </c>
      <c r="CN12" s="35" t="s">
        <v>528</v>
      </c>
      <c r="CO12" s="34" t="str">
        <f t="shared" si="0"/>
        <v>A 30,0 X L 19,0 X P 39,0 &amp; Caixa 10 Kg - Jumbo</v>
      </c>
    </row>
    <row r="13" spans="1:93" x14ac:dyDescent="0.3">
      <c r="B13" s="1" t="s">
        <v>454</v>
      </c>
      <c r="E13" s="2" t="s">
        <v>303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250</v>
      </c>
      <c r="N13" s="2" t="s">
        <v>248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214</v>
      </c>
      <c r="Y13" s="1" t="s">
        <v>41</v>
      </c>
      <c r="Z13" s="1" t="s">
        <v>167</v>
      </c>
      <c r="AA13" s="1" t="s">
        <v>170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179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276</v>
      </c>
      <c r="AS13" s="1" t="s">
        <v>190</v>
      </c>
      <c r="AT13" s="1" t="s">
        <v>24</v>
      </c>
      <c r="AU13" s="1" t="s">
        <v>194</v>
      </c>
      <c r="AV13" s="1" t="s">
        <v>193</v>
      </c>
      <c r="AW13" s="5">
        <v>2</v>
      </c>
      <c r="AZ13" s="1" t="s">
        <v>345</v>
      </c>
      <c r="BA13" s="1" t="s">
        <v>47</v>
      </c>
      <c r="BB13" s="1" t="s">
        <v>206</v>
      </c>
      <c r="BC13" s="1" t="s">
        <v>156</v>
      </c>
      <c r="BD13" s="1" t="s">
        <v>146</v>
      </c>
      <c r="BE13" s="1">
        <v>0.5</v>
      </c>
      <c r="BH13" s="1" t="s">
        <v>48</v>
      </c>
      <c r="BI13" s="1" t="s">
        <v>50</v>
      </c>
      <c r="BK13" t="s">
        <v>287</v>
      </c>
      <c r="BL13" t="s">
        <v>345</v>
      </c>
      <c r="CD13" s="1" t="s">
        <v>287</v>
      </c>
      <c r="CE13" s="1" t="s">
        <v>348</v>
      </c>
      <c r="CG13" t="s">
        <v>487</v>
      </c>
      <c r="CI13" s="1">
        <v>2034</v>
      </c>
      <c r="CK13" s="34" t="s">
        <v>347</v>
      </c>
      <c r="CL13" s="37" t="s">
        <v>425</v>
      </c>
      <c r="CM13" s="34" t="s">
        <v>415</v>
      </c>
      <c r="CN13" s="35" t="s">
        <v>528</v>
      </c>
      <c r="CO13" s="34" t="str">
        <f t="shared" si="0"/>
        <v>A 30,0 X L 19,0 X P 39,0 &amp; Caixa 10 Kg - Jumbo</v>
      </c>
    </row>
    <row r="14" spans="1:93" x14ac:dyDescent="0.3">
      <c r="B14" s="2" t="s">
        <v>453</v>
      </c>
      <c r="E14" s="2" t="s">
        <v>347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250</v>
      </c>
      <c r="N14" s="2" t="s">
        <v>248</v>
      </c>
      <c r="O14" s="2" t="s">
        <v>344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214</v>
      </c>
      <c r="Y14" s="1" t="s">
        <v>41</v>
      </c>
      <c r="Z14" s="1" t="s">
        <v>167</v>
      </c>
      <c r="AA14" s="1" t="s">
        <v>170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179</v>
      </c>
      <c r="AL14" s="1" t="s">
        <v>19</v>
      </c>
      <c r="AM14" s="1" t="s">
        <v>85</v>
      </c>
      <c r="AN14" s="1" t="s">
        <v>189</v>
      </c>
      <c r="AO14" s="5">
        <v>3.0000000000000001E-3</v>
      </c>
      <c r="AR14" s="1" t="s">
        <v>276</v>
      </c>
      <c r="AS14" s="1" t="s">
        <v>190</v>
      </c>
      <c r="AT14" s="1" t="s">
        <v>24</v>
      </c>
      <c r="AU14" s="1" t="s">
        <v>195</v>
      </c>
      <c r="AV14" s="1" t="s">
        <v>193</v>
      </c>
      <c r="AW14" s="5">
        <v>4</v>
      </c>
      <c r="AZ14" s="1" t="s">
        <v>345</v>
      </c>
      <c r="BA14" s="1" t="s">
        <v>47</v>
      </c>
      <c r="BB14" s="1" t="s">
        <v>206</v>
      </c>
      <c r="BC14" s="1" t="s">
        <v>203</v>
      </c>
      <c r="BD14" s="1" t="s">
        <v>146</v>
      </c>
      <c r="BE14" s="1">
        <v>1</v>
      </c>
      <c r="BH14" s="1" t="s">
        <v>46</v>
      </c>
      <c r="BI14" s="1" t="s">
        <v>45</v>
      </c>
      <c r="BK14" t="s">
        <v>239</v>
      </c>
      <c r="BL14" t="s">
        <v>345</v>
      </c>
      <c r="CD14" s="1" t="s">
        <v>239</v>
      </c>
      <c r="CE14" s="1" t="s">
        <v>348</v>
      </c>
      <c r="CG14" t="s">
        <v>488</v>
      </c>
      <c r="CI14" s="1">
        <v>2035</v>
      </c>
      <c r="CK14" s="34" t="s">
        <v>350</v>
      </c>
      <c r="CL14" s="34" t="s">
        <v>425</v>
      </c>
      <c r="CM14" s="34" t="s">
        <v>415</v>
      </c>
      <c r="CN14" s="35" t="s">
        <v>528</v>
      </c>
      <c r="CO14" s="34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348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250</v>
      </c>
      <c r="N15" s="2" t="s">
        <v>248</v>
      </c>
      <c r="O15" s="2" t="s">
        <v>253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214</v>
      </c>
      <c r="Y15" s="1" t="s">
        <v>41</v>
      </c>
      <c r="Z15" s="1" t="s">
        <v>167</v>
      </c>
      <c r="AA15" s="1" t="s">
        <v>170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276</v>
      </c>
      <c r="AS15" s="1" t="s">
        <v>190</v>
      </c>
      <c r="AT15" s="1" t="s">
        <v>24</v>
      </c>
      <c r="AU15" s="1" t="s">
        <v>196</v>
      </c>
      <c r="AV15" s="1" t="s">
        <v>193</v>
      </c>
      <c r="AW15" s="5">
        <v>8</v>
      </c>
      <c r="AZ15" s="1" t="s">
        <v>345</v>
      </c>
      <c r="BA15" s="1" t="s">
        <v>47</v>
      </c>
      <c r="BB15" s="1" t="s">
        <v>206</v>
      </c>
      <c r="BC15" s="1" t="s">
        <v>204</v>
      </c>
      <c r="BD15" s="1" t="s">
        <v>146</v>
      </c>
      <c r="BE15" s="1">
        <v>0</v>
      </c>
      <c r="BH15" s="1" t="s">
        <v>49</v>
      </c>
      <c r="BI15" s="1" t="s">
        <v>47</v>
      </c>
      <c r="BK15" t="s">
        <v>305</v>
      </c>
      <c r="BL15" t="s">
        <v>346</v>
      </c>
      <c r="CD15" s="1" t="s">
        <v>305</v>
      </c>
      <c r="CE15" s="1" t="s">
        <v>350</v>
      </c>
      <c r="CG15" t="s">
        <v>489</v>
      </c>
      <c r="CI15" s="1">
        <v>2036</v>
      </c>
      <c r="CK15" s="34" t="s">
        <v>349</v>
      </c>
      <c r="CL15" s="34" t="s">
        <v>436</v>
      </c>
      <c r="CM15" s="34" t="s">
        <v>68</v>
      </c>
      <c r="CN15" s="35">
        <v>1.079</v>
      </c>
      <c r="CO15" s="34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349</v>
      </c>
      <c r="H16" s="2" t="s">
        <v>4</v>
      </c>
      <c r="I16" s="2" t="s">
        <v>12</v>
      </c>
      <c r="J16" s="2" t="s">
        <v>13</v>
      </c>
      <c r="K16" s="2" t="s">
        <v>284</v>
      </c>
      <c r="L16" s="2">
        <v>1</v>
      </c>
      <c r="M16" s="2" t="s">
        <v>250</v>
      </c>
      <c r="N16" s="2" t="s">
        <v>248</v>
      </c>
      <c r="O16" s="2" t="s">
        <v>254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214</v>
      </c>
      <c r="Y16" s="1" t="s">
        <v>41</v>
      </c>
      <c r="Z16" s="1" t="s">
        <v>167</v>
      </c>
      <c r="AA16" s="1" t="s">
        <v>170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276</v>
      </c>
      <c r="AS16" s="1" t="s">
        <v>190</v>
      </c>
      <c r="AT16" s="1" t="s">
        <v>24</v>
      </c>
      <c r="AU16" s="1" t="s">
        <v>197</v>
      </c>
      <c r="AV16" s="1" t="s">
        <v>193</v>
      </c>
      <c r="AW16" s="5">
        <v>16</v>
      </c>
      <c r="AZ16" s="1" t="s">
        <v>345</v>
      </c>
      <c r="BA16" s="1" t="s">
        <v>48</v>
      </c>
      <c r="BB16" s="1" t="s">
        <v>206</v>
      </c>
      <c r="BC16" s="1" t="s">
        <v>156</v>
      </c>
      <c r="BD16" s="1" t="s">
        <v>201</v>
      </c>
      <c r="BE16" s="1">
        <v>1</v>
      </c>
      <c r="BH16" s="1" t="s">
        <v>50</v>
      </c>
      <c r="BI16" s="1" t="s">
        <v>48</v>
      </c>
      <c r="BK16" t="s">
        <v>292</v>
      </c>
      <c r="BL16" t="s">
        <v>346</v>
      </c>
      <c r="BN16" s="193">
        <v>4600686987</v>
      </c>
      <c r="CD16" s="1" t="s">
        <v>292</v>
      </c>
      <c r="CE16" s="1" t="s">
        <v>350</v>
      </c>
      <c r="CK16" s="34" t="s">
        <v>349</v>
      </c>
      <c r="CL16" s="34" t="s">
        <v>529</v>
      </c>
      <c r="CM16" s="34" t="s">
        <v>68</v>
      </c>
      <c r="CN16" s="35">
        <v>1.0309999999999999</v>
      </c>
      <c r="CO16" s="34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350</v>
      </c>
      <c r="H17" s="2" t="s">
        <v>4</v>
      </c>
      <c r="I17" s="2" t="s">
        <v>12</v>
      </c>
      <c r="J17" s="2" t="s">
        <v>13</v>
      </c>
      <c r="K17" s="2" t="s">
        <v>285</v>
      </c>
      <c r="L17" s="2">
        <v>1</v>
      </c>
      <c r="M17" s="2" t="s">
        <v>250</v>
      </c>
      <c r="N17" s="2" t="s">
        <v>248</v>
      </c>
      <c r="O17" s="2" t="s">
        <v>254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214</v>
      </c>
      <c r="Y17" s="1" t="s">
        <v>41</v>
      </c>
      <c r="Z17" s="1" t="s">
        <v>167</v>
      </c>
      <c r="AA17" s="1" t="s">
        <v>170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276</v>
      </c>
      <c r="AS17" s="1" t="s">
        <v>190</v>
      </c>
      <c r="AT17" s="1" t="s">
        <v>24</v>
      </c>
      <c r="AU17" s="1" t="s">
        <v>198</v>
      </c>
      <c r="AV17" s="1" t="s">
        <v>199</v>
      </c>
      <c r="AW17" s="5">
        <v>13.45</v>
      </c>
      <c r="AZ17" s="1" t="s">
        <v>345</v>
      </c>
      <c r="BA17" s="1" t="s">
        <v>48</v>
      </c>
      <c r="BB17" s="1" t="s">
        <v>206</v>
      </c>
      <c r="BC17" s="1" t="s">
        <v>203</v>
      </c>
      <c r="BD17" s="1" t="s">
        <v>201</v>
      </c>
      <c r="BE17" s="1">
        <v>2</v>
      </c>
      <c r="BK17" t="s">
        <v>264</v>
      </c>
      <c r="BL17" t="s">
        <v>346</v>
      </c>
      <c r="BN17" s="34">
        <v>4600687006</v>
      </c>
      <c r="CD17" s="1" t="s">
        <v>264</v>
      </c>
      <c r="CE17" s="1" t="s">
        <v>350</v>
      </c>
      <c r="CK17" s="34" t="s">
        <v>349</v>
      </c>
      <c r="CL17" s="34" t="s">
        <v>527</v>
      </c>
      <c r="CM17" s="34" t="s">
        <v>68</v>
      </c>
      <c r="CN17" s="35">
        <v>1.0369999999999999</v>
      </c>
      <c r="CO17" s="34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304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250</v>
      </c>
      <c r="N18" s="2" t="s">
        <v>251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214</v>
      </c>
      <c r="Y18" s="1" t="s">
        <v>41</v>
      </c>
      <c r="Z18" s="1" t="s">
        <v>167</v>
      </c>
      <c r="AA18" s="1" t="s">
        <v>170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277</v>
      </c>
      <c r="AS18" s="1" t="s">
        <v>190</v>
      </c>
      <c r="AT18" s="1" t="s">
        <v>24</v>
      </c>
      <c r="AU18" s="1" t="s">
        <v>192</v>
      </c>
      <c r="AV18" s="1" t="s">
        <v>193</v>
      </c>
      <c r="AW18" s="5">
        <v>1</v>
      </c>
      <c r="AZ18" s="1" t="s">
        <v>345</v>
      </c>
      <c r="BA18" s="1" t="s">
        <v>48</v>
      </c>
      <c r="BB18" s="1" t="s">
        <v>206</v>
      </c>
      <c r="BC18" s="1" t="s">
        <v>204</v>
      </c>
      <c r="BD18" s="1" t="s">
        <v>201</v>
      </c>
      <c r="BE18" s="1">
        <v>2</v>
      </c>
      <c r="BK18" t="s">
        <v>296</v>
      </c>
      <c r="BL18" t="s">
        <v>346</v>
      </c>
      <c r="CD18" s="1" t="s">
        <v>296</v>
      </c>
      <c r="CE18" s="1" t="s">
        <v>350</v>
      </c>
      <c r="CK18" s="34" t="s">
        <v>349</v>
      </c>
      <c r="CL18" s="34" t="s">
        <v>434</v>
      </c>
      <c r="CM18" s="34" t="s">
        <v>68</v>
      </c>
      <c r="CN18" s="35">
        <v>1</v>
      </c>
      <c r="CO18" s="34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250</v>
      </c>
      <c r="N19" s="2" t="s">
        <v>7</v>
      </c>
      <c r="O19" s="2"/>
      <c r="R19" s="1" t="s">
        <v>84</v>
      </c>
      <c r="S19" s="1" t="s">
        <v>41</v>
      </c>
      <c r="T19" s="1" t="s">
        <v>172</v>
      </c>
      <c r="U19" s="1" t="s">
        <v>67</v>
      </c>
      <c r="V19" s="1" t="s">
        <v>215</v>
      </c>
      <c r="Y19" s="1" t="s">
        <v>41</v>
      </c>
      <c r="Z19" s="1" t="s">
        <v>169</v>
      </c>
      <c r="AA19" s="1" t="s">
        <v>171</v>
      </c>
      <c r="AB19" s="1" t="s">
        <v>172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277</v>
      </c>
      <c r="AS19" s="1" t="s">
        <v>190</v>
      </c>
      <c r="AT19" s="1" t="s">
        <v>24</v>
      </c>
      <c r="AU19" s="1" t="s">
        <v>194</v>
      </c>
      <c r="AV19" s="1" t="s">
        <v>193</v>
      </c>
      <c r="AW19" s="5">
        <v>2</v>
      </c>
      <c r="AZ19" s="1" t="s">
        <v>345</v>
      </c>
      <c r="BA19" s="1" t="s">
        <v>49</v>
      </c>
      <c r="BB19" s="1" t="s">
        <v>206</v>
      </c>
      <c r="BC19" s="1" t="s">
        <v>156</v>
      </c>
      <c r="BD19" s="1" t="s">
        <v>146</v>
      </c>
      <c r="BE19" s="1">
        <v>0.5</v>
      </c>
      <c r="BK19" t="s">
        <v>262</v>
      </c>
      <c r="BL19" t="s">
        <v>346</v>
      </c>
      <c r="CD19" s="1" t="s">
        <v>262</v>
      </c>
      <c r="CE19" s="1" t="s">
        <v>350</v>
      </c>
      <c r="CK19" s="34" t="s">
        <v>349</v>
      </c>
      <c r="CL19" s="34" t="s">
        <v>441</v>
      </c>
      <c r="CM19" s="34" t="s">
        <v>68</v>
      </c>
      <c r="CN19" s="35">
        <v>1.2029999999999998</v>
      </c>
      <c r="CO19" s="34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250</v>
      </c>
      <c r="N20" s="2" t="s">
        <v>251</v>
      </c>
      <c r="O20" s="2"/>
      <c r="R20" s="1" t="s">
        <v>84</v>
      </c>
      <c r="S20" s="1" t="s">
        <v>41</v>
      </c>
      <c r="T20" s="1" t="s">
        <v>173</v>
      </c>
      <c r="U20" s="1" t="s">
        <v>67</v>
      </c>
      <c r="V20" s="1" t="s">
        <v>215</v>
      </c>
      <c r="Y20" s="1" t="s">
        <v>41</v>
      </c>
      <c r="Z20" s="1" t="s">
        <v>169</v>
      </c>
      <c r="AA20" s="1" t="s">
        <v>171</v>
      </c>
      <c r="AB20" s="1" t="s">
        <v>173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277</v>
      </c>
      <c r="AS20" s="1" t="s">
        <v>190</v>
      </c>
      <c r="AT20" s="1" t="s">
        <v>24</v>
      </c>
      <c r="AU20" s="1" t="s">
        <v>195</v>
      </c>
      <c r="AV20" s="1" t="s">
        <v>193</v>
      </c>
      <c r="AW20" s="5">
        <v>4</v>
      </c>
      <c r="AZ20" s="1" t="s">
        <v>345</v>
      </c>
      <c r="BA20" s="1" t="s">
        <v>49</v>
      </c>
      <c r="BB20" s="1" t="s">
        <v>206</v>
      </c>
      <c r="BC20" s="1" t="s">
        <v>203</v>
      </c>
      <c r="BD20" s="1" t="s">
        <v>146</v>
      </c>
      <c r="BE20" s="1">
        <v>1</v>
      </c>
      <c r="BK20" t="s">
        <v>266</v>
      </c>
      <c r="BL20" t="s">
        <v>346</v>
      </c>
      <c r="CD20" s="1" t="s">
        <v>266</v>
      </c>
      <c r="CE20" s="1" t="s">
        <v>350</v>
      </c>
      <c r="CK20" s="34" t="s">
        <v>348</v>
      </c>
      <c r="CL20" s="34" t="s">
        <v>538</v>
      </c>
      <c r="CM20" s="34" t="s">
        <v>68</v>
      </c>
      <c r="CN20" s="35">
        <v>0.90100000000000002</v>
      </c>
      <c r="CO20" s="34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250</v>
      </c>
      <c r="N21" s="2" t="s">
        <v>251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215</v>
      </c>
      <c r="Y21" s="1" t="s">
        <v>41</v>
      </c>
      <c r="Z21" s="1" t="s">
        <v>169</v>
      </c>
      <c r="AA21" s="1" t="s">
        <v>171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277</v>
      </c>
      <c r="AS21" s="1" t="s">
        <v>190</v>
      </c>
      <c r="AT21" s="1" t="s">
        <v>24</v>
      </c>
      <c r="AU21" s="1" t="s">
        <v>196</v>
      </c>
      <c r="AV21" s="1" t="s">
        <v>193</v>
      </c>
      <c r="AW21" s="5">
        <v>8</v>
      </c>
      <c r="AZ21" s="1" t="s">
        <v>345</v>
      </c>
      <c r="BA21" s="1" t="s">
        <v>49</v>
      </c>
      <c r="BB21" s="1" t="s">
        <v>206</v>
      </c>
      <c r="BC21" s="1" t="s">
        <v>204</v>
      </c>
      <c r="BD21" s="1" t="s">
        <v>146</v>
      </c>
      <c r="BE21" s="1">
        <v>0</v>
      </c>
      <c r="BK21" t="s">
        <v>297</v>
      </c>
      <c r="BL21" t="s">
        <v>346</v>
      </c>
      <c r="CD21" s="1" t="s">
        <v>297</v>
      </c>
      <c r="CE21" s="1" t="s">
        <v>350</v>
      </c>
      <c r="CK21" s="34" t="s">
        <v>348</v>
      </c>
      <c r="CL21" s="34" t="s">
        <v>539</v>
      </c>
      <c r="CM21" s="34" t="s">
        <v>68</v>
      </c>
      <c r="CN21" s="35">
        <v>1.077</v>
      </c>
      <c r="CO21" s="34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250</v>
      </c>
      <c r="N22" s="2" t="s">
        <v>251</v>
      </c>
      <c r="O22" s="2"/>
      <c r="R22" s="1" t="s">
        <v>87</v>
      </c>
      <c r="S22" s="1" t="s">
        <v>41</v>
      </c>
      <c r="T22" s="1" t="s">
        <v>176</v>
      </c>
      <c r="U22" s="1" t="s">
        <v>67</v>
      </c>
      <c r="V22" s="1" t="s">
        <v>216</v>
      </c>
      <c r="Y22" s="1" t="s">
        <v>41</v>
      </c>
      <c r="Z22" s="1" t="s">
        <v>175</v>
      </c>
      <c r="AA22" s="1" t="s">
        <v>92</v>
      </c>
      <c r="AB22" s="1" t="s">
        <v>176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277</v>
      </c>
      <c r="AS22" s="1" t="s">
        <v>190</v>
      </c>
      <c r="AT22" s="1" t="s">
        <v>24</v>
      </c>
      <c r="AU22" s="1" t="s">
        <v>197</v>
      </c>
      <c r="AV22" s="1" t="s">
        <v>193</v>
      </c>
      <c r="AW22" s="5">
        <v>16</v>
      </c>
      <c r="AZ22" s="1" t="s">
        <v>345</v>
      </c>
      <c r="BA22" s="1" t="s">
        <v>50</v>
      </c>
      <c r="BB22" s="1" t="s">
        <v>206</v>
      </c>
      <c r="BC22" s="1" t="s">
        <v>156</v>
      </c>
      <c r="BD22" s="1" t="s">
        <v>201</v>
      </c>
      <c r="BE22" s="1">
        <v>1</v>
      </c>
      <c r="BK22" t="s">
        <v>267</v>
      </c>
      <c r="BL22" t="s">
        <v>346</v>
      </c>
      <c r="CD22" s="1" t="s">
        <v>267</v>
      </c>
      <c r="CE22" s="1" t="s">
        <v>350</v>
      </c>
      <c r="CK22" s="34" t="s">
        <v>348</v>
      </c>
      <c r="CL22" s="34" t="s">
        <v>540</v>
      </c>
      <c r="CM22" s="34" t="s">
        <v>68</v>
      </c>
      <c r="CN22" s="35">
        <v>0.91600000000000004</v>
      </c>
      <c r="CO22" s="34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250</v>
      </c>
      <c r="N23" s="2" t="s">
        <v>251</v>
      </c>
      <c r="O23" s="2"/>
      <c r="R23" s="1" t="s">
        <v>87</v>
      </c>
      <c r="S23" s="1" t="s">
        <v>41</v>
      </c>
      <c r="T23" s="1" t="s">
        <v>177</v>
      </c>
      <c r="U23" s="1" t="s">
        <v>67</v>
      </c>
      <c r="V23" s="1" t="s">
        <v>216</v>
      </c>
      <c r="Y23" s="1" t="s">
        <v>41</v>
      </c>
      <c r="Z23" s="1" t="s">
        <v>175</v>
      </c>
      <c r="AA23" s="1" t="s">
        <v>92</v>
      </c>
      <c r="AB23" s="1" t="s">
        <v>177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277</v>
      </c>
      <c r="AS23" s="1" t="s">
        <v>190</v>
      </c>
      <c r="AT23" s="1" t="s">
        <v>24</v>
      </c>
      <c r="AU23" s="1" t="s">
        <v>198</v>
      </c>
      <c r="AV23" s="1" t="s">
        <v>199</v>
      </c>
      <c r="AW23" s="5">
        <v>13.45</v>
      </c>
      <c r="AZ23" s="1" t="s">
        <v>345</v>
      </c>
      <c r="BA23" s="1" t="s">
        <v>50</v>
      </c>
      <c r="BB23" s="1" t="s">
        <v>206</v>
      </c>
      <c r="BC23" s="1" t="s">
        <v>203</v>
      </c>
      <c r="BD23" s="1" t="s">
        <v>201</v>
      </c>
      <c r="BE23" s="1">
        <v>2</v>
      </c>
      <c r="BK23" t="s">
        <v>294</v>
      </c>
      <c r="BL23" t="s">
        <v>346</v>
      </c>
      <c r="CD23" s="1" t="s">
        <v>294</v>
      </c>
      <c r="CE23" s="1" t="s">
        <v>350</v>
      </c>
      <c r="CK23" s="34" t="s">
        <v>348</v>
      </c>
      <c r="CL23" s="34" t="s">
        <v>541</v>
      </c>
      <c r="CM23" s="34" t="s">
        <v>68</v>
      </c>
      <c r="CN23" s="35">
        <v>0.61499999999999999</v>
      </c>
      <c r="CO23" s="34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250</v>
      </c>
      <c r="N24" s="2" t="s">
        <v>251</v>
      </c>
      <c r="O24" s="2"/>
      <c r="R24" s="1" t="s">
        <v>87</v>
      </c>
      <c r="S24" s="1" t="s">
        <v>41</v>
      </c>
      <c r="T24" s="1" t="s">
        <v>174</v>
      </c>
      <c r="U24" s="1" t="s">
        <v>67</v>
      </c>
      <c r="V24" s="1" t="s">
        <v>216</v>
      </c>
      <c r="Y24" s="1" t="s">
        <v>41</v>
      </c>
      <c r="Z24" s="1" t="s">
        <v>175</v>
      </c>
      <c r="AA24" s="1" t="s">
        <v>92</v>
      </c>
      <c r="AB24" s="1" t="s">
        <v>174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278</v>
      </c>
      <c r="AS24" s="1" t="s">
        <v>190</v>
      </c>
      <c r="AT24" s="1" t="s">
        <v>24</v>
      </c>
      <c r="AU24" s="1" t="s">
        <v>192</v>
      </c>
      <c r="AV24" s="1" t="s">
        <v>193</v>
      </c>
      <c r="AW24" s="5">
        <v>1</v>
      </c>
      <c r="AZ24" s="1" t="s">
        <v>345</v>
      </c>
      <c r="BA24" s="1" t="s">
        <v>50</v>
      </c>
      <c r="BB24" s="1" t="s">
        <v>206</v>
      </c>
      <c r="BC24" s="1" t="s">
        <v>204</v>
      </c>
      <c r="BD24" s="1" t="s">
        <v>201</v>
      </c>
      <c r="BE24" s="1">
        <v>2</v>
      </c>
      <c r="BK24" t="s">
        <v>265</v>
      </c>
      <c r="BL24" t="s">
        <v>346</v>
      </c>
      <c r="CD24" s="1" t="s">
        <v>265</v>
      </c>
      <c r="CE24" s="1" t="s">
        <v>350</v>
      </c>
      <c r="CK24" s="34" t="s">
        <v>348</v>
      </c>
      <c r="CL24" s="34" t="s">
        <v>542</v>
      </c>
      <c r="CM24" s="34" t="s">
        <v>68</v>
      </c>
      <c r="CN24" s="35">
        <v>1.0719999999999998</v>
      </c>
      <c r="CO24" s="34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250</v>
      </c>
      <c r="N25" s="2" t="s">
        <v>251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217</v>
      </c>
      <c r="AE25" s="4"/>
      <c r="AF25" s="4"/>
      <c r="AG25" s="4"/>
      <c r="AH25" s="5"/>
      <c r="AR25" s="1" t="s">
        <v>278</v>
      </c>
      <c r="AS25" s="1" t="s">
        <v>190</v>
      </c>
      <c r="AT25" s="1" t="s">
        <v>24</v>
      </c>
      <c r="AU25" s="1" t="s">
        <v>194</v>
      </c>
      <c r="AV25" s="1" t="s">
        <v>193</v>
      </c>
      <c r="AW25" s="5">
        <v>2</v>
      </c>
      <c r="AZ25" s="1" t="s">
        <v>345</v>
      </c>
      <c r="BA25" s="1" t="s">
        <v>52</v>
      </c>
      <c r="BB25" s="1" t="s">
        <v>207</v>
      </c>
      <c r="BC25" s="1" t="s">
        <v>156</v>
      </c>
      <c r="BD25" s="1" t="s">
        <v>201</v>
      </c>
      <c r="BE25" s="1">
        <v>2</v>
      </c>
      <c r="BK25" t="s">
        <v>306</v>
      </c>
      <c r="BL25" t="s">
        <v>346</v>
      </c>
      <c r="CD25" s="1" t="s">
        <v>306</v>
      </c>
      <c r="CE25" s="1" t="s">
        <v>350</v>
      </c>
      <c r="CK25" s="34" t="s">
        <v>348</v>
      </c>
      <c r="CL25" s="34" t="s">
        <v>543</v>
      </c>
      <c r="CM25" s="34" t="s">
        <v>68</v>
      </c>
      <c r="CN25" s="35">
        <v>1.0839999999999999</v>
      </c>
      <c r="CO25" s="34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280</v>
      </c>
      <c r="L26" s="2">
        <v>2</v>
      </c>
      <c r="M26" s="2" t="s">
        <v>250</v>
      </c>
      <c r="N26" s="2" t="s">
        <v>248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217</v>
      </c>
      <c r="AE26" s="4"/>
      <c r="AF26" s="4"/>
      <c r="AG26" s="4"/>
      <c r="AH26" s="5"/>
      <c r="AR26" s="1" t="s">
        <v>278</v>
      </c>
      <c r="AS26" s="1" t="s">
        <v>190</v>
      </c>
      <c r="AT26" s="1" t="s">
        <v>24</v>
      </c>
      <c r="AU26" s="1" t="s">
        <v>195</v>
      </c>
      <c r="AV26" s="1" t="s">
        <v>193</v>
      </c>
      <c r="AW26" s="5">
        <v>4</v>
      </c>
      <c r="AZ26" s="1" t="s">
        <v>345</v>
      </c>
      <c r="BA26" s="1" t="s">
        <v>52</v>
      </c>
      <c r="BB26" s="1" t="s">
        <v>207</v>
      </c>
      <c r="BC26" s="1" t="s">
        <v>203</v>
      </c>
      <c r="BD26" s="1" t="s">
        <v>201</v>
      </c>
      <c r="BE26" s="1">
        <v>2</v>
      </c>
      <c r="BK26" t="s">
        <v>295</v>
      </c>
      <c r="BL26" t="s">
        <v>346</v>
      </c>
      <c r="CD26" s="1" t="s">
        <v>295</v>
      </c>
      <c r="CE26" s="1" t="s">
        <v>350</v>
      </c>
      <c r="CK26" s="34" t="s">
        <v>348</v>
      </c>
      <c r="CL26" s="34" t="s">
        <v>435</v>
      </c>
      <c r="CM26" s="34" t="s">
        <v>68</v>
      </c>
      <c r="CN26" s="35">
        <v>1.1329999999999998</v>
      </c>
      <c r="CO26" s="34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281</v>
      </c>
      <c r="L27" s="2">
        <v>2</v>
      </c>
      <c r="M27" s="2" t="s">
        <v>250</v>
      </c>
      <c r="N27" s="2" t="s">
        <v>248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217</v>
      </c>
      <c r="AE27" s="4"/>
      <c r="AF27" s="4"/>
      <c r="AG27" s="4"/>
      <c r="AH27" s="5"/>
      <c r="AR27" s="1" t="s">
        <v>278</v>
      </c>
      <c r="AS27" s="1" t="s">
        <v>190</v>
      </c>
      <c r="AT27" s="1" t="s">
        <v>24</v>
      </c>
      <c r="AU27" s="1" t="s">
        <v>196</v>
      </c>
      <c r="AV27" s="1" t="s">
        <v>193</v>
      </c>
      <c r="AW27" s="5">
        <v>8</v>
      </c>
      <c r="AZ27" s="1" t="s">
        <v>345</v>
      </c>
      <c r="BA27" s="1" t="s">
        <v>52</v>
      </c>
      <c r="BB27" s="1" t="s">
        <v>207</v>
      </c>
      <c r="BC27" s="1" t="s">
        <v>204</v>
      </c>
      <c r="BD27" s="1" t="s">
        <v>201</v>
      </c>
      <c r="BE27" s="1">
        <v>2</v>
      </c>
      <c r="BK27" t="s">
        <v>298</v>
      </c>
      <c r="BL27" t="s">
        <v>346</v>
      </c>
      <c r="CD27" s="1" t="s">
        <v>298</v>
      </c>
      <c r="CE27" s="1" t="s">
        <v>350</v>
      </c>
      <c r="CK27" s="34" t="s">
        <v>348</v>
      </c>
      <c r="CL27" s="34" t="s">
        <v>544</v>
      </c>
      <c r="CM27" s="34" t="s">
        <v>68</v>
      </c>
      <c r="CN27" s="35">
        <v>0.82499999999999996</v>
      </c>
      <c r="CO27" s="34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275</v>
      </c>
      <c r="L28" s="2">
        <v>2</v>
      </c>
      <c r="M28" s="2" t="s">
        <v>250</v>
      </c>
      <c r="N28" s="2" t="s">
        <v>248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217</v>
      </c>
      <c r="AE28" s="4"/>
      <c r="AF28" s="4"/>
      <c r="AG28" s="4"/>
      <c r="AH28" s="5"/>
      <c r="AR28" s="1" t="s">
        <v>278</v>
      </c>
      <c r="AS28" s="1" t="s">
        <v>190</v>
      </c>
      <c r="AT28" s="1" t="s">
        <v>24</v>
      </c>
      <c r="AU28" s="1" t="s">
        <v>197</v>
      </c>
      <c r="AV28" s="1" t="s">
        <v>193</v>
      </c>
      <c r="AW28" s="5">
        <v>16</v>
      </c>
      <c r="AZ28" s="1" t="s">
        <v>345</v>
      </c>
      <c r="BA28" s="1" t="s">
        <v>284</v>
      </c>
      <c r="BB28" s="1" t="s">
        <v>208</v>
      </c>
      <c r="BC28" s="1" t="s">
        <v>156</v>
      </c>
      <c r="BD28" s="1" t="s">
        <v>146</v>
      </c>
      <c r="BE28" s="1">
        <v>0.5</v>
      </c>
      <c r="BK28" t="s">
        <v>307</v>
      </c>
      <c r="BL28" t="s">
        <v>346</v>
      </c>
      <c r="CD28" s="1" t="s">
        <v>307</v>
      </c>
      <c r="CE28" s="1" t="s">
        <v>350</v>
      </c>
      <c r="CK28" s="34" t="s">
        <v>348</v>
      </c>
      <c r="CL28" s="34" t="s">
        <v>545</v>
      </c>
      <c r="CM28" s="34" t="s">
        <v>68</v>
      </c>
      <c r="CN28" s="35">
        <v>0.98499999999999999</v>
      </c>
      <c r="CO28" s="34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276</v>
      </c>
      <c r="L29" s="2">
        <v>2</v>
      </c>
      <c r="M29" s="2" t="s">
        <v>250</v>
      </c>
      <c r="N29" s="2" t="s">
        <v>248</v>
      </c>
      <c r="O29" s="2"/>
      <c r="R29" s="1" t="s">
        <v>89</v>
      </c>
      <c r="S29" s="1" t="s">
        <v>48</v>
      </c>
      <c r="T29" s="12" t="s">
        <v>415</v>
      </c>
      <c r="U29" s="1" t="s">
        <v>90</v>
      </c>
      <c r="V29" s="1" t="s">
        <v>217</v>
      </c>
      <c r="AE29" s="4"/>
      <c r="AF29" s="4"/>
      <c r="AG29" s="4"/>
      <c r="AH29" s="5"/>
      <c r="AR29" s="1" t="s">
        <v>278</v>
      </c>
      <c r="AS29" s="1" t="s">
        <v>190</v>
      </c>
      <c r="AT29" s="1" t="s">
        <v>24</v>
      </c>
      <c r="AU29" s="1" t="s">
        <v>198</v>
      </c>
      <c r="AV29" s="1" t="s">
        <v>199</v>
      </c>
      <c r="AW29" s="5">
        <v>13.45</v>
      </c>
      <c r="AZ29" s="1" t="s">
        <v>345</v>
      </c>
      <c r="BA29" s="1" t="s">
        <v>284</v>
      </c>
      <c r="BB29" s="1" t="s">
        <v>208</v>
      </c>
      <c r="BC29" s="1" t="s">
        <v>203</v>
      </c>
      <c r="BD29" s="1" t="s">
        <v>146</v>
      </c>
      <c r="BE29" s="1">
        <v>0.5</v>
      </c>
      <c r="BK29" t="s">
        <v>293</v>
      </c>
      <c r="BL29" t="s">
        <v>346</v>
      </c>
      <c r="CD29" s="1" t="s">
        <v>293</v>
      </c>
      <c r="CE29" s="1" t="s">
        <v>350</v>
      </c>
      <c r="CK29" s="34" t="s">
        <v>348</v>
      </c>
      <c r="CL29" s="34" t="s">
        <v>546</v>
      </c>
      <c r="CM29" s="34" t="s">
        <v>68</v>
      </c>
      <c r="CN29" s="35">
        <v>1.0419999999999998</v>
      </c>
      <c r="CO29" s="34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277</v>
      </c>
      <c r="L30" s="2">
        <v>2</v>
      </c>
      <c r="M30" s="2" t="s">
        <v>250</v>
      </c>
      <c r="N30" s="2" t="s">
        <v>248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217</v>
      </c>
      <c r="AE30" s="4"/>
      <c r="AF30" s="4"/>
      <c r="AG30" s="4"/>
      <c r="AH30" s="5"/>
      <c r="AR30" s="1" t="s">
        <v>279</v>
      </c>
      <c r="AS30" s="1" t="s">
        <v>190</v>
      </c>
      <c r="AT30" s="1" t="s">
        <v>24</v>
      </c>
      <c r="AU30" s="1" t="s">
        <v>192</v>
      </c>
      <c r="AV30" s="1" t="s">
        <v>193</v>
      </c>
      <c r="AW30" s="5">
        <v>1</v>
      </c>
      <c r="AZ30" s="1" t="s">
        <v>345</v>
      </c>
      <c r="BA30" s="1" t="s">
        <v>284</v>
      </c>
      <c r="BB30" s="1" t="s">
        <v>208</v>
      </c>
      <c r="BC30" s="1" t="s">
        <v>204</v>
      </c>
      <c r="BD30" s="1" t="s">
        <v>146</v>
      </c>
      <c r="BE30" s="1">
        <v>0.5</v>
      </c>
      <c r="BK30" t="s">
        <v>308</v>
      </c>
      <c r="BL30" t="s">
        <v>346</v>
      </c>
      <c r="CD30" s="1" t="s">
        <v>308</v>
      </c>
      <c r="CE30" s="1" t="s">
        <v>350</v>
      </c>
      <c r="CK30" s="34" t="s">
        <v>348</v>
      </c>
      <c r="CL30" s="34" t="s">
        <v>436</v>
      </c>
      <c r="CM30" s="34" t="s">
        <v>68</v>
      </c>
      <c r="CN30" s="35">
        <v>1.079</v>
      </c>
      <c r="CO30" s="34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278</v>
      </c>
      <c r="L31" s="2">
        <v>2</v>
      </c>
      <c r="M31" s="2" t="s">
        <v>250</v>
      </c>
      <c r="N31" s="2" t="s">
        <v>248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217</v>
      </c>
      <c r="AE31" s="4"/>
      <c r="AF31" s="4"/>
      <c r="AG31" s="4"/>
      <c r="AH31" s="5"/>
      <c r="AR31" s="1" t="s">
        <v>279</v>
      </c>
      <c r="AS31" s="1" t="s">
        <v>190</v>
      </c>
      <c r="AT31" s="1" t="s">
        <v>24</v>
      </c>
      <c r="AU31" s="1" t="s">
        <v>194</v>
      </c>
      <c r="AV31" s="1" t="s">
        <v>193</v>
      </c>
      <c r="AW31" s="5">
        <v>2</v>
      </c>
      <c r="AZ31" s="1" t="s">
        <v>345</v>
      </c>
      <c r="BA31" s="1" t="s">
        <v>285</v>
      </c>
      <c r="BB31" s="1" t="s">
        <v>208</v>
      </c>
      <c r="BC31" s="1" t="s">
        <v>156</v>
      </c>
      <c r="BD31" s="1" t="s">
        <v>201</v>
      </c>
      <c r="BE31" s="1">
        <v>1</v>
      </c>
      <c r="CK31" s="34" t="s">
        <v>348</v>
      </c>
      <c r="CL31" s="34" t="s">
        <v>437</v>
      </c>
      <c r="CM31" s="34" t="s">
        <v>68</v>
      </c>
      <c r="CN31" s="35">
        <v>1.1809999999999998</v>
      </c>
      <c r="CO31" s="34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279</v>
      </c>
      <c r="L32" s="2">
        <v>2</v>
      </c>
      <c r="M32" s="2" t="s">
        <v>250</v>
      </c>
      <c r="N32" s="2" t="s">
        <v>248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217</v>
      </c>
      <c r="AE32" s="4"/>
      <c r="AF32" s="4"/>
      <c r="AG32" s="4"/>
      <c r="AH32" s="5"/>
      <c r="AR32" s="1" t="s">
        <v>279</v>
      </c>
      <c r="AS32" s="1" t="s">
        <v>190</v>
      </c>
      <c r="AT32" s="1" t="s">
        <v>24</v>
      </c>
      <c r="AU32" s="1" t="s">
        <v>195</v>
      </c>
      <c r="AV32" s="1" t="s">
        <v>193</v>
      </c>
      <c r="AW32" s="5">
        <v>4</v>
      </c>
      <c r="AZ32" s="1" t="s">
        <v>345</v>
      </c>
      <c r="BA32" s="1" t="s">
        <v>285</v>
      </c>
      <c r="BB32" s="1" t="s">
        <v>208</v>
      </c>
      <c r="BC32" s="1" t="s">
        <v>203</v>
      </c>
      <c r="BD32" s="1" t="s">
        <v>201</v>
      </c>
      <c r="BE32" s="1">
        <v>1</v>
      </c>
      <c r="CK32" s="34" t="s">
        <v>348</v>
      </c>
      <c r="CL32" s="34" t="s">
        <v>547</v>
      </c>
      <c r="CM32" s="34" t="s">
        <v>68</v>
      </c>
      <c r="CN32" s="35">
        <v>1.0389999999999999</v>
      </c>
      <c r="CO32" s="34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250</v>
      </c>
      <c r="N33" s="2" t="s">
        <v>251</v>
      </c>
      <c r="O33" s="2"/>
      <c r="R33" s="1" t="s">
        <v>89</v>
      </c>
      <c r="S33" s="1" t="s">
        <v>48</v>
      </c>
      <c r="T33" s="1" t="s">
        <v>166</v>
      </c>
      <c r="U33" s="1" t="s">
        <v>90</v>
      </c>
      <c r="V33" s="1" t="s">
        <v>217</v>
      </c>
      <c r="AE33" s="4"/>
      <c r="AF33" s="4"/>
      <c r="AG33" s="4"/>
      <c r="AH33" s="5"/>
      <c r="AR33" s="1" t="s">
        <v>279</v>
      </c>
      <c r="AS33" s="1" t="s">
        <v>190</v>
      </c>
      <c r="AT33" s="1" t="s">
        <v>24</v>
      </c>
      <c r="AU33" s="1" t="s">
        <v>196</v>
      </c>
      <c r="AV33" s="1" t="s">
        <v>193</v>
      </c>
      <c r="AW33" s="5">
        <v>8</v>
      </c>
      <c r="AZ33" s="1" t="s">
        <v>345</v>
      </c>
      <c r="BA33" s="1" t="s">
        <v>285</v>
      </c>
      <c r="BB33" s="1" t="s">
        <v>208</v>
      </c>
      <c r="BC33" s="1" t="s">
        <v>204</v>
      </c>
      <c r="BD33" s="1" t="s">
        <v>201</v>
      </c>
      <c r="BE33" s="1">
        <v>1</v>
      </c>
      <c r="CK33" s="34" t="s">
        <v>348</v>
      </c>
      <c r="CL33" s="34" t="s">
        <v>548</v>
      </c>
      <c r="CM33" s="34" t="s">
        <v>68</v>
      </c>
      <c r="CN33" s="35">
        <v>1.083</v>
      </c>
      <c r="CO33" s="34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250</v>
      </c>
      <c r="N34" s="2" t="s">
        <v>251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217</v>
      </c>
      <c r="AE34" s="4"/>
      <c r="AF34" s="4"/>
      <c r="AG34" s="4"/>
      <c r="AH34" s="5"/>
      <c r="AR34" s="1" t="s">
        <v>279</v>
      </c>
      <c r="AS34" s="1" t="s">
        <v>190</v>
      </c>
      <c r="AT34" s="1" t="s">
        <v>24</v>
      </c>
      <c r="AU34" s="1" t="s">
        <v>197</v>
      </c>
      <c r="AV34" s="1" t="s">
        <v>193</v>
      </c>
      <c r="AW34" s="5">
        <v>16</v>
      </c>
      <c r="AZ34" s="1" t="s">
        <v>345</v>
      </c>
      <c r="BA34" s="1" t="s">
        <v>280</v>
      </c>
      <c r="BB34" s="1" t="s">
        <v>7</v>
      </c>
      <c r="BC34" s="1" t="s">
        <v>156</v>
      </c>
      <c r="BD34" s="1" t="s">
        <v>201</v>
      </c>
      <c r="BE34" s="1">
        <v>5</v>
      </c>
      <c r="CK34" s="34" t="s">
        <v>348</v>
      </c>
      <c r="CL34" s="34" t="s">
        <v>549</v>
      </c>
      <c r="CM34" s="34" t="s">
        <v>68</v>
      </c>
      <c r="CN34" s="35">
        <v>1.103</v>
      </c>
      <c r="CO34" s="34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250</v>
      </c>
      <c r="N35" s="2" t="s">
        <v>251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217</v>
      </c>
      <c r="AE35" s="4"/>
      <c r="AF35" s="4"/>
      <c r="AG35" s="4"/>
      <c r="AH35" s="5"/>
      <c r="AR35" s="1" t="s">
        <v>279</v>
      </c>
      <c r="AS35" s="1" t="s">
        <v>190</v>
      </c>
      <c r="AT35" s="1" t="s">
        <v>24</v>
      </c>
      <c r="AU35" s="1" t="s">
        <v>198</v>
      </c>
      <c r="AV35" s="1" t="s">
        <v>199</v>
      </c>
      <c r="AW35" s="5">
        <v>13.45</v>
      </c>
      <c r="AZ35" s="1" t="s">
        <v>345</v>
      </c>
      <c r="BA35" s="1" t="s">
        <v>280</v>
      </c>
      <c r="BB35" s="1" t="s">
        <v>7</v>
      </c>
      <c r="BC35" s="1" t="s">
        <v>203</v>
      </c>
      <c r="BD35" s="1" t="s">
        <v>201</v>
      </c>
      <c r="BE35" s="1">
        <v>5</v>
      </c>
      <c r="CK35" s="34" t="s">
        <v>348</v>
      </c>
      <c r="CL35" s="34" t="s">
        <v>550</v>
      </c>
      <c r="CM35" s="34" t="s">
        <v>68</v>
      </c>
      <c r="CN35" s="35">
        <v>1.0979999999999999</v>
      </c>
      <c r="CO35" s="34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250</v>
      </c>
      <c r="N36" s="2" t="s">
        <v>251</v>
      </c>
      <c r="O36" s="2"/>
      <c r="R36" s="1" t="s">
        <v>89</v>
      </c>
      <c r="S36" s="1" t="s">
        <v>50</v>
      </c>
      <c r="T36" s="1" t="s">
        <v>172</v>
      </c>
      <c r="U36" s="1" t="s">
        <v>90</v>
      </c>
      <c r="V36" s="1" t="s">
        <v>217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345</v>
      </c>
      <c r="BA36" s="1" t="s">
        <v>280</v>
      </c>
      <c r="BB36" s="1" t="s">
        <v>7</v>
      </c>
      <c r="BC36" s="1" t="s">
        <v>204</v>
      </c>
      <c r="BD36" s="1" t="s">
        <v>201</v>
      </c>
      <c r="BE36" s="1">
        <v>5</v>
      </c>
      <c r="CK36" s="34" t="s">
        <v>348</v>
      </c>
      <c r="CL36" s="34" t="s">
        <v>438</v>
      </c>
      <c r="CM36" s="34" t="s">
        <v>68</v>
      </c>
      <c r="CN36" s="35">
        <v>1.1339999999999999</v>
      </c>
      <c r="CO36" s="34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250</v>
      </c>
      <c r="N37" s="2" t="s">
        <v>251</v>
      </c>
      <c r="O37" s="2"/>
      <c r="R37" s="1" t="s">
        <v>89</v>
      </c>
      <c r="S37" s="1" t="s">
        <v>50</v>
      </c>
      <c r="T37" s="1" t="s">
        <v>173</v>
      </c>
      <c r="U37" s="1" t="s">
        <v>90</v>
      </c>
      <c r="V37" s="1" t="s">
        <v>217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345</v>
      </c>
      <c r="BA37" s="1" t="s">
        <v>281</v>
      </c>
      <c r="BB37" s="1" t="s">
        <v>7</v>
      </c>
      <c r="BC37" s="1" t="s">
        <v>156</v>
      </c>
      <c r="BD37" s="1" t="s">
        <v>201</v>
      </c>
      <c r="BE37" s="1">
        <v>5</v>
      </c>
      <c r="CK37" s="34" t="s">
        <v>348</v>
      </c>
      <c r="CL37" s="34" t="s">
        <v>551</v>
      </c>
      <c r="CM37" s="34" t="s">
        <v>68</v>
      </c>
      <c r="CN37" s="35">
        <v>1.1459999999999999</v>
      </c>
      <c r="CO37" s="34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217</v>
      </c>
      <c r="AE38" s="4"/>
      <c r="AF38" s="4"/>
      <c r="AG38" s="4"/>
      <c r="AH38" s="5"/>
      <c r="AZ38" s="1" t="s">
        <v>345</v>
      </c>
      <c r="BA38" s="1" t="s">
        <v>281</v>
      </c>
      <c r="BB38" s="1" t="s">
        <v>7</v>
      </c>
      <c r="BC38" s="1" t="s">
        <v>203</v>
      </c>
      <c r="BD38" s="1" t="s">
        <v>201</v>
      </c>
      <c r="BE38" s="1">
        <v>5</v>
      </c>
      <c r="CK38" s="34" t="s">
        <v>348</v>
      </c>
      <c r="CL38" s="34" t="s">
        <v>552</v>
      </c>
      <c r="CM38" s="34" t="s">
        <v>68</v>
      </c>
      <c r="CN38" s="35">
        <v>1.125</v>
      </c>
      <c r="CO38" s="34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218</v>
      </c>
      <c r="AE39" s="4"/>
      <c r="AF39" s="4"/>
      <c r="AG39" s="4"/>
      <c r="AH39" s="5"/>
      <c r="AZ39" s="1" t="s">
        <v>345</v>
      </c>
      <c r="BA39" s="1" t="s">
        <v>281</v>
      </c>
      <c r="BB39" s="1" t="s">
        <v>7</v>
      </c>
      <c r="BC39" s="1" t="s">
        <v>204</v>
      </c>
      <c r="BD39" s="1" t="s">
        <v>201</v>
      </c>
      <c r="BE39" s="1">
        <v>5</v>
      </c>
      <c r="CK39" s="34" t="s">
        <v>348</v>
      </c>
      <c r="CL39" s="34" t="s">
        <v>553</v>
      </c>
      <c r="CM39" s="34" t="s">
        <v>68</v>
      </c>
      <c r="CN39" s="35">
        <v>1.1769999999999998</v>
      </c>
      <c r="CO39" s="34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218</v>
      </c>
      <c r="AE40" s="4"/>
      <c r="AF40" s="4"/>
      <c r="AG40" s="4"/>
      <c r="AH40" s="5"/>
      <c r="AZ40" s="1" t="s">
        <v>345</v>
      </c>
      <c r="BA40" s="1" t="s">
        <v>275</v>
      </c>
      <c r="BB40" s="1" t="s">
        <v>209</v>
      </c>
      <c r="BC40" s="1" t="s">
        <v>156</v>
      </c>
      <c r="BD40" s="1" t="s">
        <v>201</v>
      </c>
      <c r="BE40" s="1">
        <v>3</v>
      </c>
      <c r="CK40" s="34" t="s">
        <v>348</v>
      </c>
      <c r="CL40" s="34" t="s">
        <v>529</v>
      </c>
      <c r="CM40" s="34" t="s">
        <v>68</v>
      </c>
      <c r="CN40" s="35">
        <v>1.0309999999999999</v>
      </c>
      <c r="CO40" s="34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218</v>
      </c>
      <c r="AE41" s="4"/>
      <c r="AF41" s="4"/>
      <c r="AG41" s="4"/>
      <c r="AH41" s="5"/>
      <c r="AZ41" s="1" t="s">
        <v>345</v>
      </c>
      <c r="BA41" s="1" t="s">
        <v>275</v>
      </c>
      <c r="BB41" s="1" t="s">
        <v>209</v>
      </c>
      <c r="BC41" s="1" t="s">
        <v>203</v>
      </c>
      <c r="BD41" s="1" t="s">
        <v>201</v>
      </c>
      <c r="BE41" s="1">
        <v>3</v>
      </c>
      <c r="CK41" s="34" t="s">
        <v>348</v>
      </c>
      <c r="CL41" s="34" t="s">
        <v>527</v>
      </c>
      <c r="CM41" s="34" t="s">
        <v>68</v>
      </c>
      <c r="CN41" s="35">
        <v>1.0369999999999999</v>
      </c>
      <c r="CO41" s="34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218</v>
      </c>
      <c r="AE42" s="4"/>
      <c r="AF42" s="4"/>
      <c r="AG42" s="4"/>
      <c r="AH42" s="5"/>
      <c r="AZ42" s="1" t="s">
        <v>345</v>
      </c>
      <c r="BA42" s="1" t="s">
        <v>275</v>
      </c>
      <c r="BB42" s="1" t="s">
        <v>209</v>
      </c>
      <c r="BC42" s="1" t="s">
        <v>204</v>
      </c>
      <c r="BD42" s="1" t="s">
        <v>201</v>
      </c>
      <c r="BE42" s="1">
        <v>3</v>
      </c>
      <c r="CK42" s="34" t="s">
        <v>348</v>
      </c>
      <c r="CL42" s="34" t="s">
        <v>440</v>
      </c>
      <c r="CM42" s="34" t="s">
        <v>68</v>
      </c>
      <c r="CN42" s="35">
        <v>1.0489999999999999</v>
      </c>
      <c r="CO42" s="34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415</v>
      </c>
      <c r="U43" s="1" t="s">
        <v>90</v>
      </c>
      <c r="V43" s="1" t="s">
        <v>218</v>
      </c>
      <c r="AE43" s="4"/>
      <c r="AF43" s="4"/>
      <c r="AG43" s="4"/>
      <c r="AH43" s="5"/>
      <c r="AZ43" s="1" t="s">
        <v>345</v>
      </c>
      <c r="BA43" s="1" t="s">
        <v>276</v>
      </c>
      <c r="BB43" s="1" t="s">
        <v>209</v>
      </c>
      <c r="BC43" s="1" t="s">
        <v>156</v>
      </c>
      <c r="BD43" s="1" t="s">
        <v>201</v>
      </c>
      <c r="BE43" s="1">
        <v>5</v>
      </c>
      <c r="CK43" s="34" t="s">
        <v>348</v>
      </c>
      <c r="CL43" s="34" t="s">
        <v>554</v>
      </c>
      <c r="CM43" s="34" t="s">
        <v>68</v>
      </c>
      <c r="CN43" s="35">
        <v>1.0259999999999998</v>
      </c>
      <c r="CO43" s="34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218</v>
      </c>
      <c r="AE44" s="4"/>
      <c r="AF44" s="4"/>
      <c r="AG44" s="4"/>
      <c r="AH44" s="5"/>
      <c r="AZ44" s="1" t="s">
        <v>345</v>
      </c>
      <c r="BA44" s="1" t="s">
        <v>276</v>
      </c>
      <c r="BB44" s="1" t="s">
        <v>209</v>
      </c>
      <c r="BC44" s="1" t="s">
        <v>203</v>
      </c>
      <c r="BD44" s="1" t="s">
        <v>201</v>
      </c>
      <c r="BE44" s="1">
        <v>5</v>
      </c>
      <c r="CK44" s="34" t="s">
        <v>348</v>
      </c>
      <c r="CL44" s="34" t="s">
        <v>506</v>
      </c>
      <c r="CM44" s="34" t="s">
        <v>68</v>
      </c>
      <c r="CN44" s="35">
        <v>1.1379999999999999</v>
      </c>
      <c r="CO44" s="34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218</v>
      </c>
      <c r="AE45" s="4"/>
      <c r="AF45" s="4"/>
      <c r="AG45" s="4"/>
      <c r="AH45" s="5"/>
      <c r="AZ45" s="1" t="s">
        <v>345</v>
      </c>
      <c r="BA45" s="1" t="s">
        <v>276</v>
      </c>
      <c r="BB45" s="1" t="s">
        <v>209</v>
      </c>
      <c r="BC45" s="1" t="s">
        <v>204</v>
      </c>
      <c r="BD45" s="1" t="s">
        <v>201</v>
      </c>
      <c r="BE45" s="1">
        <v>5</v>
      </c>
      <c r="CK45" s="34" t="s">
        <v>348</v>
      </c>
      <c r="CL45" s="34" t="s">
        <v>555</v>
      </c>
      <c r="CM45" s="34" t="s">
        <v>68</v>
      </c>
      <c r="CN45" s="35">
        <v>1.0529999999999999</v>
      </c>
      <c r="CO45" s="34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218</v>
      </c>
      <c r="AZ46" s="1" t="s">
        <v>345</v>
      </c>
      <c r="BA46" s="1" t="s">
        <v>277</v>
      </c>
      <c r="BB46" s="1" t="s">
        <v>209</v>
      </c>
      <c r="BC46" s="1" t="s">
        <v>156</v>
      </c>
      <c r="BD46" s="1" t="s">
        <v>201</v>
      </c>
      <c r="BE46" s="1">
        <v>3</v>
      </c>
      <c r="CK46" s="34" t="s">
        <v>348</v>
      </c>
      <c r="CL46" s="34" t="s">
        <v>441</v>
      </c>
      <c r="CM46" s="34" t="s">
        <v>68</v>
      </c>
      <c r="CN46" s="35">
        <v>1.2029999999999998</v>
      </c>
      <c r="CO46" s="34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166</v>
      </c>
      <c r="U47" s="1" t="s">
        <v>90</v>
      </c>
      <c r="V47" s="1" t="s">
        <v>218</v>
      </c>
      <c r="AZ47" s="1" t="s">
        <v>345</v>
      </c>
      <c r="BA47" s="1" t="s">
        <v>277</v>
      </c>
      <c r="BB47" s="1" t="s">
        <v>209</v>
      </c>
      <c r="BC47" s="1" t="s">
        <v>203</v>
      </c>
      <c r="BD47" s="1" t="s">
        <v>201</v>
      </c>
      <c r="BE47" s="1">
        <v>3</v>
      </c>
      <c r="CK47" s="34" t="s">
        <v>348</v>
      </c>
      <c r="CL47" s="34" t="s">
        <v>556</v>
      </c>
      <c r="CM47" s="34" t="s">
        <v>68</v>
      </c>
      <c r="CN47" s="35">
        <v>1.103</v>
      </c>
      <c r="CO47" s="34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218</v>
      </c>
      <c r="AZ48" s="1" t="s">
        <v>345</v>
      </c>
      <c r="BA48" s="1" t="s">
        <v>277</v>
      </c>
      <c r="BB48" s="1" t="s">
        <v>209</v>
      </c>
      <c r="BC48" s="1" t="s">
        <v>204</v>
      </c>
      <c r="BD48" s="1" t="s">
        <v>201</v>
      </c>
      <c r="BE48" s="1">
        <v>3</v>
      </c>
      <c r="CK48" s="34" t="s">
        <v>348</v>
      </c>
      <c r="CL48" s="34" t="s">
        <v>557</v>
      </c>
      <c r="CM48" s="38" t="s">
        <v>68</v>
      </c>
      <c r="CN48" s="35">
        <v>1.0379999999999998</v>
      </c>
      <c r="CO48" s="34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218</v>
      </c>
      <c r="AZ49" s="1" t="s">
        <v>345</v>
      </c>
      <c r="BA49" s="1" t="s">
        <v>278</v>
      </c>
      <c r="BB49" s="1" t="s">
        <v>209</v>
      </c>
      <c r="BC49" s="1" t="s">
        <v>156</v>
      </c>
      <c r="BD49" s="1" t="s">
        <v>201</v>
      </c>
      <c r="BE49" s="1">
        <v>3</v>
      </c>
      <c r="CK49" s="34" t="s">
        <v>347</v>
      </c>
      <c r="CL49" s="34" t="s">
        <v>591</v>
      </c>
      <c r="CM49" s="34" t="s">
        <v>68</v>
      </c>
      <c r="CN49" s="35">
        <v>1.0219999999999998</v>
      </c>
      <c r="CO49" s="34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172</v>
      </c>
      <c r="U50" s="1" t="s">
        <v>90</v>
      </c>
      <c r="V50" s="1" t="s">
        <v>218</v>
      </c>
      <c r="AZ50" s="1" t="s">
        <v>345</v>
      </c>
      <c r="BA50" s="1" t="s">
        <v>278</v>
      </c>
      <c r="BB50" s="1" t="s">
        <v>209</v>
      </c>
      <c r="BC50" s="1" t="s">
        <v>203</v>
      </c>
      <c r="BD50" s="1" t="s">
        <v>201</v>
      </c>
      <c r="BE50" s="1">
        <v>3</v>
      </c>
      <c r="CK50" s="34" t="s">
        <v>347</v>
      </c>
      <c r="CL50" s="34" t="s">
        <v>542</v>
      </c>
      <c r="CM50" s="34" t="s">
        <v>68</v>
      </c>
      <c r="CN50" s="35">
        <v>1.0719999999999998</v>
      </c>
      <c r="CO50" s="34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173</v>
      </c>
      <c r="U51" s="1" t="s">
        <v>90</v>
      </c>
      <c r="V51" s="1" t="s">
        <v>218</v>
      </c>
      <c r="AZ51" s="1" t="s">
        <v>345</v>
      </c>
      <c r="BA51" s="1" t="s">
        <v>278</v>
      </c>
      <c r="BB51" s="1" t="s">
        <v>209</v>
      </c>
      <c r="BC51" s="1" t="s">
        <v>204</v>
      </c>
      <c r="BD51" s="1" t="s">
        <v>201</v>
      </c>
      <c r="BE51" s="1">
        <v>3</v>
      </c>
      <c r="CK51" s="34" t="s">
        <v>347</v>
      </c>
      <c r="CL51" s="34" t="s">
        <v>436</v>
      </c>
      <c r="CM51" s="34" t="s">
        <v>68</v>
      </c>
      <c r="CN51" s="35">
        <v>1.079</v>
      </c>
      <c r="CO51" s="34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218</v>
      </c>
      <c r="AZ52" s="1" t="s">
        <v>345</v>
      </c>
      <c r="BA52" s="1" t="s">
        <v>279</v>
      </c>
      <c r="BB52" s="1" t="s">
        <v>209</v>
      </c>
      <c r="BC52" s="1" t="s">
        <v>156</v>
      </c>
      <c r="BD52" s="1" t="s">
        <v>201</v>
      </c>
      <c r="BE52" s="1">
        <v>3</v>
      </c>
      <c r="CK52" s="34" t="s">
        <v>347</v>
      </c>
      <c r="CL52" s="34" t="s">
        <v>592</v>
      </c>
      <c r="CM52" s="37" t="s">
        <v>68</v>
      </c>
      <c r="CN52" s="35">
        <v>1.1429999999999998</v>
      </c>
      <c r="CO52" s="34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219</v>
      </c>
      <c r="AZ53" s="1" t="s">
        <v>345</v>
      </c>
      <c r="BA53" s="1" t="s">
        <v>279</v>
      </c>
      <c r="BB53" s="1" t="s">
        <v>209</v>
      </c>
      <c r="BC53" s="1" t="s">
        <v>203</v>
      </c>
      <c r="BD53" s="1" t="s">
        <v>201</v>
      </c>
      <c r="BE53" s="1">
        <v>3</v>
      </c>
      <c r="CK53" s="34" t="s">
        <v>347</v>
      </c>
      <c r="CL53" s="34" t="s">
        <v>549</v>
      </c>
      <c r="CM53" s="34" t="s">
        <v>68</v>
      </c>
      <c r="CN53" s="35">
        <v>1.103</v>
      </c>
      <c r="CO53" s="34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219</v>
      </c>
      <c r="AZ54" s="1" t="s">
        <v>345</v>
      </c>
      <c r="BA54" s="1" t="s">
        <v>279</v>
      </c>
      <c r="BB54" s="1" t="s">
        <v>209</v>
      </c>
      <c r="BC54" s="1" t="s">
        <v>204</v>
      </c>
      <c r="BD54" s="1" t="s">
        <v>201</v>
      </c>
      <c r="BE54" s="1">
        <v>3</v>
      </c>
      <c r="CK54" s="34" t="s">
        <v>347</v>
      </c>
      <c r="CL54" s="34" t="s">
        <v>593</v>
      </c>
      <c r="CM54" s="34" t="s">
        <v>68</v>
      </c>
      <c r="CN54" s="35">
        <v>1.0129999999999999</v>
      </c>
      <c r="CO54" s="34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219</v>
      </c>
      <c r="AZ55" s="1" t="s">
        <v>345</v>
      </c>
      <c r="BA55" s="1" t="s">
        <v>43</v>
      </c>
      <c r="BB55" s="1" t="s">
        <v>206</v>
      </c>
      <c r="BC55" s="1" t="s">
        <v>156</v>
      </c>
      <c r="BD55" s="1" t="s">
        <v>201</v>
      </c>
      <c r="BE55" s="1">
        <v>2</v>
      </c>
      <c r="CK55" s="34" t="s">
        <v>347</v>
      </c>
      <c r="CL55" s="34" t="s">
        <v>527</v>
      </c>
      <c r="CM55" s="34" t="s">
        <v>68</v>
      </c>
      <c r="CN55" s="35">
        <v>1.0369999999999999</v>
      </c>
      <c r="CO55" s="34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219</v>
      </c>
      <c r="AZ56" s="1" t="s">
        <v>345</v>
      </c>
      <c r="BA56" s="1" t="s">
        <v>43</v>
      </c>
      <c r="BB56" s="1" t="s">
        <v>206</v>
      </c>
      <c r="BC56" s="1" t="s">
        <v>203</v>
      </c>
      <c r="BD56" s="1" t="s">
        <v>201</v>
      </c>
      <c r="BE56" s="1">
        <v>2</v>
      </c>
      <c r="CK56" s="34" t="s">
        <v>347</v>
      </c>
      <c r="CL56" s="34" t="s">
        <v>555</v>
      </c>
      <c r="CM56" s="34" t="s">
        <v>68</v>
      </c>
      <c r="CN56" s="35">
        <v>1.0529999999999999</v>
      </c>
      <c r="CO56" s="34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219</v>
      </c>
      <c r="AZ57" s="1" t="s">
        <v>345</v>
      </c>
      <c r="BA57" s="1" t="s">
        <v>43</v>
      </c>
      <c r="BB57" s="1" t="s">
        <v>206</v>
      </c>
      <c r="BC57" s="1" t="s">
        <v>204</v>
      </c>
      <c r="BD57" s="1" t="s">
        <v>201</v>
      </c>
      <c r="BE57" s="1">
        <v>3</v>
      </c>
      <c r="CK57" s="34" t="s">
        <v>347</v>
      </c>
      <c r="CL57" s="34" t="s">
        <v>594</v>
      </c>
      <c r="CM57" s="34" t="s">
        <v>68</v>
      </c>
      <c r="CN57" s="35">
        <v>1.2999999999999998</v>
      </c>
      <c r="CO57" s="34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219</v>
      </c>
      <c r="AZ58" s="1" t="s">
        <v>345</v>
      </c>
      <c r="BA58" s="1" t="s">
        <v>43</v>
      </c>
      <c r="BB58" s="1" t="s">
        <v>206</v>
      </c>
      <c r="BC58" s="1" t="s">
        <v>283</v>
      </c>
      <c r="BD58" s="1" t="s">
        <v>201</v>
      </c>
      <c r="BE58" s="1">
        <v>5</v>
      </c>
      <c r="CK58" s="34" t="s">
        <v>347</v>
      </c>
      <c r="CL58" s="37" t="s">
        <v>432</v>
      </c>
      <c r="CM58" s="37" t="s">
        <v>68</v>
      </c>
      <c r="CN58" s="39">
        <v>1</v>
      </c>
      <c r="CO58" s="34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219</v>
      </c>
      <c r="AZ59" s="1" t="s">
        <v>346</v>
      </c>
      <c r="BA59" s="1" t="s">
        <v>51</v>
      </c>
      <c r="BB59" s="1" t="s">
        <v>200</v>
      </c>
      <c r="BC59" s="1" t="s">
        <v>156</v>
      </c>
      <c r="BD59" s="1" t="s">
        <v>201</v>
      </c>
      <c r="BE59" s="1">
        <v>2</v>
      </c>
      <c r="CK59" s="34" t="s">
        <v>350</v>
      </c>
      <c r="CL59" s="34" t="s">
        <v>435</v>
      </c>
      <c r="CM59" s="34" t="s">
        <v>68</v>
      </c>
      <c r="CN59" s="35">
        <v>1.1319999999999999</v>
      </c>
      <c r="CO59" s="34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284</v>
      </c>
      <c r="T60" s="1" t="s">
        <v>95</v>
      </c>
      <c r="U60" s="1" t="s">
        <v>96</v>
      </c>
      <c r="V60" s="1" t="s">
        <v>220</v>
      </c>
      <c r="AZ60" s="1" t="s">
        <v>346</v>
      </c>
      <c r="BA60" s="1" t="s">
        <v>51</v>
      </c>
      <c r="BB60" s="1" t="s">
        <v>200</v>
      </c>
      <c r="BC60" s="1" t="s">
        <v>203</v>
      </c>
      <c r="BD60" s="1" t="s">
        <v>201</v>
      </c>
      <c r="BE60" s="1">
        <v>2</v>
      </c>
      <c r="CK60" s="34" t="s">
        <v>350</v>
      </c>
      <c r="CL60" s="34" t="s">
        <v>436</v>
      </c>
      <c r="CM60" s="34" t="s">
        <v>68</v>
      </c>
      <c r="CN60" s="35">
        <v>1.0780000000000001</v>
      </c>
      <c r="CO60" s="34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284</v>
      </c>
      <c r="T61" s="1" t="s">
        <v>97</v>
      </c>
      <c r="U61" s="1" t="s">
        <v>96</v>
      </c>
      <c r="V61" s="1" t="s">
        <v>220</v>
      </c>
      <c r="AZ61" s="1" t="s">
        <v>346</v>
      </c>
      <c r="BA61" s="1" t="s">
        <v>51</v>
      </c>
      <c r="BB61" s="1" t="s">
        <v>200</v>
      </c>
      <c r="BC61" s="1" t="s">
        <v>204</v>
      </c>
      <c r="BD61" s="1" t="s">
        <v>201</v>
      </c>
      <c r="BE61" s="1">
        <v>3</v>
      </c>
      <c r="CK61" s="34" t="s">
        <v>350</v>
      </c>
      <c r="CL61" s="34" t="s">
        <v>437</v>
      </c>
      <c r="CM61" s="34" t="s">
        <v>68</v>
      </c>
      <c r="CN61" s="35">
        <v>1.181</v>
      </c>
      <c r="CO61" s="34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284</v>
      </c>
      <c r="T62" s="1" t="s">
        <v>98</v>
      </c>
      <c r="U62" s="1" t="s">
        <v>96</v>
      </c>
      <c r="V62" s="1" t="s">
        <v>220</v>
      </c>
      <c r="AZ62" s="1" t="s">
        <v>346</v>
      </c>
      <c r="BA62" s="1" t="s">
        <v>51</v>
      </c>
      <c r="BB62" s="1" t="s">
        <v>200</v>
      </c>
      <c r="BC62" s="1" t="s">
        <v>283</v>
      </c>
      <c r="BD62" s="1" t="s">
        <v>201</v>
      </c>
      <c r="BE62" s="1">
        <v>5</v>
      </c>
      <c r="CK62" s="34" t="s">
        <v>350</v>
      </c>
      <c r="CL62" s="34" t="s">
        <v>438</v>
      </c>
      <c r="CM62" s="34" t="s">
        <v>68</v>
      </c>
      <c r="CN62" s="35">
        <v>1.1339999999999999</v>
      </c>
      <c r="CO62" s="34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284</v>
      </c>
      <c r="T63" s="1" t="s">
        <v>99</v>
      </c>
      <c r="U63" s="1" t="s">
        <v>96</v>
      </c>
      <c r="V63" s="1" t="s">
        <v>220</v>
      </c>
      <c r="AZ63" s="1" t="s">
        <v>346</v>
      </c>
      <c r="BA63" s="1" t="s">
        <v>45</v>
      </c>
      <c r="BB63" s="1" t="s">
        <v>205</v>
      </c>
      <c r="BC63" s="1" t="s">
        <v>156</v>
      </c>
      <c r="BD63" s="1" t="s">
        <v>201</v>
      </c>
      <c r="BE63" s="1">
        <v>2</v>
      </c>
      <c r="CK63" s="34" t="s">
        <v>350</v>
      </c>
      <c r="CL63" s="34" t="s">
        <v>439</v>
      </c>
      <c r="CM63" s="34" t="s">
        <v>68</v>
      </c>
      <c r="CN63" s="35">
        <v>1.1419999999999999</v>
      </c>
      <c r="CO63" s="34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284</v>
      </c>
      <c r="T64" s="1" t="s">
        <v>100</v>
      </c>
      <c r="U64" s="1" t="s">
        <v>96</v>
      </c>
      <c r="V64" s="1" t="s">
        <v>220</v>
      </c>
      <c r="AZ64" s="1" t="s">
        <v>346</v>
      </c>
      <c r="BA64" s="1" t="s">
        <v>45</v>
      </c>
      <c r="BB64" s="1" t="s">
        <v>205</v>
      </c>
      <c r="BC64" s="1" t="s">
        <v>203</v>
      </c>
      <c r="BD64" s="1" t="s">
        <v>201</v>
      </c>
      <c r="BE64" s="1">
        <v>2</v>
      </c>
      <c r="CK64" s="34" t="s">
        <v>350</v>
      </c>
      <c r="CL64" s="34" t="s">
        <v>440</v>
      </c>
      <c r="CM64" s="34" t="s">
        <v>68</v>
      </c>
      <c r="CN64" s="35">
        <v>1.2030000000000001</v>
      </c>
      <c r="CO64" s="34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284</v>
      </c>
      <c r="T65" s="1" t="s">
        <v>101</v>
      </c>
      <c r="U65" s="1" t="s">
        <v>96</v>
      </c>
      <c r="V65" s="1" t="s">
        <v>220</v>
      </c>
      <c r="AZ65" s="1" t="s">
        <v>346</v>
      </c>
      <c r="BA65" s="1" t="s">
        <v>45</v>
      </c>
      <c r="BB65" s="1" t="s">
        <v>205</v>
      </c>
      <c r="BC65" s="1" t="s">
        <v>204</v>
      </c>
      <c r="BD65" s="1" t="s">
        <v>201</v>
      </c>
      <c r="BE65" s="1">
        <v>3</v>
      </c>
      <c r="CK65" s="34" t="s">
        <v>350</v>
      </c>
      <c r="CL65" s="34" t="s">
        <v>441</v>
      </c>
      <c r="CM65" s="34" t="s">
        <v>68</v>
      </c>
      <c r="CN65" s="35">
        <v>1.2030000000000001</v>
      </c>
      <c r="CO65" s="34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284</v>
      </c>
      <c r="T66" s="1" t="s">
        <v>102</v>
      </c>
      <c r="U66" s="1" t="s">
        <v>96</v>
      </c>
      <c r="V66" s="1" t="s">
        <v>220</v>
      </c>
      <c r="AZ66" s="1" t="s">
        <v>346</v>
      </c>
      <c r="BA66" s="1" t="s">
        <v>45</v>
      </c>
      <c r="BB66" s="1" t="s">
        <v>205</v>
      </c>
      <c r="BC66" s="1" t="s">
        <v>283</v>
      </c>
      <c r="BD66" s="1" t="s">
        <v>201</v>
      </c>
      <c r="BE66" s="1">
        <v>5</v>
      </c>
      <c r="CK66" s="34" t="s">
        <v>349</v>
      </c>
      <c r="CL66" s="34" t="s">
        <v>530</v>
      </c>
      <c r="CM66" s="34" t="s">
        <v>69</v>
      </c>
      <c r="CN66" s="35">
        <v>1.3180000000000001</v>
      </c>
      <c r="CO66" s="34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285</v>
      </c>
      <c r="T67" s="1" t="s">
        <v>95</v>
      </c>
      <c r="U67" s="1" t="s">
        <v>96</v>
      </c>
      <c r="V67" s="1" t="s">
        <v>220</v>
      </c>
      <c r="AZ67" s="1" t="s">
        <v>346</v>
      </c>
      <c r="BA67" s="1" t="s">
        <v>46</v>
      </c>
      <c r="BB67" s="1" t="s">
        <v>205</v>
      </c>
      <c r="BC67" s="1" t="s">
        <v>156</v>
      </c>
      <c r="BD67" s="1" t="s">
        <v>201</v>
      </c>
      <c r="BE67" s="1">
        <v>2</v>
      </c>
      <c r="CK67" s="34" t="s">
        <v>348</v>
      </c>
      <c r="CL67" s="34" t="s">
        <v>530</v>
      </c>
      <c r="CM67" s="34" t="s">
        <v>69</v>
      </c>
      <c r="CN67" s="35">
        <v>1.3180000000000001</v>
      </c>
      <c r="CO67" s="34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285</v>
      </c>
      <c r="T68" s="1" t="s">
        <v>97</v>
      </c>
      <c r="U68" s="1" t="s">
        <v>96</v>
      </c>
      <c r="V68" s="1" t="s">
        <v>220</v>
      </c>
      <c r="AZ68" s="1" t="s">
        <v>346</v>
      </c>
      <c r="BA68" s="1" t="s">
        <v>46</v>
      </c>
      <c r="BB68" s="1" t="s">
        <v>205</v>
      </c>
      <c r="BC68" s="1" t="s">
        <v>203</v>
      </c>
      <c r="BD68" s="1" t="s">
        <v>201</v>
      </c>
      <c r="BE68" s="1">
        <v>2</v>
      </c>
      <c r="CK68" s="34" t="s">
        <v>347</v>
      </c>
      <c r="CL68" s="34" t="s">
        <v>530</v>
      </c>
      <c r="CM68" s="34" t="s">
        <v>69</v>
      </c>
      <c r="CN68" s="35">
        <v>1.3180000000000001</v>
      </c>
      <c r="CO68" s="34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285</v>
      </c>
      <c r="T69" s="1" t="s">
        <v>98</v>
      </c>
      <c r="U69" s="1" t="s">
        <v>96</v>
      </c>
      <c r="V69" s="1" t="s">
        <v>220</v>
      </c>
      <c r="AZ69" s="1" t="s">
        <v>346</v>
      </c>
      <c r="BA69" s="1" t="s">
        <v>46</v>
      </c>
      <c r="BB69" s="1" t="s">
        <v>205</v>
      </c>
      <c r="BC69" s="1" t="s">
        <v>204</v>
      </c>
      <c r="BD69" s="1" t="s">
        <v>201</v>
      </c>
      <c r="BE69" s="1">
        <v>3</v>
      </c>
      <c r="CK69" s="34" t="s">
        <v>347</v>
      </c>
      <c r="CL69" s="34" t="s">
        <v>433</v>
      </c>
      <c r="CM69" s="34" t="s">
        <v>69</v>
      </c>
      <c r="CN69" s="34">
        <v>1.3180000000000001</v>
      </c>
      <c r="CO69" s="34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285</v>
      </c>
      <c r="T70" s="1" t="s">
        <v>99</v>
      </c>
      <c r="U70" s="1" t="s">
        <v>96</v>
      </c>
      <c r="V70" s="1" t="s">
        <v>220</v>
      </c>
      <c r="AZ70" s="1" t="s">
        <v>346</v>
      </c>
      <c r="BA70" s="1" t="s">
        <v>46</v>
      </c>
      <c r="BB70" s="1" t="s">
        <v>205</v>
      </c>
      <c r="BC70" s="1" t="s">
        <v>283</v>
      </c>
      <c r="BD70" s="1" t="s">
        <v>201</v>
      </c>
      <c r="BE70" s="1">
        <v>5</v>
      </c>
      <c r="CK70" s="34" t="s">
        <v>350</v>
      </c>
      <c r="CL70" s="34" t="s">
        <v>530</v>
      </c>
      <c r="CM70" s="34" t="s">
        <v>69</v>
      </c>
      <c r="CN70" s="35">
        <v>1.3180000000000001</v>
      </c>
      <c r="CO70" s="34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285</v>
      </c>
      <c r="T71" s="1" t="s">
        <v>100</v>
      </c>
      <c r="U71" s="1" t="s">
        <v>96</v>
      </c>
      <c r="V71" s="1" t="s">
        <v>220</v>
      </c>
      <c r="AZ71" s="1" t="s">
        <v>346</v>
      </c>
      <c r="BA71" s="1" t="s">
        <v>47</v>
      </c>
      <c r="BB71" s="1" t="s">
        <v>206</v>
      </c>
      <c r="BC71" s="1" t="s">
        <v>156</v>
      </c>
      <c r="BD71" s="1" t="s">
        <v>146</v>
      </c>
      <c r="BE71" s="1">
        <v>1</v>
      </c>
      <c r="CK71" s="34" t="s">
        <v>348</v>
      </c>
      <c r="CL71" s="34" t="s">
        <v>432</v>
      </c>
      <c r="CM71" s="34" t="s">
        <v>508</v>
      </c>
      <c r="CN71" s="35">
        <v>1</v>
      </c>
      <c r="CO71" s="34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285</v>
      </c>
      <c r="T72" s="1" t="s">
        <v>101</v>
      </c>
      <c r="U72" s="1" t="s">
        <v>96</v>
      </c>
      <c r="V72" s="1" t="s">
        <v>220</v>
      </c>
      <c r="AZ72" s="1" t="s">
        <v>346</v>
      </c>
      <c r="BA72" s="1" t="s">
        <v>47</v>
      </c>
      <c r="BB72" s="1" t="s">
        <v>206</v>
      </c>
      <c r="BC72" s="1" t="s">
        <v>203</v>
      </c>
      <c r="BD72" s="1" t="s">
        <v>146</v>
      </c>
      <c r="BE72" s="1">
        <v>0</v>
      </c>
      <c r="CK72" s="34" t="s">
        <v>347</v>
      </c>
      <c r="CL72" s="34" t="s">
        <v>432</v>
      </c>
      <c r="CM72" s="34" t="s">
        <v>508</v>
      </c>
      <c r="CN72" s="35">
        <v>1</v>
      </c>
      <c r="CO72" s="34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285</v>
      </c>
      <c r="T73" s="1" t="s">
        <v>102</v>
      </c>
      <c r="U73" s="1" t="s">
        <v>96</v>
      </c>
      <c r="V73" s="1" t="s">
        <v>220</v>
      </c>
      <c r="AZ73" s="1" t="s">
        <v>346</v>
      </c>
      <c r="BA73" s="1" t="s">
        <v>47</v>
      </c>
      <c r="BB73" s="1" t="s">
        <v>206</v>
      </c>
      <c r="BC73" s="1" t="s">
        <v>204</v>
      </c>
      <c r="BD73" s="1" t="s">
        <v>146</v>
      </c>
      <c r="BE73" s="1">
        <v>0</v>
      </c>
      <c r="CK73" s="34" t="s">
        <v>347</v>
      </c>
      <c r="CL73" s="34" t="s">
        <v>432</v>
      </c>
      <c r="CM73" s="34" t="s">
        <v>508</v>
      </c>
      <c r="CN73" s="35">
        <v>1</v>
      </c>
      <c r="CO73" s="34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221</v>
      </c>
      <c r="AZ74" s="1" t="s">
        <v>346</v>
      </c>
      <c r="BA74" s="1" t="s">
        <v>47</v>
      </c>
      <c r="BB74" s="1" t="s">
        <v>206</v>
      </c>
      <c r="BC74" s="1" t="s">
        <v>283</v>
      </c>
      <c r="BD74" s="1" t="s">
        <v>146</v>
      </c>
      <c r="BE74" s="1">
        <v>0</v>
      </c>
      <c r="CK74" s="34" t="s">
        <v>347</v>
      </c>
      <c r="CL74" s="34" t="s">
        <v>432</v>
      </c>
      <c r="CM74" s="34" t="s">
        <v>508</v>
      </c>
      <c r="CN74" s="40">
        <v>1</v>
      </c>
      <c r="CO74" s="34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221</v>
      </c>
      <c r="AZ75" s="1" t="s">
        <v>346</v>
      </c>
      <c r="BA75" s="1" t="s">
        <v>48</v>
      </c>
      <c r="BB75" s="1" t="s">
        <v>206</v>
      </c>
      <c r="BC75" s="1" t="s">
        <v>156</v>
      </c>
      <c r="BD75" s="1" t="s">
        <v>201</v>
      </c>
      <c r="BE75" s="1">
        <v>2</v>
      </c>
      <c r="CK75" s="34" t="s">
        <v>347</v>
      </c>
      <c r="CL75" s="34" t="s">
        <v>595</v>
      </c>
      <c r="CM75" s="34" t="s">
        <v>70</v>
      </c>
      <c r="CN75" s="35">
        <v>0.21099999999999999</v>
      </c>
      <c r="CO75" s="34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221</v>
      </c>
      <c r="AZ76" s="1" t="s">
        <v>346</v>
      </c>
      <c r="BA76" s="1" t="s">
        <v>48</v>
      </c>
      <c r="BB76" s="1" t="s">
        <v>206</v>
      </c>
      <c r="BC76" s="1" t="s">
        <v>203</v>
      </c>
      <c r="BD76" s="1" t="s">
        <v>201</v>
      </c>
      <c r="BE76" s="1">
        <v>2</v>
      </c>
      <c r="CK76" s="34" t="s">
        <v>347</v>
      </c>
      <c r="CL76" s="34" t="s">
        <v>596</v>
      </c>
      <c r="CM76" s="34" t="s">
        <v>70</v>
      </c>
      <c r="CN76" s="35">
        <v>0.28399999999999997</v>
      </c>
      <c r="CO76" s="34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221</v>
      </c>
      <c r="AZ77" s="1" t="s">
        <v>346</v>
      </c>
      <c r="BA77" s="1" t="s">
        <v>48</v>
      </c>
      <c r="BB77" s="1" t="s">
        <v>206</v>
      </c>
      <c r="BC77" s="1" t="s">
        <v>204</v>
      </c>
      <c r="BD77" s="1" t="s">
        <v>201</v>
      </c>
      <c r="BE77" s="1">
        <v>3</v>
      </c>
      <c r="CK77" s="34" t="s">
        <v>347</v>
      </c>
      <c r="CL77" s="34" t="s">
        <v>597</v>
      </c>
      <c r="CM77" s="34" t="s">
        <v>70</v>
      </c>
      <c r="CN77" s="35">
        <v>0.29099999999999998</v>
      </c>
      <c r="CO77" s="34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415</v>
      </c>
      <c r="U78" s="1" t="s">
        <v>105</v>
      </c>
      <c r="V78" s="1" t="s">
        <v>221</v>
      </c>
      <c r="AZ78" s="1" t="s">
        <v>346</v>
      </c>
      <c r="BA78" s="1" t="s">
        <v>48</v>
      </c>
      <c r="BB78" s="1" t="s">
        <v>206</v>
      </c>
      <c r="BC78" s="1" t="s">
        <v>283</v>
      </c>
      <c r="BD78" s="1" t="s">
        <v>201</v>
      </c>
      <c r="BE78" s="1">
        <v>5</v>
      </c>
      <c r="CK78" s="34" t="s">
        <v>347</v>
      </c>
      <c r="CL78" s="34" t="s">
        <v>598</v>
      </c>
      <c r="CM78" s="34" t="s">
        <v>70</v>
      </c>
      <c r="CN78" s="35">
        <v>0.32900000000000001</v>
      </c>
      <c r="CO78" s="34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221</v>
      </c>
      <c r="AZ79" s="1" t="s">
        <v>346</v>
      </c>
      <c r="BA79" s="1" t="s">
        <v>49</v>
      </c>
      <c r="BB79" s="1" t="s">
        <v>206</v>
      </c>
      <c r="BC79" s="1" t="s">
        <v>156</v>
      </c>
      <c r="BD79" s="1" t="s">
        <v>146</v>
      </c>
      <c r="BE79" s="1">
        <v>1</v>
      </c>
      <c r="CK79" s="34" t="s">
        <v>347</v>
      </c>
      <c r="CL79" s="34" t="s">
        <v>431</v>
      </c>
      <c r="CM79" s="34" t="s">
        <v>70</v>
      </c>
      <c r="CN79" s="34">
        <v>0.29399999999999998</v>
      </c>
      <c r="CO79" s="34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221</v>
      </c>
      <c r="AZ80" s="1" t="s">
        <v>346</v>
      </c>
      <c r="BA80" s="1" t="s">
        <v>49</v>
      </c>
      <c r="BB80" s="1" t="s">
        <v>206</v>
      </c>
      <c r="BC80" s="1" t="s">
        <v>203</v>
      </c>
      <c r="BD80" s="1" t="s">
        <v>146</v>
      </c>
      <c r="BE80" s="1">
        <v>0</v>
      </c>
      <c r="CK80" s="34" t="s">
        <v>348</v>
      </c>
      <c r="CL80" s="34" t="s">
        <v>558</v>
      </c>
      <c r="CM80" s="34" t="s">
        <v>71</v>
      </c>
      <c r="CN80" s="35">
        <v>0.24299999999999999</v>
      </c>
      <c r="CO80" s="34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221</v>
      </c>
      <c r="AZ81" s="1" t="s">
        <v>346</v>
      </c>
      <c r="BA81" s="1" t="s">
        <v>49</v>
      </c>
      <c r="BB81" s="1" t="s">
        <v>206</v>
      </c>
      <c r="BC81" s="1" t="s">
        <v>204</v>
      </c>
      <c r="BD81" s="1" t="s">
        <v>146</v>
      </c>
      <c r="BE81" s="1">
        <v>0</v>
      </c>
      <c r="CK81" s="34" t="s">
        <v>348</v>
      </c>
      <c r="CL81" s="34" t="s">
        <v>559</v>
      </c>
      <c r="CM81" s="34" t="s">
        <v>71</v>
      </c>
      <c r="CN81" s="35">
        <v>0.249</v>
      </c>
      <c r="CO81" s="34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166</v>
      </c>
      <c r="U82" s="1" t="s">
        <v>105</v>
      </c>
      <c r="V82" s="1" t="s">
        <v>221</v>
      </c>
      <c r="AZ82" s="1" t="s">
        <v>346</v>
      </c>
      <c r="BA82" s="1" t="s">
        <v>49</v>
      </c>
      <c r="BB82" s="1" t="s">
        <v>206</v>
      </c>
      <c r="BC82" s="1" t="s">
        <v>283</v>
      </c>
      <c r="BD82" s="1" t="s">
        <v>146</v>
      </c>
      <c r="BE82" s="1">
        <v>0</v>
      </c>
      <c r="CK82" s="34" t="s">
        <v>347</v>
      </c>
      <c r="CL82" s="34" t="s">
        <v>507</v>
      </c>
      <c r="CM82" s="34" t="s">
        <v>71</v>
      </c>
      <c r="CN82" s="35">
        <v>0.48699999999999999</v>
      </c>
      <c r="CO82" s="34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222</v>
      </c>
      <c r="AZ83" s="1" t="s">
        <v>346</v>
      </c>
      <c r="BA83" s="1" t="s">
        <v>50</v>
      </c>
      <c r="BB83" s="1" t="s">
        <v>206</v>
      </c>
      <c r="BC83" s="1" t="s">
        <v>156</v>
      </c>
      <c r="BD83" s="1" t="s">
        <v>201</v>
      </c>
      <c r="BE83" s="1">
        <v>2</v>
      </c>
      <c r="CK83" s="34" t="s">
        <v>347</v>
      </c>
      <c r="CL83" s="34" t="s">
        <v>599</v>
      </c>
      <c r="CM83" s="34" t="s">
        <v>71</v>
      </c>
      <c r="CN83" s="35">
        <v>0.57299999999999995</v>
      </c>
      <c r="CO83" s="34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180</v>
      </c>
      <c r="U84" s="1" t="s">
        <v>67</v>
      </c>
      <c r="V84" s="1" t="s">
        <v>223</v>
      </c>
      <c r="AZ84" s="1" t="s">
        <v>346</v>
      </c>
      <c r="BA84" s="1" t="s">
        <v>50</v>
      </c>
      <c r="BB84" s="1" t="s">
        <v>206</v>
      </c>
      <c r="BC84" s="1" t="s">
        <v>203</v>
      </c>
      <c r="BD84" s="1" t="s">
        <v>201</v>
      </c>
      <c r="BE84" s="1">
        <v>2</v>
      </c>
      <c r="CK84" s="34" t="s">
        <v>348</v>
      </c>
      <c r="CL84" s="34" t="s">
        <v>560</v>
      </c>
      <c r="CM84" s="34" t="s">
        <v>73</v>
      </c>
      <c r="CN84" s="35">
        <v>0.89100000000000001</v>
      </c>
      <c r="CO84" s="34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415</v>
      </c>
      <c r="U85" s="1" t="s">
        <v>67</v>
      </c>
      <c r="V85" s="1" t="s">
        <v>223</v>
      </c>
      <c r="AZ85" s="1" t="s">
        <v>346</v>
      </c>
      <c r="BA85" s="1" t="s">
        <v>50</v>
      </c>
      <c r="BB85" s="1" t="s">
        <v>206</v>
      </c>
      <c r="BC85" s="1" t="s">
        <v>204</v>
      </c>
      <c r="BD85" s="1" t="s">
        <v>201</v>
      </c>
      <c r="BE85" s="1">
        <v>3</v>
      </c>
      <c r="CK85" s="34" t="s">
        <v>348</v>
      </c>
      <c r="CL85" s="34" t="s">
        <v>561</v>
      </c>
      <c r="CM85" s="34" t="s">
        <v>73</v>
      </c>
      <c r="CN85" s="35">
        <v>0.33400000000000002</v>
      </c>
      <c r="CO85" s="34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182</v>
      </c>
      <c r="U86" s="1" t="s">
        <v>67</v>
      </c>
      <c r="V86" s="1" t="s">
        <v>223</v>
      </c>
      <c r="AZ86" s="1" t="s">
        <v>346</v>
      </c>
      <c r="BA86" s="1" t="s">
        <v>50</v>
      </c>
      <c r="BB86" s="1" t="s">
        <v>206</v>
      </c>
      <c r="BC86" s="1" t="s">
        <v>283</v>
      </c>
      <c r="BD86" s="1" t="s">
        <v>201</v>
      </c>
      <c r="BE86" s="1">
        <v>5</v>
      </c>
      <c r="CK86" s="34" t="s">
        <v>348</v>
      </c>
      <c r="CL86" s="34" t="s">
        <v>562</v>
      </c>
      <c r="CM86" s="34" t="s">
        <v>73</v>
      </c>
      <c r="CN86" s="35">
        <v>1.17</v>
      </c>
      <c r="CO86" s="34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186</v>
      </c>
      <c r="U87" s="1" t="s">
        <v>67</v>
      </c>
      <c r="V87" s="1" t="s">
        <v>223</v>
      </c>
      <c r="AZ87" s="1" t="s">
        <v>346</v>
      </c>
      <c r="BA87" s="1" t="s">
        <v>52</v>
      </c>
      <c r="BB87" s="1" t="s">
        <v>207</v>
      </c>
      <c r="BC87" s="1" t="s">
        <v>156</v>
      </c>
      <c r="BD87" s="1" t="s">
        <v>201</v>
      </c>
      <c r="BE87" s="1">
        <v>2</v>
      </c>
      <c r="CK87" s="34" t="s">
        <v>348</v>
      </c>
      <c r="CL87" s="34" t="s">
        <v>563</v>
      </c>
      <c r="CM87" s="34" t="s">
        <v>73</v>
      </c>
      <c r="CN87" s="35">
        <v>0.98599999999999999</v>
      </c>
      <c r="CO87" s="34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183</v>
      </c>
      <c r="U88" s="1" t="s">
        <v>67</v>
      </c>
      <c r="V88" s="1" t="s">
        <v>223</v>
      </c>
      <c r="AZ88" s="1" t="s">
        <v>346</v>
      </c>
      <c r="BA88" s="1" t="s">
        <v>52</v>
      </c>
      <c r="BB88" s="1" t="s">
        <v>207</v>
      </c>
      <c r="BC88" s="1" t="s">
        <v>203</v>
      </c>
      <c r="BD88" s="1" t="s">
        <v>201</v>
      </c>
      <c r="BE88" s="1">
        <v>2</v>
      </c>
      <c r="CK88" s="34" t="s">
        <v>348</v>
      </c>
      <c r="CL88" s="34" t="s">
        <v>443</v>
      </c>
      <c r="CM88" s="34" t="s">
        <v>73</v>
      </c>
      <c r="CN88" s="34">
        <v>0.93100000000000005</v>
      </c>
      <c r="CO88" s="34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187</v>
      </c>
      <c r="U89" s="1" t="s">
        <v>67</v>
      </c>
      <c r="V89" s="1" t="s">
        <v>223</v>
      </c>
      <c r="AZ89" s="1" t="s">
        <v>346</v>
      </c>
      <c r="BA89" s="1" t="s">
        <v>52</v>
      </c>
      <c r="BB89" s="1" t="s">
        <v>207</v>
      </c>
      <c r="BC89" s="1" t="s">
        <v>204</v>
      </c>
      <c r="BD89" s="1" t="s">
        <v>201</v>
      </c>
      <c r="BE89" s="1">
        <v>2</v>
      </c>
      <c r="CK89" s="34" t="s">
        <v>348</v>
      </c>
      <c r="CL89" s="34" t="s">
        <v>564</v>
      </c>
      <c r="CM89" s="34" t="s">
        <v>73</v>
      </c>
      <c r="CN89" s="34">
        <v>1</v>
      </c>
      <c r="CO89" s="34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223</v>
      </c>
      <c r="AZ90" s="1" t="s">
        <v>346</v>
      </c>
      <c r="BA90" s="1" t="s">
        <v>52</v>
      </c>
      <c r="BB90" s="1" t="s">
        <v>207</v>
      </c>
      <c r="BC90" s="1" t="s">
        <v>283</v>
      </c>
      <c r="BD90" s="1" t="s">
        <v>201</v>
      </c>
      <c r="BE90" s="1">
        <v>2</v>
      </c>
      <c r="CK90" s="34" t="s">
        <v>348</v>
      </c>
      <c r="CL90" s="34" t="s">
        <v>565</v>
      </c>
      <c r="CM90" s="34" t="s">
        <v>73</v>
      </c>
      <c r="CN90" s="35">
        <v>1.3919999999999999</v>
      </c>
      <c r="CO90" s="34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166</v>
      </c>
      <c r="U91" s="1" t="s">
        <v>67</v>
      </c>
      <c r="V91" s="1" t="s">
        <v>223</v>
      </c>
      <c r="AZ91" s="1" t="s">
        <v>346</v>
      </c>
      <c r="BA91" s="1" t="s">
        <v>284</v>
      </c>
      <c r="BB91" s="1" t="s">
        <v>208</v>
      </c>
      <c r="BC91" s="1" t="s">
        <v>156</v>
      </c>
      <c r="BD91" s="1" t="s">
        <v>146</v>
      </c>
      <c r="BE91" s="1">
        <v>0.5</v>
      </c>
      <c r="CK91" s="34" t="s">
        <v>348</v>
      </c>
      <c r="CL91" s="36" t="s">
        <v>436</v>
      </c>
      <c r="CM91" s="37" t="s">
        <v>73</v>
      </c>
      <c r="CN91" s="35">
        <v>3.1429999999999998</v>
      </c>
      <c r="CO91" s="34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223</v>
      </c>
      <c r="AZ92" s="1" t="s">
        <v>346</v>
      </c>
      <c r="BA92" s="1" t="s">
        <v>284</v>
      </c>
      <c r="BB92" s="1" t="s">
        <v>208</v>
      </c>
      <c r="BC92" s="1" t="s">
        <v>203</v>
      </c>
      <c r="BD92" s="1" t="s">
        <v>146</v>
      </c>
      <c r="BE92" s="1">
        <v>0.5</v>
      </c>
      <c r="CK92" s="34" t="s">
        <v>348</v>
      </c>
      <c r="CL92" s="34" t="s">
        <v>559</v>
      </c>
      <c r="CM92" s="34" t="s">
        <v>73</v>
      </c>
      <c r="CN92" s="35">
        <v>0.72499999999999998</v>
      </c>
      <c r="CO92" s="34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223</v>
      </c>
      <c r="AZ93" s="1" t="s">
        <v>346</v>
      </c>
      <c r="BA93" s="1" t="s">
        <v>284</v>
      </c>
      <c r="BB93" s="1" t="s">
        <v>208</v>
      </c>
      <c r="BC93" s="1" t="s">
        <v>204</v>
      </c>
      <c r="BD93" s="1" t="s">
        <v>146</v>
      </c>
      <c r="BE93" s="1">
        <v>0.5</v>
      </c>
      <c r="CK93" s="34" t="s">
        <v>347</v>
      </c>
      <c r="CL93" s="34" t="s">
        <v>600</v>
      </c>
      <c r="CM93" s="34" t="s">
        <v>73</v>
      </c>
      <c r="CN93" s="35">
        <v>0.89</v>
      </c>
      <c r="CO93" s="34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223</v>
      </c>
      <c r="AZ94" s="1" t="s">
        <v>346</v>
      </c>
      <c r="BA94" s="1" t="s">
        <v>284</v>
      </c>
      <c r="BB94" s="1" t="s">
        <v>208</v>
      </c>
      <c r="BC94" s="1" t="s">
        <v>283</v>
      </c>
      <c r="BD94" s="1" t="s">
        <v>146</v>
      </c>
      <c r="BE94" s="1">
        <v>0.5</v>
      </c>
      <c r="CK94" s="34" t="s">
        <v>347</v>
      </c>
      <c r="CL94" s="34" t="s">
        <v>563</v>
      </c>
      <c r="CM94" s="34" t="s">
        <v>73</v>
      </c>
      <c r="CN94" s="35">
        <v>0.98599999999999999</v>
      </c>
      <c r="CO94" s="34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224</v>
      </c>
      <c r="AZ95" s="1" t="s">
        <v>346</v>
      </c>
      <c r="BA95" s="1" t="s">
        <v>285</v>
      </c>
      <c r="BB95" s="1" t="s">
        <v>208</v>
      </c>
      <c r="BC95" s="1" t="s">
        <v>156</v>
      </c>
      <c r="BD95" s="1" t="s">
        <v>201</v>
      </c>
      <c r="BE95" s="1">
        <v>1</v>
      </c>
      <c r="CK95" s="34" t="s">
        <v>347</v>
      </c>
      <c r="CL95" s="34" t="s">
        <v>592</v>
      </c>
      <c r="CM95" s="34" t="s">
        <v>73</v>
      </c>
      <c r="CN95" s="35">
        <v>3.331</v>
      </c>
      <c r="CO95" s="34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224</v>
      </c>
      <c r="AZ96" s="1" t="s">
        <v>346</v>
      </c>
      <c r="BA96" s="1" t="s">
        <v>285</v>
      </c>
      <c r="BB96" s="1" t="s">
        <v>208</v>
      </c>
      <c r="BC96" s="1" t="s">
        <v>203</v>
      </c>
      <c r="BD96" s="1" t="s">
        <v>201</v>
      </c>
      <c r="BE96" s="1">
        <v>1</v>
      </c>
      <c r="CK96" s="34" t="s">
        <v>347</v>
      </c>
      <c r="CL96" s="34" t="s">
        <v>423</v>
      </c>
      <c r="CM96" s="34" t="s">
        <v>73</v>
      </c>
      <c r="CN96" s="39">
        <v>1</v>
      </c>
      <c r="CO96" s="34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224</v>
      </c>
      <c r="AZ97" s="1" t="s">
        <v>346</v>
      </c>
      <c r="BA97" s="1" t="s">
        <v>285</v>
      </c>
      <c r="BB97" s="1" t="s">
        <v>208</v>
      </c>
      <c r="BC97" s="1" t="s">
        <v>204</v>
      </c>
      <c r="BD97" s="1" t="s">
        <v>201</v>
      </c>
      <c r="BE97" s="1">
        <v>1</v>
      </c>
      <c r="CK97" s="34" t="s">
        <v>350</v>
      </c>
      <c r="CL97" s="34" t="s">
        <v>443</v>
      </c>
      <c r="CM97" s="34" t="s">
        <v>73</v>
      </c>
      <c r="CN97" s="35">
        <v>0.93100000000000005</v>
      </c>
      <c r="CO97" s="34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224</v>
      </c>
      <c r="AZ98" s="1" t="s">
        <v>346</v>
      </c>
      <c r="BA98" s="1" t="s">
        <v>285</v>
      </c>
      <c r="BB98" s="1" t="s">
        <v>208</v>
      </c>
      <c r="BC98" s="1" t="s">
        <v>283</v>
      </c>
      <c r="BD98" s="1" t="s">
        <v>201</v>
      </c>
      <c r="BE98" s="1">
        <v>1</v>
      </c>
      <c r="CK98" s="34" t="s">
        <v>350</v>
      </c>
      <c r="CL98" s="34" t="s">
        <v>442</v>
      </c>
      <c r="CM98" s="34" t="s">
        <v>73</v>
      </c>
      <c r="CN98" s="35">
        <v>1</v>
      </c>
      <c r="CO98" s="34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415</v>
      </c>
      <c r="U99" s="1" t="s">
        <v>105</v>
      </c>
      <c r="V99" s="1" t="s">
        <v>224</v>
      </c>
      <c r="AZ99" s="1" t="s">
        <v>346</v>
      </c>
      <c r="BA99" s="1" t="s">
        <v>280</v>
      </c>
      <c r="BB99" s="1" t="s">
        <v>7</v>
      </c>
      <c r="BC99" s="1" t="s">
        <v>156</v>
      </c>
      <c r="BD99" s="1" t="s">
        <v>201</v>
      </c>
      <c r="BE99" s="1">
        <v>5</v>
      </c>
      <c r="CK99" s="34" t="s">
        <v>348</v>
      </c>
      <c r="CL99" s="34" t="s">
        <v>424</v>
      </c>
      <c r="CM99" s="34" t="s">
        <v>74</v>
      </c>
      <c r="CN99" s="34">
        <v>1.113</v>
      </c>
      <c r="CO99" s="34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224</v>
      </c>
      <c r="AZ100" s="1" t="s">
        <v>346</v>
      </c>
      <c r="BA100" s="1" t="s">
        <v>280</v>
      </c>
      <c r="BB100" s="1" t="s">
        <v>7</v>
      </c>
      <c r="BC100" s="1" t="s">
        <v>203</v>
      </c>
      <c r="BD100" s="1" t="s">
        <v>201</v>
      </c>
      <c r="BE100" s="1">
        <v>5</v>
      </c>
      <c r="CK100" s="34" t="s">
        <v>348</v>
      </c>
      <c r="CL100" s="34" t="s">
        <v>566</v>
      </c>
      <c r="CM100" s="34" t="s">
        <v>567</v>
      </c>
      <c r="CN100" s="35">
        <v>0.88400000000000001</v>
      </c>
      <c r="CO100" s="34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224</v>
      </c>
      <c r="AZ101" s="1" t="s">
        <v>346</v>
      </c>
      <c r="BA101" s="1" t="s">
        <v>280</v>
      </c>
      <c r="BB101" s="1" t="s">
        <v>7</v>
      </c>
      <c r="BC101" s="1" t="s">
        <v>204</v>
      </c>
      <c r="BD101" s="1" t="s">
        <v>201</v>
      </c>
      <c r="BE101" s="1">
        <v>5</v>
      </c>
      <c r="CK101" s="34" t="s">
        <v>348</v>
      </c>
      <c r="CL101" s="34" t="s">
        <v>568</v>
      </c>
      <c r="CM101" s="34" t="s">
        <v>174</v>
      </c>
      <c r="CN101" s="35">
        <v>5.6680000000000001</v>
      </c>
      <c r="CO101" s="34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224</v>
      </c>
      <c r="AZ102" s="1" t="s">
        <v>346</v>
      </c>
      <c r="BA102" s="1" t="s">
        <v>280</v>
      </c>
      <c r="BB102" s="1" t="s">
        <v>7</v>
      </c>
      <c r="BC102" s="1" t="s">
        <v>283</v>
      </c>
      <c r="BD102" s="1" t="s">
        <v>201</v>
      </c>
      <c r="BE102" s="1">
        <v>5</v>
      </c>
      <c r="CK102" s="34" t="s">
        <v>349</v>
      </c>
      <c r="CL102" s="34" t="s">
        <v>427</v>
      </c>
      <c r="CM102" s="34" t="s">
        <v>83</v>
      </c>
      <c r="CN102" s="35">
        <v>1</v>
      </c>
      <c r="CO102" s="34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166</v>
      </c>
      <c r="U103" s="1" t="s">
        <v>105</v>
      </c>
      <c r="V103" s="1" t="s">
        <v>224</v>
      </c>
      <c r="AZ103" s="1" t="s">
        <v>346</v>
      </c>
      <c r="BA103" s="1" t="s">
        <v>281</v>
      </c>
      <c r="BB103" s="1" t="s">
        <v>7</v>
      </c>
      <c r="BC103" s="1" t="s">
        <v>156</v>
      </c>
      <c r="BD103" s="1" t="s">
        <v>201</v>
      </c>
      <c r="BE103" s="1">
        <v>5</v>
      </c>
      <c r="CK103" s="34" t="s">
        <v>348</v>
      </c>
      <c r="CL103" s="34" t="s">
        <v>427</v>
      </c>
      <c r="CM103" s="34" t="s">
        <v>83</v>
      </c>
      <c r="CN103" s="35">
        <v>1</v>
      </c>
      <c r="CO103" s="34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225</v>
      </c>
      <c r="AZ104" s="1" t="s">
        <v>346</v>
      </c>
      <c r="BA104" s="1" t="s">
        <v>281</v>
      </c>
      <c r="BB104" s="1" t="s">
        <v>7</v>
      </c>
      <c r="BC104" s="1" t="s">
        <v>203</v>
      </c>
      <c r="BD104" s="1" t="s">
        <v>201</v>
      </c>
      <c r="BE104" s="1">
        <v>5</v>
      </c>
      <c r="CK104" s="34" t="s">
        <v>347</v>
      </c>
      <c r="CL104" s="34" t="s">
        <v>427</v>
      </c>
      <c r="CM104" s="34" t="s">
        <v>83</v>
      </c>
      <c r="CN104" s="35">
        <v>1</v>
      </c>
      <c r="CO104" s="34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225</v>
      </c>
      <c r="AZ105" s="1" t="s">
        <v>346</v>
      </c>
      <c r="BA105" s="1" t="s">
        <v>281</v>
      </c>
      <c r="BB105" s="1" t="s">
        <v>7</v>
      </c>
      <c r="BC105" s="1" t="s">
        <v>204</v>
      </c>
      <c r="BD105" s="1" t="s">
        <v>201</v>
      </c>
      <c r="BE105" s="1">
        <v>5</v>
      </c>
      <c r="CK105" s="34" t="s">
        <v>350</v>
      </c>
      <c r="CL105" s="34" t="s">
        <v>427</v>
      </c>
      <c r="CM105" s="34" t="s">
        <v>83</v>
      </c>
      <c r="CN105" s="35">
        <v>1</v>
      </c>
      <c r="CO105" s="34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225</v>
      </c>
      <c r="AZ106" s="1" t="s">
        <v>346</v>
      </c>
      <c r="BA106" s="1" t="s">
        <v>281</v>
      </c>
      <c r="BB106" s="1" t="s">
        <v>7</v>
      </c>
      <c r="BC106" s="1" t="s">
        <v>283</v>
      </c>
      <c r="BD106" s="1" t="s">
        <v>201</v>
      </c>
      <c r="BE106" s="1">
        <v>5</v>
      </c>
      <c r="CK106" s="34" t="s">
        <v>348</v>
      </c>
      <c r="CL106" s="34" t="s">
        <v>569</v>
      </c>
      <c r="CM106" s="34" t="s">
        <v>85</v>
      </c>
      <c r="CN106" s="35">
        <v>0.22800000000000001</v>
      </c>
      <c r="CO106" s="34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225</v>
      </c>
      <c r="AZ107" s="1" t="s">
        <v>346</v>
      </c>
      <c r="BA107" s="1" t="s">
        <v>275</v>
      </c>
      <c r="BB107" s="1" t="s">
        <v>209</v>
      </c>
      <c r="BC107" s="1" t="s">
        <v>156</v>
      </c>
      <c r="BD107" s="1" t="s">
        <v>201</v>
      </c>
      <c r="BE107" s="1">
        <v>5</v>
      </c>
      <c r="CK107" s="34" t="s">
        <v>347</v>
      </c>
      <c r="CL107" s="34" t="s">
        <v>601</v>
      </c>
      <c r="CM107" s="34" t="s">
        <v>85</v>
      </c>
      <c r="CN107" s="35">
        <v>0.186</v>
      </c>
      <c r="CO107" s="34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225</v>
      </c>
      <c r="AZ108" s="1" t="s">
        <v>346</v>
      </c>
      <c r="BA108" s="1" t="s">
        <v>275</v>
      </c>
      <c r="BB108" s="1" t="s">
        <v>209</v>
      </c>
      <c r="BC108" s="1" t="s">
        <v>203</v>
      </c>
      <c r="BD108" s="1" t="s">
        <v>201</v>
      </c>
      <c r="BE108" s="1">
        <v>5</v>
      </c>
      <c r="CK108" s="34" t="s">
        <v>347</v>
      </c>
      <c r="CL108" s="34" t="s">
        <v>602</v>
      </c>
      <c r="CM108" s="34" t="s">
        <v>85</v>
      </c>
      <c r="CN108" s="35">
        <v>0.189</v>
      </c>
      <c r="CO108" s="34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225</v>
      </c>
      <c r="AZ109" s="1" t="s">
        <v>346</v>
      </c>
      <c r="BA109" s="1" t="s">
        <v>275</v>
      </c>
      <c r="BB109" s="1" t="s">
        <v>209</v>
      </c>
      <c r="BC109" s="1" t="s">
        <v>204</v>
      </c>
      <c r="BD109" s="1" t="s">
        <v>201</v>
      </c>
      <c r="BE109" s="1">
        <v>5</v>
      </c>
      <c r="CK109" s="34" t="s">
        <v>347</v>
      </c>
      <c r="CL109" s="34" t="s">
        <v>509</v>
      </c>
      <c r="CM109" s="34" t="s">
        <v>603</v>
      </c>
      <c r="CN109" s="35">
        <v>0.186</v>
      </c>
      <c r="CO109" s="34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225</v>
      </c>
      <c r="AZ110" s="1" t="s">
        <v>346</v>
      </c>
      <c r="BA110" s="1" t="s">
        <v>275</v>
      </c>
      <c r="BB110" s="1" t="s">
        <v>209</v>
      </c>
      <c r="BC110" s="1" t="s">
        <v>283</v>
      </c>
      <c r="BD110" s="1" t="s">
        <v>201</v>
      </c>
      <c r="BE110" s="1">
        <v>5</v>
      </c>
      <c r="CK110" s="34" t="s">
        <v>347</v>
      </c>
      <c r="CL110" s="34" t="s">
        <v>429</v>
      </c>
      <c r="CM110" s="34" t="s">
        <v>603</v>
      </c>
      <c r="CN110" s="34">
        <v>1</v>
      </c>
      <c r="CO110" s="34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226</v>
      </c>
      <c r="AZ111" s="1" t="s">
        <v>346</v>
      </c>
      <c r="BA111" s="1" t="s">
        <v>276</v>
      </c>
      <c r="BB111" s="1" t="s">
        <v>209</v>
      </c>
      <c r="BC111" s="1" t="s">
        <v>156</v>
      </c>
      <c r="BD111" s="1" t="s">
        <v>201</v>
      </c>
      <c r="BE111" s="1">
        <v>3</v>
      </c>
      <c r="CK111" s="34" t="s">
        <v>347</v>
      </c>
      <c r="CL111" s="34" t="s">
        <v>509</v>
      </c>
      <c r="CM111" s="34" t="s">
        <v>603</v>
      </c>
      <c r="CN111" s="34">
        <v>0.186</v>
      </c>
      <c r="CO111" s="34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226</v>
      </c>
      <c r="AZ112" s="1" t="s">
        <v>346</v>
      </c>
      <c r="BA112" s="1" t="s">
        <v>276</v>
      </c>
      <c r="BB112" s="1" t="s">
        <v>209</v>
      </c>
      <c r="BC112" s="1" t="s">
        <v>203</v>
      </c>
      <c r="BD112" s="1" t="s">
        <v>201</v>
      </c>
      <c r="BE112" s="1">
        <v>3</v>
      </c>
      <c r="CK112" s="34" t="s">
        <v>347</v>
      </c>
      <c r="CL112" s="34" t="s">
        <v>428</v>
      </c>
      <c r="CM112" s="34" t="s">
        <v>604</v>
      </c>
      <c r="CN112" s="35">
        <v>1</v>
      </c>
      <c r="CO112" s="34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226</v>
      </c>
      <c r="AZ113" s="1" t="s">
        <v>346</v>
      </c>
      <c r="BA113" s="1" t="s">
        <v>276</v>
      </c>
      <c r="BB113" s="1" t="s">
        <v>209</v>
      </c>
      <c r="BC113" s="1" t="s">
        <v>204</v>
      </c>
      <c r="BD113" s="1" t="s">
        <v>201</v>
      </c>
      <c r="BE113" s="1">
        <v>3</v>
      </c>
      <c r="CK113" s="34" t="s">
        <v>347</v>
      </c>
      <c r="CL113" s="34" t="s">
        <v>509</v>
      </c>
      <c r="CM113" s="34" t="s">
        <v>604</v>
      </c>
      <c r="CN113" s="34">
        <v>0.186</v>
      </c>
      <c r="CO113" s="34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226</v>
      </c>
      <c r="AZ114" s="1" t="s">
        <v>346</v>
      </c>
      <c r="BA114" s="1" t="s">
        <v>276</v>
      </c>
      <c r="BB114" s="1" t="s">
        <v>209</v>
      </c>
      <c r="BC114" s="1" t="s">
        <v>283</v>
      </c>
      <c r="BD114" s="1" t="s">
        <v>201</v>
      </c>
      <c r="BE114" s="1">
        <v>3</v>
      </c>
      <c r="CK114" s="34" t="s">
        <v>347</v>
      </c>
      <c r="CL114" s="34" t="s">
        <v>428</v>
      </c>
      <c r="CM114" s="34" t="s">
        <v>604</v>
      </c>
      <c r="CN114" s="34">
        <v>1</v>
      </c>
      <c r="CO114" s="34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226</v>
      </c>
      <c r="AZ115" s="1" t="s">
        <v>346</v>
      </c>
      <c r="BA115" s="1" t="s">
        <v>277</v>
      </c>
      <c r="BB115" s="1" t="s">
        <v>209</v>
      </c>
      <c r="BC115" s="1" t="s">
        <v>156</v>
      </c>
      <c r="BD115" s="1" t="s">
        <v>201</v>
      </c>
      <c r="BE115" s="1">
        <v>3</v>
      </c>
      <c r="CK115" s="34" t="s">
        <v>348</v>
      </c>
      <c r="CL115" s="34" t="s">
        <v>570</v>
      </c>
      <c r="CM115" s="34" t="s">
        <v>172</v>
      </c>
      <c r="CN115" s="35">
        <v>1.2</v>
      </c>
      <c r="CO115" s="34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226</v>
      </c>
      <c r="AZ116" s="1" t="s">
        <v>346</v>
      </c>
      <c r="BA116" s="1" t="s">
        <v>277</v>
      </c>
      <c r="BB116" s="1" t="s">
        <v>209</v>
      </c>
      <c r="BC116" s="1" t="s">
        <v>203</v>
      </c>
      <c r="BD116" s="1" t="s">
        <v>201</v>
      </c>
      <c r="BE116" s="1">
        <v>3</v>
      </c>
      <c r="CK116" s="34" t="s">
        <v>348</v>
      </c>
      <c r="CL116" s="34" t="s">
        <v>571</v>
      </c>
      <c r="CM116" s="34" t="s">
        <v>172</v>
      </c>
      <c r="CN116" s="35">
        <v>1.8</v>
      </c>
      <c r="CO116" s="34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226</v>
      </c>
      <c r="AZ117" s="1" t="s">
        <v>346</v>
      </c>
      <c r="BA117" s="1" t="s">
        <v>277</v>
      </c>
      <c r="BB117" s="1" t="s">
        <v>209</v>
      </c>
      <c r="BC117" s="1" t="s">
        <v>204</v>
      </c>
      <c r="BD117" s="1" t="s">
        <v>201</v>
      </c>
      <c r="BE117" s="1">
        <v>3</v>
      </c>
      <c r="CK117" s="34" t="s">
        <v>348</v>
      </c>
      <c r="CL117" s="34" t="s">
        <v>572</v>
      </c>
      <c r="CM117" s="34" t="s">
        <v>172</v>
      </c>
      <c r="CN117" s="35">
        <v>1.4139999999999999</v>
      </c>
      <c r="CO117" s="34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226</v>
      </c>
      <c r="AZ118" s="1" t="s">
        <v>346</v>
      </c>
      <c r="BA118" s="1" t="s">
        <v>277</v>
      </c>
      <c r="BB118" s="1" t="s">
        <v>209</v>
      </c>
      <c r="BC118" s="1" t="s">
        <v>283</v>
      </c>
      <c r="BD118" s="1" t="s">
        <v>201</v>
      </c>
      <c r="BE118" s="1">
        <v>3</v>
      </c>
      <c r="CK118" s="34" t="s">
        <v>347</v>
      </c>
      <c r="CL118" s="34" t="s">
        <v>570</v>
      </c>
      <c r="CM118" s="34" t="s">
        <v>172</v>
      </c>
      <c r="CN118" s="35">
        <v>1.2</v>
      </c>
      <c r="CO118" s="34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226</v>
      </c>
      <c r="AZ119" s="1" t="s">
        <v>346</v>
      </c>
      <c r="BA119" s="1" t="s">
        <v>278</v>
      </c>
      <c r="BB119" s="1" t="s">
        <v>209</v>
      </c>
      <c r="BC119" s="1" t="s">
        <v>156</v>
      </c>
      <c r="BD119" s="1" t="s">
        <v>201</v>
      </c>
      <c r="BE119" s="1">
        <v>5</v>
      </c>
      <c r="CK119" s="34" t="s">
        <v>347</v>
      </c>
      <c r="CL119" s="34" t="s">
        <v>605</v>
      </c>
      <c r="CM119" s="34" t="s">
        <v>172</v>
      </c>
      <c r="CN119" s="35">
        <v>1.68</v>
      </c>
      <c r="CO119" s="34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226</v>
      </c>
      <c r="AZ120" s="1" t="s">
        <v>346</v>
      </c>
      <c r="BA120" s="1" t="s">
        <v>278</v>
      </c>
      <c r="BB120" s="1" t="s">
        <v>209</v>
      </c>
      <c r="BC120" s="1" t="s">
        <v>203</v>
      </c>
      <c r="BD120" s="1" t="s">
        <v>201</v>
      </c>
      <c r="BE120" s="1">
        <v>5</v>
      </c>
      <c r="CK120" s="34" t="s">
        <v>347</v>
      </c>
      <c r="CL120" s="34" t="s">
        <v>428</v>
      </c>
      <c r="CM120" s="34" t="s">
        <v>172</v>
      </c>
      <c r="CN120" s="34"/>
      <c r="CO120" s="34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172</v>
      </c>
      <c r="U121" s="1" t="s">
        <v>86</v>
      </c>
      <c r="V121" s="1" t="s">
        <v>227</v>
      </c>
      <c r="AZ121" s="1" t="s">
        <v>346</v>
      </c>
      <c r="BA121" s="1" t="s">
        <v>278</v>
      </c>
      <c r="BB121" s="1" t="s">
        <v>209</v>
      </c>
      <c r="BC121" s="1" t="s">
        <v>204</v>
      </c>
      <c r="BD121" s="1" t="s">
        <v>201</v>
      </c>
      <c r="BE121" s="1">
        <v>5</v>
      </c>
      <c r="CK121" s="34" t="s">
        <v>348</v>
      </c>
      <c r="CL121" s="34" t="s">
        <v>573</v>
      </c>
      <c r="CM121" s="34" t="s">
        <v>176</v>
      </c>
      <c r="CN121" s="35">
        <v>0.995</v>
      </c>
      <c r="CO121" s="34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173</v>
      </c>
      <c r="U122" s="1" t="s">
        <v>86</v>
      </c>
      <c r="V122" s="1" t="s">
        <v>227</v>
      </c>
      <c r="AZ122" s="1" t="s">
        <v>346</v>
      </c>
      <c r="BA122" s="1" t="s">
        <v>278</v>
      </c>
      <c r="BB122" s="1" t="s">
        <v>209</v>
      </c>
      <c r="BC122" s="1" t="s">
        <v>283</v>
      </c>
      <c r="BD122" s="1" t="s">
        <v>201</v>
      </c>
      <c r="BE122" s="1">
        <v>5</v>
      </c>
      <c r="CK122" s="34" t="s">
        <v>348</v>
      </c>
      <c r="CL122" s="34" t="s">
        <v>574</v>
      </c>
      <c r="CM122" s="34" t="s">
        <v>176</v>
      </c>
      <c r="CN122" s="35">
        <v>0.96099999999999997</v>
      </c>
      <c r="CO122" s="34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228</v>
      </c>
      <c r="AZ123" s="1" t="s">
        <v>346</v>
      </c>
      <c r="BA123" s="1" t="s">
        <v>279</v>
      </c>
      <c r="BB123" s="1" t="s">
        <v>209</v>
      </c>
      <c r="BC123" s="1" t="s">
        <v>156</v>
      </c>
      <c r="BD123" s="1" t="s">
        <v>201</v>
      </c>
      <c r="BE123" s="1">
        <v>4</v>
      </c>
      <c r="CK123" s="34" t="s">
        <v>348</v>
      </c>
      <c r="CL123" s="34" t="s">
        <v>575</v>
      </c>
      <c r="CM123" s="34" t="s">
        <v>176</v>
      </c>
      <c r="CN123" s="35">
        <v>1.9889999999999999</v>
      </c>
      <c r="CO123" s="34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229</v>
      </c>
      <c r="AZ124" s="1" t="s">
        <v>346</v>
      </c>
      <c r="BA124" s="1" t="s">
        <v>279</v>
      </c>
      <c r="BB124" s="1" t="s">
        <v>209</v>
      </c>
      <c r="BC124" s="1" t="s">
        <v>203</v>
      </c>
      <c r="BD124" s="1" t="s">
        <v>201</v>
      </c>
      <c r="BE124" s="1">
        <v>4</v>
      </c>
      <c r="CK124" s="34" t="s">
        <v>348</v>
      </c>
      <c r="CL124" s="34" t="s">
        <v>576</v>
      </c>
      <c r="CM124" s="34" t="s">
        <v>176</v>
      </c>
      <c r="CN124" s="35">
        <v>1.0299999999999998</v>
      </c>
      <c r="CO124" s="34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280</v>
      </c>
      <c r="T125" s="1" t="s">
        <v>86</v>
      </c>
      <c r="U125" s="1" t="s">
        <v>122</v>
      </c>
      <c r="V125" s="1" t="s">
        <v>230</v>
      </c>
      <c r="AZ125" s="1" t="s">
        <v>346</v>
      </c>
      <c r="BA125" s="1" t="s">
        <v>279</v>
      </c>
      <c r="BB125" s="1" t="s">
        <v>209</v>
      </c>
      <c r="BC125" s="1" t="s">
        <v>204</v>
      </c>
      <c r="BD125" s="1" t="s">
        <v>201</v>
      </c>
      <c r="BE125" s="1">
        <v>4</v>
      </c>
      <c r="CK125" s="34" t="s">
        <v>347</v>
      </c>
      <c r="CL125" s="34" t="s">
        <v>606</v>
      </c>
      <c r="CM125" s="34" t="s">
        <v>177</v>
      </c>
      <c r="CN125" s="35">
        <v>1</v>
      </c>
      <c r="CO125" s="34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281</v>
      </c>
      <c r="T126" s="1" t="s">
        <v>85</v>
      </c>
      <c r="U126" s="1" t="s">
        <v>122</v>
      </c>
      <c r="V126" s="1" t="s">
        <v>231</v>
      </c>
      <c r="AZ126" s="1" t="s">
        <v>346</v>
      </c>
      <c r="BA126" s="1" t="s">
        <v>279</v>
      </c>
      <c r="BB126" s="1" t="s">
        <v>209</v>
      </c>
      <c r="BC126" s="1" t="s">
        <v>283</v>
      </c>
      <c r="BD126" s="1" t="s">
        <v>201</v>
      </c>
      <c r="BE126" s="1">
        <v>4</v>
      </c>
      <c r="CK126" s="34" t="s">
        <v>347</v>
      </c>
      <c r="CL126" s="34" t="s">
        <v>607</v>
      </c>
      <c r="CM126" s="34" t="s">
        <v>177</v>
      </c>
      <c r="CN126" s="35">
        <v>1.0349999999999999</v>
      </c>
      <c r="CO126" s="34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275</v>
      </c>
      <c r="T127" s="1" t="s">
        <v>192</v>
      </c>
      <c r="U127" s="1" t="s">
        <v>122</v>
      </c>
      <c r="V127" s="1" t="s">
        <v>232</v>
      </c>
      <c r="AZ127" s="1" t="s">
        <v>346</v>
      </c>
      <c r="BA127" s="1" t="s">
        <v>43</v>
      </c>
      <c r="BB127" s="1" t="s">
        <v>206</v>
      </c>
      <c r="BC127" s="1" t="s">
        <v>156</v>
      </c>
      <c r="BD127" s="1" t="s">
        <v>201</v>
      </c>
      <c r="BE127" s="1">
        <v>2</v>
      </c>
      <c r="CK127" s="34" t="s">
        <v>347</v>
      </c>
      <c r="CL127" s="34" t="s">
        <v>608</v>
      </c>
      <c r="CM127" s="34" t="s">
        <v>177</v>
      </c>
      <c r="CN127" s="35">
        <v>1.1139999999999999</v>
      </c>
      <c r="CO127" s="34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275</v>
      </c>
      <c r="T128" s="1" t="s">
        <v>194</v>
      </c>
      <c r="U128" s="1" t="s">
        <v>122</v>
      </c>
      <c r="V128" s="1" t="s">
        <v>232</v>
      </c>
      <c r="AZ128" s="1" t="s">
        <v>346</v>
      </c>
      <c r="BA128" s="1" t="s">
        <v>43</v>
      </c>
      <c r="BB128" s="1" t="s">
        <v>206</v>
      </c>
      <c r="BC128" s="1" t="s">
        <v>203</v>
      </c>
      <c r="BD128" s="1" t="s">
        <v>201</v>
      </c>
      <c r="BE128" s="1">
        <v>2</v>
      </c>
      <c r="CK128" s="34" t="s">
        <v>347</v>
      </c>
      <c r="CL128" s="34" t="s">
        <v>505</v>
      </c>
      <c r="CM128" s="34" t="s">
        <v>177</v>
      </c>
      <c r="CN128" s="35">
        <v>2.069</v>
      </c>
      <c r="CO128" s="34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275</v>
      </c>
      <c r="T129" s="1" t="s">
        <v>195</v>
      </c>
      <c r="U129" s="1" t="s">
        <v>122</v>
      </c>
      <c r="V129" s="1" t="s">
        <v>232</v>
      </c>
      <c r="AZ129" s="1" t="s">
        <v>346</v>
      </c>
      <c r="BA129" s="1" t="s">
        <v>43</v>
      </c>
      <c r="BB129" s="1" t="s">
        <v>206</v>
      </c>
      <c r="BC129" s="1" t="s">
        <v>204</v>
      </c>
      <c r="BD129" s="1" t="s">
        <v>201</v>
      </c>
      <c r="BE129" s="1">
        <v>3</v>
      </c>
      <c r="CK129" s="34" t="s">
        <v>347</v>
      </c>
      <c r="CL129" s="34" t="s">
        <v>609</v>
      </c>
      <c r="CM129" s="34" t="s">
        <v>177</v>
      </c>
      <c r="CN129" s="35">
        <v>3.0229999999999997</v>
      </c>
      <c r="CO129" s="34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275</v>
      </c>
      <c r="T130" s="1" t="s">
        <v>196</v>
      </c>
      <c r="U130" s="1" t="s">
        <v>122</v>
      </c>
      <c r="V130" s="1" t="s">
        <v>232</v>
      </c>
      <c r="AZ130" s="1" t="s">
        <v>346</v>
      </c>
      <c r="BA130" s="1" t="s">
        <v>43</v>
      </c>
      <c r="BB130" s="1" t="s">
        <v>206</v>
      </c>
      <c r="BC130" s="1" t="s">
        <v>283</v>
      </c>
      <c r="BD130" s="1" t="s">
        <v>201</v>
      </c>
      <c r="BE130" s="1">
        <v>5</v>
      </c>
      <c r="CK130" s="34" t="s">
        <v>347</v>
      </c>
      <c r="CL130" s="34" t="s">
        <v>429</v>
      </c>
      <c r="CM130" s="34" t="s">
        <v>177</v>
      </c>
      <c r="CN130" s="39">
        <v>1</v>
      </c>
      <c r="CO130" s="34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275</v>
      </c>
      <c r="T131" s="1" t="s">
        <v>197</v>
      </c>
      <c r="U131" s="1" t="s">
        <v>122</v>
      </c>
      <c r="V131" s="1" t="s">
        <v>232</v>
      </c>
      <c r="AZ131" s="1"/>
      <c r="CK131" s="34" t="s">
        <v>348</v>
      </c>
      <c r="CL131" s="34" t="s">
        <v>429</v>
      </c>
      <c r="CM131" s="34" t="s">
        <v>416</v>
      </c>
      <c r="CN131" s="34">
        <v>1</v>
      </c>
      <c r="CO131" s="34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275</v>
      </c>
      <c r="T132" s="1" t="s">
        <v>198</v>
      </c>
      <c r="U132" s="1" t="s">
        <v>122</v>
      </c>
      <c r="V132" s="1" t="s">
        <v>232</v>
      </c>
      <c r="AZ132" s="1"/>
      <c r="CK132" s="34" t="s">
        <v>348</v>
      </c>
      <c r="CL132" s="34" t="s">
        <v>577</v>
      </c>
      <c r="CM132" s="34" t="s">
        <v>76</v>
      </c>
      <c r="CN132" s="35">
        <v>1</v>
      </c>
      <c r="CO132" s="34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276</v>
      </c>
      <c r="T133" s="1" t="s">
        <v>192</v>
      </c>
      <c r="U133" s="1" t="s">
        <v>122</v>
      </c>
      <c r="V133" s="1" t="s">
        <v>232</v>
      </c>
      <c r="CK133" s="34" t="s">
        <v>348</v>
      </c>
      <c r="CL133" s="34" t="s">
        <v>578</v>
      </c>
      <c r="CM133" s="34" t="s">
        <v>76</v>
      </c>
      <c r="CN133" s="35">
        <v>1.0169999999999999</v>
      </c>
      <c r="CO133" s="34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276</v>
      </c>
      <c r="T134" s="1" t="s">
        <v>194</v>
      </c>
      <c r="U134" s="1" t="s">
        <v>122</v>
      </c>
      <c r="V134" s="1" t="s">
        <v>232</v>
      </c>
      <c r="CK134" s="34" t="s">
        <v>348</v>
      </c>
      <c r="CL134" s="34" t="s">
        <v>579</v>
      </c>
      <c r="CM134" s="34" t="s">
        <v>76</v>
      </c>
      <c r="CN134" s="35">
        <v>1.0339999999999998</v>
      </c>
      <c r="CO134" s="34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276</v>
      </c>
      <c r="T135" s="1" t="s">
        <v>195</v>
      </c>
      <c r="U135" s="1" t="s">
        <v>122</v>
      </c>
      <c r="V135" s="1" t="s">
        <v>232</v>
      </c>
      <c r="CK135" s="34" t="s">
        <v>348</v>
      </c>
      <c r="CL135" s="34" t="s">
        <v>580</v>
      </c>
      <c r="CM135" s="34" t="s">
        <v>76</v>
      </c>
      <c r="CN135" s="35">
        <v>1.0419999999999998</v>
      </c>
      <c r="CO135" s="34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276</v>
      </c>
      <c r="T136" s="1" t="s">
        <v>196</v>
      </c>
      <c r="U136" s="1" t="s">
        <v>122</v>
      </c>
      <c r="V136" s="1" t="s">
        <v>232</v>
      </c>
      <c r="CK136" s="34" t="s">
        <v>348</v>
      </c>
      <c r="CL136" s="34" t="s">
        <v>581</v>
      </c>
      <c r="CM136" s="34" t="s">
        <v>76</v>
      </c>
      <c r="CN136" s="35">
        <v>1.0839999999999999</v>
      </c>
      <c r="CO136" s="34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276</v>
      </c>
      <c r="T137" s="1" t="s">
        <v>197</v>
      </c>
      <c r="U137" s="1" t="s">
        <v>122</v>
      </c>
      <c r="V137" s="1" t="s">
        <v>232</v>
      </c>
      <c r="CK137" s="34" t="s">
        <v>348</v>
      </c>
      <c r="CL137" s="34" t="s">
        <v>582</v>
      </c>
      <c r="CM137" s="34" t="s">
        <v>76</v>
      </c>
      <c r="CN137" s="35">
        <v>0.25</v>
      </c>
      <c r="CO137" s="34" t="str">
        <f t="shared" si="4"/>
        <v>L 10,0 X P 30,0 &amp; Tubo de engenharia</v>
      </c>
    </row>
    <row r="138" spans="18:93" x14ac:dyDescent="0.3">
      <c r="R138" s="1" t="s">
        <v>125</v>
      </c>
      <c r="S138" s="1" t="s">
        <v>276</v>
      </c>
      <c r="T138" s="1" t="s">
        <v>198</v>
      </c>
      <c r="U138" s="1" t="s">
        <v>122</v>
      </c>
      <c r="V138" s="1" t="s">
        <v>232</v>
      </c>
      <c r="CK138" s="34" t="s">
        <v>348</v>
      </c>
      <c r="CL138" s="34" t="s">
        <v>583</v>
      </c>
      <c r="CM138" s="34" t="s">
        <v>76</v>
      </c>
      <c r="CN138" s="35">
        <v>0.91900000000000004</v>
      </c>
      <c r="CO138" s="34" t="str">
        <f t="shared" si="4"/>
        <v>L 10,5 X P 100,0 &amp; Tubo de engenharia</v>
      </c>
    </row>
    <row r="139" spans="18:93" x14ac:dyDescent="0.3">
      <c r="R139" s="1" t="s">
        <v>125</v>
      </c>
      <c r="S139" s="1" t="s">
        <v>277</v>
      </c>
      <c r="T139" s="1" t="s">
        <v>192</v>
      </c>
      <c r="U139" s="1" t="s">
        <v>122</v>
      </c>
      <c r="V139" s="1" t="s">
        <v>232</v>
      </c>
      <c r="CK139" s="34" t="s">
        <v>348</v>
      </c>
      <c r="CL139" s="34" t="s">
        <v>584</v>
      </c>
      <c r="CM139" s="34" t="s">
        <v>76</v>
      </c>
      <c r="CN139" s="35">
        <v>1.2309999999999999</v>
      </c>
      <c r="CO139" s="34" t="str">
        <f t="shared" si="4"/>
        <v>L 11,0 X P 122,0 &amp; Tubo de engenharia</v>
      </c>
    </row>
    <row r="140" spans="18:93" x14ac:dyDescent="0.3">
      <c r="R140" s="1" t="s">
        <v>125</v>
      </c>
      <c r="S140" s="1" t="s">
        <v>277</v>
      </c>
      <c r="T140" s="1" t="s">
        <v>194</v>
      </c>
      <c r="U140" s="1" t="s">
        <v>122</v>
      </c>
      <c r="V140" s="1" t="s">
        <v>232</v>
      </c>
      <c r="CK140" s="34" t="s">
        <v>348</v>
      </c>
      <c r="CL140" s="34" t="s">
        <v>585</v>
      </c>
      <c r="CM140" s="34" t="s">
        <v>76</v>
      </c>
      <c r="CN140" s="35">
        <v>0.45600000000000002</v>
      </c>
      <c r="CO140" s="34" t="str">
        <f t="shared" si="4"/>
        <v>L 6,0 X P 152,0 &amp; Tubo de engenharia</v>
      </c>
    </row>
    <row r="141" spans="18:93" x14ac:dyDescent="0.3">
      <c r="R141" s="1" t="s">
        <v>125</v>
      </c>
      <c r="S141" s="1" t="s">
        <v>277</v>
      </c>
      <c r="T141" s="1" t="s">
        <v>195</v>
      </c>
      <c r="U141" s="1" t="s">
        <v>122</v>
      </c>
      <c r="V141" s="1" t="s">
        <v>232</v>
      </c>
      <c r="CK141" s="34" t="s">
        <v>348</v>
      </c>
      <c r="CL141" s="34" t="s">
        <v>586</v>
      </c>
      <c r="CM141" s="34" t="s">
        <v>76</v>
      </c>
      <c r="CN141" s="35">
        <v>0.21299999999999999</v>
      </c>
      <c r="CO141" s="34" t="str">
        <f t="shared" si="4"/>
        <v>L 6,0 X P 71,0 &amp; Tubo de engenharia</v>
      </c>
    </row>
    <row r="142" spans="18:93" x14ac:dyDescent="0.3">
      <c r="R142" s="1" t="s">
        <v>125</v>
      </c>
      <c r="S142" s="1" t="s">
        <v>277</v>
      </c>
      <c r="T142" s="1" t="s">
        <v>196</v>
      </c>
      <c r="U142" s="1" t="s">
        <v>122</v>
      </c>
      <c r="V142" s="1" t="s">
        <v>232</v>
      </c>
      <c r="CK142" s="34" t="s">
        <v>348</v>
      </c>
      <c r="CL142" s="34" t="s">
        <v>587</v>
      </c>
      <c r="CM142" s="34" t="s">
        <v>76</v>
      </c>
      <c r="CN142" s="35">
        <v>0.24299999999999999</v>
      </c>
      <c r="CO142" s="34" t="str">
        <f t="shared" si="4"/>
        <v>L 6,0 X P 81,0 &amp; Tubo de engenharia</v>
      </c>
    </row>
    <row r="143" spans="18:93" x14ac:dyDescent="0.3">
      <c r="R143" s="1" t="s">
        <v>125</v>
      </c>
      <c r="S143" s="1" t="s">
        <v>277</v>
      </c>
      <c r="T143" s="1" t="s">
        <v>197</v>
      </c>
      <c r="U143" s="1" t="s">
        <v>122</v>
      </c>
      <c r="V143" s="1" t="s">
        <v>232</v>
      </c>
      <c r="CK143" s="34" t="s">
        <v>348</v>
      </c>
      <c r="CL143" s="34" t="s">
        <v>588</v>
      </c>
      <c r="CM143" s="34" t="s">
        <v>76</v>
      </c>
      <c r="CN143" s="35">
        <v>0.40899999999999997</v>
      </c>
      <c r="CO143" s="34" t="str">
        <f t="shared" si="4"/>
        <v>L 7,0 X P 100,0 &amp; Tubo de engenharia</v>
      </c>
    </row>
    <row r="144" spans="18:93" x14ac:dyDescent="0.3">
      <c r="R144" s="1" t="s">
        <v>125</v>
      </c>
      <c r="S144" s="1" t="s">
        <v>277</v>
      </c>
      <c r="T144" s="1" t="s">
        <v>198</v>
      </c>
      <c r="U144" s="1" t="s">
        <v>122</v>
      </c>
      <c r="V144" s="1" t="s">
        <v>232</v>
      </c>
      <c r="CK144" s="34" t="s">
        <v>348</v>
      </c>
      <c r="CL144" s="34" t="s">
        <v>589</v>
      </c>
      <c r="CM144" s="34" t="s">
        <v>76</v>
      </c>
      <c r="CN144" s="34">
        <v>0.49</v>
      </c>
      <c r="CO144" s="34" t="str">
        <f t="shared" si="4"/>
        <v>L 7,0 X P 120,0 &amp; Tubo de engenharia</v>
      </c>
    </row>
    <row r="145" spans="18:93" x14ac:dyDescent="0.3">
      <c r="R145" s="1" t="s">
        <v>125</v>
      </c>
      <c r="S145" s="1" t="s">
        <v>278</v>
      </c>
      <c r="T145" s="1" t="s">
        <v>192</v>
      </c>
      <c r="U145" s="1" t="s">
        <v>122</v>
      </c>
      <c r="V145" s="1" t="s">
        <v>232</v>
      </c>
      <c r="CK145" s="34" t="s">
        <v>348</v>
      </c>
      <c r="CL145" s="34" t="s">
        <v>590</v>
      </c>
      <c r="CM145" s="34" t="s">
        <v>76</v>
      </c>
      <c r="CN145" s="34">
        <v>0.628</v>
      </c>
      <c r="CO145" s="34" t="str">
        <f t="shared" si="4"/>
        <v>L 9,0 X P 93,0 &amp; Tubo de engenharia</v>
      </c>
    </row>
    <row r="146" spans="18:93" x14ac:dyDescent="0.3">
      <c r="R146" s="1" t="s">
        <v>125</v>
      </c>
      <c r="S146" s="1" t="s">
        <v>278</v>
      </c>
      <c r="T146" s="1" t="s">
        <v>194</v>
      </c>
      <c r="U146" s="1" t="s">
        <v>122</v>
      </c>
      <c r="V146" s="1" t="s">
        <v>232</v>
      </c>
      <c r="CK146" s="34" t="s">
        <v>347</v>
      </c>
      <c r="CL146" s="34" t="s">
        <v>610</v>
      </c>
      <c r="CM146" s="34" t="s">
        <v>76</v>
      </c>
      <c r="CN146" s="35">
        <v>7.2999999999999995E-2</v>
      </c>
      <c r="CO146" s="34" t="str">
        <f t="shared" si="4"/>
        <v>L 05,0 X A 35,0 &amp; Tubo de engenharia</v>
      </c>
    </row>
    <row r="147" spans="18:93" x14ac:dyDescent="0.3">
      <c r="R147" s="1" t="s">
        <v>125</v>
      </c>
      <c r="S147" s="1" t="s">
        <v>278</v>
      </c>
      <c r="T147" s="1" t="s">
        <v>195</v>
      </c>
      <c r="U147" s="1" t="s">
        <v>122</v>
      </c>
      <c r="V147" s="1" t="s">
        <v>232</v>
      </c>
      <c r="CK147" s="34" t="s">
        <v>347</v>
      </c>
      <c r="CL147" s="36" t="s">
        <v>611</v>
      </c>
      <c r="CM147" s="37" t="s">
        <v>76</v>
      </c>
      <c r="CN147" s="35">
        <v>7.4999999999999997E-2</v>
      </c>
      <c r="CO147" s="34" t="str">
        <f t="shared" si="4"/>
        <v>L 05,0 X A 36,0 &amp; Tubo de engenharia</v>
      </c>
    </row>
    <row r="148" spans="18:93" x14ac:dyDescent="0.3">
      <c r="R148" s="1" t="s">
        <v>125</v>
      </c>
      <c r="S148" s="1" t="s">
        <v>278</v>
      </c>
      <c r="T148" s="1" t="s">
        <v>196</v>
      </c>
      <c r="U148" s="1" t="s">
        <v>122</v>
      </c>
      <c r="V148" s="1" t="s">
        <v>232</v>
      </c>
      <c r="CK148" s="34" t="s">
        <v>347</v>
      </c>
      <c r="CL148" s="37" t="s">
        <v>612</v>
      </c>
      <c r="CM148" s="37" t="s">
        <v>76</v>
      </c>
      <c r="CN148" s="39">
        <v>9.8000000000000004E-2</v>
      </c>
      <c r="CO148" s="34" t="str">
        <f t="shared" si="4"/>
        <v>L 05,0 X A 47,0 &amp; Tubo de engenharia</v>
      </c>
    </row>
    <row r="149" spans="18:93" x14ac:dyDescent="0.3">
      <c r="R149" s="1" t="s">
        <v>125</v>
      </c>
      <c r="S149" s="1" t="s">
        <v>278</v>
      </c>
      <c r="T149" s="1" t="s">
        <v>197</v>
      </c>
      <c r="U149" s="1" t="s">
        <v>122</v>
      </c>
      <c r="V149" s="1" t="s">
        <v>232</v>
      </c>
      <c r="CK149" s="34" t="s">
        <v>347</v>
      </c>
      <c r="CL149" s="37" t="s">
        <v>613</v>
      </c>
      <c r="CM149" s="37" t="s">
        <v>76</v>
      </c>
      <c r="CN149" s="39">
        <v>0.13500000000000001</v>
      </c>
      <c r="CO149" s="34" t="str">
        <f t="shared" si="4"/>
        <v>L 06,0 X A 45,0 &amp; Tubo de engenharia</v>
      </c>
    </row>
    <row r="150" spans="18:93" x14ac:dyDescent="0.3">
      <c r="R150" s="1" t="s">
        <v>125</v>
      </c>
      <c r="S150" s="1" t="s">
        <v>278</v>
      </c>
      <c r="T150" s="1" t="s">
        <v>198</v>
      </c>
      <c r="U150" s="1" t="s">
        <v>122</v>
      </c>
      <c r="V150" s="1" t="s">
        <v>232</v>
      </c>
      <c r="CK150" s="34" t="s">
        <v>347</v>
      </c>
      <c r="CL150" s="34" t="s">
        <v>614</v>
      </c>
      <c r="CM150" s="34" t="s">
        <v>76</v>
      </c>
      <c r="CN150" s="35">
        <v>0.26200000000000001</v>
      </c>
      <c r="CO150" s="34" t="str">
        <f t="shared" si="4"/>
        <v>L 07,0 X A 64,0 &amp; Tubo de engenharia</v>
      </c>
    </row>
    <row r="151" spans="18:93" x14ac:dyDescent="0.3">
      <c r="R151" s="1" t="s">
        <v>125</v>
      </c>
      <c r="S151" s="1" t="s">
        <v>279</v>
      </c>
      <c r="T151" s="1" t="s">
        <v>192</v>
      </c>
      <c r="U151" s="1" t="s">
        <v>122</v>
      </c>
      <c r="V151" s="1" t="s">
        <v>232</v>
      </c>
      <c r="CK151" s="34" t="s">
        <v>347</v>
      </c>
      <c r="CL151" s="34" t="s">
        <v>615</v>
      </c>
      <c r="CM151" s="34" t="s">
        <v>76</v>
      </c>
      <c r="CN151" s="35">
        <v>0.27</v>
      </c>
      <c r="CO151" s="34" t="str">
        <f t="shared" si="4"/>
        <v>L 07,0 X A 66,0 &amp; Tubo de engenharia</v>
      </c>
    </row>
    <row r="152" spans="18:93" x14ac:dyDescent="0.3">
      <c r="R152" s="1" t="s">
        <v>125</v>
      </c>
      <c r="S152" s="1" t="s">
        <v>279</v>
      </c>
      <c r="T152" s="1" t="s">
        <v>194</v>
      </c>
      <c r="U152" s="1" t="s">
        <v>122</v>
      </c>
      <c r="V152" s="1" t="s">
        <v>232</v>
      </c>
      <c r="CK152" s="34" t="s">
        <v>347</v>
      </c>
      <c r="CL152" s="34" t="s">
        <v>616</v>
      </c>
      <c r="CM152" s="34" t="s">
        <v>76</v>
      </c>
      <c r="CN152" s="35">
        <v>0.36</v>
      </c>
      <c r="CO152" s="34" t="str">
        <f t="shared" si="4"/>
        <v>L 07,0 X A 88,0 &amp; Tubo de engenharia</v>
      </c>
    </row>
    <row r="153" spans="18:93" x14ac:dyDescent="0.3">
      <c r="R153" s="1" t="s">
        <v>125</v>
      </c>
      <c r="S153" s="1" t="s">
        <v>279</v>
      </c>
      <c r="T153" s="1" t="s">
        <v>195</v>
      </c>
      <c r="U153" s="1" t="s">
        <v>122</v>
      </c>
      <c r="V153" s="1" t="s">
        <v>232</v>
      </c>
      <c r="CK153" s="34" t="s">
        <v>347</v>
      </c>
      <c r="CL153" s="34" t="s">
        <v>617</v>
      </c>
      <c r="CM153" s="34" t="s">
        <v>76</v>
      </c>
      <c r="CN153" s="35">
        <v>0.254</v>
      </c>
      <c r="CO153" s="34" t="str">
        <f t="shared" si="4"/>
        <v>L 07,5 X A 54,0 &amp; Tubo de engenharia</v>
      </c>
    </row>
    <row r="154" spans="18:93" x14ac:dyDescent="0.3">
      <c r="R154" s="1" t="s">
        <v>125</v>
      </c>
      <c r="S154" s="1" t="s">
        <v>279</v>
      </c>
      <c r="T154" s="1" t="s">
        <v>196</v>
      </c>
      <c r="U154" s="1" t="s">
        <v>122</v>
      </c>
      <c r="V154" s="1" t="s">
        <v>232</v>
      </c>
      <c r="CK154" s="34" t="s">
        <v>347</v>
      </c>
      <c r="CL154" s="34" t="s">
        <v>618</v>
      </c>
      <c r="CM154" s="34" t="s">
        <v>76</v>
      </c>
      <c r="CN154" s="35">
        <v>0.47299999999999998</v>
      </c>
      <c r="CO154" s="34" t="str">
        <f t="shared" si="4"/>
        <v>L 09,0 X A 70,0 &amp; Tubo de engenharia</v>
      </c>
    </row>
    <row r="155" spans="18:93" x14ac:dyDescent="0.3">
      <c r="R155" s="1" t="s">
        <v>125</v>
      </c>
      <c r="S155" s="1" t="s">
        <v>279</v>
      </c>
      <c r="T155" s="1" t="s">
        <v>197</v>
      </c>
      <c r="U155" s="1" t="s">
        <v>122</v>
      </c>
      <c r="V155" s="1" t="s">
        <v>232</v>
      </c>
      <c r="CK155" s="34" t="s">
        <v>347</v>
      </c>
      <c r="CL155" s="34" t="s">
        <v>619</v>
      </c>
      <c r="CM155" s="34" t="s">
        <v>76</v>
      </c>
      <c r="CN155" s="35">
        <v>0.628</v>
      </c>
      <c r="CO155" s="34" t="str">
        <f t="shared" si="4"/>
        <v>L 09,0 X A 93,0 &amp; Tubo de engenharia</v>
      </c>
    </row>
    <row r="156" spans="18:93" x14ac:dyDescent="0.3">
      <c r="R156" s="1" t="s">
        <v>125</v>
      </c>
      <c r="S156" s="1" t="s">
        <v>279</v>
      </c>
      <c r="T156" s="1" t="s">
        <v>198</v>
      </c>
      <c r="U156" s="1" t="s">
        <v>122</v>
      </c>
      <c r="V156" s="1" t="s">
        <v>232</v>
      </c>
      <c r="CK156" s="34" t="s">
        <v>347</v>
      </c>
      <c r="CL156" s="34" t="s">
        <v>620</v>
      </c>
      <c r="CM156" s="34" t="s">
        <v>76</v>
      </c>
      <c r="CN156" s="35">
        <v>0.70699999999999996</v>
      </c>
      <c r="CO156" s="34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233</v>
      </c>
      <c r="CK157" s="34" t="s">
        <v>347</v>
      </c>
      <c r="CL157" s="34" t="s">
        <v>621</v>
      </c>
      <c r="CM157" s="34" t="s">
        <v>76</v>
      </c>
      <c r="CN157" s="35">
        <v>0.86699999999999999</v>
      </c>
      <c r="CO157" s="34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233</v>
      </c>
      <c r="CK158" s="34" t="s">
        <v>347</v>
      </c>
      <c r="CL158" s="34" t="s">
        <v>577</v>
      </c>
      <c r="CM158" s="34" t="s">
        <v>76</v>
      </c>
      <c r="CN158" s="35">
        <v>1</v>
      </c>
      <c r="CO158" s="34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233</v>
      </c>
      <c r="CK159" s="34" t="s">
        <v>347</v>
      </c>
      <c r="CL159" s="34" t="s">
        <v>622</v>
      </c>
      <c r="CM159" s="34" t="s">
        <v>76</v>
      </c>
      <c r="CN159" s="35">
        <v>0.63400000000000001</v>
      </c>
      <c r="CO159" s="34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233</v>
      </c>
      <c r="CK160" s="34" t="s">
        <v>347</v>
      </c>
      <c r="CL160" s="34" t="s">
        <v>623</v>
      </c>
      <c r="CM160" s="34" t="s">
        <v>76</v>
      </c>
      <c r="CN160" s="35">
        <v>0.76700000000000002</v>
      </c>
      <c r="CO160" s="34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233</v>
      </c>
      <c r="CK161" s="34" t="s">
        <v>347</v>
      </c>
      <c r="CL161" s="34" t="s">
        <v>624</v>
      </c>
      <c r="CM161" s="34" t="s">
        <v>76</v>
      </c>
      <c r="CN161" s="35">
        <v>2.048</v>
      </c>
      <c r="CO161" s="34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234</v>
      </c>
      <c r="CK162" s="34" t="s">
        <v>347</v>
      </c>
      <c r="CL162" s="34" t="s">
        <v>426</v>
      </c>
      <c r="CM162" s="34" t="s">
        <v>76</v>
      </c>
      <c r="CN162" s="39">
        <v>1</v>
      </c>
      <c r="CO162" s="34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235</v>
      </c>
      <c r="CK163" s="34" t="s">
        <v>350</v>
      </c>
      <c r="CL163" s="34" t="s">
        <v>445</v>
      </c>
      <c r="CM163" s="34" t="s">
        <v>76</v>
      </c>
      <c r="CN163" s="35">
        <v>1</v>
      </c>
      <c r="CO163" s="34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236</v>
      </c>
      <c r="CK164" s="34" t="s">
        <v>350</v>
      </c>
      <c r="CL164" s="34" t="s">
        <v>446</v>
      </c>
      <c r="CM164" s="34" t="s">
        <v>76</v>
      </c>
      <c r="CN164" s="35">
        <v>1.0249999999999999</v>
      </c>
      <c r="CO164" s="34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237</v>
      </c>
      <c r="CK165" s="34" t="s">
        <v>350</v>
      </c>
      <c r="CL165" s="34" t="s">
        <v>447</v>
      </c>
      <c r="CM165" s="34" t="s">
        <v>76</v>
      </c>
      <c r="CN165" s="34">
        <v>1.0839999999999999</v>
      </c>
      <c r="CO165" s="34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34" t="s">
        <v>350</v>
      </c>
      <c r="CL166" s="34" t="s">
        <v>448</v>
      </c>
      <c r="CM166" s="34" t="s">
        <v>76</v>
      </c>
      <c r="CN166" s="34">
        <v>1.0499999999999998</v>
      </c>
      <c r="CO166" s="34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34" t="s">
        <v>350</v>
      </c>
      <c r="CL167" s="34" t="s">
        <v>444</v>
      </c>
      <c r="CM167" s="34" t="s">
        <v>76</v>
      </c>
      <c r="CN167" s="35">
        <v>0.25</v>
      </c>
      <c r="CO167" s="34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34" t="s">
        <v>347</v>
      </c>
      <c r="CL168" s="34" t="s">
        <v>430</v>
      </c>
      <c r="CM168" s="34" t="s">
        <v>166</v>
      </c>
      <c r="CN168" s="38">
        <v>0.25</v>
      </c>
      <c r="CO168" s="34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34"/>
      <c r="CL169" s="34"/>
      <c r="CM169" s="34"/>
      <c r="CN169" s="35"/>
      <c r="CO169" s="34"/>
    </row>
    <row r="170" spans="18:93" x14ac:dyDescent="0.3">
      <c r="R170" s="1" t="s">
        <v>7</v>
      </c>
      <c r="S170" s="1" t="s">
        <v>42</v>
      </c>
      <c r="T170" s="12" t="s">
        <v>415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166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172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173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176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177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174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217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217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217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217</v>
      </c>
    </row>
    <row r="185" spans="18:22" x14ac:dyDescent="0.3">
      <c r="R185" s="1" t="s">
        <v>89</v>
      </c>
      <c r="S185" s="1" t="s">
        <v>45</v>
      </c>
      <c r="T185" s="12" t="s">
        <v>415</v>
      </c>
      <c r="U185" s="1" t="s">
        <v>67</v>
      </c>
      <c r="V185" s="1" t="s">
        <v>217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217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217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217</v>
      </c>
    </row>
    <row r="189" spans="18:22" x14ac:dyDescent="0.3">
      <c r="R189" s="1" t="s">
        <v>89</v>
      </c>
      <c r="S189" s="1" t="s">
        <v>45</v>
      </c>
      <c r="T189" s="1" t="s">
        <v>166</v>
      </c>
      <c r="U189" s="1" t="s">
        <v>67</v>
      </c>
      <c r="V189" s="1" t="s">
        <v>217</v>
      </c>
    </row>
    <row r="190" spans="18:22" x14ac:dyDescent="0.3">
      <c r="R190" s="1" t="s">
        <v>89</v>
      </c>
      <c r="S190" s="1" t="s">
        <v>45</v>
      </c>
      <c r="T190" s="1" t="s">
        <v>172</v>
      </c>
      <c r="U190" s="1" t="s">
        <v>67</v>
      </c>
      <c r="V190" s="1" t="s">
        <v>217</v>
      </c>
    </row>
    <row r="191" spans="18:22" x14ac:dyDescent="0.3">
      <c r="R191" s="1" t="s">
        <v>89</v>
      </c>
      <c r="S191" s="1" t="s">
        <v>45</v>
      </c>
      <c r="T191" s="1" t="s">
        <v>173</v>
      </c>
      <c r="U191" s="1" t="s">
        <v>67</v>
      </c>
      <c r="V191" s="1" t="s">
        <v>217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217</v>
      </c>
    </row>
    <row r="193" spans="18:22" x14ac:dyDescent="0.3">
      <c r="R193" s="1" t="s">
        <v>89</v>
      </c>
      <c r="S193" s="1" t="s">
        <v>45</v>
      </c>
      <c r="T193" s="1" t="s">
        <v>176</v>
      </c>
      <c r="U193" s="1" t="s">
        <v>67</v>
      </c>
      <c r="V193" s="1" t="s">
        <v>217</v>
      </c>
    </row>
    <row r="194" spans="18:22" x14ac:dyDescent="0.3">
      <c r="R194" s="1" t="s">
        <v>89</v>
      </c>
      <c r="S194" s="1" t="s">
        <v>45</v>
      </c>
      <c r="T194" s="1" t="s">
        <v>177</v>
      </c>
      <c r="U194" s="1" t="s">
        <v>67</v>
      </c>
      <c r="V194" s="1" t="s">
        <v>217</v>
      </c>
    </row>
    <row r="195" spans="18:22" x14ac:dyDescent="0.3">
      <c r="R195" s="1" t="s">
        <v>89</v>
      </c>
      <c r="S195" s="1" t="s">
        <v>45</v>
      </c>
      <c r="T195" s="1" t="s">
        <v>174</v>
      </c>
      <c r="U195" s="1" t="s">
        <v>67</v>
      </c>
      <c r="V195" s="1" t="s">
        <v>217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217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217</v>
      </c>
    </row>
    <row r="198" spans="18:22" x14ac:dyDescent="0.3">
      <c r="R198" s="1" t="s">
        <v>89</v>
      </c>
      <c r="S198" s="1" t="s">
        <v>46</v>
      </c>
      <c r="T198" s="1" t="s">
        <v>172</v>
      </c>
      <c r="U198" s="1" t="s">
        <v>96</v>
      </c>
      <c r="V198" s="1" t="s">
        <v>217</v>
      </c>
    </row>
    <row r="199" spans="18:22" x14ac:dyDescent="0.3">
      <c r="R199" s="1" t="s">
        <v>89</v>
      </c>
      <c r="S199" s="1" t="s">
        <v>46</v>
      </c>
      <c r="T199" s="1" t="s">
        <v>173</v>
      </c>
      <c r="U199" s="1" t="s">
        <v>96</v>
      </c>
      <c r="V199" s="1" t="s">
        <v>217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217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217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217</v>
      </c>
    </row>
    <row r="203" spans="18:22" x14ac:dyDescent="0.3">
      <c r="R203" s="1" t="s">
        <v>7</v>
      </c>
      <c r="S203" s="1" t="s">
        <v>51</v>
      </c>
      <c r="T203" s="1" t="s">
        <v>258</v>
      </c>
      <c r="U203" s="1" t="s">
        <v>238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417</v>
      </c>
      <c r="U206" s="1" t="s">
        <v>67</v>
      </c>
      <c r="V206" s="1" t="s">
        <v>215</v>
      </c>
    </row>
    <row r="207" spans="18:22" x14ac:dyDescent="0.3">
      <c r="R207" s="1" t="s">
        <v>84</v>
      </c>
      <c r="S207" s="1" t="s">
        <v>41</v>
      </c>
      <c r="T207" s="1" t="s">
        <v>416</v>
      </c>
      <c r="U207" s="1" t="s">
        <v>67</v>
      </c>
      <c r="V207" s="1" t="s">
        <v>215</v>
      </c>
    </row>
    <row r="208" spans="18:22" x14ac:dyDescent="0.3">
      <c r="R208" s="1" t="s">
        <v>87</v>
      </c>
      <c r="S208" s="1" t="s">
        <v>41</v>
      </c>
      <c r="T208" s="1" t="s">
        <v>414</v>
      </c>
      <c r="U208" s="1" t="s">
        <v>67</v>
      </c>
      <c r="V208" s="1" t="s">
        <v>212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customXml/itemProps4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31</vt:i4>
      </vt:variant>
      <vt:variant>
        <vt:lpstr>Intervalos Nomeados</vt:lpstr>
      </vt:variant>
      <vt:variant>
        <vt:i4>70</vt:i4>
      </vt:variant>
    </vt:vector>
  </HeadingPairs>
  <TitlesOfParts>
    <vt:vector size="101" baseType="lpstr">
      <vt:lpstr>TabelaFDMPorContrato</vt:lpstr>
      <vt:lpstr>Painel</vt:lpstr>
      <vt:lpstr>Painel T2M</vt:lpstr>
      <vt:lpstr>LOG_CRITICAS</vt:lpstr>
      <vt:lpstr>DASHBOARD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PPU-IRON-LT1</vt:lpstr>
      <vt:lpstr>ARM_IRON-LT1</vt:lpstr>
      <vt:lpstr>Dados_IRON-LT1</vt:lpstr>
      <vt:lpstr>Frete_IRON-LT1</vt:lpstr>
      <vt:lpstr>MC_IRON-LT1</vt:lpstr>
      <vt:lpstr>FRETE_IRON-LT1-RJ</vt:lpstr>
      <vt:lpstr>MC_PA-LT2</vt:lpstr>
      <vt:lpstr>ARM_PA-LT2</vt:lpstr>
      <vt:lpstr>DADOS_PA-LT2</vt:lpstr>
      <vt:lpstr>FRETE_PA-LT2</vt:lpstr>
      <vt:lpstr>ARM</vt:lpstr>
      <vt:lpstr>DADOS</vt:lpstr>
      <vt:lpstr>Frete</vt:lpstr>
      <vt:lpstr>tabelaA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ta</vt:lpstr>
      <vt:lpstr>TabelaB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Sym</cp:lastModifiedBy>
  <dcterms:created xsi:type="dcterms:W3CDTF">2015-06-05T18:19:34Z</dcterms:created>
  <dcterms:modified xsi:type="dcterms:W3CDTF">2026-10-27T19:45:31Z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