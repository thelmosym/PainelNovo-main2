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Y:\Arquivamento_SID\2. Controles\Painel Novo\10-Outubro\Medição - Contratada\IRON\"/>
    </mc:Choice>
  </mc:AlternateContent>
  <xr:revisionPtr revIDLastSave="0" documentId="13_ncr:1_{1C07AA35-3ABA-4506-9B85-F8492D213D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C IMB RJ" sheetId="1" r:id="rId1"/>
    <sheet name="Consolidado" sheetId="5" r:id="rId2"/>
    <sheet name="Tabela" sheetId="15" r:id="rId3"/>
  </sheets>
  <definedNames>
    <definedName name="ARMCXDOC">'MC IMB RJ'!$D$12</definedName>
    <definedName name="ARMCXMID">'MC IMB RJ'!$D$15</definedName>
    <definedName name="ARMMA">'MC IMB RJ'!$D$21</definedName>
    <definedName name="ARMMIC">'MC IMB RJ'!$D$24</definedName>
    <definedName name="ARMMID">'MC IMB RJ'!$D$27</definedName>
    <definedName name="ARMTB">'MC IMB RJ'!$D$18</definedName>
    <definedName name="BaseK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34oD2PTMo2tTZPMOHyLqYVrzjSBzwU5tr1oSokZuaJ0="/>
    </ext>
  </extLst>
</workbook>
</file>

<file path=xl/calcChain.xml><?xml version="1.0" encoding="utf-8"?>
<calcChain xmlns="http://schemas.openxmlformats.org/spreadsheetml/2006/main">
  <c r="G29" i="1" l="1"/>
  <c r="F29" i="1"/>
  <c r="E29" i="1"/>
  <c r="D29" i="1"/>
  <c r="G26" i="1"/>
  <c r="F26" i="1"/>
  <c r="E26" i="1"/>
  <c r="D26" i="1"/>
  <c r="G23" i="1"/>
  <c r="F23" i="1"/>
  <c r="E23" i="1"/>
  <c r="D23" i="1"/>
  <c r="G20" i="1"/>
  <c r="F20" i="1"/>
  <c r="E20" i="1"/>
  <c r="D20" i="1"/>
  <c r="G17" i="1"/>
  <c r="F17" i="1"/>
  <c r="E17" i="1"/>
  <c r="D17" i="1"/>
  <c r="G14" i="1"/>
  <c r="F14" i="1"/>
  <c r="E14" i="1"/>
  <c r="D14" i="1"/>
  <c r="H17" i="1" l="1"/>
  <c r="F5" i="5"/>
  <c r="F6" i="5"/>
  <c r="F7" i="5"/>
  <c r="F8" i="5"/>
  <c r="F9" i="5"/>
  <c r="F10" i="5"/>
  <c r="F11" i="5"/>
  <c r="F12" i="5"/>
  <c r="F4" i="5"/>
  <c r="E5" i="5"/>
  <c r="E6" i="5"/>
  <c r="E7" i="5"/>
  <c r="E8" i="5"/>
  <c r="E9" i="5"/>
  <c r="E10" i="5"/>
  <c r="E11" i="5"/>
  <c r="E12" i="5"/>
  <c r="E4" i="5"/>
  <c r="D5" i="5"/>
  <c r="D6" i="5"/>
  <c r="D7" i="5"/>
  <c r="D8" i="5"/>
  <c r="D9" i="5"/>
  <c r="D10" i="5"/>
  <c r="D11" i="5"/>
  <c r="D12" i="5"/>
  <c r="D4" i="5"/>
  <c r="C5" i="5"/>
  <c r="C6" i="5"/>
  <c r="C7" i="5"/>
  <c r="C8" i="5"/>
  <c r="C9" i="5"/>
  <c r="C10" i="5"/>
  <c r="C11" i="5"/>
  <c r="C12" i="5"/>
  <c r="C4" i="5"/>
  <c r="G5" i="5" l="1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4" i="5"/>
  <c r="H4" i="5" s="1"/>
  <c r="P4" i="5"/>
  <c r="L38" i="1" l="1"/>
  <c r="L39" i="1"/>
  <c r="L40" i="1"/>
  <c r="L41" i="1"/>
  <c r="L42" i="1"/>
  <c r="L43" i="1"/>
  <c r="L44" i="1"/>
  <c r="L45" i="1"/>
  <c r="L46" i="1"/>
  <c r="L47" i="1"/>
  <c r="L36" i="1"/>
  <c r="L35" i="1"/>
  <c r="L34" i="1"/>
  <c r="L33" i="1"/>
  <c r="L32" i="1"/>
  <c r="L31" i="1"/>
  <c r="L30" i="1"/>
  <c r="L28" i="1"/>
  <c r="L25" i="1"/>
  <c r="L22" i="1"/>
  <c r="L19" i="1"/>
  <c r="L16" i="1"/>
  <c r="L13" i="1"/>
  <c r="H23" i="1"/>
  <c r="N4" i="5" l="1"/>
  <c r="O4" i="5" s="1"/>
  <c r="N5" i="5"/>
  <c r="O5" i="5" s="1"/>
  <c r="N6" i="5"/>
  <c r="N7" i="5"/>
  <c r="N8" i="5"/>
  <c r="O8" i="5" s="1"/>
  <c r="N9" i="5"/>
  <c r="O9" i="5" s="1"/>
  <c r="N10" i="5"/>
  <c r="O10" i="5" s="1"/>
  <c r="N11" i="5"/>
  <c r="O11" i="5" s="1"/>
  <c r="N12" i="5"/>
  <c r="O12" i="5" s="1"/>
  <c r="P12" i="5"/>
  <c r="P5" i="5"/>
  <c r="P6" i="5"/>
  <c r="P7" i="5"/>
  <c r="P8" i="5"/>
  <c r="P9" i="5"/>
  <c r="P10" i="5"/>
  <c r="P11" i="5"/>
  <c r="O6" i="5"/>
  <c r="O7" i="5"/>
  <c r="M47" i="1"/>
  <c r="M46" i="1"/>
  <c r="M45" i="1"/>
  <c r="M44" i="1"/>
  <c r="M43" i="1"/>
  <c r="M42" i="1"/>
  <c r="M41" i="1"/>
  <c r="M40" i="1"/>
  <c r="M39" i="1"/>
  <c r="M38" i="1"/>
  <c r="M36" i="1"/>
  <c r="M35" i="1"/>
  <c r="M34" i="1"/>
  <c r="M33" i="1"/>
  <c r="M32" i="1"/>
  <c r="M31" i="1"/>
  <c r="M30" i="1"/>
  <c r="H29" i="1"/>
  <c r="H26" i="1"/>
  <c r="J25" i="1"/>
  <c r="M25" i="1" s="1"/>
  <c r="H20" i="1"/>
  <c r="H14" i="1"/>
  <c r="Q12" i="5" l="1"/>
  <c r="J13" i="1"/>
  <c r="Q9" i="5"/>
  <c r="Q8" i="5"/>
  <c r="Q5" i="5"/>
  <c r="Q7" i="5"/>
  <c r="Q6" i="5"/>
  <c r="Q11" i="5"/>
  <c r="Q10" i="5"/>
  <c r="Q4" i="5"/>
  <c r="J16" i="1"/>
  <c r="M16" i="1" s="1"/>
  <c r="J19" i="1"/>
  <c r="M19" i="1" s="1"/>
  <c r="J22" i="1"/>
  <c r="K22" i="1" s="1"/>
  <c r="J28" i="1"/>
  <c r="M28" i="1" s="1"/>
  <c r="K25" i="1"/>
  <c r="K19" i="1" l="1"/>
  <c r="K16" i="1"/>
  <c r="K28" i="1"/>
  <c r="M22" i="1"/>
  <c r="M13" i="1" l="1"/>
  <c r="M48" i="1" s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Índice de Conformidade do Prazo de Atendimento
======</t>
        </r>
      </text>
    </comment>
    <comment ref="M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Fator de Desempenho Mensal
======</t>
        </r>
      </text>
    </comment>
    <comment ref="J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Quantidade executada pela CONTRATADA
======</t>
        </r>
      </text>
    </comment>
    <comment ref="K1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Quantidade final a ser paga à CONTRATADA 
======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Deverá ser calculado o volume em centímetro cúbico (cm³) do novo item a ser armazenado (V1)
======</t>
        </r>
      </text>
    </comment>
    <comment ref="H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Deverá ser calculado o volume em centímetro cúbico (cm³) do item de FC = 1 da tabela selecionada (V2)
======</t>
        </r>
      </text>
    </comment>
    <comment ref="I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Após realizado o cálculo dos volumes, calcular-se-á o novo Fator de Conversão (FC),
da seguinte forma:
FC = V1 /  V2
======</t>
        </r>
      </text>
    </comment>
    <comment ref="J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K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L3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M3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 xml:space="preserve"> Quantidade novas UA incluídas na guarda no mês corrente
======</t>
        </r>
      </text>
    </comment>
  </commentList>
</comments>
</file>

<file path=xl/sharedStrings.xml><?xml version="1.0" encoding="utf-8"?>
<sst xmlns="http://schemas.openxmlformats.org/spreadsheetml/2006/main" count="581" uniqueCount="387">
  <si>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</si>
  <si>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</si>
  <si>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</si>
  <si>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IRON MOUNTAIN DO BRASIL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</si>
  <si>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</si>
  <si>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04.120.966/0001-13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</si>
  <si>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</si>
  <si>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</si>
  <si>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</si>
  <si>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</si>
  <si>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1</t>
  </si>
  <si>
    <t>FDM:</t>
  </si>
  <si>
    <r>
      <rPr>
        <b/>
        <sz val="11"/>
        <color theme="1"/>
        <rFont val="Calibri"/>
        <family val="2"/>
      </rPr>
      <t>Objeto:</t>
    </r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</si>
  <si>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</si>
  <si>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</si>
  <si>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</si>
  <si>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</si>
  <si>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</si>
  <si>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</si>
  <si>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</si>
  <si>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</si>
  <si>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</si>
  <si>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</si>
  <si>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</si>
  <si>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</si>
  <si>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</si>
  <si>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</si>
  <si>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</si>
  <si>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</si>
  <si>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</si>
  <si>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</si>
  <si>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</si>
  <si>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</si>
  <si>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</si>
  <si>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</si>
  <si>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</si>
  <si>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</si>
  <si>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</si>
  <si>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</si>
  <si>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</si>
  <si>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</si>
  <si>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</si>
  <si>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</si>
  <si>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</si>
  <si>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</si>
  <si>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</si>
  <si>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</si>
  <si>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</si>
  <si>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</si>
  <si>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</si>
  <si>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</si>
  <si>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</si>
  <si>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Frete</t>
  </si>
  <si>
    <t>1.8</t>
  </si>
  <si>
    <t>FRE-EXP: Frete expresso</t>
  </si>
  <si>
    <t>1.9</t>
  </si>
  <si>
    <t>KM-AD: Quilometragem adicional</t>
  </si>
  <si>
    <t>KM</t>
  </si>
  <si>
    <t>1.10</t>
  </si>
  <si>
    <t>PES-ITEM: Pesquisa de itens avulsos</t>
  </si>
  <si>
    <t>Item Avulso</t>
  </si>
  <si>
    <t>1.11</t>
  </si>
  <si>
    <t>DES-EMB: Destruição segura de documentos</t>
  </si>
  <si>
    <t>1.12</t>
  </si>
  <si>
    <t>TRANSF: Transferência inicial de acervo documental</t>
  </si>
  <si>
    <t>Transferência</t>
  </si>
  <si>
    <t>1.13</t>
  </si>
  <si>
    <t xml:space="preserve">MIGR-UA: Migração de acervo documental para digitalização </t>
  </si>
  <si>
    <t>Gerenciamento de Documentos e Informações</t>
  </si>
  <si>
    <t>2.1</t>
  </si>
  <si>
    <t>CAT-ITEM: Catalogação de documentos digitalizados</t>
  </si>
  <si>
    <t>Documento</t>
  </si>
  <si>
    <t>2.2</t>
  </si>
  <si>
    <t>ORG-DOC: Organização de documentos para digitalização</t>
  </si>
  <si>
    <t>2.3</t>
  </si>
  <si>
    <t>UD</t>
  </si>
  <si>
    <t>2.4</t>
  </si>
  <si>
    <t>DIG-MF: Digitalização de microfichas</t>
  </si>
  <si>
    <t>2.5</t>
  </si>
  <si>
    <t>DIG-DOC: Digitalização de documentos</t>
  </si>
  <si>
    <t>2.6</t>
  </si>
  <si>
    <t xml:space="preserve">UD </t>
  </si>
  <si>
    <t>2.7</t>
  </si>
  <si>
    <t>CONV-MID: Conversão de mídias</t>
  </si>
  <si>
    <t>Mídia</t>
  </si>
  <si>
    <t>2.8</t>
  </si>
  <si>
    <t>GRV-MID: Gravação de mídias</t>
  </si>
  <si>
    <t>2.9</t>
  </si>
  <si>
    <t>COP-MID: Cópia de mídias</t>
  </si>
  <si>
    <t>2.10</t>
  </si>
  <si>
    <t>COP-VID: 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</si>
  <si>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</si>
  <si>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</si>
  <si>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</si>
  <si>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</si>
  <si>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</si>
  <si>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</si>
  <si>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</si>
  <si>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</si>
  <si>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</si>
  <si>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</si>
  <si>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</si>
  <si>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mês anterior</t>
  </si>
  <si>
    <t>Saída/mês</t>
  </si>
  <si>
    <t>Exp./Mês</t>
  </si>
  <si>
    <t>Novas/mês</t>
  </si>
  <si>
    <t>QUAm = QUAm-1 + QNm - QBm - QDm</t>
  </si>
  <si>
    <t>Consolidado RJ</t>
  </si>
  <si>
    <t>Editar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</si>
  <si>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</si>
  <si>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</si>
  <si>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</si>
  <si>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</si>
  <si>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</si>
  <si>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</si>
  <si>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</si>
  <si>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</si>
  <si>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</si>
  <si>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</si>
  <si>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</si>
  <si>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</si>
  <si>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</si>
  <si>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FC1</t>
  </si>
  <si>
    <t>A 34,0 X L 37,0 X P 12,0</t>
  </si>
  <si>
    <t>FC2</t>
  </si>
  <si>
    <t>A 40,5 X L 41,5  X P 10,0</t>
  </si>
  <si>
    <t>Caixa para mídias - Tipo 2</t>
  </si>
  <si>
    <t>A 30,0 X L 19,0 X P 39,0</t>
  </si>
  <si>
    <t>Ø10,0 P 120,0</t>
  </si>
  <si>
    <t>FC3</t>
  </si>
  <si>
    <t>A 135,0 X L 51,0 X P 105,0</t>
  </si>
  <si>
    <t>Mapoteca</t>
  </si>
  <si>
    <t>FC4</t>
  </si>
  <si>
    <t>A 10,0 X L 10,0 X P 2,5</t>
  </si>
  <si>
    <t>FC5</t>
  </si>
  <si>
    <t>A 12,5 X L 14 X P 0,5</t>
  </si>
  <si>
    <t>FC6</t>
  </si>
  <si>
    <t>FRE-NRM</t>
  </si>
  <si>
    <t>KM-AD</t>
  </si>
  <si>
    <t>FRE-EXP</t>
  </si>
  <si>
    <t>Microfilme</t>
  </si>
  <si>
    <t>Microficha</t>
  </si>
  <si>
    <t>N/A</t>
  </si>
  <si>
    <t>Documento - Formato A4</t>
  </si>
  <si>
    <t>Documento - Formato A3</t>
  </si>
  <si>
    <t>Documento - Formato A2</t>
  </si>
  <si>
    <t>Documento - Formato A1</t>
  </si>
  <si>
    <t>Documento - Formato A0</t>
  </si>
  <si>
    <t>Documento - Superior ao Formato A0</t>
  </si>
  <si>
    <t>A 29 X L 41 X P 37</t>
  </si>
  <si>
    <t>Caixa 20 kg - Tipo 1</t>
  </si>
  <si>
    <t>Caixa para mídias - Tipo 1</t>
  </si>
  <si>
    <t>Tubo de engenharia</t>
  </si>
  <si>
    <t>A 100,0 X L 140,0 X P 51,0</t>
  </si>
  <si>
    <t>Arquivo de aço 1</t>
  </si>
  <si>
    <t>A 130,0 X L 060,0 X P 72,0</t>
  </si>
  <si>
    <t>Arquivo de aço 2</t>
  </si>
  <si>
    <t>A 130,0 X L 060,0 X P 73,0</t>
  </si>
  <si>
    <t>A 140,0 X L 067,0 X P 72,0</t>
  </si>
  <si>
    <t>Arquivo de aço 3</t>
  </si>
  <si>
    <t>A 150,0 X L 090,0 X P 76,0</t>
  </si>
  <si>
    <t>Arquivo de aço 4</t>
  </si>
  <si>
    <t>A 170,0 X L 061,0 X P 72,0</t>
  </si>
  <si>
    <t>A 180,0 X L 068,0 X P 72,0</t>
  </si>
  <si>
    <t>Arquivo de aço 5</t>
  </si>
  <si>
    <t>A 29,0 X L 37,0 X P 42,5</t>
  </si>
  <si>
    <t>A 26,5 X L 38,5 X P 46,5</t>
  </si>
  <si>
    <t>A 28,5 X L 37,0 X P 43,0</t>
  </si>
  <si>
    <t>A 29,0 X L 41,0 X P 37,0</t>
  </si>
  <si>
    <t>A 29,5 X L 39,0 X P 46,0</t>
  </si>
  <si>
    <t>A 21,0 X L 31,0 X P 46,0</t>
  </si>
  <si>
    <t>A 21,0 X L 41,0 X P 55,0</t>
  </si>
  <si>
    <t>A 23,0 X L 36,5 X P 48,0</t>
  </si>
  <si>
    <t>A 25,0 X L 23,5 X P 46,0</t>
  </si>
  <si>
    <t>A 26,0 X L 39,0 X P 46,5</t>
  </si>
  <si>
    <t>A 26,0 X L 39,0 X P 47,0</t>
  </si>
  <si>
    <t>A 26,0 X L 39,5 X P 48,5</t>
  </si>
  <si>
    <t>A 26,5 X L 37,0 X P 37,0</t>
  </si>
  <si>
    <t>A 26,5 X L 38,0 X P 43,0</t>
  </si>
  <si>
    <t>A 26,5 X L 38,0 X P 45,5</t>
  </si>
  <si>
    <t>A 26,5 X L 40,0 X P 49,0</t>
  </si>
  <si>
    <t>A 27,0 X L 36,0 X P 47,0</t>
  </si>
  <si>
    <t>A 27,0 X L 36,0 X P 49,0</t>
  </si>
  <si>
    <t>A 27,5 X L 36,0 X P 49,0</t>
  </si>
  <si>
    <t>A 28,0 X L 37,5 X P 46,0</t>
  </si>
  <si>
    <t>A 28,0 X L 37,5 X P 47,5</t>
  </si>
  <si>
    <t>A 28,0 X L 37,5 X P 48,0</t>
  </si>
  <si>
    <t>A 28,0 X L 38,0 X P 46,5</t>
  </si>
  <si>
    <t>A 28,0 X L 38,5 X P 48,0</t>
  </si>
  <si>
    <t>A 29,0 X L 37,0 X P 43,0</t>
  </si>
  <si>
    <t>A 29,0 X L 37,5 X P 41,5</t>
  </si>
  <si>
    <t>A 29,0 X L 37,5 X P 46,0</t>
  </si>
  <si>
    <t>A 29,0 X L 38,0 X P 42,0</t>
  </si>
  <si>
    <t>A 30,0 X L 38,5 X P 42,0</t>
  </si>
  <si>
    <t>A 31,0 X L 31,0 X P 47,5</t>
  </si>
  <si>
    <t>A 21,5 X L 41,0 X P 51,0</t>
  </si>
  <si>
    <t>A 27,0 X L 38,0 X P 49,0</t>
  </si>
  <si>
    <t>A 29,0 X L 37,0 X P 41,5</t>
  </si>
  <si>
    <t>A 29,0 X L 41,5 X P 47,5</t>
  </si>
  <si>
    <t>A 28,0 X L 39,0 X P 46,0</t>
  </si>
  <si>
    <t>A 40,5 X L41,5 X P 10,0</t>
  </si>
  <si>
    <t>Caixa 20 kg - Tipo 2</t>
  </si>
  <si>
    <t>Caixa 20 kg (contendo Mídias e Microfilmes)</t>
  </si>
  <si>
    <t>A 24,5 X L 14,0 X P 27,0</t>
  </si>
  <si>
    <t>Caixa 5 kg</t>
  </si>
  <si>
    <t>A 25,0 X L 13,5 X P 37,0</t>
  </si>
  <si>
    <t>A 25,0 X L 14,0 X P 36,5</t>
  </si>
  <si>
    <t>A 26,0 X L 15,0 X P 37,0</t>
  </si>
  <si>
    <t>A 30,0 X L 09,0 X P 39,5</t>
  </si>
  <si>
    <t>Caixa 7 kg</t>
  </si>
  <si>
    <t>A 30,0 X L 09,0 X P 40,5</t>
  </si>
  <si>
    <t>A 29,0 X L 18,0 X P 41,0</t>
  </si>
  <si>
    <t>A 30,0 X L 20,0 X P 42,0</t>
  </si>
  <si>
    <t>A 08,0 X L 41,0 X P 41,0</t>
  </si>
  <si>
    <t>A 10,0 X L 19,0 X P 26,5</t>
  </si>
  <si>
    <t>A 10,5 X L 41,0 X P 41,0</t>
  </si>
  <si>
    <t>A 11,0 X L 33,0 X P 41,0</t>
  </si>
  <si>
    <t>A 11,5 X L 37,0 X P 33,0</t>
  </si>
  <si>
    <t xml:space="preserve">A 12,0 X L 34,0 X P 37,0  </t>
  </si>
  <si>
    <t>A 15,0 X L 40,0 X P 35,0</t>
  </si>
  <si>
    <t>A 11,0 X L 33,0 X P 37,0</t>
  </si>
  <si>
    <t xml:space="preserve">A 12,0 X L 34,0 X P 37,0 </t>
  </si>
  <si>
    <t>A 17,0 X L 20,5 X P 111,5</t>
  </si>
  <si>
    <t>A 10,5 X L 19,0 X P2,5</t>
  </si>
  <si>
    <t>Fita VHS</t>
  </si>
  <si>
    <t>A 16,5 X L 11,5 X P 0,3</t>
  </si>
  <si>
    <t>A 10,0 X L 15,5 X P 0,3</t>
  </si>
  <si>
    <t>A 10,5 X L 15,0 X P 0,3</t>
  </si>
  <si>
    <t>A 11,0 X L 15,5 X P 0,3</t>
  </si>
  <si>
    <t>A 10,0 X L 3,0 X P 10,0</t>
  </si>
  <si>
    <t>Microfilme 16 mm</t>
  </si>
  <si>
    <t>A 10,0 X L 4,5 X P 10,0</t>
  </si>
  <si>
    <t xml:space="preserve">A 4,5 X L 10 </t>
  </si>
  <si>
    <t>Mídia óptica (Caixa acrílica)</t>
  </si>
  <si>
    <t>A 0,5 X L 13,0 X P13,0</t>
  </si>
  <si>
    <t>A 12,5 X L 14,5 X P0,5</t>
  </si>
  <si>
    <t>A 0,5 X L 14,0 X P 12,5</t>
  </si>
  <si>
    <t>Mídia óptica (DVD Filme)</t>
  </si>
  <si>
    <t>A 0,5 X L 14,0 X P 13,0</t>
  </si>
  <si>
    <t>A 0,5 X L 14,0 X P 14,0</t>
  </si>
  <si>
    <t>A 1,0 X L 14,0 X P 13,0</t>
  </si>
  <si>
    <t>A 1,0 X L 14,0 X P 19,0</t>
  </si>
  <si>
    <t>L 10,0 X A 120,0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</si>
  <si>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</si>
  <si>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</si>
  <si>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</si>
  <si>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</si>
  <si>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</si>
  <si>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</si>
  <si>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</si>
  <si>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6,0 X P 152,0</t>
  </si>
  <si>
    <t>L 6,0 X P 71,0</t>
  </si>
  <si>
    <t>L 6,0 X P 81,0</t>
  </si>
  <si>
    <t>L 7,0 X P 100,0</t>
  </si>
  <si>
    <t>L 7,0 X P 120,0</t>
  </si>
  <si>
    <t>L 9,0 X P 93,0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</si>
  <si>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</si>
  <si>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</si>
  <si>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</si>
  <si>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</si>
  <si>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</si>
  <si>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</si>
  <si>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</si>
  <si>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</si>
  <si>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</si>
  <si>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</si>
  <si>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</si>
  <si>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10,0 X A 104,0</t>
  </si>
  <si>
    <t>L 10,0 X A 76,0</t>
  </si>
  <si>
    <t>L 10,0 X A 92,0</t>
  </si>
  <si>
    <t>L 16,0 X A 96,0</t>
  </si>
  <si>
    <t>L 0,11 X C 1,20</t>
  </si>
  <si>
    <t>L 0,11 X C 1,23</t>
  </si>
  <si>
    <t>L 0,11 X C 1,30</t>
  </si>
  <si>
    <t>A 25,0 X L 14,0 X P 37,0</t>
  </si>
  <si>
    <t>A 29 X L 40 X P 50</t>
  </si>
  <si>
    <t>Linha de serviço PPU</t>
  </si>
  <si>
    <t>INS-ITEM</t>
  </si>
  <si>
    <t>PES-ITEM</t>
  </si>
  <si>
    <t>Embalagem</t>
  </si>
  <si>
    <t>DES-EMB</t>
  </si>
  <si>
    <t>TRANSF</t>
  </si>
  <si>
    <t>MIGR-UA</t>
  </si>
  <si>
    <t>CAT-EMB</t>
  </si>
  <si>
    <t>CAT-ITEM</t>
  </si>
  <si>
    <t>ORG-DOC</t>
  </si>
  <si>
    <t>HIG-MI</t>
  </si>
  <si>
    <t>HIG-MF</t>
  </si>
  <si>
    <t>HIG-PER</t>
  </si>
  <si>
    <t>DIG-MI</t>
  </si>
  <si>
    <t>DIG-MF</t>
  </si>
  <si>
    <t>DIG-DOC</t>
  </si>
  <si>
    <t>IND-DOC</t>
  </si>
  <si>
    <t>CONV-MID</t>
  </si>
  <si>
    <t>GRV-MID</t>
  </si>
  <si>
    <t>COP-MID</t>
  </si>
  <si>
    <t>COP-VID</t>
  </si>
  <si>
    <t>ITEM</t>
  </si>
  <si>
    <t>DESCRIÇÃO</t>
  </si>
  <si>
    <t>UNID.</t>
  </si>
  <si>
    <t xml:space="preserve">PREÇO UNITÁRIO </t>
  </si>
  <si>
    <t>Linha de Serviço PPU</t>
  </si>
  <si>
    <t>Descrição da Linha de Serviço</t>
  </si>
  <si>
    <t>ARM-CX-DOC: Armazenamento de caixas para documentos</t>
  </si>
  <si>
    <t xml:space="preserve"> Armazenamento de caixas para documentos</t>
  </si>
  <si>
    <t>ARM-CX-MID: Armazenamento de caixas para mídias</t>
  </si>
  <si>
    <t xml:space="preserve"> Armazenamento de caixas para mídias</t>
  </si>
  <si>
    <t>ARM-TB: Armazenamento de tubos</t>
  </si>
  <si>
    <t xml:space="preserve"> Armazenamento de tubos</t>
  </si>
  <si>
    <t>ARM-MA: Armazenamento de mapotecas e arquivos de aço</t>
  </si>
  <si>
    <t xml:space="preserve"> Armazenamento de mapotecas e arquivos de aço</t>
  </si>
  <si>
    <t>ARM-MIC: Armazenamento de microformas</t>
  </si>
  <si>
    <t xml:space="preserve"> Armazenamento de microformas</t>
  </si>
  <si>
    <t>ARM-MID: Armazenamento de midias</t>
  </si>
  <si>
    <t xml:space="preserve"> Armazenamento de midias</t>
  </si>
  <si>
    <t>FRE-NRM: Frete normal</t>
  </si>
  <si>
    <t xml:space="preserve"> Frete normal</t>
  </si>
  <si>
    <t xml:space="preserve"> Frete expresso</t>
  </si>
  <si>
    <t xml:space="preserve"> Quilometragem adicional</t>
  </si>
  <si>
    <t xml:space="preserve"> Pesquisa de itens avulsos</t>
  </si>
  <si>
    <t xml:space="preserve"> Destruição segura de documentos</t>
  </si>
  <si>
    <t xml:space="preserve"> Transferência inicial de acervo documental</t>
  </si>
  <si>
    <t xml:space="preserve"> Migração de acervo documental para digitalização </t>
  </si>
  <si>
    <t xml:space="preserve"> Catalogação de documentos digitalizados</t>
  </si>
  <si>
    <t xml:space="preserve"> Organização de documentos para digitalização</t>
  </si>
  <si>
    <t>DIG-MI: Digitalização de microfilmes</t>
  </si>
  <si>
    <t xml:space="preserve"> Digitalização de microfilmes</t>
  </si>
  <si>
    <t xml:space="preserve"> Digitalização de microfichas</t>
  </si>
  <si>
    <t xml:space="preserve"> Digitalização de documentos</t>
  </si>
  <si>
    <t>IND-DOC: Indexação de documentos</t>
  </si>
  <si>
    <t xml:space="preserve"> Indexação de documentos</t>
  </si>
  <si>
    <t xml:space="preserve"> Conversão de mídias</t>
  </si>
  <si>
    <t xml:space="preserve"> Gravação de mídias</t>
  </si>
  <si>
    <t xml:space="preserve"> Cópia de mídias</t>
  </si>
  <si>
    <t xml:space="preserve"> Cópia de vídeos</t>
  </si>
  <si>
    <t>FC7</t>
  </si>
  <si>
    <t>FC8</t>
  </si>
  <si>
    <t>FC9</t>
  </si>
  <si>
    <t>Formula</t>
  </si>
  <si>
    <t>A 1,0 X L 12,5 X P14,0</t>
  </si>
  <si>
    <t>L 10 X P 30</t>
  </si>
  <si>
    <t>A 0,5 X L 12,5 X P14,0</t>
  </si>
  <si>
    <t>A 10,0 X L 10,5 X P 4,0</t>
  </si>
  <si>
    <t>L 0,11 X C 1,26</t>
  </si>
  <si>
    <t xml:space="preserve">Frete normal </t>
  </si>
  <si>
    <t>Frete expresso</t>
  </si>
  <si>
    <t>Quilometragem adicional</t>
  </si>
  <si>
    <t>Pesquisa de itens avulsos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</si>
  <si>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</si>
  <si>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</si>
  <si>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</si>
  <si>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</si>
  <si>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</si>
  <si>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</si>
  <si>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</si>
  <si>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>Digitalização de documentos</t>
  </si>
  <si>
    <t xml:space="preserve">Indexação de documentos </t>
  </si>
  <si>
    <t>Conversão de mídias</t>
  </si>
  <si>
    <t>Gravação de mídias</t>
  </si>
  <si>
    <t>Cópia de mídias</t>
  </si>
  <si>
    <t>Cópia de vídeos</t>
  </si>
  <si>
    <t>Caixa 10 kg (Jumbo)</t>
  </si>
  <si>
    <t>Caixa 20 Kg</t>
  </si>
  <si>
    <t>Caixa 5kg</t>
  </si>
  <si>
    <t>Documentação administrativa</t>
  </si>
  <si>
    <t>Documentação bibliográfica</t>
  </si>
  <si>
    <t>Documentação contábil e financeira</t>
  </si>
  <si>
    <t>Documentação contratual</t>
  </si>
  <si>
    <t>Documentação técnica</t>
  </si>
  <si>
    <t>Item avulso</t>
  </si>
  <si>
    <t>Item documental</t>
  </si>
  <si>
    <t>Item documental em caixa</t>
  </si>
  <si>
    <t>Item documental em mapoteca</t>
  </si>
  <si>
    <t>Item documental em Tubo</t>
  </si>
  <si>
    <t>Kit de material</t>
  </si>
  <si>
    <t>Microfilme 35 mm</t>
  </si>
  <si>
    <t>Microforma em arquivo de aço</t>
  </si>
  <si>
    <t>Microforma em caixa de mídia</t>
  </si>
  <si>
    <t>Mídia em arquivo de aço</t>
  </si>
  <si>
    <t>Mídia em caixa de mídia</t>
  </si>
  <si>
    <t>Mídia óptica</t>
  </si>
  <si>
    <t>Pasta de dossiê</t>
  </si>
  <si>
    <t>Pasta fichário A/Z</t>
  </si>
  <si>
    <t>Perfil</t>
  </si>
  <si>
    <t>Transferência inicial</t>
  </si>
  <si>
    <t>Tubo para perfil de poço</t>
  </si>
  <si>
    <t>26/07/2026  à  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</si>
</sst>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  <numFmt numFmtId="168" formatCode="#,##0.00;[Red]#,##0.00"/>
    <numFmt numFmtId="169" formatCode="#,##0.0000;[Red]#,##0.0000"/>
    <numFmt numFmtId="170" formatCode="0.0"/>
    <numFmt numFmtId="171" formatCode="#,##0.000;[Red]#,##0.000"/>
    <numFmt numFmtId="172" formatCode="_-* #,##0.00_-;\-* #,##0.00_-;_-* &quot;-&quot;??_-;_-@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1"/>
      <color rgb="FF1E4E7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rgb="FFFFF2CC"/>
      </patternFill>
    </fill>
  </fills>
  <borders count="41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9" fontId="10" fillId="0" borderId="5" xfId="0" applyNumberFormat="1" applyFont="1" applyBorder="1" applyAlignment="1">
      <alignment horizontal="left" vertical="center"/>
    </xf>
    <xf numFmtId="9" fontId="10" fillId="0" borderId="6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8" xfId="0" applyFont="1" applyBorder="1" applyAlignment="1">
      <alignment vertical="center"/>
    </xf>
    <xf numFmtId="9" fontId="10" fillId="0" borderId="0" xfId="0" applyNumberFormat="1" applyFont="1" applyAlignment="1">
      <alignment horizontal="left" vertical="center"/>
    </xf>
    <xf numFmtId="9" fontId="10" fillId="0" borderId="8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8" fillId="0" borderId="10" xfId="0" applyFont="1" applyBorder="1" applyAlignment="1">
      <alignment horizontal="right" vertical="center"/>
    </xf>
    <xf numFmtId="0" fontId="9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" fontId="14" fillId="0" borderId="16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center" vertical="center"/>
    </xf>
    <xf numFmtId="164" fontId="14" fillId="0" borderId="16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right" vertical="center"/>
    </xf>
    <xf numFmtId="164" fontId="14" fillId="0" borderId="22" xfId="0" applyNumberFormat="1" applyFont="1" applyBorder="1" applyAlignment="1">
      <alignment horizontal="right" vertical="center"/>
    </xf>
    <xf numFmtId="0" fontId="12" fillId="0" borderId="0" xfId="0" applyFont="1"/>
    <xf numFmtId="0" fontId="5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66" fontId="14" fillId="0" borderId="25" xfId="0" applyNumberFormat="1" applyFont="1" applyBorder="1" applyAlignment="1">
      <alignment horizontal="center" vertical="center"/>
    </xf>
    <xf numFmtId="1" fontId="14" fillId="0" borderId="24" xfId="0" applyNumberFormat="1" applyFont="1" applyBorder="1" applyAlignment="1">
      <alignment horizontal="center" vertical="center"/>
    </xf>
    <xf numFmtId="164" fontId="14" fillId="0" borderId="25" xfId="0" applyNumberFormat="1" applyFont="1" applyBorder="1" applyAlignment="1">
      <alignment horizontal="right" vertical="center"/>
    </xf>
    <xf numFmtId="164" fontId="14" fillId="0" borderId="24" xfId="0" applyNumberFormat="1" applyFont="1" applyBorder="1" applyAlignment="1">
      <alignment horizontal="right" vertical="center"/>
    </xf>
    <xf numFmtId="166" fontId="14" fillId="0" borderId="20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right" vertical="center"/>
    </xf>
    <xf numFmtId="164" fontId="14" fillId="0" borderId="16" xfId="0" applyNumberFormat="1" applyFont="1" applyBorder="1" applyAlignment="1">
      <alignment horizontal="right" vertical="center"/>
    </xf>
    <xf numFmtId="166" fontId="14" fillId="0" borderId="0" xfId="0" applyNumberFormat="1" applyFont="1" applyAlignment="1">
      <alignment horizontal="center" vertical="center"/>
    </xf>
    <xf numFmtId="164" fontId="14" fillId="0" borderId="2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64" fontId="14" fillId="0" borderId="12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5" fillId="2" borderId="18" xfId="0" applyFont="1" applyFill="1" applyBorder="1" applyAlignment="1">
      <alignment horizontal="center" vertical="center"/>
    </xf>
    <xf numFmtId="166" fontId="15" fillId="2" borderId="18" xfId="0" applyNumberFormat="1" applyFont="1" applyFill="1" applyBorder="1" applyAlignment="1">
      <alignment horizontal="center" vertical="center"/>
    </xf>
    <xf numFmtId="164" fontId="15" fillId="2" borderId="18" xfId="0" applyNumberFormat="1" applyFont="1" applyFill="1" applyBorder="1" applyAlignment="1">
      <alignment horizontal="right" vertical="center"/>
    </xf>
    <xf numFmtId="1" fontId="14" fillId="0" borderId="12" xfId="0" applyNumberFormat="1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164" fontId="17" fillId="0" borderId="25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67" fontId="5" fillId="0" borderId="0" xfId="0" applyNumberFormat="1" applyFont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18" fillId="0" borderId="0" xfId="0" applyFont="1"/>
    <xf numFmtId="0" fontId="8" fillId="0" borderId="0" xfId="0" applyFont="1"/>
    <xf numFmtId="168" fontId="18" fillId="0" borderId="0" xfId="0" applyNumberFormat="1" applyFont="1" applyAlignment="1">
      <alignment horizontal="center"/>
    </xf>
    <xf numFmtId="0" fontId="19" fillId="4" borderId="0" xfId="0" applyFont="1" applyFill="1" applyAlignment="1">
      <alignment horizontal="center"/>
    </xf>
    <xf numFmtId="4" fontId="18" fillId="3" borderId="0" xfId="0" applyNumberFormat="1" applyFont="1" applyFill="1" applyAlignment="1">
      <alignment horizontal="center"/>
    </xf>
    <xf numFmtId="0" fontId="3" fillId="0" borderId="0" xfId="0" applyFont="1"/>
    <xf numFmtId="0" fontId="22" fillId="8" borderId="28" xfId="0" applyFont="1" applyFill="1" applyBorder="1"/>
    <xf numFmtId="0" fontId="23" fillId="0" borderId="0" xfId="0" applyFont="1"/>
    <xf numFmtId="167" fontId="0" fillId="0" borderId="0" xfId="0" applyNumberFormat="1"/>
    <xf numFmtId="0" fontId="2" fillId="0" borderId="0" xfId="0" applyFont="1"/>
    <xf numFmtId="0" fontId="19" fillId="10" borderId="0" xfId="0" applyFont="1" applyFill="1" applyAlignment="1">
      <alignment horizontal="center"/>
    </xf>
    <xf numFmtId="0" fontId="22" fillId="0" borderId="30" xfId="0" applyFont="1" applyBorder="1"/>
    <xf numFmtId="0" fontId="0" fillId="0" borderId="0" xfId="0" applyAlignment="1">
      <alignment horizontal="center"/>
    </xf>
    <xf numFmtId="0" fontId="1" fillId="0" borderId="30" xfId="0" applyFont="1" applyBorder="1"/>
    <xf numFmtId="2" fontId="1" fillId="0" borderId="0" xfId="0" applyNumberFormat="1" applyFont="1"/>
    <xf numFmtId="2" fontId="0" fillId="0" borderId="0" xfId="0" applyNumberFormat="1"/>
    <xf numFmtId="0" fontId="1" fillId="0" borderId="0" xfId="0" applyFont="1"/>
    <xf numFmtId="0" fontId="1" fillId="0" borderId="29" xfId="0" applyFont="1" applyBorder="1"/>
    <xf numFmtId="0" fontId="5" fillId="0" borderId="3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8" fillId="2" borderId="32" xfId="0" applyFont="1" applyFill="1" applyBorder="1" applyAlignment="1">
      <alignment vertical="center"/>
    </xf>
    <xf numFmtId="0" fontId="8" fillId="2" borderId="20" xfId="0" applyFont="1" applyFill="1" applyBorder="1" applyAlignment="1">
      <alignment vertical="center"/>
    </xf>
    <xf numFmtId="0" fontId="8" fillId="2" borderId="21" xfId="0" applyFont="1" applyFill="1" applyBorder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14" fillId="0" borderId="21" xfId="0" applyFont="1" applyBorder="1" applyAlignment="1">
      <alignment vertical="center"/>
    </xf>
    <xf numFmtId="165" fontId="9" fillId="0" borderId="16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0" fillId="5" borderId="37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165" fontId="21" fillId="6" borderId="38" xfId="0" applyNumberFormat="1" applyFont="1" applyFill="1" applyBorder="1" applyAlignment="1">
      <alignment horizontal="center" vertical="center"/>
    </xf>
    <xf numFmtId="165" fontId="20" fillId="6" borderId="38" xfId="0" applyNumberFormat="1" applyFont="1" applyFill="1" applyBorder="1" applyAlignment="1">
      <alignment horizontal="center" vertical="center"/>
    </xf>
    <xf numFmtId="169" fontId="20" fillId="6" borderId="38" xfId="0" applyNumberFormat="1" applyFont="1" applyFill="1" applyBorder="1" applyAlignment="1">
      <alignment horizontal="center" vertical="center"/>
    </xf>
    <xf numFmtId="165" fontId="21" fillId="7" borderId="38" xfId="0" applyNumberFormat="1" applyFont="1" applyFill="1" applyBorder="1" applyAlignment="1">
      <alignment horizontal="center" vertical="center"/>
    </xf>
    <xf numFmtId="165" fontId="20" fillId="7" borderId="38" xfId="0" applyNumberFormat="1" applyFont="1" applyFill="1" applyBorder="1" applyAlignment="1">
      <alignment horizontal="center" vertical="center"/>
    </xf>
    <xf numFmtId="168" fontId="20" fillId="6" borderId="38" xfId="0" applyNumberFormat="1" applyFont="1" applyFill="1" applyBorder="1" applyAlignment="1">
      <alignment horizontal="center" vertical="center"/>
    </xf>
    <xf numFmtId="165" fontId="20" fillId="5" borderId="38" xfId="0" applyNumberFormat="1" applyFont="1" applyFill="1" applyBorder="1" applyAlignment="1">
      <alignment horizontal="center" vertical="center"/>
    </xf>
    <xf numFmtId="165" fontId="20" fillId="5" borderId="3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0" fontId="18" fillId="9" borderId="31" xfId="0" applyFont="1" applyFill="1" applyBorder="1" applyAlignment="1">
      <alignment horizontal="center"/>
    </xf>
    <xf numFmtId="170" fontId="18" fillId="9" borderId="31" xfId="0" applyNumberFormat="1" applyFont="1" applyFill="1" applyBorder="1" applyAlignment="1">
      <alignment horizontal="center"/>
    </xf>
    <xf numFmtId="165" fontId="18" fillId="9" borderId="31" xfId="0" applyNumberFormat="1" applyFont="1" applyFill="1" applyBorder="1" applyAlignment="1">
      <alignment horizontal="center"/>
    </xf>
    <xf numFmtId="171" fontId="18" fillId="0" borderId="31" xfId="0" applyNumberFormat="1" applyFont="1" applyBorder="1" applyAlignment="1">
      <alignment horizontal="center"/>
    </xf>
    <xf numFmtId="167" fontId="18" fillId="9" borderId="31" xfId="0" applyNumberFormat="1" applyFont="1" applyFill="1" applyBorder="1" applyAlignment="1">
      <alignment horizontal="center"/>
    </xf>
    <xf numFmtId="172" fontId="18" fillId="0" borderId="31" xfId="0" applyNumberFormat="1" applyFont="1" applyBorder="1" applyAlignment="1">
      <alignment horizontal="center"/>
    </xf>
    <xf numFmtId="172" fontId="18" fillId="0" borderId="34" xfId="0" applyNumberFormat="1" applyFont="1" applyBorder="1" applyAlignment="1">
      <alignment horizontal="left"/>
    </xf>
    <xf numFmtId="0" fontId="18" fillId="0" borderId="34" xfId="0" applyFont="1" applyBorder="1" applyAlignment="1">
      <alignment horizontal="left"/>
    </xf>
    <xf numFmtId="0" fontId="18" fillId="0" borderId="31" xfId="0" applyFont="1" applyBorder="1" applyAlignment="1">
      <alignment horizontal="left"/>
    </xf>
    <xf numFmtId="0" fontId="18" fillId="0" borderId="28" xfId="0" applyFont="1" applyBorder="1" applyAlignment="1">
      <alignment horizontal="left" vertical="center"/>
    </xf>
    <xf numFmtId="0" fontId="0" fillId="0" borderId="40" xfId="0" applyBorder="1"/>
    <xf numFmtId="165" fontId="18" fillId="3" borderId="0" xfId="0" applyNumberFormat="1" applyFont="1" applyFill="1" applyAlignment="1">
      <alignment horizontal="left"/>
    </xf>
    <xf numFmtId="0" fontId="5" fillId="0" borderId="31" xfId="0" applyFont="1" applyBorder="1" applyAlignment="1">
      <alignment vertical="center" wrapText="1"/>
    </xf>
    <xf numFmtId="0" fontId="5" fillId="0" borderId="31" xfId="0" applyFont="1" applyBorder="1"/>
    <xf numFmtId="165" fontId="24" fillId="0" borderId="27" xfId="0" applyNumberFormat="1" applyFont="1" applyBorder="1" applyAlignment="1">
      <alignment horizontal="center"/>
    </xf>
    <xf numFmtId="0" fontId="25" fillId="0" borderId="10" xfId="0" applyFont="1" applyBorder="1" applyAlignment="1">
      <alignment vertical="center"/>
    </xf>
    <xf numFmtId="0" fontId="14" fillId="0" borderId="26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7" fillId="0" borderId="14" xfId="0" applyFont="1" applyBorder="1"/>
    <xf numFmtId="0" fontId="7" fillId="0" borderId="15" xfId="0" applyFont="1" applyBorder="1"/>
    <xf numFmtId="0" fontId="8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7" fillId="0" borderId="25" xfId="0" applyFont="1" applyBorder="1"/>
    <xf numFmtId="0" fontId="7" fillId="0" borderId="31" xfId="0" applyFont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left" vertical="center"/>
    </xf>
    <xf numFmtId="0" fontId="7" fillId="0" borderId="28" xfId="0" applyFont="1" applyBorder="1"/>
    <xf numFmtId="0" fontId="7" fillId="0" borderId="34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5" fillId="0" borderId="31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 wrapText="1"/>
    </xf>
    <xf numFmtId="0" fontId="7" fillId="0" borderId="23" xfId="0" applyFont="1" applyBorder="1"/>
    <xf numFmtId="0" fontId="7" fillId="0" borderId="26" xfId="0" applyFont="1" applyBorder="1"/>
    <xf numFmtId="0" fontId="5" fillId="0" borderId="7" xfId="0" applyFont="1" applyBorder="1" applyAlignment="1">
      <alignment horizontal="left"/>
    </xf>
    <xf numFmtId="0" fontId="0" fillId="0" borderId="0" xfId="0"/>
    <xf numFmtId="0" fontId="5" fillId="0" borderId="9" xfId="0" applyFont="1" applyBorder="1" applyAlignment="1">
      <alignment horizontal="left"/>
    </xf>
    <xf numFmtId="0" fontId="7" fillId="0" borderId="10" xfId="0" applyFont="1" applyBorder="1"/>
    <xf numFmtId="0" fontId="5" fillId="0" borderId="3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7" fillId="0" borderId="5" xfId="0" applyFont="1" applyBorder="1"/>
    <xf numFmtId="0" fontId="8" fillId="0" borderId="5" xfId="0" applyFont="1" applyBorder="1" applyAlignment="1">
      <alignment horizontal="right" vertical="center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R$&quot;\ #,##0.0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4">
    <tableStyle name="Consolidado RJ-style" pivot="0" count="3" xr9:uid="{00000000-0011-0000-FFFF-FFFF00000000}">
      <tableStyleElement type="headerRow" dxfId="49"/>
      <tableStyleElement type="firstRowStripe" dxfId="48"/>
      <tableStyleElement type="secondRowStripe" dxfId="47"/>
    </tableStyle>
    <tableStyle name="Atendimento RJ-style" pivot="0" count="3" xr9:uid="{00000000-0011-0000-FFFF-FFFF01000000}">
      <tableStyleElement type="headerRow" dxfId="46"/>
      <tableStyleElement type="firstRowStripe" dxfId="45"/>
      <tableStyleElement type="secondRowStripe" dxfId="44"/>
    </tableStyle>
    <tableStyle name="Fretes cálculo RJ-style" pivot="0" count="3" xr9:uid="{00000000-0011-0000-FFFF-FFFF02000000}">
      <tableStyleElement type="headerRow" dxfId="43"/>
      <tableStyleElement type="firstRowStripe" dxfId="42"/>
      <tableStyleElement type="secondRowStripe" dxfId="41"/>
    </tableStyle>
    <tableStyle name="Relação de ordens de serviço-style" pivot="0" count="3" xr9:uid="{00000000-0011-0000-FFFF-FFFF03000000}"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theme" Target="theme/theme1.xml"/><Relationship Id="rId23" Type="http://customschemas.google.com/relationships/workbookmetadata" Target="metadata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RJ" displayName="ConsolidadoRJ" ref="A3:S12" headerRowDxfId="37" dataDxfId="35" totalsRowDxfId="33" headerRowBorderDxfId="36" tableBorderDxfId="34">
  <autoFilter ref="A3:S12" xr:uid="{00000000-000C-0000-FFFF-FFFF00000000}"/>
  <tableColumns count="19">
    <tableColumn id="1" xr3:uid="{00000000-0010-0000-0000-000001000000}" name="MEDIDAS CONTRATO" dataDxfId="32"/>
    <tableColumn id="2" xr3:uid="{00000000-0010-0000-0000-000002000000}" name="Padrão" dataDxfId="31"/>
    <tableColumn id="3" xr3:uid="{00000000-0010-0000-0000-000003000000}" name="Ø" dataDxfId="30">
      <calculatedColumnFormula>IF( ConsolidadoRJ[[#This Row],[MEDIDAS CONTRATO]] = "", "", IFERROR( VLOOKUP(ConsolidadoRJ[[#This Row],[MEDIDAS CONTRATO]],MedidasContrato[[MEDIDAS CONTRATO]:[Ø]],2,0),"N/A"))</calculatedColumnFormula>
    </tableColumn>
    <tableColumn id="4" xr3:uid="{00000000-0010-0000-0000-000004000000}" name="A" dataDxfId="29">
      <calculatedColumnFormula>IF( ConsolidadoRJ[[#This Row],[MEDIDAS CONTRATO]] = "", "", IFERROR( VLOOKUP(ConsolidadoRJ[[#This Row],[MEDIDAS CONTRATO]],MedidasContrato[],3,0),"N/A"))</calculatedColumnFormula>
    </tableColumn>
    <tableColumn id="5" xr3:uid="{00000000-0010-0000-0000-000005000000}" name="L" dataDxfId="28">
      <calculatedColumnFormula>IF( ConsolidadoRJ[[#This Row],[MEDIDAS CONTRATO]] = "", "", IFERROR( VLOOKUP(ConsolidadoRJ[[#This Row],[MEDIDAS CONTRATO]],MedidasContrato[],4,0),"N/A"))</calculatedColumnFormula>
    </tableColumn>
    <tableColumn id="6" xr3:uid="{00000000-0010-0000-0000-000006000000}" name="P" dataDxfId="27">
      <calculatedColumnFormula>IF( ConsolidadoRJ[[#This Row],[MEDIDAS CONTRATO]] = "", "", IFERROR( VLOOKUP(ConsolidadoRJ[[#This Row],[MEDIDAS CONTRATO]],MedidasContrato[],5,0),"N/A"))</calculatedColumnFormula>
    </tableColumn>
    <tableColumn id="7" xr3:uid="{00000000-0010-0000-0000-000007000000}" name="cm³ = V1" dataDxfId="26">
      <calculatedColumnFormula>IFERROR( Consolidado!$D4*Consolidado!$E4*Consolidado!$F4, "")</calculatedColumnFormula>
    </tableColumn>
    <tableColumn id="8" xr3:uid="{00000000-0010-0000-0000-000008000000}" name="cm³ = V2" dataDxfId="25">
      <calculatedColumnFormula>IFERROR( IF(ConsolidadoRJ[[#This Row],[cm³ = V1]]="","",ConsolidadoRJ[[#This Row],[cm³ = V1]]/ConsolidadoRJ[[#This Row],[FC = V1/V2]]), "")</calculatedColumnFormula>
    </tableColumn>
    <tableColumn id="9" xr3:uid="{00000000-0010-0000-0000-000009000000}" name="FC = V1/V2" dataDxfId="24"/>
    <tableColumn id="10" xr3:uid="{00000000-0010-0000-0000-00000A000000}" name="QUAm-1" dataDxfId="23"/>
    <tableColumn id="11" xr3:uid="{00000000-0010-0000-0000-00000B000000}" name="QBm" dataDxfId="22"/>
    <tableColumn id="12" xr3:uid="{00000000-0010-0000-0000-00000C000000}" name="QDm" dataDxfId="21"/>
    <tableColumn id="13" xr3:uid="{00000000-0010-0000-0000-00000D000000}" name="QNm" dataDxfId="20"/>
    <tableColumn id="14" xr3:uid="{00000000-0010-0000-0000-00000E000000}" name="QUAm" dataDxfId="19">
      <calculatedColumnFormula>IF(ConsolidadoRJ[[#This Row],[QUAm-1]]="","",ConsolidadoRJ[[#This Row],[QUAm-1]]+ConsolidadoRJ[[#This Row],[QNm]]-ConsolidadoRJ[[#This Row],[QBm]]-ConsolidadoRJ[[#This Row],[QDm]])</calculatedColumnFormula>
    </tableColumn>
    <tableColumn id="15" xr3:uid="{00000000-0010-0000-0000-00000F000000}" name="UA" dataDxfId="18">
      <calculatedColumnFormula>IF(ConsolidadoRJ[[#This Row],[FC = V1/V2]]="","",ConsolidadoRJ[[#This Row],[FC = V1/V2]]*ConsolidadoRJ[[#This Row],[QUAm]])</calculatedColumnFormula>
    </tableColumn>
    <tableColumn id="16" xr3:uid="{00000000-0010-0000-0000-000010000000}" name="$ Unitário" dataDxfId="17">
      <calculatedColumnFormula>IF( ConsolidadoRJ[[#This Row],[Contrato]] = "", "", IFERROR( VLOOKUP(ConsolidadoRJ[[#This Row],[Contrato]],TabelaIRON[[Linha de Serviço PPU]:[PREÇO UNITÁRIO ]],3,0),"Nao Encontrado"))</calculatedColumnFormula>
    </tableColumn>
    <tableColumn id="17" xr3:uid="{00000000-0010-0000-0000-000011000000}" name="$ Total" dataDxfId="16">
      <calculatedColumnFormula>IF(ConsolidadoRJ[[#This Row],[UA]]="","",ConsolidadoRJ[[#This Row],[UA]]*ConsolidadoRJ[[#This Row],[$ Unitário]])</calculatedColumnFormula>
    </tableColumn>
    <tableColumn id="18" xr3:uid="{00000000-0010-0000-0000-000012000000}" name="Tabela" dataDxfId="15"/>
    <tableColumn id="19" xr3:uid="{00000000-0010-0000-0000-000013000000}" name="Contrato" dataDxfId="14"/>
  </tableColumns>
  <tableStyleInfo name="TableStyleMedium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024C41-401F-4C7B-8726-35FF674AF416}" name="Padrão" displayName="Padrão" ref="A1:A54" totalsRowShown="0" headerRowDxfId="13" dataDxfId="12" tableBorderDxfId="11">
  <autoFilter ref="A1:A54" xr:uid="{7D024C41-401F-4C7B-8726-35FF674AF416}"/>
  <tableColumns count="1">
    <tableColumn id="1" xr3:uid="{FC834546-F8C2-43F1-8653-2C9C306C6853}" name="Padrão" dataDxfId="10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F13F38-AE54-4F68-8CD4-DFD283E96379}" name="LinhaPPU" displayName="LinhaPPU" ref="E1:E29" totalsRowShown="0" headerRowDxfId="9">
  <autoFilter ref="E1:E29" xr:uid="{C8F13F38-AE54-4F68-8CD4-DFD283E96379}"/>
  <tableColumns count="1">
    <tableColumn id="1" xr3:uid="{A3A4CE9E-7B99-4F3C-B222-4D496C2EDC0C}" name="Linha de serviço PPU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099F57-1FED-4FED-9072-F3D578C05CCC}" name="TabelaIRON" displayName="TabelaIRON" ref="G1:L24" totalsRowShown="0">
  <autoFilter ref="G1:L24" xr:uid="{95099F57-1FED-4FED-9072-F3D578C05CCC}"/>
  <tableColumns count="6">
    <tableColumn id="1" xr3:uid="{F6770257-EC93-468D-9863-E7FB92450266}" name="ITEM"/>
    <tableColumn id="3" xr3:uid="{F8835F93-6997-4EE6-A8A2-5BBA9F5F9A23}" name="DESCRIÇÃO"/>
    <tableColumn id="2" xr3:uid="{D294162E-0115-4594-923D-631C31B74466}" name="Linha de Serviço PPU"/>
    <tableColumn id="4" xr3:uid="{A9203A65-B976-413C-97EB-229EAEF64D66}" name="UNID."/>
    <tableColumn id="6" xr3:uid="{BBC3EA5F-CFDD-489F-BD88-580B0C945906}" name="PREÇO UNITÁRIO " dataDxfId="8"/>
    <tableColumn id="7" xr3:uid="{8FC6BA38-CE26-4D70-9856-F81EFB0A1FF9}" name="Descrição da Linha de Serviço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A7495E-94F5-4C88-9343-B9BFA742EF1A}" name="Tabela" displayName="Tabela" ref="C1:C10" totalsRowShown="0">
  <autoFilter ref="C1:C10" xr:uid="{18A7495E-94F5-4C88-9343-B9BFA742EF1A}"/>
  <tableColumns count="1">
    <tableColumn id="1" xr3:uid="{5781839F-094D-47C1-83B0-3AF6CA3B332A}" name="Tabela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0CAA71-8558-440D-BD03-9A5B582A67EE}" name="MedidasContrato" displayName="MedidasContrato" ref="N1:R124" totalsRowShown="0" headerRowDxfId="7" dataDxfId="6">
  <autoFilter ref="N1:R124" xr:uid="{450CAA71-8558-440D-BD03-9A5B582A67EE}"/>
  <sortState xmlns:xlrd2="http://schemas.microsoft.com/office/spreadsheetml/2017/richdata2" ref="N2:R124">
    <sortCondition ref="N1:N124"/>
  </sortState>
  <tableColumns count="5">
    <tableColumn id="1" xr3:uid="{848A6E3D-D10C-4C28-A755-1DAD0EF94CF9}" name="MEDIDAS CONTRATO" dataDxfId="5"/>
    <tableColumn id="2" xr3:uid="{287CB8E4-DBEC-4AE7-A40F-F2A76BFF2D87}" name="Ø" dataDxfId="4"/>
    <tableColumn id="3" xr3:uid="{38CAEDAB-4961-4068-8C60-2826957DFF9B}" name="A" dataDxfId="3"/>
    <tableColumn id="4" xr3:uid="{8EAB565D-87A9-4B0E-BCC0-704CC37666E9}" name="L" dataDxfId="2"/>
    <tableColumn id="5" xr3:uid="{33CC69D2-CED7-4EB1-AF77-D6211E14BE46}" name="P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7"/>
  </sheetPr>
  <dimension ref="A1:Z1000"/>
  <sheetViews>
    <sheetView showGridLines="0" topLeftCell="A7" workbookViewId="0">
      <selection activeCell="J13" sqref="J13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160" t="s">
        <v>0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2"/>
      <c r="Q2" s="4"/>
    </row>
    <row r="3" spans="1:26" ht="14.25" customHeight="1" x14ac:dyDescent="0.3">
      <c r="B3" s="163" t="s">
        <v>1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2"/>
      <c r="Q3" s="5"/>
      <c r="R3" s="4"/>
    </row>
    <row r="4" spans="1:26" ht="14.25" customHeight="1" x14ac:dyDescent="0.3">
      <c r="B4" s="164" t="s">
        <v>2</v>
      </c>
      <c r="C4" s="165"/>
      <c r="D4" s="6" t="s">
        <v>3</v>
      </c>
      <c r="E4" s="6"/>
      <c r="F4" s="3"/>
      <c r="G4" s="3"/>
      <c r="H4" s="2"/>
      <c r="I4" s="3" t="s">
        <v>4</v>
      </c>
      <c r="J4" s="7" t="s">
        <v>5</v>
      </c>
      <c r="K4" s="6"/>
      <c r="L4" s="166" t="s">
        <v>6</v>
      </c>
      <c r="M4" s="8" t="s">
        <v>7</v>
      </c>
      <c r="N4" s="9">
        <v>0.93</v>
      </c>
      <c r="O4" s="10"/>
      <c r="Q4" s="5"/>
      <c r="R4" s="4"/>
    </row>
    <row r="5" spans="1:26" ht="14.25" customHeight="1" x14ac:dyDescent="0.3">
      <c r="B5" s="153" t="s">
        <v>8</v>
      </c>
      <c r="C5" s="154"/>
      <c r="D5" s="11">
        <v>4600686987</v>
      </c>
      <c r="E5" s="11"/>
      <c r="F5" s="3"/>
      <c r="G5" s="3"/>
      <c r="H5" s="2"/>
      <c r="I5" s="12" t="s">
        <v>9</v>
      </c>
      <c r="J5" s="11" t="s">
        <v>10</v>
      </c>
      <c r="K5" s="13"/>
      <c r="L5" s="154"/>
      <c r="M5" s="14" t="s">
        <v>11</v>
      </c>
      <c r="N5" s="11">
        <v>0.98</v>
      </c>
      <c r="O5" s="15"/>
      <c r="Q5" s="5"/>
      <c r="R5" s="4"/>
    </row>
    <row r="6" spans="1:26" ht="14.25" customHeight="1" x14ac:dyDescent="0.3">
      <c r="B6" s="153" t="s">
        <v>12</v>
      </c>
      <c r="C6" s="154"/>
      <c r="D6" s="158" t="s">
        <v>13</v>
      </c>
      <c r="E6" s="154"/>
      <c r="F6" s="154"/>
      <c r="G6" s="154"/>
      <c r="H6" s="154"/>
      <c r="I6" s="12" t="s">
        <v>14</v>
      </c>
      <c r="J6" s="11" t="s">
        <v>15</v>
      </c>
      <c r="K6" s="11"/>
      <c r="L6" s="159" t="s">
        <v>16</v>
      </c>
      <c r="M6" s="14" t="s">
        <v>7</v>
      </c>
      <c r="N6" s="16">
        <v>1</v>
      </c>
      <c r="O6" s="17"/>
      <c r="Q6" s="5"/>
      <c r="R6" s="4"/>
    </row>
    <row r="7" spans="1:26" ht="14.25" customHeight="1" x14ac:dyDescent="0.3">
      <c r="B7" s="155"/>
      <c r="C7" s="156"/>
      <c r="D7" s="156"/>
      <c r="E7" s="156"/>
      <c r="F7" s="156"/>
      <c r="G7" s="156"/>
      <c r="H7" s="156"/>
      <c r="I7" s="18" t="s">
        <v>17</v>
      </c>
      <c r="J7" s="132" t="s">
        <v>386</v>
      </c>
      <c r="K7" s="19"/>
      <c r="L7" s="156"/>
      <c r="M7" s="20" t="s">
        <v>11</v>
      </c>
      <c r="N7" s="21">
        <v>1</v>
      </c>
      <c r="O7" s="22"/>
      <c r="Q7" s="4"/>
      <c r="R7" s="4"/>
    </row>
    <row r="8" spans="1:26" ht="14.25" customHeight="1" x14ac:dyDescent="0.3">
      <c r="D8" s="3"/>
      <c r="E8" s="3"/>
      <c r="F8" s="3"/>
      <c r="G8" s="3"/>
      <c r="H8" s="2"/>
      <c r="I8" s="2"/>
      <c r="J8" s="6"/>
      <c r="K8" s="6"/>
      <c r="L8" s="3"/>
      <c r="M8" s="12"/>
      <c r="N8" s="23"/>
      <c r="Q8" s="4"/>
      <c r="R8" s="4"/>
    </row>
    <row r="9" spans="1:26" ht="8.25" customHeight="1" x14ac:dyDescent="0.3">
      <c r="H9" s="24"/>
      <c r="I9" s="4"/>
      <c r="J9" s="6"/>
      <c r="K9" s="6"/>
      <c r="L9" s="6"/>
      <c r="M9" s="6"/>
      <c r="Q9" s="4"/>
      <c r="R9" s="4"/>
    </row>
    <row r="10" spans="1:26" ht="14.25" customHeight="1" x14ac:dyDescent="0.3">
      <c r="A10" s="1"/>
      <c r="B10" s="1"/>
      <c r="C10" s="25" t="s">
        <v>18</v>
      </c>
      <c r="D10" s="137" t="s">
        <v>19</v>
      </c>
      <c r="E10" s="135"/>
      <c r="F10" s="135"/>
      <c r="G10" s="135"/>
      <c r="H10" s="136"/>
      <c r="I10" s="26" t="s">
        <v>20</v>
      </c>
      <c r="J10" s="27" t="s">
        <v>21</v>
      </c>
      <c r="K10" s="27" t="s">
        <v>22</v>
      </c>
      <c r="L10" s="27" t="s">
        <v>23</v>
      </c>
      <c r="M10" s="28" t="s">
        <v>24</v>
      </c>
      <c r="N10" s="29" t="s">
        <v>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30">
        <v>1</v>
      </c>
      <c r="D11" s="92" t="s">
        <v>26</v>
      </c>
      <c r="E11" s="93"/>
      <c r="F11" s="93"/>
      <c r="G11" s="93"/>
      <c r="H11" s="94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90"/>
      <c r="D12" s="96" t="s">
        <v>27</v>
      </c>
      <c r="E12" s="157" t="s">
        <v>28</v>
      </c>
      <c r="F12" s="140"/>
      <c r="G12" s="140"/>
      <c r="H12" s="140"/>
      <c r="I12" s="91"/>
      <c r="J12" s="34"/>
      <c r="K12" s="35"/>
      <c r="L12" s="36"/>
      <c r="M12" s="37"/>
      <c r="N12" s="150"/>
      <c r="Q12" s="4"/>
    </row>
    <row r="13" spans="1:26" ht="14.25" customHeight="1" x14ac:dyDescent="0.3">
      <c r="A13" s="1"/>
      <c r="B13" s="1"/>
      <c r="C13" s="38" t="s">
        <v>29</v>
      </c>
      <c r="D13" s="45" t="s">
        <v>30</v>
      </c>
      <c r="E13" s="45" t="s">
        <v>31</v>
      </c>
      <c r="F13" s="45" t="s">
        <v>32</v>
      </c>
      <c r="G13" s="45" t="s">
        <v>33</v>
      </c>
      <c r="H13" s="95" t="s">
        <v>34</v>
      </c>
      <c r="I13" s="39" t="s">
        <v>35</v>
      </c>
      <c r="J13" s="40">
        <f>SUMIF(Consolidado!S:S,D12,Consolidado!O:O)</f>
        <v>233913.67499999999</v>
      </c>
      <c r="K13" s="41">
        <f>J13*N5</f>
        <v>229235.40149999998</v>
      </c>
      <c r="L13" s="42">
        <f>IFERROR(VLOOKUP(ARMCXDOC,TabelaIRON[[Linha de Serviço PPU]:[PREÇO UNITÁRIO ]],3,FALSE),"N/A")</f>
        <v>0.6</v>
      </c>
      <c r="M13" s="43">
        <f>J13*L13</f>
        <v>140348.20499999999</v>
      </c>
      <c r="N13" s="151"/>
      <c r="P13" s="44"/>
      <c r="Q13" s="4"/>
    </row>
    <row r="14" spans="1:26" ht="14.25" customHeight="1" x14ac:dyDescent="0.3">
      <c r="A14" s="1"/>
      <c r="B14" s="1"/>
      <c r="C14" s="45"/>
      <c r="D14" s="98">
        <f>SUMIF(ConsolidadoRJ[Contrato], D12, ConsolidadoRJ[QUAm-1])</f>
        <v>206009</v>
      </c>
      <c r="E14" s="98">
        <f>SUMIF(ConsolidadoRJ[Contrato], D12, ConsolidadoRJ[QBm])</f>
        <v>128</v>
      </c>
      <c r="F14" s="98">
        <f>SUMIF(ConsolidadoRJ[Contrato], D12, ConsolidadoRJ[QDm])</f>
        <v>0</v>
      </c>
      <c r="G14" s="98">
        <f>SUMIF(ConsolidadoRJ[Contrato], D12, ConsolidadoRJ[QNm] )</f>
        <v>34683</v>
      </c>
      <c r="H14" s="99">
        <f>(D14-E14-F14)+G14</f>
        <v>240564</v>
      </c>
      <c r="I14" s="46"/>
      <c r="J14" s="47"/>
      <c r="K14" s="48"/>
      <c r="L14" s="49"/>
      <c r="M14" s="50"/>
      <c r="N14" s="152"/>
      <c r="Q14" s="4"/>
    </row>
    <row r="15" spans="1:26" ht="15" customHeight="1" x14ac:dyDescent="0.3">
      <c r="A15" s="1"/>
      <c r="B15" s="1"/>
      <c r="C15" s="90"/>
      <c r="D15" s="96" t="s">
        <v>36</v>
      </c>
      <c r="E15" s="157" t="s">
        <v>37</v>
      </c>
      <c r="F15" s="140"/>
      <c r="G15" s="140"/>
      <c r="H15" s="140"/>
      <c r="I15" s="97"/>
      <c r="J15" s="51"/>
      <c r="K15" s="35"/>
      <c r="L15" s="52"/>
      <c r="M15" s="53"/>
      <c r="N15" s="150"/>
      <c r="Q15" s="4"/>
    </row>
    <row r="16" spans="1:26" ht="14.25" customHeight="1" x14ac:dyDescent="0.3">
      <c r="A16" s="1"/>
      <c r="B16" s="1"/>
      <c r="C16" s="38" t="s">
        <v>38</v>
      </c>
      <c r="D16" s="45" t="s">
        <v>30</v>
      </c>
      <c r="E16" s="45" t="s">
        <v>31</v>
      </c>
      <c r="F16" s="45" t="s">
        <v>32</v>
      </c>
      <c r="G16" s="45" t="s">
        <v>33</v>
      </c>
      <c r="H16" s="95" t="s">
        <v>34</v>
      </c>
      <c r="I16" s="39" t="s">
        <v>35</v>
      </c>
      <c r="J16" s="40">
        <f>SUMIF(Consolidado!S:S,D15,Consolidado!O:O)</f>
        <v>6904</v>
      </c>
      <c r="K16" s="41">
        <f>J16*N5</f>
        <v>6765.92</v>
      </c>
      <c r="L16" s="42">
        <f>IFERROR(VLOOKUP(ARMCXMID,TabelaIRON[[Linha de Serviço PPU]:[PREÇO UNITÁRIO ]],3,FALSE),"N/A")</f>
        <v>3.55</v>
      </c>
      <c r="M16" s="43">
        <f>J16*L16</f>
        <v>24509.199999999997</v>
      </c>
      <c r="N16" s="151"/>
      <c r="Q16" s="4"/>
    </row>
    <row r="17" spans="1:17" ht="14.25" customHeight="1" x14ac:dyDescent="0.3">
      <c r="A17" s="1"/>
      <c r="B17" s="1"/>
      <c r="C17" s="45"/>
      <c r="D17" s="98">
        <f>SUMIF(ConsolidadoRJ[Contrato], D15, ConsolidadoRJ[QUAm-1])</f>
        <v>992</v>
      </c>
      <c r="E17" s="98">
        <f>SUMIF(ConsolidadoRJ[Contrato], D15, ConsolidadoRJ[QBm])</f>
        <v>0</v>
      </c>
      <c r="F17" s="98">
        <f>SUMIF(ConsolidadoRJ[Contrato], D15, ConsolidadoRJ[QDm])</f>
        <v>0</v>
      </c>
      <c r="G17" s="98">
        <f>SUMIF(ConsolidadoRJ[Contrato], D15, ConsolidadoRJ[QNm] )</f>
        <v>5912</v>
      </c>
      <c r="H17" s="99">
        <f>(D17-E17-F17)+G17</f>
        <v>6904</v>
      </c>
      <c r="I17" s="46"/>
      <c r="J17" s="47"/>
      <c r="K17" s="48"/>
      <c r="L17" s="49"/>
      <c r="M17" s="50"/>
      <c r="N17" s="152"/>
      <c r="Q17" s="4"/>
    </row>
    <row r="18" spans="1:17" ht="15" customHeight="1" x14ac:dyDescent="0.3">
      <c r="A18" s="1"/>
      <c r="B18" s="1"/>
      <c r="C18" s="90"/>
      <c r="D18" s="96" t="s">
        <v>39</v>
      </c>
      <c r="E18" s="157" t="s">
        <v>40</v>
      </c>
      <c r="F18" s="140"/>
      <c r="G18" s="140"/>
      <c r="H18" s="140"/>
      <c r="I18" s="97"/>
      <c r="J18" s="51"/>
      <c r="K18" s="35"/>
      <c r="M18" s="53"/>
      <c r="N18" s="150"/>
      <c r="Q18" s="4"/>
    </row>
    <row r="19" spans="1:17" ht="14.25" customHeight="1" x14ac:dyDescent="0.3">
      <c r="A19" s="1"/>
      <c r="B19" s="1"/>
      <c r="C19" s="38" t="s">
        <v>41</v>
      </c>
      <c r="D19" s="45" t="s">
        <v>30</v>
      </c>
      <c r="E19" s="45" t="s">
        <v>31</v>
      </c>
      <c r="F19" s="45" t="s">
        <v>32</v>
      </c>
      <c r="G19" s="45" t="s">
        <v>33</v>
      </c>
      <c r="H19" s="95" t="s">
        <v>34</v>
      </c>
      <c r="I19" s="39" t="s">
        <v>35</v>
      </c>
      <c r="J19" s="40">
        <f>SUMIF(Consolidado!S:S,D18,Consolidado!O:O)</f>
        <v>11415.25</v>
      </c>
      <c r="K19" s="41">
        <f>J19*N5</f>
        <v>11186.945</v>
      </c>
      <c r="L19" s="42">
        <f>IFERROR(VLOOKUP(ARMTB,TabelaIRON[[Linha de Serviço PPU]:[PREÇO UNITÁRIO ]],3,FALSE),"N/A")</f>
        <v>0.74</v>
      </c>
      <c r="M19" s="43">
        <f>J19*L19</f>
        <v>8447.2849999999999</v>
      </c>
      <c r="N19" s="151"/>
      <c r="Q19" s="4"/>
    </row>
    <row r="20" spans="1:17" ht="14.25" customHeight="1" x14ac:dyDescent="0.3">
      <c r="A20" s="1"/>
      <c r="B20" s="1"/>
      <c r="C20" s="45"/>
      <c r="D20" s="98">
        <f>SUMIF(ConsolidadoRJ[Contrato], D18, ConsolidadoRJ[QUAm-1])</f>
        <v>14647</v>
      </c>
      <c r="E20" s="98">
        <f>SUMIF(ConsolidadoRJ[Contrato], D18, ConsolidadoRJ[QBm])</f>
        <v>0</v>
      </c>
      <c r="F20" s="98">
        <f>SUMIF(ConsolidadoRJ[Contrato], D18, ConsolidadoRJ[QDm])</f>
        <v>0</v>
      </c>
      <c r="G20" s="98">
        <f>SUMIF(ConsolidadoRJ[Contrato], D18, ConsolidadoRJ[QNm] )</f>
        <v>0</v>
      </c>
      <c r="H20" s="101">
        <f>(D20-E20-F20)+G20</f>
        <v>14647</v>
      </c>
      <c r="I20" s="46"/>
      <c r="J20" s="47"/>
      <c r="K20" s="48"/>
      <c r="L20" s="49"/>
      <c r="M20" s="50"/>
      <c r="N20" s="152"/>
      <c r="Q20" s="4"/>
    </row>
    <row r="21" spans="1:17" ht="15" customHeight="1" x14ac:dyDescent="0.3">
      <c r="A21" s="1"/>
      <c r="B21" s="1"/>
      <c r="C21" s="90"/>
      <c r="D21" s="96" t="s">
        <v>42</v>
      </c>
      <c r="E21" s="157" t="s">
        <v>43</v>
      </c>
      <c r="F21" s="140"/>
      <c r="G21" s="140"/>
      <c r="H21" s="140"/>
      <c r="I21" s="97"/>
      <c r="J21" s="51"/>
      <c r="K21" s="35"/>
      <c r="L21" s="52"/>
      <c r="M21" s="53"/>
      <c r="N21" s="150"/>
      <c r="Q21" s="4"/>
    </row>
    <row r="22" spans="1:17" ht="14.25" customHeight="1" x14ac:dyDescent="0.3">
      <c r="A22" s="1"/>
      <c r="B22" s="1"/>
      <c r="C22" s="38" t="s">
        <v>44</v>
      </c>
      <c r="D22" s="45" t="s">
        <v>30</v>
      </c>
      <c r="E22" s="45" t="s">
        <v>31</v>
      </c>
      <c r="F22" s="45" t="s">
        <v>32</v>
      </c>
      <c r="G22" s="45" t="s">
        <v>33</v>
      </c>
      <c r="H22" s="95" t="s">
        <v>34</v>
      </c>
      <c r="I22" s="39" t="s">
        <v>35</v>
      </c>
      <c r="J22" s="40">
        <f>SUMIF(Consolidado!S:S,D21,Consolidado!O:O)</f>
        <v>17</v>
      </c>
      <c r="K22" s="41">
        <f>J22*N5</f>
        <v>16.66</v>
      </c>
      <c r="L22" s="42">
        <f>IFERROR(VLOOKUP(ARMMA,TabelaIRON[[Linha de Serviço PPU]:[PREÇO UNITÁRIO ]],3,FALSE),"N/A")</f>
        <v>56.11</v>
      </c>
      <c r="M22" s="43">
        <f>J22*L22</f>
        <v>953.87</v>
      </c>
      <c r="N22" s="151"/>
      <c r="Q22" s="4"/>
    </row>
    <row r="23" spans="1:17" ht="14.25" customHeight="1" x14ac:dyDescent="0.3">
      <c r="A23" s="1"/>
      <c r="B23" s="1"/>
      <c r="C23" s="45"/>
      <c r="D23" s="98">
        <f>SUMIF(ConsolidadoRJ[Contrato], D21, ConsolidadoRJ[QUAm-1])</f>
        <v>17</v>
      </c>
      <c r="E23" s="98">
        <f>SUMIF(ConsolidadoRJ[Contrato], D21, ConsolidadoRJ[QBm])</f>
        <v>0</v>
      </c>
      <c r="F23" s="98">
        <f>SUMIF(ConsolidadoRJ[Contrato], D21, ConsolidadoRJ[QDm])</f>
        <v>0</v>
      </c>
      <c r="G23" s="98">
        <f>SUMIF(ConsolidadoRJ[Contrato], D21, ConsolidadoRJ[QNm] )</f>
        <v>0</v>
      </c>
      <c r="H23" s="101">
        <f>(D23-E23-F23)+G23</f>
        <v>17</v>
      </c>
      <c r="I23" s="46"/>
      <c r="J23" s="47"/>
      <c r="K23" s="48"/>
      <c r="L23" s="49"/>
      <c r="M23" s="50"/>
      <c r="N23" s="152"/>
      <c r="Q23" s="4"/>
    </row>
    <row r="24" spans="1:17" ht="15" customHeight="1" x14ac:dyDescent="0.3">
      <c r="A24" s="1"/>
      <c r="B24" s="1"/>
      <c r="C24" s="90"/>
      <c r="D24" s="96" t="s">
        <v>45</v>
      </c>
      <c r="E24" s="157" t="s">
        <v>46</v>
      </c>
      <c r="F24" s="140"/>
      <c r="G24" s="140"/>
      <c r="H24" s="140"/>
      <c r="I24" s="97"/>
      <c r="J24" s="51"/>
      <c r="K24" s="35"/>
      <c r="L24" s="52"/>
      <c r="M24" s="53"/>
      <c r="N24" s="150"/>
      <c r="Q24" s="4"/>
    </row>
    <row r="25" spans="1:17" ht="14.25" customHeight="1" x14ac:dyDescent="0.3">
      <c r="A25" s="1"/>
      <c r="B25" s="1"/>
      <c r="C25" s="38" t="s">
        <v>47</v>
      </c>
      <c r="D25" s="45" t="s">
        <v>30</v>
      </c>
      <c r="E25" s="45" t="s">
        <v>31</v>
      </c>
      <c r="F25" s="45" t="s">
        <v>32</v>
      </c>
      <c r="G25" s="45" t="s">
        <v>33</v>
      </c>
      <c r="H25" s="95" t="s">
        <v>34</v>
      </c>
      <c r="I25" s="39" t="s">
        <v>35</v>
      </c>
      <c r="J25" s="40">
        <f>SUMIF(Consolidado!S:S,D24,Consolidado!O:O)</f>
        <v>0</v>
      </c>
      <c r="K25" s="41">
        <f>J25*N5</f>
        <v>0</v>
      </c>
      <c r="L25" s="42">
        <f>IFERROR(VLOOKUP(ARMMIC,TabelaIRON[[Linha de Serviço PPU]:[PREÇO UNITÁRIO ]],3,FALSE),"N/A")</f>
        <v>0.08</v>
      </c>
      <c r="M25" s="43">
        <f>J25*L25</f>
        <v>0</v>
      </c>
      <c r="N25" s="151"/>
      <c r="Q25" s="4"/>
    </row>
    <row r="26" spans="1:17" ht="14.25" customHeight="1" x14ac:dyDescent="0.3">
      <c r="A26" s="1"/>
      <c r="B26" s="1"/>
      <c r="C26" s="45"/>
      <c r="D26" s="98">
        <f>SUMIF(ConsolidadoRJ[Contrato], D24, ConsolidadoRJ[QUAm-1])</f>
        <v>0</v>
      </c>
      <c r="E26" s="98">
        <f>SUMIF(ConsolidadoRJ[Contrato], D24, ConsolidadoRJ[QBm])</f>
        <v>0</v>
      </c>
      <c r="F26" s="98">
        <f>SUMIF(ConsolidadoRJ[Contrato], D24, ConsolidadoRJ[QDm])</f>
        <v>0</v>
      </c>
      <c r="G26" s="98">
        <f>SUMIF(ConsolidadoRJ[Contrato], D24, ConsolidadoRJ[QNm] )</f>
        <v>0</v>
      </c>
      <c r="H26" s="100">
        <f>(D26-E26-F26)+G26</f>
        <v>0</v>
      </c>
      <c r="I26" s="46"/>
      <c r="J26" s="47"/>
      <c r="K26" s="48"/>
      <c r="L26" s="49"/>
      <c r="M26" s="50"/>
      <c r="N26" s="152"/>
      <c r="Q26" s="4"/>
    </row>
    <row r="27" spans="1:17" ht="15" customHeight="1" x14ac:dyDescent="0.3">
      <c r="A27" s="1"/>
      <c r="B27" s="1"/>
      <c r="C27" s="90"/>
      <c r="D27" s="96" t="s">
        <v>48</v>
      </c>
      <c r="E27" s="157" t="s">
        <v>49</v>
      </c>
      <c r="F27" s="140"/>
      <c r="G27" s="140"/>
      <c r="H27" s="140"/>
      <c r="I27" s="102"/>
      <c r="J27" s="54"/>
      <c r="K27" s="41"/>
      <c r="L27" s="42"/>
      <c r="M27" s="43"/>
      <c r="N27" s="150"/>
      <c r="Q27" s="4"/>
    </row>
    <row r="28" spans="1:17" ht="14.25" customHeight="1" x14ac:dyDescent="0.3">
      <c r="A28" s="1"/>
      <c r="B28" s="1"/>
      <c r="C28" s="38" t="s">
        <v>50</v>
      </c>
      <c r="D28" s="45" t="s">
        <v>30</v>
      </c>
      <c r="E28" s="45" t="s">
        <v>31</v>
      </c>
      <c r="F28" s="45" t="s">
        <v>32</v>
      </c>
      <c r="G28" s="45" t="s">
        <v>33</v>
      </c>
      <c r="H28" s="95" t="s">
        <v>34</v>
      </c>
      <c r="I28" s="39" t="s">
        <v>35</v>
      </c>
      <c r="J28" s="40">
        <f>SUMIF(Consolidado!S:S,D27,Consolidado!O:O)</f>
        <v>14650</v>
      </c>
      <c r="K28" s="41">
        <f>J28*N5</f>
        <v>14357</v>
      </c>
      <c r="L28" s="42">
        <f>IFERROR(VLOOKUP(ARMMID,TabelaIRON[[Linha de Serviço PPU]:[PREÇO UNITÁRIO ]],3,FALSE),"N/A")</f>
        <v>0.08</v>
      </c>
      <c r="M28" s="43">
        <f>J28*L28</f>
        <v>1172</v>
      </c>
      <c r="N28" s="151"/>
      <c r="Q28" s="4"/>
    </row>
    <row r="29" spans="1:17" ht="14.25" customHeight="1" x14ac:dyDescent="0.3">
      <c r="A29" s="1"/>
      <c r="B29" s="1"/>
      <c r="C29" s="45"/>
      <c r="D29" s="98">
        <f>SUMIF(ConsolidadoRJ[Contrato], D27, ConsolidadoRJ[QUAm-1])</f>
        <v>5193</v>
      </c>
      <c r="E29" s="98">
        <f>SUMIF(ConsolidadoRJ[Contrato], D27, ConsolidadoRJ[QBm])</f>
        <v>0</v>
      </c>
      <c r="F29" s="98">
        <f>SUMIF(ConsolidadoRJ[Contrato], D27, ConsolidadoRJ[QDm])</f>
        <v>0</v>
      </c>
      <c r="G29" s="98">
        <f>SUMIF(ConsolidadoRJ[Contrato], D27, ConsolidadoRJ[QNm] )</f>
        <v>9457</v>
      </c>
      <c r="H29" s="100">
        <f>(D29-E29-F29)+G29</f>
        <v>14650</v>
      </c>
      <c r="I29" s="46"/>
      <c r="J29" s="47"/>
      <c r="K29" s="48"/>
      <c r="L29" s="49"/>
      <c r="M29" s="50"/>
      <c r="N29" s="152"/>
      <c r="Q29" s="4"/>
    </row>
    <row r="30" spans="1:17" ht="15" customHeight="1" x14ac:dyDescent="0.3">
      <c r="A30" s="1"/>
      <c r="B30" s="1"/>
      <c r="C30" s="103" t="s">
        <v>51</v>
      </c>
      <c r="D30" s="129" t="s">
        <v>137</v>
      </c>
      <c r="E30" s="140" t="s">
        <v>344</v>
      </c>
      <c r="F30" s="140"/>
      <c r="G30" s="140"/>
      <c r="H30" s="140"/>
      <c r="I30" s="133" t="s">
        <v>52</v>
      </c>
      <c r="J30" s="48">
        <v>44</v>
      </c>
      <c r="K30" s="48">
        <v>43.12</v>
      </c>
      <c r="L30" s="55">
        <f>IFERROR(VLOOKUP(D30,TabelaIRON[[Linha de Serviço PPU]:[PREÇO UNITÁRIO ]],3,FALSE),"N/A")</f>
        <v>125.89</v>
      </c>
      <c r="M30" s="50">
        <f t="shared" ref="M30:M36" si="0">L30*J30</f>
        <v>5539.16</v>
      </c>
      <c r="N30" s="56"/>
      <c r="Q30" s="4"/>
    </row>
    <row r="31" spans="1:17" ht="15" customHeight="1" x14ac:dyDescent="0.3">
      <c r="A31" s="1"/>
      <c r="B31" s="1"/>
      <c r="C31" s="103" t="s">
        <v>53</v>
      </c>
      <c r="D31" s="96" t="s">
        <v>139</v>
      </c>
      <c r="E31" s="140" t="s">
        <v>345</v>
      </c>
      <c r="F31" s="140"/>
      <c r="G31" s="140"/>
      <c r="H31" s="140"/>
      <c r="I31" s="104" t="s">
        <v>52</v>
      </c>
      <c r="J31" s="48">
        <v>4</v>
      </c>
      <c r="K31" s="48">
        <v>3.92</v>
      </c>
      <c r="L31" s="57">
        <f>IFERROR(VLOOKUP(D31,TabelaIRON[[Linha de Serviço PPU]:[PREÇO UNITÁRIO ]],3,FALSE),"N/A")</f>
        <v>200</v>
      </c>
      <c r="M31" s="50">
        <f t="shared" si="0"/>
        <v>800</v>
      </c>
      <c r="N31" s="56"/>
      <c r="Q31" s="4"/>
    </row>
    <row r="32" spans="1:17" ht="15" customHeight="1" x14ac:dyDescent="0.3">
      <c r="A32" s="1"/>
      <c r="B32" s="1"/>
      <c r="C32" s="103" t="s">
        <v>55</v>
      </c>
      <c r="D32" s="96" t="s">
        <v>138</v>
      </c>
      <c r="E32" s="140" t="s">
        <v>346</v>
      </c>
      <c r="F32" s="140"/>
      <c r="G32" s="140"/>
      <c r="H32" s="140"/>
      <c r="I32" s="104" t="s">
        <v>57</v>
      </c>
      <c r="J32" s="48">
        <v>500</v>
      </c>
      <c r="K32" s="48">
        <v>490</v>
      </c>
      <c r="L32" s="57">
        <f>IFERROR(VLOOKUP(D32,TabelaIRON[[Linha de Serviço PPU]:[PREÇO UNITÁRIO ]],3,FALSE),"N/A")</f>
        <v>0.5</v>
      </c>
      <c r="M32" s="50">
        <f t="shared" si="0"/>
        <v>250</v>
      </c>
      <c r="N32" s="56"/>
      <c r="Q32" s="4"/>
    </row>
    <row r="33" spans="1:17" ht="15" customHeight="1" x14ac:dyDescent="0.3">
      <c r="A33" s="1"/>
      <c r="B33" s="1"/>
      <c r="C33" s="103" t="s">
        <v>58</v>
      </c>
      <c r="D33" s="96" t="s">
        <v>278</v>
      </c>
      <c r="E33" s="146" t="s">
        <v>347</v>
      </c>
      <c r="F33" s="147"/>
      <c r="G33" s="147"/>
      <c r="H33" s="148"/>
      <c r="I33" s="104" t="s">
        <v>60</v>
      </c>
      <c r="J33" s="48">
        <v>8502</v>
      </c>
      <c r="K33" s="48">
        <v>8331.9599999999991</v>
      </c>
      <c r="L33" s="57">
        <f>IFERROR(VLOOKUP(D33,TabelaIRON[[Linha de Serviço PPU]:[PREÇO UNITÁRIO ]],3,FALSE),"N/A")</f>
        <v>1.96</v>
      </c>
      <c r="M33" s="50">
        <f t="shared" si="0"/>
        <v>16663.919999999998</v>
      </c>
      <c r="N33" s="56"/>
      <c r="Q33" s="4"/>
    </row>
    <row r="34" spans="1:17" ht="15" customHeight="1" x14ac:dyDescent="0.3">
      <c r="A34" s="1"/>
      <c r="B34" s="1"/>
      <c r="C34" s="103" t="s">
        <v>61</v>
      </c>
      <c r="D34" s="96" t="s">
        <v>280</v>
      </c>
      <c r="E34" s="146" t="s">
        <v>348</v>
      </c>
      <c r="F34" s="147"/>
      <c r="G34" s="147"/>
      <c r="H34" s="148"/>
      <c r="I34" s="104" t="s">
        <v>60</v>
      </c>
      <c r="J34" s="48">
        <v>0</v>
      </c>
      <c r="K34" s="48">
        <v>0</v>
      </c>
      <c r="L34" s="57">
        <f>IFERROR(VLOOKUP(D34,TabelaIRON[[Linha de Serviço PPU]:[PREÇO UNITÁRIO ]],3,FALSE),"N/A")</f>
        <v>1.35</v>
      </c>
      <c r="M34" s="50">
        <f t="shared" si="0"/>
        <v>0</v>
      </c>
      <c r="N34" s="56"/>
      <c r="Q34" s="4"/>
    </row>
    <row r="35" spans="1:17" ht="15" customHeight="1" x14ac:dyDescent="0.3">
      <c r="A35" s="1"/>
      <c r="B35" s="1"/>
      <c r="C35" s="103" t="s">
        <v>63</v>
      </c>
      <c r="D35" s="96" t="s">
        <v>281</v>
      </c>
      <c r="E35" s="146" t="s">
        <v>349</v>
      </c>
      <c r="F35" s="147"/>
      <c r="G35" s="147"/>
      <c r="H35" s="148"/>
      <c r="I35" s="104" t="s">
        <v>65</v>
      </c>
      <c r="J35" s="48">
        <v>0</v>
      </c>
      <c r="K35" s="48">
        <v>0</v>
      </c>
      <c r="L35" s="57">
        <f>IFERROR(VLOOKUP(D35,TabelaIRON[[Linha de Serviço PPU]:[PREÇO UNITÁRIO ]],3,FALSE),"N/A")</f>
        <v>594488.34</v>
      </c>
      <c r="M35" s="50">
        <f t="shared" si="0"/>
        <v>0</v>
      </c>
      <c r="N35" s="58"/>
      <c r="Q35" s="4"/>
    </row>
    <row r="36" spans="1:17" ht="15" customHeight="1" x14ac:dyDescent="0.3">
      <c r="A36" s="1"/>
      <c r="B36" s="1"/>
      <c r="C36" s="103" t="s">
        <v>66</v>
      </c>
      <c r="D36" s="96" t="s">
        <v>282</v>
      </c>
      <c r="E36" s="146" t="s">
        <v>350</v>
      </c>
      <c r="F36" s="147"/>
      <c r="G36" s="147"/>
      <c r="H36" s="148"/>
      <c r="I36" s="104" t="s">
        <v>35</v>
      </c>
      <c r="J36" s="48">
        <v>0</v>
      </c>
      <c r="K36" s="48">
        <v>0</v>
      </c>
      <c r="L36" s="57">
        <f>IFERROR(VLOOKUP(D36,TabelaIRON[[Linha de Serviço PPU]:[PREÇO UNITÁRIO ]],3,FALSE),"N/A")</f>
        <v>1.01</v>
      </c>
      <c r="M36" s="50">
        <f t="shared" si="0"/>
        <v>0</v>
      </c>
      <c r="N36" s="56"/>
      <c r="Q36" s="4"/>
    </row>
    <row r="37" spans="1:17" ht="15" customHeight="1" x14ac:dyDescent="0.3">
      <c r="A37" s="1"/>
      <c r="B37" s="1"/>
      <c r="C37" s="30">
        <v>2</v>
      </c>
      <c r="D37" s="144" t="s">
        <v>68</v>
      </c>
      <c r="E37" s="145"/>
      <c r="F37" s="145"/>
      <c r="G37" s="145"/>
      <c r="H37" s="145"/>
      <c r="I37" s="59"/>
      <c r="J37" s="60"/>
      <c r="K37" s="60"/>
      <c r="L37" s="60"/>
      <c r="M37" s="61"/>
      <c r="N37" s="32"/>
      <c r="Q37" s="4"/>
    </row>
    <row r="38" spans="1:17" ht="15" customHeight="1" x14ac:dyDescent="0.3">
      <c r="A38" s="1"/>
      <c r="B38" s="1"/>
      <c r="C38" s="103" t="s">
        <v>69</v>
      </c>
      <c r="D38" s="129" t="s">
        <v>284</v>
      </c>
      <c r="E38" s="140" t="s">
        <v>351</v>
      </c>
      <c r="F38" s="140"/>
      <c r="G38" s="140"/>
      <c r="H38" s="140"/>
      <c r="I38" s="104" t="s">
        <v>71</v>
      </c>
      <c r="J38" s="48">
        <v>8502</v>
      </c>
      <c r="K38" s="62">
        <v>8502</v>
      </c>
      <c r="L38" s="57">
        <f>IFERROR(VLOOKUP(D38,TabelaIRON[[Linha de Serviço PPU]:[PREÇO UNITÁRIO ]],3,FALSE),"N/A")</f>
        <v>0.44</v>
      </c>
      <c r="M38" s="63">
        <f t="shared" ref="M38:M47" si="1">J38*L38</f>
        <v>3740.88</v>
      </c>
      <c r="N38" s="56"/>
      <c r="Q38" s="4"/>
    </row>
    <row r="39" spans="1:17" ht="15" customHeight="1" x14ac:dyDescent="0.3">
      <c r="A39" s="1"/>
      <c r="B39" s="1"/>
      <c r="C39" s="103" t="s">
        <v>72</v>
      </c>
      <c r="D39" s="130" t="s">
        <v>285</v>
      </c>
      <c r="E39" s="149" t="s">
        <v>352</v>
      </c>
      <c r="F39" s="149"/>
      <c r="G39" s="149"/>
      <c r="H39" s="149"/>
      <c r="I39" s="104" t="s">
        <v>35</v>
      </c>
      <c r="J39" s="48">
        <v>0</v>
      </c>
      <c r="K39" s="62">
        <v>0</v>
      </c>
      <c r="L39" s="57">
        <f>IFERROR(VLOOKUP(D39,TabelaIRON[[Linha de Serviço PPU]:[PREÇO UNITÁRIO ]],3,FALSE),"N/A")</f>
        <v>1.44</v>
      </c>
      <c r="M39" s="63">
        <f t="shared" si="1"/>
        <v>0</v>
      </c>
      <c r="N39" s="56"/>
      <c r="Q39" s="4"/>
    </row>
    <row r="40" spans="1:17" ht="15" customHeight="1" x14ac:dyDescent="0.3">
      <c r="A40" s="1"/>
      <c r="B40" s="1"/>
      <c r="C40" s="103" t="s">
        <v>74</v>
      </c>
      <c r="D40" s="129" t="s">
        <v>289</v>
      </c>
      <c r="E40" s="140" t="s">
        <v>353</v>
      </c>
      <c r="F40" s="140"/>
      <c r="G40" s="140"/>
      <c r="H40" s="140"/>
      <c r="I40" s="104" t="s">
        <v>75</v>
      </c>
      <c r="J40" s="48">
        <v>0</v>
      </c>
      <c r="K40" s="62">
        <v>0</v>
      </c>
      <c r="L40" s="57">
        <f>IFERROR(VLOOKUP(D40,TabelaIRON[[Linha de Serviço PPU]:[PREÇO UNITÁRIO ]],3,FALSE),"N/A")</f>
        <v>0.05</v>
      </c>
      <c r="M40" s="63">
        <f t="shared" si="1"/>
        <v>0</v>
      </c>
      <c r="N40" s="56"/>
      <c r="Q40" s="4"/>
    </row>
    <row r="41" spans="1:17" ht="15" customHeight="1" x14ac:dyDescent="0.3">
      <c r="A41" s="1"/>
      <c r="B41" s="1"/>
      <c r="C41" s="103" t="s">
        <v>76</v>
      </c>
      <c r="D41" s="129" t="s">
        <v>290</v>
      </c>
      <c r="E41" s="140" t="s">
        <v>354</v>
      </c>
      <c r="F41" s="140"/>
      <c r="G41" s="140"/>
      <c r="H41" s="140"/>
      <c r="I41" s="104" t="s">
        <v>75</v>
      </c>
      <c r="J41" s="48">
        <v>7</v>
      </c>
      <c r="K41" s="62">
        <v>7</v>
      </c>
      <c r="L41" s="57">
        <f>IFERROR(VLOOKUP(D41,TabelaIRON[[Linha de Serviço PPU]:[PREÇO UNITÁRIO ]],3,FALSE),"N/A")</f>
        <v>0.06</v>
      </c>
      <c r="M41" s="63">
        <f t="shared" si="1"/>
        <v>0.42</v>
      </c>
      <c r="N41" s="56"/>
      <c r="Q41" s="4"/>
    </row>
    <row r="42" spans="1:17" ht="15" customHeight="1" x14ac:dyDescent="0.3">
      <c r="A42" s="1"/>
      <c r="B42" s="1"/>
      <c r="C42" s="103" t="s">
        <v>78</v>
      </c>
      <c r="D42" s="129" t="s">
        <v>291</v>
      </c>
      <c r="E42" s="140" t="s">
        <v>355</v>
      </c>
      <c r="F42" s="140"/>
      <c r="G42" s="140"/>
      <c r="H42" s="140"/>
      <c r="I42" s="104" t="s">
        <v>75</v>
      </c>
      <c r="J42" s="48">
        <v>197507</v>
      </c>
      <c r="K42" s="62">
        <v>197507</v>
      </c>
      <c r="L42" s="57">
        <f>IFERROR(VLOOKUP(D42,TabelaIRON[[Linha de Serviço PPU]:[PREÇO UNITÁRIO ]],3,FALSE),"N/A")</f>
        <v>0.1</v>
      </c>
      <c r="M42" s="63">
        <f t="shared" si="1"/>
        <v>19750.7</v>
      </c>
      <c r="N42" s="56"/>
      <c r="Q42" s="4"/>
    </row>
    <row r="43" spans="1:17" ht="15" customHeight="1" x14ac:dyDescent="0.3">
      <c r="A43" s="1"/>
      <c r="B43" s="1"/>
      <c r="C43" s="103" t="s">
        <v>80</v>
      </c>
      <c r="D43" s="129" t="s">
        <v>292</v>
      </c>
      <c r="E43" s="140" t="s">
        <v>356</v>
      </c>
      <c r="F43" s="140"/>
      <c r="G43" s="140"/>
      <c r="H43" s="140"/>
      <c r="I43" s="104" t="s">
        <v>81</v>
      </c>
      <c r="J43" s="48">
        <v>8502</v>
      </c>
      <c r="K43" s="62">
        <v>8502</v>
      </c>
      <c r="L43" s="57">
        <f>IFERROR(VLOOKUP(D43,TabelaIRON[[Linha de Serviço PPU]:[PREÇO UNITÁRIO ]],3,FALSE),"N/A")</f>
        <v>0.23</v>
      </c>
      <c r="M43" s="63">
        <f t="shared" si="1"/>
        <v>1955.46</v>
      </c>
      <c r="N43" s="56"/>
      <c r="Q43" s="4"/>
    </row>
    <row r="44" spans="1:17" ht="15" customHeight="1" x14ac:dyDescent="0.3">
      <c r="A44" s="1"/>
      <c r="B44" s="1"/>
      <c r="C44" s="103" t="s">
        <v>82</v>
      </c>
      <c r="D44" s="129" t="s">
        <v>293</v>
      </c>
      <c r="E44" s="140" t="s">
        <v>357</v>
      </c>
      <c r="F44" s="140"/>
      <c r="G44" s="140"/>
      <c r="H44" s="140"/>
      <c r="I44" s="104" t="s">
        <v>84</v>
      </c>
      <c r="J44" s="48">
        <v>39</v>
      </c>
      <c r="K44" s="62">
        <v>39</v>
      </c>
      <c r="L44" s="57">
        <f>IFERROR(VLOOKUP(D44,TabelaIRON[[Linha de Serviço PPU]:[PREÇO UNITÁRIO ]],3,FALSE),"N/A")</f>
        <v>68.27</v>
      </c>
      <c r="M44" s="63">
        <f t="shared" si="1"/>
        <v>2662.5299999999997</v>
      </c>
      <c r="N44" s="56"/>
      <c r="Q44" s="4"/>
    </row>
    <row r="45" spans="1:17" ht="15" customHeight="1" x14ac:dyDescent="0.3">
      <c r="A45" s="1"/>
      <c r="B45" s="1"/>
      <c r="C45" s="103" t="s">
        <v>85</v>
      </c>
      <c r="D45" s="129" t="s">
        <v>294</v>
      </c>
      <c r="E45" s="140" t="s">
        <v>358</v>
      </c>
      <c r="F45" s="140"/>
      <c r="G45" s="140"/>
      <c r="H45" s="140"/>
      <c r="I45" s="104" t="s">
        <v>84</v>
      </c>
      <c r="J45" s="48">
        <v>0</v>
      </c>
      <c r="K45" s="62">
        <v>0</v>
      </c>
      <c r="L45" s="57">
        <f>IFERROR(VLOOKUP(D45,TabelaIRON[[Linha de Serviço PPU]:[PREÇO UNITÁRIO ]],3,FALSE),"N/A")</f>
        <v>39</v>
      </c>
      <c r="M45" s="63">
        <f t="shared" si="1"/>
        <v>0</v>
      </c>
      <c r="N45" s="56"/>
      <c r="Q45" s="4"/>
    </row>
    <row r="46" spans="1:17" ht="15" customHeight="1" x14ac:dyDescent="0.3">
      <c r="A46" s="1"/>
      <c r="B46" s="1"/>
      <c r="C46" s="103" t="s">
        <v>87</v>
      </c>
      <c r="D46" s="129" t="s">
        <v>295</v>
      </c>
      <c r="E46" s="140" t="s">
        <v>359</v>
      </c>
      <c r="F46" s="140"/>
      <c r="G46" s="140"/>
      <c r="H46" s="140"/>
      <c r="I46" s="104" t="s">
        <v>84</v>
      </c>
      <c r="J46" s="48">
        <v>0</v>
      </c>
      <c r="K46" s="62">
        <v>0</v>
      </c>
      <c r="L46" s="57">
        <f>IFERROR(VLOOKUP(D46,TabelaIRON[[Linha de Serviço PPU]:[PREÇO UNITÁRIO ]],3,FALSE),"N/A")</f>
        <v>11.72</v>
      </c>
      <c r="M46" s="63">
        <f t="shared" si="1"/>
        <v>0</v>
      </c>
      <c r="N46" s="56"/>
      <c r="Q46" s="4"/>
    </row>
    <row r="47" spans="1:17" ht="15" customHeight="1" x14ac:dyDescent="0.3">
      <c r="A47" s="1"/>
      <c r="B47" s="1"/>
      <c r="C47" s="103" t="s">
        <v>89</v>
      </c>
      <c r="D47" s="129" t="s">
        <v>296</v>
      </c>
      <c r="E47" s="140" t="s">
        <v>360</v>
      </c>
      <c r="F47" s="140"/>
      <c r="G47" s="140"/>
      <c r="H47" s="140"/>
      <c r="I47" s="104" t="s">
        <v>84</v>
      </c>
      <c r="J47" s="48">
        <v>0</v>
      </c>
      <c r="K47" s="62">
        <v>0</v>
      </c>
      <c r="L47" s="57">
        <f>IFERROR(VLOOKUP(D47,TabelaIRON[[Linha de Serviço PPU]:[PREÇO UNITÁRIO ]],3,FALSE),"N/A")</f>
        <v>2.44</v>
      </c>
      <c r="M47" s="63">
        <f t="shared" si="1"/>
        <v>0</v>
      </c>
      <c r="N47" s="56"/>
      <c r="Q47" s="4"/>
    </row>
    <row r="48" spans="1:17" ht="30" customHeight="1" x14ac:dyDescent="0.3">
      <c r="A48" s="1"/>
      <c r="B48" s="1"/>
      <c r="C48" s="138" t="s">
        <v>91</v>
      </c>
      <c r="D48" s="139"/>
      <c r="E48" s="139"/>
      <c r="F48" s="139"/>
      <c r="G48" s="139"/>
      <c r="H48" s="139"/>
      <c r="I48" s="136"/>
      <c r="J48" s="64"/>
      <c r="K48" s="64"/>
      <c r="L48" s="64"/>
      <c r="M48" s="65">
        <f>SUM(M12:M47)</f>
        <v>226793.62999999998</v>
      </c>
      <c r="N48" s="56"/>
      <c r="Q48" s="4"/>
    </row>
    <row r="49" spans="1:17" ht="14.25" customHeight="1" x14ac:dyDescent="0.3">
      <c r="A49" s="1"/>
      <c r="B49" s="1"/>
      <c r="C49" s="143" t="s">
        <v>92</v>
      </c>
      <c r="D49" s="135"/>
      <c r="E49" s="135"/>
      <c r="F49" s="135"/>
      <c r="G49" s="135"/>
      <c r="H49" s="135"/>
      <c r="I49" s="136"/>
      <c r="J49" s="141" t="s">
        <v>93</v>
      </c>
      <c r="K49" s="135"/>
      <c r="L49" s="135"/>
      <c r="M49" s="135"/>
      <c r="N49" s="136"/>
      <c r="Q49" s="4"/>
    </row>
    <row r="50" spans="1:17" ht="45" customHeight="1" x14ac:dyDescent="0.3">
      <c r="A50" s="1"/>
      <c r="B50" s="1"/>
      <c r="C50" s="66"/>
      <c r="D50" s="67"/>
      <c r="E50" s="67"/>
      <c r="F50" s="67"/>
      <c r="G50" s="67"/>
      <c r="H50" s="68"/>
      <c r="I50" s="69"/>
      <c r="J50" s="141" t="s">
        <v>94</v>
      </c>
      <c r="K50" s="135"/>
      <c r="L50" s="135"/>
      <c r="M50" s="135"/>
      <c r="N50" s="136"/>
      <c r="Q50" s="4"/>
    </row>
    <row r="51" spans="1:17" ht="16.5" customHeight="1" x14ac:dyDescent="0.3">
      <c r="A51" s="1"/>
      <c r="B51" s="1"/>
      <c r="C51" s="142" t="s">
        <v>95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6"/>
      <c r="Q51" s="4"/>
    </row>
    <row r="52" spans="1:17" ht="60" customHeight="1" x14ac:dyDescent="0.3">
      <c r="A52" s="1"/>
      <c r="B52" s="1"/>
      <c r="C52" s="13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6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70"/>
      <c r="N53" s="3"/>
      <c r="Q53" s="4"/>
    </row>
    <row r="54" spans="1:17" ht="14.25" customHeight="1" x14ac:dyDescent="0.3">
      <c r="A54" s="1"/>
      <c r="B54" s="1"/>
      <c r="C54" s="2"/>
      <c r="D54" s="25" t="s">
        <v>96</v>
      </c>
      <c r="E54" s="25" t="s">
        <v>97</v>
      </c>
      <c r="F54" s="25" t="s">
        <v>98</v>
      </c>
      <c r="G54" s="25" t="s">
        <v>99</v>
      </c>
      <c r="H54" s="25"/>
      <c r="I54" s="25" t="s">
        <v>100</v>
      </c>
      <c r="J54" s="137" t="s">
        <v>101</v>
      </c>
      <c r="K54" s="136"/>
      <c r="L54" s="71"/>
      <c r="M54" s="71"/>
      <c r="N54" s="71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70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70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70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70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70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70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70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70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70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70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70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70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70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70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70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70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70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70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70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70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70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70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70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70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70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70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70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70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70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70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70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70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70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70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70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70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70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70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70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70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70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70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70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70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70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70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N21:N23"/>
    <mergeCell ref="B2:O2"/>
    <mergeCell ref="B3:O3"/>
    <mergeCell ref="B4:C4"/>
    <mergeCell ref="L4:L5"/>
    <mergeCell ref="B5:C5"/>
    <mergeCell ref="N24:N26"/>
    <mergeCell ref="N27:N29"/>
    <mergeCell ref="B6:C6"/>
    <mergeCell ref="B7:C7"/>
    <mergeCell ref="D10:H10"/>
    <mergeCell ref="E12:H12"/>
    <mergeCell ref="N12:N14"/>
    <mergeCell ref="E15:H15"/>
    <mergeCell ref="E18:H18"/>
    <mergeCell ref="E21:H21"/>
    <mergeCell ref="E24:H24"/>
    <mergeCell ref="E27:H27"/>
    <mergeCell ref="D6:H7"/>
    <mergeCell ref="L6:L7"/>
    <mergeCell ref="N15:N17"/>
    <mergeCell ref="N18:N20"/>
    <mergeCell ref="E30:H30"/>
    <mergeCell ref="E31:H31"/>
    <mergeCell ref="E32:H32"/>
    <mergeCell ref="E34:H34"/>
    <mergeCell ref="E33:H33"/>
    <mergeCell ref="E41:H41"/>
    <mergeCell ref="D37:H37"/>
    <mergeCell ref="E35:H35"/>
    <mergeCell ref="E36:H36"/>
    <mergeCell ref="E40:H40"/>
    <mergeCell ref="E39:H39"/>
    <mergeCell ref="E38:H38"/>
    <mergeCell ref="E45:H45"/>
    <mergeCell ref="E44:H44"/>
    <mergeCell ref="E43:H43"/>
    <mergeCell ref="E42:H42"/>
    <mergeCell ref="C49:I49"/>
    <mergeCell ref="C52:N52"/>
    <mergeCell ref="J54:K54"/>
    <mergeCell ref="C48:I48"/>
    <mergeCell ref="E47:H47"/>
    <mergeCell ref="E46:H46"/>
    <mergeCell ref="J49:N49"/>
    <mergeCell ref="J50:N50"/>
    <mergeCell ref="C51:N51"/>
  </mergeCells>
  <pageMargins left="0.23622047244094491" right="0.23622047244094491" top="0.74803149606299213" bottom="0.74803149606299213" header="0" footer="0"/>
  <pageSetup paperSize="9" scale="60" orientation="landscape"/>
  <headerFooter>
    <oddFooter>&amp;L_x000D_#008542 INTERNA_x000D_&amp;1#&amp;"Trebuchet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2">
    <tabColor theme="9"/>
  </sheetPr>
  <dimension ref="A1:T945"/>
  <sheetViews>
    <sheetView showGridLines="0" tabSelected="1" zoomScale="130" zoomScaleNormal="130"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J4" sqref="J4:M12"/>
    </sheetView>
  </sheetViews>
  <sheetFormatPr defaultColWidth="14.44140625" defaultRowHeight="15" customHeight="1" x14ac:dyDescent="0.3"/>
  <cols>
    <col min="1" max="1" width="21.88671875" customWidth="1"/>
    <col min="2" max="2" width="28.109375" customWidth="1"/>
    <col min="3" max="3" width="6.88671875" customWidth="1"/>
    <col min="4" max="4" width="8.33203125" customWidth="1"/>
    <col min="5" max="5" width="9" customWidth="1"/>
    <col min="6" max="6" width="10" customWidth="1"/>
    <col min="7" max="7" width="15.44140625" customWidth="1"/>
    <col min="8" max="8" width="17" customWidth="1"/>
    <col min="9" max="9" width="13.88671875" customWidth="1"/>
    <col min="10" max="10" width="12" customWidth="1"/>
    <col min="11" max="11" width="9.33203125" customWidth="1"/>
    <col min="12" max="12" width="9.44140625" customWidth="1"/>
    <col min="13" max="13" width="13.21875" customWidth="1"/>
    <col min="14" max="14" width="10.44140625" customWidth="1"/>
    <col min="15" max="15" width="9.88671875" customWidth="1"/>
    <col min="16" max="16" width="13.5546875" customWidth="1"/>
    <col min="17" max="17" width="14.33203125" customWidth="1"/>
    <col min="18" max="18" width="10.88671875" customWidth="1"/>
    <col min="19" max="19" width="12.33203125" bestFit="1" customWidth="1"/>
  </cols>
  <sheetData>
    <row r="1" spans="1:20" ht="14.25" customHeight="1" x14ac:dyDescent="0.3">
      <c r="A1" s="73" t="s">
        <v>107</v>
      </c>
      <c r="B1" s="72"/>
      <c r="C1" s="72"/>
      <c r="D1" s="72"/>
      <c r="E1" s="72"/>
      <c r="F1" s="72"/>
      <c r="G1" s="72"/>
      <c r="H1" s="72"/>
      <c r="I1" s="72"/>
      <c r="J1" s="72" t="s">
        <v>102</v>
      </c>
      <c r="K1" s="72" t="s">
        <v>103</v>
      </c>
      <c r="L1" s="72" t="s">
        <v>104</v>
      </c>
      <c r="M1" s="72" t="s">
        <v>105</v>
      </c>
      <c r="N1" s="128" t="s">
        <v>106</v>
      </c>
      <c r="O1" s="128"/>
      <c r="P1" s="128"/>
      <c r="Q1" s="128"/>
      <c r="R1" s="72"/>
      <c r="S1" s="72"/>
    </row>
    <row r="2" spans="1:20" ht="12.75" customHeight="1" x14ac:dyDescent="0.3">
      <c r="B2" s="72"/>
      <c r="C2" s="82" t="s">
        <v>338</v>
      </c>
      <c r="D2" s="82" t="s">
        <v>338</v>
      </c>
      <c r="E2" s="82" t="s">
        <v>338</v>
      </c>
      <c r="F2" s="82" t="s">
        <v>338</v>
      </c>
      <c r="G2" s="82" t="s">
        <v>338</v>
      </c>
      <c r="H2" s="82" t="s">
        <v>338</v>
      </c>
      <c r="I2" s="74"/>
      <c r="J2" s="75" t="s">
        <v>108</v>
      </c>
      <c r="K2" s="75" t="s">
        <v>108</v>
      </c>
      <c r="L2" s="75" t="s">
        <v>108</v>
      </c>
      <c r="M2" s="75" t="s">
        <v>108</v>
      </c>
      <c r="N2" s="82" t="s">
        <v>338</v>
      </c>
      <c r="O2" s="82" t="s">
        <v>338</v>
      </c>
      <c r="P2" s="82" t="s">
        <v>338</v>
      </c>
      <c r="Q2" s="82" t="s">
        <v>338</v>
      </c>
      <c r="R2" s="72"/>
      <c r="S2" s="72"/>
    </row>
    <row r="3" spans="1:20" ht="14.4" x14ac:dyDescent="0.3">
      <c r="A3" s="105" t="s">
        <v>109</v>
      </c>
      <c r="B3" s="106" t="s">
        <v>110</v>
      </c>
      <c r="C3" s="106" t="s">
        <v>111</v>
      </c>
      <c r="D3" s="106" t="s">
        <v>112</v>
      </c>
      <c r="E3" s="106" t="s">
        <v>113</v>
      </c>
      <c r="F3" s="106" t="s">
        <v>114</v>
      </c>
      <c r="G3" s="107" t="s">
        <v>115</v>
      </c>
      <c r="H3" s="108" t="s">
        <v>116</v>
      </c>
      <c r="I3" s="109" t="s">
        <v>117</v>
      </c>
      <c r="J3" s="110" t="s">
        <v>30</v>
      </c>
      <c r="K3" s="111" t="s">
        <v>31</v>
      </c>
      <c r="L3" s="111" t="s">
        <v>32</v>
      </c>
      <c r="M3" s="111" t="s">
        <v>33</v>
      </c>
      <c r="N3" s="111" t="s">
        <v>34</v>
      </c>
      <c r="O3" s="112" t="s">
        <v>35</v>
      </c>
      <c r="P3" s="113" t="s">
        <v>118</v>
      </c>
      <c r="Q3" s="113" t="s">
        <v>119</v>
      </c>
      <c r="R3" s="113" t="s">
        <v>120</v>
      </c>
      <c r="S3" s="114" t="s">
        <v>121</v>
      </c>
    </row>
    <row r="4" spans="1:20" ht="14.4" x14ac:dyDescent="0.3">
      <c r="A4" s="115" t="s">
        <v>168</v>
      </c>
      <c r="B4" s="125" t="s">
        <v>150</v>
      </c>
      <c r="C4" s="117">
        <f>IF( ConsolidadoRJ[[#This Row],[MEDIDAS CONTRATO]] = "", "", IFERROR( VLOOKUP(ConsolidadoRJ[[#This Row],[MEDIDAS CONTRATO]],MedidasContrato[[MEDIDAS CONTRATO]:[Ø]],2,0),"N/A"))</f>
        <v>0</v>
      </c>
      <c r="D4" s="118">
        <f>IF( ConsolidadoRJ[[#This Row],[MEDIDAS CONTRATO]] = "", "", IFERROR( VLOOKUP(ConsolidadoRJ[[#This Row],[MEDIDAS CONTRATO]],MedidasContrato[],3,0),"N/A"))</f>
        <v>29</v>
      </c>
      <c r="E4" s="118">
        <f>IF( ConsolidadoRJ[[#This Row],[MEDIDAS CONTRATO]] = "", "", IFERROR( VLOOKUP(ConsolidadoRJ[[#This Row],[MEDIDAS CONTRATO]],MedidasContrato[],4,0),"N/A"))</f>
        <v>41</v>
      </c>
      <c r="F4" s="118">
        <f>IF( ConsolidadoRJ[[#This Row],[MEDIDAS CONTRATO]] = "", "", IFERROR( VLOOKUP(ConsolidadoRJ[[#This Row],[MEDIDAS CONTRATO]],MedidasContrato[],5,0),"N/A"))</f>
        <v>37</v>
      </c>
      <c r="G4" s="119">
        <f>IFERROR( Consolidado!$D4*Consolidado!$E4*Consolidado!$F4, "")</f>
        <v>43993</v>
      </c>
      <c r="H4" s="119">
        <f>IFERROR( IF(ConsolidadoRJ[[#This Row],[cm³ = V1]]="","",ConsolidadoRJ[[#This Row],[cm³ = V1]]/ConsolidadoRJ[[#This Row],[FC = V1/V2]]), "")</f>
        <v>43993</v>
      </c>
      <c r="I4" s="120">
        <v>1</v>
      </c>
      <c r="J4" s="131">
        <v>199223</v>
      </c>
      <c r="K4" s="131">
        <v>128</v>
      </c>
      <c r="L4" s="131">
        <v>0</v>
      </c>
      <c r="M4" s="131">
        <v>28034</v>
      </c>
      <c r="N4" s="119">
        <f>IF(ConsolidadoRJ[[#This Row],[QUAm-1]]="","",ConsolidadoRJ[[#This Row],[QUAm-1]]+ConsolidadoRJ[[#This Row],[QNm]]-ConsolidadoRJ[[#This Row],[QBm]]-ConsolidadoRJ[[#This Row],[QDm]])</f>
        <v>227129</v>
      </c>
      <c r="O4" s="119">
        <f>IF(ConsolidadoRJ[[#This Row],[FC = V1/V2]]="","",ConsolidadoRJ[[#This Row],[FC = V1/V2]]*ConsolidadoRJ[[#This Row],[QUAm]])</f>
        <v>227129</v>
      </c>
      <c r="P4" s="121">
        <f>IF( ConsolidadoRJ[[#This Row],[Contrato]] = "", "", IFERROR( VLOOKUP(ConsolidadoRJ[[#This Row],[Contrato]],TabelaIRON[[Linha de Serviço PPU]:[PREÇO UNITÁRIO ]],3,0),"Nao Encontrado"))</f>
        <v>0.6</v>
      </c>
      <c r="Q4" s="121">
        <f>IF(ConsolidadoRJ[[#This Row],[UA]]="","",ConsolidadoRJ[[#This Row],[UA]]*ConsolidadoRJ[[#This Row],[$ Unitário]])</f>
        <v>136277.4</v>
      </c>
      <c r="R4" s="122" t="s">
        <v>122</v>
      </c>
      <c r="S4" s="123" t="s">
        <v>27</v>
      </c>
      <c r="T4" s="79"/>
    </row>
    <row r="5" spans="1:20" ht="14.4" x14ac:dyDescent="0.3">
      <c r="A5" s="115" t="s">
        <v>123</v>
      </c>
      <c r="B5" s="125" t="s">
        <v>151</v>
      </c>
      <c r="C5" s="117">
        <f>IF( ConsolidadoRJ[[#This Row],[MEDIDAS CONTRATO]] = "", "", IFERROR( VLOOKUP(ConsolidadoRJ[[#This Row],[MEDIDAS CONTRATO]],MedidasContrato[[MEDIDAS CONTRATO]:[Ø]],2,0),"N/A"))</f>
        <v>0</v>
      </c>
      <c r="D5" s="118">
        <f>IF( ConsolidadoRJ[[#This Row],[MEDIDAS CONTRATO]] = "", "", IFERROR( VLOOKUP(ConsolidadoRJ[[#This Row],[MEDIDAS CONTRATO]],MedidasContrato[],3,0),"N/A"))</f>
        <v>34</v>
      </c>
      <c r="E5" s="118">
        <f>IF( ConsolidadoRJ[[#This Row],[MEDIDAS CONTRATO]] = "", "", IFERROR( VLOOKUP(ConsolidadoRJ[[#This Row],[MEDIDAS CONTRATO]],MedidasContrato[],4,0),"N/A"))</f>
        <v>37</v>
      </c>
      <c r="F5" s="118">
        <f>IF( ConsolidadoRJ[[#This Row],[MEDIDAS CONTRATO]] = "", "", IFERROR( VLOOKUP(ConsolidadoRJ[[#This Row],[MEDIDAS CONTRATO]],MedidasContrato[],5,0),"N/A"))</f>
        <v>12</v>
      </c>
      <c r="G5" s="119">
        <f>IFERROR( Consolidado!$D5*Consolidado!$E5*Consolidado!$F5, "")</f>
        <v>15096</v>
      </c>
      <c r="H5" s="119">
        <f>IFERROR( IF(ConsolidadoRJ[[#This Row],[cm³ = V1]]="","",ConsolidadoRJ[[#This Row],[cm³ = V1]]/ConsolidadoRJ[[#This Row],[FC = V1/V2]]), "")</f>
        <v>15096</v>
      </c>
      <c r="I5" s="120">
        <v>1</v>
      </c>
      <c r="J5" s="131">
        <v>992</v>
      </c>
      <c r="K5" s="131">
        <v>0</v>
      </c>
      <c r="L5" s="131">
        <v>0</v>
      </c>
      <c r="M5" s="131">
        <v>5912</v>
      </c>
      <c r="N5" s="119">
        <f>IF(ConsolidadoRJ[[#This Row],[QUAm-1]]="","",ConsolidadoRJ[[#This Row],[QUAm-1]]+ConsolidadoRJ[[#This Row],[QNm]]-ConsolidadoRJ[[#This Row],[QBm]]-ConsolidadoRJ[[#This Row],[QDm]])</f>
        <v>6904</v>
      </c>
      <c r="O5" s="119">
        <f>IF(ConsolidadoRJ[[#This Row],[FC = V1/V2]]="","",ConsolidadoRJ[[#This Row],[FC = V1/V2]]*ConsolidadoRJ[[#This Row],[QUAm]])</f>
        <v>6904</v>
      </c>
      <c r="P5" s="121">
        <f>IF( ConsolidadoRJ[[#This Row],[Contrato]] = "", "", IFERROR( VLOOKUP(ConsolidadoRJ[[#This Row],[Contrato]],TabelaIRON[[Linha de Serviço PPU]:[PREÇO UNITÁRIO ]],3,0),"Nao Encontrado"))</f>
        <v>3.55</v>
      </c>
      <c r="Q5" s="121">
        <f>IF(ConsolidadoRJ[[#This Row],[UA]]="","",ConsolidadoRJ[[#This Row],[UA]]*ConsolidadoRJ[[#This Row],[$ Unitário]])</f>
        <v>24509.199999999997</v>
      </c>
      <c r="R5" s="122" t="s">
        <v>124</v>
      </c>
      <c r="S5" s="123" t="s">
        <v>36</v>
      </c>
      <c r="T5" s="79"/>
    </row>
    <row r="6" spans="1:20" ht="14.4" x14ac:dyDescent="0.3">
      <c r="A6" s="115" t="s">
        <v>125</v>
      </c>
      <c r="B6" s="125" t="s">
        <v>126</v>
      </c>
      <c r="C6" s="117">
        <f>IF( ConsolidadoRJ[[#This Row],[MEDIDAS CONTRATO]] = "", "", IFERROR( VLOOKUP(ConsolidadoRJ[[#This Row],[MEDIDAS CONTRATO]],MedidasContrato[[MEDIDAS CONTRATO]:[Ø]],2,0),"N/A"))</f>
        <v>0</v>
      </c>
      <c r="D6" s="118">
        <f>IF( ConsolidadoRJ[[#This Row],[MEDIDAS CONTRATO]] = "", "", IFERROR( VLOOKUP(ConsolidadoRJ[[#This Row],[MEDIDAS CONTRATO]],MedidasContrato[],3,0),"N/A"))</f>
        <v>40.5</v>
      </c>
      <c r="E6" s="118">
        <f>IF( ConsolidadoRJ[[#This Row],[MEDIDAS CONTRATO]] = "", "", IFERROR( VLOOKUP(ConsolidadoRJ[[#This Row],[MEDIDAS CONTRATO]],MedidasContrato[],4,0),"N/A"))</f>
        <v>41.5</v>
      </c>
      <c r="F6" s="118">
        <f>IF( ConsolidadoRJ[[#This Row],[MEDIDAS CONTRATO]] = "", "", IFERROR( VLOOKUP(ConsolidadoRJ[[#This Row],[MEDIDAS CONTRATO]],MedidasContrato[],5,0),"N/A"))</f>
        <v>10</v>
      </c>
      <c r="G6" s="119">
        <f>IFERROR( Consolidado!$D6*Consolidado!$E6*Consolidado!$F6, "")</f>
        <v>16807.5</v>
      </c>
      <c r="H6" s="119">
        <f>IFERROR( IF(ConsolidadoRJ[[#This Row],[cm³ = V1]]="","",ConsolidadoRJ[[#This Row],[cm³ = V1]]/ConsolidadoRJ[[#This Row],[FC = V1/V2]]), "")</f>
        <v>15101.078167115904</v>
      </c>
      <c r="I6" s="120">
        <v>1.113</v>
      </c>
      <c r="J6" s="131">
        <v>0</v>
      </c>
      <c r="K6" s="131">
        <v>0</v>
      </c>
      <c r="L6" s="131">
        <v>0</v>
      </c>
      <c r="M6" s="131">
        <v>0</v>
      </c>
      <c r="N6" s="119">
        <f>IF(ConsolidadoRJ[[#This Row],[QUAm-1]]="","",ConsolidadoRJ[[#This Row],[QUAm-1]]+ConsolidadoRJ[[#This Row],[QNm]]-ConsolidadoRJ[[#This Row],[QBm]]-ConsolidadoRJ[[#This Row],[QDm]])</f>
        <v>0</v>
      </c>
      <c r="O6" s="119">
        <f>IF(ConsolidadoRJ[[#This Row],[FC = V1/V2]]="","",ConsolidadoRJ[[#This Row],[FC = V1/V2]]*ConsolidadoRJ[[#This Row],[QUAm]])</f>
        <v>0</v>
      </c>
      <c r="P6" s="121">
        <f>IF( ConsolidadoRJ[[#This Row],[Contrato]] = "", "", IFERROR( VLOOKUP(ConsolidadoRJ[[#This Row],[Contrato]],TabelaIRON[[Linha de Serviço PPU]:[PREÇO UNITÁRIO ]],3,0),"Nao Encontrado"))</f>
        <v>3.55</v>
      </c>
      <c r="Q6" s="121">
        <f>IF(ConsolidadoRJ[[#This Row],[UA]]="","",ConsolidadoRJ[[#This Row],[UA]]*ConsolidadoRJ[[#This Row],[$ Unitário]])</f>
        <v>0</v>
      </c>
      <c r="R6" s="122" t="s">
        <v>124</v>
      </c>
      <c r="S6" s="123" t="s">
        <v>36</v>
      </c>
      <c r="T6" s="79"/>
    </row>
    <row r="7" spans="1:20" ht="14.4" x14ac:dyDescent="0.3">
      <c r="A7" s="115" t="s">
        <v>127</v>
      </c>
      <c r="B7" s="125" t="s">
        <v>361</v>
      </c>
      <c r="C7" s="117">
        <f>IF( ConsolidadoRJ[[#This Row],[MEDIDAS CONTRATO]] = "", "", IFERROR( VLOOKUP(ConsolidadoRJ[[#This Row],[MEDIDAS CONTRATO]],MedidasContrato[[MEDIDAS CONTRATO]:[Ø]],2,0),"N/A"))</f>
        <v>0</v>
      </c>
      <c r="D7" s="118">
        <f>IF( ConsolidadoRJ[[#This Row],[MEDIDAS CONTRATO]] = "", "", IFERROR( VLOOKUP(ConsolidadoRJ[[#This Row],[MEDIDAS CONTRATO]],MedidasContrato[],3,0),"N/A"))</f>
        <v>30</v>
      </c>
      <c r="E7" s="118">
        <f>IF( ConsolidadoRJ[[#This Row],[MEDIDAS CONTRATO]] = "", "", IFERROR( VLOOKUP(ConsolidadoRJ[[#This Row],[MEDIDAS CONTRATO]],MedidasContrato[],4,0),"N/A"))</f>
        <v>19</v>
      </c>
      <c r="F7" s="118">
        <f>IF( ConsolidadoRJ[[#This Row],[MEDIDAS CONTRATO]] = "", "", IFERROR( VLOOKUP(ConsolidadoRJ[[#This Row],[MEDIDAS CONTRATO]],MedidasContrato[],5,0),"N/A"))</f>
        <v>39</v>
      </c>
      <c r="G7" s="119">
        <f>IFERROR( Consolidado!$D7*Consolidado!$E7*Consolidado!$F7, "")</f>
        <v>22230</v>
      </c>
      <c r="H7" s="119">
        <f>IFERROR( IF(ConsolidadoRJ[[#This Row],[cm³ = V1]]="","",ConsolidadoRJ[[#This Row],[cm³ = V1]]/ConsolidadoRJ[[#This Row],[FC = V1/V2]]), "")</f>
        <v>44019.801980198019</v>
      </c>
      <c r="I7" s="120">
        <v>0.505</v>
      </c>
      <c r="J7" s="131">
        <v>6786</v>
      </c>
      <c r="K7" s="131">
        <v>0</v>
      </c>
      <c r="L7" s="131">
        <v>0</v>
      </c>
      <c r="M7" s="131">
        <v>6649</v>
      </c>
      <c r="N7" s="119">
        <f>IF(ConsolidadoRJ[[#This Row],[QUAm-1]]="","",ConsolidadoRJ[[#This Row],[QUAm-1]]+ConsolidadoRJ[[#This Row],[QNm]]-ConsolidadoRJ[[#This Row],[QBm]]-ConsolidadoRJ[[#This Row],[QDm]])</f>
        <v>13435</v>
      </c>
      <c r="O7" s="119">
        <f>IF(ConsolidadoRJ[[#This Row],[FC = V1/V2]]="","",ConsolidadoRJ[[#This Row],[FC = V1/V2]]*ConsolidadoRJ[[#This Row],[QUAm]])</f>
        <v>6784.6750000000002</v>
      </c>
      <c r="P7" s="121">
        <f>IF( ConsolidadoRJ[[#This Row],[Contrato]] = "", "", IFERROR( VLOOKUP(ConsolidadoRJ[[#This Row],[Contrato]],TabelaIRON[[Linha de Serviço PPU]:[PREÇO UNITÁRIO ]],3,0),"Nao Encontrado"))</f>
        <v>0.6</v>
      </c>
      <c r="Q7" s="121">
        <f>IF(ConsolidadoRJ[[#This Row],[UA]]="","",ConsolidadoRJ[[#This Row],[UA]]*ConsolidadoRJ[[#This Row],[$ Unitário]])</f>
        <v>4070.8049999999998</v>
      </c>
      <c r="R7" s="122" t="s">
        <v>122</v>
      </c>
      <c r="S7" s="123" t="s">
        <v>27</v>
      </c>
      <c r="T7" s="79"/>
    </row>
    <row r="8" spans="1:20" ht="14.4" x14ac:dyDescent="0.3">
      <c r="A8" s="115" t="s">
        <v>128</v>
      </c>
      <c r="B8" s="125" t="s">
        <v>152</v>
      </c>
      <c r="C8" s="117">
        <f>IF( ConsolidadoRJ[[#This Row],[MEDIDAS CONTRATO]] = "", "", IFERROR( VLOOKUP(ConsolidadoRJ[[#This Row],[MEDIDAS CONTRATO]],MedidasContrato[[MEDIDAS CONTRATO]:[Ø]],2,0),"N/A"))</f>
        <v>10</v>
      </c>
      <c r="D8" s="118">
        <f>IF( ConsolidadoRJ[[#This Row],[MEDIDAS CONTRATO]] = "", "", IFERROR( VLOOKUP(ConsolidadoRJ[[#This Row],[MEDIDAS CONTRATO]],MedidasContrato[],3,0),"N/A"))</f>
        <v>0</v>
      </c>
      <c r="E8" s="118">
        <f>IF( ConsolidadoRJ[[#This Row],[MEDIDAS CONTRATO]] = "", "", IFERROR( VLOOKUP(ConsolidadoRJ[[#This Row],[MEDIDAS CONTRATO]],MedidasContrato[],4,0),"N/A"))</f>
        <v>0</v>
      </c>
      <c r="F8" s="118">
        <f>IF( ConsolidadoRJ[[#This Row],[MEDIDAS CONTRATO]] = "", "", IFERROR( VLOOKUP(ConsolidadoRJ[[#This Row],[MEDIDAS CONTRATO]],MedidasContrato[],5,0),"N/A"))</f>
        <v>120</v>
      </c>
      <c r="G8" s="119">
        <f>IFERROR( Consolidado!$D8*Consolidado!$E8*Consolidado!$F8, "")</f>
        <v>0</v>
      </c>
      <c r="H8" s="119">
        <f>IFERROR( IF(ConsolidadoRJ[[#This Row],[cm³ = V1]]="","",ConsolidadoRJ[[#This Row],[cm³ = V1]]/ConsolidadoRJ[[#This Row],[FC = V1/V2]]), "")</f>
        <v>0</v>
      </c>
      <c r="I8" s="120">
        <v>1</v>
      </c>
      <c r="J8" s="131">
        <v>10338</v>
      </c>
      <c r="K8" s="131">
        <v>0</v>
      </c>
      <c r="L8" s="131">
        <v>0</v>
      </c>
      <c r="M8" s="131">
        <v>0</v>
      </c>
      <c r="N8" s="119">
        <f>IF(ConsolidadoRJ[[#This Row],[QUAm-1]]="","",ConsolidadoRJ[[#This Row],[QUAm-1]]+ConsolidadoRJ[[#This Row],[QNm]]-ConsolidadoRJ[[#This Row],[QBm]]-ConsolidadoRJ[[#This Row],[QDm]])</f>
        <v>10338</v>
      </c>
      <c r="O8" s="119">
        <f>IF(ConsolidadoRJ[[#This Row],[FC = V1/V2]]="","",ConsolidadoRJ[[#This Row],[FC = V1/V2]]*ConsolidadoRJ[[#This Row],[QUAm]])</f>
        <v>10338</v>
      </c>
      <c r="P8" s="121">
        <f>IF( ConsolidadoRJ[[#This Row],[Contrato]] = "", "", IFERROR( VLOOKUP(ConsolidadoRJ[[#This Row],[Contrato]],TabelaIRON[[Linha de Serviço PPU]:[PREÇO UNITÁRIO ]],3,0),"Nao Encontrado"))</f>
        <v>0.74</v>
      </c>
      <c r="Q8" s="121">
        <f>IF(ConsolidadoRJ[[#This Row],[UA]]="","",ConsolidadoRJ[[#This Row],[UA]]*ConsolidadoRJ[[#This Row],[$ Unitário]])</f>
        <v>7650.12</v>
      </c>
      <c r="R8" s="122" t="s">
        <v>129</v>
      </c>
      <c r="S8" s="123" t="s">
        <v>39</v>
      </c>
      <c r="T8" s="79"/>
    </row>
    <row r="9" spans="1:20" ht="14.4" x14ac:dyDescent="0.3">
      <c r="A9" s="115" t="s">
        <v>130</v>
      </c>
      <c r="B9" s="125" t="s">
        <v>131</v>
      </c>
      <c r="C9" s="117">
        <f>IF( ConsolidadoRJ[[#This Row],[MEDIDAS CONTRATO]] = "", "", IFERROR( VLOOKUP(ConsolidadoRJ[[#This Row],[MEDIDAS CONTRATO]],MedidasContrato[[MEDIDAS CONTRATO]:[Ø]],2,0),"N/A"))</f>
        <v>0</v>
      </c>
      <c r="D9" s="118">
        <f>IF( ConsolidadoRJ[[#This Row],[MEDIDAS CONTRATO]] = "", "", IFERROR( VLOOKUP(ConsolidadoRJ[[#This Row],[MEDIDAS CONTRATO]],MedidasContrato[],3,0),"N/A"))</f>
        <v>135</v>
      </c>
      <c r="E9" s="118">
        <f>IF( ConsolidadoRJ[[#This Row],[MEDIDAS CONTRATO]] = "", "", IFERROR( VLOOKUP(ConsolidadoRJ[[#This Row],[MEDIDAS CONTRATO]],MedidasContrato[],4,0),"N/A"))</f>
        <v>51</v>
      </c>
      <c r="F9" s="118">
        <f>IF( ConsolidadoRJ[[#This Row],[MEDIDAS CONTRATO]] = "", "", IFERROR( VLOOKUP(ConsolidadoRJ[[#This Row],[MEDIDAS CONTRATO]],MedidasContrato[],5,0),"N/A"))</f>
        <v>105</v>
      </c>
      <c r="G9" s="119">
        <f>IFERROR( Consolidado!$D9*Consolidado!$E9*Consolidado!$F9, "")</f>
        <v>722925</v>
      </c>
      <c r="H9" s="119">
        <f>IFERROR( IF(ConsolidadoRJ[[#This Row],[cm³ = V1]]="","",ConsolidadoRJ[[#This Row],[cm³ = V1]]/ConsolidadoRJ[[#This Row],[FC = V1/V2]]), "")</f>
        <v>722925</v>
      </c>
      <c r="I9" s="120">
        <v>1</v>
      </c>
      <c r="J9" s="131">
        <v>17</v>
      </c>
      <c r="K9" s="131">
        <v>0</v>
      </c>
      <c r="L9" s="131">
        <v>0</v>
      </c>
      <c r="M9" s="131">
        <v>0</v>
      </c>
      <c r="N9" s="119">
        <f>IF(ConsolidadoRJ[[#This Row],[QUAm-1]]="","",ConsolidadoRJ[[#This Row],[QUAm-1]]+ConsolidadoRJ[[#This Row],[QNm]]-ConsolidadoRJ[[#This Row],[QBm]]-ConsolidadoRJ[[#This Row],[QDm]])</f>
        <v>17</v>
      </c>
      <c r="O9" s="119">
        <f>IF(ConsolidadoRJ[[#This Row],[FC = V1/V2]]="","",ConsolidadoRJ[[#This Row],[FC = V1/V2]]*ConsolidadoRJ[[#This Row],[QUAm]])</f>
        <v>17</v>
      </c>
      <c r="P9" s="121">
        <f>IF( ConsolidadoRJ[[#This Row],[Contrato]] = "", "", IFERROR( VLOOKUP(ConsolidadoRJ[[#This Row],[Contrato]],TabelaIRON[[Linha de Serviço PPU]:[PREÇO UNITÁRIO ]],3,0),"Nao Encontrado"))</f>
        <v>56.11</v>
      </c>
      <c r="Q9" s="121">
        <f>IF(ConsolidadoRJ[[#This Row],[UA]]="","",ConsolidadoRJ[[#This Row],[UA]]*ConsolidadoRJ[[#This Row],[$ Unitário]])</f>
        <v>953.87</v>
      </c>
      <c r="R9" s="122" t="s">
        <v>132</v>
      </c>
      <c r="S9" s="123" t="s">
        <v>42</v>
      </c>
      <c r="T9" s="79"/>
    </row>
    <row r="10" spans="1:20" ht="14.4" x14ac:dyDescent="0.3">
      <c r="A10" s="115" t="s">
        <v>133</v>
      </c>
      <c r="B10" s="125" t="s">
        <v>140</v>
      </c>
      <c r="C10" s="117">
        <f>IF( ConsolidadoRJ[[#This Row],[MEDIDAS CONTRATO]] = "", "", IFERROR( VLOOKUP(ConsolidadoRJ[[#This Row],[MEDIDAS CONTRATO]],MedidasContrato[[MEDIDAS CONTRATO]:[Ø]],2,0),"N/A"))</f>
        <v>0</v>
      </c>
      <c r="D10" s="118">
        <f>IF( ConsolidadoRJ[[#This Row],[MEDIDAS CONTRATO]] = "", "", IFERROR( VLOOKUP(ConsolidadoRJ[[#This Row],[MEDIDAS CONTRATO]],MedidasContrato[],3,0),"N/A"))</f>
        <v>10</v>
      </c>
      <c r="E10" s="118">
        <f>IF( ConsolidadoRJ[[#This Row],[MEDIDAS CONTRATO]] = "", "", IFERROR( VLOOKUP(ConsolidadoRJ[[#This Row],[MEDIDAS CONTRATO]],MedidasContrato[],4,0),"N/A"))</f>
        <v>10</v>
      </c>
      <c r="F10" s="118">
        <f>IF( ConsolidadoRJ[[#This Row],[MEDIDAS CONTRATO]] = "", "", IFERROR( VLOOKUP(ConsolidadoRJ[[#This Row],[MEDIDAS CONTRATO]],MedidasContrato[],5,0),"N/A"))</f>
        <v>2.5</v>
      </c>
      <c r="G10" s="119">
        <f>IFERROR( Consolidado!$D10*Consolidado!$E10*Consolidado!$F10, "")</f>
        <v>250</v>
      </c>
      <c r="H10" s="119">
        <f>IFERROR( IF(ConsolidadoRJ[[#This Row],[cm³ = V1]]="","",ConsolidadoRJ[[#This Row],[cm³ = V1]]/ConsolidadoRJ[[#This Row],[FC = V1/V2]]), "")</f>
        <v>250</v>
      </c>
      <c r="I10" s="120">
        <v>1</v>
      </c>
      <c r="J10" s="131">
        <v>0</v>
      </c>
      <c r="K10" s="131">
        <v>0</v>
      </c>
      <c r="L10" s="131">
        <v>0</v>
      </c>
      <c r="M10" s="131">
        <v>6123</v>
      </c>
      <c r="N10" s="119">
        <f>IF(ConsolidadoRJ[[#This Row],[QUAm-1]]="","",ConsolidadoRJ[[#This Row],[QUAm-1]]+ConsolidadoRJ[[#This Row],[QNm]]-ConsolidadoRJ[[#This Row],[QBm]]-ConsolidadoRJ[[#This Row],[QDm]])</f>
        <v>6123</v>
      </c>
      <c r="O10" s="119">
        <f>IF(ConsolidadoRJ[[#This Row],[FC = V1/V2]]="","",ConsolidadoRJ[[#This Row],[FC = V1/V2]]*ConsolidadoRJ[[#This Row],[QUAm]])</f>
        <v>6123</v>
      </c>
      <c r="P10" s="121">
        <f>IF( ConsolidadoRJ[[#This Row],[Contrato]] = "", "", IFERROR( VLOOKUP(ConsolidadoRJ[[#This Row],[Contrato]],TabelaIRON[[Linha de Serviço PPU]:[PREÇO UNITÁRIO ]],3,0),"Nao Encontrado"))</f>
        <v>0.08</v>
      </c>
      <c r="Q10" s="121">
        <f>IF(ConsolidadoRJ[[#This Row],[UA]]="","",ConsolidadoRJ[[#This Row],[UA]]*ConsolidadoRJ[[#This Row],[$ Unitário]])</f>
        <v>489.84000000000003</v>
      </c>
      <c r="R10" s="122" t="s">
        <v>134</v>
      </c>
      <c r="S10" s="123" t="s">
        <v>48</v>
      </c>
      <c r="T10" s="79"/>
    </row>
    <row r="11" spans="1:20" ht="14.4" x14ac:dyDescent="0.3">
      <c r="A11" s="115" t="s">
        <v>135</v>
      </c>
      <c r="B11" s="125" t="s">
        <v>380</v>
      </c>
      <c r="C11" s="117">
        <f>IF( ConsolidadoRJ[[#This Row],[MEDIDAS CONTRATO]] = "", "", IFERROR( VLOOKUP(ConsolidadoRJ[[#This Row],[MEDIDAS CONTRATO]],MedidasContrato[[MEDIDAS CONTRATO]:[Ø]],2,0),"N/A"))</f>
        <v>0</v>
      </c>
      <c r="D11" s="118">
        <f>IF( ConsolidadoRJ[[#This Row],[MEDIDAS CONTRATO]] = "", "", IFERROR( VLOOKUP(ConsolidadoRJ[[#This Row],[MEDIDAS CONTRATO]],MedidasContrato[],3,0),"N/A"))</f>
        <v>12.5</v>
      </c>
      <c r="E11" s="118">
        <f>IF( ConsolidadoRJ[[#This Row],[MEDIDAS CONTRATO]] = "", "", IFERROR( VLOOKUP(ConsolidadoRJ[[#This Row],[MEDIDAS CONTRATO]],MedidasContrato[],4,0),"N/A"))</f>
        <v>14</v>
      </c>
      <c r="F11" s="118">
        <f>IF( ConsolidadoRJ[[#This Row],[MEDIDAS CONTRATO]] = "", "", IFERROR( VLOOKUP(ConsolidadoRJ[[#This Row],[MEDIDAS CONTRATO]],MedidasContrato[],5,0),"N/A"))</f>
        <v>0.5</v>
      </c>
      <c r="G11" s="119">
        <f>IFERROR( Consolidado!$D11*Consolidado!$E11*Consolidado!$F11, "")</f>
        <v>87.5</v>
      </c>
      <c r="H11" s="119">
        <f>IFERROR( IF(ConsolidadoRJ[[#This Row],[cm³ = V1]]="","",ConsolidadoRJ[[#This Row],[cm³ = V1]]/ConsolidadoRJ[[#This Row],[FC = V1/V2]]), "")</f>
        <v>87.5</v>
      </c>
      <c r="I11" s="120">
        <v>1</v>
      </c>
      <c r="J11" s="131">
        <v>5193</v>
      </c>
      <c r="K11" s="131">
        <v>0</v>
      </c>
      <c r="L11" s="131">
        <v>0</v>
      </c>
      <c r="M11" s="131">
        <v>3334</v>
      </c>
      <c r="N11" s="119">
        <f>IF(ConsolidadoRJ[[#This Row],[QUAm-1]]="","",ConsolidadoRJ[[#This Row],[QUAm-1]]+ConsolidadoRJ[[#This Row],[QNm]]-ConsolidadoRJ[[#This Row],[QBm]]-ConsolidadoRJ[[#This Row],[QDm]])</f>
        <v>8527</v>
      </c>
      <c r="O11" s="119">
        <f>IF(ConsolidadoRJ[[#This Row],[FC = V1/V2]]="","",ConsolidadoRJ[[#This Row],[FC = V1/V2]]*ConsolidadoRJ[[#This Row],[QUAm]])</f>
        <v>8527</v>
      </c>
      <c r="P11" s="121">
        <f>IF( ConsolidadoRJ[[#This Row],[Contrato]] = "", "", IFERROR( VLOOKUP(ConsolidadoRJ[[#This Row],[Contrato]],TabelaIRON[[Linha de Serviço PPU]:[PREÇO UNITÁRIO ]],3,0),"Nao Encontrado"))</f>
        <v>0.08</v>
      </c>
      <c r="Q11" s="121">
        <f>IF(ConsolidadoRJ[[#This Row],[UA]]="","",ConsolidadoRJ[[#This Row],[UA]]*ConsolidadoRJ[[#This Row],[$ Unitário]])</f>
        <v>682.16</v>
      </c>
      <c r="R11" s="122" t="s">
        <v>136</v>
      </c>
      <c r="S11" s="123" t="s">
        <v>48</v>
      </c>
      <c r="T11" s="79"/>
    </row>
    <row r="12" spans="1:20" ht="14.4" x14ac:dyDescent="0.3">
      <c r="A12" s="115" t="s">
        <v>340</v>
      </c>
      <c r="B12" s="125" t="s">
        <v>385</v>
      </c>
      <c r="C12" s="117">
        <f>IF( ConsolidadoRJ[[#This Row],[MEDIDAS CONTRATO]] = "", "", IFERROR( VLOOKUP(ConsolidadoRJ[[#This Row],[MEDIDAS CONTRATO]],MedidasContrato[[MEDIDAS CONTRATO]:[Ø]],2,0),"N/A"))</f>
        <v>0</v>
      </c>
      <c r="D12" s="118">
        <f>IF( ConsolidadoRJ[[#This Row],[MEDIDAS CONTRATO]] = "", "", IFERROR( VLOOKUP(ConsolidadoRJ[[#This Row],[MEDIDAS CONTRATO]],MedidasContrato[],3,0),"N/A"))</f>
        <v>104</v>
      </c>
      <c r="E12" s="118">
        <f>IF( ConsolidadoRJ[[#This Row],[MEDIDAS CONTRATO]] = "", "", IFERROR( VLOOKUP(ConsolidadoRJ[[#This Row],[MEDIDAS CONTRATO]],MedidasContrato[],4,0),"N/A"))</f>
        <v>10</v>
      </c>
      <c r="F12" s="118">
        <f>IF( ConsolidadoRJ[[#This Row],[MEDIDAS CONTRATO]] = "", "", IFERROR( VLOOKUP(ConsolidadoRJ[[#This Row],[MEDIDAS CONTRATO]],MedidasContrato[],5,0),"N/A"))</f>
        <v>30</v>
      </c>
      <c r="G12" s="119">
        <f>IFERROR( Consolidado!$D12*Consolidado!$E12*Consolidado!$F12, "")</f>
        <v>31200</v>
      </c>
      <c r="H12" s="119">
        <f>IFERROR( IF(ConsolidadoRJ[[#This Row],[cm³ = V1]]="","",ConsolidadoRJ[[#This Row],[cm³ = V1]]/ConsolidadoRJ[[#This Row],[FC = V1/V2]]), "")</f>
        <v>124800</v>
      </c>
      <c r="I12" s="116">
        <v>0.25</v>
      </c>
      <c r="J12" s="131">
        <v>4309</v>
      </c>
      <c r="K12" s="131">
        <v>0</v>
      </c>
      <c r="L12" s="131">
        <v>0</v>
      </c>
      <c r="M12" s="131">
        <v>0</v>
      </c>
      <c r="N12" s="119">
        <f>IF(ConsolidadoRJ[[#This Row],[QUAm-1]]="","",ConsolidadoRJ[[#This Row],[QUAm-1]]+ConsolidadoRJ[[#This Row],[QNm]]-ConsolidadoRJ[[#This Row],[QBm]]-ConsolidadoRJ[[#This Row],[QDm]])</f>
        <v>4309</v>
      </c>
      <c r="O12" s="119">
        <f>IF(ConsolidadoRJ[[#This Row],[FC = V1/V2]]="","",ConsolidadoRJ[[#This Row],[FC = V1/V2]]*ConsolidadoRJ[[#This Row],[QUAm]])</f>
        <v>1077.25</v>
      </c>
      <c r="P12" s="121">
        <f>IF( ConsolidadoRJ[[#This Row],[Contrato]] = "", "", IFERROR( VLOOKUP(ConsolidadoRJ[[#This Row],[Contrato]],TabelaIRON[[Linha de Serviço PPU]:[PREÇO UNITÁRIO ]],3,0),"Nao Encontrado"))</f>
        <v>0.74</v>
      </c>
      <c r="Q12" s="121">
        <f>IF(ConsolidadoRJ[[#This Row],[UA]]="","",ConsolidadoRJ[[#This Row],[UA]]*ConsolidadoRJ[[#This Row],[$ Unitário]])</f>
        <v>797.16499999999996</v>
      </c>
      <c r="R12" s="116" t="s">
        <v>129</v>
      </c>
      <c r="S12" s="124" t="s">
        <v>39</v>
      </c>
    </row>
    <row r="13" spans="1:20" ht="14.25" customHeight="1" x14ac:dyDescent="0.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</row>
    <row r="14" spans="1:20" ht="14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</row>
    <row r="15" spans="1:20" ht="14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6"/>
      <c r="R15" s="72"/>
      <c r="S15" s="72"/>
    </row>
    <row r="16" spans="1:20" ht="14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6"/>
      <c r="R16" s="72"/>
      <c r="S16" s="72"/>
    </row>
    <row r="17" spans="1:19" ht="14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</row>
    <row r="18" spans="1:19" ht="14.25" customHeight="1" x14ac:dyDescent="0.3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</row>
    <row r="19" spans="1:19" ht="14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</row>
    <row r="20" spans="1:19" ht="14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</row>
    <row r="21" spans="1:19" ht="14.25" customHeight="1" x14ac:dyDescent="0.3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</row>
    <row r="22" spans="1:19" ht="14.25" customHeight="1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</row>
    <row r="23" spans="1:19" ht="14.25" customHeight="1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</row>
    <row r="24" spans="1:19" ht="14.25" customHeight="1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</row>
    <row r="25" spans="1:19" ht="14.25" customHeight="1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</row>
    <row r="26" spans="1:19" ht="14.25" customHeight="1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</row>
    <row r="27" spans="1:19" ht="14.25" customHeight="1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</row>
    <row r="28" spans="1:19" ht="14.2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</row>
    <row r="29" spans="1:19" ht="14.25" customHeight="1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</row>
    <row r="30" spans="1:19" ht="14.25" customHeight="1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</row>
    <row r="31" spans="1:19" ht="14.25" customHeight="1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</row>
    <row r="32" spans="1:19" ht="14.25" customHeight="1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</row>
    <row r="33" spans="1:19" ht="14.25" customHeight="1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</row>
    <row r="34" spans="1:19" ht="14.25" customHeight="1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</row>
    <row r="35" spans="1:19" ht="14.25" customHeight="1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</row>
    <row r="36" spans="1:19" ht="14.25" customHeight="1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ht="14.25" customHeight="1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</row>
    <row r="38" spans="1:19" ht="14.25" customHeight="1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</row>
    <row r="39" spans="1:19" ht="14.25" customHeight="1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</row>
    <row r="40" spans="1:19" ht="14.25" customHeight="1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</row>
    <row r="41" spans="1:19" ht="14.25" customHeight="1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</row>
    <row r="42" spans="1:19" ht="14.25" customHeight="1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</row>
    <row r="43" spans="1:19" ht="14.25" customHeight="1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</row>
    <row r="44" spans="1:19" ht="14.25" customHeight="1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</row>
    <row r="45" spans="1:19" ht="14.25" customHeight="1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</row>
    <row r="46" spans="1:19" ht="14.25" customHeight="1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</row>
    <row r="47" spans="1:19" ht="14.25" customHeight="1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</row>
    <row r="48" spans="1:19" ht="14.25" customHeight="1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</row>
    <row r="49" spans="1:19" ht="14.25" customHeight="1" x14ac:dyDescent="0.3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</row>
    <row r="50" spans="1:19" ht="14.25" customHeight="1" x14ac:dyDescent="0.3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</row>
    <row r="51" spans="1:19" ht="14.25" customHeight="1" x14ac:dyDescent="0.3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</row>
    <row r="52" spans="1:19" ht="14.25" customHeight="1" x14ac:dyDescent="0.3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</row>
    <row r="53" spans="1:19" ht="14.25" customHeight="1" x14ac:dyDescent="0.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</row>
    <row r="54" spans="1:19" ht="14.25" customHeight="1" x14ac:dyDescent="0.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</row>
    <row r="55" spans="1:19" ht="14.25" customHeight="1" x14ac:dyDescent="0.3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</row>
    <row r="56" spans="1:19" ht="14.25" customHeight="1" x14ac:dyDescent="0.3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</row>
    <row r="57" spans="1:19" ht="14.25" customHeight="1" x14ac:dyDescent="0.3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</row>
    <row r="58" spans="1:19" ht="14.25" customHeight="1" x14ac:dyDescent="0.3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</row>
    <row r="59" spans="1:19" ht="14.25" customHeight="1" x14ac:dyDescent="0.3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</row>
    <row r="60" spans="1:19" ht="14.25" customHeight="1" x14ac:dyDescent="0.3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</row>
    <row r="61" spans="1:19" ht="14.25" customHeight="1" x14ac:dyDescent="0.3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</row>
    <row r="62" spans="1:19" ht="14.25" customHeight="1" x14ac:dyDescent="0.3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</row>
    <row r="63" spans="1:19" ht="14.25" customHeight="1" x14ac:dyDescent="0.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</row>
    <row r="64" spans="1:19" ht="14.25" customHeight="1" x14ac:dyDescent="0.3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</row>
    <row r="65" spans="1:19" ht="14.25" customHeight="1" x14ac:dyDescent="0.3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</row>
    <row r="66" spans="1:19" ht="14.25" customHeight="1" x14ac:dyDescent="0.3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</row>
    <row r="67" spans="1:19" ht="14.25" customHeight="1" x14ac:dyDescent="0.3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</row>
    <row r="68" spans="1:19" ht="14.25" customHeight="1" x14ac:dyDescent="0.3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</row>
    <row r="69" spans="1:19" ht="14.25" customHeight="1" x14ac:dyDescent="0.3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</row>
    <row r="70" spans="1:19" ht="14.25" customHeight="1" x14ac:dyDescent="0.3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</row>
    <row r="71" spans="1:19" ht="14.25" customHeight="1" x14ac:dyDescent="0.3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</row>
    <row r="72" spans="1:19" ht="14.25" customHeight="1" x14ac:dyDescent="0.3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</row>
    <row r="73" spans="1:19" ht="14.25" customHeight="1" x14ac:dyDescent="0.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</row>
    <row r="74" spans="1:19" ht="14.25" customHeight="1" x14ac:dyDescent="0.3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</row>
    <row r="75" spans="1:19" ht="14.25" customHeight="1" x14ac:dyDescent="0.3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</row>
    <row r="76" spans="1:19" ht="14.25" customHeight="1" x14ac:dyDescent="0.3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</row>
    <row r="77" spans="1:19" ht="14.25" customHeight="1" x14ac:dyDescent="0.3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</row>
    <row r="78" spans="1:19" ht="14.25" customHeight="1" x14ac:dyDescent="0.3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</row>
    <row r="79" spans="1:19" ht="14.25" customHeight="1" x14ac:dyDescent="0.3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</row>
    <row r="80" spans="1:19" ht="14.25" customHeight="1" x14ac:dyDescent="0.3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</row>
    <row r="81" spans="1:19" ht="14.25" customHeight="1" x14ac:dyDescent="0.3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</row>
    <row r="82" spans="1:19" ht="14.25" customHeight="1" x14ac:dyDescent="0.3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</row>
    <row r="83" spans="1:19" ht="14.25" customHeight="1" x14ac:dyDescent="0.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</row>
    <row r="84" spans="1:19" ht="14.25" customHeight="1" x14ac:dyDescent="0.3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</row>
    <row r="85" spans="1:19" ht="14.25" customHeight="1" x14ac:dyDescent="0.3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</row>
    <row r="86" spans="1:19" ht="14.25" customHeight="1" x14ac:dyDescent="0.3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</row>
    <row r="87" spans="1:19" ht="14.25" customHeight="1" x14ac:dyDescent="0.3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</row>
    <row r="88" spans="1:19" ht="14.25" customHeight="1" x14ac:dyDescent="0.3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</row>
    <row r="89" spans="1:19" ht="14.25" customHeight="1" x14ac:dyDescent="0.3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</row>
    <row r="90" spans="1:19" ht="14.25" customHeigh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</row>
    <row r="91" spans="1:19" ht="14.25" customHeigh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</row>
    <row r="92" spans="1:19" ht="14.25" customHeight="1" x14ac:dyDescent="0.3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</row>
    <row r="93" spans="1:19" ht="14.25" customHeight="1" x14ac:dyDescent="0.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</row>
    <row r="94" spans="1:19" ht="14.25" customHeight="1" x14ac:dyDescent="0.3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</row>
    <row r="95" spans="1:19" ht="14.25" customHeight="1" x14ac:dyDescent="0.3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</row>
    <row r="96" spans="1:19" ht="14.25" customHeight="1" x14ac:dyDescent="0.3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</row>
    <row r="97" spans="1:19" ht="14.25" customHeight="1" x14ac:dyDescent="0.3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</row>
    <row r="98" spans="1:19" ht="14.25" customHeight="1" x14ac:dyDescent="0.3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</row>
    <row r="99" spans="1:19" ht="14.25" customHeight="1" x14ac:dyDescent="0.3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</row>
    <row r="100" spans="1:19" ht="14.25" customHeight="1" x14ac:dyDescent="0.3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</row>
    <row r="101" spans="1:19" ht="14.25" customHeight="1" x14ac:dyDescent="0.3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</row>
    <row r="102" spans="1:19" ht="14.25" customHeight="1" x14ac:dyDescent="0.3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</row>
    <row r="103" spans="1:19" ht="14.25" customHeight="1" x14ac:dyDescent="0.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</row>
    <row r="104" spans="1:19" ht="14.25" customHeight="1" x14ac:dyDescent="0.3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</row>
    <row r="105" spans="1:19" ht="14.25" customHeight="1" x14ac:dyDescent="0.3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</row>
    <row r="106" spans="1:19" ht="14.25" customHeight="1" x14ac:dyDescent="0.3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</row>
    <row r="107" spans="1:19" ht="14.25" customHeight="1" x14ac:dyDescent="0.3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</row>
    <row r="108" spans="1:19" ht="14.25" customHeight="1" x14ac:dyDescent="0.3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</row>
    <row r="109" spans="1:19" ht="14.25" customHeight="1" x14ac:dyDescent="0.3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</row>
    <row r="110" spans="1:19" ht="14.25" customHeight="1" x14ac:dyDescent="0.3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</row>
    <row r="111" spans="1:19" ht="14.25" customHeight="1" x14ac:dyDescent="0.3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</row>
    <row r="112" spans="1:19" ht="14.25" customHeight="1" x14ac:dyDescent="0.3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</row>
    <row r="113" spans="1:19" ht="14.25" customHeight="1" x14ac:dyDescent="0.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</row>
    <row r="114" spans="1:19" ht="14.25" customHeight="1" x14ac:dyDescent="0.3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</row>
    <row r="115" spans="1:19" ht="14.25" customHeight="1" x14ac:dyDescent="0.3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</row>
    <row r="116" spans="1:19" ht="14.25" customHeight="1" x14ac:dyDescent="0.3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</row>
    <row r="117" spans="1:19" ht="14.25" customHeight="1" x14ac:dyDescent="0.3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</row>
    <row r="118" spans="1:19" ht="14.25" customHeight="1" x14ac:dyDescent="0.3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</row>
    <row r="119" spans="1:19" ht="14.25" customHeight="1" x14ac:dyDescent="0.3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</row>
    <row r="120" spans="1:19" ht="14.25" customHeight="1" x14ac:dyDescent="0.3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</row>
    <row r="121" spans="1:19" ht="14.25" customHeight="1" x14ac:dyDescent="0.3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</row>
    <row r="122" spans="1:19" ht="14.25" customHeight="1" x14ac:dyDescent="0.3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</row>
    <row r="123" spans="1:19" ht="14.25" customHeight="1" x14ac:dyDescent="0.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</row>
    <row r="124" spans="1:19" ht="14.25" customHeight="1" x14ac:dyDescent="0.3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</row>
    <row r="125" spans="1:19" ht="14.25" customHeight="1" x14ac:dyDescent="0.3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</row>
    <row r="126" spans="1:19" ht="14.25" customHeight="1" x14ac:dyDescent="0.3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</row>
    <row r="127" spans="1:19" ht="14.25" customHeight="1" x14ac:dyDescent="0.3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</row>
    <row r="128" spans="1:19" ht="14.25" customHeight="1" x14ac:dyDescent="0.3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</row>
    <row r="129" spans="1:19" ht="14.25" customHeight="1" x14ac:dyDescent="0.3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</row>
    <row r="130" spans="1:19" ht="14.25" customHeight="1" x14ac:dyDescent="0.3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</row>
    <row r="131" spans="1:19" ht="14.25" customHeight="1" x14ac:dyDescent="0.3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</row>
    <row r="132" spans="1:19" ht="14.25" customHeight="1" x14ac:dyDescent="0.3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</row>
    <row r="133" spans="1:19" ht="14.25" customHeight="1" x14ac:dyDescent="0.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</row>
    <row r="134" spans="1:19" ht="14.25" customHeight="1" x14ac:dyDescent="0.3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</row>
    <row r="135" spans="1:19" ht="14.25" customHeight="1" x14ac:dyDescent="0.3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</row>
    <row r="136" spans="1:19" ht="14.25" customHeight="1" x14ac:dyDescent="0.3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</row>
    <row r="137" spans="1:19" ht="14.25" customHeight="1" x14ac:dyDescent="0.3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</row>
    <row r="138" spans="1:19" ht="14.25" customHeight="1" x14ac:dyDescent="0.3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</row>
    <row r="139" spans="1:19" ht="14.25" customHeight="1" x14ac:dyDescent="0.3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</row>
    <row r="140" spans="1:19" ht="14.25" customHeight="1" x14ac:dyDescent="0.3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</row>
    <row r="141" spans="1:19" ht="14.25" customHeight="1" x14ac:dyDescent="0.3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</row>
    <row r="142" spans="1:19" ht="14.25" customHeight="1" x14ac:dyDescent="0.3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</row>
    <row r="143" spans="1:19" ht="14.25" customHeight="1" x14ac:dyDescent="0.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</row>
    <row r="144" spans="1:19" ht="14.25" customHeight="1" x14ac:dyDescent="0.3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</row>
    <row r="145" spans="1:19" ht="14.25" customHeight="1" x14ac:dyDescent="0.3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</row>
    <row r="146" spans="1:19" ht="14.25" customHeight="1" x14ac:dyDescent="0.3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</row>
    <row r="147" spans="1:19" ht="14.25" customHeight="1" x14ac:dyDescent="0.3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</row>
    <row r="148" spans="1:19" ht="14.25" customHeight="1" x14ac:dyDescent="0.3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</row>
    <row r="149" spans="1:19" ht="14.25" customHeight="1" x14ac:dyDescent="0.3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</row>
    <row r="150" spans="1:19" ht="14.25" customHeight="1" x14ac:dyDescent="0.3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</row>
    <row r="151" spans="1:19" ht="14.25" customHeight="1" x14ac:dyDescent="0.3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</row>
    <row r="152" spans="1:19" ht="14.25" customHeight="1" x14ac:dyDescent="0.3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</row>
    <row r="153" spans="1:19" ht="14.25" customHeight="1" x14ac:dyDescent="0.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</row>
    <row r="154" spans="1:19" ht="14.25" customHeight="1" x14ac:dyDescent="0.3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</row>
    <row r="155" spans="1:19" ht="14.25" customHeight="1" x14ac:dyDescent="0.3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</row>
    <row r="156" spans="1:19" ht="14.25" customHeight="1" x14ac:dyDescent="0.3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</row>
    <row r="157" spans="1:19" ht="14.25" customHeight="1" x14ac:dyDescent="0.3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</row>
    <row r="158" spans="1:19" ht="14.25" customHeight="1" x14ac:dyDescent="0.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</row>
    <row r="159" spans="1:19" ht="14.25" customHeight="1" x14ac:dyDescent="0.3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</row>
    <row r="160" spans="1:19" ht="14.25" customHeight="1" x14ac:dyDescent="0.3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</row>
    <row r="161" spans="1:19" ht="14.25" customHeight="1" x14ac:dyDescent="0.3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</row>
    <row r="162" spans="1:19" ht="14.25" customHeight="1" x14ac:dyDescent="0.3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</row>
    <row r="163" spans="1:19" ht="14.25" customHeight="1" x14ac:dyDescent="0.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</row>
    <row r="164" spans="1:19" ht="14.25" customHeight="1" x14ac:dyDescent="0.3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</row>
    <row r="165" spans="1:19" ht="14.25" customHeight="1" x14ac:dyDescent="0.3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</row>
    <row r="166" spans="1:19" ht="14.25" customHeight="1" x14ac:dyDescent="0.3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</row>
    <row r="167" spans="1:19" ht="14.25" customHeight="1" x14ac:dyDescent="0.3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</row>
    <row r="168" spans="1:19" ht="14.25" customHeight="1" x14ac:dyDescent="0.3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</row>
    <row r="169" spans="1:19" ht="14.25" customHeight="1" x14ac:dyDescent="0.3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</row>
    <row r="170" spans="1:19" ht="14.25" customHeight="1" x14ac:dyDescent="0.3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</row>
    <row r="171" spans="1:19" ht="14.25" customHeight="1" x14ac:dyDescent="0.3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</row>
    <row r="172" spans="1:19" ht="14.25" customHeight="1" x14ac:dyDescent="0.3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</row>
    <row r="173" spans="1:19" ht="14.25" customHeight="1" x14ac:dyDescent="0.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</row>
    <row r="174" spans="1:19" ht="14.25" customHeight="1" x14ac:dyDescent="0.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</row>
    <row r="175" spans="1:19" ht="14.25" customHeight="1" x14ac:dyDescent="0.3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</row>
    <row r="176" spans="1:19" ht="14.25" customHeight="1" x14ac:dyDescent="0.3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</row>
    <row r="177" spans="1:19" ht="14.25" customHeight="1" x14ac:dyDescent="0.3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</row>
    <row r="178" spans="1:19" ht="14.25" customHeight="1" x14ac:dyDescent="0.3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</row>
    <row r="179" spans="1:19" ht="14.25" customHeight="1" x14ac:dyDescent="0.3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</row>
    <row r="180" spans="1:19" ht="14.25" customHeight="1" x14ac:dyDescent="0.3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</row>
    <row r="181" spans="1:19" ht="14.25" customHeight="1" x14ac:dyDescent="0.3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</row>
    <row r="182" spans="1:19" ht="14.25" customHeight="1" x14ac:dyDescent="0.3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</row>
    <row r="183" spans="1:19" ht="14.25" customHeight="1" x14ac:dyDescent="0.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</row>
    <row r="184" spans="1:19" ht="14.25" customHeight="1" x14ac:dyDescent="0.3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</row>
    <row r="185" spans="1:19" ht="14.25" customHeight="1" x14ac:dyDescent="0.3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</row>
    <row r="186" spans="1:19" ht="14.25" customHeight="1" x14ac:dyDescent="0.3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</row>
    <row r="187" spans="1:19" ht="14.25" customHeight="1" x14ac:dyDescent="0.3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</row>
    <row r="188" spans="1:19" ht="14.25" customHeight="1" x14ac:dyDescent="0.3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</row>
    <row r="189" spans="1:19" ht="14.25" customHeight="1" x14ac:dyDescent="0.3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</row>
    <row r="190" spans="1:19" ht="14.25" customHeight="1" x14ac:dyDescent="0.3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</row>
    <row r="191" spans="1:19" ht="14.25" customHeight="1" x14ac:dyDescent="0.3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O191" s="72"/>
      <c r="P191" s="72"/>
      <c r="Q191" s="72"/>
      <c r="R191" s="72"/>
      <c r="S191" s="72"/>
    </row>
    <row r="192" spans="1:19" ht="14.25" customHeight="1" x14ac:dyDescent="0.3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O192" s="72"/>
      <c r="P192" s="72"/>
      <c r="Q192" s="72"/>
      <c r="R192" s="72"/>
      <c r="S192" s="72"/>
    </row>
    <row r="193" spans="1:19" ht="14.25" customHeight="1" x14ac:dyDescent="0.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O193" s="72"/>
      <c r="P193" s="72"/>
      <c r="Q193" s="72"/>
      <c r="R193" s="72"/>
      <c r="S193" s="72"/>
    </row>
    <row r="194" spans="1:19" ht="14.25" customHeight="1" x14ac:dyDescent="0.3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O194" s="72"/>
      <c r="P194" s="72"/>
      <c r="Q194" s="72"/>
      <c r="R194" s="72"/>
      <c r="S194" s="72"/>
    </row>
    <row r="195" spans="1:19" ht="14.25" customHeight="1" x14ac:dyDescent="0.3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O195" s="72"/>
      <c r="P195" s="72"/>
      <c r="Q195" s="72"/>
      <c r="R195" s="72"/>
      <c r="S195" s="72"/>
    </row>
    <row r="196" spans="1:19" ht="14.25" customHeight="1" x14ac:dyDescent="0.3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O196" s="72"/>
      <c r="P196" s="72"/>
      <c r="Q196" s="72"/>
      <c r="R196" s="72"/>
      <c r="S196" s="72"/>
    </row>
    <row r="197" spans="1:19" ht="14.25" customHeight="1" x14ac:dyDescent="0.3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O197" s="72"/>
      <c r="P197" s="72"/>
      <c r="Q197" s="72"/>
      <c r="R197" s="72"/>
      <c r="S197" s="72"/>
    </row>
    <row r="198" spans="1:19" ht="14.25" customHeight="1" x14ac:dyDescent="0.3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O198" s="72"/>
      <c r="P198" s="72"/>
      <c r="Q198" s="72"/>
      <c r="R198" s="72"/>
      <c r="S198" s="72"/>
    </row>
    <row r="199" spans="1:19" ht="14.25" customHeight="1" x14ac:dyDescent="0.3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O199" s="72"/>
      <c r="P199" s="72"/>
      <c r="Q199" s="72"/>
      <c r="R199" s="72"/>
      <c r="S199" s="72"/>
    </row>
    <row r="200" spans="1:19" ht="14.25" customHeight="1" x14ac:dyDescent="0.3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O200" s="72"/>
      <c r="P200" s="72"/>
      <c r="Q200" s="72"/>
      <c r="R200" s="72"/>
      <c r="S200" s="72"/>
    </row>
    <row r="201" spans="1:19" ht="14.25" customHeight="1" x14ac:dyDescent="0.3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O201" s="72"/>
      <c r="P201" s="72"/>
      <c r="Q201" s="72"/>
      <c r="R201" s="72"/>
      <c r="S201" s="72"/>
    </row>
    <row r="202" spans="1:19" ht="14.25" customHeight="1" x14ac:dyDescent="0.3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O202" s="72"/>
      <c r="P202" s="72"/>
      <c r="Q202" s="72"/>
      <c r="R202" s="72"/>
      <c r="S202" s="72"/>
    </row>
    <row r="203" spans="1:19" ht="14.25" customHeight="1" x14ac:dyDescent="0.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O203" s="72"/>
      <c r="P203" s="72"/>
      <c r="Q203" s="72"/>
      <c r="R203" s="72"/>
      <c r="S203" s="72"/>
    </row>
    <row r="204" spans="1:19" ht="14.25" customHeight="1" x14ac:dyDescent="0.3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O204" s="72"/>
      <c r="P204" s="72"/>
      <c r="Q204" s="72"/>
      <c r="R204" s="72"/>
      <c r="S204" s="72"/>
    </row>
    <row r="205" spans="1:19" ht="14.25" customHeight="1" x14ac:dyDescent="0.3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O205" s="72"/>
      <c r="P205" s="72"/>
      <c r="Q205" s="72"/>
      <c r="R205" s="72"/>
      <c r="S205" s="72"/>
    </row>
    <row r="206" spans="1:19" ht="14.25" customHeight="1" x14ac:dyDescent="0.3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O206" s="72"/>
      <c r="P206" s="72"/>
      <c r="Q206" s="72"/>
      <c r="R206" s="72"/>
      <c r="S206" s="72"/>
    </row>
    <row r="207" spans="1:19" ht="14.25" customHeight="1" x14ac:dyDescent="0.3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O207" s="72"/>
      <c r="P207" s="72"/>
      <c r="Q207" s="72"/>
      <c r="R207" s="72"/>
      <c r="S207" s="72"/>
    </row>
    <row r="208" spans="1:19" ht="14.25" customHeight="1" x14ac:dyDescent="0.3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O208" s="72"/>
      <c r="P208" s="72"/>
      <c r="Q208" s="72"/>
      <c r="R208" s="72"/>
      <c r="S208" s="72"/>
    </row>
    <row r="209" spans="1:19" ht="14.25" customHeight="1" x14ac:dyDescent="0.3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O209" s="72"/>
      <c r="P209" s="72"/>
      <c r="Q209" s="72"/>
      <c r="R209" s="72"/>
      <c r="S209" s="72"/>
    </row>
    <row r="210" spans="1:19" ht="14.25" customHeight="1" x14ac:dyDescent="0.3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O210" s="72"/>
      <c r="P210" s="72"/>
      <c r="Q210" s="72"/>
      <c r="R210" s="72"/>
      <c r="S210" s="72"/>
    </row>
    <row r="211" spans="1:19" ht="14.25" customHeight="1" x14ac:dyDescent="0.3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O211" s="72"/>
      <c r="P211" s="72"/>
      <c r="Q211" s="72"/>
      <c r="R211" s="72"/>
      <c r="S211" s="72"/>
    </row>
    <row r="212" spans="1:19" ht="14.25" customHeight="1" x14ac:dyDescent="0.3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O212" s="72"/>
      <c r="P212" s="72"/>
      <c r="Q212" s="72"/>
      <c r="R212" s="72"/>
      <c r="S212" s="72"/>
    </row>
    <row r="213" spans="1:19" ht="14.25" customHeight="1" x14ac:dyDescent="0.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O213" s="72"/>
      <c r="P213" s="72"/>
      <c r="Q213" s="72"/>
      <c r="R213" s="72"/>
      <c r="S213" s="72"/>
    </row>
    <row r="214" spans="1:19" ht="14.25" customHeight="1" x14ac:dyDescent="0.3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O214" s="72"/>
      <c r="P214" s="72"/>
      <c r="Q214" s="72"/>
      <c r="R214" s="72"/>
      <c r="S214" s="72"/>
    </row>
    <row r="215" spans="1:19" ht="14.25" customHeight="1" x14ac:dyDescent="0.3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O215" s="72"/>
      <c r="P215" s="72"/>
      <c r="Q215" s="72"/>
      <c r="R215" s="72"/>
      <c r="S215" s="72"/>
    </row>
    <row r="216" spans="1:19" ht="14.25" customHeight="1" x14ac:dyDescent="0.3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O216" s="72"/>
      <c r="P216" s="72"/>
      <c r="Q216" s="72"/>
      <c r="R216" s="72"/>
      <c r="S216" s="72"/>
    </row>
    <row r="217" spans="1:19" ht="14.25" customHeight="1" x14ac:dyDescent="0.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O217" s="72"/>
      <c r="P217" s="72"/>
      <c r="Q217" s="72"/>
      <c r="R217" s="72"/>
      <c r="S217" s="72"/>
    </row>
    <row r="218" spans="1:19" ht="14.25" customHeight="1" x14ac:dyDescent="0.3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O218" s="72"/>
      <c r="P218" s="72"/>
      <c r="Q218" s="72"/>
      <c r="R218" s="72"/>
      <c r="S218" s="72"/>
    </row>
    <row r="219" spans="1:19" ht="14.25" customHeight="1" x14ac:dyDescent="0.3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O219" s="72"/>
      <c r="P219" s="72"/>
      <c r="Q219" s="72"/>
      <c r="R219" s="72"/>
      <c r="S219" s="72"/>
    </row>
    <row r="220" spans="1:19" ht="14.25" customHeight="1" x14ac:dyDescent="0.3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O220" s="72"/>
      <c r="P220" s="72"/>
      <c r="Q220" s="72"/>
      <c r="R220" s="72"/>
      <c r="S220" s="72"/>
    </row>
    <row r="221" spans="1:19" ht="14.25" customHeight="1" x14ac:dyDescent="0.3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O221" s="72"/>
      <c r="P221" s="72"/>
      <c r="Q221" s="72"/>
      <c r="R221" s="72"/>
      <c r="S221" s="72"/>
    </row>
    <row r="222" spans="1:19" ht="14.25" customHeight="1" x14ac:dyDescent="0.3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O222" s="72"/>
      <c r="P222" s="72"/>
      <c r="Q222" s="72"/>
      <c r="R222" s="72"/>
      <c r="S222" s="72"/>
    </row>
    <row r="223" spans="1:19" ht="14.25" customHeight="1" x14ac:dyDescent="0.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O223" s="72"/>
      <c r="P223" s="72"/>
      <c r="Q223" s="72"/>
      <c r="R223" s="72"/>
      <c r="S223" s="72"/>
    </row>
    <row r="224" spans="1:19" ht="14.25" customHeight="1" x14ac:dyDescent="0.3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O224" s="72"/>
      <c r="P224" s="72"/>
      <c r="Q224" s="72"/>
      <c r="R224" s="72"/>
      <c r="S224" s="72"/>
    </row>
    <row r="225" spans="1:19" ht="14.25" customHeight="1" x14ac:dyDescent="0.3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O225" s="72"/>
      <c r="P225" s="72"/>
      <c r="Q225" s="72"/>
      <c r="R225" s="72"/>
      <c r="S225" s="72"/>
    </row>
    <row r="226" spans="1:19" ht="14.25" customHeight="1" x14ac:dyDescent="0.3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O226" s="72"/>
      <c r="P226" s="72"/>
      <c r="Q226" s="72"/>
      <c r="R226" s="72"/>
      <c r="S226" s="72"/>
    </row>
    <row r="227" spans="1:19" ht="14.25" customHeight="1" x14ac:dyDescent="0.3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O227" s="72"/>
      <c r="P227" s="72"/>
      <c r="Q227" s="72"/>
      <c r="R227" s="72"/>
      <c r="S227" s="72"/>
    </row>
    <row r="228" spans="1:19" ht="14.25" customHeight="1" x14ac:dyDescent="0.3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O228" s="72"/>
      <c r="P228" s="72"/>
      <c r="Q228" s="72"/>
      <c r="R228" s="72"/>
      <c r="S228" s="72"/>
    </row>
    <row r="229" spans="1:19" ht="14.25" customHeight="1" x14ac:dyDescent="0.3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O229" s="72"/>
      <c r="P229" s="72"/>
      <c r="Q229" s="72"/>
      <c r="R229" s="72"/>
      <c r="S229" s="72"/>
    </row>
    <row r="230" spans="1:19" ht="14.25" customHeight="1" x14ac:dyDescent="0.3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O230" s="72"/>
      <c r="P230" s="72"/>
      <c r="Q230" s="72"/>
      <c r="R230" s="72"/>
      <c r="S230" s="72"/>
    </row>
    <row r="231" spans="1:19" ht="14.25" customHeight="1" x14ac:dyDescent="0.3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O231" s="72"/>
      <c r="P231" s="72"/>
      <c r="Q231" s="72"/>
      <c r="R231" s="72"/>
      <c r="S231" s="72"/>
    </row>
    <row r="232" spans="1:19" ht="14.25" customHeight="1" x14ac:dyDescent="0.3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O232" s="72"/>
      <c r="P232" s="72"/>
      <c r="Q232" s="72"/>
      <c r="R232" s="72"/>
      <c r="S232" s="72"/>
    </row>
    <row r="233" spans="1:19" ht="14.25" customHeight="1" x14ac:dyDescent="0.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O233" s="72"/>
      <c r="P233" s="72"/>
      <c r="Q233" s="72"/>
      <c r="R233" s="72"/>
      <c r="S233" s="72"/>
    </row>
    <row r="234" spans="1:19" ht="14.25" customHeight="1" x14ac:dyDescent="0.3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O234" s="72"/>
      <c r="P234" s="72"/>
      <c r="Q234" s="72"/>
      <c r="R234" s="72"/>
      <c r="S234" s="72"/>
    </row>
    <row r="235" spans="1:19" ht="14.25" customHeight="1" x14ac:dyDescent="0.3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O235" s="72"/>
      <c r="P235" s="72"/>
      <c r="Q235" s="72"/>
      <c r="R235" s="72"/>
      <c r="S235" s="72"/>
    </row>
    <row r="236" spans="1:19" ht="14.25" customHeight="1" x14ac:dyDescent="0.3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O236" s="72"/>
      <c r="P236" s="72"/>
      <c r="Q236" s="72"/>
      <c r="R236" s="72"/>
      <c r="S236" s="72"/>
    </row>
    <row r="237" spans="1:19" ht="14.25" customHeight="1" x14ac:dyDescent="0.3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O237" s="72"/>
      <c r="P237" s="72"/>
      <c r="Q237" s="72"/>
      <c r="R237" s="72"/>
      <c r="S237" s="72"/>
    </row>
    <row r="238" spans="1:19" ht="14.25" customHeight="1" x14ac:dyDescent="0.3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O238" s="72"/>
      <c r="P238" s="72"/>
      <c r="Q238" s="72"/>
      <c r="R238" s="72"/>
      <c r="S238" s="72"/>
    </row>
    <row r="239" spans="1:19" ht="14.25" customHeight="1" x14ac:dyDescent="0.3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O239" s="72"/>
      <c r="P239" s="72"/>
      <c r="Q239" s="72"/>
      <c r="R239" s="72"/>
      <c r="S239" s="72"/>
    </row>
    <row r="240" spans="1:19" ht="14.25" customHeight="1" x14ac:dyDescent="0.3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O240" s="72"/>
      <c r="P240" s="72"/>
      <c r="Q240" s="72"/>
      <c r="R240" s="72"/>
      <c r="S240" s="72"/>
    </row>
    <row r="241" spans="1:19" ht="14.25" customHeight="1" x14ac:dyDescent="0.3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O241" s="72"/>
      <c r="P241" s="72"/>
      <c r="Q241" s="72"/>
      <c r="R241" s="72"/>
      <c r="S241" s="72"/>
    </row>
    <row r="242" spans="1:19" ht="14.25" customHeight="1" x14ac:dyDescent="0.3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O242" s="72"/>
      <c r="P242" s="72"/>
      <c r="Q242" s="72"/>
      <c r="R242" s="72"/>
      <c r="S242" s="72"/>
    </row>
    <row r="243" spans="1:19" ht="14.25" customHeight="1" x14ac:dyDescent="0.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O243" s="72"/>
      <c r="P243" s="72"/>
      <c r="Q243" s="72"/>
      <c r="R243" s="72"/>
      <c r="S243" s="72"/>
    </row>
    <row r="244" spans="1:19" ht="14.25" customHeight="1" x14ac:dyDescent="0.3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O244" s="72"/>
      <c r="P244" s="72"/>
      <c r="Q244" s="72"/>
      <c r="R244" s="72"/>
      <c r="S244" s="72"/>
    </row>
    <row r="245" spans="1:19" ht="14.25" customHeight="1" x14ac:dyDescent="0.3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O245" s="72"/>
      <c r="P245" s="72"/>
      <c r="Q245" s="72"/>
      <c r="R245" s="72"/>
      <c r="S245" s="72"/>
    </row>
    <row r="246" spans="1:19" ht="14.25" customHeight="1" x14ac:dyDescent="0.3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O246" s="72"/>
      <c r="P246" s="72"/>
      <c r="Q246" s="72"/>
      <c r="R246" s="72"/>
      <c r="S246" s="72"/>
    </row>
    <row r="247" spans="1:19" ht="14.25" customHeight="1" x14ac:dyDescent="0.3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O247" s="72"/>
      <c r="P247" s="72"/>
      <c r="Q247" s="72"/>
      <c r="R247" s="72"/>
      <c r="S247" s="72"/>
    </row>
    <row r="248" spans="1:19" ht="14.25" customHeight="1" x14ac:dyDescent="0.3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O248" s="72"/>
      <c r="P248" s="72"/>
      <c r="Q248" s="72"/>
      <c r="R248" s="72"/>
      <c r="S248" s="72"/>
    </row>
    <row r="249" spans="1:19" ht="14.25" customHeight="1" x14ac:dyDescent="0.3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O249" s="72"/>
      <c r="P249" s="72"/>
      <c r="Q249" s="72"/>
      <c r="R249" s="72"/>
      <c r="S249" s="72"/>
    </row>
    <row r="250" spans="1:19" ht="14.25" customHeight="1" x14ac:dyDescent="0.3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O250" s="72"/>
      <c r="P250" s="72"/>
      <c r="Q250" s="72"/>
      <c r="R250" s="72"/>
      <c r="S250" s="72"/>
    </row>
    <row r="251" spans="1:19" ht="14.25" customHeight="1" x14ac:dyDescent="0.3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O251" s="72"/>
      <c r="P251" s="72"/>
      <c r="Q251" s="72"/>
      <c r="R251" s="72"/>
      <c r="S251" s="72"/>
    </row>
    <row r="252" spans="1:19" ht="14.25" customHeight="1" x14ac:dyDescent="0.3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O252" s="72"/>
      <c r="P252" s="72"/>
      <c r="Q252" s="72"/>
      <c r="R252" s="72"/>
      <c r="S252" s="72"/>
    </row>
    <row r="253" spans="1:19" ht="14.25" customHeight="1" x14ac:dyDescent="0.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O253" s="72"/>
      <c r="P253" s="72"/>
      <c r="Q253" s="72"/>
      <c r="R253" s="72"/>
      <c r="S253" s="72"/>
    </row>
    <row r="254" spans="1:19" ht="14.25" customHeight="1" x14ac:dyDescent="0.3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O254" s="72"/>
      <c r="P254" s="72"/>
      <c r="Q254" s="72"/>
      <c r="R254" s="72"/>
      <c r="S254" s="72"/>
    </row>
    <row r="255" spans="1:19" ht="14.25" customHeight="1" x14ac:dyDescent="0.3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O255" s="72"/>
      <c r="P255" s="72"/>
      <c r="Q255" s="72"/>
      <c r="R255" s="72"/>
      <c r="S255" s="72"/>
    </row>
    <row r="256" spans="1:19" ht="14.25" customHeight="1" x14ac:dyDescent="0.3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O256" s="72"/>
      <c r="P256" s="72"/>
      <c r="Q256" s="72"/>
      <c r="R256" s="72"/>
      <c r="S256" s="72"/>
    </row>
    <row r="257" spans="1:19" ht="14.25" customHeight="1" x14ac:dyDescent="0.3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O257" s="72"/>
      <c r="P257" s="72"/>
      <c r="Q257" s="72"/>
      <c r="R257" s="72"/>
      <c r="S257" s="72"/>
    </row>
    <row r="258" spans="1:19" ht="14.25" customHeight="1" x14ac:dyDescent="0.3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O258" s="72"/>
      <c r="P258" s="72"/>
      <c r="Q258" s="72"/>
      <c r="R258" s="72"/>
      <c r="S258" s="72"/>
    </row>
    <row r="259" spans="1:19" ht="14.25" customHeight="1" x14ac:dyDescent="0.3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O259" s="72"/>
      <c r="P259" s="72"/>
      <c r="Q259" s="72"/>
      <c r="R259" s="72"/>
      <c r="S259" s="72"/>
    </row>
    <row r="260" spans="1:19" ht="14.25" customHeight="1" x14ac:dyDescent="0.3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O260" s="72"/>
      <c r="P260" s="72"/>
      <c r="Q260" s="72"/>
      <c r="R260" s="72"/>
      <c r="S260" s="72"/>
    </row>
    <row r="261" spans="1:19" ht="14.25" customHeight="1" x14ac:dyDescent="0.3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O261" s="72"/>
      <c r="P261" s="72"/>
      <c r="Q261" s="72"/>
      <c r="R261" s="72"/>
      <c r="S261" s="72"/>
    </row>
    <row r="262" spans="1:19" ht="14.25" customHeight="1" x14ac:dyDescent="0.3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O262" s="72"/>
      <c r="P262" s="72"/>
      <c r="Q262" s="72"/>
      <c r="R262" s="72"/>
      <c r="S262" s="72"/>
    </row>
    <row r="263" spans="1:19" ht="14.25" customHeight="1" x14ac:dyDescent="0.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O263" s="72"/>
      <c r="P263" s="72"/>
      <c r="Q263" s="72"/>
      <c r="R263" s="72"/>
      <c r="S263" s="72"/>
    </row>
    <row r="264" spans="1:19" ht="14.25" customHeight="1" x14ac:dyDescent="0.3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O264" s="72"/>
      <c r="P264" s="72"/>
      <c r="Q264" s="72"/>
      <c r="R264" s="72"/>
      <c r="S264" s="72"/>
    </row>
    <row r="265" spans="1:19" ht="14.25" customHeight="1" x14ac:dyDescent="0.3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O265" s="72"/>
      <c r="P265" s="72"/>
      <c r="Q265" s="72"/>
      <c r="R265" s="72"/>
      <c r="S265" s="72"/>
    </row>
    <row r="266" spans="1:19" ht="14.25" customHeight="1" x14ac:dyDescent="0.3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O266" s="72"/>
      <c r="P266" s="72"/>
      <c r="Q266" s="72"/>
      <c r="R266" s="72"/>
      <c r="S266" s="72"/>
    </row>
    <row r="267" spans="1:19" ht="14.25" customHeight="1" x14ac:dyDescent="0.3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O267" s="72"/>
      <c r="P267" s="72"/>
      <c r="Q267" s="72"/>
      <c r="R267" s="72"/>
      <c r="S267" s="72"/>
    </row>
    <row r="268" spans="1:19" ht="14.25" customHeight="1" x14ac:dyDescent="0.3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O268" s="72"/>
      <c r="P268" s="72"/>
      <c r="Q268" s="72"/>
      <c r="R268" s="72"/>
      <c r="S268" s="72"/>
    </row>
    <row r="269" spans="1:19" ht="14.25" customHeight="1" x14ac:dyDescent="0.3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O269" s="72"/>
      <c r="P269" s="72"/>
      <c r="Q269" s="72"/>
      <c r="R269" s="72"/>
      <c r="S269" s="72"/>
    </row>
    <row r="270" spans="1:19" ht="14.25" customHeight="1" x14ac:dyDescent="0.3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O270" s="72"/>
      <c r="P270" s="72"/>
      <c r="Q270" s="72"/>
      <c r="R270" s="72"/>
      <c r="S270" s="72"/>
    </row>
    <row r="271" spans="1:19" ht="14.25" customHeight="1" x14ac:dyDescent="0.3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O271" s="72"/>
      <c r="P271" s="72"/>
      <c r="Q271" s="72"/>
      <c r="R271" s="72"/>
      <c r="S271" s="72"/>
    </row>
    <row r="272" spans="1:19" ht="14.25" customHeight="1" x14ac:dyDescent="0.3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O272" s="72"/>
      <c r="P272" s="72"/>
      <c r="Q272" s="72"/>
      <c r="R272" s="72"/>
      <c r="S272" s="72"/>
    </row>
    <row r="273" spans="1:19" ht="14.25" customHeight="1" x14ac:dyDescent="0.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O273" s="72"/>
      <c r="P273" s="72"/>
      <c r="Q273" s="72"/>
      <c r="R273" s="72"/>
      <c r="S273" s="72"/>
    </row>
    <row r="274" spans="1:19" ht="14.25" customHeight="1" x14ac:dyDescent="0.3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O274" s="72"/>
      <c r="P274" s="72"/>
      <c r="Q274" s="72"/>
      <c r="R274" s="72"/>
      <c r="S274" s="72"/>
    </row>
    <row r="275" spans="1:19" ht="14.25" customHeight="1" x14ac:dyDescent="0.3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O275" s="72"/>
      <c r="P275" s="72"/>
      <c r="Q275" s="72"/>
      <c r="R275" s="72"/>
      <c r="S275" s="72"/>
    </row>
    <row r="276" spans="1:19" ht="14.25" customHeight="1" x14ac:dyDescent="0.3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O276" s="72"/>
      <c r="P276" s="72"/>
      <c r="Q276" s="72"/>
      <c r="R276" s="72"/>
      <c r="S276" s="72"/>
    </row>
    <row r="277" spans="1:19" ht="14.25" customHeight="1" x14ac:dyDescent="0.3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O277" s="72"/>
      <c r="P277" s="72"/>
      <c r="Q277" s="72"/>
      <c r="R277" s="72"/>
      <c r="S277" s="72"/>
    </row>
    <row r="278" spans="1:19" ht="14.25" customHeight="1" x14ac:dyDescent="0.3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O278" s="72"/>
      <c r="P278" s="72"/>
      <c r="Q278" s="72"/>
      <c r="R278" s="72"/>
      <c r="S278" s="72"/>
    </row>
    <row r="279" spans="1:19" ht="14.25" customHeight="1" x14ac:dyDescent="0.3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O279" s="72"/>
      <c r="P279" s="72"/>
      <c r="Q279" s="72"/>
      <c r="R279" s="72"/>
      <c r="S279" s="72"/>
    </row>
    <row r="280" spans="1:19" ht="14.25" customHeight="1" x14ac:dyDescent="0.3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O280" s="72"/>
      <c r="P280" s="72"/>
      <c r="Q280" s="72"/>
      <c r="R280" s="72"/>
      <c r="S280" s="72"/>
    </row>
    <row r="281" spans="1:19" ht="14.25" customHeight="1" x14ac:dyDescent="0.3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O281" s="72"/>
      <c r="P281" s="72"/>
      <c r="Q281" s="72"/>
      <c r="R281" s="72"/>
      <c r="S281" s="72"/>
    </row>
    <row r="282" spans="1:19" ht="14.25" customHeight="1" x14ac:dyDescent="0.3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O282" s="72"/>
      <c r="P282" s="72"/>
      <c r="Q282" s="72"/>
      <c r="R282" s="72"/>
      <c r="S282" s="72"/>
    </row>
    <row r="283" spans="1:19" ht="14.25" customHeight="1" x14ac:dyDescent="0.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O283" s="72"/>
      <c r="P283" s="72"/>
      <c r="Q283" s="72"/>
      <c r="R283" s="72"/>
      <c r="S283" s="72"/>
    </row>
    <row r="284" spans="1:19" ht="14.25" customHeight="1" x14ac:dyDescent="0.3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O284" s="72"/>
      <c r="P284" s="72"/>
      <c r="Q284" s="72"/>
      <c r="R284" s="72"/>
      <c r="S284" s="72"/>
    </row>
    <row r="285" spans="1:19" ht="14.25" customHeight="1" x14ac:dyDescent="0.3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O285" s="72"/>
      <c r="P285" s="72"/>
      <c r="Q285" s="72"/>
      <c r="R285" s="72"/>
      <c r="S285" s="72"/>
    </row>
    <row r="286" spans="1:19" ht="14.25" customHeight="1" x14ac:dyDescent="0.3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O286" s="72"/>
      <c r="P286" s="72"/>
      <c r="Q286" s="72"/>
      <c r="R286" s="72"/>
      <c r="S286" s="72"/>
    </row>
    <row r="287" spans="1:19" ht="14.25" customHeight="1" x14ac:dyDescent="0.3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O287" s="72"/>
      <c r="P287" s="72"/>
      <c r="Q287" s="72"/>
      <c r="R287" s="72"/>
      <c r="S287" s="72"/>
    </row>
    <row r="288" spans="1:19" ht="14.25" customHeight="1" x14ac:dyDescent="0.3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O288" s="72"/>
      <c r="P288" s="72"/>
      <c r="Q288" s="72"/>
      <c r="R288" s="72"/>
      <c r="S288" s="72"/>
    </row>
    <row r="289" spans="1:19" ht="14.25" customHeight="1" x14ac:dyDescent="0.3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O289" s="72"/>
      <c r="P289" s="72"/>
      <c r="Q289" s="72"/>
      <c r="R289" s="72"/>
      <c r="S289" s="72"/>
    </row>
    <row r="290" spans="1:19" ht="14.25" customHeight="1" x14ac:dyDescent="0.3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O290" s="72"/>
      <c r="P290" s="72"/>
      <c r="Q290" s="72"/>
      <c r="R290" s="72"/>
      <c r="S290" s="72"/>
    </row>
    <row r="291" spans="1:19" ht="14.25" customHeight="1" x14ac:dyDescent="0.3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O291" s="72"/>
      <c r="P291" s="72"/>
      <c r="Q291" s="72"/>
      <c r="R291" s="72"/>
      <c r="S291" s="72"/>
    </row>
    <row r="292" spans="1:19" ht="14.25" customHeight="1" x14ac:dyDescent="0.3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O292" s="72"/>
      <c r="P292" s="72"/>
      <c r="Q292" s="72"/>
      <c r="R292" s="72"/>
      <c r="S292" s="72"/>
    </row>
    <row r="293" spans="1:19" ht="14.25" customHeight="1" x14ac:dyDescent="0.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O293" s="72"/>
      <c r="P293" s="72"/>
      <c r="Q293" s="72"/>
      <c r="R293" s="72"/>
      <c r="S293" s="72"/>
    </row>
    <row r="294" spans="1:19" ht="14.25" customHeight="1" x14ac:dyDescent="0.3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O294" s="72"/>
      <c r="P294" s="72"/>
      <c r="Q294" s="72"/>
      <c r="R294" s="72"/>
      <c r="S294" s="72"/>
    </row>
    <row r="295" spans="1:19" ht="14.25" customHeight="1" x14ac:dyDescent="0.3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O295" s="72"/>
      <c r="P295" s="72"/>
      <c r="Q295" s="72"/>
      <c r="R295" s="72"/>
      <c r="S295" s="72"/>
    </row>
    <row r="296" spans="1:19" ht="14.25" customHeight="1" x14ac:dyDescent="0.3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O296" s="72"/>
      <c r="P296" s="72"/>
      <c r="Q296" s="72"/>
      <c r="R296" s="72"/>
      <c r="S296" s="72"/>
    </row>
    <row r="297" spans="1:19" ht="14.25" customHeight="1" x14ac:dyDescent="0.3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O297" s="72"/>
      <c r="P297" s="72"/>
      <c r="Q297" s="72"/>
      <c r="R297" s="72"/>
      <c r="S297" s="72"/>
    </row>
    <row r="298" spans="1:19" ht="14.25" customHeight="1" x14ac:dyDescent="0.3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O298" s="72"/>
      <c r="P298" s="72"/>
      <c r="Q298" s="72"/>
      <c r="R298" s="72"/>
      <c r="S298" s="72"/>
    </row>
    <row r="299" spans="1:19" ht="14.25" customHeight="1" x14ac:dyDescent="0.3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O299" s="72"/>
      <c r="P299" s="72"/>
      <c r="Q299" s="72"/>
      <c r="R299" s="72"/>
      <c r="S299" s="72"/>
    </row>
    <row r="300" spans="1:19" ht="14.25" customHeight="1" x14ac:dyDescent="0.3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O300" s="72"/>
      <c r="P300" s="72"/>
      <c r="Q300" s="72"/>
      <c r="R300" s="72"/>
      <c r="S300" s="72"/>
    </row>
    <row r="301" spans="1:19" ht="14.25" customHeight="1" x14ac:dyDescent="0.3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O301" s="72"/>
      <c r="P301" s="72"/>
      <c r="Q301" s="72"/>
      <c r="R301" s="72"/>
      <c r="S301" s="72"/>
    </row>
    <row r="302" spans="1:19" ht="14.25" customHeight="1" x14ac:dyDescent="0.3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O302" s="72"/>
      <c r="P302" s="72"/>
      <c r="Q302" s="72"/>
      <c r="R302" s="72"/>
      <c r="S302" s="72"/>
    </row>
    <row r="303" spans="1:19" ht="14.25" customHeight="1" x14ac:dyDescent="0.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O303" s="72"/>
      <c r="P303" s="72"/>
      <c r="Q303" s="72"/>
      <c r="R303" s="72"/>
      <c r="S303" s="72"/>
    </row>
    <row r="304" spans="1:19" ht="14.25" customHeight="1" x14ac:dyDescent="0.3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O304" s="72"/>
      <c r="P304" s="72"/>
      <c r="Q304" s="72"/>
      <c r="R304" s="72"/>
      <c r="S304" s="72"/>
    </row>
    <row r="305" spans="1:19" ht="14.25" customHeight="1" x14ac:dyDescent="0.3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O305" s="72"/>
      <c r="P305" s="72"/>
      <c r="Q305" s="72"/>
      <c r="R305" s="72"/>
      <c r="S305" s="72"/>
    </row>
    <row r="306" spans="1:19" ht="14.25" customHeight="1" x14ac:dyDescent="0.3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O306" s="72"/>
      <c r="P306" s="72"/>
      <c r="Q306" s="72"/>
      <c r="R306" s="72"/>
      <c r="S306" s="72"/>
    </row>
    <row r="307" spans="1:19" ht="14.25" customHeight="1" x14ac:dyDescent="0.3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O307" s="72"/>
      <c r="P307" s="72"/>
      <c r="Q307" s="72"/>
      <c r="R307" s="72"/>
      <c r="S307" s="72"/>
    </row>
    <row r="308" spans="1:19" ht="14.25" customHeight="1" x14ac:dyDescent="0.3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O308" s="72"/>
      <c r="P308" s="72"/>
      <c r="Q308" s="72"/>
      <c r="R308" s="72"/>
      <c r="S308" s="72"/>
    </row>
    <row r="309" spans="1:19" ht="14.25" customHeight="1" x14ac:dyDescent="0.3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O309" s="72"/>
      <c r="P309" s="72"/>
      <c r="Q309" s="72"/>
      <c r="R309" s="72"/>
      <c r="S309" s="72"/>
    </row>
    <row r="310" spans="1:19" ht="14.25" customHeight="1" x14ac:dyDescent="0.3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O310" s="72"/>
      <c r="P310" s="72"/>
      <c r="Q310" s="72"/>
      <c r="R310" s="72"/>
      <c r="S310" s="72"/>
    </row>
    <row r="311" spans="1:19" ht="14.25" customHeight="1" x14ac:dyDescent="0.3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O311" s="72"/>
      <c r="P311" s="72"/>
      <c r="Q311" s="72"/>
      <c r="R311" s="72"/>
      <c r="S311" s="72"/>
    </row>
    <row r="312" spans="1:19" ht="14.25" customHeight="1" x14ac:dyDescent="0.3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O312" s="72"/>
      <c r="P312" s="72"/>
      <c r="Q312" s="72"/>
      <c r="R312" s="72"/>
      <c r="S312" s="72"/>
    </row>
    <row r="313" spans="1:19" ht="14.25" customHeight="1" x14ac:dyDescent="0.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O313" s="72"/>
      <c r="P313" s="72"/>
      <c r="Q313" s="72"/>
      <c r="R313" s="72"/>
      <c r="S313" s="72"/>
    </row>
    <row r="314" spans="1:19" ht="14.25" customHeight="1" x14ac:dyDescent="0.3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O314" s="72"/>
      <c r="P314" s="72"/>
      <c r="Q314" s="72"/>
      <c r="R314" s="72"/>
      <c r="S314" s="72"/>
    </row>
    <row r="315" spans="1:19" ht="14.25" customHeight="1" x14ac:dyDescent="0.3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O315" s="72"/>
      <c r="P315" s="72"/>
      <c r="Q315" s="72"/>
      <c r="R315" s="72"/>
      <c r="S315" s="72"/>
    </row>
    <row r="316" spans="1:19" ht="14.25" customHeight="1" x14ac:dyDescent="0.3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O316" s="72"/>
      <c r="P316" s="72"/>
      <c r="Q316" s="72"/>
      <c r="R316" s="72"/>
      <c r="S316" s="72"/>
    </row>
    <row r="317" spans="1:19" ht="14.25" customHeight="1" x14ac:dyDescent="0.3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O317" s="72"/>
      <c r="P317" s="72"/>
      <c r="Q317" s="72"/>
      <c r="R317" s="72"/>
      <c r="S317" s="72"/>
    </row>
    <row r="318" spans="1:19" ht="14.25" customHeight="1" x14ac:dyDescent="0.3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O318" s="72"/>
      <c r="P318" s="72"/>
      <c r="Q318" s="72"/>
      <c r="R318" s="72"/>
      <c r="S318" s="72"/>
    </row>
    <row r="319" spans="1:19" ht="14.25" customHeight="1" x14ac:dyDescent="0.3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O319" s="72"/>
      <c r="P319" s="72"/>
      <c r="Q319" s="72"/>
      <c r="R319" s="72"/>
      <c r="S319" s="72"/>
    </row>
    <row r="320" spans="1:19" ht="14.25" customHeight="1" x14ac:dyDescent="0.3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O320" s="72"/>
      <c r="P320" s="72"/>
      <c r="Q320" s="72"/>
      <c r="R320" s="72"/>
      <c r="S320" s="72"/>
    </row>
    <row r="321" spans="1:19" ht="14.25" customHeight="1" x14ac:dyDescent="0.3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O321" s="72"/>
      <c r="P321" s="72"/>
      <c r="Q321" s="72"/>
      <c r="R321" s="72"/>
      <c r="S321" s="72"/>
    </row>
    <row r="322" spans="1:19" ht="14.25" customHeight="1" x14ac:dyDescent="0.3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O322" s="72"/>
      <c r="P322" s="72"/>
      <c r="Q322" s="72"/>
      <c r="R322" s="72"/>
      <c r="S322" s="72"/>
    </row>
    <row r="323" spans="1:19" ht="14.25" customHeight="1" x14ac:dyDescent="0.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O323" s="72"/>
      <c r="P323" s="72"/>
      <c r="Q323" s="72"/>
      <c r="R323" s="72"/>
      <c r="S323" s="72"/>
    </row>
    <row r="324" spans="1:19" ht="14.25" customHeight="1" x14ac:dyDescent="0.3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O324" s="72"/>
      <c r="P324" s="72"/>
      <c r="Q324" s="72"/>
      <c r="R324" s="72"/>
      <c r="S324" s="72"/>
    </row>
    <row r="325" spans="1:19" ht="14.25" customHeight="1" x14ac:dyDescent="0.3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O325" s="72"/>
      <c r="P325" s="72"/>
      <c r="Q325" s="72"/>
      <c r="R325" s="72"/>
      <c r="S325" s="72"/>
    </row>
    <row r="326" spans="1:19" ht="14.25" customHeight="1" x14ac:dyDescent="0.3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O326" s="72"/>
      <c r="P326" s="72"/>
      <c r="Q326" s="72"/>
      <c r="R326" s="72"/>
      <c r="S326" s="72"/>
    </row>
    <row r="327" spans="1:19" ht="14.25" customHeight="1" x14ac:dyDescent="0.3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O327" s="72"/>
      <c r="P327" s="72"/>
      <c r="Q327" s="72"/>
      <c r="R327" s="72"/>
      <c r="S327" s="72"/>
    </row>
    <row r="328" spans="1:19" ht="14.25" customHeight="1" x14ac:dyDescent="0.3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O328" s="72"/>
      <c r="P328" s="72"/>
      <c r="Q328" s="72"/>
      <c r="R328" s="72"/>
      <c r="S328" s="72"/>
    </row>
    <row r="329" spans="1:19" ht="14.25" customHeight="1" x14ac:dyDescent="0.3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O329" s="72"/>
      <c r="P329" s="72"/>
      <c r="Q329" s="72"/>
      <c r="R329" s="72"/>
      <c r="S329" s="72"/>
    </row>
    <row r="330" spans="1:19" ht="14.25" customHeight="1" x14ac:dyDescent="0.3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O330" s="72"/>
      <c r="P330" s="72"/>
      <c r="Q330" s="72"/>
      <c r="R330" s="72"/>
      <c r="S330" s="72"/>
    </row>
    <row r="331" spans="1:19" ht="14.25" customHeight="1" x14ac:dyDescent="0.3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O331" s="72"/>
      <c r="P331" s="72"/>
      <c r="Q331" s="72"/>
      <c r="R331" s="72"/>
      <c r="S331" s="72"/>
    </row>
    <row r="332" spans="1:19" ht="14.25" customHeight="1" x14ac:dyDescent="0.3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O332" s="72"/>
      <c r="P332" s="72"/>
      <c r="Q332" s="72"/>
      <c r="R332" s="72"/>
      <c r="S332" s="72"/>
    </row>
    <row r="333" spans="1:19" ht="14.25" customHeight="1" x14ac:dyDescent="0.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O333" s="72"/>
      <c r="P333" s="72"/>
      <c r="Q333" s="72"/>
      <c r="R333" s="72"/>
      <c r="S333" s="72"/>
    </row>
    <row r="334" spans="1:19" ht="14.25" customHeight="1" x14ac:dyDescent="0.3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O334" s="72"/>
      <c r="P334" s="72"/>
      <c r="Q334" s="72"/>
      <c r="R334" s="72"/>
      <c r="S334" s="72"/>
    </row>
    <row r="335" spans="1:19" ht="14.25" customHeight="1" x14ac:dyDescent="0.3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O335" s="72"/>
      <c r="P335" s="72"/>
      <c r="Q335" s="72"/>
      <c r="R335" s="72"/>
      <c r="S335" s="72"/>
    </row>
    <row r="336" spans="1:19" ht="14.25" customHeight="1" x14ac:dyDescent="0.3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O336" s="72"/>
      <c r="P336" s="72"/>
      <c r="Q336" s="72"/>
      <c r="R336" s="72"/>
      <c r="S336" s="72"/>
    </row>
    <row r="337" spans="1:19" ht="14.25" customHeight="1" x14ac:dyDescent="0.3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O337" s="72"/>
      <c r="P337" s="72"/>
      <c r="Q337" s="72"/>
      <c r="R337" s="72"/>
      <c r="S337" s="72"/>
    </row>
    <row r="338" spans="1:19" ht="14.25" customHeight="1" x14ac:dyDescent="0.3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O338" s="72"/>
      <c r="P338" s="72"/>
      <c r="Q338" s="72"/>
      <c r="R338" s="72"/>
      <c r="S338" s="72"/>
    </row>
    <row r="339" spans="1:19" ht="14.25" customHeight="1" x14ac:dyDescent="0.3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O339" s="72"/>
      <c r="P339" s="72"/>
      <c r="Q339" s="72"/>
      <c r="R339" s="72"/>
      <c r="S339" s="72"/>
    </row>
    <row r="340" spans="1:19" ht="14.25" customHeight="1" x14ac:dyDescent="0.3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O340" s="72"/>
      <c r="P340" s="72"/>
      <c r="Q340" s="72"/>
      <c r="R340" s="72"/>
      <c r="S340" s="72"/>
    </row>
    <row r="341" spans="1:19" ht="14.25" customHeight="1" x14ac:dyDescent="0.3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O341" s="72"/>
      <c r="P341" s="72"/>
      <c r="Q341" s="72"/>
      <c r="R341" s="72"/>
      <c r="S341" s="72"/>
    </row>
    <row r="342" spans="1:19" ht="14.25" customHeight="1" x14ac:dyDescent="0.3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O342" s="72"/>
      <c r="P342" s="72"/>
      <c r="Q342" s="72"/>
      <c r="R342" s="72"/>
      <c r="S342" s="72"/>
    </row>
    <row r="343" spans="1:19" ht="14.25" customHeight="1" x14ac:dyDescent="0.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O343" s="72"/>
      <c r="P343" s="72"/>
      <c r="Q343" s="72"/>
      <c r="R343" s="72"/>
      <c r="S343" s="72"/>
    </row>
    <row r="344" spans="1:19" ht="14.25" customHeight="1" x14ac:dyDescent="0.3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O344" s="72"/>
      <c r="P344" s="72"/>
      <c r="Q344" s="72"/>
      <c r="R344" s="72"/>
      <c r="S344" s="72"/>
    </row>
    <row r="345" spans="1:19" ht="14.25" customHeight="1" x14ac:dyDescent="0.3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O345" s="72"/>
      <c r="P345" s="72"/>
      <c r="Q345" s="72"/>
      <c r="R345" s="72"/>
      <c r="S345" s="72"/>
    </row>
    <row r="346" spans="1:19" ht="14.25" customHeight="1" x14ac:dyDescent="0.3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O346" s="72"/>
      <c r="P346" s="72"/>
      <c r="Q346" s="72"/>
      <c r="R346" s="72"/>
      <c r="S346" s="72"/>
    </row>
    <row r="347" spans="1:19" ht="14.25" customHeight="1" x14ac:dyDescent="0.3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O347" s="72"/>
      <c r="P347" s="72"/>
      <c r="Q347" s="72"/>
      <c r="R347" s="72"/>
      <c r="S347" s="72"/>
    </row>
    <row r="348" spans="1:19" ht="14.25" customHeight="1" x14ac:dyDescent="0.3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O348" s="72"/>
      <c r="P348" s="72"/>
      <c r="Q348" s="72"/>
      <c r="R348" s="72"/>
      <c r="S348" s="72"/>
    </row>
    <row r="349" spans="1:19" ht="14.25" customHeight="1" x14ac:dyDescent="0.3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O349" s="72"/>
      <c r="P349" s="72"/>
      <c r="Q349" s="72"/>
      <c r="R349" s="72"/>
      <c r="S349" s="72"/>
    </row>
    <row r="350" spans="1:19" ht="14.25" customHeight="1" x14ac:dyDescent="0.3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O350" s="72"/>
      <c r="P350" s="72"/>
      <c r="Q350" s="72"/>
      <c r="R350" s="72"/>
      <c r="S350" s="72"/>
    </row>
    <row r="351" spans="1:19" ht="14.25" customHeight="1" x14ac:dyDescent="0.3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O351" s="72"/>
      <c r="P351" s="72"/>
      <c r="Q351" s="72"/>
      <c r="R351" s="72"/>
      <c r="S351" s="72"/>
    </row>
    <row r="352" spans="1:19" ht="14.25" customHeight="1" x14ac:dyDescent="0.3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O352" s="72"/>
      <c r="P352" s="72"/>
      <c r="Q352" s="72"/>
      <c r="R352" s="72"/>
      <c r="S352" s="72"/>
    </row>
    <row r="353" spans="1:19" ht="14.25" customHeight="1" x14ac:dyDescent="0.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O353" s="72"/>
      <c r="P353" s="72"/>
      <c r="Q353" s="72"/>
      <c r="R353" s="72"/>
      <c r="S353" s="72"/>
    </row>
    <row r="354" spans="1:19" ht="14.25" customHeight="1" x14ac:dyDescent="0.3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O354" s="72"/>
      <c r="P354" s="72"/>
      <c r="Q354" s="72"/>
      <c r="R354" s="72"/>
      <c r="S354" s="72"/>
    </row>
    <row r="355" spans="1:19" ht="14.25" customHeight="1" x14ac:dyDescent="0.3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O355" s="72"/>
      <c r="P355" s="72"/>
      <c r="Q355" s="72"/>
      <c r="R355" s="72"/>
      <c r="S355" s="72"/>
    </row>
    <row r="356" spans="1:19" ht="14.25" customHeight="1" x14ac:dyDescent="0.3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O356" s="72"/>
      <c r="P356" s="72"/>
      <c r="Q356" s="72"/>
      <c r="R356" s="72"/>
      <c r="S356" s="72"/>
    </row>
    <row r="357" spans="1:19" ht="14.25" customHeight="1" x14ac:dyDescent="0.3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O357" s="72"/>
      <c r="P357" s="72"/>
      <c r="Q357" s="72"/>
      <c r="R357" s="72"/>
      <c r="S357" s="72"/>
    </row>
    <row r="358" spans="1:19" ht="14.25" customHeight="1" x14ac:dyDescent="0.3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O358" s="72"/>
      <c r="P358" s="72"/>
      <c r="Q358" s="72"/>
      <c r="R358" s="72"/>
      <c r="S358" s="72"/>
    </row>
    <row r="359" spans="1:19" ht="14.25" customHeight="1" x14ac:dyDescent="0.3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O359" s="72"/>
      <c r="P359" s="72"/>
      <c r="Q359" s="72"/>
      <c r="R359" s="72"/>
      <c r="S359" s="72"/>
    </row>
    <row r="360" spans="1:19" ht="14.25" customHeight="1" x14ac:dyDescent="0.3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O360" s="72"/>
      <c r="P360" s="72"/>
      <c r="Q360" s="72"/>
      <c r="R360" s="72"/>
      <c r="S360" s="72"/>
    </row>
    <row r="361" spans="1:19" ht="14.25" customHeight="1" x14ac:dyDescent="0.3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O361" s="72"/>
      <c r="P361" s="72"/>
      <c r="Q361" s="72"/>
      <c r="R361" s="72"/>
      <c r="S361" s="72"/>
    </row>
    <row r="362" spans="1:19" ht="14.25" customHeight="1" x14ac:dyDescent="0.3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O362" s="72"/>
      <c r="P362" s="72"/>
      <c r="Q362" s="72"/>
      <c r="R362" s="72"/>
      <c r="S362" s="72"/>
    </row>
    <row r="363" spans="1:19" ht="14.25" customHeight="1" x14ac:dyDescent="0.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O363" s="72"/>
      <c r="P363" s="72"/>
      <c r="Q363" s="72"/>
      <c r="R363" s="72"/>
      <c r="S363" s="72"/>
    </row>
    <row r="364" spans="1:19" ht="14.25" customHeight="1" x14ac:dyDescent="0.3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O364" s="72"/>
      <c r="P364" s="72"/>
      <c r="Q364" s="72"/>
      <c r="R364" s="72"/>
      <c r="S364" s="72"/>
    </row>
    <row r="365" spans="1:19" ht="14.25" customHeight="1" x14ac:dyDescent="0.3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O365" s="72"/>
      <c r="P365" s="72"/>
      <c r="Q365" s="72"/>
      <c r="R365" s="72"/>
      <c r="S365" s="72"/>
    </row>
    <row r="366" spans="1:19" ht="14.25" customHeight="1" x14ac:dyDescent="0.3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O366" s="72"/>
      <c r="P366" s="72"/>
      <c r="Q366" s="72"/>
      <c r="R366" s="72"/>
      <c r="S366" s="72"/>
    </row>
    <row r="367" spans="1:19" ht="14.25" customHeight="1" x14ac:dyDescent="0.3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O367" s="72"/>
      <c r="P367" s="72"/>
      <c r="Q367" s="72"/>
      <c r="R367" s="72"/>
      <c r="S367" s="72"/>
    </row>
    <row r="368" spans="1:19" ht="14.25" customHeight="1" x14ac:dyDescent="0.3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O368" s="72"/>
      <c r="P368" s="72"/>
      <c r="Q368" s="72"/>
      <c r="R368" s="72"/>
      <c r="S368" s="72"/>
    </row>
    <row r="369" spans="1:19" ht="14.25" customHeight="1" x14ac:dyDescent="0.3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O369" s="72"/>
      <c r="P369" s="72"/>
      <c r="Q369" s="72"/>
      <c r="R369" s="72"/>
      <c r="S369" s="72"/>
    </row>
    <row r="370" spans="1:19" ht="14.25" customHeight="1" x14ac:dyDescent="0.3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O370" s="72"/>
      <c r="P370" s="72"/>
      <c r="Q370" s="72"/>
      <c r="R370" s="72"/>
      <c r="S370" s="72"/>
    </row>
    <row r="371" spans="1:19" ht="14.25" customHeight="1" x14ac:dyDescent="0.3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O371" s="72"/>
      <c r="P371" s="72"/>
      <c r="Q371" s="72"/>
      <c r="R371" s="72"/>
      <c r="S371" s="72"/>
    </row>
    <row r="372" spans="1:19" ht="14.25" customHeight="1" x14ac:dyDescent="0.3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O372" s="72"/>
      <c r="P372" s="72"/>
      <c r="Q372" s="72"/>
      <c r="R372" s="72"/>
      <c r="S372" s="72"/>
    </row>
    <row r="373" spans="1:19" ht="14.25" customHeight="1" x14ac:dyDescent="0.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O373" s="72"/>
      <c r="P373" s="72"/>
      <c r="Q373" s="72"/>
      <c r="R373" s="72"/>
      <c r="S373" s="72"/>
    </row>
    <row r="374" spans="1:19" ht="14.25" customHeight="1" x14ac:dyDescent="0.3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O374" s="72"/>
      <c r="P374" s="72"/>
      <c r="Q374" s="72"/>
      <c r="R374" s="72"/>
      <c r="S374" s="72"/>
    </row>
    <row r="375" spans="1:19" ht="14.25" customHeight="1" x14ac:dyDescent="0.3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O375" s="72"/>
      <c r="P375" s="72"/>
      <c r="Q375" s="72"/>
      <c r="R375" s="72"/>
      <c r="S375" s="72"/>
    </row>
    <row r="376" spans="1:19" ht="14.25" customHeight="1" x14ac:dyDescent="0.3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O376" s="72"/>
      <c r="P376" s="72"/>
      <c r="Q376" s="72"/>
      <c r="R376" s="72"/>
      <c r="S376" s="72"/>
    </row>
    <row r="377" spans="1:19" ht="14.25" customHeight="1" x14ac:dyDescent="0.3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O377" s="72"/>
      <c r="P377" s="72"/>
      <c r="Q377" s="72"/>
      <c r="R377" s="72"/>
      <c r="S377" s="72"/>
    </row>
    <row r="378" spans="1:19" ht="14.25" customHeight="1" x14ac:dyDescent="0.3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O378" s="72"/>
      <c r="P378" s="72"/>
      <c r="Q378" s="72"/>
      <c r="R378" s="72"/>
      <c r="S378" s="72"/>
    </row>
    <row r="379" spans="1:19" ht="14.25" customHeight="1" x14ac:dyDescent="0.3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O379" s="72"/>
      <c r="P379" s="72"/>
      <c r="Q379" s="72"/>
      <c r="R379" s="72"/>
      <c r="S379" s="72"/>
    </row>
    <row r="380" spans="1:19" ht="14.25" customHeight="1" x14ac:dyDescent="0.3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O380" s="72"/>
      <c r="P380" s="72"/>
      <c r="Q380" s="72"/>
      <c r="R380" s="72"/>
      <c r="S380" s="72"/>
    </row>
    <row r="381" spans="1:19" ht="14.25" customHeight="1" x14ac:dyDescent="0.3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O381" s="72"/>
      <c r="P381" s="72"/>
      <c r="Q381" s="72"/>
      <c r="R381" s="72"/>
      <c r="S381" s="72"/>
    </row>
    <row r="382" spans="1:19" ht="14.25" customHeight="1" x14ac:dyDescent="0.3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O382" s="72"/>
      <c r="P382" s="72"/>
      <c r="Q382" s="72"/>
      <c r="R382" s="72"/>
      <c r="S382" s="72"/>
    </row>
    <row r="383" spans="1:19" ht="14.25" customHeight="1" x14ac:dyDescent="0.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O383" s="72"/>
      <c r="P383" s="72"/>
      <c r="Q383" s="72"/>
      <c r="R383" s="72"/>
      <c r="S383" s="72"/>
    </row>
    <row r="384" spans="1:19" ht="14.25" customHeight="1" x14ac:dyDescent="0.3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O384" s="72"/>
      <c r="P384" s="72"/>
      <c r="Q384" s="72"/>
      <c r="R384" s="72"/>
      <c r="S384" s="72"/>
    </row>
    <row r="385" spans="1:19" ht="14.25" customHeight="1" x14ac:dyDescent="0.3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O385" s="72"/>
      <c r="P385" s="72"/>
      <c r="Q385" s="72"/>
      <c r="R385" s="72"/>
      <c r="S385" s="72"/>
    </row>
    <row r="386" spans="1:19" ht="14.25" customHeight="1" x14ac:dyDescent="0.3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O386" s="72"/>
      <c r="P386" s="72"/>
      <c r="Q386" s="72"/>
      <c r="R386" s="72"/>
      <c r="S386" s="72"/>
    </row>
    <row r="387" spans="1:19" ht="14.25" customHeight="1" x14ac:dyDescent="0.3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O387" s="72"/>
      <c r="P387" s="72"/>
      <c r="Q387" s="72"/>
      <c r="R387" s="72"/>
      <c r="S387" s="72"/>
    </row>
    <row r="388" spans="1:19" ht="14.25" customHeight="1" x14ac:dyDescent="0.3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O388" s="72"/>
      <c r="P388" s="72"/>
      <c r="Q388" s="72"/>
      <c r="R388" s="72"/>
      <c r="S388" s="72"/>
    </row>
    <row r="389" spans="1:19" ht="14.25" customHeight="1" x14ac:dyDescent="0.3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O389" s="72"/>
      <c r="P389" s="72"/>
      <c r="Q389" s="72"/>
      <c r="R389" s="72"/>
      <c r="S389" s="72"/>
    </row>
    <row r="390" spans="1:19" ht="14.25" customHeight="1" x14ac:dyDescent="0.3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O390" s="72"/>
      <c r="P390" s="72"/>
      <c r="Q390" s="72"/>
      <c r="R390" s="72"/>
      <c r="S390" s="72"/>
    </row>
    <row r="391" spans="1:19" ht="14.25" customHeight="1" x14ac:dyDescent="0.3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O391" s="72"/>
      <c r="P391" s="72"/>
      <c r="Q391" s="72"/>
      <c r="R391" s="72"/>
      <c r="S391" s="72"/>
    </row>
    <row r="392" spans="1:19" ht="14.25" customHeight="1" x14ac:dyDescent="0.3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O392" s="72"/>
      <c r="P392" s="72"/>
      <c r="Q392" s="72"/>
      <c r="R392" s="72"/>
      <c r="S392" s="72"/>
    </row>
    <row r="393" spans="1:19" ht="14.25" customHeight="1" x14ac:dyDescent="0.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O393" s="72"/>
      <c r="P393" s="72"/>
      <c r="Q393" s="72"/>
      <c r="R393" s="72"/>
      <c r="S393" s="72"/>
    </row>
    <row r="394" spans="1:19" ht="14.25" customHeight="1" x14ac:dyDescent="0.3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O394" s="72"/>
      <c r="P394" s="72"/>
      <c r="Q394" s="72"/>
      <c r="R394" s="72"/>
      <c r="S394" s="72"/>
    </row>
    <row r="395" spans="1:19" ht="14.25" customHeight="1" x14ac:dyDescent="0.3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O395" s="72"/>
      <c r="P395" s="72"/>
      <c r="Q395" s="72"/>
      <c r="R395" s="72"/>
      <c r="S395" s="72"/>
    </row>
    <row r="396" spans="1:19" ht="14.25" customHeight="1" x14ac:dyDescent="0.3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O396" s="72"/>
      <c r="P396" s="72"/>
      <c r="Q396" s="72"/>
      <c r="R396" s="72"/>
      <c r="S396" s="72"/>
    </row>
    <row r="397" spans="1:19" ht="14.25" customHeight="1" x14ac:dyDescent="0.3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O397" s="72"/>
      <c r="P397" s="72"/>
      <c r="Q397" s="72"/>
      <c r="R397" s="72"/>
      <c r="S397" s="72"/>
    </row>
    <row r="398" spans="1:19" ht="14.25" customHeight="1" x14ac:dyDescent="0.3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O398" s="72"/>
      <c r="P398" s="72"/>
      <c r="Q398" s="72"/>
      <c r="R398" s="72"/>
      <c r="S398" s="72"/>
    </row>
    <row r="399" spans="1:19" ht="14.25" customHeight="1" x14ac:dyDescent="0.3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O399" s="72"/>
      <c r="P399" s="72"/>
      <c r="Q399" s="72"/>
      <c r="R399" s="72"/>
      <c r="S399" s="72"/>
    </row>
    <row r="400" spans="1:19" ht="14.25" customHeight="1" x14ac:dyDescent="0.3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O400" s="72"/>
      <c r="P400" s="72"/>
      <c r="Q400" s="72"/>
      <c r="R400" s="72"/>
      <c r="S400" s="72"/>
    </row>
    <row r="401" spans="1:19" ht="14.25" customHeight="1" x14ac:dyDescent="0.3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O401" s="72"/>
      <c r="P401" s="72"/>
      <c r="Q401" s="72"/>
      <c r="R401" s="72"/>
      <c r="S401" s="72"/>
    </row>
    <row r="402" spans="1:19" ht="14.25" customHeight="1" x14ac:dyDescent="0.3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O402" s="72"/>
      <c r="P402" s="72"/>
      <c r="Q402" s="72"/>
      <c r="R402" s="72"/>
      <c r="S402" s="72"/>
    </row>
    <row r="403" spans="1:19" ht="14.25" customHeight="1" x14ac:dyDescent="0.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O403" s="72"/>
      <c r="P403" s="72"/>
      <c r="Q403" s="72"/>
      <c r="R403" s="72"/>
      <c r="S403" s="72"/>
    </row>
    <row r="404" spans="1:19" ht="14.25" customHeight="1" x14ac:dyDescent="0.3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O404" s="72"/>
      <c r="P404" s="72"/>
      <c r="Q404" s="72"/>
      <c r="R404" s="72"/>
      <c r="S404" s="72"/>
    </row>
    <row r="405" spans="1:19" ht="14.25" customHeight="1" x14ac:dyDescent="0.3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O405" s="72"/>
      <c r="P405" s="72"/>
      <c r="Q405" s="72"/>
      <c r="R405" s="72"/>
      <c r="S405" s="72"/>
    </row>
    <row r="406" spans="1:19" ht="14.25" customHeight="1" x14ac:dyDescent="0.3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O406" s="72"/>
      <c r="P406" s="72"/>
      <c r="Q406" s="72"/>
      <c r="R406" s="72"/>
      <c r="S406" s="72"/>
    </row>
    <row r="407" spans="1:19" ht="14.25" customHeight="1" x14ac:dyDescent="0.3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O407" s="72"/>
      <c r="P407" s="72"/>
      <c r="Q407" s="72"/>
      <c r="R407" s="72"/>
      <c r="S407" s="72"/>
    </row>
    <row r="408" spans="1:19" ht="14.25" customHeight="1" x14ac:dyDescent="0.3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O408" s="72"/>
      <c r="P408" s="72"/>
      <c r="Q408" s="72"/>
      <c r="R408" s="72"/>
      <c r="S408" s="72"/>
    </row>
    <row r="409" spans="1:19" ht="14.25" customHeight="1" x14ac:dyDescent="0.3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O409" s="72"/>
      <c r="P409" s="72"/>
      <c r="Q409" s="72"/>
      <c r="R409" s="72"/>
      <c r="S409" s="72"/>
    </row>
    <row r="410" spans="1:19" ht="14.25" customHeight="1" x14ac:dyDescent="0.3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O410" s="72"/>
      <c r="P410" s="72"/>
      <c r="Q410" s="72"/>
      <c r="R410" s="72"/>
      <c r="S410" s="72"/>
    </row>
    <row r="411" spans="1:19" ht="14.25" customHeight="1" x14ac:dyDescent="0.3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O411" s="72"/>
      <c r="P411" s="72"/>
      <c r="Q411" s="72"/>
      <c r="R411" s="72"/>
      <c r="S411" s="72"/>
    </row>
    <row r="412" spans="1:19" ht="14.25" customHeight="1" x14ac:dyDescent="0.3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O412" s="72"/>
      <c r="P412" s="72"/>
      <c r="Q412" s="72"/>
      <c r="R412" s="72"/>
      <c r="S412" s="72"/>
    </row>
    <row r="413" spans="1:19" ht="14.25" customHeight="1" x14ac:dyDescent="0.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O413" s="72"/>
      <c r="P413" s="72"/>
      <c r="Q413" s="72"/>
      <c r="R413" s="72"/>
      <c r="S413" s="72"/>
    </row>
    <row r="414" spans="1:19" ht="14.25" customHeight="1" x14ac:dyDescent="0.3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O414" s="72"/>
      <c r="P414" s="72"/>
      <c r="Q414" s="72"/>
      <c r="R414" s="72"/>
      <c r="S414" s="72"/>
    </row>
    <row r="415" spans="1:19" ht="14.25" customHeight="1" x14ac:dyDescent="0.3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O415" s="72"/>
      <c r="P415" s="72"/>
      <c r="Q415" s="72"/>
      <c r="R415" s="72"/>
      <c r="S415" s="72"/>
    </row>
    <row r="416" spans="1:19" ht="14.25" customHeight="1" x14ac:dyDescent="0.3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O416" s="72"/>
      <c r="P416" s="72"/>
      <c r="Q416" s="72"/>
      <c r="R416" s="72"/>
      <c r="S416" s="72"/>
    </row>
    <row r="417" spans="1:19" ht="14.25" customHeight="1" x14ac:dyDescent="0.3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O417" s="72"/>
      <c r="P417" s="72"/>
      <c r="Q417" s="72"/>
      <c r="R417" s="72"/>
      <c r="S417" s="72"/>
    </row>
    <row r="418" spans="1:19" ht="14.25" customHeight="1" x14ac:dyDescent="0.3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O418" s="72"/>
      <c r="P418" s="72"/>
      <c r="Q418" s="72"/>
      <c r="R418" s="72"/>
      <c r="S418" s="72"/>
    </row>
    <row r="419" spans="1:19" ht="14.25" customHeight="1" x14ac:dyDescent="0.3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O419" s="72"/>
      <c r="P419" s="72"/>
      <c r="Q419" s="72"/>
      <c r="R419" s="72"/>
      <c r="S419" s="72"/>
    </row>
    <row r="420" spans="1:19" ht="14.25" customHeight="1" x14ac:dyDescent="0.3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O420" s="72"/>
      <c r="P420" s="72"/>
      <c r="Q420" s="72"/>
      <c r="R420" s="72"/>
      <c r="S420" s="72"/>
    </row>
    <row r="421" spans="1:19" ht="14.25" customHeight="1" x14ac:dyDescent="0.3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O421" s="72"/>
      <c r="P421" s="72"/>
      <c r="Q421" s="72"/>
      <c r="R421" s="72"/>
      <c r="S421" s="72"/>
    </row>
    <row r="422" spans="1:19" ht="14.25" customHeight="1" x14ac:dyDescent="0.3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O422" s="72"/>
      <c r="P422" s="72"/>
      <c r="Q422" s="72"/>
      <c r="R422" s="72"/>
      <c r="S422" s="72"/>
    </row>
    <row r="423" spans="1:19" ht="14.25" customHeight="1" x14ac:dyDescent="0.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O423" s="72"/>
      <c r="P423" s="72"/>
      <c r="Q423" s="72"/>
      <c r="R423" s="72"/>
      <c r="S423" s="72"/>
    </row>
    <row r="424" spans="1:19" ht="14.25" customHeight="1" x14ac:dyDescent="0.3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O424" s="72"/>
      <c r="P424" s="72"/>
      <c r="Q424" s="72"/>
      <c r="R424" s="72"/>
      <c r="S424" s="72"/>
    </row>
    <row r="425" spans="1:19" ht="14.25" customHeight="1" x14ac:dyDescent="0.3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O425" s="72"/>
      <c r="P425" s="72"/>
      <c r="Q425" s="72"/>
      <c r="R425" s="72"/>
      <c r="S425" s="72"/>
    </row>
    <row r="426" spans="1:19" ht="14.25" customHeight="1" x14ac:dyDescent="0.3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O426" s="72"/>
      <c r="P426" s="72"/>
      <c r="Q426" s="72"/>
      <c r="R426" s="72"/>
      <c r="S426" s="72"/>
    </row>
    <row r="427" spans="1:19" ht="14.25" customHeight="1" x14ac:dyDescent="0.3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O427" s="72"/>
      <c r="P427" s="72"/>
      <c r="Q427" s="72"/>
      <c r="R427" s="72"/>
      <c r="S427" s="72"/>
    </row>
    <row r="428" spans="1:19" ht="14.25" customHeight="1" x14ac:dyDescent="0.3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O428" s="72"/>
      <c r="P428" s="72"/>
      <c r="Q428" s="72"/>
      <c r="R428" s="72"/>
      <c r="S428" s="72"/>
    </row>
    <row r="429" spans="1:19" ht="14.25" customHeight="1" x14ac:dyDescent="0.3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O429" s="72"/>
      <c r="P429" s="72"/>
      <c r="Q429" s="72"/>
      <c r="R429" s="72"/>
      <c r="S429" s="72"/>
    </row>
    <row r="430" spans="1:19" ht="14.25" customHeight="1" x14ac:dyDescent="0.3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O430" s="72"/>
      <c r="P430" s="72"/>
      <c r="Q430" s="72"/>
      <c r="R430" s="72"/>
      <c r="S430" s="72"/>
    </row>
    <row r="431" spans="1:19" ht="14.25" customHeight="1" x14ac:dyDescent="0.3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O431" s="72"/>
      <c r="P431" s="72"/>
      <c r="Q431" s="72"/>
      <c r="R431" s="72"/>
      <c r="S431" s="72"/>
    </row>
    <row r="432" spans="1:19" ht="14.25" customHeight="1" x14ac:dyDescent="0.3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O432" s="72"/>
      <c r="P432" s="72"/>
      <c r="Q432" s="72"/>
      <c r="R432" s="72"/>
      <c r="S432" s="72"/>
    </row>
    <row r="433" spans="1:19" ht="14.25" customHeight="1" x14ac:dyDescent="0.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O433" s="72"/>
      <c r="P433" s="72"/>
      <c r="Q433" s="72"/>
      <c r="R433" s="72"/>
      <c r="S433" s="72"/>
    </row>
    <row r="434" spans="1:19" ht="14.25" customHeight="1" x14ac:dyDescent="0.3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O434" s="72"/>
      <c r="P434" s="72"/>
      <c r="Q434" s="72"/>
      <c r="R434" s="72"/>
      <c r="S434" s="72"/>
    </row>
    <row r="435" spans="1:19" ht="14.25" customHeight="1" x14ac:dyDescent="0.3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O435" s="72"/>
      <c r="P435" s="72"/>
      <c r="Q435" s="72"/>
      <c r="R435" s="72"/>
      <c r="S435" s="72"/>
    </row>
    <row r="436" spans="1:19" ht="14.25" customHeight="1" x14ac:dyDescent="0.3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O436" s="72"/>
      <c r="P436" s="72"/>
      <c r="Q436" s="72"/>
      <c r="R436" s="72"/>
      <c r="S436" s="72"/>
    </row>
    <row r="437" spans="1:19" ht="14.25" customHeight="1" x14ac:dyDescent="0.3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O437" s="72"/>
      <c r="P437" s="72"/>
      <c r="Q437" s="72"/>
      <c r="R437" s="72"/>
      <c r="S437" s="72"/>
    </row>
    <row r="438" spans="1:19" ht="14.25" customHeight="1" x14ac:dyDescent="0.3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O438" s="72"/>
      <c r="P438" s="72"/>
      <c r="Q438" s="72"/>
      <c r="R438" s="72"/>
      <c r="S438" s="72"/>
    </row>
    <row r="439" spans="1:19" ht="14.25" customHeight="1" x14ac:dyDescent="0.3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O439" s="72"/>
      <c r="P439" s="72"/>
      <c r="Q439" s="72"/>
      <c r="R439" s="72"/>
      <c r="S439" s="72"/>
    </row>
    <row r="440" spans="1:19" ht="14.25" customHeight="1" x14ac:dyDescent="0.3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O440" s="72"/>
      <c r="P440" s="72"/>
      <c r="Q440" s="72"/>
      <c r="R440" s="72"/>
      <c r="S440" s="72"/>
    </row>
    <row r="441" spans="1:19" ht="14.25" customHeight="1" x14ac:dyDescent="0.3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O441" s="72"/>
      <c r="P441" s="72"/>
      <c r="Q441" s="72"/>
      <c r="R441" s="72"/>
      <c r="S441" s="72"/>
    </row>
    <row r="442" spans="1:19" ht="14.25" customHeight="1" x14ac:dyDescent="0.3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O442" s="72"/>
      <c r="P442" s="72"/>
      <c r="Q442" s="72"/>
      <c r="R442" s="72"/>
      <c r="S442" s="72"/>
    </row>
    <row r="443" spans="1:19" ht="14.25" customHeight="1" x14ac:dyDescent="0.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O443" s="72"/>
      <c r="P443" s="72"/>
      <c r="Q443" s="72"/>
      <c r="R443" s="72"/>
      <c r="S443" s="72"/>
    </row>
    <row r="444" spans="1:19" ht="14.25" customHeight="1" x14ac:dyDescent="0.3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O444" s="72"/>
      <c r="P444" s="72"/>
      <c r="Q444" s="72"/>
      <c r="R444" s="72"/>
      <c r="S444" s="72"/>
    </row>
    <row r="445" spans="1:19" ht="14.25" customHeight="1" x14ac:dyDescent="0.3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O445" s="72"/>
      <c r="P445" s="72"/>
      <c r="Q445" s="72"/>
      <c r="R445" s="72"/>
      <c r="S445" s="72"/>
    </row>
    <row r="446" spans="1:19" ht="14.25" customHeight="1" x14ac:dyDescent="0.3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O446" s="72"/>
      <c r="P446" s="72"/>
      <c r="Q446" s="72"/>
      <c r="R446" s="72"/>
      <c r="S446" s="72"/>
    </row>
    <row r="447" spans="1:19" ht="14.25" customHeight="1" x14ac:dyDescent="0.3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O447" s="72"/>
      <c r="P447" s="72"/>
      <c r="Q447" s="72"/>
      <c r="R447" s="72"/>
      <c r="S447" s="72"/>
    </row>
    <row r="448" spans="1:19" ht="14.25" customHeight="1" x14ac:dyDescent="0.3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O448" s="72"/>
      <c r="P448" s="72"/>
      <c r="Q448" s="72"/>
      <c r="R448" s="72"/>
      <c r="S448" s="72"/>
    </row>
    <row r="449" spans="1:19" ht="14.25" customHeight="1" x14ac:dyDescent="0.3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O449" s="72"/>
      <c r="P449" s="72"/>
      <c r="Q449" s="72"/>
      <c r="R449" s="72"/>
      <c r="S449" s="72"/>
    </row>
    <row r="450" spans="1:19" ht="14.25" customHeight="1" x14ac:dyDescent="0.3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O450" s="72"/>
      <c r="P450" s="72"/>
      <c r="Q450" s="72"/>
      <c r="R450" s="72"/>
      <c r="S450" s="72"/>
    </row>
    <row r="451" spans="1:19" ht="14.25" customHeight="1" x14ac:dyDescent="0.3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O451" s="72"/>
      <c r="P451" s="72"/>
      <c r="Q451" s="72"/>
      <c r="R451" s="72"/>
      <c r="S451" s="72"/>
    </row>
    <row r="452" spans="1:19" ht="14.25" customHeight="1" x14ac:dyDescent="0.3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O452" s="72"/>
      <c r="P452" s="72"/>
      <c r="Q452" s="72"/>
      <c r="R452" s="72"/>
      <c r="S452" s="72"/>
    </row>
    <row r="453" spans="1:19" ht="14.25" customHeight="1" x14ac:dyDescent="0.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O453" s="72"/>
      <c r="P453" s="72"/>
      <c r="Q453" s="72"/>
      <c r="R453" s="72"/>
      <c r="S453" s="72"/>
    </row>
    <row r="454" spans="1:19" ht="14.25" customHeight="1" x14ac:dyDescent="0.3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O454" s="72"/>
      <c r="P454" s="72"/>
      <c r="Q454" s="72"/>
      <c r="R454" s="72"/>
      <c r="S454" s="72"/>
    </row>
    <row r="455" spans="1:19" ht="14.25" customHeight="1" x14ac:dyDescent="0.3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O455" s="72"/>
      <c r="P455" s="72"/>
      <c r="Q455" s="72"/>
      <c r="R455" s="72"/>
      <c r="S455" s="72"/>
    </row>
    <row r="456" spans="1:19" ht="14.25" customHeight="1" x14ac:dyDescent="0.3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O456" s="72"/>
      <c r="P456" s="72"/>
      <c r="Q456" s="72"/>
      <c r="R456" s="72"/>
      <c r="S456" s="72"/>
    </row>
    <row r="457" spans="1:19" ht="14.25" customHeight="1" x14ac:dyDescent="0.3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O457" s="72"/>
      <c r="P457" s="72"/>
      <c r="Q457" s="72"/>
      <c r="R457" s="72"/>
      <c r="S457" s="72"/>
    </row>
    <row r="458" spans="1:19" ht="14.25" customHeight="1" x14ac:dyDescent="0.3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O458" s="72"/>
      <c r="P458" s="72"/>
      <c r="Q458" s="72"/>
      <c r="R458" s="72"/>
      <c r="S458" s="72"/>
    </row>
    <row r="459" spans="1:19" ht="14.25" customHeight="1" x14ac:dyDescent="0.3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O459" s="72"/>
      <c r="P459" s="72"/>
      <c r="Q459" s="72"/>
      <c r="R459" s="72"/>
      <c r="S459" s="72"/>
    </row>
    <row r="460" spans="1:19" ht="14.25" customHeight="1" x14ac:dyDescent="0.3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O460" s="72"/>
      <c r="P460" s="72"/>
      <c r="Q460" s="72"/>
      <c r="R460" s="72"/>
      <c r="S460" s="72"/>
    </row>
    <row r="461" spans="1:19" ht="14.25" customHeight="1" x14ac:dyDescent="0.3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O461" s="72"/>
      <c r="P461" s="72"/>
      <c r="Q461" s="72"/>
      <c r="R461" s="72"/>
      <c r="S461" s="72"/>
    </row>
    <row r="462" spans="1:19" ht="14.25" customHeight="1" x14ac:dyDescent="0.3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O462" s="72"/>
      <c r="P462" s="72"/>
      <c r="Q462" s="72"/>
      <c r="R462" s="72"/>
      <c r="S462" s="72"/>
    </row>
    <row r="463" spans="1:19" ht="14.25" customHeight="1" x14ac:dyDescent="0.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O463" s="72"/>
      <c r="P463" s="72"/>
      <c r="Q463" s="72"/>
      <c r="R463" s="72"/>
      <c r="S463" s="72"/>
    </row>
    <row r="464" spans="1:19" ht="14.25" customHeight="1" x14ac:dyDescent="0.3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O464" s="72"/>
      <c r="P464" s="72"/>
      <c r="Q464" s="72"/>
      <c r="R464" s="72"/>
      <c r="S464" s="72"/>
    </row>
    <row r="465" spans="1:19" ht="14.25" customHeight="1" x14ac:dyDescent="0.3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O465" s="72"/>
      <c r="P465" s="72"/>
      <c r="Q465" s="72"/>
      <c r="R465" s="72"/>
      <c r="S465" s="72"/>
    </row>
    <row r="466" spans="1:19" ht="14.25" customHeight="1" x14ac:dyDescent="0.3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O466" s="72"/>
      <c r="P466" s="72"/>
      <c r="Q466" s="72"/>
      <c r="R466" s="72"/>
      <c r="S466" s="72"/>
    </row>
    <row r="467" spans="1:19" ht="14.25" customHeight="1" x14ac:dyDescent="0.3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O467" s="72"/>
      <c r="P467" s="72"/>
      <c r="Q467" s="72"/>
      <c r="R467" s="72"/>
      <c r="S467" s="72"/>
    </row>
    <row r="468" spans="1:19" ht="14.25" customHeight="1" x14ac:dyDescent="0.3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O468" s="72"/>
      <c r="P468" s="72"/>
      <c r="Q468" s="72"/>
      <c r="R468" s="72"/>
      <c r="S468" s="72"/>
    </row>
    <row r="469" spans="1:19" ht="14.25" customHeight="1" x14ac:dyDescent="0.3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O469" s="72"/>
      <c r="P469" s="72"/>
      <c r="Q469" s="72"/>
      <c r="R469" s="72"/>
      <c r="S469" s="72"/>
    </row>
    <row r="470" spans="1:19" ht="14.25" customHeight="1" x14ac:dyDescent="0.3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O470" s="72"/>
      <c r="P470" s="72"/>
      <c r="Q470" s="72"/>
      <c r="R470" s="72"/>
      <c r="S470" s="72"/>
    </row>
    <row r="471" spans="1:19" ht="14.25" customHeight="1" x14ac:dyDescent="0.3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O471" s="72"/>
      <c r="P471" s="72"/>
      <c r="Q471" s="72"/>
      <c r="R471" s="72"/>
      <c r="S471" s="72"/>
    </row>
    <row r="472" spans="1:19" ht="14.25" customHeight="1" x14ac:dyDescent="0.3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O472" s="72"/>
      <c r="P472" s="72"/>
      <c r="Q472" s="72"/>
      <c r="R472" s="72"/>
      <c r="S472" s="72"/>
    </row>
    <row r="473" spans="1:19" ht="14.25" customHeight="1" x14ac:dyDescent="0.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O473" s="72"/>
      <c r="P473" s="72"/>
      <c r="Q473" s="72"/>
      <c r="R473" s="72"/>
      <c r="S473" s="72"/>
    </row>
    <row r="474" spans="1:19" ht="14.25" customHeight="1" x14ac:dyDescent="0.3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O474" s="72"/>
      <c r="P474" s="72"/>
      <c r="Q474" s="72"/>
      <c r="R474" s="72"/>
      <c r="S474" s="72"/>
    </row>
    <row r="475" spans="1:19" ht="14.25" customHeight="1" x14ac:dyDescent="0.3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O475" s="72"/>
      <c r="P475" s="72"/>
      <c r="Q475" s="72"/>
      <c r="R475" s="72"/>
      <c r="S475" s="72"/>
    </row>
    <row r="476" spans="1:19" ht="14.25" customHeight="1" x14ac:dyDescent="0.3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O476" s="72"/>
      <c r="P476" s="72"/>
      <c r="Q476" s="72"/>
      <c r="R476" s="72"/>
      <c r="S476" s="72"/>
    </row>
    <row r="477" spans="1:19" ht="14.25" customHeight="1" x14ac:dyDescent="0.3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O477" s="72"/>
      <c r="P477" s="72"/>
      <c r="Q477" s="72"/>
      <c r="R477" s="72"/>
      <c r="S477" s="72"/>
    </row>
    <row r="478" spans="1:19" ht="14.25" customHeight="1" x14ac:dyDescent="0.3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O478" s="72"/>
      <c r="P478" s="72"/>
      <c r="Q478" s="72"/>
      <c r="R478" s="72"/>
      <c r="S478" s="72"/>
    </row>
    <row r="479" spans="1:19" ht="14.25" customHeight="1" x14ac:dyDescent="0.3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O479" s="72"/>
      <c r="P479" s="72"/>
      <c r="Q479" s="72"/>
      <c r="R479" s="72"/>
      <c r="S479" s="72"/>
    </row>
    <row r="480" spans="1:19" ht="14.25" customHeight="1" x14ac:dyDescent="0.3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O480" s="72"/>
      <c r="P480" s="72"/>
      <c r="Q480" s="72"/>
      <c r="R480" s="72"/>
      <c r="S480" s="72"/>
    </row>
    <row r="481" spans="1:19" ht="14.25" customHeight="1" x14ac:dyDescent="0.3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O481" s="72"/>
      <c r="P481" s="72"/>
      <c r="Q481" s="72"/>
      <c r="R481" s="72"/>
      <c r="S481" s="72"/>
    </row>
    <row r="482" spans="1:19" ht="14.25" customHeight="1" x14ac:dyDescent="0.3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O482" s="72"/>
      <c r="P482" s="72"/>
      <c r="Q482" s="72"/>
      <c r="R482" s="72"/>
      <c r="S482" s="72"/>
    </row>
    <row r="483" spans="1:19" ht="14.25" customHeight="1" x14ac:dyDescent="0.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O483" s="72"/>
      <c r="P483" s="72"/>
      <c r="Q483" s="72"/>
      <c r="R483" s="72"/>
      <c r="S483" s="72"/>
    </row>
    <row r="484" spans="1:19" ht="14.25" customHeight="1" x14ac:dyDescent="0.3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O484" s="72"/>
      <c r="P484" s="72"/>
      <c r="Q484" s="72"/>
      <c r="R484" s="72"/>
      <c r="S484" s="72"/>
    </row>
    <row r="485" spans="1:19" ht="14.25" customHeight="1" x14ac:dyDescent="0.3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O485" s="72"/>
      <c r="P485" s="72"/>
      <c r="Q485" s="72"/>
      <c r="R485" s="72"/>
      <c r="S485" s="72"/>
    </row>
    <row r="486" spans="1:19" ht="14.25" customHeight="1" x14ac:dyDescent="0.3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O486" s="72"/>
      <c r="P486" s="72"/>
      <c r="Q486" s="72"/>
      <c r="R486" s="72"/>
      <c r="S486" s="72"/>
    </row>
    <row r="487" spans="1:19" ht="14.25" customHeight="1" x14ac:dyDescent="0.3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O487" s="72"/>
      <c r="P487" s="72"/>
      <c r="Q487" s="72"/>
      <c r="R487" s="72"/>
      <c r="S487" s="72"/>
    </row>
    <row r="488" spans="1:19" ht="14.25" customHeight="1" x14ac:dyDescent="0.3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O488" s="72"/>
      <c r="P488" s="72"/>
      <c r="Q488" s="72"/>
      <c r="R488" s="72"/>
      <c r="S488" s="72"/>
    </row>
    <row r="489" spans="1:19" ht="14.25" customHeight="1" x14ac:dyDescent="0.3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O489" s="72"/>
      <c r="P489" s="72"/>
      <c r="Q489" s="72"/>
      <c r="R489" s="72"/>
      <c r="S489" s="72"/>
    </row>
    <row r="490" spans="1:19" ht="14.25" customHeight="1" x14ac:dyDescent="0.3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O490" s="72"/>
      <c r="P490" s="72"/>
      <c r="Q490" s="72"/>
      <c r="R490" s="72"/>
      <c r="S490" s="72"/>
    </row>
    <row r="491" spans="1:19" ht="14.25" customHeight="1" x14ac:dyDescent="0.3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O491" s="72"/>
      <c r="P491" s="72"/>
      <c r="Q491" s="72"/>
      <c r="R491" s="72"/>
      <c r="S491" s="72"/>
    </row>
    <row r="492" spans="1:19" ht="14.25" customHeight="1" x14ac:dyDescent="0.3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O492" s="72"/>
      <c r="P492" s="72"/>
      <c r="Q492" s="72"/>
      <c r="R492" s="72"/>
      <c r="S492" s="72"/>
    </row>
    <row r="493" spans="1:19" ht="14.25" customHeight="1" x14ac:dyDescent="0.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O493" s="72"/>
      <c r="P493" s="72"/>
      <c r="Q493" s="72"/>
      <c r="R493" s="72"/>
      <c r="S493" s="72"/>
    </row>
    <row r="494" spans="1:19" ht="14.25" customHeight="1" x14ac:dyDescent="0.3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O494" s="72"/>
      <c r="P494" s="72"/>
      <c r="Q494" s="72"/>
      <c r="R494" s="72"/>
      <c r="S494" s="72"/>
    </row>
    <row r="495" spans="1:19" ht="14.25" customHeight="1" x14ac:dyDescent="0.3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O495" s="72"/>
      <c r="P495" s="72"/>
      <c r="Q495" s="72"/>
      <c r="R495" s="72"/>
      <c r="S495" s="72"/>
    </row>
    <row r="496" spans="1:19" ht="14.25" customHeight="1" x14ac:dyDescent="0.3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O496" s="72"/>
      <c r="P496" s="72"/>
      <c r="Q496" s="72"/>
      <c r="R496" s="72"/>
      <c r="S496" s="72"/>
    </row>
    <row r="497" spans="1:19" ht="14.25" customHeight="1" x14ac:dyDescent="0.3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O497" s="72"/>
      <c r="P497" s="72"/>
      <c r="Q497" s="72"/>
      <c r="R497" s="72"/>
      <c r="S497" s="72"/>
    </row>
    <row r="498" spans="1:19" ht="14.25" customHeight="1" x14ac:dyDescent="0.3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O498" s="72"/>
      <c r="P498" s="72"/>
      <c r="Q498" s="72"/>
      <c r="R498" s="72"/>
      <c r="S498" s="72"/>
    </row>
    <row r="499" spans="1:19" ht="14.25" customHeight="1" x14ac:dyDescent="0.3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O499" s="72"/>
      <c r="P499" s="72"/>
      <c r="Q499" s="72"/>
      <c r="R499" s="72"/>
      <c r="S499" s="72"/>
    </row>
    <row r="500" spans="1:19" ht="14.25" customHeight="1" x14ac:dyDescent="0.3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O500" s="72"/>
      <c r="P500" s="72"/>
      <c r="Q500" s="72"/>
      <c r="R500" s="72"/>
      <c r="S500" s="72"/>
    </row>
    <row r="501" spans="1:19" ht="14.25" customHeight="1" x14ac:dyDescent="0.3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O501" s="72"/>
      <c r="P501" s="72"/>
      <c r="Q501" s="72"/>
      <c r="R501" s="72"/>
      <c r="S501" s="72"/>
    </row>
    <row r="502" spans="1:19" ht="14.25" customHeight="1" x14ac:dyDescent="0.3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O502" s="72"/>
      <c r="P502" s="72"/>
      <c r="Q502" s="72"/>
      <c r="R502" s="72"/>
      <c r="S502" s="72"/>
    </row>
    <row r="503" spans="1:19" ht="14.25" customHeight="1" x14ac:dyDescent="0.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O503" s="72"/>
      <c r="P503" s="72"/>
      <c r="Q503" s="72"/>
      <c r="R503" s="72"/>
      <c r="S503" s="72"/>
    </row>
    <row r="504" spans="1:19" ht="14.25" customHeight="1" x14ac:dyDescent="0.3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O504" s="72"/>
      <c r="P504" s="72"/>
      <c r="Q504" s="72"/>
      <c r="R504" s="72"/>
      <c r="S504" s="72"/>
    </row>
    <row r="505" spans="1:19" ht="14.25" customHeight="1" x14ac:dyDescent="0.3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O505" s="72"/>
      <c r="P505" s="72"/>
      <c r="Q505" s="72"/>
      <c r="R505" s="72"/>
      <c r="S505" s="72"/>
    </row>
    <row r="506" spans="1:19" ht="14.25" customHeight="1" x14ac:dyDescent="0.3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O506" s="72"/>
      <c r="P506" s="72"/>
      <c r="Q506" s="72"/>
      <c r="R506" s="72"/>
      <c r="S506" s="72"/>
    </row>
    <row r="507" spans="1:19" ht="14.25" customHeight="1" x14ac:dyDescent="0.3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O507" s="72"/>
      <c r="P507" s="72"/>
      <c r="Q507" s="72"/>
      <c r="R507" s="72"/>
      <c r="S507" s="72"/>
    </row>
    <row r="508" spans="1:19" ht="14.25" customHeight="1" x14ac:dyDescent="0.3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O508" s="72"/>
      <c r="P508" s="72"/>
      <c r="Q508" s="72"/>
      <c r="R508" s="72"/>
      <c r="S508" s="72"/>
    </row>
    <row r="509" spans="1:19" ht="14.25" customHeight="1" x14ac:dyDescent="0.3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O509" s="72"/>
      <c r="P509" s="72"/>
      <c r="Q509" s="72"/>
      <c r="R509" s="72"/>
      <c r="S509" s="72"/>
    </row>
    <row r="510" spans="1:19" ht="14.25" customHeight="1" x14ac:dyDescent="0.3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O510" s="72"/>
      <c r="P510" s="72"/>
      <c r="Q510" s="72"/>
      <c r="R510" s="72"/>
      <c r="S510" s="72"/>
    </row>
    <row r="511" spans="1:19" ht="14.25" customHeight="1" x14ac:dyDescent="0.3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O511" s="72"/>
      <c r="P511" s="72"/>
      <c r="Q511" s="72"/>
      <c r="R511" s="72"/>
      <c r="S511" s="72"/>
    </row>
    <row r="512" spans="1:19" ht="14.25" customHeight="1" x14ac:dyDescent="0.3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O512" s="72"/>
      <c r="P512" s="72"/>
      <c r="Q512" s="72"/>
      <c r="R512" s="72"/>
      <c r="S512" s="72"/>
    </row>
    <row r="513" spans="1:19" ht="14.25" customHeight="1" x14ac:dyDescent="0.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O513" s="72"/>
      <c r="P513" s="72"/>
      <c r="Q513" s="72"/>
      <c r="R513" s="72"/>
      <c r="S513" s="72"/>
    </row>
    <row r="514" spans="1:19" ht="14.25" customHeight="1" x14ac:dyDescent="0.3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O514" s="72"/>
      <c r="P514" s="72"/>
      <c r="Q514" s="72"/>
      <c r="R514" s="72"/>
      <c r="S514" s="72"/>
    </row>
    <row r="515" spans="1:19" ht="14.25" customHeight="1" x14ac:dyDescent="0.3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O515" s="72"/>
      <c r="P515" s="72"/>
      <c r="Q515" s="72"/>
      <c r="R515" s="72"/>
      <c r="S515" s="72"/>
    </row>
    <row r="516" spans="1:19" ht="14.25" customHeight="1" x14ac:dyDescent="0.3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O516" s="72"/>
      <c r="P516" s="72"/>
      <c r="Q516" s="72"/>
      <c r="R516" s="72"/>
      <c r="S516" s="72"/>
    </row>
    <row r="517" spans="1:19" ht="14.25" customHeight="1" x14ac:dyDescent="0.3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O517" s="72"/>
      <c r="P517" s="72"/>
      <c r="Q517" s="72"/>
      <c r="R517" s="72"/>
      <c r="S517" s="72"/>
    </row>
    <row r="518" spans="1:19" ht="14.25" customHeight="1" x14ac:dyDescent="0.3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O518" s="72"/>
      <c r="P518" s="72"/>
      <c r="Q518" s="72"/>
      <c r="R518" s="72"/>
      <c r="S518" s="72"/>
    </row>
    <row r="519" spans="1:19" ht="14.25" customHeight="1" x14ac:dyDescent="0.3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O519" s="72"/>
      <c r="P519" s="72"/>
      <c r="Q519" s="72"/>
      <c r="R519" s="72"/>
      <c r="S519" s="72"/>
    </row>
    <row r="520" spans="1:19" ht="14.25" customHeight="1" x14ac:dyDescent="0.3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O520" s="72"/>
      <c r="P520" s="72"/>
      <c r="Q520" s="72"/>
      <c r="R520" s="72"/>
      <c r="S520" s="72"/>
    </row>
    <row r="521" spans="1:19" ht="14.25" customHeight="1" x14ac:dyDescent="0.3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O521" s="72"/>
      <c r="P521" s="72"/>
      <c r="Q521" s="72"/>
      <c r="R521" s="72"/>
      <c r="S521" s="72"/>
    </row>
    <row r="522" spans="1:19" ht="14.25" customHeight="1" x14ac:dyDescent="0.3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O522" s="72"/>
      <c r="P522" s="72"/>
      <c r="Q522" s="72"/>
      <c r="R522" s="72"/>
      <c r="S522" s="72"/>
    </row>
    <row r="523" spans="1:19" ht="14.25" customHeight="1" x14ac:dyDescent="0.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O523" s="72"/>
      <c r="P523" s="72"/>
      <c r="Q523" s="72"/>
      <c r="R523" s="72"/>
      <c r="S523" s="72"/>
    </row>
    <row r="524" spans="1:19" ht="14.25" customHeight="1" x14ac:dyDescent="0.3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O524" s="72"/>
      <c r="P524" s="72"/>
      <c r="Q524" s="72"/>
      <c r="R524" s="72"/>
      <c r="S524" s="72"/>
    </row>
    <row r="525" spans="1:19" ht="14.25" customHeight="1" x14ac:dyDescent="0.3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O525" s="72"/>
      <c r="P525" s="72"/>
      <c r="Q525" s="72"/>
      <c r="R525" s="72"/>
      <c r="S525" s="72"/>
    </row>
    <row r="526" spans="1:19" ht="14.25" customHeight="1" x14ac:dyDescent="0.3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O526" s="72"/>
      <c r="P526" s="72"/>
      <c r="Q526" s="72"/>
      <c r="R526" s="72"/>
      <c r="S526" s="72"/>
    </row>
    <row r="527" spans="1:19" ht="14.25" customHeight="1" x14ac:dyDescent="0.3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O527" s="72"/>
      <c r="P527" s="72"/>
      <c r="Q527" s="72"/>
      <c r="R527" s="72"/>
      <c r="S527" s="72"/>
    </row>
    <row r="528" spans="1:19" ht="14.25" customHeight="1" x14ac:dyDescent="0.3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O528" s="72"/>
      <c r="P528" s="72"/>
      <c r="Q528" s="72"/>
      <c r="R528" s="72"/>
      <c r="S528" s="72"/>
    </row>
    <row r="529" spans="1:19" ht="14.25" customHeight="1" x14ac:dyDescent="0.3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O529" s="72"/>
      <c r="P529" s="72"/>
      <c r="Q529" s="72"/>
      <c r="R529" s="72"/>
      <c r="S529" s="72"/>
    </row>
    <row r="530" spans="1:19" ht="14.25" customHeight="1" x14ac:dyDescent="0.3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O530" s="72"/>
      <c r="P530" s="72"/>
      <c r="Q530" s="72"/>
      <c r="R530" s="72"/>
      <c r="S530" s="72"/>
    </row>
    <row r="531" spans="1:19" ht="14.25" customHeight="1" x14ac:dyDescent="0.3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O531" s="72"/>
      <c r="P531" s="72"/>
      <c r="Q531" s="72"/>
      <c r="R531" s="72"/>
      <c r="S531" s="72"/>
    </row>
    <row r="532" spans="1:19" ht="14.25" customHeight="1" x14ac:dyDescent="0.3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O532" s="72"/>
      <c r="P532" s="72"/>
      <c r="Q532" s="72"/>
      <c r="R532" s="72"/>
      <c r="S532" s="72"/>
    </row>
    <row r="533" spans="1:19" ht="14.25" customHeight="1" x14ac:dyDescent="0.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O533" s="72"/>
      <c r="P533" s="72"/>
      <c r="Q533" s="72"/>
      <c r="R533" s="72"/>
      <c r="S533" s="72"/>
    </row>
    <row r="534" spans="1:19" ht="14.25" customHeight="1" x14ac:dyDescent="0.3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O534" s="72"/>
      <c r="P534" s="72"/>
      <c r="Q534" s="72"/>
      <c r="R534" s="72"/>
      <c r="S534" s="72"/>
    </row>
    <row r="535" spans="1:19" ht="14.25" customHeight="1" x14ac:dyDescent="0.3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O535" s="72"/>
      <c r="P535" s="72"/>
      <c r="Q535" s="72"/>
      <c r="R535" s="72"/>
      <c r="S535" s="72"/>
    </row>
    <row r="536" spans="1:19" ht="14.25" customHeight="1" x14ac:dyDescent="0.3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O536" s="72"/>
      <c r="P536" s="72"/>
      <c r="Q536" s="72"/>
      <c r="R536" s="72"/>
      <c r="S536" s="72"/>
    </row>
    <row r="537" spans="1:19" ht="14.25" customHeight="1" x14ac:dyDescent="0.3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O537" s="72"/>
      <c r="P537" s="72"/>
      <c r="Q537" s="72"/>
      <c r="R537" s="72"/>
      <c r="S537" s="72"/>
    </row>
    <row r="538" spans="1:19" ht="14.25" customHeight="1" x14ac:dyDescent="0.3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O538" s="72"/>
      <c r="P538" s="72"/>
      <c r="Q538" s="72"/>
      <c r="R538" s="72"/>
      <c r="S538" s="72"/>
    </row>
    <row r="539" spans="1:19" ht="14.25" customHeight="1" x14ac:dyDescent="0.3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O539" s="72"/>
      <c r="P539" s="72"/>
      <c r="Q539" s="72"/>
      <c r="R539" s="72"/>
      <c r="S539" s="72"/>
    </row>
    <row r="540" spans="1:19" ht="14.25" customHeight="1" x14ac:dyDescent="0.3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O540" s="72"/>
      <c r="P540" s="72"/>
      <c r="Q540" s="72"/>
      <c r="R540" s="72"/>
      <c r="S540" s="72"/>
    </row>
    <row r="541" spans="1:19" ht="14.25" customHeight="1" x14ac:dyDescent="0.3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O541" s="72"/>
      <c r="P541" s="72"/>
      <c r="Q541" s="72"/>
      <c r="R541" s="72"/>
      <c r="S541" s="72"/>
    </row>
    <row r="542" spans="1:19" ht="14.25" customHeight="1" x14ac:dyDescent="0.3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O542" s="72"/>
      <c r="P542" s="72"/>
      <c r="Q542" s="72"/>
      <c r="R542" s="72"/>
      <c r="S542" s="72"/>
    </row>
    <row r="543" spans="1:19" ht="14.25" customHeight="1" x14ac:dyDescent="0.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O543" s="72"/>
      <c r="P543" s="72"/>
      <c r="Q543" s="72"/>
      <c r="R543" s="72"/>
      <c r="S543" s="72"/>
    </row>
    <row r="544" spans="1:19" ht="14.25" customHeight="1" x14ac:dyDescent="0.3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O544" s="72"/>
      <c r="P544" s="72"/>
      <c r="Q544" s="72"/>
      <c r="R544" s="72"/>
      <c r="S544" s="72"/>
    </row>
    <row r="545" spans="1:19" ht="14.25" customHeight="1" x14ac:dyDescent="0.3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O545" s="72"/>
      <c r="P545" s="72"/>
      <c r="Q545" s="72"/>
      <c r="R545" s="72"/>
      <c r="S545" s="72"/>
    </row>
    <row r="546" spans="1:19" ht="14.25" customHeight="1" x14ac:dyDescent="0.3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O546" s="72"/>
      <c r="P546" s="72"/>
      <c r="Q546" s="72"/>
      <c r="R546" s="72"/>
      <c r="S546" s="72"/>
    </row>
    <row r="547" spans="1:19" ht="14.25" customHeight="1" x14ac:dyDescent="0.3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O547" s="72"/>
      <c r="P547" s="72"/>
      <c r="Q547" s="72"/>
      <c r="R547" s="72"/>
      <c r="S547" s="72"/>
    </row>
    <row r="548" spans="1:19" ht="14.25" customHeight="1" x14ac:dyDescent="0.3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O548" s="72"/>
      <c r="P548" s="72"/>
      <c r="Q548" s="72"/>
      <c r="R548" s="72"/>
      <c r="S548" s="72"/>
    </row>
    <row r="549" spans="1:19" ht="14.25" customHeight="1" x14ac:dyDescent="0.3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O549" s="72"/>
      <c r="P549" s="72"/>
      <c r="Q549" s="72"/>
      <c r="R549" s="72"/>
      <c r="S549" s="72"/>
    </row>
    <row r="550" spans="1:19" ht="14.25" customHeight="1" x14ac:dyDescent="0.3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O550" s="72"/>
      <c r="P550" s="72"/>
      <c r="Q550" s="72"/>
      <c r="R550" s="72"/>
      <c r="S550" s="72"/>
    </row>
    <row r="551" spans="1:19" ht="14.25" customHeight="1" x14ac:dyDescent="0.3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O551" s="72"/>
      <c r="P551" s="72"/>
      <c r="Q551" s="72"/>
      <c r="R551" s="72"/>
      <c r="S551" s="72"/>
    </row>
    <row r="552" spans="1:19" ht="14.25" customHeight="1" x14ac:dyDescent="0.3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O552" s="72"/>
      <c r="P552" s="72"/>
      <c r="Q552" s="72"/>
      <c r="R552" s="72"/>
      <c r="S552" s="72"/>
    </row>
    <row r="553" spans="1:19" ht="14.25" customHeight="1" x14ac:dyDescent="0.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O553" s="72"/>
      <c r="P553" s="72"/>
      <c r="Q553" s="72"/>
      <c r="R553" s="72"/>
      <c r="S553" s="72"/>
    </row>
    <row r="554" spans="1:19" ht="14.25" customHeight="1" x14ac:dyDescent="0.3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O554" s="72"/>
      <c r="P554" s="72"/>
      <c r="Q554" s="72"/>
      <c r="R554" s="72"/>
      <c r="S554" s="72"/>
    </row>
    <row r="555" spans="1:19" ht="14.25" customHeight="1" x14ac:dyDescent="0.3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O555" s="72"/>
      <c r="P555" s="72"/>
      <c r="Q555" s="72"/>
      <c r="R555" s="72"/>
      <c r="S555" s="72"/>
    </row>
    <row r="556" spans="1:19" ht="14.25" customHeight="1" x14ac:dyDescent="0.3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O556" s="72"/>
      <c r="P556" s="72"/>
      <c r="Q556" s="72"/>
      <c r="R556" s="72"/>
      <c r="S556" s="72"/>
    </row>
    <row r="557" spans="1:19" ht="14.25" customHeight="1" x14ac:dyDescent="0.3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O557" s="72"/>
      <c r="P557" s="72"/>
      <c r="Q557" s="72"/>
      <c r="R557" s="72"/>
      <c r="S557" s="72"/>
    </row>
    <row r="558" spans="1:19" ht="14.25" customHeight="1" x14ac:dyDescent="0.3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O558" s="72"/>
      <c r="P558" s="72"/>
      <c r="Q558" s="72"/>
      <c r="R558" s="72"/>
      <c r="S558" s="72"/>
    </row>
    <row r="559" spans="1:19" ht="14.25" customHeight="1" x14ac:dyDescent="0.3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O559" s="72"/>
      <c r="P559" s="72"/>
      <c r="Q559" s="72"/>
      <c r="R559" s="72"/>
      <c r="S559" s="72"/>
    </row>
    <row r="560" spans="1:19" ht="14.25" customHeight="1" x14ac:dyDescent="0.3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O560" s="72"/>
      <c r="P560" s="72"/>
      <c r="Q560" s="72"/>
      <c r="R560" s="72"/>
      <c r="S560" s="72"/>
    </row>
    <row r="561" spans="1:19" ht="14.25" customHeight="1" x14ac:dyDescent="0.3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O561" s="72"/>
      <c r="P561" s="72"/>
      <c r="Q561" s="72"/>
      <c r="R561" s="72"/>
      <c r="S561" s="72"/>
    </row>
    <row r="562" spans="1:19" ht="14.25" customHeight="1" x14ac:dyDescent="0.3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O562" s="72"/>
      <c r="P562" s="72"/>
      <c r="Q562" s="72"/>
      <c r="R562" s="72"/>
      <c r="S562" s="72"/>
    </row>
    <row r="563" spans="1:19" ht="14.25" customHeight="1" x14ac:dyDescent="0.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O563" s="72"/>
      <c r="P563" s="72"/>
      <c r="Q563" s="72"/>
      <c r="R563" s="72"/>
      <c r="S563" s="72"/>
    </row>
    <row r="564" spans="1:19" ht="14.25" customHeight="1" x14ac:dyDescent="0.3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O564" s="72"/>
      <c r="P564" s="72"/>
      <c r="Q564" s="72"/>
      <c r="R564" s="72"/>
      <c r="S564" s="72"/>
    </row>
    <row r="565" spans="1:19" ht="14.25" customHeight="1" x14ac:dyDescent="0.3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O565" s="72"/>
      <c r="P565" s="72"/>
      <c r="Q565" s="72"/>
      <c r="R565" s="72"/>
      <c r="S565" s="72"/>
    </row>
    <row r="566" spans="1:19" ht="14.25" customHeight="1" x14ac:dyDescent="0.3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O566" s="72"/>
      <c r="P566" s="72"/>
      <c r="Q566" s="72"/>
      <c r="R566" s="72"/>
      <c r="S566" s="72"/>
    </row>
    <row r="567" spans="1:19" ht="14.25" customHeight="1" x14ac:dyDescent="0.3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O567" s="72"/>
      <c r="P567" s="72"/>
      <c r="Q567" s="72"/>
      <c r="R567" s="72"/>
      <c r="S567" s="72"/>
    </row>
    <row r="568" spans="1:19" ht="14.25" customHeight="1" x14ac:dyDescent="0.3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O568" s="72"/>
      <c r="P568" s="72"/>
      <c r="Q568" s="72"/>
      <c r="R568" s="72"/>
      <c r="S568" s="72"/>
    </row>
    <row r="569" spans="1:19" ht="14.25" customHeight="1" x14ac:dyDescent="0.3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O569" s="72"/>
      <c r="P569" s="72"/>
      <c r="Q569" s="72"/>
      <c r="R569" s="72"/>
      <c r="S569" s="72"/>
    </row>
    <row r="570" spans="1:19" ht="14.25" customHeight="1" x14ac:dyDescent="0.3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O570" s="72"/>
      <c r="P570" s="72"/>
      <c r="Q570" s="72"/>
      <c r="R570" s="72"/>
      <c r="S570" s="72"/>
    </row>
    <row r="571" spans="1:19" ht="14.25" customHeight="1" x14ac:dyDescent="0.3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O571" s="72"/>
      <c r="P571" s="72"/>
      <c r="Q571" s="72"/>
      <c r="R571" s="72"/>
      <c r="S571" s="72"/>
    </row>
    <row r="572" spans="1:19" ht="14.25" customHeight="1" x14ac:dyDescent="0.3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O572" s="72"/>
      <c r="P572" s="72"/>
      <c r="Q572" s="72"/>
      <c r="R572" s="72"/>
      <c r="S572" s="72"/>
    </row>
    <row r="573" spans="1:19" ht="14.25" customHeight="1" x14ac:dyDescent="0.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O573" s="72"/>
      <c r="P573" s="72"/>
      <c r="Q573" s="72"/>
      <c r="R573" s="72"/>
      <c r="S573" s="72"/>
    </row>
    <row r="574" spans="1:19" ht="14.25" customHeight="1" x14ac:dyDescent="0.3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O574" s="72"/>
      <c r="P574" s="72"/>
      <c r="Q574" s="72"/>
      <c r="R574" s="72"/>
      <c r="S574" s="72"/>
    </row>
    <row r="575" spans="1:19" ht="14.25" customHeight="1" x14ac:dyDescent="0.3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O575" s="72"/>
      <c r="P575" s="72"/>
      <c r="Q575" s="72"/>
      <c r="R575" s="72"/>
      <c r="S575" s="72"/>
    </row>
    <row r="576" spans="1:19" ht="14.25" customHeight="1" x14ac:dyDescent="0.3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O576" s="72"/>
      <c r="P576" s="72"/>
      <c r="Q576" s="72"/>
      <c r="R576" s="72"/>
      <c r="S576" s="72"/>
    </row>
    <row r="577" spans="1:19" ht="14.25" customHeight="1" x14ac:dyDescent="0.3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O577" s="72"/>
      <c r="P577" s="72"/>
      <c r="Q577" s="72"/>
      <c r="R577" s="72"/>
      <c r="S577" s="72"/>
    </row>
    <row r="578" spans="1:19" ht="14.25" customHeight="1" x14ac:dyDescent="0.3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O578" s="72"/>
      <c r="P578" s="72"/>
      <c r="Q578" s="72"/>
      <c r="R578" s="72"/>
      <c r="S578" s="72"/>
    </row>
    <row r="579" spans="1:19" ht="14.25" customHeight="1" x14ac:dyDescent="0.3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O579" s="72"/>
      <c r="P579" s="72"/>
      <c r="Q579" s="72"/>
      <c r="R579" s="72"/>
      <c r="S579" s="72"/>
    </row>
    <row r="580" spans="1:19" ht="14.25" customHeight="1" x14ac:dyDescent="0.3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O580" s="72"/>
      <c r="P580" s="72"/>
      <c r="Q580" s="72"/>
      <c r="R580" s="72"/>
      <c r="S580" s="72"/>
    </row>
    <row r="581" spans="1:19" ht="14.25" customHeight="1" x14ac:dyDescent="0.3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O581" s="72"/>
      <c r="P581" s="72"/>
      <c r="Q581" s="72"/>
      <c r="R581" s="72"/>
      <c r="S581" s="72"/>
    </row>
    <row r="582" spans="1:19" ht="14.25" customHeight="1" x14ac:dyDescent="0.3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O582" s="72"/>
      <c r="P582" s="72"/>
      <c r="Q582" s="72"/>
      <c r="R582" s="72"/>
      <c r="S582" s="72"/>
    </row>
    <row r="583" spans="1:19" ht="14.25" customHeight="1" x14ac:dyDescent="0.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O583" s="72"/>
      <c r="P583" s="72"/>
      <c r="Q583" s="72"/>
      <c r="R583" s="72"/>
      <c r="S583" s="72"/>
    </row>
    <row r="584" spans="1:19" ht="14.25" customHeight="1" x14ac:dyDescent="0.3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O584" s="72"/>
      <c r="P584" s="72"/>
      <c r="Q584" s="72"/>
      <c r="R584" s="72"/>
      <c r="S584" s="72"/>
    </row>
    <row r="585" spans="1:19" ht="14.25" customHeight="1" x14ac:dyDescent="0.3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O585" s="72"/>
      <c r="P585" s="72"/>
      <c r="Q585" s="72"/>
      <c r="R585" s="72"/>
      <c r="S585" s="72"/>
    </row>
    <row r="586" spans="1:19" ht="14.25" customHeight="1" x14ac:dyDescent="0.3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O586" s="72"/>
      <c r="P586" s="72"/>
      <c r="Q586" s="72"/>
      <c r="R586" s="72"/>
      <c r="S586" s="72"/>
    </row>
    <row r="587" spans="1:19" ht="14.25" customHeight="1" x14ac:dyDescent="0.3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O587" s="72"/>
      <c r="P587" s="72"/>
      <c r="Q587" s="72"/>
      <c r="R587" s="72"/>
      <c r="S587" s="72"/>
    </row>
    <row r="588" spans="1:19" ht="14.25" customHeight="1" x14ac:dyDescent="0.3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O588" s="72"/>
      <c r="P588" s="72"/>
      <c r="Q588" s="72"/>
      <c r="R588" s="72"/>
      <c r="S588" s="72"/>
    </row>
    <row r="589" spans="1:19" ht="14.25" customHeight="1" x14ac:dyDescent="0.3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O589" s="72"/>
      <c r="P589" s="72"/>
      <c r="Q589" s="72"/>
      <c r="R589" s="72"/>
      <c r="S589" s="72"/>
    </row>
    <row r="590" spans="1:19" ht="14.25" customHeight="1" x14ac:dyDescent="0.3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O590" s="72"/>
      <c r="P590" s="72"/>
      <c r="Q590" s="72"/>
      <c r="R590" s="72"/>
      <c r="S590" s="72"/>
    </row>
    <row r="591" spans="1:19" ht="14.25" customHeight="1" x14ac:dyDescent="0.3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O591" s="72"/>
      <c r="P591" s="72"/>
      <c r="Q591" s="72"/>
      <c r="R591" s="72"/>
      <c r="S591" s="72"/>
    </row>
    <row r="592" spans="1:19" ht="14.25" customHeight="1" x14ac:dyDescent="0.3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O592" s="72"/>
      <c r="P592" s="72"/>
      <c r="Q592" s="72"/>
      <c r="R592" s="72"/>
      <c r="S592" s="72"/>
    </row>
    <row r="593" spans="1:19" ht="14.25" customHeight="1" x14ac:dyDescent="0.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O593" s="72"/>
      <c r="P593" s="72"/>
      <c r="Q593" s="72"/>
      <c r="R593" s="72"/>
      <c r="S593" s="72"/>
    </row>
    <row r="594" spans="1:19" ht="14.25" customHeight="1" x14ac:dyDescent="0.3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O594" s="72"/>
      <c r="P594" s="72"/>
      <c r="Q594" s="72"/>
      <c r="R594" s="72"/>
      <c r="S594" s="72"/>
    </row>
    <row r="595" spans="1:19" ht="14.25" customHeight="1" x14ac:dyDescent="0.3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O595" s="72"/>
      <c r="P595" s="72"/>
      <c r="Q595" s="72"/>
      <c r="R595" s="72"/>
      <c r="S595" s="72"/>
    </row>
    <row r="596" spans="1:19" ht="14.25" customHeight="1" x14ac:dyDescent="0.3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O596" s="72"/>
      <c r="P596" s="72"/>
      <c r="Q596" s="72"/>
      <c r="R596" s="72"/>
      <c r="S596" s="72"/>
    </row>
    <row r="597" spans="1:19" ht="14.25" customHeight="1" x14ac:dyDescent="0.3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O597" s="72"/>
      <c r="P597" s="72"/>
      <c r="Q597" s="72"/>
      <c r="R597" s="72"/>
      <c r="S597" s="72"/>
    </row>
    <row r="598" spans="1:19" ht="14.25" customHeight="1" x14ac:dyDescent="0.3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O598" s="72"/>
      <c r="P598" s="72"/>
      <c r="Q598" s="72"/>
      <c r="R598" s="72"/>
      <c r="S598" s="72"/>
    </row>
    <row r="599" spans="1:19" ht="14.25" customHeight="1" x14ac:dyDescent="0.3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O599" s="72"/>
      <c r="P599" s="72"/>
      <c r="Q599" s="72"/>
      <c r="R599" s="72"/>
      <c r="S599" s="72"/>
    </row>
    <row r="600" spans="1:19" ht="14.25" customHeight="1" x14ac:dyDescent="0.3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O600" s="72"/>
      <c r="P600" s="72"/>
      <c r="Q600" s="72"/>
      <c r="R600" s="72"/>
      <c r="S600" s="72"/>
    </row>
    <row r="601" spans="1:19" ht="14.25" customHeight="1" x14ac:dyDescent="0.3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O601" s="72"/>
      <c r="P601" s="72"/>
      <c r="Q601" s="72"/>
      <c r="R601" s="72"/>
      <c r="S601" s="72"/>
    </row>
    <row r="602" spans="1:19" ht="14.25" customHeight="1" x14ac:dyDescent="0.3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O602" s="72"/>
      <c r="P602" s="72"/>
      <c r="Q602" s="72"/>
      <c r="R602" s="72"/>
      <c r="S602" s="72"/>
    </row>
    <row r="603" spans="1:19" ht="14.25" customHeight="1" x14ac:dyDescent="0.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O603" s="72"/>
      <c r="P603" s="72"/>
      <c r="Q603" s="72"/>
      <c r="R603" s="72"/>
      <c r="S603" s="72"/>
    </row>
    <row r="604" spans="1:19" ht="14.25" customHeight="1" x14ac:dyDescent="0.3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O604" s="72"/>
      <c r="P604" s="72"/>
      <c r="Q604" s="72"/>
      <c r="R604" s="72"/>
      <c r="S604" s="72"/>
    </row>
    <row r="605" spans="1:19" ht="14.25" customHeight="1" x14ac:dyDescent="0.3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O605" s="72"/>
      <c r="P605" s="72"/>
      <c r="Q605" s="72"/>
      <c r="R605" s="72"/>
      <c r="S605" s="72"/>
    </row>
    <row r="606" spans="1:19" ht="14.25" customHeight="1" x14ac:dyDescent="0.3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O606" s="72"/>
      <c r="P606" s="72"/>
      <c r="Q606" s="72"/>
      <c r="R606" s="72"/>
      <c r="S606" s="72"/>
    </row>
    <row r="607" spans="1:19" ht="14.25" customHeight="1" x14ac:dyDescent="0.3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O607" s="72"/>
      <c r="P607" s="72"/>
      <c r="Q607" s="72"/>
      <c r="R607" s="72"/>
      <c r="S607" s="72"/>
    </row>
    <row r="608" spans="1:19" ht="14.25" customHeight="1" x14ac:dyDescent="0.3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O608" s="72"/>
      <c r="P608" s="72"/>
      <c r="Q608" s="72"/>
      <c r="R608" s="72"/>
      <c r="S608" s="72"/>
    </row>
    <row r="609" spans="1:19" ht="14.25" customHeight="1" x14ac:dyDescent="0.3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O609" s="72"/>
      <c r="P609" s="72"/>
      <c r="Q609" s="72"/>
      <c r="R609" s="72"/>
      <c r="S609" s="72"/>
    </row>
    <row r="610" spans="1:19" ht="14.25" customHeight="1" x14ac:dyDescent="0.3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O610" s="72"/>
      <c r="P610" s="72"/>
      <c r="Q610" s="72"/>
      <c r="R610" s="72"/>
      <c r="S610" s="72"/>
    </row>
    <row r="611" spans="1:19" ht="14.25" customHeight="1" x14ac:dyDescent="0.3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O611" s="72"/>
      <c r="P611" s="72"/>
      <c r="Q611" s="72"/>
      <c r="R611" s="72"/>
      <c r="S611" s="72"/>
    </row>
    <row r="612" spans="1:19" ht="14.25" customHeight="1" x14ac:dyDescent="0.3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O612" s="72"/>
      <c r="P612" s="72"/>
      <c r="Q612" s="72"/>
      <c r="R612" s="72"/>
      <c r="S612" s="72"/>
    </row>
    <row r="613" spans="1:19" ht="14.25" customHeight="1" x14ac:dyDescent="0.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O613" s="72"/>
      <c r="P613" s="72"/>
      <c r="Q613" s="72"/>
      <c r="R613" s="72"/>
      <c r="S613" s="72"/>
    </row>
    <row r="614" spans="1:19" ht="14.25" customHeight="1" x14ac:dyDescent="0.3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O614" s="72"/>
      <c r="P614" s="72"/>
      <c r="Q614" s="72"/>
      <c r="R614" s="72"/>
      <c r="S614" s="72"/>
    </row>
    <row r="615" spans="1:19" ht="14.25" customHeight="1" x14ac:dyDescent="0.3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O615" s="72"/>
      <c r="P615" s="72"/>
      <c r="Q615" s="72"/>
      <c r="R615" s="72"/>
      <c r="S615" s="72"/>
    </row>
    <row r="616" spans="1:19" ht="14.25" customHeight="1" x14ac:dyDescent="0.3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O616" s="72"/>
      <c r="P616" s="72"/>
      <c r="Q616" s="72"/>
      <c r="R616" s="72"/>
      <c r="S616" s="72"/>
    </row>
    <row r="617" spans="1:19" ht="14.25" customHeight="1" x14ac:dyDescent="0.3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O617" s="72"/>
      <c r="P617" s="72"/>
      <c r="Q617" s="72"/>
      <c r="R617" s="72"/>
      <c r="S617" s="72"/>
    </row>
    <row r="618" spans="1:19" ht="14.25" customHeight="1" x14ac:dyDescent="0.3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O618" s="72"/>
      <c r="P618" s="72"/>
      <c r="Q618" s="72"/>
      <c r="R618" s="72"/>
      <c r="S618" s="72"/>
    </row>
    <row r="619" spans="1:19" ht="14.25" customHeight="1" x14ac:dyDescent="0.3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O619" s="72"/>
      <c r="P619" s="72"/>
      <c r="Q619" s="72"/>
      <c r="R619" s="72"/>
      <c r="S619" s="72"/>
    </row>
    <row r="620" spans="1:19" ht="14.25" customHeight="1" x14ac:dyDescent="0.3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O620" s="72"/>
      <c r="P620" s="72"/>
      <c r="Q620" s="72"/>
      <c r="R620" s="72"/>
      <c r="S620" s="72"/>
    </row>
    <row r="621" spans="1:19" ht="14.25" customHeight="1" x14ac:dyDescent="0.3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O621" s="72"/>
      <c r="P621" s="72"/>
      <c r="Q621" s="72"/>
      <c r="R621" s="72"/>
      <c r="S621" s="72"/>
    </row>
    <row r="622" spans="1:19" ht="14.25" customHeight="1" x14ac:dyDescent="0.3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O622" s="72"/>
      <c r="P622" s="72"/>
      <c r="Q622" s="72"/>
      <c r="R622" s="72"/>
      <c r="S622" s="72"/>
    </row>
    <row r="623" spans="1:19" ht="14.25" customHeight="1" x14ac:dyDescent="0.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O623" s="72"/>
      <c r="P623" s="72"/>
      <c r="Q623" s="72"/>
      <c r="R623" s="72"/>
      <c r="S623" s="72"/>
    </row>
    <row r="624" spans="1:19" ht="14.25" customHeight="1" x14ac:dyDescent="0.3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O624" s="72"/>
      <c r="P624" s="72"/>
      <c r="Q624" s="72"/>
      <c r="R624" s="72"/>
      <c r="S624" s="72"/>
    </row>
    <row r="625" spans="1:19" ht="14.25" customHeight="1" x14ac:dyDescent="0.3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O625" s="72"/>
      <c r="P625" s="72"/>
      <c r="Q625" s="72"/>
      <c r="R625" s="72"/>
      <c r="S625" s="72"/>
    </row>
    <row r="626" spans="1:19" ht="14.25" customHeight="1" x14ac:dyDescent="0.3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O626" s="72"/>
      <c r="P626" s="72"/>
      <c r="Q626" s="72"/>
      <c r="R626" s="72"/>
      <c r="S626" s="72"/>
    </row>
    <row r="627" spans="1:19" ht="14.25" customHeight="1" x14ac:dyDescent="0.3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O627" s="72"/>
      <c r="P627" s="72"/>
      <c r="Q627" s="72"/>
      <c r="R627" s="72"/>
      <c r="S627" s="72"/>
    </row>
    <row r="628" spans="1:19" ht="14.25" customHeight="1" x14ac:dyDescent="0.3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O628" s="72"/>
      <c r="P628" s="72"/>
      <c r="Q628" s="72"/>
      <c r="R628" s="72"/>
      <c r="S628" s="72"/>
    </row>
    <row r="629" spans="1:19" ht="14.25" customHeight="1" x14ac:dyDescent="0.3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O629" s="72"/>
      <c r="P629" s="72"/>
      <c r="Q629" s="72"/>
      <c r="R629" s="72"/>
      <c r="S629" s="72"/>
    </row>
    <row r="630" spans="1:19" ht="14.25" customHeight="1" x14ac:dyDescent="0.3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O630" s="72"/>
      <c r="P630" s="72"/>
      <c r="Q630" s="72"/>
      <c r="R630" s="72"/>
      <c r="S630" s="72"/>
    </row>
    <row r="631" spans="1:19" ht="14.25" customHeight="1" x14ac:dyDescent="0.3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O631" s="72"/>
      <c r="P631" s="72"/>
      <c r="Q631" s="72"/>
      <c r="R631" s="72"/>
      <c r="S631" s="72"/>
    </row>
    <row r="632" spans="1:19" ht="14.25" customHeight="1" x14ac:dyDescent="0.3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O632" s="72"/>
      <c r="P632" s="72"/>
      <c r="Q632" s="72"/>
      <c r="R632" s="72"/>
      <c r="S632" s="72"/>
    </row>
    <row r="633" spans="1:19" ht="14.25" customHeight="1" x14ac:dyDescent="0.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O633" s="72"/>
      <c r="P633" s="72"/>
      <c r="Q633" s="72"/>
      <c r="R633" s="72"/>
      <c r="S633" s="72"/>
    </row>
    <row r="634" spans="1:19" ht="14.25" customHeight="1" x14ac:dyDescent="0.3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O634" s="72"/>
      <c r="P634" s="72"/>
      <c r="Q634" s="72"/>
      <c r="R634" s="72"/>
      <c r="S634" s="72"/>
    </row>
    <row r="635" spans="1:19" ht="14.25" customHeight="1" x14ac:dyDescent="0.3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O635" s="72"/>
      <c r="P635" s="72"/>
      <c r="Q635" s="72"/>
      <c r="R635" s="72"/>
      <c r="S635" s="72"/>
    </row>
    <row r="636" spans="1:19" ht="14.25" customHeight="1" x14ac:dyDescent="0.3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O636" s="72"/>
      <c r="P636" s="72"/>
      <c r="Q636" s="72"/>
      <c r="R636" s="72"/>
      <c r="S636" s="72"/>
    </row>
    <row r="637" spans="1:19" ht="14.25" customHeight="1" x14ac:dyDescent="0.3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O637" s="72"/>
      <c r="P637" s="72"/>
      <c r="Q637" s="72"/>
      <c r="R637" s="72"/>
      <c r="S637" s="72"/>
    </row>
    <row r="638" spans="1:19" ht="14.25" customHeight="1" x14ac:dyDescent="0.3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O638" s="72"/>
      <c r="P638" s="72"/>
      <c r="Q638" s="72"/>
      <c r="R638" s="72"/>
      <c r="S638" s="72"/>
    </row>
    <row r="639" spans="1:19" ht="14.25" customHeight="1" x14ac:dyDescent="0.3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O639" s="72"/>
      <c r="P639" s="72"/>
      <c r="Q639" s="72"/>
      <c r="R639" s="72"/>
      <c r="S639" s="72"/>
    </row>
    <row r="640" spans="1:19" ht="14.25" customHeight="1" x14ac:dyDescent="0.3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O640" s="72"/>
      <c r="P640" s="72"/>
      <c r="Q640" s="72"/>
      <c r="R640" s="72"/>
      <c r="S640" s="72"/>
    </row>
    <row r="641" spans="1:19" ht="14.25" customHeight="1" x14ac:dyDescent="0.3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O641" s="72"/>
      <c r="P641" s="72"/>
      <c r="Q641" s="72"/>
      <c r="R641" s="72"/>
      <c r="S641" s="72"/>
    </row>
    <row r="642" spans="1:19" ht="14.25" customHeight="1" x14ac:dyDescent="0.3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O642" s="72"/>
      <c r="P642" s="72"/>
      <c r="Q642" s="72"/>
      <c r="R642" s="72"/>
      <c r="S642" s="72"/>
    </row>
    <row r="643" spans="1:19" ht="14.25" customHeight="1" x14ac:dyDescent="0.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O643" s="72"/>
      <c r="P643" s="72"/>
      <c r="Q643" s="72"/>
      <c r="R643" s="72"/>
      <c r="S643" s="72"/>
    </row>
    <row r="644" spans="1:19" ht="14.25" customHeight="1" x14ac:dyDescent="0.3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O644" s="72"/>
      <c r="P644" s="72"/>
      <c r="Q644" s="72"/>
      <c r="R644" s="72"/>
      <c r="S644" s="72"/>
    </row>
    <row r="645" spans="1:19" ht="14.25" customHeight="1" x14ac:dyDescent="0.3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O645" s="72"/>
      <c r="P645" s="72"/>
      <c r="Q645" s="72"/>
      <c r="R645" s="72"/>
      <c r="S645" s="72"/>
    </row>
    <row r="646" spans="1:19" ht="14.25" customHeight="1" x14ac:dyDescent="0.3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O646" s="72"/>
      <c r="P646" s="72"/>
      <c r="Q646" s="72"/>
      <c r="R646" s="72"/>
      <c r="S646" s="72"/>
    </row>
    <row r="647" spans="1:19" ht="14.25" customHeight="1" x14ac:dyDescent="0.3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O647" s="72"/>
      <c r="P647" s="72"/>
      <c r="Q647" s="72"/>
      <c r="R647" s="72"/>
      <c r="S647" s="72"/>
    </row>
    <row r="648" spans="1:19" ht="14.25" customHeight="1" x14ac:dyDescent="0.3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O648" s="72"/>
      <c r="P648" s="72"/>
      <c r="Q648" s="72"/>
      <c r="R648" s="72"/>
      <c r="S648" s="72"/>
    </row>
    <row r="649" spans="1:19" ht="14.25" customHeight="1" x14ac:dyDescent="0.3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O649" s="72"/>
      <c r="P649" s="72"/>
      <c r="Q649" s="72"/>
      <c r="R649" s="72"/>
      <c r="S649" s="72"/>
    </row>
    <row r="650" spans="1:19" ht="14.25" customHeight="1" x14ac:dyDescent="0.3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O650" s="72"/>
      <c r="P650" s="72"/>
      <c r="Q650" s="72"/>
      <c r="R650" s="72"/>
      <c r="S650" s="72"/>
    </row>
    <row r="651" spans="1:19" ht="14.25" customHeight="1" x14ac:dyDescent="0.3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O651" s="72"/>
      <c r="P651" s="72"/>
      <c r="Q651" s="72"/>
      <c r="R651" s="72"/>
      <c r="S651" s="72"/>
    </row>
    <row r="652" spans="1:19" ht="14.25" customHeight="1" x14ac:dyDescent="0.3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O652" s="72"/>
      <c r="P652" s="72"/>
      <c r="Q652" s="72"/>
      <c r="R652" s="72"/>
      <c r="S652" s="72"/>
    </row>
    <row r="653" spans="1:19" ht="14.25" customHeight="1" x14ac:dyDescent="0.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O653" s="72"/>
      <c r="P653" s="72"/>
      <c r="Q653" s="72"/>
      <c r="R653" s="72"/>
      <c r="S653" s="72"/>
    </row>
    <row r="654" spans="1:19" ht="14.25" customHeight="1" x14ac:dyDescent="0.3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O654" s="72"/>
      <c r="P654" s="72"/>
      <c r="Q654" s="72"/>
      <c r="R654" s="72"/>
      <c r="S654" s="72"/>
    </row>
    <row r="655" spans="1:19" ht="14.25" customHeight="1" x14ac:dyDescent="0.3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O655" s="72"/>
      <c r="P655" s="72"/>
      <c r="Q655" s="72"/>
      <c r="R655" s="72"/>
      <c r="S655" s="72"/>
    </row>
    <row r="656" spans="1:19" ht="14.25" customHeight="1" x14ac:dyDescent="0.3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O656" s="72"/>
      <c r="P656" s="72"/>
      <c r="Q656" s="72"/>
      <c r="R656" s="72"/>
      <c r="S656" s="72"/>
    </row>
    <row r="657" spans="1:19" ht="14.25" customHeight="1" x14ac:dyDescent="0.3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O657" s="72"/>
      <c r="P657" s="72"/>
      <c r="Q657" s="72"/>
      <c r="R657" s="72"/>
      <c r="S657" s="72"/>
    </row>
    <row r="658" spans="1:19" ht="14.25" customHeight="1" x14ac:dyDescent="0.3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O658" s="72"/>
      <c r="P658" s="72"/>
      <c r="Q658" s="72"/>
      <c r="R658" s="72"/>
      <c r="S658" s="72"/>
    </row>
    <row r="659" spans="1:19" ht="14.25" customHeight="1" x14ac:dyDescent="0.3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O659" s="72"/>
      <c r="P659" s="72"/>
      <c r="Q659" s="72"/>
      <c r="R659" s="72"/>
      <c r="S659" s="72"/>
    </row>
    <row r="660" spans="1:19" ht="14.25" customHeight="1" x14ac:dyDescent="0.3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O660" s="72"/>
      <c r="P660" s="72"/>
      <c r="Q660" s="72"/>
      <c r="R660" s="72"/>
      <c r="S660" s="72"/>
    </row>
    <row r="661" spans="1:19" ht="14.25" customHeight="1" x14ac:dyDescent="0.3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O661" s="72"/>
      <c r="P661" s="72"/>
      <c r="Q661" s="72"/>
      <c r="R661" s="72"/>
      <c r="S661" s="72"/>
    </row>
    <row r="662" spans="1:19" ht="14.25" customHeight="1" x14ac:dyDescent="0.3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O662" s="72"/>
      <c r="P662" s="72"/>
      <c r="Q662" s="72"/>
      <c r="R662" s="72"/>
      <c r="S662" s="72"/>
    </row>
    <row r="663" spans="1:19" ht="14.25" customHeight="1" x14ac:dyDescent="0.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O663" s="72"/>
      <c r="P663" s="72"/>
      <c r="Q663" s="72"/>
      <c r="R663" s="72"/>
      <c r="S663" s="72"/>
    </row>
    <row r="664" spans="1:19" ht="14.25" customHeight="1" x14ac:dyDescent="0.3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O664" s="72"/>
      <c r="P664" s="72"/>
      <c r="Q664" s="72"/>
      <c r="R664" s="72"/>
      <c r="S664" s="72"/>
    </row>
    <row r="665" spans="1:19" ht="14.25" customHeight="1" x14ac:dyDescent="0.3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O665" s="72"/>
      <c r="P665" s="72"/>
      <c r="Q665" s="72"/>
      <c r="R665" s="72"/>
      <c r="S665" s="72"/>
    </row>
    <row r="666" spans="1:19" ht="14.25" customHeight="1" x14ac:dyDescent="0.3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O666" s="72"/>
      <c r="P666" s="72"/>
      <c r="Q666" s="72"/>
      <c r="R666" s="72"/>
      <c r="S666" s="72"/>
    </row>
    <row r="667" spans="1:19" ht="14.25" customHeight="1" x14ac:dyDescent="0.3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O667" s="72"/>
      <c r="P667" s="72"/>
      <c r="Q667" s="72"/>
      <c r="R667" s="72"/>
      <c r="S667" s="72"/>
    </row>
    <row r="668" spans="1:19" ht="14.25" customHeight="1" x14ac:dyDescent="0.3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O668" s="72"/>
      <c r="P668" s="72"/>
      <c r="Q668" s="72"/>
      <c r="R668" s="72"/>
      <c r="S668" s="72"/>
    </row>
    <row r="669" spans="1:19" ht="14.25" customHeight="1" x14ac:dyDescent="0.3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O669" s="72"/>
      <c r="P669" s="72"/>
      <c r="Q669" s="72"/>
      <c r="R669" s="72"/>
      <c r="S669" s="72"/>
    </row>
    <row r="670" spans="1:19" ht="14.25" customHeight="1" x14ac:dyDescent="0.3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O670" s="72"/>
      <c r="P670" s="72"/>
      <c r="Q670" s="72"/>
      <c r="R670" s="72"/>
      <c r="S670" s="72"/>
    </row>
    <row r="671" spans="1:19" ht="14.25" customHeight="1" x14ac:dyDescent="0.3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O671" s="72"/>
      <c r="P671" s="72"/>
      <c r="Q671" s="72"/>
      <c r="R671" s="72"/>
      <c r="S671" s="72"/>
    </row>
    <row r="672" spans="1:19" ht="14.25" customHeight="1" x14ac:dyDescent="0.3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O672" s="72"/>
      <c r="P672" s="72"/>
      <c r="Q672" s="72"/>
      <c r="R672" s="72"/>
      <c r="S672" s="72"/>
    </row>
    <row r="673" spans="1:19" ht="14.25" customHeight="1" x14ac:dyDescent="0.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O673" s="72"/>
      <c r="P673" s="72"/>
      <c r="Q673" s="72"/>
      <c r="R673" s="72"/>
      <c r="S673" s="72"/>
    </row>
    <row r="674" spans="1:19" ht="14.25" customHeight="1" x14ac:dyDescent="0.3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O674" s="72"/>
      <c r="P674" s="72"/>
      <c r="Q674" s="72"/>
      <c r="R674" s="72"/>
      <c r="S674" s="72"/>
    </row>
    <row r="675" spans="1:19" ht="14.25" customHeight="1" x14ac:dyDescent="0.3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O675" s="72"/>
      <c r="P675" s="72"/>
      <c r="Q675" s="72"/>
      <c r="R675" s="72"/>
      <c r="S675" s="72"/>
    </row>
    <row r="676" spans="1:19" ht="14.25" customHeight="1" x14ac:dyDescent="0.3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O676" s="72"/>
      <c r="P676" s="72"/>
      <c r="Q676" s="72"/>
      <c r="R676" s="72"/>
      <c r="S676" s="72"/>
    </row>
    <row r="677" spans="1:19" ht="14.25" customHeight="1" x14ac:dyDescent="0.3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O677" s="72"/>
      <c r="P677" s="72"/>
      <c r="Q677" s="72"/>
      <c r="R677" s="72"/>
      <c r="S677" s="72"/>
    </row>
    <row r="678" spans="1:19" ht="14.25" customHeight="1" x14ac:dyDescent="0.3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O678" s="72"/>
      <c r="P678" s="72"/>
      <c r="Q678" s="72"/>
      <c r="R678" s="72"/>
      <c r="S678" s="72"/>
    </row>
    <row r="679" spans="1:19" ht="14.25" customHeight="1" x14ac:dyDescent="0.3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O679" s="72"/>
      <c r="P679" s="72"/>
      <c r="Q679" s="72"/>
      <c r="R679" s="72"/>
      <c r="S679" s="72"/>
    </row>
    <row r="680" spans="1:19" ht="14.25" customHeight="1" x14ac:dyDescent="0.3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O680" s="72"/>
      <c r="P680" s="72"/>
      <c r="Q680" s="72"/>
      <c r="R680" s="72"/>
      <c r="S680" s="72"/>
    </row>
    <row r="681" spans="1:19" ht="14.25" customHeight="1" x14ac:dyDescent="0.3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O681" s="72"/>
      <c r="P681" s="72"/>
      <c r="Q681" s="72"/>
      <c r="R681" s="72"/>
      <c r="S681" s="72"/>
    </row>
    <row r="682" spans="1:19" ht="14.25" customHeight="1" x14ac:dyDescent="0.3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O682" s="72"/>
      <c r="P682" s="72"/>
      <c r="Q682" s="72"/>
      <c r="R682" s="72"/>
      <c r="S682" s="72"/>
    </row>
    <row r="683" spans="1:19" ht="14.25" customHeight="1" x14ac:dyDescent="0.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O683" s="72"/>
      <c r="P683" s="72"/>
      <c r="Q683" s="72"/>
      <c r="R683" s="72"/>
      <c r="S683" s="72"/>
    </row>
    <row r="684" spans="1:19" ht="14.25" customHeight="1" x14ac:dyDescent="0.3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O684" s="72"/>
      <c r="P684" s="72"/>
      <c r="Q684" s="72"/>
      <c r="R684" s="72"/>
      <c r="S684" s="72"/>
    </row>
    <row r="685" spans="1:19" ht="14.25" customHeight="1" x14ac:dyDescent="0.3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O685" s="72"/>
      <c r="P685" s="72"/>
      <c r="Q685" s="72"/>
      <c r="R685" s="72"/>
      <c r="S685" s="72"/>
    </row>
    <row r="686" spans="1:19" ht="14.25" customHeight="1" x14ac:dyDescent="0.3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O686" s="72"/>
      <c r="P686" s="72"/>
      <c r="Q686" s="72"/>
      <c r="R686" s="72"/>
      <c r="S686" s="72"/>
    </row>
    <row r="687" spans="1:19" ht="14.25" customHeight="1" x14ac:dyDescent="0.3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O687" s="72"/>
      <c r="P687" s="72"/>
      <c r="Q687" s="72"/>
      <c r="R687" s="72"/>
      <c r="S687" s="72"/>
    </row>
    <row r="688" spans="1:19" ht="14.25" customHeight="1" x14ac:dyDescent="0.3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O688" s="72"/>
      <c r="P688" s="72"/>
      <c r="Q688" s="72"/>
      <c r="R688" s="72"/>
      <c r="S688" s="72"/>
    </row>
    <row r="689" spans="1:19" ht="14.25" customHeight="1" x14ac:dyDescent="0.3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O689" s="72"/>
      <c r="P689" s="72"/>
      <c r="Q689" s="72"/>
      <c r="R689" s="72"/>
      <c r="S689" s="72"/>
    </row>
    <row r="690" spans="1:19" ht="14.25" customHeight="1" x14ac:dyDescent="0.3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O690" s="72"/>
      <c r="P690" s="72"/>
      <c r="Q690" s="72"/>
      <c r="R690" s="72"/>
      <c r="S690" s="72"/>
    </row>
    <row r="691" spans="1:19" ht="14.25" customHeight="1" x14ac:dyDescent="0.3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O691" s="72"/>
      <c r="P691" s="72"/>
      <c r="Q691" s="72"/>
      <c r="R691" s="72"/>
      <c r="S691" s="72"/>
    </row>
    <row r="692" spans="1:19" ht="14.25" customHeight="1" x14ac:dyDescent="0.3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O692" s="72"/>
      <c r="P692" s="72"/>
      <c r="Q692" s="72"/>
      <c r="R692" s="72"/>
      <c r="S692" s="72"/>
    </row>
    <row r="693" spans="1:19" ht="14.25" customHeight="1" x14ac:dyDescent="0.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O693" s="72"/>
      <c r="P693" s="72"/>
      <c r="Q693" s="72"/>
      <c r="R693" s="72"/>
      <c r="S693" s="72"/>
    </row>
    <row r="694" spans="1:19" ht="14.25" customHeight="1" x14ac:dyDescent="0.3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O694" s="72"/>
      <c r="P694" s="72"/>
      <c r="Q694" s="72"/>
      <c r="R694" s="72"/>
      <c r="S694" s="72"/>
    </row>
    <row r="695" spans="1:19" ht="14.25" customHeight="1" x14ac:dyDescent="0.3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O695" s="72"/>
      <c r="P695" s="72"/>
      <c r="Q695" s="72"/>
      <c r="R695" s="72"/>
      <c r="S695" s="72"/>
    </row>
    <row r="696" spans="1:19" ht="14.25" customHeight="1" x14ac:dyDescent="0.3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O696" s="72"/>
      <c r="P696" s="72"/>
      <c r="Q696" s="72"/>
      <c r="R696" s="72"/>
      <c r="S696" s="72"/>
    </row>
    <row r="697" spans="1:19" ht="14.25" customHeight="1" x14ac:dyDescent="0.3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O697" s="72"/>
      <c r="P697" s="72"/>
      <c r="Q697" s="72"/>
      <c r="R697" s="72"/>
      <c r="S697" s="72"/>
    </row>
    <row r="698" spans="1:19" ht="14.25" customHeight="1" x14ac:dyDescent="0.3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O698" s="72"/>
      <c r="P698" s="72"/>
      <c r="Q698" s="72"/>
      <c r="R698" s="72"/>
      <c r="S698" s="72"/>
    </row>
    <row r="699" spans="1:19" ht="14.25" customHeight="1" x14ac:dyDescent="0.3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O699" s="72"/>
      <c r="P699" s="72"/>
      <c r="Q699" s="72"/>
      <c r="R699" s="72"/>
      <c r="S699" s="72"/>
    </row>
    <row r="700" spans="1:19" ht="14.25" customHeight="1" x14ac:dyDescent="0.3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O700" s="72"/>
      <c r="P700" s="72"/>
      <c r="Q700" s="72"/>
      <c r="R700" s="72"/>
      <c r="S700" s="72"/>
    </row>
    <row r="701" spans="1:19" ht="14.25" customHeight="1" x14ac:dyDescent="0.3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O701" s="72"/>
      <c r="P701" s="72"/>
      <c r="Q701" s="72"/>
      <c r="R701" s="72"/>
      <c r="S701" s="72"/>
    </row>
    <row r="702" spans="1:19" ht="14.25" customHeight="1" x14ac:dyDescent="0.3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O702" s="72"/>
      <c r="P702" s="72"/>
      <c r="Q702" s="72"/>
      <c r="R702" s="72"/>
      <c r="S702" s="72"/>
    </row>
    <row r="703" spans="1:19" ht="14.25" customHeight="1" x14ac:dyDescent="0.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O703" s="72"/>
      <c r="P703" s="72"/>
      <c r="Q703" s="72"/>
      <c r="R703" s="72"/>
      <c r="S703" s="72"/>
    </row>
    <row r="704" spans="1:19" ht="14.25" customHeight="1" x14ac:dyDescent="0.3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O704" s="72"/>
      <c r="P704" s="72"/>
      <c r="Q704" s="72"/>
      <c r="R704" s="72"/>
      <c r="S704" s="72"/>
    </row>
    <row r="705" spans="1:19" ht="14.25" customHeight="1" x14ac:dyDescent="0.3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O705" s="72"/>
      <c r="P705" s="72"/>
      <c r="Q705" s="72"/>
      <c r="R705" s="72"/>
      <c r="S705" s="72"/>
    </row>
    <row r="706" spans="1:19" ht="14.25" customHeight="1" x14ac:dyDescent="0.3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O706" s="72"/>
      <c r="P706" s="72"/>
      <c r="Q706" s="72"/>
      <c r="R706" s="72"/>
      <c r="S706" s="72"/>
    </row>
    <row r="707" spans="1:19" ht="14.25" customHeight="1" x14ac:dyDescent="0.3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O707" s="72"/>
      <c r="P707" s="72"/>
      <c r="Q707" s="72"/>
      <c r="R707" s="72"/>
      <c r="S707" s="72"/>
    </row>
    <row r="708" spans="1:19" ht="14.25" customHeight="1" x14ac:dyDescent="0.3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O708" s="72"/>
      <c r="P708" s="72"/>
      <c r="Q708" s="72"/>
      <c r="R708" s="72"/>
      <c r="S708" s="72"/>
    </row>
    <row r="709" spans="1:19" ht="14.25" customHeight="1" x14ac:dyDescent="0.3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O709" s="72"/>
      <c r="P709" s="72"/>
      <c r="Q709" s="72"/>
      <c r="R709" s="72"/>
      <c r="S709" s="72"/>
    </row>
    <row r="710" spans="1:19" ht="14.25" customHeight="1" x14ac:dyDescent="0.3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O710" s="72"/>
      <c r="P710" s="72"/>
      <c r="Q710" s="72"/>
      <c r="R710" s="72"/>
      <c r="S710" s="72"/>
    </row>
    <row r="711" spans="1:19" ht="14.25" customHeight="1" x14ac:dyDescent="0.3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O711" s="72"/>
      <c r="P711" s="72"/>
      <c r="Q711" s="72"/>
      <c r="R711" s="72"/>
      <c r="S711" s="72"/>
    </row>
    <row r="712" spans="1:19" ht="14.25" customHeight="1" x14ac:dyDescent="0.3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O712" s="72"/>
      <c r="P712" s="72"/>
      <c r="Q712" s="72"/>
      <c r="R712" s="72"/>
      <c r="S712" s="72"/>
    </row>
    <row r="713" spans="1:19" ht="14.25" customHeight="1" x14ac:dyDescent="0.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O713" s="72"/>
      <c r="P713" s="72"/>
      <c r="Q713" s="72"/>
      <c r="R713" s="72"/>
      <c r="S713" s="72"/>
    </row>
    <row r="714" spans="1:19" ht="14.25" customHeight="1" x14ac:dyDescent="0.3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O714" s="72"/>
      <c r="P714" s="72"/>
      <c r="Q714" s="72"/>
      <c r="R714" s="72"/>
      <c r="S714" s="72"/>
    </row>
    <row r="715" spans="1:19" ht="14.25" customHeight="1" x14ac:dyDescent="0.3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O715" s="72"/>
      <c r="P715" s="72"/>
      <c r="Q715" s="72"/>
      <c r="R715" s="72"/>
      <c r="S715" s="72"/>
    </row>
    <row r="716" spans="1:19" ht="14.25" customHeight="1" x14ac:dyDescent="0.3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O716" s="72"/>
      <c r="P716" s="72"/>
      <c r="Q716" s="72"/>
      <c r="R716" s="72"/>
      <c r="S716" s="72"/>
    </row>
    <row r="717" spans="1:19" ht="14.25" customHeight="1" x14ac:dyDescent="0.3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O717" s="72"/>
      <c r="P717" s="72"/>
      <c r="Q717" s="72"/>
      <c r="R717" s="72"/>
      <c r="S717" s="72"/>
    </row>
    <row r="718" spans="1:19" ht="14.25" customHeight="1" x14ac:dyDescent="0.3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O718" s="72"/>
      <c r="P718" s="72"/>
      <c r="Q718" s="72"/>
      <c r="R718" s="72"/>
      <c r="S718" s="72"/>
    </row>
    <row r="719" spans="1:19" ht="14.25" customHeight="1" x14ac:dyDescent="0.3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O719" s="72"/>
      <c r="P719" s="72"/>
      <c r="Q719" s="72"/>
      <c r="R719" s="72"/>
      <c r="S719" s="72"/>
    </row>
    <row r="720" spans="1:19" ht="14.25" customHeight="1" x14ac:dyDescent="0.3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O720" s="72"/>
      <c r="P720" s="72"/>
      <c r="Q720" s="72"/>
      <c r="R720" s="72"/>
      <c r="S720" s="72"/>
    </row>
    <row r="721" spans="1:19" ht="14.25" customHeight="1" x14ac:dyDescent="0.3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O721" s="72"/>
      <c r="P721" s="72"/>
      <c r="Q721" s="72"/>
      <c r="R721" s="72"/>
      <c r="S721" s="72"/>
    </row>
    <row r="722" spans="1:19" ht="14.25" customHeight="1" x14ac:dyDescent="0.3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O722" s="72"/>
      <c r="P722" s="72"/>
      <c r="Q722" s="72"/>
      <c r="R722" s="72"/>
      <c r="S722" s="72"/>
    </row>
    <row r="723" spans="1:19" ht="14.25" customHeight="1" x14ac:dyDescent="0.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O723" s="72"/>
      <c r="P723" s="72"/>
      <c r="Q723" s="72"/>
      <c r="R723" s="72"/>
      <c r="S723" s="72"/>
    </row>
    <row r="724" spans="1:19" ht="14.25" customHeight="1" x14ac:dyDescent="0.3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O724" s="72"/>
      <c r="P724" s="72"/>
      <c r="Q724" s="72"/>
      <c r="R724" s="72"/>
      <c r="S724" s="72"/>
    </row>
    <row r="725" spans="1:19" ht="14.25" customHeight="1" x14ac:dyDescent="0.3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O725" s="72"/>
      <c r="P725" s="72"/>
      <c r="Q725" s="72"/>
      <c r="R725" s="72"/>
      <c r="S725" s="72"/>
    </row>
    <row r="726" spans="1:19" ht="14.25" customHeight="1" x14ac:dyDescent="0.3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O726" s="72"/>
      <c r="P726" s="72"/>
      <c r="Q726" s="72"/>
      <c r="R726" s="72"/>
      <c r="S726" s="72"/>
    </row>
    <row r="727" spans="1:19" ht="14.25" customHeight="1" x14ac:dyDescent="0.3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O727" s="72"/>
      <c r="P727" s="72"/>
      <c r="Q727" s="72"/>
      <c r="R727" s="72"/>
      <c r="S727" s="72"/>
    </row>
    <row r="728" spans="1:19" ht="14.25" customHeight="1" x14ac:dyDescent="0.3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O728" s="72"/>
      <c r="P728" s="72"/>
      <c r="Q728" s="72"/>
      <c r="R728" s="72"/>
      <c r="S728" s="72"/>
    </row>
    <row r="729" spans="1:19" ht="14.25" customHeight="1" x14ac:dyDescent="0.3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O729" s="72"/>
      <c r="P729" s="72"/>
      <c r="Q729" s="72"/>
      <c r="R729" s="72"/>
      <c r="S729" s="72"/>
    </row>
    <row r="730" spans="1:19" ht="14.25" customHeight="1" x14ac:dyDescent="0.3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O730" s="72"/>
      <c r="P730" s="72"/>
      <c r="Q730" s="72"/>
      <c r="R730" s="72"/>
      <c r="S730" s="72"/>
    </row>
    <row r="731" spans="1:19" ht="14.25" customHeight="1" x14ac:dyDescent="0.3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O731" s="72"/>
      <c r="P731" s="72"/>
      <c r="Q731" s="72"/>
      <c r="R731" s="72"/>
      <c r="S731" s="72"/>
    </row>
    <row r="732" spans="1:19" ht="14.25" customHeight="1" x14ac:dyDescent="0.3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O732" s="72"/>
      <c r="P732" s="72"/>
      <c r="Q732" s="72"/>
      <c r="R732" s="72"/>
      <c r="S732" s="72"/>
    </row>
    <row r="733" spans="1:19" ht="14.25" customHeight="1" x14ac:dyDescent="0.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O733" s="72"/>
      <c r="P733" s="72"/>
      <c r="Q733" s="72"/>
      <c r="R733" s="72"/>
      <c r="S733" s="72"/>
    </row>
    <row r="734" spans="1:19" ht="14.25" customHeight="1" x14ac:dyDescent="0.3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O734" s="72"/>
      <c r="P734" s="72"/>
      <c r="Q734" s="72"/>
      <c r="R734" s="72"/>
      <c r="S734" s="72"/>
    </row>
    <row r="735" spans="1:19" ht="14.25" customHeight="1" x14ac:dyDescent="0.3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O735" s="72"/>
      <c r="P735" s="72"/>
      <c r="Q735" s="72"/>
      <c r="R735" s="72"/>
      <c r="S735" s="72"/>
    </row>
    <row r="736" spans="1:19" ht="14.25" customHeight="1" x14ac:dyDescent="0.3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O736" s="72"/>
      <c r="P736" s="72"/>
      <c r="Q736" s="72"/>
      <c r="R736" s="72"/>
      <c r="S736" s="72"/>
    </row>
    <row r="737" spans="1:19" ht="14.25" customHeight="1" x14ac:dyDescent="0.3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O737" s="72"/>
      <c r="P737" s="72"/>
      <c r="Q737" s="72"/>
      <c r="R737" s="72"/>
      <c r="S737" s="72"/>
    </row>
    <row r="738" spans="1:19" ht="14.25" customHeight="1" x14ac:dyDescent="0.3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O738" s="72"/>
      <c r="P738" s="72"/>
      <c r="Q738" s="72"/>
      <c r="R738" s="72"/>
      <c r="S738" s="72"/>
    </row>
    <row r="739" spans="1:19" ht="14.25" customHeight="1" x14ac:dyDescent="0.3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O739" s="72"/>
      <c r="P739" s="72"/>
      <c r="Q739" s="72"/>
      <c r="R739" s="72"/>
      <c r="S739" s="72"/>
    </row>
    <row r="740" spans="1:19" ht="14.25" customHeight="1" x14ac:dyDescent="0.3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O740" s="72"/>
      <c r="P740" s="72"/>
      <c r="Q740" s="72"/>
      <c r="R740" s="72"/>
      <c r="S740" s="72"/>
    </row>
    <row r="741" spans="1:19" ht="14.25" customHeight="1" x14ac:dyDescent="0.3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O741" s="72"/>
      <c r="P741" s="72"/>
      <c r="Q741" s="72"/>
      <c r="R741" s="72"/>
      <c r="S741" s="72"/>
    </row>
    <row r="742" spans="1:19" ht="14.25" customHeight="1" x14ac:dyDescent="0.3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O742" s="72"/>
      <c r="P742" s="72"/>
      <c r="Q742" s="72"/>
      <c r="R742" s="72"/>
      <c r="S742" s="72"/>
    </row>
    <row r="743" spans="1:19" ht="14.25" customHeight="1" x14ac:dyDescent="0.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O743" s="72"/>
      <c r="P743" s="72"/>
      <c r="Q743" s="72"/>
      <c r="R743" s="72"/>
      <c r="S743" s="72"/>
    </row>
    <row r="744" spans="1:19" ht="14.25" customHeight="1" x14ac:dyDescent="0.3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O744" s="72"/>
      <c r="P744" s="72"/>
      <c r="Q744" s="72"/>
      <c r="R744" s="72"/>
      <c r="S744" s="72"/>
    </row>
    <row r="745" spans="1:19" ht="14.25" customHeight="1" x14ac:dyDescent="0.3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O745" s="72"/>
      <c r="P745" s="72"/>
      <c r="Q745" s="72"/>
      <c r="R745" s="72"/>
      <c r="S745" s="72"/>
    </row>
    <row r="746" spans="1:19" ht="14.25" customHeight="1" x14ac:dyDescent="0.3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O746" s="72"/>
      <c r="P746" s="72"/>
      <c r="Q746" s="72"/>
      <c r="R746" s="72"/>
      <c r="S746" s="72"/>
    </row>
    <row r="747" spans="1:19" ht="14.25" customHeight="1" x14ac:dyDescent="0.3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O747" s="72"/>
      <c r="P747" s="72"/>
      <c r="Q747" s="72"/>
      <c r="R747" s="72"/>
      <c r="S747" s="72"/>
    </row>
    <row r="748" spans="1:19" ht="14.25" customHeight="1" x14ac:dyDescent="0.3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O748" s="72"/>
      <c r="P748" s="72"/>
      <c r="Q748" s="72"/>
      <c r="R748" s="72"/>
      <c r="S748" s="72"/>
    </row>
    <row r="749" spans="1:19" ht="14.25" customHeight="1" x14ac:dyDescent="0.3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O749" s="72"/>
      <c r="P749" s="72"/>
      <c r="Q749" s="72"/>
      <c r="R749" s="72"/>
      <c r="S749" s="72"/>
    </row>
    <row r="750" spans="1:19" ht="14.25" customHeight="1" x14ac:dyDescent="0.3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O750" s="72"/>
      <c r="P750" s="72"/>
      <c r="Q750" s="72"/>
      <c r="R750" s="72"/>
      <c r="S750" s="72"/>
    </row>
    <row r="751" spans="1:19" ht="14.25" customHeight="1" x14ac:dyDescent="0.3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O751" s="72"/>
      <c r="P751" s="72"/>
      <c r="Q751" s="72"/>
      <c r="R751" s="72"/>
      <c r="S751" s="72"/>
    </row>
    <row r="752" spans="1:19" ht="14.25" customHeight="1" x14ac:dyDescent="0.3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O752" s="72"/>
      <c r="P752" s="72"/>
      <c r="Q752" s="72"/>
      <c r="R752" s="72"/>
      <c r="S752" s="72"/>
    </row>
    <row r="753" spans="1:19" ht="14.25" customHeight="1" x14ac:dyDescent="0.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O753" s="72"/>
      <c r="P753" s="72"/>
      <c r="Q753" s="72"/>
      <c r="R753" s="72"/>
      <c r="S753" s="72"/>
    </row>
    <row r="754" spans="1:19" ht="14.25" customHeight="1" x14ac:dyDescent="0.3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O754" s="72"/>
      <c r="P754" s="72"/>
      <c r="Q754" s="72"/>
      <c r="R754" s="72"/>
      <c r="S754" s="72"/>
    </row>
    <row r="755" spans="1:19" ht="14.25" customHeight="1" x14ac:dyDescent="0.3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O755" s="72"/>
      <c r="P755" s="72"/>
      <c r="Q755" s="72"/>
      <c r="R755" s="72"/>
      <c r="S755" s="72"/>
    </row>
    <row r="756" spans="1:19" ht="14.25" customHeight="1" x14ac:dyDescent="0.3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O756" s="72"/>
      <c r="P756" s="72"/>
      <c r="Q756" s="72"/>
      <c r="R756" s="72"/>
      <c r="S756" s="72"/>
    </row>
    <row r="757" spans="1:19" ht="14.25" customHeight="1" x14ac:dyDescent="0.3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O757" s="72"/>
      <c r="P757" s="72"/>
      <c r="Q757" s="72"/>
      <c r="R757" s="72"/>
      <c r="S757" s="72"/>
    </row>
    <row r="758" spans="1:19" ht="14.25" customHeight="1" x14ac:dyDescent="0.3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O758" s="72"/>
      <c r="P758" s="72"/>
      <c r="Q758" s="72"/>
      <c r="R758" s="72"/>
      <c r="S758" s="72"/>
    </row>
    <row r="759" spans="1:19" ht="14.25" customHeight="1" x14ac:dyDescent="0.3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O759" s="72"/>
      <c r="P759" s="72"/>
      <c r="Q759" s="72"/>
      <c r="R759" s="72"/>
      <c r="S759" s="72"/>
    </row>
    <row r="760" spans="1:19" ht="14.25" customHeight="1" x14ac:dyDescent="0.3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O760" s="72"/>
      <c r="P760" s="72"/>
      <c r="Q760" s="72"/>
      <c r="R760" s="72"/>
      <c r="S760" s="72"/>
    </row>
    <row r="761" spans="1:19" ht="14.25" customHeight="1" x14ac:dyDescent="0.3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O761" s="72"/>
      <c r="P761" s="72"/>
      <c r="Q761" s="72"/>
      <c r="R761" s="72"/>
      <c r="S761" s="72"/>
    </row>
    <row r="762" spans="1:19" ht="14.25" customHeight="1" x14ac:dyDescent="0.3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O762" s="72"/>
      <c r="P762" s="72"/>
      <c r="Q762" s="72"/>
      <c r="R762" s="72"/>
      <c r="S762" s="72"/>
    </row>
    <row r="763" spans="1:19" ht="14.25" customHeight="1" x14ac:dyDescent="0.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O763" s="72"/>
      <c r="P763" s="72"/>
      <c r="Q763" s="72"/>
      <c r="R763" s="72"/>
      <c r="S763" s="72"/>
    </row>
    <row r="764" spans="1:19" ht="14.25" customHeight="1" x14ac:dyDescent="0.3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O764" s="72"/>
      <c r="P764" s="72"/>
      <c r="Q764" s="72"/>
      <c r="R764" s="72"/>
      <c r="S764" s="72"/>
    </row>
    <row r="765" spans="1:19" ht="14.25" customHeight="1" x14ac:dyDescent="0.3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O765" s="72"/>
      <c r="P765" s="72"/>
      <c r="Q765" s="72"/>
      <c r="R765" s="72"/>
      <c r="S765" s="72"/>
    </row>
    <row r="766" spans="1:19" ht="14.25" customHeight="1" x14ac:dyDescent="0.3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O766" s="72"/>
      <c r="P766" s="72"/>
      <c r="Q766" s="72"/>
      <c r="R766" s="72"/>
      <c r="S766" s="72"/>
    </row>
    <row r="767" spans="1:19" ht="14.25" customHeight="1" x14ac:dyDescent="0.3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O767" s="72"/>
      <c r="P767" s="72"/>
      <c r="Q767" s="72"/>
      <c r="R767" s="72"/>
      <c r="S767" s="72"/>
    </row>
    <row r="768" spans="1:19" ht="14.25" customHeight="1" x14ac:dyDescent="0.3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O768" s="72"/>
      <c r="P768" s="72"/>
      <c r="Q768" s="72"/>
      <c r="R768" s="72"/>
      <c r="S768" s="72"/>
    </row>
    <row r="769" spans="1:19" ht="14.25" customHeight="1" x14ac:dyDescent="0.3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O769" s="72"/>
      <c r="P769" s="72"/>
      <c r="Q769" s="72"/>
      <c r="R769" s="72"/>
      <c r="S769" s="72"/>
    </row>
    <row r="770" spans="1:19" ht="14.25" customHeight="1" x14ac:dyDescent="0.3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O770" s="72"/>
      <c r="P770" s="72"/>
      <c r="Q770" s="72"/>
      <c r="R770" s="72"/>
      <c r="S770" s="72"/>
    </row>
    <row r="771" spans="1:19" ht="14.25" customHeight="1" x14ac:dyDescent="0.3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O771" s="72"/>
      <c r="P771" s="72"/>
      <c r="Q771" s="72"/>
      <c r="R771" s="72"/>
      <c r="S771" s="72"/>
    </row>
    <row r="772" spans="1:19" ht="14.25" customHeight="1" x14ac:dyDescent="0.3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O772" s="72"/>
      <c r="P772" s="72"/>
      <c r="Q772" s="72"/>
      <c r="R772" s="72"/>
      <c r="S772" s="72"/>
    </row>
    <row r="773" spans="1:19" ht="14.25" customHeight="1" x14ac:dyDescent="0.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O773" s="72"/>
      <c r="P773" s="72"/>
      <c r="Q773" s="72"/>
      <c r="R773" s="72"/>
      <c r="S773" s="72"/>
    </row>
    <row r="774" spans="1:19" ht="14.25" customHeight="1" x14ac:dyDescent="0.3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O774" s="72"/>
      <c r="P774" s="72"/>
      <c r="Q774" s="72"/>
      <c r="R774" s="72"/>
      <c r="S774" s="72"/>
    </row>
    <row r="775" spans="1:19" ht="14.25" customHeight="1" x14ac:dyDescent="0.3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O775" s="72"/>
      <c r="P775" s="72"/>
      <c r="Q775" s="72"/>
      <c r="R775" s="72"/>
      <c r="S775" s="72"/>
    </row>
    <row r="776" spans="1:19" ht="14.25" customHeight="1" x14ac:dyDescent="0.3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O776" s="72"/>
      <c r="P776" s="72"/>
      <c r="Q776" s="72"/>
      <c r="R776" s="72"/>
      <c r="S776" s="72"/>
    </row>
    <row r="777" spans="1:19" ht="14.25" customHeight="1" x14ac:dyDescent="0.3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O777" s="72"/>
      <c r="P777" s="72"/>
      <c r="Q777" s="72"/>
      <c r="R777" s="72"/>
      <c r="S777" s="72"/>
    </row>
    <row r="778" spans="1:19" ht="14.25" customHeight="1" x14ac:dyDescent="0.3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O778" s="72"/>
      <c r="P778" s="72"/>
      <c r="Q778" s="72"/>
      <c r="R778" s="72"/>
      <c r="S778" s="72"/>
    </row>
    <row r="779" spans="1:19" ht="14.25" customHeight="1" x14ac:dyDescent="0.3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O779" s="72"/>
      <c r="P779" s="72"/>
      <c r="Q779" s="72"/>
      <c r="R779" s="72"/>
      <c r="S779" s="72"/>
    </row>
    <row r="780" spans="1:19" ht="14.25" customHeight="1" x14ac:dyDescent="0.3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O780" s="72"/>
      <c r="P780" s="72"/>
      <c r="Q780" s="72"/>
      <c r="R780" s="72"/>
      <c r="S780" s="72"/>
    </row>
    <row r="781" spans="1:19" ht="14.25" customHeight="1" x14ac:dyDescent="0.3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O781" s="72"/>
      <c r="P781" s="72"/>
      <c r="Q781" s="72"/>
      <c r="R781" s="72"/>
      <c r="S781" s="72"/>
    </row>
    <row r="782" spans="1:19" ht="14.25" customHeight="1" x14ac:dyDescent="0.3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O782" s="72"/>
      <c r="P782" s="72"/>
      <c r="Q782" s="72"/>
      <c r="R782" s="72"/>
      <c r="S782" s="72"/>
    </row>
    <row r="783" spans="1:19" ht="14.25" customHeight="1" x14ac:dyDescent="0.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O783" s="72"/>
      <c r="P783" s="72"/>
      <c r="Q783" s="72"/>
      <c r="R783" s="72"/>
      <c r="S783" s="72"/>
    </row>
    <row r="784" spans="1:19" ht="14.25" customHeight="1" x14ac:dyDescent="0.3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O784" s="72"/>
      <c r="P784" s="72"/>
      <c r="Q784" s="72"/>
      <c r="R784" s="72"/>
      <c r="S784" s="72"/>
    </row>
    <row r="785" spans="1:19" ht="14.25" customHeight="1" x14ac:dyDescent="0.3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O785" s="72"/>
      <c r="P785" s="72"/>
      <c r="Q785" s="72"/>
      <c r="R785" s="72"/>
      <c r="S785" s="72"/>
    </row>
    <row r="786" spans="1:19" ht="14.25" customHeight="1" x14ac:dyDescent="0.3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O786" s="72"/>
      <c r="P786" s="72"/>
      <c r="Q786" s="72"/>
      <c r="R786" s="72"/>
      <c r="S786" s="72"/>
    </row>
    <row r="787" spans="1:19" ht="14.25" customHeight="1" x14ac:dyDescent="0.3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O787" s="72"/>
      <c r="P787" s="72"/>
      <c r="Q787" s="72"/>
      <c r="R787" s="72"/>
      <c r="S787" s="72"/>
    </row>
    <row r="788" spans="1:19" ht="14.25" customHeight="1" x14ac:dyDescent="0.3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O788" s="72"/>
      <c r="P788" s="72"/>
      <c r="Q788" s="72"/>
      <c r="R788" s="72"/>
      <c r="S788" s="72"/>
    </row>
    <row r="789" spans="1:19" ht="14.25" customHeight="1" x14ac:dyDescent="0.3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O789" s="72"/>
      <c r="P789" s="72"/>
      <c r="Q789" s="72"/>
      <c r="R789" s="72"/>
      <c r="S789" s="72"/>
    </row>
    <row r="790" spans="1:19" ht="14.25" customHeight="1" x14ac:dyDescent="0.3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O790" s="72"/>
      <c r="P790" s="72"/>
      <c r="Q790" s="72"/>
      <c r="R790" s="72"/>
      <c r="S790" s="72"/>
    </row>
    <row r="791" spans="1:19" ht="14.25" customHeight="1" x14ac:dyDescent="0.3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O791" s="72"/>
      <c r="P791" s="72"/>
      <c r="Q791" s="72"/>
      <c r="R791" s="72"/>
      <c r="S791" s="72"/>
    </row>
    <row r="792" spans="1:19" ht="14.25" customHeight="1" x14ac:dyDescent="0.3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O792" s="72"/>
      <c r="P792" s="72"/>
      <c r="Q792" s="72"/>
      <c r="R792" s="72"/>
      <c r="S792" s="72"/>
    </row>
    <row r="793" spans="1:19" ht="14.25" customHeight="1" x14ac:dyDescent="0.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O793" s="72"/>
      <c r="P793" s="72"/>
      <c r="Q793" s="72"/>
      <c r="R793" s="72"/>
      <c r="S793" s="72"/>
    </row>
    <row r="794" spans="1:19" ht="14.25" customHeight="1" x14ac:dyDescent="0.3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O794" s="72"/>
      <c r="P794" s="72"/>
      <c r="Q794" s="72"/>
      <c r="R794" s="72"/>
      <c r="S794" s="72"/>
    </row>
    <row r="795" spans="1:19" ht="14.25" customHeight="1" x14ac:dyDescent="0.3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O795" s="72"/>
      <c r="P795" s="72"/>
      <c r="Q795" s="72"/>
      <c r="R795" s="72"/>
      <c r="S795" s="72"/>
    </row>
    <row r="796" spans="1:19" ht="14.25" customHeight="1" x14ac:dyDescent="0.3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O796" s="72"/>
      <c r="P796" s="72"/>
      <c r="Q796" s="72"/>
      <c r="R796" s="72"/>
      <c r="S796" s="72"/>
    </row>
    <row r="797" spans="1:19" ht="14.25" customHeight="1" x14ac:dyDescent="0.3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O797" s="72"/>
      <c r="P797" s="72"/>
      <c r="Q797" s="72"/>
      <c r="R797" s="72"/>
      <c r="S797" s="72"/>
    </row>
    <row r="798" spans="1:19" ht="14.25" customHeight="1" x14ac:dyDescent="0.3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O798" s="72"/>
      <c r="P798" s="72"/>
      <c r="Q798" s="72"/>
      <c r="R798" s="72"/>
      <c r="S798" s="72"/>
    </row>
    <row r="799" spans="1:19" ht="14.25" customHeight="1" x14ac:dyDescent="0.3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O799" s="72"/>
      <c r="P799" s="72"/>
      <c r="Q799" s="72"/>
      <c r="R799" s="72"/>
      <c r="S799" s="72"/>
    </row>
    <row r="800" spans="1:19" ht="14.25" customHeight="1" x14ac:dyDescent="0.3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O800" s="72"/>
      <c r="P800" s="72"/>
      <c r="Q800" s="72"/>
      <c r="R800" s="72"/>
      <c r="S800" s="72"/>
    </row>
    <row r="801" spans="1:19" ht="14.25" customHeight="1" x14ac:dyDescent="0.3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O801" s="72"/>
      <c r="P801" s="72"/>
      <c r="Q801" s="72"/>
      <c r="R801" s="72"/>
      <c r="S801" s="72"/>
    </row>
    <row r="802" spans="1:19" ht="14.25" customHeight="1" x14ac:dyDescent="0.3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O802" s="72"/>
      <c r="P802" s="72"/>
      <c r="Q802" s="72"/>
      <c r="R802" s="72"/>
      <c r="S802" s="72"/>
    </row>
    <row r="803" spans="1:19" ht="14.25" customHeight="1" x14ac:dyDescent="0.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O803" s="72"/>
      <c r="P803" s="72"/>
      <c r="Q803" s="72"/>
      <c r="R803" s="72"/>
      <c r="S803" s="72"/>
    </row>
    <row r="804" spans="1:19" ht="14.25" customHeight="1" x14ac:dyDescent="0.3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O804" s="72"/>
      <c r="P804" s="72"/>
      <c r="Q804" s="72"/>
      <c r="R804" s="72"/>
      <c r="S804" s="72"/>
    </row>
    <row r="805" spans="1:19" ht="14.25" customHeight="1" x14ac:dyDescent="0.3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O805" s="72"/>
      <c r="P805" s="72"/>
      <c r="Q805" s="72"/>
      <c r="R805" s="72"/>
      <c r="S805" s="72"/>
    </row>
    <row r="806" spans="1:19" ht="14.25" customHeight="1" x14ac:dyDescent="0.3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O806" s="72"/>
      <c r="P806" s="72"/>
      <c r="Q806" s="72"/>
      <c r="R806" s="72"/>
      <c r="S806" s="72"/>
    </row>
    <row r="807" spans="1:19" ht="14.25" customHeight="1" x14ac:dyDescent="0.3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O807" s="72"/>
      <c r="P807" s="72"/>
      <c r="Q807" s="72"/>
      <c r="R807" s="72"/>
      <c r="S807" s="72"/>
    </row>
    <row r="808" spans="1:19" ht="14.25" customHeight="1" x14ac:dyDescent="0.3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O808" s="72"/>
      <c r="P808" s="72"/>
      <c r="Q808" s="72"/>
      <c r="R808" s="72"/>
      <c r="S808" s="72"/>
    </row>
    <row r="809" spans="1:19" ht="14.25" customHeight="1" x14ac:dyDescent="0.3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O809" s="72"/>
      <c r="P809" s="72"/>
      <c r="Q809" s="72"/>
      <c r="R809" s="72"/>
      <c r="S809" s="72"/>
    </row>
    <row r="810" spans="1:19" ht="14.25" customHeight="1" x14ac:dyDescent="0.3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O810" s="72"/>
      <c r="P810" s="72"/>
      <c r="Q810" s="72"/>
      <c r="R810" s="72"/>
      <c r="S810" s="72"/>
    </row>
    <row r="811" spans="1:19" ht="14.25" customHeight="1" x14ac:dyDescent="0.3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O811" s="72"/>
      <c r="P811" s="72"/>
      <c r="Q811" s="72"/>
      <c r="R811" s="72"/>
      <c r="S811" s="72"/>
    </row>
    <row r="812" spans="1:19" ht="14.25" customHeight="1" x14ac:dyDescent="0.3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O812" s="72"/>
      <c r="P812" s="72"/>
      <c r="Q812" s="72"/>
      <c r="R812" s="72"/>
      <c r="S812" s="72"/>
    </row>
    <row r="813" spans="1:19" ht="14.25" customHeight="1" x14ac:dyDescent="0.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O813" s="72"/>
      <c r="P813" s="72"/>
      <c r="Q813" s="72"/>
      <c r="R813" s="72"/>
      <c r="S813" s="72"/>
    </row>
    <row r="814" spans="1:19" ht="14.25" customHeight="1" x14ac:dyDescent="0.3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O814" s="72"/>
      <c r="P814" s="72"/>
      <c r="Q814" s="72"/>
      <c r="R814" s="72"/>
      <c r="S814" s="72"/>
    </row>
    <row r="815" spans="1:19" ht="14.25" customHeight="1" x14ac:dyDescent="0.3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O815" s="72"/>
      <c r="P815" s="72"/>
      <c r="Q815" s="72"/>
      <c r="R815" s="72"/>
      <c r="S815" s="72"/>
    </row>
    <row r="816" spans="1:19" ht="14.25" customHeight="1" x14ac:dyDescent="0.3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O816" s="72"/>
      <c r="P816" s="72"/>
      <c r="Q816" s="72"/>
      <c r="R816" s="72"/>
      <c r="S816" s="72"/>
    </row>
    <row r="817" spans="1:19" ht="14.25" customHeight="1" x14ac:dyDescent="0.3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O817" s="72"/>
      <c r="P817" s="72"/>
      <c r="Q817" s="72"/>
      <c r="R817" s="72"/>
      <c r="S817" s="72"/>
    </row>
    <row r="818" spans="1:19" ht="14.25" customHeight="1" x14ac:dyDescent="0.3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O818" s="72"/>
      <c r="P818" s="72"/>
      <c r="Q818" s="72"/>
      <c r="R818" s="72"/>
      <c r="S818" s="72"/>
    </row>
    <row r="819" spans="1:19" ht="14.25" customHeight="1" x14ac:dyDescent="0.3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O819" s="72"/>
      <c r="P819" s="72"/>
      <c r="Q819" s="72"/>
      <c r="R819" s="72"/>
      <c r="S819" s="72"/>
    </row>
    <row r="820" spans="1:19" ht="14.25" customHeight="1" x14ac:dyDescent="0.3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O820" s="72"/>
      <c r="P820" s="72"/>
      <c r="Q820" s="72"/>
      <c r="R820" s="72"/>
      <c r="S820" s="72"/>
    </row>
    <row r="821" spans="1:19" ht="14.25" customHeight="1" x14ac:dyDescent="0.3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O821" s="72"/>
      <c r="P821" s="72"/>
      <c r="Q821" s="72"/>
      <c r="R821" s="72"/>
      <c r="S821" s="72"/>
    </row>
    <row r="822" spans="1:19" ht="14.25" customHeight="1" x14ac:dyDescent="0.3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O822" s="72"/>
      <c r="P822" s="72"/>
      <c r="Q822" s="72"/>
      <c r="R822" s="72"/>
      <c r="S822" s="72"/>
    </row>
    <row r="823" spans="1:19" ht="14.25" customHeight="1" x14ac:dyDescent="0.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O823" s="72"/>
      <c r="P823" s="72"/>
      <c r="Q823" s="72"/>
      <c r="R823" s="72"/>
      <c r="S823" s="72"/>
    </row>
    <row r="824" spans="1:19" ht="14.25" customHeight="1" x14ac:dyDescent="0.3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O824" s="72"/>
      <c r="P824" s="72"/>
      <c r="Q824" s="72"/>
      <c r="R824" s="72"/>
      <c r="S824" s="72"/>
    </row>
    <row r="825" spans="1:19" ht="14.25" customHeight="1" x14ac:dyDescent="0.3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O825" s="72"/>
      <c r="P825" s="72"/>
      <c r="Q825" s="72"/>
      <c r="R825" s="72"/>
      <c r="S825" s="72"/>
    </row>
    <row r="826" spans="1:19" ht="14.25" customHeight="1" x14ac:dyDescent="0.3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O826" s="72"/>
      <c r="P826" s="72"/>
      <c r="Q826" s="72"/>
      <c r="R826" s="72"/>
      <c r="S826" s="72"/>
    </row>
    <row r="827" spans="1:19" ht="14.25" customHeight="1" x14ac:dyDescent="0.3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O827" s="72"/>
      <c r="P827" s="72"/>
      <c r="Q827" s="72"/>
      <c r="R827" s="72"/>
      <c r="S827" s="72"/>
    </row>
    <row r="828" spans="1:19" ht="14.25" customHeight="1" x14ac:dyDescent="0.3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O828" s="72"/>
      <c r="P828" s="72"/>
      <c r="Q828" s="72"/>
      <c r="R828" s="72"/>
      <c r="S828" s="72"/>
    </row>
    <row r="829" spans="1:19" ht="14.25" customHeight="1" x14ac:dyDescent="0.3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O829" s="72"/>
      <c r="P829" s="72"/>
      <c r="Q829" s="72"/>
      <c r="R829" s="72"/>
      <c r="S829" s="72"/>
    </row>
    <row r="830" spans="1:19" ht="14.25" customHeight="1" x14ac:dyDescent="0.3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O830" s="72"/>
      <c r="P830" s="72"/>
      <c r="Q830" s="72"/>
      <c r="R830" s="72"/>
      <c r="S830" s="72"/>
    </row>
    <row r="831" spans="1:19" ht="14.25" customHeight="1" x14ac:dyDescent="0.3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O831" s="72"/>
      <c r="P831" s="72"/>
      <c r="Q831" s="72"/>
      <c r="R831" s="72"/>
      <c r="S831" s="72"/>
    </row>
    <row r="832" spans="1:19" ht="14.25" customHeight="1" x14ac:dyDescent="0.3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O832" s="72"/>
      <c r="P832" s="72"/>
      <c r="Q832" s="72"/>
      <c r="R832" s="72"/>
      <c r="S832" s="72"/>
    </row>
    <row r="833" spans="1:19" ht="14.25" customHeight="1" x14ac:dyDescent="0.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O833" s="72"/>
      <c r="P833" s="72"/>
      <c r="Q833" s="72"/>
      <c r="R833" s="72"/>
      <c r="S833" s="72"/>
    </row>
    <row r="834" spans="1:19" ht="14.25" customHeight="1" x14ac:dyDescent="0.3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O834" s="72"/>
      <c r="P834" s="72"/>
      <c r="Q834" s="72"/>
      <c r="R834" s="72"/>
      <c r="S834" s="72"/>
    </row>
    <row r="835" spans="1:19" ht="14.25" customHeight="1" x14ac:dyDescent="0.3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O835" s="72"/>
      <c r="P835" s="72"/>
      <c r="Q835" s="72"/>
      <c r="R835" s="72"/>
      <c r="S835" s="72"/>
    </row>
    <row r="836" spans="1:19" ht="14.25" customHeight="1" x14ac:dyDescent="0.3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O836" s="72"/>
      <c r="P836" s="72"/>
      <c r="Q836" s="72"/>
      <c r="R836" s="72"/>
      <c r="S836" s="72"/>
    </row>
    <row r="837" spans="1:19" ht="14.25" customHeight="1" x14ac:dyDescent="0.3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O837" s="72"/>
      <c r="P837" s="72"/>
      <c r="Q837" s="72"/>
      <c r="R837" s="72"/>
      <c r="S837" s="72"/>
    </row>
    <row r="838" spans="1:19" ht="14.25" customHeight="1" x14ac:dyDescent="0.3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O838" s="72"/>
      <c r="P838" s="72"/>
      <c r="Q838" s="72"/>
      <c r="R838" s="72"/>
      <c r="S838" s="72"/>
    </row>
    <row r="839" spans="1:19" ht="14.25" customHeight="1" x14ac:dyDescent="0.3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O839" s="72"/>
      <c r="P839" s="72"/>
      <c r="Q839" s="72"/>
      <c r="R839" s="72"/>
      <c r="S839" s="72"/>
    </row>
    <row r="840" spans="1:19" ht="14.25" customHeight="1" x14ac:dyDescent="0.3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O840" s="72"/>
      <c r="P840" s="72"/>
      <c r="Q840" s="72"/>
      <c r="R840" s="72"/>
      <c r="S840" s="72"/>
    </row>
    <row r="841" spans="1:19" ht="14.25" customHeight="1" x14ac:dyDescent="0.3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O841" s="72"/>
      <c r="P841" s="72"/>
      <c r="Q841" s="72"/>
      <c r="R841" s="72"/>
      <c r="S841" s="72"/>
    </row>
    <row r="842" spans="1:19" ht="14.25" customHeight="1" x14ac:dyDescent="0.3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O842" s="72"/>
      <c r="P842" s="72"/>
      <c r="Q842" s="72"/>
      <c r="R842" s="72"/>
      <c r="S842" s="72"/>
    </row>
    <row r="843" spans="1:19" ht="14.25" customHeight="1" x14ac:dyDescent="0.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O843" s="72"/>
      <c r="P843" s="72"/>
      <c r="Q843" s="72"/>
      <c r="R843" s="72"/>
      <c r="S843" s="72"/>
    </row>
    <row r="844" spans="1:19" ht="14.25" customHeight="1" x14ac:dyDescent="0.3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O844" s="72"/>
      <c r="P844" s="72"/>
      <c r="Q844" s="72"/>
      <c r="R844" s="72"/>
      <c r="S844" s="72"/>
    </row>
    <row r="845" spans="1:19" ht="14.25" customHeight="1" x14ac:dyDescent="0.3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O845" s="72"/>
      <c r="P845" s="72"/>
      <c r="Q845" s="72"/>
      <c r="R845" s="72"/>
      <c r="S845" s="72"/>
    </row>
    <row r="846" spans="1:19" ht="14.25" customHeight="1" x14ac:dyDescent="0.3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O846" s="72"/>
      <c r="P846" s="72"/>
      <c r="Q846" s="72"/>
      <c r="R846" s="72"/>
      <c r="S846" s="72"/>
    </row>
    <row r="847" spans="1:19" ht="14.25" customHeight="1" x14ac:dyDescent="0.3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O847" s="72"/>
      <c r="P847" s="72"/>
      <c r="Q847" s="72"/>
      <c r="R847" s="72"/>
      <c r="S847" s="72"/>
    </row>
    <row r="848" spans="1:19" ht="14.25" customHeight="1" x14ac:dyDescent="0.3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O848" s="72"/>
      <c r="P848" s="72"/>
      <c r="Q848" s="72"/>
      <c r="R848" s="72"/>
      <c r="S848" s="72"/>
    </row>
    <row r="849" spans="1:19" ht="14.25" customHeight="1" x14ac:dyDescent="0.3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O849" s="72"/>
      <c r="P849" s="72"/>
      <c r="Q849" s="72"/>
      <c r="R849" s="72"/>
      <c r="S849" s="72"/>
    </row>
    <row r="850" spans="1:19" ht="14.25" customHeight="1" x14ac:dyDescent="0.3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O850" s="72"/>
      <c r="P850" s="72"/>
      <c r="Q850" s="72"/>
      <c r="R850" s="72"/>
      <c r="S850" s="72"/>
    </row>
    <row r="851" spans="1:19" ht="14.25" customHeight="1" x14ac:dyDescent="0.3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O851" s="72"/>
      <c r="P851" s="72"/>
      <c r="Q851" s="72"/>
      <c r="R851" s="72"/>
      <c r="S851" s="72"/>
    </row>
    <row r="852" spans="1:19" ht="14.25" customHeight="1" x14ac:dyDescent="0.3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O852" s="72"/>
      <c r="P852" s="72"/>
      <c r="Q852" s="72"/>
      <c r="R852" s="72"/>
      <c r="S852" s="72"/>
    </row>
    <row r="853" spans="1:19" ht="14.25" customHeight="1" x14ac:dyDescent="0.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O853" s="72"/>
      <c r="P853" s="72"/>
      <c r="Q853" s="72"/>
      <c r="R853" s="72"/>
      <c r="S853" s="72"/>
    </row>
    <row r="854" spans="1:19" ht="14.25" customHeight="1" x14ac:dyDescent="0.3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O854" s="72"/>
      <c r="P854" s="72"/>
      <c r="Q854" s="72"/>
      <c r="R854" s="72"/>
      <c r="S854" s="72"/>
    </row>
    <row r="855" spans="1:19" ht="14.25" customHeight="1" x14ac:dyDescent="0.3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O855" s="72"/>
      <c r="P855" s="72"/>
      <c r="Q855" s="72"/>
      <c r="R855" s="72"/>
      <c r="S855" s="72"/>
    </row>
    <row r="856" spans="1:19" ht="14.25" customHeight="1" x14ac:dyDescent="0.3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O856" s="72"/>
      <c r="P856" s="72"/>
      <c r="Q856" s="72"/>
      <c r="R856" s="72"/>
      <c r="S856" s="72"/>
    </row>
    <row r="857" spans="1:19" ht="14.25" customHeight="1" x14ac:dyDescent="0.3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O857" s="72"/>
      <c r="P857" s="72"/>
      <c r="Q857" s="72"/>
      <c r="R857" s="72"/>
      <c r="S857" s="72"/>
    </row>
    <row r="858" spans="1:19" ht="14.25" customHeight="1" x14ac:dyDescent="0.3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O858" s="72"/>
      <c r="P858" s="72"/>
      <c r="Q858" s="72"/>
      <c r="R858" s="72"/>
      <c r="S858" s="72"/>
    </row>
    <row r="859" spans="1:19" ht="14.25" customHeight="1" x14ac:dyDescent="0.3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O859" s="72"/>
      <c r="P859" s="72"/>
      <c r="Q859" s="72"/>
      <c r="R859" s="72"/>
      <c r="S859" s="72"/>
    </row>
    <row r="860" spans="1:19" ht="14.25" customHeight="1" x14ac:dyDescent="0.3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O860" s="72"/>
      <c r="P860" s="72"/>
      <c r="Q860" s="72"/>
      <c r="R860" s="72"/>
      <c r="S860" s="72"/>
    </row>
    <row r="861" spans="1:19" ht="14.25" customHeight="1" x14ac:dyDescent="0.3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O861" s="72"/>
      <c r="P861" s="72"/>
      <c r="Q861" s="72"/>
      <c r="R861" s="72"/>
      <c r="S861" s="72"/>
    </row>
    <row r="862" spans="1:19" ht="14.25" customHeight="1" x14ac:dyDescent="0.3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O862" s="72"/>
      <c r="P862" s="72"/>
      <c r="Q862" s="72"/>
      <c r="R862" s="72"/>
      <c r="S862" s="72"/>
    </row>
    <row r="863" spans="1:19" ht="14.25" customHeight="1" x14ac:dyDescent="0.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O863" s="72"/>
      <c r="P863" s="72"/>
      <c r="Q863" s="72"/>
      <c r="R863" s="72"/>
      <c r="S863" s="72"/>
    </row>
    <row r="864" spans="1:19" ht="14.25" customHeight="1" x14ac:dyDescent="0.3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O864" s="72"/>
      <c r="P864" s="72"/>
      <c r="Q864" s="72"/>
      <c r="R864" s="72"/>
      <c r="S864" s="72"/>
    </row>
    <row r="865" spans="1:19" ht="14.25" customHeight="1" x14ac:dyDescent="0.3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O865" s="72"/>
      <c r="P865" s="72"/>
      <c r="Q865" s="72"/>
      <c r="R865" s="72"/>
      <c r="S865" s="72"/>
    </row>
    <row r="866" spans="1:19" ht="14.25" customHeight="1" x14ac:dyDescent="0.3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O866" s="72"/>
      <c r="P866" s="72"/>
      <c r="Q866" s="72"/>
      <c r="R866" s="72"/>
      <c r="S866" s="72"/>
    </row>
    <row r="867" spans="1:19" ht="14.25" customHeight="1" x14ac:dyDescent="0.3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O867" s="72"/>
      <c r="P867" s="72"/>
      <c r="Q867" s="72"/>
      <c r="R867" s="72"/>
      <c r="S867" s="72"/>
    </row>
    <row r="868" spans="1:19" ht="14.25" customHeight="1" x14ac:dyDescent="0.3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O868" s="72"/>
      <c r="P868" s="72"/>
      <c r="Q868" s="72"/>
      <c r="R868" s="72"/>
      <c r="S868" s="72"/>
    </row>
    <row r="869" spans="1:19" ht="14.25" customHeight="1" x14ac:dyDescent="0.3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O869" s="72"/>
      <c r="P869" s="72"/>
      <c r="Q869" s="72"/>
      <c r="R869" s="72"/>
      <c r="S869" s="72"/>
    </row>
    <row r="870" spans="1:19" ht="14.25" customHeight="1" x14ac:dyDescent="0.3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O870" s="72"/>
      <c r="P870" s="72"/>
      <c r="Q870" s="72"/>
      <c r="R870" s="72"/>
      <c r="S870" s="72"/>
    </row>
    <row r="871" spans="1:19" ht="14.25" customHeight="1" x14ac:dyDescent="0.3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O871" s="72"/>
      <c r="P871" s="72"/>
      <c r="Q871" s="72"/>
      <c r="R871" s="72"/>
      <c r="S871" s="72"/>
    </row>
    <row r="872" spans="1:19" ht="14.25" customHeight="1" x14ac:dyDescent="0.3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O872" s="72"/>
      <c r="P872" s="72"/>
      <c r="Q872" s="72"/>
      <c r="R872" s="72"/>
      <c r="S872" s="72"/>
    </row>
    <row r="873" spans="1:19" ht="14.25" customHeight="1" x14ac:dyDescent="0.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O873" s="72"/>
      <c r="P873" s="72"/>
      <c r="Q873" s="72"/>
      <c r="R873" s="72"/>
      <c r="S873" s="72"/>
    </row>
    <row r="874" spans="1:19" ht="14.25" customHeight="1" x14ac:dyDescent="0.3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O874" s="72"/>
      <c r="P874" s="72"/>
      <c r="Q874" s="72"/>
      <c r="R874" s="72"/>
      <c r="S874" s="72"/>
    </row>
    <row r="875" spans="1:19" ht="14.25" customHeight="1" x14ac:dyDescent="0.3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O875" s="72"/>
      <c r="P875" s="72"/>
      <c r="Q875" s="72"/>
      <c r="R875" s="72"/>
      <c r="S875" s="72"/>
    </row>
    <row r="876" spans="1:19" ht="14.25" customHeight="1" x14ac:dyDescent="0.3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O876" s="72"/>
      <c r="P876" s="72"/>
      <c r="Q876" s="72"/>
      <c r="R876" s="72"/>
      <c r="S876" s="72"/>
    </row>
    <row r="877" spans="1:19" ht="14.25" customHeight="1" x14ac:dyDescent="0.3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O877" s="72"/>
      <c r="P877" s="72"/>
      <c r="Q877" s="72"/>
      <c r="R877" s="72"/>
      <c r="S877" s="72"/>
    </row>
    <row r="878" spans="1:19" ht="14.25" customHeight="1" x14ac:dyDescent="0.3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O878" s="72"/>
      <c r="P878" s="72"/>
      <c r="Q878" s="72"/>
      <c r="R878" s="72"/>
      <c r="S878" s="72"/>
    </row>
    <row r="879" spans="1:19" ht="14.25" customHeight="1" x14ac:dyDescent="0.3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O879" s="72"/>
      <c r="P879" s="72"/>
      <c r="Q879" s="72"/>
      <c r="R879" s="72"/>
      <c r="S879" s="72"/>
    </row>
    <row r="880" spans="1:19" ht="14.25" customHeight="1" x14ac:dyDescent="0.3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O880" s="72"/>
      <c r="P880" s="72"/>
      <c r="Q880" s="72"/>
      <c r="R880" s="72"/>
      <c r="S880" s="72"/>
    </row>
    <row r="881" spans="1:19" ht="14.25" customHeight="1" x14ac:dyDescent="0.3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O881" s="72"/>
      <c r="P881" s="72"/>
      <c r="Q881" s="72"/>
      <c r="R881" s="72"/>
      <c r="S881" s="72"/>
    </row>
    <row r="882" spans="1:19" ht="14.25" customHeight="1" x14ac:dyDescent="0.3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O882" s="72"/>
      <c r="P882" s="72"/>
      <c r="Q882" s="72"/>
      <c r="R882" s="72"/>
      <c r="S882" s="72"/>
    </row>
    <row r="883" spans="1:19" ht="14.25" customHeight="1" x14ac:dyDescent="0.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O883" s="72"/>
      <c r="P883" s="72"/>
      <c r="Q883" s="72"/>
      <c r="R883" s="72"/>
      <c r="S883" s="72"/>
    </row>
    <row r="884" spans="1:19" ht="14.25" customHeight="1" x14ac:dyDescent="0.3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O884" s="72"/>
      <c r="P884" s="72"/>
      <c r="Q884" s="72"/>
      <c r="R884" s="72"/>
      <c r="S884" s="72"/>
    </row>
    <row r="885" spans="1:19" ht="14.25" customHeight="1" x14ac:dyDescent="0.3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O885" s="72"/>
      <c r="P885" s="72"/>
      <c r="Q885" s="72"/>
      <c r="R885" s="72"/>
      <c r="S885" s="72"/>
    </row>
    <row r="886" spans="1:19" ht="14.25" customHeight="1" x14ac:dyDescent="0.3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O886" s="72"/>
      <c r="P886" s="72"/>
      <c r="Q886" s="72"/>
      <c r="R886" s="72"/>
      <c r="S886" s="72"/>
    </row>
    <row r="887" spans="1:19" ht="14.25" customHeight="1" x14ac:dyDescent="0.3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O887" s="72"/>
      <c r="P887" s="72"/>
      <c r="Q887" s="72"/>
      <c r="R887" s="72"/>
      <c r="S887" s="72"/>
    </row>
    <row r="888" spans="1:19" ht="14.25" customHeight="1" x14ac:dyDescent="0.3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O888" s="72"/>
      <c r="P888" s="72"/>
      <c r="Q888" s="72"/>
      <c r="R888" s="72"/>
      <c r="S888" s="72"/>
    </row>
    <row r="889" spans="1:19" ht="14.25" customHeight="1" x14ac:dyDescent="0.3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O889" s="72"/>
      <c r="P889" s="72"/>
      <c r="Q889" s="72"/>
      <c r="R889" s="72"/>
      <c r="S889" s="72"/>
    </row>
    <row r="890" spans="1:19" ht="14.25" customHeight="1" x14ac:dyDescent="0.3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O890" s="72"/>
      <c r="P890" s="72"/>
      <c r="Q890" s="72"/>
      <c r="R890" s="72"/>
      <c r="S890" s="72"/>
    </row>
    <row r="891" spans="1:19" ht="14.25" customHeight="1" x14ac:dyDescent="0.3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O891" s="72"/>
      <c r="P891" s="72"/>
      <c r="Q891" s="72"/>
      <c r="R891" s="72"/>
      <c r="S891" s="72"/>
    </row>
    <row r="892" spans="1:19" ht="14.25" customHeight="1" x14ac:dyDescent="0.3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O892" s="72"/>
      <c r="P892" s="72"/>
      <c r="Q892" s="72"/>
      <c r="R892" s="72"/>
      <c r="S892" s="72"/>
    </row>
    <row r="893" spans="1:19" ht="14.25" customHeight="1" x14ac:dyDescent="0.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O893" s="72"/>
      <c r="P893" s="72"/>
      <c r="Q893" s="72"/>
      <c r="R893" s="72"/>
      <c r="S893" s="72"/>
    </row>
    <row r="894" spans="1:19" ht="14.25" customHeight="1" x14ac:dyDescent="0.3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O894" s="72"/>
      <c r="P894" s="72"/>
      <c r="Q894" s="72"/>
      <c r="R894" s="72"/>
      <c r="S894" s="72"/>
    </row>
    <row r="895" spans="1:19" ht="14.25" customHeight="1" x14ac:dyDescent="0.3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O895" s="72"/>
      <c r="P895" s="72"/>
      <c r="Q895" s="72"/>
      <c r="R895" s="72"/>
      <c r="S895" s="72"/>
    </row>
    <row r="896" spans="1:19" ht="14.25" customHeight="1" x14ac:dyDescent="0.3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O896" s="72"/>
      <c r="P896" s="72"/>
      <c r="Q896" s="72"/>
      <c r="R896" s="72"/>
      <c r="S896" s="72"/>
    </row>
    <row r="897" spans="1:19" ht="14.25" customHeight="1" x14ac:dyDescent="0.3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O897" s="72"/>
      <c r="P897" s="72"/>
      <c r="Q897" s="72"/>
      <c r="R897" s="72"/>
      <c r="S897" s="72"/>
    </row>
    <row r="898" spans="1:19" ht="14.25" customHeight="1" x14ac:dyDescent="0.3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O898" s="72"/>
      <c r="P898" s="72"/>
      <c r="Q898" s="72"/>
      <c r="R898" s="72"/>
      <c r="S898" s="72"/>
    </row>
    <row r="899" spans="1:19" ht="14.25" customHeight="1" x14ac:dyDescent="0.3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O899" s="72"/>
      <c r="P899" s="72"/>
      <c r="Q899" s="72"/>
      <c r="R899" s="72"/>
      <c r="S899" s="72"/>
    </row>
    <row r="900" spans="1:19" ht="14.25" customHeight="1" x14ac:dyDescent="0.3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O900" s="72"/>
      <c r="P900" s="72"/>
      <c r="Q900" s="72"/>
      <c r="R900" s="72"/>
      <c r="S900" s="72"/>
    </row>
    <row r="901" spans="1:19" ht="14.25" customHeight="1" x14ac:dyDescent="0.3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O901" s="72"/>
      <c r="P901" s="72"/>
      <c r="Q901" s="72"/>
      <c r="R901" s="72"/>
      <c r="S901" s="72"/>
    </row>
    <row r="902" spans="1:19" ht="14.25" customHeight="1" x14ac:dyDescent="0.3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O902" s="72"/>
      <c r="P902" s="72"/>
      <c r="Q902" s="72"/>
      <c r="R902" s="72"/>
      <c r="S902" s="72"/>
    </row>
    <row r="903" spans="1:19" ht="14.25" customHeight="1" x14ac:dyDescent="0.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O903" s="72"/>
      <c r="P903" s="72"/>
      <c r="Q903" s="72"/>
      <c r="R903" s="72"/>
      <c r="S903" s="72"/>
    </row>
    <row r="904" spans="1:19" ht="14.25" customHeight="1" x14ac:dyDescent="0.3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O904" s="72"/>
      <c r="P904" s="72"/>
      <c r="Q904" s="72"/>
      <c r="R904" s="72"/>
      <c r="S904" s="72"/>
    </row>
    <row r="905" spans="1:19" ht="14.25" customHeight="1" x14ac:dyDescent="0.3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O905" s="72"/>
      <c r="P905" s="72"/>
      <c r="Q905" s="72"/>
      <c r="R905" s="72"/>
      <c r="S905" s="72"/>
    </row>
    <row r="906" spans="1:19" ht="14.25" customHeight="1" x14ac:dyDescent="0.3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O906" s="72"/>
      <c r="P906" s="72"/>
      <c r="Q906" s="72"/>
      <c r="R906" s="72"/>
      <c r="S906" s="72"/>
    </row>
    <row r="907" spans="1:19" ht="14.25" customHeight="1" x14ac:dyDescent="0.3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O907" s="72"/>
      <c r="P907" s="72"/>
      <c r="Q907" s="72"/>
      <c r="R907" s="72"/>
      <c r="S907" s="72"/>
    </row>
    <row r="908" spans="1:19" ht="14.25" customHeight="1" x14ac:dyDescent="0.3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O908" s="72"/>
      <c r="P908" s="72"/>
      <c r="Q908" s="72"/>
      <c r="R908" s="72"/>
      <c r="S908" s="72"/>
    </row>
    <row r="909" spans="1:19" ht="14.25" customHeight="1" x14ac:dyDescent="0.3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O909" s="72"/>
      <c r="P909" s="72"/>
      <c r="Q909" s="72"/>
      <c r="R909" s="72"/>
      <c r="S909" s="72"/>
    </row>
    <row r="910" spans="1:19" ht="14.25" customHeight="1" x14ac:dyDescent="0.3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O910" s="72"/>
      <c r="P910" s="72"/>
      <c r="Q910" s="72"/>
      <c r="R910" s="72"/>
      <c r="S910" s="72"/>
    </row>
    <row r="911" spans="1:19" ht="14.25" customHeight="1" x14ac:dyDescent="0.3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O911" s="72"/>
      <c r="P911" s="72"/>
      <c r="Q911" s="72"/>
      <c r="R911" s="72"/>
      <c r="S911" s="72"/>
    </row>
    <row r="912" spans="1:19" ht="14.25" customHeight="1" x14ac:dyDescent="0.3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O912" s="72"/>
      <c r="P912" s="72"/>
      <c r="Q912" s="72"/>
      <c r="R912" s="72"/>
      <c r="S912" s="72"/>
    </row>
    <row r="913" spans="1:19" ht="14.25" customHeight="1" x14ac:dyDescent="0.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O913" s="72"/>
      <c r="P913" s="72"/>
      <c r="Q913" s="72"/>
      <c r="R913" s="72"/>
      <c r="S913" s="72"/>
    </row>
    <row r="914" spans="1:19" ht="14.25" customHeight="1" x14ac:dyDescent="0.3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O914" s="72"/>
      <c r="P914" s="72"/>
      <c r="Q914" s="72"/>
      <c r="R914" s="72"/>
      <c r="S914" s="72"/>
    </row>
    <row r="915" spans="1:19" ht="14.25" customHeight="1" x14ac:dyDescent="0.3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O915" s="72"/>
      <c r="P915" s="72"/>
      <c r="Q915" s="72"/>
      <c r="R915" s="72"/>
      <c r="S915" s="72"/>
    </row>
    <row r="916" spans="1:19" ht="14.25" customHeight="1" x14ac:dyDescent="0.3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O916" s="72"/>
      <c r="P916" s="72"/>
      <c r="Q916" s="72"/>
      <c r="R916" s="72"/>
      <c r="S916" s="72"/>
    </row>
    <row r="917" spans="1:19" ht="14.25" customHeight="1" x14ac:dyDescent="0.3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O917" s="72"/>
      <c r="P917" s="72"/>
      <c r="Q917" s="72"/>
      <c r="R917" s="72"/>
      <c r="S917" s="72"/>
    </row>
    <row r="918" spans="1:19" ht="14.25" customHeight="1" x14ac:dyDescent="0.3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O918" s="72"/>
      <c r="P918" s="72"/>
      <c r="Q918" s="72"/>
      <c r="R918" s="72"/>
      <c r="S918" s="72"/>
    </row>
    <row r="919" spans="1:19" ht="14.25" customHeight="1" x14ac:dyDescent="0.3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O919" s="72"/>
      <c r="P919" s="72"/>
      <c r="Q919" s="72"/>
      <c r="R919" s="72"/>
      <c r="S919" s="72"/>
    </row>
    <row r="920" spans="1:19" ht="14.25" customHeight="1" x14ac:dyDescent="0.3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O920" s="72"/>
      <c r="P920" s="72"/>
      <c r="Q920" s="72"/>
      <c r="R920" s="72"/>
      <c r="S920" s="72"/>
    </row>
    <row r="921" spans="1:19" ht="14.25" customHeight="1" x14ac:dyDescent="0.3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O921" s="72"/>
      <c r="P921" s="72"/>
      <c r="Q921" s="72"/>
      <c r="R921" s="72"/>
      <c r="S921" s="72"/>
    </row>
    <row r="922" spans="1:19" ht="14.25" customHeight="1" x14ac:dyDescent="0.3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O922" s="72"/>
      <c r="P922" s="72"/>
      <c r="Q922" s="72"/>
      <c r="R922" s="72"/>
      <c r="S922" s="72"/>
    </row>
    <row r="923" spans="1:19" ht="14.25" customHeight="1" x14ac:dyDescent="0.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O923" s="72"/>
      <c r="P923" s="72"/>
      <c r="Q923" s="72"/>
      <c r="R923" s="72"/>
      <c r="S923" s="72"/>
    </row>
    <row r="924" spans="1:19" ht="14.25" customHeight="1" x14ac:dyDescent="0.3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O924" s="72"/>
      <c r="P924" s="72"/>
      <c r="Q924" s="72"/>
      <c r="R924" s="72"/>
      <c r="S924" s="72"/>
    </row>
    <row r="925" spans="1:19" ht="15" customHeight="1" x14ac:dyDescent="0.3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O925" s="72"/>
      <c r="P925" s="72"/>
      <c r="Q925" s="72"/>
      <c r="R925" s="72"/>
      <c r="S925" s="72"/>
    </row>
    <row r="926" spans="1:19" ht="15" customHeight="1" x14ac:dyDescent="0.3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O926" s="72"/>
      <c r="P926" s="72"/>
      <c r="Q926" s="72"/>
      <c r="R926" s="72"/>
      <c r="S926" s="72"/>
    </row>
    <row r="927" spans="1:19" ht="15" customHeight="1" x14ac:dyDescent="0.3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O927" s="72"/>
      <c r="P927" s="72"/>
      <c r="Q927" s="72"/>
      <c r="R927" s="72"/>
      <c r="S927" s="72"/>
    </row>
    <row r="928" spans="1:19" ht="15" customHeight="1" x14ac:dyDescent="0.3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O928" s="72"/>
      <c r="P928" s="72"/>
      <c r="Q928" s="72"/>
      <c r="R928" s="72"/>
      <c r="S928" s="72"/>
    </row>
    <row r="929" spans="1:19" ht="15" customHeight="1" x14ac:dyDescent="0.3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O929" s="72"/>
      <c r="P929" s="72"/>
      <c r="Q929" s="72"/>
      <c r="R929" s="72"/>
      <c r="S929" s="72"/>
    </row>
    <row r="930" spans="1:19" ht="15" customHeight="1" x14ac:dyDescent="0.3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O930" s="72"/>
      <c r="P930" s="72"/>
      <c r="Q930" s="72"/>
      <c r="R930" s="72"/>
      <c r="S930" s="72"/>
    </row>
    <row r="931" spans="1:19" ht="15" customHeight="1" x14ac:dyDescent="0.3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O931" s="72"/>
      <c r="P931" s="72"/>
      <c r="Q931" s="72"/>
      <c r="R931" s="72"/>
      <c r="S931" s="72"/>
    </row>
    <row r="932" spans="1:19" ht="15" customHeight="1" x14ac:dyDescent="0.3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O932" s="72"/>
      <c r="P932" s="72"/>
      <c r="Q932" s="72"/>
      <c r="R932" s="72"/>
      <c r="S932" s="72"/>
    </row>
    <row r="933" spans="1:19" ht="15" customHeight="1" x14ac:dyDescent="0.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O933" s="72"/>
      <c r="P933" s="72"/>
      <c r="Q933" s="72"/>
      <c r="R933" s="72"/>
      <c r="S933" s="72"/>
    </row>
    <row r="934" spans="1:19" ht="15" customHeight="1" x14ac:dyDescent="0.3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O934" s="72"/>
      <c r="P934" s="72"/>
      <c r="Q934" s="72"/>
      <c r="R934" s="72"/>
      <c r="S934" s="72"/>
    </row>
    <row r="935" spans="1:19" ht="15" customHeight="1" x14ac:dyDescent="0.3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O935" s="72"/>
      <c r="P935" s="72"/>
      <c r="Q935" s="72"/>
      <c r="R935" s="72"/>
      <c r="S935" s="72"/>
    </row>
    <row r="936" spans="1:19" ht="15" customHeight="1" x14ac:dyDescent="0.3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O936" s="72"/>
      <c r="P936" s="72"/>
      <c r="Q936" s="72"/>
      <c r="R936" s="72"/>
      <c r="S936" s="72"/>
    </row>
    <row r="937" spans="1:19" ht="15" customHeight="1" x14ac:dyDescent="0.3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O937" s="72"/>
      <c r="P937" s="72"/>
      <c r="Q937" s="72"/>
      <c r="R937" s="72"/>
      <c r="S937" s="72"/>
    </row>
    <row r="938" spans="1:19" ht="15" customHeight="1" x14ac:dyDescent="0.3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O938" s="72"/>
      <c r="P938" s="72"/>
      <c r="Q938" s="72"/>
      <c r="R938" s="72"/>
      <c r="S938" s="72"/>
    </row>
    <row r="939" spans="1:19" ht="15" customHeight="1" x14ac:dyDescent="0.3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O939" s="72"/>
      <c r="P939" s="72"/>
      <c r="Q939" s="72"/>
      <c r="R939" s="72"/>
      <c r="S939" s="72"/>
    </row>
    <row r="940" spans="1:19" ht="15" customHeight="1" x14ac:dyDescent="0.3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O940" s="72"/>
      <c r="P940" s="72"/>
      <c r="Q940" s="72"/>
      <c r="R940" s="72"/>
      <c r="S940" s="72"/>
    </row>
    <row r="941" spans="1:19" ht="15" customHeight="1" x14ac:dyDescent="0.3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O941" s="72"/>
      <c r="P941" s="72"/>
      <c r="Q941" s="72"/>
      <c r="R941" s="72"/>
      <c r="S941" s="72"/>
    </row>
    <row r="942" spans="1:19" ht="15" customHeight="1" x14ac:dyDescent="0.3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O942" s="72"/>
      <c r="P942" s="72"/>
      <c r="Q942" s="72"/>
      <c r="R942" s="72"/>
      <c r="S942" s="72"/>
    </row>
    <row r="943" spans="1:19" ht="15" customHeight="1" x14ac:dyDescent="0.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O943" s="72"/>
      <c r="P943" s="72"/>
      <c r="Q943" s="72"/>
      <c r="R943" s="72"/>
      <c r="S943" s="72"/>
    </row>
    <row r="944" spans="1:19" ht="15" customHeight="1" x14ac:dyDescent="0.3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O944" s="72"/>
      <c r="P944" s="72"/>
      <c r="Q944" s="72"/>
      <c r="R944" s="72"/>
      <c r="S944" s="72"/>
    </row>
    <row r="945" spans="1:19" ht="15" customHeight="1" x14ac:dyDescent="0.3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O945" s="72"/>
      <c r="P945" s="72"/>
      <c r="Q945" s="72"/>
      <c r="R945" s="72"/>
      <c r="S945" s="72"/>
    </row>
  </sheetData>
  <conditionalFormatting sqref="C4:F12">
    <cfRule type="cellIs" dxfId="0" priority="1" operator="equal">
      <formula>"N/A"</formula>
    </cfRule>
  </conditionalFormatting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E752E0-221E-47F5-9671-B78033B2C7EF}">
          <x14:formula1>
            <xm:f>Tabela!$A$2:$A$54</xm:f>
          </x14:formula1>
          <xm:sqref>B4:B12</xm:sqref>
        </x14:dataValidation>
        <x14:dataValidation type="list" allowBlank="1" showInputMessage="1" showErrorMessage="1" xr:uid="{73D4FFD1-98AF-4889-A299-A52DA21564BA}">
          <x14:formula1>
            <xm:f>Tabela!$E$2:$E$29</xm:f>
          </x14:formula1>
          <xm:sqref>S4:S12</xm:sqref>
        </x14:dataValidation>
        <x14:dataValidation type="list" allowBlank="1" showInputMessage="1" showErrorMessage="1" xr:uid="{4474925B-E8CF-49CE-90D1-0FE61A3C1612}">
          <x14:formula1>
            <xm:f>Tabela!$N$2:$N$124</xm:f>
          </x14:formula1>
          <xm:sqref>A4:A12</xm:sqref>
        </x14:dataValidation>
        <x14:dataValidation type="list" allowBlank="1" showInputMessage="1" showErrorMessage="1" xr:uid="{745F2A06-3BA2-4400-86DC-67500B67DDA8}">
          <x14:formula1>
            <xm:f>Tabela!$C$2:$C$10</xm:f>
          </x14:formula1>
          <xm:sqref>R4:R12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B527-87ED-4D73-87D0-B8263D161191}">
  <sheetPr codeName="Planilha15">
    <tabColor rgb="FFFF0000"/>
  </sheetPr>
  <dimension ref="A1:R124"/>
  <sheetViews>
    <sheetView topLeftCell="C1" workbookViewId="0">
      <pane ySplit="1" topLeftCell="A2" activePane="bottomLeft" state="frozen"/>
      <selection activeCell="D1" sqref="D1"/>
      <selection pane="bottomLeft" activeCell="A18" sqref="A18"/>
    </sheetView>
  </sheetViews>
  <sheetFormatPr defaultRowHeight="14.4" x14ac:dyDescent="0.3"/>
  <cols>
    <col min="1" max="1" width="41.5546875" customWidth="1"/>
    <col min="2" max="2" width="3.6640625" customWidth="1"/>
    <col min="3" max="3" width="21.77734375" bestFit="1" customWidth="1"/>
    <col min="4" max="4" width="7.88671875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bestFit="1" customWidth="1"/>
    <col min="16" max="16" width="23.6640625" customWidth="1"/>
  </cols>
  <sheetData>
    <row r="1" spans="1:18" ht="15" thickBot="1" x14ac:dyDescent="0.35">
      <c r="A1" s="78" t="s">
        <v>110</v>
      </c>
      <c r="C1" t="s">
        <v>120</v>
      </c>
      <c r="D1" s="77"/>
      <c r="E1" s="77" t="s">
        <v>276</v>
      </c>
      <c r="G1" t="s">
        <v>297</v>
      </c>
      <c r="H1" t="s">
        <v>298</v>
      </c>
      <c r="I1" t="s">
        <v>301</v>
      </c>
      <c r="J1" t="s">
        <v>299</v>
      </c>
      <c r="K1" t="s">
        <v>300</v>
      </c>
      <c r="L1" t="s">
        <v>302</v>
      </c>
      <c r="N1" s="83" t="s">
        <v>109</v>
      </c>
      <c r="O1" s="84" t="s">
        <v>111</v>
      </c>
      <c r="P1" s="84" t="s">
        <v>112</v>
      </c>
      <c r="Q1" s="84" t="s">
        <v>113</v>
      </c>
      <c r="R1" s="84" t="s">
        <v>114</v>
      </c>
    </row>
    <row r="2" spans="1:18" x14ac:dyDescent="0.3">
      <c r="A2" t="s">
        <v>154</v>
      </c>
      <c r="C2" t="s">
        <v>122</v>
      </c>
      <c r="E2" t="s">
        <v>27</v>
      </c>
      <c r="G2" t="s">
        <v>29</v>
      </c>
      <c r="H2" t="s">
        <v>303</v>
      </c>
      <c r="I2" t="s">
        <v>27</v>
      </c>
      <c r="J2" t="s">
        <v>35</v>
      </c>
      <c r="K2" s="80">
        <v>0.6</v>
      </c>
      <c r="L2" t="s">
        <v>304</v>
      </c>
      <c r="N2" s="85" t="s">
        <v>341</v>
      </c>
      <c r="P2" s="86">
        <v>0.5</v>
      </c>
      <c r="Q2" s="86">
        <v>12.5</v>
      </c>
      <c r="R2" s="87">
        <v>14</v>
      </c>
    </row>
    <row r="3" spans="1:18" x14ac:dyDescent="0.3">
      <c r="A3" t="s">
        <v>156</v>
      </c>
      <c r="C3" t="s">
        <v>124</v>
      </c>
      <c r="E3" t="s">
        <v>36</v>
      </c>
      <c r="G3" t="s">
        <v>38</v>
      </c>
      <c r="H3" t="s">
        <v>305</v>
      </c>
      <c r="I3" t="s">
        <v>36</v>
      </c>
      <c r="J3" t="s">
        <v>35</v>
      </c>
      <c r="K3" s="80">
        <v>3.55</v>
      </c>
      <c r="L3" t="s">
        <v>306</v>
      </c>
      <c r="N3" s="88" t="s">
        <v>234</v>
      </c>
      <c r="P3" s="87">
        <v>0.5</v>
      </c>
      <c r="Q3" s="87">
        <v>13</v>
      </c>
      <c r="R3" s="87">
        <v>13</v>
      </c>
    </row>
    <row r="4" spans="1:18" x14ac:dyDescent="0.3">
      <c r="A4" t="s">
        <v>159</v>
      </c>
      <c r="C4" t="s">
        <v>129</v>
      </c>
      <c r="E4" t="s">
        <v>39</v>
      </c>
      <c r="G4" t="s">
        <v>41</v>
      </c>
      <c r="H4" t="s">
        <v>307</v>
      </c>
      <c r="I4" t="s">
        <v>39</v>
      </c>
      <c r="J4" t="s">
        <v>35</v>
      </c>
      <c r="K4" s="80">
        <v>0.74</v>
      </c>
      <c r="L4" t="s">
        <v>308</v>
      </c>
      <c r="N4" s="88" t="s">
        <v>236</v>
      </c>
      <c r="P4" s="87">
        <v>0.5</v>
      </c>
      <c r="Q4" s="87">
        <v>14</v>
      </c>
      <c r="R4" s="87">
        <v>12.5</v>
      </c>
    </row>
    <row r="5" spans="1:18" x14ac:dyDescent="0.3">
      <c r="A5" t="s">
        <v>161</v>
      </c>
      <c r="C5" t="s">
        <v>132</v>
      </c>
      <c r="E5" t="s">
        <v>42</v>
      </c>
      <c r="G5" t="s">
        <v>44</v>
      </c>
      <c r="H5" t="s">
        <v>309</v>
      </c>
      <c r="I5" t="s">
        <v>42</v>
      </c>
      <c r="J5" t="s">
        <v>35</v>
      </c>
      <c r="K5" s="80">
        <v>56.11</v>
      </c>
      <c r="L5" t="s">
        <v>310</v>
      </c>
      <c r="N5" s="88" t="s">
        <v>238</v>
      </c>
      <c r="P5" s="87">
        <v>0.5</v>
      </c>
      <c r="Q5" s="87">
        <v>14</v>
      </c>
      <c r="R5" s="87">
        <v>13</v>
      </c>
    </row>
    <row r="6" spans="1:18" x14ac:dyDescent="0.3">
      <c r="A6" t="s">
        <v>164</v>
      </c>
      <c r="C6" t="s">
        <v>134</v>
      </c>
      <c r="E6" t="s">
        <v>45</v>
      </c>
      <c r="G6" t="s">
        <v>47</v>
      </c>
      <c r="H6" t="s">
        <v>311</v>
      </c>
      <c r="I6" t="s">
        <v>45</v>
      </c>
      <c r="J6" t="s">
        <v>35</v>
      </c>
      <c r="K6" s="80">
        <v>0.08</v>
      </c>
      <c r="L6" t="s">
        <v>312</v>
      </c>
      <c r="N6" s="88" t="s">
        <v>239</v>
      </c>
      <c r="P6" s="87">
        <v>0.5</v>
      </c>
      <c r="Q6" s="87">
        <v>14</v>
      </c>
      <c r="R6" s="87">
        <v>14</v>
      </c>
    </row>
    <row r="7" spans="1:18" x14ac:dyDescent="0.3">
      <c r="A7" t="s">
        <v>361</v>
      </c>
      <c r="C7" t="s">
        <v>136</v>
      </c>
      <c r="E7" t="s">
        <v>48</v>
      </c>
      <c r="G7" t="s">
        <v>50</v>
      </c>
      <c r="H7" t="s">
        <v>313</v>
      </c>
      <c r="I7" t="s">
        <v>48</v>
      </c>
      <c r="J7" t="s">
        <v>35</v>
      </c>
      <c r="K7" s="80">
        <v>0.08</v>
      </c>
      <c r="L7" t="s">
        <v>314</v>
      </c>
      <c r="N7" s="88" t="s">
        <v>213</v>
      </c>
      <c r="P7" s="87">
        <v>8</v>
      </c>
      <c r="Q7" s="87">
        <v>41</v>
      </c>
      <c r="R7" s="87">
        <v>41</v>
      </c>
    </row>
    <row r="8" spans="1:18" x14ac:dyDescent="0.3">
      <c r="A8" t="s">
        <v>362</v>
      </c>
      <c r="C8" s="81" t="s">
        <v>335</v>
      </c>
      <c r="E8" t="s">
        <v>137</v>
      </c>
      <c r="G8" t="s">
        <v>51</v>
      </c>
      <c r="H8" t="s">
        <v>315</v>
      </c>
      <c r="I8" t="s">
        <v>137</v>
      </c>
      <c r="J8" t="s">
        <v>52</v>
      </c>
      <c r="K8" s="80">
        <v>125.89</v>
      </c>
      <c r="L8" t="s">
        <v>316</v>
      </c>
      <c r="N8" s="88" t="s">
        <v>339</v>
      </c>
      <c r="P8" s="86">
        <v>1</v>
      </c>
      <c r="Q8" s="86">
        <v>12.5</v>
      </c>
      <c r="R8" s="86">
        <v>14</v>
      </c>
    </row>
    <row r="9" spans="1:18" x14ac:dyDescent="0.3">
      <c r="A9" t="s">
        <v>150</v>
      </c>
      <c r="C9" s="81" t="s">
        <v>336</v>
      </c>
      <c r="E9" t="s">
        <v>139</v>
      </c>
      <c r="G9" t="s">
        <v>53</v>
      </c>
      <c r="H9" t="s">
        <v>54</v>
      </c>
      <c r="I9" t="s">
        <v>139</v>
      </c>
      <c r="J9" t="s">
        <v>52</v>
      </c>
      <c r="K9" s="80">
        <v>200</v>
      </c>
      <c r="L9" t="s">
        <v>317</v>
      </c>
      <c r="N9" s="88" t="s">
        <v>240</v>
      </c>
      <c r="P9" s="87">
        <v>1</v>
      </c>
      <c r="Q9" s="87">
        <v>14</v>
      </c>
      <c r="R9" s="87">
        <v>13</v>
      </c>
    </row>
    <row r="10" spans="1:18" x14ac:dyDescent="0.3">
      <c r="A10" t="s">
        <v>201</v>
      </c>
      <c r="C10" s="81" t="s">
        <v>337</v>
      </c>
      <c r="E10" t="s">
        <v>277</v>
      </c>
      <c r="G10" t="s">
        <v>55</v>
      </c>
      <c r="H10" t="s">
        <v>56</v>
      </c>
      <c r="I10" t="s">
        <v>138</v>
      </c>
      <c r="J10" t="s">
        <v>57</v>
      </c>
      <c r="K10" s="80">
        <v>0.5</v>
      </c>
      <c r="L10" t="s">
        <v>318</v>
      </c>
      <c r="N10" s="88" t="s">
        <v>241</v>
      </c>
      <c r="P10" s="87">
        <v>1</v>
      </c>
      <c r="Q10" s="87">
        <v>14</v>
      </c>
      <c r="R10" s="87">
        <v>19</v>
      </c>
    </row>
    <row r="11" spans="1:18" x14ac:dyDescent="0.3">
      <c r="A11" s="126" t="s">
        <v>202</v>
      </c>
      <c r="E11" t="s">
        <v>278</v>
      </c>
      <c r="G11" t="s">
        <v>58</v>
      </c>
      <c r="H11" t="s">
        <v>59</v>
      </c>
      <c r="I11" t="s">
        <v>278</v>
      </c>
      <c r="J11" t="s">
        <v>60</v>
      </c>
      <c r="K11" s="80">
        <v>1.96</v>
      </c>
      <c r="L11" t="s">
        <v>319</v>
      </c>
      <c r="N11" s="88" t="s">
        <v>133</v>
      </c>
      <c r="P11" s="87">
        <v>10</v>
      </c>
      <c r="Q11" s="87">
        <v>10</v>
      </c>
      <c r="R11" s="87">
        <v>2.5</v>
      </c>
    </row>
    <row r="12" spans="1:18" x14ac:dyDescent="0.3">
      <c r="A12" t="s">
        <v>204</v>
      </c>
      <c r="E12" t="s">
        <v>280</v>
      </c>
      <c r="G12" t="s">
        <v>61</v>
      </c>
      <c r="H12" t="s">
        <v>62</v>
      </c>
      <c r="I12" t="s">
        <v>280</v>
      </c>
      <c r="J12" t="s">
        <v>279</v>
      </c>
      <c r="K12" s="80">
        <v>1.35</v>
      </c>
      <c r="L12" t="s">
        <v>320</v>
      </c>
      <c r="N12" s="88" t="s">
        <v>342</v>
      </c>
      <c r="P12" s="87">
        <v>10</v>
      </c>
      <c r="Q12" s="87">
        <v>10.5</v>
      </c>
      <c r="R12" s="87">
        <v>4</v>
      </c>
    </row>
    <row r="13" spans="1:18" x14ac:dyDescent="0.3">
      <c r="A13" t="s">
        <v>363</v>
      </c>
      <c r="E13" t="s">
        <v>281</v>
      </c>
      <c r="G13" t="s">
        <v>63</v>
      </c>
      <c r="H13" t="s">
        <v>64</v>
      </c>
      <c r="I13" t="s">
        <v>281</v>
      </c>
      <c r="J13" t="s">
        <v>65</v>
      </c>
      <c r="K13" s="80">
        <v>594488.34</v>
      </c>
      <c r="L13" t="s">
        <v>321</v>
      </c>
      <c r="N13" s="88" t="s">
        <v>226</v>
      </c>
      <c r="P13" s="87">
        <v>10</v>
      </c>
      <c r="Q13" s="87">
        <v>15.5</v>
      </c>
      <c r="R13" s="87">
        <v>0.3</v>
      </c>
    </row>
    <row r="14" spans="1:18" x14ac:dyDescent="0.3">
      <c r="A14" t="s">
        <v>209</v>
      </c>
      <c r="E14" t="s">
        <v>282</v>
      </c>
      <c r="G14" t="s">
        <v>66</v>
      </c>
      <c r="H14" t="s">
        <v>67</v>
      </c>
      <c r="I14" t="s">
        <v>282</v>
      </c>
      <c r="J14" t="s">
        <v>35</v>
      </c>
      <c r="K14" s="80">
        <v>1.01</v>
      </c>
      <c r="L14" t="s">
        <v>322</v>
      </c>
      <c r="N14" s="88" t="s">
        <v>214</v>
      </c>
      <c r="P14" s="87">
        <v>10</v>
      </c>
      <c r="Q14" s="87">
        <v>19</v>
      </c>
      <c r="R14" s="87">
        <v>26.5</v>
      </c>
    </row>
    <row r="15" spans="1:18" x14ac:dyDescent="0.3">
      <c r="A15" t="s">
        <v>151</v>
      </c>
      <c r="E15" t="s">
        <v>283</v>
      </c>
      <c r="G15" t="s">
        <v>69</v>
      </c>
      <c r="H15" t="s">
        <v>70</v>
      </c>
      <c r="I15" t="s">
        <v>284</v>
      </c>
      <c r="J15" t="s">
        <v>71</v>
      </c>
      <c r="K15" s="80">
        <v>0.44</v>
      </c>
      <c r="L15" t="s">
        <v>323</v>
      </c>
      <c r="N15" s="88" t="s">
        <v>229</v>
      </c>
      <c r="P15" s="87">
        <v>10</v>
      </c>
      <c r="Q15" s="87">
        <v>3</v>
      </c>
      <c r="R15" s="87">
        <v>10</v>
      </c>
    </row>
    <row r="16" spans="1:18" x14ac:dyDescent="0.3">
      <c r="A16" t="s">
        <v>126</v>
      </c>
      <c r="E16" t="s">
        <v>284</v>
      </c>
      <c r="G16" t="s">
        <v>72</v>
      </c>
      <c r="H16" t="s">
        <v>73</v>
      </c>
      <c r="I16" t="s">
        <v>285</v>
      </c>
      <c r="J16" t="s">
        <v>35</v>
      </c>
      <c r="K16" s="80">
        <v>1.44</v>
      </c>
      <c r="L16" t="s">
        <v>324</v>
      </c>
      <c r="N16" s="88" t="s">
        <v>231</v>
      </c>
      <c r="P16" s="87">
        <v>10</v>
      </c>
      <c r="Q16" s="87">
        <v>4.5</v>
      </c>
      <c r="R16" s="87">
        <v>10</v>
      </c>
    </row>
    <row r="17" spans="1:18" x14ac:dyDescent="0.3">
      <c r="A17" t="s">
        <v>364</v>
      </c>
      <c r="E17" t="s">
        <v>285</v>
      </c>
      <c r="G17" t="s">
        <v>74</v>
      </c>
      <c r="H17" t="s">
        <v>325</v>
      </c>
      <c r="I17" t="s">
        <v>289</v>
      </c>
      <c r="J17" t="s">
        <v>75</v>
      </c>
      <c r="K17" s="80">
        <v>0.05</v>
      </c>
      <c r="L17" t="s">
        <v>326</v>
      </c>
      <c r="N17" s="88" t="s">
        <v>227</v>
      </c>
      <c r="P17" s="87">
        <v>10.5</v>
      </c>
      <c r="Q17" s="87">
        <v>15</v>
      </c>
      <c r="R17" s="87">
        <v>0.3</v>
      </c>
    </row>
    <row r="18" spans="1:18" x14ac:dyDescent="0.3">
      <c r="A18" t="s">
        <v>365</v>
      </c>
      <c r="E18" t="s">
        <v>286</v>
      </c>
      <c r="G18" t="s">
        <v>76</v>
      </c>
      <c r="H18" t="s">
        <v>77</v>
      </c>
      <c r="I18" t="s">
        <v>290</v>
      </c>
      <c r="J18" t="s">
        <v>75</v>
      </c>
      <c r="K18" s="80">
        <v>0.06</v>
      </c>
      <c r="L18" t="s">
        <v>327</v>
      </c>
      <c r="N18" s="88" t="s">
        <v>223</v>
      </c>
      <c r="P18" s="87">
        <v>10.5</v>
      </c>
      <c r="Q18" s="87">
        <v>19</v>
      </c>
      <c r="R18" s="87">
        <v>2.5</v>
      </c>
    </row>
    <row r="19" spans="1:18" x14ac:dyDescent="0.3">
      <c r="A19" t="s">
        <v>366</v>
      </c>
      <c r="E19" t="s">
        <v>287</v>
      </c>
      <c r="G19" t="s">
        <v>78</v>
      </c>
      <c r="H19" t="s">
        <v>79</v>
      </c>
      <c r="I19" t="s">
        <v>291</v>
      </c>
      <c r="J19" t="s">
        <v>75</v>
      </c>
      <c r="K19" s="80">
        <v>0.1</v>
      </c>
      <c r="L19" t="s">
        <v>328</v>
      </c>
      <c r="N19" s="88" t="s">
        <v>215</v>
      </c>
      <c r="P19" s="87">
        <v>10.5</v>
      </c>
      <c r="Q19" s="87">
        <v>41</v>
      </c>
      <c r="R19" s="87">
        <v>41</v>
      </c>
    </row>
    <row r="20" spans="1:18" x14ac:dyDescent="0.3">
      <c r="A20" t="s">
        <v>367</v>
      </c>
      <c r="E20" t="s">
        <v>288</v>
      </c>
      <c r="G20" t="s">
        <v>80</v>
      </c>
      <c r="H20" t="s">
        <v>329</v>
      </c>
      <c r="I20" t="s">
        <v>292</v>
      </c>
      <c r="J20" t="s">
        <v>75</v>
      </c>
      <c r="K20" s="80">
        <v>0.23</v>
      </c>
      <c r="L20" t="s">
        <v>330</v>
      </c>
      <c r="N20" s="88" t="s">
        <v>153</v>
      </c>
      <c r="P20" s="87">
        <v>100</v>
      </c>
      <c r="Q20" s="87">
        <v>140</v>
      </c>
      <c r="R20" s="87">
        <v>51</v>
      </c>
    </row>
    <row r="21" spans="1:18" x14ac:dyDescent="0.3">
      <c r="A21" t="s">
        <v>368</v>
      </c>
      <c r="E21" t="s">
        <v>289</v>
      </c>
      <c r="G21" t="s">
        <v>82</v>
      </c>
      <c r="H21" t="s">
        <v>83</v>
      </c>
      <c r="I21" t="s">
        <v>293</v>
      </c>
      <c r="J21" t="s">
        <v>84</v>
      </c>
      <c r="K21" s="80">
        <v>68.27</v>
      </c>
      <c r="L21" t="s">
        <v>331</v>
      </c>
      <c r="N21" s="88" t="s">
        <v>228</v>
      </c>
      <c r="P21" s="87">
        <v>11</v>
      </c>
      <c r="Q21" s="87">
        <v>15.5</v>
      </c>
      <c r="R21" s="87">
        <v>0.3</v>
      </c>
    </row>
    <row r="22" spans="1:18" x14ac:dyDescent="0.3">
      <c r="A22" t="s">
        <v>147</v>
      </c>
      <c r="E22" t="s">
        <v>290</v>
      </c>
      <c r="G22" t="s">
        <v>85</v>
      </c>
      <c r="H22" t="s">
        <v>86</v>
      </c>
      <c r="I22" t="s">
        <v>294</v>
      </c>
      <c r="J22" t="s">
        <v>84</v>
      </c>
      <c r="K22" s="80">
        <v>39</v>
      </c>
      <c r="L22" t="s">
        <v>332</v>
      </c>
      <c r="N22" s="88" t="s">
        <v>220</v>
      </c>
      <c r="P22" s="87">
        <v>11</v>
      </c>
      <c r="Q22" s="87">
        <v>33</v>
      </c>
      <c r="R22" s="87">
        <v>37</v>
      </c>
    </row>
    <row r="23" spans="1:18" x14ac:dyDescent="0.3">
      <c r="A23" t="s">
        <v>146</v>
      </c>
      <c r="E23" t="s">
        <v>291</v>
      </c>
      <c r="G23" t="s">
        <v>87</v>
      </c>
      <c r="H23" t="s">
        <v>88</v>
      </c>
      <c r="I23" t="s">
        <v>295</v>
      </c>
      <c r="J23" t="s">
        <v>84</v>
      </c>
      <c r="K23" s="80">
        <v>11.72</v>
      </c>
      <c r="L23" t="s">
        <v>333</v>
      </c>
      <c r="N23" s="88" t="s">
        <v>216</v>
      </c>
      <c r="P23" s="87">
        <v>11</v>
      </c>
      <c r="Q23" s="87">
        <v>33</v>
      </c>
      <c r="R23" s="87">
        <v>41</v>
      </c>
    </row>
    <row r="24" spans="1:18" x14ac:dyDescent="0.3">
      <c r="A24" t="s">
        <v>145</v>
      </c>
      <c r="E24" t="s">
        <v>292</v>
      </c>
      <c r="G24" t="s">
        <v>89</v>
      </c>
      <c r="H24" t="s">
        <v>90</v>
      </c>
      <c r="I24" t="s">
        <v>296</v>
      </c>
      <c r="J24" t="s">
        <v>84</v>
      </c>
      <c r="K24" s="80">
        <v>2.44</v>
      </c>
      <c r="L24" t="s">
        <v>334</v>
      </c>
      <c r="N24" s="88" t="s">
        <v>217</v>
      </c>
      <c r="P24" s="87">
        <v>11.5</v>
      </c>
      <c r="Q24" s="87">
        <v>37</v>
      </c>
      <c r="R24" s="87">
        <v>33</v>
      </c>
    </row>
    <row r="25" spans="1:18" x14ac:dyDescent="0.3">
      <c r="A25" t="s">
        <v>144</v>
      </c>
      <c r="E25" t="s">
        <v>293</v>
      </c>
      <c r="N25" s="88" t="s">
        <v>221</v>
      </c>
      <c r="P25" s="87">
        <v>12</v>
      </c>
      <c r="Q25" s="87">
        <v>34</v>
      </c>
      <c r="R25" s="87">
        <v>37</v>
      </c>
    </row>
    <row r="26" spans="1:18" x14ac:dyDescent="0.3">
      <c r="A26" t="s">
        <v>143</v>
      </c>
      <c r="E26" t="s">
        <v>294</v>
      </c>
      <c r="N26" s="88" t="s">
        <v>218</v>
      </c>
      <c r="P26" s="87">
        <v>12</v>
      </c>
      <c r="Q26" s="87">
        <v>34</v>
      </c>
      <c r="R26" s="87">
        <v>37</v>
      </c>
    </row>
    <row r="27" spans="1:18" x14ac:dyDescent="0.3">
      <c r="A27" t="s">
        <v>148</v>
      </c>
      <c r="E27" t="s">
        <v>295</v>
      </c>
      <c r="N27" s="88" t="s">
        <v>135</v>
      </c>
      <c r="P27" s="87">
        <v>12.5</v>
      </c>
      <c r="Q27" s="87">
        <v>14</v>
      </c>
      <c r="R27" s="87">
        <v>0.5</v>
      </c>
    </row>
    <row r="28" spans="1:18" x14ac:dyDescent="0.3">
      <c r="A28" t="s">
        <v>279</v>
      </c>
      <c r="E28" t="s">
        <v>296</v>
      </c>
      <c r="N28" s="88" t="s">
        <v>235</v>
      </c>
      <c r="P28" s="87">
        <v>12.5</v>
      </c>
      <c r="Q28" s="87">
        <v>14.5</v>
      </c>
      <c r="R28" s="87">
        <v>0.5</v>
      </c>
    </row>
    <row r="29" spans="1:18" x14ac:dyDescent="0.3">
      <c r="A29" t="s">
        <v>224</v>
      </c>
      <c r="E29" t="s">
        <v>142</v>
      </c>
      <c r="N29" s="88" t="s">
        <v>155</v>
      </c>
      <c r="P29" s="87">
        <v>130</v>
      </c>
      <c r="Q29" s="87">
        <v>60</v>
      </c>
      <c r="R29" s="87">
        <v>72</v>
      </c>
    </row>
    <row r="30" spans="1:18" x14ac:dyDescent="0.3">
      <c r="A30" t="s">
        <v>369</v>
      </c>
      <c r="N30" s="88" t="s">
        <v>157</v>
      </c>
      <c r="P30" s="87">
        <v>130</v>
      </c>
      <c r="Q30" s="87">
        <v>60</v>
      </c>
      <c r="R30" s="87">
        <v>73</v>
      </c>
    </row>
    <row r="31" spans="1:18" x14ac:dyDescent="0.3">
      <c r="A31" t="s">
        <v>370</v>
      </c>
      <c r="N31" s="88" t="s">
        <v>130</v>
      </c>
      <c r="P31" s="87">
        <v>135</v>
      </c>
      <c r="Q31" s="87">
        <v>51</v>
      </c>
      <c r="R31" s="87">
        <v>105</v>
      </c>
    </row>
    <row r="32" spans="1:18" x14ac:dyDescent="0.3">
      <c r="A32" t="s">
        <v>371</v>
      </c>
      <c r="N32" s="88" t="s">
        <v>158</v>
      </c>
      <c r="P32" s="87">
        <v>140</v>
      </c>
      <c r="Q32" s="87">
        <v>67</v>
      </c>
      <c r="R32" s="87">
        <v>72</v>
      </c>
    </row>
    <row r="33" spans="1:18" x14ac:dyDescent="0.3">
      <c r="A33" t="s">
        <v>372</v>
      </c>
      <c r="N33" s="88" t="s">
        <v>219</v>
      </c>
      <c r="P33" s="87">
        <v>15</v>
      </c>
      <c r="Q33" s="87">
        <v>40</v>
      </c>
      <c r="R33" s="87">
        <v>35</v>
      </c>
    </row>
    <row r="34" spans="1:18" x14ac:dyDescent="0.3">
      <c r="A34" t="s">
        <v>373</v>
      </c>
      <c r="N34" s="88" t="s">
        <v>160</v>
      </c>
      <c r="P34" s="87">
        <v>150</v>
      </c>
      <c r="Q34" s="87">
        <v>90</v>
      </c>
      <c r="R34" s="87">
        <v>76</v>
      </c>
    </row>
    <row r="35" spans="1:18" x14ac:dyDescent="0.3">
      <c r="A35" t="s">
        <v>374</v>
      </c>
      <c r="N35" s="88" t="s">
        <v>225</v>
      </c>
      <c r="P35" s="87">
        <v>16.5</v>
      </c>
      <c r="Q35" s="87">
        <v>11.5</v>
      </c>
      <c r="R35" s="87">
        <v>0.3</v>
      </c>
    </row>
    <row r="36" spans="1:18" x14ac:dyDescent="0.3">
      <c r="A36" t="s">
        <v>131</v>
      </c>
      <c r="N36" s="88" t="s">
        <v>222</v>
      </c>
      <c r="P36" s="87">
        <v>17</v>
      </c>
      <c r="Q36" s="87">
        <v>20.5</v>
      </c>
      <c r="R36" s="87">
        <v>111.5</v>
      </c>
    </row>
    <row r="37" spans="1:18" x14ac:dyDescent="0.3">
      <c r="A37" t="s">
        <v>141</v>
      </c>
      <c r="N37" s="88" t="s">
        <v>162</v>
      </c>
      <c r="P37" s="87">
        <v>170</v>
      </c>
      <c r="Q37" s="87">
        <v>61</v>
      </c>
      <c r="R37" s="87">
        <v>72</v>
      </c>
    </row>
    <row r="38" spans="1:18" x14ac:dyDescent="0.3">
      <c r="A38" t="s">
        <v>140</v>
      </c>
      <c r="N38" s="88" t="s">
        <v>163</v>
      </c>
      <c r="P38" s="87">
        <v>180</v>
      </c>
      <c r="Q38" s="87">
        <v>68</v>
      </c>
      <c r="R38" s="87">
        <v>72</v>
      </c>
    </row>
    <row r="39" spans="1:18" x14ac:dyDescent="0.3">
      <c r="A39" t="s">
        <v>230</v>
      </c>
      <c r="N39" s="88" t="s">
        <v>170</v>
      </c>
      <c r="P39" s="87">
        <v>21</v>
      </c>
      <c r="Q39" s="87">
        <v>31</v>
      </c>
      <c r="R39" s="87">
        <v>46</v>
      </c>
    </row>
    <row r="40" spans="1:18" x14ac:dyDescent="0.3">
      <c r="A40" t="s">
        <v>375</v>
      </c>
      <c r="N40" s="88" t="s">
        <v>171</v>
      </c>
      <c r="P40" s="87">
        <v>21</v>
      </c>
      <c r="Q40" s="87">
        <v>41</v>
      </c>
      <c r="R40" s="87">
        <v>55</v>
      </c>
    </row>
    <row r="41" spans="1:18" x14ac:dyDescent="0.3">
      <c r="A41" t="s">
        <v>376</v>
      </c>
      <c r="N41" s="88" t="s">
        <v>195</v>
      </c>
      <c r="P41" s="87">
        <v>21.5</v>
      </c>
      <c r="Q41" s="87">
        <v>41</v>
      </c>
      <c r="R41" s="87">
        <v>51</v>
      </c>
    </row>
    <row r="42" spans="1:18" x14ac:dyDescent="0.3">
      <c r="A42" t="s">
        <v>377</v>
      </c>
      <c r="N42" s="88" t="s">
        <v>172</v>
      </c>
      <c r="P42" s="87">
        <v>23</v>
      </c>
      <c r="Q42" s="87">
        <v>36.5</v>
      </c>
      <c r="R42" s="87">
        <v>48</v>
      </c>
    </row>
    <row r="43" spans="1:18" x14ac:dyDescent="0.3">
      <c r="A43" t="s">
        <v>84</v>
      </c>
      <c r="N43" s="88" t="s">
        <v>203</v>
      </c>
      <c r="P43" s="87">
        <v>24.5</v>
      </c>
      <c r="Q43" s="87">
        <v>14</v>
      </c>
      <c r="R43" s="87">
        <v>27</v>
      </c>
    </row>
    <row r="44" spans="1:18" x14ac:dyDescent="0.3">
      <c r="A44" t="s">
        <v>378</v>
      </c>
      <c r="N44" s="88" t="s">
        <v>205</v>
      </c>
      <c r="P44" s="87">
        <v>25</v>
      </c>
      <c r="Q44" s="87">
        <v>13.5</v>
      </c>
      <c r="R44" s="87">
        <v>37</v>
      </c>
    </row>
    <row r="45" spans="1:18" x14ac:dyDescent="0.3">
      <c r="A45" t="s">
        <v>379</v>
      </c>
      <c r="N45" s="88" t="s">
        <v>206</v>
      </c>
      <c r="P45" s="87">
        <v>25</v>
      </c>
      <c r="Q45" s="87">
        <v>14</v>
      </c>
      <c r="R45" s="87">
        <v>36.5</v>
      </c>
    </row>
    <row r="46" spans="1:18" x14ac:dyDescent="0.3">
      <c r="A46" t="s">
        <v>380</v>
      </c>
      <c r="N46" s="88" t="s">
        <v>274</v>
      </c>
      <c r="P46" s="87">
        <v>25</v>
      </c>
      <c r="Q46" s="87">
        <v>14</v>
      </c>
      <c r="R46" s="87">
        <v>37</v>
      </c>
    </row>
    <row r="47" spans="1:18" x14ac:dyDescent="0.3">
      <c r="A47" t="s">
        <v>233</v>
      </c>
      <c r="N47" s="88" t="s">
        <v>173</v>
      </c>
      <c r="P47" s="87">
        <v>25</v>
      </c>
      <c r="Q47" s="87">
        <v>23.5</v>
      </c>
      <c r="R47" s="87">
        <v>46</v>
      </c>
    </row>
    <row r="48" spans="1:18" x14ac:dyDescent="0.3">
      <c r="A48" t="s">
        <v>237</v>
      </c>
      <c r="N48" s="88" t="s">
        <v>207</v>
      </c>
      <c r="P48" s="87">
        <v>26</v>
      </c>
      <c r="Q48" s="87">
        <v>15</v>
      </c>
      <c r="R48" s="87">
        <v>37</v>
      </c>
    </row>
    <row r="49" spans="1:18" x14ac:dyDescent="0.3">
      <c r="A49" t="s">
        <v>381</v>
      </c>
      <c r="N49" s="88" t="s">
        <v>174</v>
      </c>
      <c r="P49" s="87">
        <v>26</v>
      </c>
      <c r="Q49" s="87">
        <v>39</v>
      </c>
      <c r="R49" s="87">
        <v>46.5</v>
      </c>
    </row>
    <row r="50" spans="1:18" x14ac:dyDescent="0.3">
      <c r="A50" t="s">
        <v>382</v>
      </c>
      <c r="N50" s="88" t="s">
        <v>175</v>
      </c>
      <c r="P50" s="87">
        <v>26</v>
      </c>
      <c r="Q50" s="87">
        <v>39</v>
      </c>
      <c r="R50" s="87">
        <v>47</v>
      </c>
    </row>
    <row r="51" spans="1:18" x14ac:dyDescent="0.3">
      <c r="A51" t="s">
        <v>383</v>
      </c>
      <c r="N51" s="88" t="s">
        <v>176</v>
      </c>
      <c r="P51" s="87">
        <v>26</v>
      </c>
      <c r="Q51" s="87">
        <v>39.5</v>
      </c>
      <c r="R51" s="87">
        <v>48.5</v>
      </c>
    </row>
    <row r="52" spans="1:18" x14ac:dyDescent="0.3">
      <c r="A52" t="s">
        <v>384</v>
      </c>
      <c r="N52" s="88" t="s">
        <v>177</v>
      </c>
      <c r="P52" s="87">
        <v>26.5</v>
      </c>
      <c r="Q52" s="87">
        <v>37</v>
      </c>
      <c r="R52" s="87">
        <v>37</v>
      </c>
    </row>
    <row r="53" spans="1:18" x14ac:dyDescent="0.3">
      <c r="A53" t="s">
        <v>152</v>
      </c>
      <c r="N53" s="88" t="s">
        <v>178</v>
      </c>
      <c r="P53" s="87">
        <v>26.5</v>
      </c>
      <c r="Q53" s="87">
        <v>38</v>
      </c>
      <c r="R53" s="87">
        <v>43</v>
      </c>
    </row>
    <row r="54" spans="1:18" x14ac:dyDescent="0.3">
      <c r="A54" s="127" t="s">
        <v>385</v>
      </c>
      <c r="N54" s="88" t="s">
        <v>179</v>
      </c>
      <c r="P54" s="87">
        <v>26.5</v>
      </c>
      <c r="Q54" s="87">
        <v>38</v>
      </c>
      <c r="R54" s="87">
        <v>45.5</v>
      </c>
    </row>
    <row r="55" spans="1:18" x14ac:dyDescent="0.3">
      <c r="N55" s="88" t="s">
        <v>166</v>
      </c>
      <c r="P55" s="87">
        <v>26.5</v>
      </c>
      <c r="Q55" s="87">
        <v>38.5</v>
      </c>
      <c r="R55" s="87">
        <v>46.5</v>
      </c>
    </row>
    <row r="56" spans="1:18" x14ac:dyDescent="0.3">
      <c r="N56" s="88" t="s">
        <v>180</v>
      </c>
      <c r="P56" s="87">
        <v>26.5</v>
      </c>
      <c r="Q56" s="87">
        <v>40</v>
      </c>
      <c r="R56" s="87">
        <v>49</v>
      </c>
    </row>
    <row r="57" spans="1:18" x14ac:dyDescent="0.3">
      <c r="N57" s="88" t="s">
        <v>181</v>
      </c>
      <c r="P57" s="87">
        <v>27</v>
      </c>
      <c r="Q57" s="87">
        <v>36</v>
      </c>
      <c r="R57" s="87">
        <v>47</v>
      </c>
    </row>
    <row r="58" spans="1:18" x14ac:dyDescent="0.3">
      <c r="N58" s="88" t="s">
        <v>182</v>
      </c>
      <c r="P58" s="87">
        <v>27</v>
      </c>
      <c r="Q58" s="87">
        <v>36</v>
      </c>
      <c r="R58" s="87">
        <v>49</v>
      </c>
    </row>
    <row r="59" spans="1:18" x14ac:dyDescent="0.3">
      <c r="N59" s="88" t="s">
        <v>196</v>
      </c>
      <c r="P59" s="87">
        <v>27</v>
      </c>
      <c r="Q59" s="87">
        <v>38</v>
      </c>
      <c r="R59" s="87">
        <v>49</v>
      </c>
    </row>
    <row r="60" spans="1:18" x14ac:dyDescent="0.3">
      <c r="N60" s="88" t="s">
        <v>183</v>
      </c>
      <c r="P60" s="87">
        <v>27.5</v>
      </c>
      <c r="Q60" s="87">
        <v>36</v>
      </c>
      <c r="R60" s="87">
        <v>49</v>
      </c>
    </row>
    <row r="61" spans="1:18" x14ac:dyDescent="0.3">
      <c r="N61" s="88" t="s">
        <v>184</v>
      </c>
      <c r="P61" s="87">
        <v>28</v>
      </c>
      <c r="Q61" s="87">
        <v>37.5</v>
      </c>
      <c r="R61" s="87">
        <v>46</v>
      </c>
    </row>
    <row r="62" spans="1:18" x14ac:dyDescent="0.3">
      <c r="N62" s="88" t="s">
        <v>185</v>
      </c>
      <c r="P62" s="87">
        <v>28</v>
      </c>
      <c r="Q62" s="87">
        <v>37.5</v>
      </c>
      <c r="R62" s="87">
        <v>47.5</v>
      </c>
    </row>
    <row r="63" spans="1:18" x14ac:dyDescent="0.3">
      <c r="N63" s="88" t="s">
        <v>186</v>
      </c>
      <c r="P63" s="87">
        <v>28</v>
      </c>
      <c r="Q63" s="87">
        <v>37.5</v>
      </c>
      <c r="R63" s="87">
        <v>48</v>
      </c>
    </row>
    <row r="64" spans="1:18" x14ac:dyDescent="0.3">
      <c r="N64" s="88" t="s">
        <v>187</v>
      </c>
      <c r="P64" s="87">
        <v>28</v>
      </c>
      <c r="Q64" s="87">
        <v>38</v>
      </c>
      <c r="R64" s="87">
        <v>46.5</v>
      </c>
    </row>
    <row r="65" spans="14:18" x14ac:dyDescent="0.3">
      <c r="N65" s="88" t="s">
        <v>188</v>
      </c>
      <c r="P65" s="87">
        <v>28</v>
      </c>
      <c r="Q65" s="87">
        <v>38.5</v>
      </c>
      <c r="R65" s="87">
        <v>48</v>
      </c>
    </row>
    <row r="66" spans="14:18" x14ac:dyDescent="0.3">
      <c r="N66" s="88" t="s">
        <v>199</v>
      </c>
      <c r="P66" s="87">
        <v>28</v>
      </c>
      <c r="Q66" s="87">
        <v>39</v>
      </c>
      <c r="R66" s="87">
        <v>46</v>
      </c>
    </row>
    <row r="67" spans="14:18" x14ac:dyDescent="0.3">
      <c r="N67" s="88" t="s">
        <v>167</v>
      </c>
      <c r="P67" s="87">
        <v>28.5</v>
      </c>
      <c r="Q67" s="87">
        <v>37</v>
      </c>
      <c r="R67" s="87">
        <v>43</v>
      </c>
    </row>
    <row r="68" spans="14:18" x14ac:dyDescent="0.3">
      <c r="N68" s="88" t="s">
        <v>275</v>
      </c>
      <c r="P68" s="87">
        <v>29</v>
      </c>
      <c r="Q68" s="87">
        <v>40</v>
      </c>
      <c r="R68" s="87">
        <v>50</v>
      </c>
    </row>
    <row r="69" spans="14:18" x14ac:dyDescent="0.3">
      <c r="N69" s="88" t="s">
        <v>149</v>
      </c>
      <c r="P69" s="87">
        <v>29</v>
      </c>
      <c r="Q69" s="87">
        <v>41</v>
      </c>
      <c r="R69" s="87">
        <v>37</v>
      </c>
    </row>
    <row r="70" spans="14:18" x14ac:dyDescent="0.3">
      <c r="N70" s="88" t="s">
        <v>211</v>
      </c>
      <c r="P70" s="87">
        <v>29</v>
      </c>
      <c r="Q70" s="87">
        <v>18</v>
      </c>
      <c r="R70" s="87">
        <v>41</v>
      </c>
    </row>
    <row r="71" spans="14:18" x14ac:dyDescent="0.3">
      <c r="N71" s="88" t="s">
        <v>197</v>
      </c>
      <c r="P71" s="87">
        <v>29</v>
      </c>
      <c r="Q71" s="87">
        <v>37</v>
      </c>
      <c r="R71" s="87">
        <v>41.5</v>
      </c>
    </row>
    <row r="72" spans="14:18" x14ac:dyDescent="0.3">
      <c r="N72" s="88" t="s">
        <v>165</v>
      </c>
      <c r="P72" s="87">
        <v>29</v>
      </c>
      <c r="Q72" s="87">
        <v>37</v>
      </c>
      <c r="R72" s="87">
        <v>42.5</v>
      </c>
    </row>
    <row r="73" spans="14:18" x14ac:dyDescent="0.3">
      <c r="N73" s="88" t="s">
        <v>189</v>
      </c>
      <c r="P73" s="87">
        <v>29</v>
      </c>
      <c r="Q73" s="87">
        <v>37</v>
      </c>
      <c r="R73" s="87">
        <v>43</v>
      </c>
    </row>
    <row r="74" spans="14:18" x14ac:dyDescent="0.3">
      <c r="N74" s="88" t="s">
        <v>190</v>
      </c>
      <c r="P74" s="87">
        <v>29</v>
      </c>
      <c r="Q74" s="87">
        <v>37.5</v>
      </c>
      <c r="R74" s="87">
        <v>41.5</v>
      </c>
    </row>
    <row r="75" spans="14:18" x14ac:dyDescent="0.3">
      <c r="N75" s="88" t="s">
        <v>191</v>
      </c>
      <c r="P75" s="87">
        <v>29</v>
      </c>
      <c r="Q75" s="87">
        <v>37.5</v>
      </c>
      <c r="R75" s="87">
        <v>46</v>
      </c>
    </row>
    <row r="76" spans="14:18" x14ac:dyDescent="0.3">
      <c r="N76" s="88" t="s">
        <v>192</v>
      </c>
      <c r="P76" s="87">
        <v>29</v>
      </c>
      <c r="Q76" s="87">
        <v>38</v>
      </c>
      <c r="R76" s="87">
        <v>42</v>
      </c>
    </row>
    <row r="77" spans="14:18" x14ac:dyDescent="0.3">
      <c r="N77" s="88" t="s">
        <v>168</v>
      </c>
      <c r="P77" s="87">
        <v>29</v>
      </c>
      <c r="Q77" s="87">
        <v>41</v>
      </c>
      <c r="R77" s="87">
        <v>37</v>
      </c>
    </row>
    <row r="78" spans="14:18" x14ac:dyDescent="0.3">
      <c r="N78" s="88" t="s">
        <v>198</v>
      </c>
      <c r="P78" s="87">
        <v>29</v>
      </c>
      <c r="Q78" s="87">
        <v>41.5</v>
      </c>
      <c r="R78" s="87">
        <v>47.5</v>
      </c>
    </row>
    <row r="79" spans="14:18" x14ac:dyDescent="0.3">
      <c r="N79" s="88" t="s">
        <v>169</v>
      </c>
      <c r="P79" s="87">
        <v>29.5</v>
      </c>
      <c r="Q79" s="87">
        <v>39</v>
      </c>
      <c r="R79" s="87">
        <v>46</v>
      </c>
    </row>
    <row r="80" spans="14:18" x14ac:dyDescent="0.3">
      <c r="N80" s="88" t="s">
        <v>208</v>
      </c>
      <c r="P80" s="87">
        <v>30</v>
      </c>
      <c r="Q80" s="87">
        <v>9</v>
      </c>
      <c r="R80" s="87">
        <v>39.5</v>
      </c>
    </row>
    <row r="81" spans="14:18" x14ac:dyDescent="0.3">
      <c r="N81" s="88" t="s">
        <v>210</v>
      </c>
      <c r="P81" s="87">
        <v>30</v>
      </c>
      <c r="Q81" s="87">
        <v>9</v>
      </c>
      <c r="R81" s="87">
        <v>40.5</v>
      </c>
    </row>
    <row r="82" spans="14:18" x14ac:dyDescent="0.3">
      <c r="N82" s="88" t="s">
        <v>127</v>
      </c>
      <c r="P82" s="87">
        <v>30</v>
      </c>
      <c r="Q82" s="87">
        <v>19</v>
      </c>
      <c r="R82" s="87">
        <v>39</v>
      </c>
    </row>
    <row r="83" spans="14:18" x14ac:dyDescent="0.3">
      <c r="N83" s="88" t="s">
        <v>212</v>
      </c>
      <c r="P83" s="87">
        <v>30</v>
      </c>
      <c r="Q83" s="87">
        <v>20</v>
      </c>
      <c r="R83" s="87">
        <v>42</v>
      </c>
    </row>
    <row r="84" spans="14:18" x14ac:dyDescent="0.3">
      <c r="N84" s="88" t="s">
        <v>193</v>
      </c>
      <c r="P84" s="87">
        <v>30</v>
      </c>
      <c r="Q84" s="87">
        <v>38.5</v>
      </c>
      <c r="R84" s="87">
        <v>42</v>
      </c>
    </row>
    <row r="85" spans="14:18" x14ac:dyDescent="0.3">
      <c r="N85" s="88" t="s">
        <v>194</v>
      </c>
      <c r="P85" s="87">
        <v>31</v>
      </c>
      <c r="Q85" s="87">
        <v>31</v>
      </c>
      <c r="R85" s="87">
        <v>47.5</v>
      </c>
    </row>
    <row r="86" spans="14:18" x14ac:dyDescent="0.3">
      <c r="N86" s="88" t="s">
        <v>123</v>
      </c>
      <c r="P86" s="87">
        <v>34</v>
      </c>
      <c r="Q86" s="87">
        <v>37</v>
      </c>
      <c r="R86" s="87">
        <v>12</v>
      </c>
    </row>
    <row r="87" spans="14:18" x14ac:dyDescent="0.3">
      <c r="N87" s="88" t="s">
        <v>232</v>
      </c>
      <c r="P87" s="87">
        <v>4.5</v>
      </c>
      <c r="Q87" s="87">
        <v>10</v>
      </c>
      <c r="R87" s="87"/>
    </row>
    <row r="88" spans="14:18" x14ac:dyDescent="0.3">
      <c r="N88" s="88" t="s">
        <v>125</v>
      </c>
      <c r="P88" s="87">
        <v>40.5</v>
      </c>
      <c r="Q88" s="87">
        <v>41.5</v>
      </c>
      <c r="R88" s="87">
        <v>10</v>
      </c>
    </row>
    <row r="89" spans="14:18" x14ac:dyDescent="0.3">
      <c r="N89" s="88" t="s">
        <v>200</v>
      </c>
      <c r="P89" s="87">
        <v>40.5</v>
      </c>
      <c r="Q89" s="87">
        <v>41.5</v>
      </c>
      <c r="R89" s="87">
        <v>10</v>
      </c>
    </row>
    <row r="90" spans="14:18" x14ac:dyDescent="0.3">
      <c r="N90" s="88" t="s">
        <v>271</v>
      </c>
      <c r="P90" s="87"/>
      <c r="Q90" s="87">
        <v>0.11</v>
      </c>
      <c r="R90" s="87">
        <v>1.2</v>
      </c>
    </row>
    <row r="91" spans="14:18" x14ac:dyDescent="0.3">
      <c r="N91" s="88" t="s">
        <v>272</v>
      </c>
      <c r="P91" s="87"/>
      <c r="Q91" s="87">
        <v>0.11</v>
      </c>
      <c r="R91" s="87">
        <v>1.23</v>
      </c>
    </row>
    <row r="92" spans="14:18" x14ac:dyDescent="0.3">
      <c r="N92" s="88" t="s">
        <v>343</v>
      </c>
      <c r="P92" s="87"/>
      <c r="Q92" s="87">
        <v>0.11</v>
      </c>
      <c r="R92" s="87">
        <v>1.26</v>
      </c>
    </row>
    <row r="93" spans="14:18" x14ac:dyDescent="0.3">
      <c r="N93" s="88" t="s">
        <v>273</v>
      </c>
      <c r="P93" s="87"/>
      <c r="Q93" s="87">
        <v>0.11</v>
      </c>
      <c r="R93" s="87">
        <v>1.3</v>
      </c>
    </row>
    <row r="94" spans="14:18" x14ac:dyDescent="0.3">
      <c r="N94" s="88" t="s">
        <v>256</v>
      </c>
      <c r="P94" s="87">
        <v>35</v>
      </c>
      <c r="Q94" s="87">
        <v>5</v>
      </c>
      <c r="R94" s="87"/>
    </row>
    <row r="95" spans="14:18" x14ac:dyDescent="0.3">
      <c r="N95" s="88" t="s">
        <v>257</v>
      </c>
      <c r="P95" s="87">
        <v>36</v>
      </c>
      <c r="Q95" s="87">
        <v>5</v>
      </c>
      <c r="R95" s="87"/>
    </row>
    <row r="96" spans="14:18" x14ac:dyDescent="0.3">
      <c r="N96" s="88" t="s">
        <v>258</v>
      </c>
      <c r="P96" s="87">
        <v>47</v>
      </c>
      <c r="Q96" s="87">
        <v>5</v>
      </c>
      <c r="R96" s="87"/>
    </row>
    <row r="97" spans="14:18" x14ac:dyDescent="0.3">
      <c r="N97" s="88" t="s">
        <v>259</v>
      </c>
      <c r="P97" s="87">
        <v>45</v>
      </c>
      <c r="Q97" s="87">
        <v>6</v>
      </c>
      <c r="R97" s="87"/>
    </row>
    <row r="98" spans="14:18" x14ac:dyDescent="0.3">
      <c r="N98" s="88" t="s">
        <v>260</v>
      </c>
      <c r="P98" s="87">
        <v>64</v>
      </c>
      <c r="Q98" s="87">
        <v>7</v>
      </c>
      <c r="R98" s="87"/>
    </row>
    <row r="99" spans="14:18" x14ac:dyDescent="0.3">
      <c r="N99" s="88" t="s">
        <v>261</v>
      </c>
      <c r="P99" s="87">
        <v>66</v>
      </c>
      <c r="Q99" s="87">
        <v>7</v>
      </c>
      <c r="R99" s="87"/>
    </row>
    <row r="100" spans="14:18" x14ac:dyDescent="0.3">
      <c r="N100" s="88" t="s">
        <v>262</v>
      </c>
      <c r="P100" s="87">
        <v>88</v>
      </c>
      <c r="Q100" s="87">
        <v>7</v>
      </c>
      <c r="R100" s="87"/>
    </row>
    <row r="101" spans="14:18" x14ac:dyDescent="0.3">
      <c r="N101" s="88" t="s">
        <v>263</v>
      </c>
      <c r="P101" s="87">
        <v>54</v>
      </c>
      <c r="Q101" s="87">
        <v>7.5</v>
      </c>
      <c r="R101" s="87"/>
    </row>
    <row r="102" spans="14:18" x14ac:dyDescent="0.3">
      <c r="N102" s="88" t="s">
        <v>264</v>
      </c>
      <c r="P102" s="87">
        <v>70</v>
      </c>
      <c r="Q102" s="86">
        <v>9</v>
      </c>
      <c r="R102" s="87"/>
    </row>
    <row r="103" spans="14:18" x14ac:dyDescent="0.3">
      <c r="N103" s="88" t="s">
        <v>265</v>
      </c>
      <c r="P103" s="87">
        <v>93</v>
      </c>
      <c r="Q103" s="87">
        <v>9</v>
      </c>
      <c r="R103" s="87"/>
    </row>
    <row r="104" spans="14:18" x14ac:dyDescent="0.3">
      <c r="N104" s="88" t="s">
        <v>266</v>
      </c>
      <c r="P104" s="87">
        <v>94</v>
      </c>
      <c r="Q104" s="87">
        <v>9.5</v>
      </c>
      <c r="R104" s="87"/>
    </row>
    <row r="105" spans="14:18" x14ac:dyDescent="0.3">
      <c r="N105" s="88" t="s">
        <v>340</v>
      </c>
      <c r="P105" s="87">
        <v>104</v>
      </c>
      <c r="Q105" s="86">
        <v>10</v>
      </c>
      <c r="R105" s="87">
        <v>30</v>
      </c>
    </row>
    <row r="106" spans="14:18" x14ac:dyDescent="0.3">
      <c r="N106" s="88" t="s">
        <v>267</v>
      </c>
      <c r="P106" s="87">
        <v>120</v>
      </c>
      <c r="Q106" s="87">
        <v>10</v>
      </c>
      <c r="R106" s="87"/>
    </row>
    <row r="107" spans="14:18" x14ac:dyDescent="0.3">
      <c r="N107" s="88" t="s">
        <v>242</v>
      </c>
      <c r="P107" s="87">
        <v>76</v>
      </c>
      <c r="Q107" s="87">
        <v>10</v>
      </c>
      <c r="R107" s="87"/>
    </row>
    <row r="108" spans="14:18" x14ac:dyDescent="0.3">
      <c r="N108" s="88" t="s">
        <v>268</v>
      </c>
      <c r="P108" s="87">
        <v>92</v>
      </c>
      <c r="Q108" s="87">
        <v>10</v>
      </c>
      <c r="R108" s="87"/>
    </row>
    <row r="109" spans="14:18" x14ac:dyDescent="0.3">
      <c r="N109" s="88" t="s">
        <v>269</v>
      </c>
      <c r="P109" s="87"/>
      <c r="Q109" s="87">
        <v>10</v>
      </c>
      <c r="R109" s="87"/>
    </row>
    <row r="110" spans="14:18" x14ac:dyDescent="0.3">
      <c r="N110" s="88" t="s">
        <v>243</v>
      </c>
      <c r="P110" s="87"/>
      <c r="Q110" s="87">
        <v>10</v>
      </c>
      <c r="R110" s="87">
        <v>122</v>
      </c>
    </row>
    <row r="111" spans="14:18" x14ac:dyDescent="0.3">
      <c r="N111" s="88" t="s">
        <v>244</v>
      </c>
      <c r="P111" s="87"/>
      <c r="Q111" s="87">
        <v>10</v>
      </c>
      <c r="R111" s="87">
        <v>124</v>
      </c>
    </row>
    <row r="112" spans="14:18" x14ac:dyDescent="0.3">
      <c r="N112" s="88" t="s">
        <v>245</v>
      </c>
      <c r="P112" s="87"/>
      <c r="Q112" s="87">
        <v>10</v>
      </c>
      <c r="R112" s="87">
        <v>125</v>
      </c>
    </row>
    <row r="113" spans="14:18" x14ac:dyDescent="0.3">
      <c r="N113" s="88" t="s">
        <v>246</v>
      </c>
      <c r="P113" s="87"/>
      <c r="Q113" s="87">
        <v>10</v>
      </c>
      <c r="R113" s="87">
        <v>130</v>
      </c>
    </row>
    <row r="114" spans="14:18" x14ac:dyDescent="0.3">
      <c r="N114" s="88" t="s">
        <v>247</v>
      </c>
      <c r="P114" s="87"/>
      <c r="Q114" s="87">
        <v>10</v>
      </c>
      <c r="R114" s="87">
        <v>30</v>
      </c>
    </row>
    <row r="115" spans="14:18" x14ac:dyDescent="0.3">
      <c r="N115" s="88" t="s">
        <v>248</v>
      </c>
      <c r="P115" s="87"/>
      <c r="Q115" s="87">
        <v>10.5</v>
      </c>
      <c r="R115" s="87">
        <v>100</v>
      </c>
    </row>
    <row r="116" spans="14:18" x14ac:dyDescent="0.3">
      <c r="N116" s="88" t="s">
        <v>249</v>
      </c>
      <c r="P116" s="87"/>
      <c r="Q116" s="87">
        <v>11</v>
      </c>
      <c r="R116" s="87">
        <v>122</v>
      </c>
    </row>
    <row r="117" spans="14:18" x14ac:dyDescent="0.3">
      <c r="N117" s="88" t="s">
        <v>270</v>
      </c>
      <c r="P117" s="87">
        <v>96</v>
      </c>
      <c r="Q117" s="87">
        <v>16</v>
      </c>
      <c r="R117" s="87"/>
    </row>
    <row r="118" spans="14:18" x14ac:dyDescent="0.3">
      <c r="N118" s="88" t="s">
        <v>250</v>
      </c>
      <c r="P118" s="87"/>
      <c r="Q118" s="87">
        <v>6</v>
      </c>
      <c r="R118" s="87">
        <v>152</v>
      </c>
    </row>
    <row r="119" spans="14:18" x14ac:dyDescent="0.3">
      <c r="N119" s="88" t="s">
        <v>251</v>
      </c>
      <c r="P119" s="87"/>
      <c r="Q119" s="87">
        <v>6</v>
      </c>
      <c r="R119" s="87">
        <v>71</v>
      </c>
    </row>
    <row r="120" spans="14:18" x14ac:dyDescent="0.3">
      <c r="N120" s="88" t="s">
        <v>252</v>
      </c>
      <c r="P120" s="87"/>
      <c r="Q120" s="87">
        <v>6</v>
      </c>
      <c r="R120" s="87">
        <v>81</v>
      </c>
    </row>
    <row r="121" spans="14:18" x14ac:dyDescent="0.3">
      <c r="N121" s="88" t="s">
        <v>253</v>
      </c>
      <c r="P121" s="87"/>
      <c r="Q121" s="87">
        <v>7</v>
      </c>
      <c r="R121" s="87">
        <v>100</v>
      </c>
    </row>
    <row r="122" spans="14:18" x14ac:dyDescent="0.3">
      <c r="N122" s="88" t="s">
        <v>254</v>
      </c>
      <c r="P122" s="87"/>
      <c r="Q122" s="87">
        <v>7</v>
      </c>
      <c r="R122" s="87">
        <v>120</v>
      </c>
    </row>
    <row r="123" spans="14:18" x14ac:dyDescent="0.3">
      <c r="N123" s="88" t="s">
        <v>255</v>
      </c>
      <c r="P123" s="87"/>
      <c r="Q123" s="87">
        <v>9</v>
      </c>
      <c r="R123" s="87">
        <v>93</v>
      </c>
    </row>
    <row r="124" spans="14:18" ht="15" thickBot="1" x14ac:dyDescent="0.35">
      <c r="N124" s="89" t="s">
        <v>128</v>
      </c>
      <c r="O124">
        <v>10</v>
      </c>
      <c r="P124" s="87"/>
      <c r="Q124" s="87"/>
      <c r="R124" s="87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MC IMB RJ</vt:lpstr>
      <vt:lpstr>Consolidado</vt:lpstr>
      <vt:lpstr>Tabela</vt:lpstr>
      <vt:lpstr>ARMCXDOC</vt:lpstr>
      <vt:lpstr>ARMCXMID</vt:lpstr>
      <vt:lpstr>ARMMA</vt:lpstr>
      <vt:lpstr>ARMMIC</vt:lpstr>
      <vt:lpstr>ARMMID</vt:lpstr>
      <vt:lpstr>ARMTB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2026-10-27T14:22:10Z</dcterms:modified>
</cp:coreProperties>
</file>