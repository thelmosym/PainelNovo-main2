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mento_A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1B365D"/>
      <sz val="10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721C24"/>
      <sz val="9"/>
    </font>
    <font>
      <name val="Segoe UI"/>
      <b val="1"/>
      <color rgb="00721C24"/>
      <sz val="10"/>
    </font>
    <font>
      <name val="Segoe UI"/>
      <b val="1"/>
      <color rgb="00155724"/>
      <sz val="10"/>
    </font>
    <font>
      <name val="Segoe UI"/>
      <b val="1"/>
      <color rgb="00856404"/>
      <sz val="10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A7F"/>
        <bgColor rgb="002A4A7F"/>
      </patternFill>
    </fill>
    <fill>
      <patternFill patternType="solid">
        <fgColor rgb="00EBF3FA"/>
        <bgColor rgb="00EBF3FA"/>
      </patternFill>
    </fill>
    <fill>
      <patternFill patternType="solid">
        <fgColor rgb="00FDE8E8"/>
        <bgColor rgb="00FDE8E8"/>
      </patternFill>
    </fill>
    <fill>
      <patternFill patternType="solid">
        <fgColor rgb="00E9ECEF"/>
        <bgColor rgb="00E9ECEF"/>
      </patternFill>
    </fill>
    <fill>
      <patternFill patternType="solid">
        <fgColor rgb="00006B76"/>
        <bgColor rgb="00006B76"/>
      </patternFill>
    </fill>
    <fill>
      <patternFill patternType="solid">
        <fgColor rgb="00FFF2E2"/>
        <bgColor rgb="00FFF2E2"/>
      </patternFill>
    </fill>
    <fill>
      <patternFill patternType="solid">
        <fgColor rgb="002F4F4F"/>
        <bgColor rgb="002F4F4F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double">
        <color rgb="001B365D"/>
      </bottom>
      <diagonal/>
    </border>
    <border>
      <left/>
      <right style="thin">
        <color rgb="00D1D5DB"/>
      </right>
      <top style="thin">
        <color rgb="00D1D5DB"/>
      </top>
      <bottom style="double">
        <color rgb="001B365D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7" fillId="6" borderId="2" pivotButton="0" quotePrefix="0" xfId="0"/>
    <xf numFmtId="3" fontId="7" fillId="6" borderId="2" applyAlignment="1" pivotButton="0" quotePrefix="0" xfId="0">
      <alignment horizontal="center" vertical="center"/>
    </xf>
    <xf numFmtId="10" fontId="7" fillId="6" borderId="2" applyAlignment="1" pivotButton="0" quotePrefix="0" xfId="0">
      <alignment horizontal="center" vertical="center"/>
    </xf>
    <xf numFmtId="2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left"/>
    </xf>
    <xf numFmtId="0" fontId="5" fillId="9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10" fontId="9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0" fontId="10" fillId="11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28" customWidth="1" min="2" max="2"/>
    <col width="45" customWidth="1" min="3" max="3"/>
    <col width="12" customWidth="1" min="4" max="4"/>
    <col width="25" customWidth="1" min="5" max="5"/>
    <col width="17" customWidth="1" min="6" max="6"/>
    <col width="22" customWidth="1" min="7" max="7"/>
    <col width="23" customWidth="1" min="8" max="8"/>
    <col width="18" customWidth="1" min="9" max="9"/>
    <col width="18" customWidth="1" min="10" max="10"/>
    <col width="27" customWidth="1" min="11" max="11"/>
    <col width="56" customWidth="1" min="12" max="12"/>
  </cols>
  <sheetData>
    <row r="1" ht="30" customHeight="1">
      <c r="A1" s="1" t="inlineStr">
        <is>
          <t>DETALHAMENTO OPERACIONAL POR ATIVIDADE - ANÁLISE DE OFENSORES DO FDM</t>
        </is>
      </c>
    </row>
    <row r="3" ht="28" customHeight="1">
      <c r="A3" s="6" t="inlineStr">
        <is>
          <t>Contrato</t>
        </is>
      </c>
      <c r="B3" s="6" t="inlineStr">
        <is>
          <t>Serviço Contratual</t>
        </is>
      </c>
      <c r="C3" s="6" t="inlineStr">
        <is>
          <t>Descrição da Atividade</t>
        </is>
      </c>
      <c r="D3" s="6" t="inlineStr">
        <is>
          <t>Ref. FDM</t>
        </is>
      </c>
      <c r="E3" s="6" t="inlineStr">
        <is>
          <t>Total Atendimentos CO</t>
        </is>
      </c>
      <c r="F3" s="6" t="inlineStr">
        <is>
          <t>No Prazo (NP)</t>
        </is>
      </c>
      <c r="G3" s="6" t="inlineStr">
        <is>
          <t>Fora do Prazo (FP)</t>
        </is>
      </c>
      <c r="H3" s="6" t="inlineStr">
        <is>
          <t>Isentos / Definidos</t>
        </is>
      </c>
      <c r="I3" s="6" t="inlineStr">
        <is>
          <t>TSPE Atividade</t>
        </is>
      </c>
      <c r="J3" s="6" t="inlineStr">
        <is>
          <t>TSPR Atividade</t>
        </is>
      </c>
      <c r="K3" s="6" t="inlineStr">
        <is>
          <t>% Conformidade no Prazo</t>
        </is>
      </c>
      <c r="L3" s="6" t="inlineStr">
        <is>
          <t>Diagnóstico Operacional</t>
        </is>
      </c>
    </row>
    <row r="4" ht="20" customHeight="1">
      <c r="A4" s="21" t="inlineStr">
        <is>
          <t>IRON-LT1</t>
        </is>
      </c>
      <c r="B4" s="23" t="inlineStr">
        <is>
          <t>Isento / Fora FDM</t>
        </is>
      </c>
      <c r="C4" s="23" t="inlineStr">
        <is>
          <t>BAIXA PERMANENTE</t>
        </is>
      </c>
      <c r="D4" s="21" t="n">
        <v>0</v>
      </c>
      <c r="E4" s="29" t="n">
        <v>9</v>
      </c>
      <c r="F4" s="29" t="n">
        <v>0</v>
      </c>
      <c r="G4" s="29" t="n">
        <v>0</v>
      </c>
      <c r="H4" s="29" t="n">
        <v>9</v>
      </c>
      <c r="I4" s="29">
        <f>F4+G4</f>
        <v/>
      </c>
      <c r="J4" s="29">
        <f>F4</f>
        <v/>
      </c>
      <c r="K4" s="30">
        <f>IF(I4=0,1,J4/I4)</f>
        <v/>
      </c>
      <c r="L4" s="23" t="inlineStr">
        <is>
          <t>Sem exigência de SLA (Atividade Isenta ou Duplicada)</t>
        </is>
      </c>
    </row>
    <row r="5" ht="20" customHeight="1">
      <c r="A5" s="21" t="inlineStr">
        <is>
          <t>IRON-LT1</t>
        </is>
      </c>
      <c r="B5" s="23" t="inlineStr">
        <is>
          <t>Serviço 1: Guarda</t>
        </is>
      </c>
      <c r="C5" s="23" t="inlineStr">
        <is>
          <t>COLETA DE EMBALAGEM</t>
        </is>
      </c>
      <c r="D5" s="21" t="n">
        <v>1</v>
      </c>
      <c r="E5" s="29" t="n">
        <v>85</v>
      </c>
      <c r="F5" s="29" t="n">
        <v>31</v>
      </c>
      <c r="G5" s="29" t="n">
        <v>48</v>
      </c>
      <c r="H5" s="29" t="n">
        <v>6</v>
      </c>
      <c r="I5" s="29">
        <f>F5+G5</f>
        <v/>
      </c>
      <c r="J5" s="29">
        <f>F5</f>
        <v/>
      </c>
      <c r="K5" s="31">
        <f>IF(I5=0,1,J5/I5)</f>
        <v/>
      </c>
      <c r="L5" s="32" t="inlineStr">
        <is>
          <t>OFENSOR CRÍTICO DE SLA (Alto Volume Fora do Prazo)</t>
        </is>
      </c>
    </row>
    <row r="6" ht="20" customHeight="1">
      <c r="A6" s="21" t="inlineStr">
        <is>
          <t>IRON-LT1</t>
        </is>
      </c>
      <c r="B6" s="23" t="inlineStr">
        <is>
          <t>Serviço 1: Guarda</t>
        </is>
      </c>
      <c r="C6" s="23" t="inlineStr">
        <is>
          <t>DEVOLUCAO DE EMPRESTIMO</t>
        </is>
      </c>
      <c r="D6" s="21" t="n">
        <v>1</v>
      </c>
      <c r="E6" s="29" t="n">
        <v>17</v>
      </c>
      <c r="F6" s="29" t="n">
        <v>13</v>
      </c>
      <c r="G6" s="29" t="n">
        <v>2</v>
      </c>
      <c r="H6" s="29" t="n">
        <v>2</v>
      </c>
      <c r="I6" s="29">
        <f>F6+G6</f>
        <v/>
      </c>
      <c r="J6" s="29">
        <f>F6</f>
        <v/>
      </c>
      <c r="K6" s="30">
        <f>IF(I6=0,1,J6/I6)</f>
        <v/>
      </c>
      <c r="L6" s="23" t="inlineStr">
        <is>
          <t>Desempenho Regular / Atenção</t>
        </is>
      </c>
    </row>
    <row r="7" ht="20" customHeight="1">
      <c r="A7" s="21" t="inlineStr">
        <is>
          <t>IRON-LT1</t>
        </is>
      </c>
      <c r="B7" s="23" t="inlineStr">
        <is>
          <t>Serviço 1: Guarda</t>
        </is>
      </c>
      <c r="C7" s="23" t="inlineStr">
        <is>
          <t>ENTREGA DE EMBALAGEM EXPRESSO</t>
        </is>
      </c>
      <c r="D7" s="21" t="n">
        <v>1</v>
      </c>
      <c r="E7" s="29" t="n">
        <v>2</v>
      </c>
      <c r="F7" s="29" t="n">
        <v>2</v>
      </c>
      <c r="G7" s="29" t="n">
        <v>0</v>
      </c>
      <c r="H7" s="29" t="n">
        <v>0</v>
      </c>
      <c r="I7" s="29">
        <f>F7+G7</f>
        <v/>
      </c>
      <c r="J7" s="29">
        <f>F7</f>
        <v/>
      </c>
      <c r="K7" s="33">
        <f>IF(I7=0,1,J7/I7)</f>
        <v/>
      </c>
      <c r="L7" s="23" t="inlineStr">
        <is>
          <t>Meta Cumprida (100% no prazo)</t>
        </is>
      </c>
    </row>
    <row r="8" ht="20" customHeight="1">
      <c r="A8" s="21" t="inlineStr">
        <is>
          <t>IRON-LT1</t>
        </is>
      </c>
      <c r="B8" s="23" t="inlineStr">
        <is>
          <t>Serviço 1: Guarda</t>
        </is>
      </c>
      <c r="C8" s="23" t="inlineStr">
        <is>
          <t>ENTREGA DE EMBALAGEM NORMAL</t>
        </is>
      </c>
      <c r="D8" s="21" t="n">
        <v>1</v>
      </c>
      <c r="E8" s="29" t="n">
        <v>55</v>
      </c>
      <c r="F8" s="29" t="n">
        <v>20</v>
      </c>
      <c r="G8" s="29" t="n">
        <v>32</v>
      </c>
      <c r="H8" s="29" t="n">
        <v>3</v>
      </c>
      <c r="I8" s="29">
        <f>F8+G8</f>
        <v/>
      </c>
      <c r="J8" s="29">
        <f>F8</f>
        <v/>
      </c>
      <c r="K8" s="31">
        <f>IF(I8=0,1,J8/I8)</f>
        <v/>
      </c>
      <c r="L8" s="32" t="inlineStr">
        <is>
          <t>OFENSOR CRÍTICO DE SLA (Alto Volume Fora do Prazo)</t>
        </is>
      </c>
    </row>
    <row r="9" ht="20" customHeight="1">
      <c r="A9" s="21" t="inlineStr">
        <is>
          <t>IRON-LT1</t>
        </is>
      </c>
      <c r="B9" s="23" t="inlineStr">
        <is>
          <t>Serviço 1: Guarda</t>
        </is>
      </c>
      <c r="C9" s="23" t="inlineStr">
        <is>
          <t>MATERIAL PARA ARQUIVAMENTO</t>
        </is>
      </c>
      <c r="D9" s="21" t="n">
        <v>1</v>
      </c>
      <c r="E9" s="29" t="n">
        <v>23</v>
      </c>
      <c r="F9" s="29" t="n">
        <v>7</v>
      </c>
      <c r="G9" s="29" t="n">
        <v>15</v>
      </c>
      <c r="H9" s="29" t="n">
        <v>1</v>
      </c>
      <c r="I9" s="29">
        <f>F9+G9</f>
        <v/>
      </c>
      <c r="J9" s="29">
        <f>F9</f>
        <v/>
      </c>
      <c r="K9" s="31">
        <f>IF(I9=0,1,J9/I9)</f>
        <v/>
      </c>
      <c r="L9" s="32" t="inlineStr">
        <is>
          <t>OFENSOR CRÍTICO DE SLA (Alto Volume Fora do Prazo)</t>
        </is>
      </c>
    </row>
    <row r="10" ht="20" customHeight="1">
      <c r="A10" s="21" t="inlineStr">
        <is>
          <t>IRON-LT1</t>
        </is>
      </c>
      <c r="B10" s="23" t="inlineStr">
        <is>
          <t>Serviço 1: Guarda</t>
        </is>
      </c>
      <c r="C10" s="23" t="inlineStr">
        <is>
          <t>PESQUISA DE ITEM AVULSO NORMAL</t>
        </is>
      </c>
      <c r="D10" s="21" t="n">
        <v>1</v>
      </c>
      <c r="E10" s="29" t="n">
        <v>89</v>
      </c>
      <c r="F10" s="29" t="n">
        <v>2</v>
      </c>
      <c r="G10" s="29" t="n">
        <v>59</v>
      </c>
      <c r="H10" s="29" t="n">
        <v>28</v>
      </c>
      <c r="I10" s="29">
        <f>F10+G10</f>
        <v/>
      </c>
      <c r="J10" s="29">
        <f>F10</f>
        <v/>
      </c>
      <c r="K10" s="31">
        <f>IF(I10=0,1,J10/I10)</f>
        <v/>
      </c>
      <c r="L10" s="32" t="inlineStr">
        <is>
          <t>OFENSOR CRÍTICO DE SLA (Alto Volume Fora do Prazo)</t>
        </is>
      </c>
    </row>
    <row r="11" ht="20" customHeight="1">
      <c r="A11" s="21" t="inlineStr">
        <is>
          <t>IRON-LT1</t>
        </is>
      </c>
      <c r="B11" s="23" t="inlineStr">
        <is>
          <t>Serviço 2: Gerenciamento</t>
        </is>
      </c>
      <c r="C11" s="23" t="inlineStr">
        <is>
          <t>COPIA DE VIDEO</t>
        </is>
      </c>
      <c r="D11" s="21" t="n">
        <v>2</v>
      </c>
      <c r="E11" s="29" t="n">
        <v>3</v>
      </c>
      <c r="F11" s="29" t="n">
        <v>1</v>
      </c>
      <c r="G11" s="29" t="n">
        <v>0</v>
      </c>
      <c r="H11" s="29" t="n">
        <v>2</v>
      </c>
      <c r="I11" s="29">
        <f>F11+G11</f>
        <v/>
      </c>
      <c r="J11" s="29">
        <f>F11</f>
        <v/>
      </c>
      <c r="K11" s="33">
        <f>IF(I11=0,1,J11/I11)</f>
        <v/>
      </c>
      <c r="L11" s="23" t="inlineStr">
        <is>
          <t>Meta Cumprida (100% no prazo)</t>
        </is>
      </c>
    </row>
    <row r="12" ht="20" customHeight="1">
      <c r="A12" s="21" t="inlineStr">
        <is>
          <t>IRON-LT1</t>
        </is>
      </c>
      <c r="B12" s="23" t="inlineStr">
        <is>
          <t>Serviço 2: Gerenciamento</t>
        </is>
      </c>
      <c r="C12" s="23" t="inlineStr">
        <is>
          <t>DIGITALIZACAO DE DOCUMENTO ADMINISTRATIVO</t>
        </is>
      </c>
      <c r="D12" s="21" t="n">
        <v>2</v>
      </c>
      <c r="E12" s="29" t="n">
        <v>67</v>
      </c>
      <c r="F12" s="29" t="n">
        <v>19</v>
      </c>
      <c r="G12" s="29" t="n">
        <v>25</v>
      </c>
      <c r="H12" s="29" t="n">
        <v>23</v>
      </c>
      <c r="I12" s="29">
        <f>F12+G12</f>
        <v/>
      </c>
      <c r="J12" s="29">
        <f>F12</f>
        <v/>
      </c>
      <c r="K12" s="31">
        <f>IF(I12=0,1,J12/I12)</f>
        <v/>
      </c>
      <c r="L12" s="32" t="inlineStr">
        <is>
          <t>OFENSOR CRÍTICO DE SLA (Alto Volume Fora do Prazo)</t>
        </is>
      </c>
    </row>
    <row r="13" ht="20" customHeight="1">
      <c r="A13" s="21" t="inlineStr">
        <is>
          <t>IRON-LT1</t>
        </is>
      </c>
      <c r="B13" s="23" t="inlineStr">
        <is>
          <t>Serviço 2: Gerenciamento</t>
        </is>
      </c>
      <c r="C13" s="23" t="inlineStr">
        <is>
          <t>DIGITALIZACAO DE MICROFICHA</t>
        </is>
      </c>
      <c r="D13" s="21" t="n">
        <v>2</v>
      </c>
      <c r="E13" s="29" t="n">
        <v>1</v>
      </c>
      <c r="F13" s="29" t="n">
        <v>0</v>
      </c>
      <c r="G13" s="29" t="n">
        <v>0</v>
      </c>
      <c r="H13" s="29" t="n">
        <v>1</v>
      </c>
      <c r="I13" s="29">
        <f>F13+G13</f>
        <v/>
      </c>
      <c r="J13" s="29">
        <f>F13</f>
        <v/>
      </c>
      <c r="K13" s="30">
        <f>IF(I13=0,1,J13/I13)</f>
        <v/>
      </c>
      <c r="L13" s="23" t="inlineStr">
        <is>
          <t>Sem exigência de SLA (Atividade Isenta ou Duplicada)</t>
        </is>
      </c>
    </row>
    <row r="14" ht="20" customHeight="1">
      <c r="A14" s="21" t="inlineStr">
        <is>
          <t>IRON-LT1</t>
        </is>
      </c>
      <c r="B14" s="23" t="inlineStr">
        <is>
          <t>Serviço 2: Gerenciamento</t>
        </is>
      </c>
      <c r="C14" s="23" t="inlineStr">
        <is>
          <t>INDEXACAO DE DOCUMENTO</t>
        </is>
      </c>
      <c r="D14" s="21" t="n">
        <v>2</v>
      </c>
      <c r="E14" s="29" t="n">
        <v>69</v>
      </c>
      <c r="F14" s="29" t="n">
        <v>51</v>
      </c>
      <c r="G14" s="29" t="n">
        <v>0</v>
      </c>
      <c r="H14" s="29" t="n">
        <v>18</v>
      </c>
      <c r="I14" s="29">
        <f>F14+G14</f>
        <v/>
      </c>
      <c r="J14" s="29">
        <f>F14</f>
        <v/>
      </c>
      <c r="K14" s="33">
        <f>IF(I14=0,1,J14/I14)</f>
        <v/>
      </c>
      <c r="L14" s="23" t="inlineStr">
        <is>
          <t>Meta Cumprida (100% no prazo)</t>
        </is>
      </c>
    </row>
    <row r="15" ht="20" customHeight="1">
      <c r="A15" s="21" t="inlineStr">
        <is>
          <t>PA-LT2</t>
        </is>
      </c>
      <c r="B15" s="23" t="inlineStr">
        <is>
          <t>Serviço 1: Guarda</t>
        </is>
      </c>
      <c r="C15" s="23" t="inlineStr">
        <is>
          <t>COLETA DE EMBALAGEM</t>
        </is>
      </c>
      <c r="D15" s="21" t="n">
        <v>1</v>
      </c>
      <c r="E15" s="29" t="n">
        <v>54</v>
      </c>
      <c r="F15" s="29" t="n">
        <v>33</v>
      </c>
      <c r="G15" s="29" t="n">
        <v>16</v>
      </c>
      <c r="H15" s="29" t="n">
        <v>5</v>
      </c>
      <c r="I15" s="29">
        <f>F15+G15</f>
        <v/>
      </c>
      <c r="J15" s="29">
        <f>F15</f>
        <v/>
      </c>
      <c r="K15" s="30">
        <f>IF(I15=0,1,J15/I15)</f>
        <v/>
      </c>
      <c r="L15" s="32" t="inlineStr">
        <is>
          <t>OFENSOR CRÍTICO DE SLA (Alto Volume Fora do Prazo)</t>
        </is>
      </c>
    </row>
    <row r="16" ht="20" customHeight="1">
      <c r="A16" s="21" t="inlineStr">
        <is>
          <t>PA-LT2</t>
        </is>
      </c>
      <c r="B16" s="23" t="inlineStr">
        <is>
          <t>Serviço 1: Guarda</t>
        </is>
      </c>
      <c r="C16" s="23" t="inlineStr">
        <is>
          <t>ENTREGA DE EMBALAGEM NORMAL</t>
        </is>
      </c>
      <c r="D16" s="21" t="n">
        <v>1</v>
      </c>
      <c r="E16" s="29" t="n">
        <v>3</v>
      </c>
      <c r="F16" s="29" t="n">
        <v>0</v>
      </c>
      <c r="G16" s="29" t="n">
        <v>3</v>
      </c>
      <c r="H16" s="29" t="n">
        <v>0</v>
      </c>
      <c r="I16" s="29">
        <f>F16+G16</f>
        <v/>
      </c>
      <c r="J16" s="29">
        <f>F16</f>
        <v/>
      </c>
      <c r="K16" s="31">
        <f>IF(I16=0,1,J16/I16)</f>
        <v/>
      </c>
      <c r="L16" s="32" t="inlineStr">
        <is>
          <t>OFENSOR CRÍTICO DE SLA (Alto Volume Fora do Prazo)</t>
        </is>
      </c>
    </row>
    <row r="17" ht="20" customHeight="1">
      <c r="A17" s="21" t="inlineStr">
        <is>
          <t>PA-LT2</t>
        </is>
      </c>
      <c r="B17" s="23" t="inlineStr">
        <is>
          <t>Serviço 1: Guarda</t>
        </is>
      </c>
      <c r="C17" s="23" t="inlineStr">
        <is>
          <t>MATERIAL PARA ARQUIVAMENTO</t>
        </is>
      </c>
      <c r="D17" s="21" t="n">
        <v>1</v>
      </c>
      <c r="E17" s="29" t="n">
        <v>8</v>
      </c>
      <c r="F17" s="29" t="n">
        <v>0</v>
      </c>
      <c r="G17" s="29" t="n">
        <v>4</v>
      </c>
      <c r="H17" s="29" t="n">
        <v>4</v>
      </c>
      <c r="I17" s="29">
        <f>F17+G17</f>
        <v/>
      </c>
      <c r="J17" s="29">
        <f>F17</f>
        <v/>
      </c>
      <c r="K17" s="31">
        <f>IF(I17=0,1,J17/I17)</f>
        <v/>
      </c>
      <c r="L17" s="32" t="inlineStr">
        <is>
          <t>OFENSOR CRÍTICO DE SLA (Alto Volume Fora do Prazo)</t>
        </is>
      </c>
    </row>
    <row r="18" ht="20" customHeight="1">
      <c r="A18" s="21" t="inlineStr">
        <is>
          <t>PA-LT2</t>
        </is>
      </c>
      <c r="B18" s="23" t="inlineStr">
        <is>
          <t>Serviço 1: Guarda</t>
        </is>
      </c>
      <c r="C18" s="23" t="inlineStr">
        <is>
          <t>PESQUISA DE ITEM AVULSO NORMAL</t>
        </is>
      </c>
      <c r="D18" s="21" t="n">
        <v>1</v>
      </c>
      <c r="E18" s="29" t="n">
        <v>32</v>
      </c>
      <c r="F18" s="29" t="n">
        <v>16</v>
      </c>
      <c r="G18" s="29" t="n">
        <v>11</v>
      </c>
      <c r="H18" s="29" t="n">
        <v>5</v>
      </c>
      <c r="I18" s="29">
        <f>F18+G18</f>
        <v/>
      </c>
      <c r="J18" s="29">
        <f>F18</f>
        <v/>
      </c>
      <c r="K18" s="30">
        <f>IF(I18=0,1,J18/I18)</f>
        <v/>
      </c>
      <c r="L18" s="32" t="inlineStr">
        <is>
          <t>OFENSOR CRÍTICO DE SLA (Alto Volume Fora do Prazo)</t>
        </is>
      </c>
    </row>
    <row r="19" ht="20" customHeight="1">
      <c r="A19" s="21" t="inlineStr">
        <is>
          <t>PA-LT2</t>
        </is>
      </c>
      <c r="B19" s="23" t="inlineStr">
        <is>
          <t>Serviço 2: Gerenciamento</t>
        </is>
      </c>
      <c r="C19" s="23" t="inlineStr">
        <is>
          <t>CATALOGACAO DE ITEM AVULSO</t>
        </is>
      </c>
      <c r="D19" s="21" t="n">
        <v>2</v>
      </c>
      <c r="E19" s="29" t="n">
        <v>2</v>
      </c>
      <c r="F19" s="29" t="n">
        <v>2</v>
      </c>
      <c r="G19" s="29" t="n">
        <v>0</v>
      </c>
      <c r="H19" s="29" t="n">
        <v>0</v>
      </c>
      <c r="I19" s="29">
        <f>F19+G19</f>
        <v/>
      </c>
      <c r="J19" s="29">
        <f>F19</f>
        <v/>
      </c>
      <c r="K19" s="33">
        <f>IF(I19=0,1,J19/I19)</f>
        <v/>
      </c>
      <c r="L19" s="23" t="inlineStr">
        <is>
          <t>Meta Cumprida (100% no prazo)</t>
        </is>
      </c>
    </row>
    <row r="20" ht="20" customHeight="1">
      <c r="A20" s="21" t="inlineStr">
        <is>
          <t>PA-LT2</t>
        </is>
      </c>
      <c r="B20" s="23" t="inlineStr">
        <is>
          <t>Serviço 2: Gerenciamento</t>
        </is>
      </c>
      <c r="C20" s="23" t="inlineStr">
        <is>
          <t>DIGITALIZACAO DE DOCUMENTO ADMINISTRATIVO</t>
        </is>
      </c>
      <c r="D20" s="21" t="n">
        <v>2</v>
      </c>
      <c r="E20" s="29" t="n">
        <v>32</v>
      </c>
      <c r="F20" s="29" t="n">
        <v>16</v>
      </c>
      <c r="G20" s="29" t="n">
        <v>7</v>
      </c>
      <c r="H20" s="29" t="n">
        <v>9</v>
      </c>
      <c r="I20" s="29">
        <f>F20+G20</f>
        <v/>
      </c>
      <c r="J20" s="29">
        <f>F20</f>
        <v/>
      </c>
      <c r="K20" s="30">
        <f>IF(I20=0,1,J20/I20)</f>
        <v/>
      </c>
      <c r="L20" s="32" t="inlineStr">
        <is>
          <t>OFENSOR CRÍTICO DE SLA (Alto Volume Fora do Prazo)</t>
        </is>
      </c>
    </row>
    <row r="21" ht="20" customHeight="1">
      <c r="A21" s="21" t="inlineStr">
        <is>
          <t>PA-LT2</t>
        </is>
      </c>
      <c r="B21" s="23" t="inlineStr">
        <is>
          <t>Serviço 2: Gerenciamento</t>
        </is>
      </c>
      <c r="C21" s="23" t="inlineStr">
        <is>
          <t>INDEXACAO DE DOCUMENTO</t>
        </is>
      </c>
      <c r="D21" s="21" t="n">
        <v>2</v>
      </c>
      <c r="E21" s="29" t="n">
        <v>31</v>
      </c>
      <c r="F21" s="29" t="n">
        <v>26</v>
      </c>
      <c r="G21" s="29" t="n">
        <v>0</v>
      </c>
      <c r="H21" s="29" t="n">
        <v>5</v>
      </c>
      <c r="I21" s="29">
        <f>F21+G21</f>
        <v/>
      </c>
      <c r="J21" s="29">
        <f>F21</f>
        <v/>
      </c>
      <c r="K21" s="33">
        <f>IF(I21=0,1,J21/I21)</f>
        <v/>
      </c>
      <c r="L21" s="23" t="inlineStr">
        <is>
          <t>Meta Cumprida (100% no prazo)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2026-10-27T10:11:49Z</dcterms:created>
  <dcterms:modified xsi:type="dcterms:W3CDTF">2026-10-27T10:16:59Z</dcterms:modified>
</cp:coreProperties>
</file>