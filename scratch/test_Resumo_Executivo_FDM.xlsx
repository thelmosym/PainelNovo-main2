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_F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1B365D"/>
      <sz val="10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721C24"/>
      <sz val="9"/>
    </font>
    <font>
      <name val="Segoe UI"/>
      <b val="1"/>
      <color rgb="00721C24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A7F"/>
        <bgColor rgb="002A4A7F"/>
      </patternFill>
    </fill>
    <fill>
      <patternFill patternType="solid">
        <fgColor rgb="00EBF3FA"/>
        <bgColor rgb="00EBF3FA"/>
      </patternFill>
    </fill>
    <fill>
      <patternFill patternType="solid">
        <fgColor rgb="00FDE8E8"/>
        <bgColor rgb="00FDE8E8"/>
      </patternFill>
    </fill>
    <fill>
      <patternFill patternType="solid">
        <fgColor rgb="00E9ECEF"/>
        <bgColor rgb="00E9ECEF"/>
      </patternFill>
    </fill>
    <fill>
      <patternFill patternType="solid">
        <fgColor rgb="00006B76"/>
        <bgColor rgb="00006B76"/>
      </patternFill>
    </fill>
    <fill>
      <patternFill patternType="solid">
        <fgColor rgb="00FFF2E2"/>
        <bgColor rgb="00FFF2E2"/>
      </patternFill>
    </fill>
    <fill>
      <patternFill patternType="solid">
        <fgColor rgb="002F4F4F"/>
        <bgColor rgb="002F4F4F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double">
        <color rgb="001B365D"/>
      </bottom>
      <diagonal/>
    </border>
    <border>
      <left/>
      <right style="thin">
        <color rgb="00D1D5DB"/>
      </right>
      <top style="thin">
        <color rgb="00D1D5DB"/>
      </top>
      <bottom style="double">
        <color rgb="001B365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3" fontId="7" fillId="6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5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10" fontId="9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0" fontId="10" fillId="11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7" customWidth="1" min="1" max="1"/>
    <col width="25" customWidth="1" min="2" max="2"/>
    <col width="30" customWidth="1" min="3" max="3"/>
    <col width="56" customWidth="1" min="4" max="4"/>
    <col width="51" customWidth="1" min="5" max="5"/>
    <col width="54" customWidth="1" min="6" max="6"/>
    <col width="47" customWidth="1" min="7" max="7"/>
    <col width="20" customWidth="1" min="8" max="8"/>
    <col width="19" customWidth="1" min="9" max="9"/>
    <col width="27" customWidth="1" min="10" max="10"/>
    <col width="12" customWidth="1" min="11" max="11"/>
    <col width="16" customWidth="1" min="12" max="12"/>
    <col width="23" customWidth="1" min="13" max="13"/>
    <col width="56" customWidth="1" min="14" max="14"/>
    <col width="24" customWidth="1" min="15" max="15"/>
    <col width="55" customWidth="1" min="16" max="16"/>
  </cols>
  <sheetData>
    <row r="1" ht="35" customHeight="1">
      <c r="A1" s="1" t="inlineStr">
        <is>
          <t>RELATÓRIO DE DEMONSTRAÇÃO E AUDITORIA DE INDICADORES CONTRATUAIS - FDM / TSPE / TSPR / IAPFARQ</t>
        </is>
      </c>
    </row>
    <row r="2" ht="20" customHeight="1">
      <c r="A2" s="2" t="inlineStr">
        <is>
          <t>Governança Contratual Petrobras | Contrato Lote 1 (IRON MOUNTAIN - SAP 4600686987) e Contrato Lote 2 (PA - SAP 4600687006) | Ciclo 26/07 à 25/08</t>
        </is>
      </c>
    </row>
    <row r="4" ht="28" customHeight="1">
      <c r="A4" s="3" t="inlineStr">
        <is>
          <t>582
Total Chamados Concluídos (CO)
(Base total faturável no período)</t>
        </is>
      </c>
      <c r="B4" s="37" t="n"/>
      <c r="D4" s="3" t="inlineStr">
        <is>
          <t>461
Total Elegíveis FDM (TSPE)
(TSPE1 = 314 | TSPE2 = 147)</t>
        </is>
      </c>
      <c r="E4" s="37" t="n"/>
      <c r="G4" s="3" t="inlineStr">
        <is>
          <t>239
Total Atendidos no Prazo (TSPR)
(TSPR1 = 124 | TSPR2 = 115)</t>
        </is>
      </c>
      <c r="H4" s="37" t="n"/>
      <c r="J4" s="3" t="inlineStr">
        <is>
          <t>222
Total Fora do Prazo (Atrasos)
(Ofensor principal: Pesquisa Item Avulso)</t>
        </is>
      </c>
      <c r="K4" s="37" t="n"/>
      <c r="M4" s="3" t="inlineStr">
        <is>
          <t>51,84%
Desempenho Global IAPFARQ
(FDM Geral Aplicado: 0,97 (Glosa 3%))</t>
        </is>
      </c>
      <c r="N4" s="37" t="n"/>
    </row>
    <row r="5" ht="28" customHeight="1">
      <c r="A5" s="38" t="n"/>
      <c r="B5" s="39" t="n"/>
      <c r="D5" s="38" t="n"/>
      <c r="E5" s="39" t="n"/>
      <c r="G5" s="38" t="n"/>
      <c r="H5" s="39" t="n"/>
      <c r="J5" s="38" t="n"/>
      <c r="K5" s="39" t="n"/>
      <c r="M5" s="38" t="n"/>
      <c r="N5" s="39" t="n"/>
    </row>
    <row r="7">
      <c r="A7" s="5" t="inlineStr">
        <is>
          <t>1. APURAÇÃO CONSOLIDADA DOS INDICADORES POR CONTRATO E LINHA DE SERVIÇO (ITENS 8.4.2 E 8.4.3)</t>
        </is>
      </c>
    </row>
    <row r="8" ht="32" customHeight="1">
      <c r="A8" s="6" t="inlineStr">
        <is>
          <t>Contrato</t>
        </is>
      </c>
      <c r="B8" s="6" t="inlineStr">
        <is>
          <t>Lote / Polo</t>
        </is>
      </c>
      <c r="C8" s="6" t="inlineStr">
        <is>
          <t>Código SAP</t>
        </is>
      </c>
      <c r="D8" s="6" t="inlineStr">
        <is>
          <t>Linha de Serviço Contratual</t>
        </is>
      </c>
      <c r="E8" s="6" t="inlineStr">
        <is>
          <t>Ref. FDM</t>
        </is>
      </c>
      <c r="F8" s="6" t="inlineStr">
        <is>
          <t>Total CO</t>
        </is>
      </c>
      <c r="G8" s="6" t="inlineStr">
        <is>
          <t>Exclusões (Isento/Definido)</t>
        </is>
      </c>
      <c r="H8" s="6" t="inlineStr">
        <is>
          <t>TSPE (Elegíveis)</t>
        </is>
      </c>
      <c r="I8" s="6" t="inlineStr">
        <is>
          <t>TSPR (No Prazo)</t>
        </is>
      </c>
      <c r="J8" s="6" t="inlineStr">
        <is>
          <t>Desvios (Fora do Prazo)</t>
        </is>
      </c>
      <c r="K8" s="6" t="inlineStr">
        <is>
          <t>% Atraso</t>
        </is>
      </c>
      <c r="L8" s="6" t="inlineStr">
        <is>
          <t>IAPFARQ (%)</t>
        </is>
      </c>
      <c r="M8" s="6" t="inlineStr">
        <is>
          <t>Meta SLA Contratual</t>
        </is>
      </c>
      <c r="N8" s="6" t="inlineStr">
        <is>
          <t>FDM Mensal Bruto</t>
        </is>
      </c>
      <c r="O8" s="6" t="inlineStr">
        <is>
          <t>FDM Final Homologado</t>
        </is>
      </c>
      <c r="P8" s="6" t="inlineStr">
        <is>
          <t>Impacto Financeiro na Fatura</t>
        </is>
      </c>
    </row>
    <row r="9" ht="22" customHeight="1">
      <c r="A9" s="7" t="inlineStr">
        <is>
          <t>IRON-LT1</t>
        </is>
      </c>
      <c r="B9" s="7" t="inlineStr">
        <is>
          <t>Lote 1 (RJ / SP / ES)</t>
        </is>
      </c>
      <c r="C9" s="7" t="inlineStr">
        <is>
          <t>4600686987</t>
        </is>
      </c>
      <c r="D9" s="8" t="inlineStr">
        <is>
          <t>Serviço 1: Guarda de Documentos e Informações</t>
        </is>
      </c>
      <c r="E9" s="9" t="n">
        <v>1</v>
      </c>
      <c r="F9" s="9" t="n">
        <v>271</v>
      </c>
      <c r="G9" s="9" t="n">
        <v>40</v>
      </c>
      <c r="H9" s="9">
        <f>I9+J9</f>
        <v/>
      </c>
      <c r="I9" s="9" t="n">
        <v>75</v>
      </c>
      <c r="J9" s="9" t="n">
        <v>156</v>
      </c>
      <c r="K9" s="10">
        <f>J9/H9</f>
        <v/>
      </c>
      <c r="L9" s="11">
        <f>I9/H9*100</f>
        <v/>
      </c>
      <c r="M9" s="11" t="n">
        <v>99</v>
      </c>
      <c r="N9" s="12">
        <f>IF(L9&lt;90,0.97,IF(L9&lt;95,0.98,IF(L9&lt;99,0.99,1.0)))</f>
        <v/>
      </c>
      <c r="O9" s="12" t="n">
        <v>0.97</v>
      </c>
      <c r="P9" s="13" t="inlineStr">
        <is>
          <t>Glosa de 3,0% sobre faturamento de Guarda</t>
        </is>
      </c>
    </row>
    <row r="10" ht="22" customHeight="1">
      <c r="A10" s="7" t="inlineStr">
        <is>
          <t>IRON-LT1</t>
        </is>
      </c>
      <c r="B10" s="7" t="inlineStr">
        <is>
          <t>Lote 1 (RJ / SP / ES)</t>
        </is>
      </c>
      <c r="C10" s="7" t="inlineStr">
        <is>
          <t>4600686987</t>
        </is>
      </c>
      <c r="D10" s="8" t="inlineStr">
        <is>
          <t>Serviço 2: Gerenciamento de Documentos e Informações</t>
        </is>
      </c>
      <c r="E10" s="9" t="n">
        <v>2</v>
      </c>
      <c r="F10" s="9" t="n">
        <v>140</v>
      </c>
      <c r="G10" s="9" t="n">
        <v>44</v>
      </c>
      <c r="H10" s="9">
        <f>I10+J10</f>
        <v/>
      </c>
      <c r="I10" s="9" t="n">
        <v>71</v>
      </c>
      <c r="J10" s="9" t="n">
        <v>25</v>
      </c>
      <c r="K10" s="10">
        <f>J10/H10</f>
        <v/>
      </c>
      <c r="L10" s="11">
        <f>I10/H10*100</f>
        <v/>
      </c>
      <c r="M10" s="11" t="n">
        <v>99</v>
      </c>
      <c r="N10" s="12">
        <f>IF(L10&lt;90,0.97,IF(L10&lt;95,0.98,IF(L10&lt;99,0.99,1.0)))</f>
        <v/>
      </c>
      <c r="O10" s="12" t="n">
        <v>0.97</v>
      </c>
      <c r="P10" s="13" t="inlineStr">
        <is>
          <t>Glosa de 3,0% sobre faturamento de Gerenciamento</t>
        </is>
      </c>
    </row>
    <row r="11" ht="22" customHeight="1">
      <c r="A11" s="7" t="inlineStr">
        <is>
          <t>PA-LT2</t>
        </is>
      </c>
      <c r="B11" s="7" t="inlineStr">
        <is>
          <t>Lote 2 (Bahia - BA)</t>
        </is>
      </c>
      <c r="C11" s="7" t="inlineStr">
        <is>
          <t>4600687006</t>
        </is>
      </c>
      <c r="D11" s="8" t="inlineStr">
        <is>
          <t>Serviço 1: Guarda de Documentos e Informações</t>
        </is>
      </c>
      <c r="E11" s="9" t="n">
        <v>1</v>
      </c>
      <c r="F11" s="9" t="n">
        <v>97</v>
      </c>
      <c r="G11" s="9" t="n">
        <v>14</v>
      </c>
      <c r="H11" s="9">
        <f>I11+J11</f>
        <v/>
      </c>
      <c r="I11" s="9" t="n">
        <v>49</v>
      </c>
      <c r="J11" s="9" t="n">
        <v>34</v>
      </c>
      <c r="K11" s="10">
        <f>J11/H11</f>
        <v/>
      </c>
      <c r="L11" s="11">
        <f>I11/H11*100</f>
        <v/>
      </c>
      <c r="M11" s="11" t="n">
        <v>99</v>
      </c>
      <c r="N11" s="12">
        <f>IF(L11&lt;90,0.97,IF(L11&lt;95,0.98,IF(L11&lt;99,0.99,1.0)))</f>
        <v/>
      </c>
      <c r="O11" s="12" t="n">
        <v>0.97</v>
      </c>
      <c r="P11" s="13" t="inlineStr">
        <is>
          <t>Glosa de 3,0% sobre faturamento de Guarda</t>
        </is>
      </c>
    </row>
    <row r="12" ht="22" customHeight="1">
      <c r="A12" s="7" t="inlineStr">
        <is>
          <t>PA-LT2</t>
        </is>
      </c>
      <c r="B12" s="7" t="inlineStr">
        <is>
          <t>Lote 2 (Bahia - BA)</t>
        </is>
      </c>
      <c r="C12" s="7" t="inlineStr">
        <is>
          <t>4600687006</t>
        </is>
      </c>
      <c r="D12" s="8" t="inlineStr">
        <is>
          <t>Serviço 2: Gerenciamento de Documentos e Informações</t>
        </is>
      </c>
      <c r="E12" s="9" t="n">
        <v>2</v>
      </c>
      <c r="F12" s="9" t="n">
        <v>65</v>
      </c>
      <c r="G12" s="9" t="n">
        <v>14</v>
      </c>
      <c r="H12" s="9">
        <f>I12+J12</f>
        <v/>
      </c>
      <c r="I12" s="9" t="n">
        <v>44</v>
      </c>
      <c r="J12" s="9" t="n">
        <v>7</v>
      </c>
      <c r="K12" s="10">
        <f>J12/H12</f>
        <v/>
      </c>
      <c r="L12" s="11">
        <f>I12/H12*100</f>
        <v/>
      </c>
      <c r="M12" s="11" t="n">
        <v>99</v>
      </c>
      <c r="N12" s="12">
        <f>IF(L12&lt;90,0.97,IF(L12&lt;95,0.98,IF(L12&lt;99,0.99,1.0)))</f>
        <v/>
      </c>
      <c r="O12" s="12" t="n">
        <v>0.97</v>
      </c>
      <c r="P12" s="13" t="inlineStr">
        <is>
          <t>Glosa de 3,0% sobre faturamento de Gerenciamento</t>
        </is>
      </c>
    </row>
    <row r="13" ht="24" customHeight="1">
      <c r="A13" s="14" t="inlineStr">
        <is>
          <t>TOTAL GERAL CONSOLIDADO</t>
        </is>
      </c>
      <c r="B13" s="40" t="n"/>
      <c r="C13" s="40" t="n"/>
      <c r="D13" s="40" t="n"/>
      <c r="E13" s="41" t="n"/>
      <c r="F13" s="16">
        <f>SUM(F9:F12)</f>
        <v/>
      </c>
      <c r="G13" s="16">
        <f>SUM(G9:G12)</f>
        <v/>
      </c>
      <c r="H13" s="16">
        <f>SUM(H9:H12)</f>
        <v/>
      </c>
      <c r="I13" s="16">
        <f>SUM(I9:I12)</f>
        <v/>
      </c>
      <c r="J13" s="16">
        <f>SUM(J9:J12)</f>
        <v/>
      </c>
      <c r="K13" s="17">
        <f>J13/H13</f>
        <v/>
      </c>
      <c r="L13" s="18">
        <f>I13/H13*100</f>
        <v/>
      </c>
      <c r="M13" s="18" t="n">
        <v>99</v>
      </c>
      <c r="N13" s="19">
        <f>IF(L13&lt;90,0.97,IF(L13&lt;95,0.98,IF(L13&lt;99,0.99,1.0)))</f>
        <v/>
      </c>
      <c r="O13" s="19" t="n">
        <v>0.97</v>
      </c>
      <c r="P13" s="15" t="inlineStr">
        <is>
          <t>Glosa Padrão de 3,0% Aplicada em ambos os contratos</t>
        </is>
      </c>
    </row>
    <row r="16">
      <c r="A16" s="5" t="inlineStr">
        <is>
          <t>2. CRITÉRIOS, FÓRMULAS E TABELA CONTRATUAL DE ENQUADRAMENTO DO FDM (ITEM 8.4.3)</t>
        </is>
      </c>
    </row>
    <row r="17" ht="25" customHeight="1">
      <c r="A17" s="20" t="inlineStr">
        <is>
          <t>Faixa de Cumprimento de Prazos (IAPFARQ)</t>
        </is>
      </c>
      <c r="B17" s="20" t="inlineStr">
        <is>
          <t>Fator FDM Bruto</t>
        </is>
      </c>
      <c r="C17" s="20" t="inlineStr">
        <is>
          <t>Percentual Faturado</t>
        </is>
      </c>
      <c r="D17" s="20" t="inlineStr">
        <is>
          <t>Glosa Contratual</t>
        </is>
      </c>
      <c r="E17" s="20" t="inlineStr">
        <is>
          <t>Classificação do Nível de Serviço</t>
        </is>
      </c>
      <c r="F17" s="20" t="inlineStr">
        <is>
          <t>Ação Operacional Obrigatória</t>
        </is>
      </c>
    </row>
    <row r="18" ht="20" customHeight="1">
      <c r="A18" s="21" t="inlineStr">
        <is>
          <t>IAPFARQ &gt;= 99,00%</t>
        </is>
      </c>
      <c r="B18" s="22" t="n">
        <v>1</v>
      </c>
      <c r="C18" s="21" t="inlineStr">
        <is>
          <t>100,0%</t>
        </is>
      </c>
      <c r="D18" s="21" t="inlineStr">
        <is>
          <t>0,0% (Isento de Glosa)</t>
        </is>
      </c>
      <c r="E18" s="23" t="inlineStr">
        <is>
          <t>Nível de Excelência Operacional (Meta Cumprida)</t>
        </is>
      </c>
      <c r="F18" s="23" t="inlineStr">
        <is>
          <t>Pagamento pleno sem retenções.</t>
        </is>
      </c>
    </row>
    <row r="19" ht="20" customHeight="1">
      <c r="A19" s="21" t="inlineStr">
        <is>
          <t>95,00% &lt;= IAPFARQ &lt; 99,00%</t>
        </is>
      </c>
      <c r="B19" s="22" t="n">
        <v>0.99</v>
      </c>
      <c r="C19" s="21" t="inlineStr">
        <is>
          <t>99,0%</t>
        </is>
      </c>
      <c r="D19" s="21" t="inlineStr">
        <is>
          <t>1,0% de Retenção</t>
        </is>
      </c>
      <c r="E19" s="23" t="inlineStr">
        <is>
          <t>Nível Aceitável / Atenção Operacional</t>
        </is>
      </c>
      <c r="F19" s="23" t="inlineStr">
        <is>
          <t>Alerta para planos de mitigação em rotas/filas.</t>
        </is>
      </c>
    </row>
    <row r="20" ht="20" customHeight="1">
      <c r="A20" s="21" t="inlineStr">
        <is>
          <t>90,00% &lt;= IAPFARQ &lt; 95,00%</t>
        </is>
      </c>
      <c r="B20" s="22" t="n">
        <v>0.98</v>
      </c>
      <c r="C20" s="21" t="inlineStr">
        <is>
          <t>98,0%</t>
        </is>
      </c>
      <c r="D20" s="21" t="inlineStr">
        <is>
          <t>2,0% de Retenção</t>
        </is>
      </c>
      <c r="E20" s="23" t="inlineStr">
        <is>
          <t>Nível Insatisfatório / Crítico</t>
        </is>
      </c>
      <c r="F20" s="23" t="inlineStr">
        <is>
          <t>Notificação de desvio e plano de ação formal.</t>
        </is>
      </c>
    </row>
    <row r="21" ht="20" customHeight="1">
      <c r="A21" s="24" t="inlineStr">
        <is>
          <t>IAPFARQ &lt; 90,00%</t>
        </is>
      </c>
      <c r="B21" s="25" t="n">
        <v>0.97</v>
      </c>
      <c r="C21" s="24" t="inlineStr">
        <is>
          <t>97,0%</t>
        </is>
      </c>
      <c r="D21" s="24" t="inlineStr">
        <is>
          <t>3,0% de Retenção</t>
        </is>
      </c>
      <c r="E21" s="26" t="inlineStr">
        <is>
          <t>Nível Não Conforme / Penalidade Máxima Inicial</t>
        </is>
      </c>
      <c r="F21" s="26" t="inlineStr">
        <is>
          <t>Abertura de RNC e sujeito a degradação em cascata.</t>
        </is>
      </c>
    </row>
    <row r="24">
      <c r="A24" s="5" t="inlineStr">
        <is>
          <t>3. REGRA DE DEGRADAÇÃO EM CASCATA POR REINCIDÊNCIA CONSECUTIVA (ITEM 8.4.3 - PARÁGRAFO 2º)</t>
        </is>
      </c>
    </row>
    <row r="25" ht="25" customHeight="1">
      <c r="A25" s="27" t="inlineStr">
        <is>
          <t>Cenário de Reincidência</t>
        </is>
      </c>
      <c r="B25" s="27" t="inlineStr">
        <is>
          <t>FDM Mês Atual (M)</t>
        </is>
      </c>
      <c r="C25" s="27" t="inlineStr">
        <is>
          <t>FDM Mês Anterior (M-1)</t>
        </is>
      </c>
      <c r="D25" s="27" t="inlineStr">
        <is>
          <t>FDM Mês Retrasado (M-2)</t>
        </is>
      </c>
      <c r="E25" s="27" t="inlineStr">
        <is>
          <t>FDM Final Recalculado</t>
        </is>
      </c>
      <c r="F25" s="27" t="inlineStr">
        <is>
          <t>Glosa Acumulada</t>
        </is>
      </c>
      <c r="G25" s="27" t="inlineStr">
        <is>
          <t>Severidade Contratual</t>
        </is>
      </c>
    </row>
    <row r="26" ht="20" customHeight="1">
      <c r="A26" s="23" t="inlineStr">
        <is>
          <t>Primeira ocorrência de IAPFARQ &lt; 90%</t>
        </is>
      </c>
      <c r="B26" s="21">
        <f> 0,97</f>
        <v/>
      </c>
      <c r="C26" s="21" t="inlineStr">
        <is>
          <t>&gt;= 0,98 (ou sem histórico)</t>
        </is>
      </c>
      <c r="D26" s="21" t="inlineStr">
        <is>
          <t>Qualquer</t>
        </is>
      </c>
      <c r="E26" s="28" t="n">
        <v>0.97</v>
      </c>
      <c r="F26" s="21" t="inlineStr">
        <is>
          <t>3,0%</t>
        </is>
      </c>
      <c r="G26" s="23" t="inlineStr">
        <is>
          <t>Penalidade Inicial Padrão</t>
        </is>
      </c>
    </row>
    <row r="27" ht="20" customHeight="1">
      <c r="A27" s="23" t="inlineStr">
        <is>
          <t>Reincidência por 2 meses consecutivos</t>
        </is>
      </c>
      <c r="B27" s="21">
        <f> 0,97</f>
        <v/>
      </c>
      <c r="C27" s="21">
        <f> 0,97</f>
        <v/>
      </c>
      <c r="D27" s="21" t="inlineStr">
        <is>
          <t>&gt; 0,97</t>
        </is>
      </c>
      <c r="E27" s="28" t="n">
        <v>0.96</v>
      </c>
      <c r="F27" s="21" t="inlineStr">
        <is>
          <t>4,0%</t>
        </is>
      </c>
      <c r="G27" s="23" t="inlineStr">
        <is>
          <t>Degradação Nível 1 (-1 ponto percentual)</t>
        </is>
      </c>
    </row>
    <row r="28" ht="20" customHeight="1">
      <c r="A28" s="23" t="inlineStr">
        <is>
          <t>Reincidência por 3 meses consecutivos</t>
        </is>
      </c>
      <c r="B28" s="21">
        <f> 0,97</f>
        <v/>
      </c>
      <c r="C28" s="21">
        <f> 0,97</f>
        <v/>
      </c>
      <c r="D28" s="21" t="inlineStr">
        <is>
          <t>&lt;= 0,97</t>
        </is>
      </c>
      <c r="E28" s="28" t="n">
        <v>0.95</v>
      </c>
      <c r="F28" s="21" t="inlineStr">
        <is>
          <t>5,0%</t>
        </is>
      </c>
      <c r="G28" s="23" t="inlineStr">
        <is>
          <t>Degradação Nível 2 - Piso Máximo Contratual</t>
        </is>
      </c>
    </row>
    <row r="29" ht="20" customHeight="1">
      <c r="A29" s="23" t="inlineStr">
        <is>
          <t>Manutenção no piso após 3 meses</t>
        </is>
      </c>
      <c r="B29" s="21">
        <f> 0,97</f>
        <v/>
      </c>
      <c r="C29" s="21">
        <f> 0,95 ou 0,96</f>
        <v/>
      </c>
      <c r="D29" s="21" t="inlineStr">
        <is>
          <t>Qualquer</t>
        </is>
      </c>
      <c r="E29" s="28" t="n">
        <v>0.95</v>
      </c>
      <c r="F29" s="21" t="inlineStr">
        <is>
          <t>5,0%</t>
        </is>
      </c>
      <c r="G29" s="23" t="inlineStr">
        <is>
          <t>Piso mínimo de 0,95 mantido até recuperação</t>
        </is>
      </c>
    </row>
  </sheetData>
  <mergeCells count="8">
    <mergeCell ref="A4:B5"/>
    <mergeCell ref="G4:H5"/>
    <mergeCell ref="D4:E5"/>
    <mergeCell ref="J4:K5"/>
    <mergeCell ref="A2:N2"/>
    <mergeCell ref="A13:E13"/>
    <mergeCell ref="M4:N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2026-10-27T10:11:49Z</dcterms:created>
  <dcterms:modified xsi:type="dcterms:W3CDTF">2026-10-27T10:16:58Z</dcterms:modified>
</cp:coreProperties>
</file>